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ime_Cycles" sheetId="1" state="visible" r:id="rId1"/>
    <sheet name="Sources" sheetId="2" state="visible" r:id="rId2"/>
    <sheet name="Settings" sheetId="3" state="visible" r:id="rId3"/>
    <sheet name="Documentation" sheetId="4" state="visible" r:id="rId4"/>
    <sheet name="Macro_Cycles" sheetId="5" state="visible" r:id="rId5"/>
    <sheet name="Forecast" sheetId="6" state="visible" r:id="rId6"/>
  </sheets>
  <definedNames>
    <definedName name="ATR_PER" hidden="0" function="0" vbProcedure="0">Settings!$C$9</definedName>
    <definedName name="ATR_STOP_MULT" hidden="0" function="0" vbProcedure="0">Settings!$C$10</definedName>
    <definedName name="CYC_1" hidden="0" function="0" vbProcedure="0">Settings!$C$22</definedName>
    <definedName name="CYC_2" hidden="0" function="0" vbProcedure="0">Settings!$C$23</definedName>
    <definedName name="CYC_3" hidden="0" function="0" vbProcedure="0">Settings!$C$24</definedName>
    <definedName name="CYC_4" hidden="0" function="0" vbProcedure="0">Settings!$C$25</definedName>
    <definedName name="MA_LONG1" hidden="0" function="0" vbProcedure="0">Settings!$C$7</definedName>
    <definedName name="MA_LONG2" hidden="0" function="0" vbProcedure="0">Settings!$C$8</definedName>
    <definedName name="MA_MED" hidden="0" function="0" vbProcedure="0">Settings!$C$6</definedName>
    <definedName name="MA_SHORT" hidden="0" function="0" vbProcedure="0">Settings!$C$5</definedName>
    <definedName name="MIN_LIQ_B" hidden="0" function="0" vbProcedure="0">Settings!$C$32</definedName>
    <definedName name="PRICE_BAND" hidden="0" function="0" vbProcedure="0">Settings!$C$31</definedName>
    <definedName name="STRUCT_L" hidden="0" function="0" vbProcedure="0">Settings!$C$30</definedName>
    <definedName name="STRUCT_S" hidden="0" function="0" vbProcedure="0">Settings!$C$29</definedName>
    <definedName name="TIME_TOL" hidden="0" function="0" vbProcedure="0">Settings!$C$26</definedName>
    <definedName name="W_MA" hidden="0" function="0" vbProcedure="0">Settings!$C$15</definedName>
    <definedName name="W_MARKET" hidden="0" function="0" vbProcedure="0">Settings!$C$17</definedName>
    <definedName name="W_SMART" hidden="0" function="0" vbProcedure="0">Settings!$C$14</definedName>
    <definedName name="W_SUM" hidden="0" function="0" vbProcedure="0">Settings!$C$19</definedName>
    <definedName name="W_TIME" hidden="0" function="0" vbProcedure="0">Settings!$C$18</definedName>
    <definedName name="W_TREND" hidden="0" function="0" vbProcedure="0">Settings!$C$13</definedName>
    <definedName name="W_VOL" hidden="0" function="0" vbProcedure="0">Settings!$C$16</definedName>
  </definedNames>
  <calcPr calcId="124519" fullCalcOnLoad="1" refMode="A1" iterate="0" iterateCount="100" iterateDelta="0.0001"/>
</workbook>
</file>

<file path=xl/styles.xml><?xml version="1.0" encoding="utf-8"?>
<styleSheet xmlns="http://schemas.openxmlformats.org/spreadsheetml/2006/main">
  <numFmts count="6">
    <numFmt numFmtId="164" formatCode="yyyy\-mm\-dd"/>
    <numFmt numFmtId="165" formatCode="0.0%;\(0.0%\);\-"/>
    <numFmt numFmtId="166" formatCode="0.0;\(0.0\);\-"/>
    <numFmt numFmtId="167" formatCode="#,##0;\(#,##0\);\-"/>
    <numFmt numFmtId="168" formatCode="0.00\x"/>
    <numFmt numFmtId="169" formatCode="yyyy-mm-dd"/>
  </numFmts>
  <fonts count="4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i val="1"/>
      <color rgb="FF404040"/>
      <sz val="9"/>
    </font>
    <font>
      <name val="Arial"/>
      <charset val="1"/>
      <family val="0"/>
      <b val="1"/>
      <color rgb="FFFFFFFF"/>
      <sz val="10"/>
    </font>
    <font>
      <name val="Arial"/>
      <charset val="1"/>
      <family val="0"/>
      <b val="1"/>
      <sz val="8"/>
    </font>
    <font>
      <name val="Arial"/>
      <charset val="1"/>
      <family val="0"/>
      <b val="1"/>
      <color rgb="FFFFFFFF"/>
      <sz val="9"/>
    </font>
    <font>
      <name val="Arial"/>
      <charset val="1"/>
      <family val="0"/>
      <i val="1"/>
      <color rgb="FF808080"/>
      <sz val="8"/>
    </font>
    <font>
      <name val="Arial"/>
      <charset val="1"/>
      <family val="0"/>
      <i val="1"/>
      <color rgb="FF008000"/>
      <sz val="8"/>
    </font>
    <font>
      <name val="Arial"/>
      <charset val="1"/>
      <family val="0"/>
      <color rgb="FF000000"/>
      <sz val="9"/>
    </font>
    <font>
      <name val="Arial"/>
      <charset val="1"/>
      <family val="0"/>
      <color rgb="FF0000FF"/>
      <sz val="9"/>
    </font>
    <font>
      <name val="Arial"/>
      <charset val="1"/>
      <family val="0"/>
      <sz val="8"/>
    </font>
    <font>
      <name val="Arial"/>
      <charset val="1"/>
      <family val="0"/>
      <color rgb="FF008000"/>
      <sz val="8"/>
    </font>
    <font>
      <name val="Arial"/>
      <charset val="1"/>
      <family val="0"/>
      <b val="1"/>
      <i val="1"/>
      <color rgb="FF404040"/>
      <sz val="9"/>
    </font>
    <font>
      <name val="Arial"/>
      <charset val="1"/>
      <family val="0"/>
      <i val="1"/>
      <color rgb="FF404040"/>
      <sz val="8"/>
    </font>
    <font>
      <name val="Arial"/>
      <charset val="1"/>
      <family val="0"/>
      <color rgb="FF000000"/>
      <sz val="8"/>
    </font>
    <font>
      <name val="Arial"/>
      <charset val="1"/>
      <family val="0"/>
      <color rgb="FFC00000"/>
      <sz val="8"/>
    </font>
    <font>
      <name val="Arial"/>
      <charset val="1"/>
      <family val="0"/>
      <sz val="9"/>
    </font>
    <font>
      <name val="Arial"/>
      <charset val="1"/>
      <family val="0"/>
      <b val="1"/>
      <color rgb="FF0000FF"/>
      <sz val="10"/>
    </font>
    <font>
      <name val="Arial"/>
      <charset val="1"/>
      <family val="0"/>
      <b val="1"/>
      <sz val="10"/>
    </font>
    <font>
      <name val="Arial"/>
      <charset val="1"/>
      <family val="0"/>
      <b val="1"/>
      <sz val="9"/>
    </font>
    <font>
      <name val="Arial"/>
      <charset val="1"/>
      <family val="0"/>
      <sz val="10"/>
    </font>
    <font>
      <name val="Arial"/>
      <charset val="1"/>
      <family val="0"/>
      <b val="1"/>
      <color rgb="FFFFFFFF"/>
      <sz val="12"/>
    </font>
    <font>
      <name val="Consolas"/>
      <charset val="1"/>
      <family val="0"/>
      <sz val="9"/>
    </font>
    <font>
      <name val="Arial"/>
      <charset val="1"/>
      <family val="0"/>
      <b val="1"/>
      <color rgb="FFFFFFFF"/>
      <sz val="15"/>
    </font>
    <font>
      <name val="Arial"/>
      <charset val="1"/>
      <family val="0"/>
      <b val="1"/>
      <color rgb="FFC00000"/>
      <sz val="9"/>
    </font>
    <font>
      <name val="Arial"/>
      <charset val="1"/>
      <family val="0"/>
      <i val="1"/>
      <color rgb="FF7F6000"/>
      <sz val="8"/>
    </font>
    <font>
      <name val="Arial"/>
      <charset val="1"/>
      <family val="0"/>
      <b val="1"/>
      <color rgb="FF006100"/>
      <sz val="8"/>
    </font>
    <font>
      <name val="Arial"/>
      <charset val="1"/>
      <family val="0"/>
      <color rgb="FF0000FF"/>
      <sz val="8"/>
    </font>
    <font>
      <name val="Arial"/>
      <b val="1"/>
      <color rgb="00FFFFFF"/>
      <sz val="9"/>
    </font>
    <font>
      <name val="Arial"/>
      <i val="1"/>
      <color rgb="00008000"/>
      <sz val="8"/>
    </font>
    <font>
      <name val="Arial"/>
      <color rgb="00008000"/>
      <sz val="8"/>
    </font>
    <font>
      <name val="Arial"/>
      <b val="1"/>
      <color rgb="00FFFFFF"/>
      <sz val="15"/>
    </font>
    <font>
      <name val="Arial"/>
      <b val="1"/>
      <color rgb="00C00000"/>
      <sz val="9"/>
    </font>
    <font>
      <name val="Arial"/>
      <b val="1"/>
      <color rgb="00FFFFFF"/>
      <sz val="10"/>
    </font>
    <font>
      <name val="Arial"/>
      <color rgb="00000000"/>
      <sz val="8"/>
    </font>
    <font>
      <name val="Arial"/>
      <i val="1"/>
      <color rgb="007F6000"/>
      <sz val="8"/>
    </font>
    <font>
      <name val="Arial"/>
      <color rgb="00C00000"/>
      <sz val="8"/>
    </font>
    <font>
      <name val="Arial"/>
      <sz val="8"/>
    </font>
    <font>
      <name val="Arial"/>
      <b val="1"/>
      <color rgb="00006100"/>
      <sz val="8"/>
    </font>
    <font>
      <name val="Arial"/>
      <i val="1"/>
      <color rgb="00404040"/>
      <sz val="9"/>
    </font>
    <font>
      <name val="Arial"/>
      <color rgb="000000FF"/>
      <sz val="8"/>
    </font>
  </fonts>
  <fills count="12">
    <fill>
      <patternFill/>
    </fill>
    <fill>
      <patternFill patternType="gray125"/>
    </fill>
    <fill>
      <patternFill patternType="solid">
        <fgColor rgb="FF1F3864"/>
        <bgColor rgb="FF404040"/>
      </patternFill>
    </fill>
    <fill>
      <patternFill patternType="solid">
        <fgColor rgb="FFD9E2F3"/>
        <bgColor rgb="FFC6EFCE"/>
      </patternFill>
    </fill>
    <fill>
      <patternFill patternType="solid">
        <fgColor rgb="FFFFF2CC"/>
        <bgColor rgb="FFFFFFFF"/>
      </patternFill>
    </fill>
    <fill>
      <patternFill patternType="solid">
        <fgColor rgb="FF2E5C8A"/>
        <bgColor rgb="FF1F3864"/>
      </patternFill>
    </fill>
    <fill>
      <patternFill patternType="solid">
        <fgColor rgb="FFC00000"/>
        <bgColor rgb="FF800000"/>
      </patternFill>
    </fill>
    <fill>
      <patternFill patternType="solid">
        <fgColor rgb="FFC6EFCE"/>
        <bgColor rgb="FFD9E2F3"/>
      </patternFill>
    </fill>
    <fill>
      <patternFill patternType="solid">
        <fgColor rgb="001F3864"/>
      </patternFill>
    </fill>
    <fill>
      <patternFill patternType="solid">
        <fgColor rgb="00FFF2CC"/>
      </patternFill>
    </fill>
    <fill>
      <patternFill patternType="solid">
        <fgColor rgb="002E5C8A"/>
      </patternFill>
    </fill>
    <fill>
      <patternFill patternType="solid">
        <fgColor rgb="00C6EFCE"/>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0" borderId="0" applyAlignment="1" pivotButton="0" quotePrefix="0" xfId="0">
      <alignment horizontal="center" vertical="center"/>
    </xf>
    <xf numFmtId="0" fontId="6" fillId="2" borderId="1" applyAlignment="1" pivotButton="0" quotePrefix="0" xfId="0">
      <alignment horizontal="center" vertical="center" wrapText="1"/>
    </xf>
    <xf numFmtId="0" fontId="7" fillId="0" borderId="0" applyAlignment="1" pivotButton="0" quotePrefix="0" xfId="0">
      <alignment horizontal="general" vertical="bottom"/>
    </xf>
    <xf numFmtId="0" fontId="8" fillId="2" borderId="1" applyAlignment="1" pivotButton="0" quotePrefix="0" xfId="0">
      <alignment horizontal="center" vertical="center" wrapText="1"/>
    </xf>
    <xf numFmtId="0" fontId="9" fillId="3" borderId="1" applyAlignment="1" pivotButton="0" quotePrefix="0" xfId="0">
      <alignment horizontal="center" vertical="center" wrapText="1"/>
    </xf>
    <xf numFmtId="0" fontId="10" fillId="0" borderId="0" applyAlignment="1" pivotButton="0" quotePrefix="0" xfId="0">
      <alignment horizontal="general" vertical="bottom"/>
    </xf>
    <xf numFmtId="0" fontId="11" fillId="4" borderId="1" applyAlignment="1" pivotButton="0" quotePrefix="0" xfId="0">
      <alignment horizontal="center" vertical="center"/>
    </xf>
    <xf numFmtId="164" fontId="12" fillId="4" borderId="1" applyAlignment="1" pivotButton="0" quotePrefix="0" xfId="0">
      <alignment horizontal="center" vertical="center"/>
    </xf>
    <xf numFmtId="1" fontId="12" fillId="4" borderId="1" applyAlignment="1" pivotButton="0" quotePrefix="0" xfId="0">
      <alignment horizontal="center" vertical="center"/>
    </xf>
    <xf numFmtId="164" fontId="11" fillId="4" borderId="1" applyAlignment="1" pivotButton="0" quotePrefix="0" xfId="0">
      <alignment horizontal="center" vertical="center"/>
    </xf>
    <xf numFmtId="1" fontId="11" fillId="0" borderId="1" applyAlignment="1" pivotButton="0" quotePrefix="0" xfId="0">
      <alignment horizontal="center" vertical="center"/>
    </xf>
    <xf numFmtId="165" fontId="11" fillId="0" borderId="1" applyAlignment="1" pivotButton="0" quotePrefix="0" xfId="0">
      <alignment horizontal="center" vertical="center"/>
    </xf>
    <xf numFmtId="164" fontId="11" fillId="0" borderId="1" applyAlignment="1" pivotButton="0" quotePrefix="0" xfId="0">
      <alignment horizontal="center" vertical="center"/>
    </xf>
    <xf numFmtId="0" fontId="12" fillId="4" borderId="1" applyAlignment="1" pivotButton="0" quotePrefix="0" xfId="0">
      <alignment horizontal="center" vertical="center"/>
    </xf>
    <xf numFmtId="166" fontId="11" fillId="0" borderId="1" applyAlignment="1" pivotButton="0" quotePrefix="0" xfId="0">
      <alignment horizontal="center" vertical="center"/>
    </xf>
    <xf numFmtId="0" fontId="11" fillId="0" borderId="1" applyAlignment="1" pivotButton="0" quotePrefix="0" xfId="0">
      <alignment horizontal="center" vertical="center"/>
    </xf>
    <xf numFmtId="0" fontId="13" fillId="0" borderId="0" applyAlignment="1" pivotButton="0" quotePrefix="0" xfId="0">
      <alignment horizontal="general" vertical="bottom"/>
    </xf>
    <xf numFmtId="0" fontId="14" fillId="0" borderId="1" applyAlignment="1" pivotButton="0" quotePrefix="0" xfId="0">
      <alignment horizontal="center" vertical="center"/>
    </xf>
    <xf numFmtId="0" fontId="14" fillId="0" borderId="1" applyAlignment="1" pivotButton="0" quotePrefix="0" xfId="0">
      <alignment horizontal="center" vertical="center" wrapText="1"/>
    </xf>
    <xf numFmtId="164" fontId="14" fillId="0" borderId="1" applyAlignment="1" pivotButton="0" quotePrefix="0" xfId="0">
      <alignment horizontal="center" vertical="center"/>
    </xf>
    <xf numFmtId="0" fontId="15" fillId="0" borderId="0" applyAlignment="1" pivotButton="0" quotePrefix="0" xfId="0">
      <alignment horizontal="right" vertical="center" wrapText="1"/>
    </xf>
    <xf numFmtId="0" fontId="16" fillId="0" borderId="0" applyAlignment="1" pivotButton="0" quotePrefix="0" xfId="0">
      <alignment horizontal="right" vertical="center" wrapText="1"/>
    </xf>
    <xf numFmtId="0" fontId="17" fillId="0" borderId="1" applyAlignment="1" pivotButton="0" quotePrefix="0" xfId="0">
      <alignment horizontal="right"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right" vertical="center" wrapText="1"/>
    </xf>
    <xf numFmtId="0" fontId="9" fillId="0" borderId="0" applyAlignment="1" pivotButton="0" quotePrefix="0" xfId="0">
      <alignment horizontal="right" vertical="center" wrapText="1"/>
    </xf>
    <xf numFmtId="0" fontId="6" fillId="5" borderId="0" applyAlignment="1" pivotButton="0" quotePrefix="0" xfId="0">
      <alignment horizontal="right" vertical="center"/>
    </xf>
    <xf numFmtId="0" fontId="19" fillId="0" borderId="0" applyAlignment="1" pivotButton="0" quotePrefix="0" xfId="0">
      <alignment horizontal="right" vertical="center"/>
    </xf>
    <xf numFmtId="167" fontId="20" fillId="4" borderId="1" applyAlignment="1" pivotButton="0" quotePrefix="0" xfId="0">
      <alignment horizontal="center" vertical="center"/>
    </xf>
    <xf numFmtId="0" fontId="9" fillId="0" borderId="0" applyAlignment="1" pivotButton="0" quotePrefix="0" xfId="0">
      <alignment horizontal="right" vertical="center"/>
    </xf>
    <xf numFmtId="168" fontId="20" fillId="4" borderId="1" applyAlignment="1" pivotButton="0" quotePrefix="0" xfId="0">
      <alignment horizontal="center" vertical="center"/>
    </xf>
    <xf numFmtId="165" fontId="20" fillId="4" borderId="1" applyAlignment="1" pivotButton="0" quotePrefix="0" xfId="0">
      <alignment horizontal="center" vertical="center"/>
    </xf>
    <xf numFmtId="165" fontId="21" fillId="0" borderId="1" applyAlignment="1" pivotButton="0" quotePrefix="0" xfId="0">
      <alignment horizontal="center" vertical="center"/>
    </xf>
    <xf numFmtId="0" fontId="22" fillId="0" borderId="0" applyAlignment="1" pivotButton="0" quotePrefix="0" xfId="0">
      <alignment horizontal="right" vertical="center"/>
    </xf>
    <xf numFmtId="0" fontId="23" fillId="0" borderId="0" applyAlignment="1" pivotButton="0" quotePrefix="0" xfId="0">
      <alignment horizontal="right" vertical="center" wrapText="1"/>
    </xf>
    <xf numFmtId="0" fontId="6" fillId="6" borderId="0" applyAlignment="1" pivotButton="0" quotePrefix="0" xfId="0">
      <alignment horizontal="right" vertical="center" wrapText="1"/>
    </xf>
    <xf numFmtId="0" fontId="24" fillId="5" borderId="0" applyAlignment="1" pivotButton="0" quotePrefix="0" xfId="0">
      <alignment horizontal="right" vertical="center"/>
    </xf>
    <xf numFmtId="0" fontId="19" fillId="0" borderId="0" applyAlignment="1" pivotButton="0" quotePrefix="0" xfId="0">
      <alignment horizontal="right" vertical="center" wrapText="1"/>
    </xf>
    <xf numFmtId="0" fontId="25" fillId="0" borderId="0" applyAlignment="1" pivotButton="0" quotePrefix="0" xfId="0">
      <alignment horizontal="left" vertical="center"/>
    </xf>
    <xf numFmtId="0" fontId="26" fillId="2" borderId="0" applyAlignment="1" pivotButton="0" quotePrefix="0" xfId="0">
      <alignment horizontal="center" vertical="center"/>
    </xf>
    <xf numFmtId="0" fontId="27" fillId="4" borderId="0" applyAlignment="1" pivotButton="0" quotePrefix="0" xfId="0">
      <alignment horizontal="right" vertical="center" wrapText="1"/>
    </xf>
    <xf numFmtId="0" fontId="28" fillId="0" borderId="0" applyAlignment="1" pivotButton="0" quotePrefix="0" xfId="0">
      <alignment horizontal="right" vertical="center" wrapText="1"/>
    </xf>
    <xf numFmtId="0" fontId="13" fillId="0" borderId="1" applyAlignment="1" pivotButton="0" quotePrefix="0" xfId="0">
      <alignment horizontal="right" vertical="center" wrapText="1"/>
    </xf>
    <xf numFmtId="0" fontId="29" fillId="7" borderId="1" applyAlignment="1" pivotButton="0" quotePrefix="0" xfId="0">
      <alignment horizontal="center" vertical="center" wrapText="1"/>
    </xf>
    <xf numFmtId="164" fontId="13"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3" fillId="0" borderId="1" applyAlignment="1" pivotButton="0" quotePrefix="0" xfId="0">
      <alignment horizontal="right" vertical="center"/>
    </xf>
    <xf numFmtId="0" fontId="17" fillId="0" borderId="1" applyAlignment="1" pivotButton="0" quotePrefix="0" xfId="0">
      <alignment horizontal="center" vertical="center"/>
    </xf>
    <xf numFmtId="9" fontId="14" fillId="0" borderId="1" applyAlignment="1" pivotButton="0" quotePrefix="0" xfId="0">
      <alignment horizontal="center" vertical="center"/>
    </xf>
    <xf numFmtId="0" fontId="5" fillId="0" borderId="0" applyAlignment="1" pivotButton="0" quotePrefix="0" xfId="0">
      <alignment horizontal="right" vertical="center" wrapText="1"/>
    </xf>
    <xf numFmtId="0" fontId="30" fillId="4" borderId="1" applyAlignment="1" pivotButton="0" quotePrefix="0" xfId="0">
      <alignment horizontal="center" vertical="center" wrapText="1"/>
    </xf>
    <xf numFmtId="0" fontId="30" fillId="4" borderId="1" applyAlignment="1" pivotButton="0" quotePrefix="0" xfId="0">
      <alignment horizontal="right"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0" borderId="0" applyAlignment="1" pivotButton="0" quotePrefix="0" xfId="0">
      <alignment horizontal="center" vertical="center"/>
    </xf>
    <xf numFmtId="0" fontId="6" fillId="2" borderId="1" applyAlignment="1" pivotButton="0" quotePrefix="0" xfId="0">
      <alignment horizontal="center" vertical="center" wrapText="1"/>
    </xf>
    <xf numFmtId="0" fontId="7" fillId="0" borderId="0" applyAlignment="1" pivotButton="0" quotePrefix="0" xfId="0">
      <alignment horizontal="general" vertical="bottom"/>
    </xf>
    <xf numFmtId="0" fontId="31" fillId="8" borderId="2" applyAlignment="1" pivotButton="0" quotePrefix="0" xfId="0">
      <alignment horizontal="center" vertical="center" wrapText="1"/>
    </xf>
    <xf numFmtId="0" fontId="9" fillId="3" borderId="1" applyAlignment="1" pivotButton="0" quotePrefix="0" xfId="0">
      <alignment horizontal="center" vertical="center" wrapText="1"/>
    </xf>
    <xf numFmtId="0" fontId="32" fillId="0" borderId="0" applyAlignment="1" pivotButton="0" quotePrefix="0" xfId="0">
      <alignment horizontal="general" vertical="bottom"/>
    </xf>
    <xf numFmtId="0" fontId="11" fillId="4" borderId="1" applyAlignment="1" pivotButton="0" quotePrefix="0" xfId="0">
      <alignment horizontal="center" vertical="center"/>
    </xf>
    <xf numFmtId="164" fontId="12" fillId="4" borderId="1" applyAlignment="1" pivotButton="0" quotePrefix="0" xfId="0">
      <alignment horizontal="center" vertical="center"/>
    </xf>
    <xf numFmtId="1" fontId="12" fillId="4" borderId="1" applyAlignment="1" pivotButton="0" quotePrefix="0" xfId="0">
      <alignment horizontal="center" vertical="center"/>
    </xf>
    <xf numFmtId="164" fontId="11" fillId="4" borderId="1" applyAlignment="1" pivotButton="0" quotePrefix="0" xfId="0">
      <alignment horizontal="center" vertical="center"/>
    </xf>
    <xf numFmtId="1" fontId="11" fillId="0" borderId="1" applyAlignment="1" pivotButton="0" quotePrefix="0" xfId="0">
      <alignment horizontal="center" vertical="center"/>
    </xf>
    <xf numFmtId="165" fontId="11" fillId="0" borderId="1" applyAlignment="1" pivotButton="0" quotePrefix="0" xfId="0">
      <alignment horizontal="center" vertical="center"/>
    </xf>
    <xf numFmtId="164" fontId="11" fillId="0" borderId="1" applyAlignment="1" pivotButton="0" quotePrefix="0" xfId="0">
      <alignment horizontal="center" vertical="center"/>
    </xf>
    <xf numFmtId="0" fontId="12" fillId="4" borderId="1" applyAlignment="1" pivotButton="0" quotePrefix="0" xfId="0">
      <alignment horizontal="center" vertical="center"/>
    </xf>
    <xf numFmtId="166" fontId="11" fillId="0" borderId="1" applyAlignment="1" pivotButton="0" quotePrefix="0" xfId="0">
      <alignment horizontal="center" vertical="center"/>
    </xf>
    <xf numFmtId="0" fontId="11" fillId="0" borderId="1" applyAlignment="1" pivotButton="0" quotePrefix="0" xfId="0">
      <alignment horizontal="center" vertical="center"/>
    </xf>
    <xf numFmtId="0" fontId="13" fillId="0" borderId="0" applyAlignment="1" pivotButton="0" quotePrefix="0" xfId="0">
      <alignment horizontal="general" vertical="bottom"/>
    </xf>
    <xf numFmtId="0" fontId="33" fillId="0" borderId="2" applyAlignment="1" pivotButton="0" quotePrefix="0" xfId="0">
      <alignment horizontal="center" vertical="center"/>
    </xf>
    <xf numFmtId="0" fontId="33" fillId="0" borderId="2" applyAlignment="1" pivotButton="0" quotePrefix="0" xfId="0">
      <alignment horizontal="center" vertical="center" wrapText="1"/>
    </xf>
    <xf numFmtId="169" fontId="33" fillId="0" borderId="2" applyAlignment="1" pivotButton="0" quotePrefix="0" xfId="0">
      <alignment horizontal="center" vertical="center"/>
    </xf>
    <xf numFmtId="0" fontId="15" fillId="0" borderId="0" applyAlignment="1" pivotButton="0" quotePrefix="0" xfId="0">
      <alignment horizontal="right" vertical="center" wrapText="1"/>
    </xf>
    <xf numFmtId="0" fontId="16" fillId="0" borderId="0" applyAlignment="1" pivotButton="0" quotePrefix="0" xfId="0">
      <alignment horizontal="right" vertical="center" wrapText="1"/>
    </xf>
    <xf numFmtId="0" fontId="17" fillId="0" borderId="1" applyAlignment="1" pivotButton="0" quotePrefix="0" xfId="0">
      <alignment horizontal="right"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right" vertical="center" wrapText="1"/>
    </xf>
    <xf numFmtId="0" fontId="9" fillId="0" borderId="0" applyAlignment="1" pivotButton="0" quotePrefix="0" xfId="0">
      <alignment horizontal="right" vertical="center" wrapText="1"/>
    </xf>
    <xf numFmtId="0" fontId="6" fillId="5" borderId="0" applyAlignment="1" pivotButton="0" quotePrefix="0" xfId="0">
      <alignment horizontal="right" vertical="center"/>
    </xf>
    <xf numFmtId="0" fontId="19" fillId="0" borderId="0" applyAlignment="1" pivotButton="0" quotePrefix="0" xfId="0">
      <alignment horizontal="right" vertical="center"/>
    </xf>
    <xf numFmtId="167" fontId="20" fillId="4" borderId="1" applyAlignment="1" pivotButton="0" quotePrefix="0" xfId="0">
      <alignment horizontal="center" vertical="center"/>
    </xf>
    <xf numFmtId="0" fontId="9" fillId="0" borderId="0" applyAlignment="1" pivotButton="0" quotePrefix="0" xfId="0">
      <alignment horizontal="right" vertical="center"/>
    </xf>
    <xf numFmtId="168" fontId="20" fillId="4" borderId="1" applyAlignment="1" pivotButton="0" quotePrefix="0" xfId="0">
      <alignment horizontal="center" vertical="center"/>
    </xf>
    <xf numFmtId="165" fontId="20" fillId="4" borderId="1" applyAlignment="1" pivotButton="0" quotePrefix="0" xfId="0">
      <alignment horizontal="center" vertical="center"/>
    </xf>
    <xf numFmtId="165" fontId="21" fillId="0" borderId="1" applyAlignment="1" pivotButton="0" quotePrefix="0" xfId="0">
      <alignment horizontal="center" vertical="center"/>
    </xf>
    <xf numFmtId="0" fontId="22" fillId="0" borderId="0" applyAlignment="1" pivotButton="0" quotePrefix="0" xfId="0">
      <alignment horizontal="right" vertical="center"/>
    </xf>
    <xf numFmtId="0" fontId="23" fillId="0" borderId="0" applyAlignment="1" pivotButton="0" quotePrefix="0" xfId="0">
      <alignment horizontal="right" vertical="center" wrapText="1"/>
    </xf>
    <xf numFmtId="0" fontId="6" fillId="6" borderId="0" applyAlignment="1" pivotButton="0" quotePrefix="0" xfId="0">
      <alignment horizontal="right" vertical="center" wrapText="1"/>
    </xf>
    <xf numFmtId="0" fontId="24" fillId="5" borderId="0" applyAlignment="1" pivotButton="0" quotePrefix="0" xfId="0">
      <alignment horizontal="right" vertical="center"/>
    </xf>
    <xf numFmtId="0" fontId="19" fillId="0" borderId="0" applyAlignment="1" pivotButton="0" quotePrefix="0" xfId="0">
      <alignment horizontal="right" vertical="center" wrapText="1"/>
    </xf>
    <xf numFmtId="0" fontId="25" fillId="0" borderId="0" applyAlignment="1" pivotButton="0" quotePrefix="0" xfId="0">
      <alignment horizontal="left" vertical="center"/>
    </xf>
    <xf numFmtId="0" fontId="34" fillId="8" borderId="0" applyAlignment="1" pivotButton="0" quotePrefix="0" xfId="0">
      <alignment horizontal="center" vertical="center"/>
    </xf>
    <xf numFmtId="0" fontId="35" fillId="9" borderId="0" applyAlignment="1" pivotButton="0" quotePrefix="0" xfId="0">
      <alignment horizontal="right" vertical="center" wrapText="1"/>
    </xf>
    <xf numFmtId="0" fontId="36" fillId="10" borderId="0" applyAlignment="1" pivotButton="0" quotePrefix="0" xfId="0">
      <alignment horizontal="right" vertical="center"/>
    </xf>
    <xf numFmtId="0" fontId="37" fillId="0" borderId="2" applyAlignment="1" pivotButton="0" quotePrefix="0" xfId="0">
      <alignment horizontal="right" vertical="center" wrapText="1"/>
    </xf>
    <xf numFmtId="0" fontId="37" fillId="0" borderId="2" applyAlignment="1" pivotButton="0" quotePrefix="0" xfId="0">
      <alignment horizontal="center" vertical="center" wrapText="1"/>
    </xf>
    <xf numFmtId="0" fontId="38" fillId="0" borderId="0" applyAlignment="1" pivotButton="0" quotePrefix="0" xfId="0">
      <alignment horizontal="right" vertical="center" wrapText="1"/>
    </xf>
    <xf numFmtId="0" fontId="39" fillId="0" borderId="2" applyAlignment="1" pivotButton="0" quotePrefix="0" xfId="0">
      <alignment horizontal="right" vertical="center" wrapText="1"/>
    </xf>
    <xf numFmtId="0" fontId="40" fillId="0" borderId="2" applyAlignment="1" pivotButton="0" quotePrefix="0" xfId="0">
      <alignment horizontal="right" vertical="center" wrapText="1"/>
    </xf>
    <xf numFmtId="0" fontId="41" fillId="11" borderId="2" applyAlignment="1" pivotButton="0" quotePrefix="0" xfId="0">
      <alignment horizontal="center" vertical="center" wrapText="1"/>
    </xf>
    <xf numFmtId="169" fontId="40" fillId="0" borderId="2" applyAlignment="1" pivotButton="0" quotePrefix="0" xfId="0">
      <alignment horizontal="center" vertical="center" wrapText="1"/>
    </xf>
    <xf numFmtId="0" fontId="40" fillId="0" borderId="2" applyAlignment="1" pivotButton="0" quotePrefix="0" xfId="0">
      <alignment horizontal="center" vertical="center" wrapText="1"/>
    </xf>
    <xf numFmtId="0" fontId="40" fillId="0" borderId="2" applyAlignment="1" pivotButton="0" quotePrefix="0" xfId="0">
      <alignment horizontal="right" vertical="center"/>
    </xf>
    <xf numFmtId="0" fontId="37" fillId="0" borderId="2" applyAlignment="1" pivotButton="0" quotePrefix="0" xfId="0">
      <alignment horizontal="center" vertical="center"/>
    </xf>
    <xf numFmtId="9" fontId="33" fillId="0" borderId="2" applyAlignment="1" pivotButton="0" quotePrefix="0" xfId="0">
      <alignment horizontal="center" vertical="center"/>
    </xf>
    <xf numFmtId="0" fontId="42" fillId="0" borderId="0" applyAlignment="1" pivotButton="0" quotePrefix="0" xfId="0">
      <alignment horizontal="right" vertical="center" wrapText="1"/>
    </xf>
    <xf numFmtId="0" fontId="43" fillId="9" borderId="2" applyAlignment="1" pivotButton="0" quotePrefix="0" xfId="0">
      <alignment horizontal="center" vertical="center" wrapText="1"/>
    </xf>
    <xf numFmtId="0" fontId="43" fillId="9" borderId="2" applyAlignment="1" pivotButton="0" quotePrefix="0" xfId="0">
      <alignment horizontal="righ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b val="1"/>
        <color rgb="FFFFFFFF"/>
      </font>
      <fill>
        <patternFill>
          <bgColor rgb="FFC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6100"/>
      <rgbColor rgb="FF333300"/>
      <rgbColor rgb="FF993300"/>
      <rgbColor rgb="FF993366"/>
      <rgbColor rgb="FF2E5C8A"/>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T72"/>
  <sheetViews>
    <sheetView showFormulas="0" showGridLines="1" showRowColHeaders="1" showZeros="1" rightToLeft="1" tabSelected="1"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390625" defaultRowHeight="15" zeroHeight="0" outlineLevelRow="0"/>
  <cols>
    <col width="11" customWidth="1" style="55" min="1" max="1"/>
    <col width="14" customWidth="1" style="55" min="2" max="3"/>
    <col width="13" customWidth="1" style="55" min="4" max="5"/>
    <col width="11" customWidth="1" style="55" min="6" max="7"/>
    <col width="10" customWidth="1" style="55" min="8" max="8"/>
    <col width="14" customWidth="1" style="55" min="9" max="9"/>
    <col width="11" customWidth="1" style="55" min="10" max="10"/>
    <col width="12" customWidth="1" style="55" min="11" max="11"/>
    <col width="11" customWidth="1" style="55" min="12" max="12"/>
    <col width="13" customWidth="1" style="55" min="13" max="13"/>
    <col width="14" customWidth="1" style="55" min="14" max="15"/>
    <col width="12" customWidth="1" style="55" min="16" max="17"/>
    <col width="11" customWidth="1" style="55" min="18" max="21"/>
    <col width="12" customWidth="1" style="55" min="22" max="22"/>
    <col width="16" customWidth="1" style="55" min="23" max="23"/>
    <col width="12" customWidth="1" style="55" min="28" max="28"/>
    <col width="16" customWidth="1" style="55" min="30" max="30"/>
    <col width="12" customWidth="1" style="55" min="31" max="32"/>
    <col width="12" customWidth="1" style="56" min="32" max="32"/>
    <col width="10" customWidth="1" style="55" min="33" max="33"/>
    <col width="16" customWidth="1" style="55" min="34" max="34"/>
    <col width="12" customWidth="1" style="55" min="35" max="35"/>
    <col width="22" customWidth="1" style="55" min="36" max="36"/>
    <col width="24" customWidth="1" style="55" min="37" max="37"/>
    <col width="16" customWidth="1" style="55" min="38" max="39"/>
    <col width="16" customWidth="1" style="56" min="39" max="39"/>
    <col width="14" customWidth="1" style="55" min="40" max="41"/>
    <col width="14" customWidth="1" style="56" min="41" max="41"/>
    <col width="12" customWidth="1" style="55" min="42" max="42"/>
    <col width="14" customWidth="1" style="55" min="43" max="43"/>
    <col width="15" customWidth="1" style="55" min="44" max="44"/>
    <col width="12" customWidth="1" style="55" min="45" max="45"/>
    <col width="60" customWidth="1" style="55" min="46" max="46"/>
  </cols>
  <sheetData>
    <row r="1" ht="27.75" customHeight="1" s="56">
      <c r="A1" s="57" t="inlineStr">
        <is>
          <t>لایه زمانی — چرخه‌های هرست، گن، فیبوناچی زمانی و الیوت</t>
        </is>
      </c>
    </row>
    <row r="2" ht="18" customHeight="1" s="56">
      <c r="A2" s="58" t="inlineStr">
        <is>
          <t>این لایه امروز با وزن صفر ساخته شده است: ساختار و فرمول‌ها زنده‌اند ولی روی سیگنال اثر ندارند. برای فعال‌سازی، W_TIME را در Settings بزرگ‌تر از صفر کنید.</t>
        </is>
      </c>
    </row>
    <row r="3" ht="30" customHeight="1" s="56">
      <c r="A3" s="59" t="inlineStr">
        <is>
          <t>نماد</t>
        </is>
      </c>
      <c r="B3" s="59" t="inlineStr">
        <is>
          <t>تاریخ کف چرخه اخیر</t>
        </is>
      </c>
      <c r="C3" s="59" t="inlineStr">
        <is>
          <t>تاریخ سقف چرخه اخیر</t>
        </is>
      </c>
      <c r="D3" s="59" t="inlineStr">
        <is>
          <t>طول چرخه غالب (روز معاملاتی)</t>
        </is>
      </c>
      <c r="E3" s="59" t="inlineStr">
        <is>
          <t>تاریخ آخرین داده</t>
        </is>
      </c>
      <c r="F3" s="59" t="inlineStr">
        <is>
          <t>روز تقویمی از کف</t>
        </is>
      </c>
      <c r="G3" s="59" t="inlineStr">
        <is>
          <t>روز معاملاتی از کف</t>
        </is>
      </c>
      <c r="H3" s="59" t="inlineStr">
        <is>
          <t>فاز چرخه</t>
        </is>
      </c>
      <c r="I3" s="59" t="inlineStr">
        <is>
          <t>کف بعدی (پیش‌بینی)</t>
        </is>
      </c>
      <c r="J3" s="59" t="inlineStr">
        <is>
          <t>روز تا کف بعدی</t>
        </is>
      </c>
      <c r="K3" s="59" t="inlineStr">
        <is>
          <t>نزدیک‌ترین عدد گن</t>
        </is>
      </c>
      <c r="L3" s="59" t="inlineStr">
        <is>
          <t>فاصله تا عدد گن</t>
        </is>
      </c>
      <c r="M3" s="59" t="inlineStr">
        <is>
          <t>طول سوئینگ قبلی (روز)</t>
        </is>
      </c>
      <c r="N3" s="59" t="inlineStr">
        <is>
          <t>پروجکشن زمانی فیبوناچی ۱٫۶۱۸</t>
        </is>
      </c>
      <c r="O3" s="59" t="inlineStr">
        <is>
          <t>تاریخ پروجکشن فیبوناچی</t>
        </is>
      </c>
      <c r="P3" s="59" t="inlineStr">
        <is>
          <t>برچسب موج الیوت</t>
        </is>
      </c>
      <c r="Q3" s="59" t="inlineStr">
        <is>
          <t>درجه موج</t>
        </is>
      </c>
      <c r="R3" s="59" t="inlineStr">
        <is>
          <t>اطمینان (۱ تا ۵)</t>
        </is>
      </c>
      <c r="S3" s="59" t="inlineStr">
        <is>
          <t>امتیاز فاز چرخه</t>
        </is>
      </c>
      <c r="T3" s="59" t="inlineStr">
        <is>
          <t>امتیاز پنجره گن</t>
        </is>
      </c>
      <c r="U3" s="59" t="inlineStr">
        <is>
          <t>امتیاز الیوت</t>
        </is>
      </c>
      <c r="V3" s="59" t="inlineStr">
        <is>
          <t>امتیاز زمان (Z)</t>
        </is>
      </c>
      <c r="W3" s="59" t="inlineStr">
        <is>
          <t>وضعیت لایه</t>
        </is>
      </c>
      <c r="AB3" s="60" t="inlineStr">
        <is>
          <t>اعداد کلیدی گن</t>
        </is>
      </c>
      <c r="AD3" s="61" t="inlineStr">
        <is>
          <t>دوره چرخه کشف‌شده (کندل)</t>
        </is>
      </c>
      <c r="AE3" s="61" t="inlineStr">
        <is>
          <t>چرخه معنادار؟</t>
        </is>
      </c>
      <c r="AF3" s="61" t="inlineStr">
        <is>
          <t>p تصحیح‌شده</t>
        </is>
      </c>
      <c r="AG3" s="61" t="inlineStr">
        <is>
          <t>تعداد تکرار</t>
        </is>
      </c>
      <c r="AH3" s="61" t="inlineStr">
        <is>
          <t>دوره مشاهده‌شده هرست</t>
        </is>
      </c>
      <c r="AI3" s="61" t="inlineStr">
        <is>
          <t>فاز چرخه (٪)</t>
        </is>
      </c>
      <c r="AJ3" s="61" t="inlineStr">
        <is>
          <t>وضعیت فاز</t>
        </is>
      </c>
      <c r="AK3" s="61" t="inlineStr">
        <is>
          <t>کیفیت چرخه</t>
        </is>
      </c>
      <c r="AL3" s="61" t="inlineStr">
        <is>
          <t>کف بعدی (پروجکشن)</t>
        </is>
      </c>
      <c r="AM3" s="61" t="inlineStr">
        <is>
          <t>سقف بعدی (پروجکشن)</t>
        </is>
      </c>
      <c r="AN3" s="61" t="inlineStr">
        <is>
          <t>وضعیت FLD</t>
        </is>
      </c>
      <c r="AO3" s="61" t="inlineStr">
        <is>
          <t>هدف FLD</t>
        </is>
      </c>
      <c r="AP3" s="61" t="inlineStr">
        <is>
          <t>پنجره گن فعال</t>
        </is>
      </c>
      <c r="AQ3" s="61" t="inlineStr">
        <is>
          <t>پنجره فیبوناچی فعال</t>
        </is>
      </c>
      <c r="AR3" s="61" t="inlineStr">
        <is>
          <t>امتیاز زمانی پایتون</t>
        </is>
      </c>
      <c r="AS3" s="61" t="inlineStr">
        <is>
          <t>اتکاپذیری</t>
        </is>
      </c>
      <c r="AT3" s="61" t="inlineStr">
        <is>
          <t>هشدارها</t>
        </is>
      </c>
    </row>
    <row r="4" ht="21.75" customHeight="1" s="56">
      <c r="A4" s="62" t="inlineStr">
        <is>
          <t>از Watchlist</t>
        </is>
      </c>
      <c r="B4" s="62" t="inlineStr">
        <is>
          <t>ورودی دستی</t>
        </is>
      </c>
      <c r="C4" s="62" t="inlineStr">
        <is>
          <t>ورودی دستی</t>
        </is>
      </c>
      <c r="D4" s="62" t="inlineStr">
        <is>
          <t>ورودی / CYC_3</t>
        </is>
      </c>
      <c r="E4" s="62" t="inlineStr">
        <is>
          <t>Daily_History</t>
        </is>
      </c>
      <c r="F4" s="62" t="inlineStr">
        <is>
          <t>last − low</t>
        </is>
      </c>
      <c r="G4" s="62" t="inlineStr">
        <is>
          <t>×۵÷۷</t>
        </is>
      </c>
      <c r="H4" s="62" t="inlineStr">
        <is>
          <t>سپری‌شده ÷ طول</t>
        </is>
      </c>
      <c r="I4" s="62" t="inlineStr">
        <is>
          <t>low + طول چرخه</t>
        </is>
      </c>
      <c r="J4" s="62" t="inlineStr">
        <is>
          <t>تقویمی</t>
        </is>
      </c>
      <c r="K4" s="62" t="inlineStr">
        <is>
          <t>۳۰/۴۵/۶۰/۹۰/۱۲۰/۱۴۴/۱۸۰/۲۷۰/۳۶۰</t>
        </is>
      </c>
      <c r="L4" s="62" t="inlineStr">
        <is>
          <t>روز</t>
        </is>
      </c>
      <c r="M4" s="62" t="inlineStr">
        <is>
          <t>ورودی دستی</t>
        </is>
      </c>
      <c r="N4" s="62" t="inlineStr">
        <is>
          <t>swing × ۱٫۶۱۸</t>
        </is>
      </c>
      <c r="O4" s="62" t="inlineStr">
        <is>
          <t>از سقف اخیر</t>
        </is>
      </c>
      <c r="P4" s="62" t="inlineStr">
        <is>
          <t>ورودی دستی</t>
        </is>
      </c>
      <c r="Q4" s="62" t="inlineStr">
        <is>
          <t>ورودی دستی</t>
        </is>
      </c>
      <c r="R4" s="62" t="inlineStr">
        <is>
          <t>ورودی دستی</t>
        </is>
      </c>
      <c r="S4" s="62" t="inlineStr">
        <is>
          <t>هرست</t>
        </is>
      </c>
      <c r="T4" s="62" t="inlineStr">
        <is>
          <t>±۲</t>
        </is>
      </c>
      <c r="U4" s="62" t="inlineStr">
        <is>
          <t>×اطمینان</t>
        </is>
      </c>
      <c r="V4" s="62" t="inlineStr">
        <is>
          <t>−۱۰ تا +۱۰</t>
        </is>
      </c>
      <c r="W4" s="62" t="inlineStr">
        <is>
          <t>W_TIME</t>
        </is>
      </c>
      <c r="AD4" s="63" t="inlineStr">
        <is>
          <t>محاسبه پایتون</t>
        </is>
      </c>
      <c r="AE4" s="63" t="inlineStr">
        <is>
          <t>محاسبه پایتون</t>
        </is>
      </c>
      <c r="AF4" s="63" t="inlineStr">
        <is>
          <t>محاسبه پایتون</t>
        </is>
      </c>
      <c r="AG4" s="63" t="inlineStr">
        <is>
          <t>محاسبه پایتون</t>
        </is>
      </c>
      <c r="AH4" s="63" t="inlineStr">
        <is>
          <t>محاسبه پایتون</t>
        </is>
      </c>
      <c r="AI4" s="63" t="inlineStr">
        <is>
          <t>محاسبه پایتون</t>
        </is>
      </c>
      <c r="AJ4" s="63" t="inlineStr">
        <is>
          <t>محاسبه پایتون</t>
        </is>
      </c>
      <c r="AK4" s="63" t="inlineStr">
        <is>
          <t>محاسبه پایتون</t>
        </is>
      </c>
      <c r="AL4" s="63" t="inlineStr">
        <is>
          <t>محاسبه پایتون</t>
        </is>
      </c>
      <c r="AM4" s="63" t="inlineStr">
        <is>
          <t>محاسبه پایتون</t>
        </is>
      </c>
      <c r="AN4" s="63" t="inlineStr">
        <is>
          <t>محاسبه پایتون</t>
        </is>
      </c>
      <c r="AO4" s="63" t="inlineStr">
        <is>
          <t>محاسبه پایتون</t>
        </is>
      </c>
      <c r="AP4" s="63" t="inlineStr">
        <is>
          <t>محاسبه پایتون</t>
        </is>
      </c>
      <c r="AQ4" s="63" t="inlineStr">
        <is>
          <t>محاسبه پایتون</t>
        </is>
      </c>
      <c r="AR4" s="63" t="inlineStr">
        <is>
          <t>محاسبه پایتون</t>
        </is>
      </c>
      <c r="AS4" s="63" t="inlineStr">
        <is>
          <t>محاسبه پایتون</t>
        </is>
      </c>
      <c r="AT4" s="63" t="inlineStr">
        <is>
          <t>محاسبه پایتون</t>
        </is>
      </c>
    </row>
    <row r="5" ht="18.75" customHeight="1" s="56">
      <c r="A5" s="64" t="inlineStr">
        <is>
          <t>فولاد</t>
        </is>
      </c>
      <c r="B5" s="65" t="n">
        <v>46172</v>
      </c>
      <c r="C5" s="65" t="n">
        <v>46239</v>
      </c>
      <c r="D5" s="66" t="n">
        <v>80</v>
      </c>
      <c r="E5" s="67" t="n"/>
      <c r="F5" s="68">
        <f>IF($A5="","",IFERROR(E5-B5,""))</f>
        <v/>
      </c>
      <c r="G5" s="68">
        <f>IF($A5="","",IFERROR(ROUND(F5*5/7,0),""))</f>
        <v/>
      </c>
      <c r="H5" s="69">
        <f>IF($A5="","",IFERROR(G5/D5,""))</f>
        <v/>
      </c>
      <c r="I5" s="70">
        <f>IF($A5="","",IFERROR(B5+ROUND(D5*7/5,0),""))</f>
        <v/>
      </c>
      <c r="J5" s="68">
        <f>IF($A5="","",IFERROR(I5-E5,""))</f>
        <v/>
      </c>
      <c r="K5" s="68">
        <f>IF($A5="","",IFERROR(IF(G5-INDEX($AB$5:$AB$13,MATCH(G5,$AB$5:$AB$13,1))&lt;=INDEX($AB$5:$AB$13,MIN(MATCH(G5,$AB$5:$AB$13,1)+1,9))-G5,INDEX($AB$5:$AB$13,MATCH(G5,$AB$5:$AB$13,1)),INDEX($AB$5:$AB$13,MIN(MATCH(G5,$AB$5:$AB$13,1)+1,9))),30))</f>
        <v/>
      </c>
      <c r="L5" s="68">
        <f>IF($A5="","",IFERROR(ABS(G5-K5),""))</f>
        <v/>
      </c>
      <c r="M5" s="66" t="n">
        <v>34</v>
      </c>
      <c r="N5" s="68">
        <f>IF($A5="","",IFERROR(ROUND(M5*1.618,0),""))</f>
        <v/>
      </c>
      <c r="O5" s="70">
        <f>IF($A5="","",IFERROR(C5+ROUND(N5*7/5,0),""))</f>
        <v/>
      </c>
      <c r="P5" s="71" t="n"/>
      <c r="Q5" s="71" t="n"/>
      <c r="R5" s="66" t="n"/>
      <c r="S5" s="72">
        <f>IF($A5="","",IF(OR(D5="",H5=""),0,IF(OR(H5&lt;=0.15,H5&gt;=0.9),4,IF(AND(H5&gt;=0.35,H5&lt;=0.6),-3,IF(H5&lt;0.35,2,-1)))))</f>
        <v/>
      </c>
      <c r="T5" s="72">
        <f>IF($A5="","",IF(OR(L5="",L5&gt;TIME_TOL),0,IF(S5&gt;0,2,-2)))</f>
        <v/>
      </c>
      <c r="U5" s="72">
        <f>IF($A5="","",IF(P5="",0,(IF(P5="3",4,IF(P5="1",2,IF(P5="2",1,IF(P5="4",1,IF(P5="5",-1,IF(P5="A",-3,IF(P5="B",-2,IF(P5="C",-4,0)))))))))*IF(R5="",0.6,R5/5)))</f>
        <v/>
      </c>
      <c r="V5" s="72">
        <f>IF($A5="","",MAX(-10,MIN(10,S5+T5+U5)))</f>
        <v/>
      </c>
      <c r="W5" s="73">
        <f>IF($A5="","",IF(W_TIME=0,"غیرفعال (وزن صفر)","فعال"))</f>
        <v/>
      </c>
      <c r="AB5" s="74" t="n">
        <v>30</v>
      </c>
      <c r="AD5" s="75" t="inlineStr">
        <is>
          <t>—</t>
        </is>
      </c>
      <c r="AE5" s="75" t="inlineStr">
        <is>
          <t>خیر</t>
        </is>
      </c>
      <c r="AF5" s="75" t="inlineStr">
        <is>
          <t>—</t>
        </is>
      </c>
      <c r="AG5" s="75" t="inlineStr">
        <is>
          <t>—</t>
        </is>
      </c>
      <c r="AH5" s="75" t="inlineStr">
        <is>
          <t>—</t>
        </is>
      </c>
      <c r="AI5" s="75" t="inlineStr">
        <is>
          <t>—</t>
        </is>
      </c>
      <c r="AJ5" s="75" t="inlineStr">
        <is>
          <t>نامشخص</t>
        </is>
      </c>
      <c r="AK5" s="75" t="inlineStr">
        <is>
          <t>کف قابل شناسایی نیست</t>
        </is>
      </c>
      <c r="AL5" s="75" t="inlineStr">
        <is>
          <t>—</t>
        </is>
      </c>
      <c r="AM5" s="75" t="inlineStr">
        <is>
          <t>—</t>
        </is>
      </c>
      <c r="AN5" s="75" t="inlineStr">
        <is>
          <t>بالای FLD</t>
        </is>
      </c>
      <c r="AO5" s="75" t="inlineStr">
        <is>
          <t>—</t>
        </is>
      </c>
      <c r="AP5" s="75" t="n">
        <v>1</v>
      </c>
      <c r="AQ5" s="75" t="n">
        <v>0</v>
      </c>
      <c r="AR5" s="75" t="n">
        <v>4.06</v>
      </c>
      <c r="AS5" s="75" t="inlineStr">
        <is>
          <t>پایین</t>
        </is>
      </c>
      <c r="AT5" s="76" t="inlineStr">
        <is>
          <t>هیچ چرخه‌ای از آزمون معناداری عبور نکرده است. دوره‌ای که FLD و فاز روی آن ساخته شده‌اند از مدل اسمی هرست آمده، نه از داده این نماد. امتیاز زیر را به‌عنوان یک فرضیه بخوانید، نه یافته.</t>
        </is>
      </c>
    </row>
    <row r="6" ht="27.75" customHeight="1" s="56">
      <c r="A6" s="64" t="inlineStr">
        <is>
          <t>فملي</t>
        </is>
      </c>
      <c r="B6" s="65" t="n">
        <v>46256</v>
      </c>
      <c r="C6" s="65" t="n">
        <v>46104</v>
      </c>
      <c r="D6" s="66" t="n">
        <v>80</v>
      </c>
      <c r="E6" s="67" t="n"/>
      <c r="F6" s="68">
        <f>IF($A6="","",IFERROR(E6-B6,""))</f>
        <v/>
      </c>
      <c r="G6" s="68">
        <f>IF($A6="","",IFERROR(ROUND(F6*5/7,0),""))</f>
        <v/>
      </c>
      <c r="H6" s="69">
        <f>IF($A6="","",IFERROR(G6/D6,""))</f>
        <v/>
      </c>
      <c r="I6" s="70">
        <f>IF($A6="","",IFERROR(B6+ROUND(D6*7/5,0),""))</f>
        <v/>
      </c>
      <c r="J6" s="68">
        <f>IF($A6="","",IFERROR(I6-E6,""))</f>
        <v/>
      </c>
      <c r="K6" s="68">
        <f>IF($A6="","",IFERROR(IF(G6-INDEX($AB$5:$AB$13,MATCH(G6,$AB$5:$AB$13,1))&lt;=INDEX($AB$5:$AB$13,MIN(MATCH(G6,$AB$5:$AB$13,1)+1,9))-G6,INDEX($AB$5:$AB$13,MATCH(G6,$AB$5:$AB$13,1)),INDEX($AB$5:$AB$13,MIN(MATCH(G6,$AB$5:$AB$13,1)+1,9))),30))</f>
        <v/>
      </c>
      <c r="L6" s="68">
        <f>IF($A6="","",IFERROR(ABS(G6-K6),""))</f>
        <v/>
      </c>
      <c r="M6" s="66" t="n">
        <v>34</v>
      </c>
      <c r="N6" s="68">
        <f>IF($A6="","",IFERROR(ROUND(M6*1.618,0),""))</f>
        <v/>
      </c>
      <c r="O6" s="70">
        <f>IF($A6="","",IFERROR(C6+ROUND(N6*7/5,0),""))</f>
        <v/>
      </c>
      <c r="P6" s="71" t="n"/>
      <c r="Q6" s="71" t="n"/>
      <c r="R6" s="66" t="n"/>
      <c r="S6" s="72">
        <f>IF($A6="","",IF(OR(D6="",H6=""),0,IF(OR(H6&lt;=0.15,H6&gt;=0.9),4,IF(AND(H6&gt;=0.35,H6&lt;=0.6),-3,IF(H6&lt;0.35,2,-1)))))</f>
        <v/>
      </c>
      <c r="T6" s="72">
        <f>IF($A6="","",IF(OR(L6="",L6&gt;TIME_TOL),0,IF(S6&gt;0,2,-2)))</f>
        <v/>
      </c>
      <c r="U6" s="72">
        <f>IF($A6="","",IF(P6="",0,(IF(P6="3",4,IF(P6="1",2,IF(P6="2",1,IF(P6="4",1,IF(P6="5",-1,IF(P6="A",-3,IF(P6="B",-2,IF(P6="C",-4,0)))))))))*IF(R6="",0.6,R6/5)))</f>
        <v/>
      </c>
      <c r="V6" s="72">
        <f>IF($A6="","",MAX(-10,MIN(10,S6+T6+U6)))</f>
        <v/>
      </c>
      <c r="W6" s="73">
        <f>IF($A6="","",IF(W_TIME=0,"غیرفعال (وزن صفر)","فعال"))</f>
        <v/>
      </c>
      <c r="AB6" s="74" t="n">
        <v>45</v>
      </c>
      <c r="AD6" s="75" t="inlineStr">
        <is>
          <t>—</t>
        </is>
      </c>
      <c r="AE6" s="75" t="inlineStr">
        <is>
          <t>خیر</t>
        </is>
      </c>
      <c r="AF6" s="75" t="inlineStr">
        <is>
          <t>—</t>
        </is>
      </c>
      <c r="AG6" s="75" t="inlineStr">
        <is>
          <t>—</t>
        </is>
      </c>
      <c r="AH6" s="75" t="n">
        <v>76</v>
      </c>
      <c r="AI6" s="75" t="n">
        <v>2.6</v>
      </c>
      <c r="AJ6" s="75" t="inlineStr">
        <is>
          <t>تازه از کف عبور کرده</t>
        </is>
      </c>
      <c r="AK6" s="75" t="inlineStr">
        <is>
          <t>فقط 2 کف — برای قضاوت کم است</t>
        </is>
      </c>
      <c r="AL6" s="77" t="n">
        <v>46370</v>
      </c>
      <c r="AM6" s="77" t="n">
        <v>46317</v>
      </c>
      <c r="AN6" s="75" t="inlineStr">
        <is>
          <t>زیر FLD</t>
        </is>
      </c>
      <c r="AO6" s="75" t="n">
        <v>5308</v>
      </c>
      <c r="AP6" s="75" t="n">
        <v>0</v>
      </c>
      <c r="AQ6" s="75" t="n">
        <v>0</v>
      </c>
      <c r="AR6" s="75" t="n">
        <v>1.77</v>
      </c>
      <c r="AS6" s="75" t="inlineStr">
        <is>
          <t>پایین</t>
        </is>
      </c>
      <c r="AT6" s="76" t="inlineStr">
        <is>
          <t>کف جاری کشف نشده: 78 کندل از آخرین کف تأییدشده گذشته که بیش از یک دوره کامل (76) است. احتمالاً یک کف داخل ناحیه کور 70 کندلی رخ داده. فاز زیر یک تخمین است، نه مشاهده. | هیچ چرخه‌ای از آزمون معناداری عبور نکرده است. دوره‌ای که FLD و فاز روی آن ساخته شده‌اند از مدل اسمی هرست آمده، نه از داده این نماد. امتیاز زیر را به‌عنوان یک فرضیه بخوانید، نه یافته.</t>
        </is>
      </c>
    </row>
    <row r="7" ht="18.75" customHeight="1" s="56">
      <c r="A7" s="64" t="inlineStr">
        <is>
          <t>شپنا</t>
        </is>
      </c>
      <c r="B7" s="65" t="n">
        <v>46256</v>
      </c>
      <c r="C7" s="65" t="n">
        <v>46141</v>
      </c>
      <c r="D7" s="66" t="n">
        <v>80</v>
      </c>
      <c r="E7" s="67" t="n"/>
      <c r="F7" s="68">
        <f>IF($A7="","",IFERROR(E7-B7,""))</f>
        <v/>
      </c>
      <c r="G7" s="68">
        <f>IF($A7="","",IFERROR(ROUND(F7*5/7,0),""))</f>
        <v/>
      </c>
      <c r="H7" s="69">
        <f>IF($A7="","",IFERROR(G7/D7,""))</f>
        <v/>
      </c>
      <c r="I7" s="70">
        <f>IF($A7="","",IFERROR(B7+ROUND(D7*7/5,0),""))</f>
        <v/>
      </c>
      <c r="J7" s="68">
        <f>IF($A7="","",IFERROR(I7-E7,""))</f>
        <v/>
      </c>
      <c r="K7" s="68">
        <f>IF($A7="","",IFERROR(IF(G7-INDEX($AB$5:$AB$13,MATCH(G7,$AB$5:$AB$13,1))&lt;=INDEX($AB$5:$AB$13,MIN(MATCH(G7,$AB$5:$AB$13,1)+1,9))-G7,INDEX($AB$5:$AB$13,MATCH(G7,$AB$5:$AB$13,1)),INDEX($AB$5:$AB$13,MIN(MATCH(G7,$AB$5:$AB$13,1)+1,9))),30))</f>
        <v/>
      </c>
      <c r="L7" s="68">
        <f>IF($A7="","",IFERROR(ABS(G7-K7),""))</f>
        <v/>
      </c>
      <c r="M7" s="66" t="n">
        <v>34</v>
      </c>
      <c r="N7" s="68">
        <f>IF($A7="","",IFERROR(ROUND(M7*1.618,0),""))</f>
        <v/>
      </c>
      <c r="O7" s="70">
        <f>IF($A7="","",IFERROR(C7+ROUND(N7*7/5,0),""))</f>
        <v/>
      </c>
      <c r="P7" s="71" t="n"/>
      <c r="Q7" s="71" t="n"/>
      <c r="R7" s="66" t="n"/>
      <c r="S7" s="72">
        <f>IF($A7="","",IF(OR(D7="",H7=""),0,IF(OR(H7&lt;=0.15,H7&gt;=0.9),4,IF(AND(H7&gt;=0.35,H7&lt;=0.6),-3,IF(H7&lt;0.35,2,-1)))))</f>
        <v/>
      </c>
      <c r="T7" s="72">
        <f>IF($A7="","",IF(OR(L7="",L7&gt;TIME_TOL),0,IF(S7&gt;0,2,-2)))</f>
        <v/>
      </c>
      <c r="U7" s="72">
        <f>IF($A7="","",IF(P7="",0,(IF(P7="3",4,IF(P7="1",2,IF(P7="2",1,IF(P7="4",1,IF(P7="5",-1,IF(P7="A",-3,IF(P7="B",-2,IF(P7="C",-4,0)))))))))*IF(R7="",0.6,R7/5)))</f>
        <v/>
      </c>
      <c r="V7" s="72">
        <f>IF($A7="","",MAX(-10,MIN(10,S7+T7+U7)))</f>
        <v/>
      </c>
      <c r="W7" s="73">
        <f>IF($A7="","",IF(W_TIME=0,"غیرفعال (وزن صفر)","فعال"))</f>
        <v/>
      </c>
      <c r="AB7" s="74" t="n">
        <v>60</v>
      </c>
      <c r="AD7" s="75" t="inlineStr">
        <is>
          <t>—</t>
        </is>
      </c>
      <c r="AE7" s="75" t="inlineStr">
        <is>
          <t>خیر</t>
        </is>
      </c>
      <c r="AF7" s="75" t="inlineStr">
        <is>
          <t>—</t>
        </is>
      </c>
      <c r="AG7" s="75" t="inlineStr">
        <is>
          <t>—</t>
        </is>
      </c>
      <c r="AH7" s="75" t="n">
        <v>107</v>
      </c>
      <c r="AI7" s="75" t="n">
        <v>72.90000000000001</v>
      </c>
      <c r="AJ7" s="75" t="inlineStr">
        <is>
          <t>نزول چرخه</t>
        </is>
      </c>
      <c r="AK7" s="75" t="inlineStr">
        <is>
          <t>فقط 2 کف — برای قضاوت کم است</t>
        </is>
      </c>
      <c r="AL7" s="77" t="n">
        <v>46307</v>
      </c>
      <c r="AM7" s="77" t="n">
        <v>46382</v>
      </c>
      <c r="AN7" s="75" t="inlineStr">
        <is>
          <t>زیر FLD</t>
        </is>
      </c>
      <c r="AO7" s="75" t="n">
        <v>3349</v>
      </c>
      <c r="AP7" s="75" t="n">
        <v>0</v>
      </c>
      <c r="AQ7" s="75" t="n">
        <v>0</v>
      </c>
      <c r="AR7" s="75" t="n">
        <v>-3.77</v>
      </c>
      <c r="AS7" s="75" t="inlineStr">
        <is>
          <t>پایین</t>
        </is>
      </c>
      <c r="AT7" s="76" t="inlineStr">
        <is>
          <t>هیچ چرخه‌ای از آزمون معناداری عبور نکرده است. دوره‌ای که FLD و فاز روی آن ساخته شده‌اند از مدل اسمی هرست آمده، نه از داده این نماد. امتیاز زیر را به‌عنوان یک فرضیه بخوانید، نه یافته.</t>
        </is>
      </c>
    </row>
    <row r="8" ht="18.75" customHeight="1" s="56">
      <c r="A8" s="64" t="inlineStr">
        <is>
          <t>خودرو</t>
        </is>
      </c>
      <c r="B8" s="65" t="n">
        <v>46175</v>
      </c>
      <c r="C8" s="65" t="n">
        <v>46130</v>
      </c>
      <c r="D8" s="66" t="n">
        <v>80</v>
      </c>
      <c r="E8" s="67" t="n"/>
      <c r="F8" s="68">
        <f>IF($A8="","",IFERROR(E8-B8,""))</f>
        <v/>
      </c>
      <c r="G8" s="68">
        <f>IF($A8="","",IFERROR(ROUND(F8*5/7,0),""))</f>
        <v/>
      </c>
      <c r="H8" s="69">
        <f>IF($A8="","",IFERROR(G8/D8,""))</f>
        <v/>
      </c>
      <c r="I8" s="70">
        <f>IF($A8="","",IFERROR(B8+ROUND(D8*7/5,0),""))</f>
        <v/>
      </c>
      <c r="J8" s="68">
        <f>IF($A8="","",IFERROR(I8-E8,""))</f>
        <v/>
      </c>
      <c r="K8" s="68">
        <f>IF($A8="","",IFERROR(IF(G8-INDEX($AB$5:$AB$13,MATCH(G8,$AB$5:$AB$13,1))&lt;=INDEX($AB$5:$AB$13,MIN(MATCH(G8,$AB$5:$AB$13,1)+1,9))-G8,INDEX($AB$5:$AB$13,MATCH(G8,$AB$5:$AB$13,1)),INDEX($AB$5:$AB$13,MIN(MATCH(G8,$AB$5:$AB$13,1)+1,9))),30))</f>
        <v/>
      </c>
      <c r="L8" s="68">
        <f>IF($A8="","",IFERROR(ABS(G8-K8),""))</f>
        <v/>
      </c>
      <c r="M8" s="66" t="n">
        <v>34</v>
      </c>
      <c r="N8" s="68">
        <f>IF($A8="","",IFERROR(ROUND(M8*1.618,0),""))</f>
        <v/>
      </c>
      <c r="O8" s="70">
        <f>IF($A8="","",IFERROR(C8+ROUND(N8*7/5,0),""))</f>
        <v/>
      </c>
      <c r="P8" s="71" t="n"/>
      <c r="Q8" s="71" t="n"/>
      <c r="R8" s="66" t="n"/>
      <c r="S8" s="72">
        <f>IF($A8="","",IF(OR(D8="",H8=""),0,IF(OR(H8&lt;=0.15,H8&gt;=0.9),4,IF(AND(H8&gt;=0.35,H8&lt;=0.6),-3,IF(H8&lt;0.35,2,-1)))))</f>
        <v/>
      </c>
      <c r="T8" s="72">
        <f>IF($A8="","",IF(OR(L8="",L8&gt;TIME_TOL),0,IF(S8&gt;0,2,-2)))</f>
        <v/>
      </c>
      <c r="U8" s="72">
        <f>IF($A8="","",IF(P8="",0,(IF(P8="3",4,IF(P8="1",2,IF(P8="2",1,IF(P8="4",1,IF(P8="5",-1,IF(P8="A",-3,IF(P8="B",-2,IF(P8="C",-4,0)))))))))*IF(R8="",0.6,R8/5)))</f>
        <v/>
      </c>
      <c r="V8" s="72">
        <f>IF($A8="","",MAX(-10,MIN(10,S8+T8+U8)))</f>
        <v/>
      </c>
      <c r="W8" s="73">
        <f>IF($A8="","",IF(W_TIME=0,"غیرفعال (وزن صفر)","فعال"))</f>
        <v/>
      </c>
      <c r="AB8" s="74" t="n">
        <v>90</v>
      </c>
      <c r="AD8" s="75" t="inlineStr">
        <is>
          <t>—</t>
        </is>
      </c>
      <c r="AE8" s="75" t="inlineStr">
        <is>
          <t>خیر</t>
        </is>
      </c>
      <c r="AF8" s="75" t="inlineStr">
        <is>
          <t>—</t>
        </is>
      </c>
      <c r="AG8" s="75" t="inlineStr">
        <is>
          <t>—</t>
        </is>
      </c>
      <c r="AH8" s="75" t="inlineStr">
        <is>
          <t>—</t>
        </is>
      </c>
      <c r="AI8" s="75" t="inlineStr">
        <is>
          <t>—</t>
        </is>
      </c>
      <c r="AJ8" s="75" t="inlineStr">
        <is>
          <t>نامشخص</t>
        </is>
      </c>
      <c r="AK8" s="75" t="inlineStr">
        <is>
          <t>کف قابل شناسایی نیست</t>
        </is>
      </c>
      <c r="AL8" s="75" t="inlineStr">
        <is>
          <t>—</t>
        </is>
      </c>
      <c r="AM8" s="75" t="inlineStr">
        <is>
          <t>—</t>
        </is>
      </c>
      <c r="AN8" s="75" t="inlineStr">
        <is>
          <t>بالای FLD</t>
        </is>
      </c>
      <c r="AO8" s="75" t="n">
        <v>3809</v>
      </c>
      <c r="AP8" s="75" t="n">
        <v>0</v>
      </c>
      <c r="AQ8" s="75" t="n">
        <v>0</v>
      </c>
      <c r="AR8" s="75" t="n">
        <v>5</v>
      </c>
      <c r="AS8" s="75" t="inlineStr">
        <is>
          <t>پایین</t>
        </is>
      </c>
      <c r="AT8" s="76" t="inlineStr">
        <is>
          <t>هیچ چرخه‌ای از آزمون معناداری عبور نکرده است. دوره‌ای که FLD و فاز روی آن ساخته شده‌اند از مدل اسمی هرست آمده، نه از داده این نماد. امتیاز زیر را به‌عنوان یک فرضیه بخوانید، نه یافته.</t>
        </is>
      </c>
    </row>
    <row r="9" ht="27.75" customHeight="1" s="56">
      <c r="A9" s="64" t="inlineStr">
        <is>
          <t>وبملت</t>
        </is>
      </c>
      <c r="B9" s="65" t="n">
        <v>46258</v>
      </c>
      <c r="C9" s="65" t="n">
        <v>46230</v>
      </c>
      <c r="D9" s="66" t="n">
        <v>80</v>
      </c>
      <c r="E9" s="67" t="n"/>
      <c r="F9" s="68">
        <f>IF($A9="","",IFERROR(E9-B9,""))</f>
        <v/>
      </c>
      <c r="G9" s="68">
        <f>IF($A9="","",IFERROR(ROUND(F9*5/7,0),""))</f>
        <v/>
      </c>
      <c r="H9" s="69">
        <f>IF($A9="","",IFERROR(G9/D9,""))</f>
        <v/>
      </c>
      <c r="I9" s="70">
        <f>IF($A9="","",IFERROR(B9+ROUND(D9*7/5,0),""))</f>
        <v/>
      </c>
      <c r="J9" s="68">
        <f>IF($A9="","",IFERROR(I9-E9,""))</f>
        <v/>
      </c>
      <c r="K9" s="68">
        <f>IF($A9="","",IFERROR(IF(G9-INDEX($AB$5:$AB$13,MATCH(G9,$AB$5:$AB$13,1))&lt;=INDEX($AB$5:$AB$13,MIN(MATCH(G9,$AB$5:$AB$13,1)+1,9))-G9,INDEX($AB$5:$AB$13,MATCH(G9,$AB$5:$AB$13,1)),INDEX($AB$5:$AB$13,MIN(MATCH(G9,$AB$5:$AB$13,1)+1,9))),30))</f>
        <v/>
      </c>
      <c r="L9" s="68">
        <f>IF($A9="","",IFERROR(ABS(G9-K9),""))</f>
        <v/>
      </c>
      <c r="M9" s="66" t="n">
        <v>34</v>
      </c>
      <c r="N9" s="68">
        <f>IF($A9="","",IFERROR(ROUND(M9*1.618,0),""))</f>
        <v/>
      </c>
      <c r="O9" s="70">
        <f>IF($A9="","",IFERROR(C9+ROUND(N9*7/5,0),""))</f>
        <v/>
      </c>
      <c r="P9" s="71" t="n"/>
      <c r="Q9" s="71" t="n"/>
      <c r="R9" s="66" t="n"/>
      <c r="S9" s="72">
        <f>IF($A9="","",IF(OR(D9="",H9=""),0,IF(OR(H9&lt;=0.15,H9&gt;=0.9),4,IF(AND(H9&gt;=0.35,H9&lt;=0.6),-3,IF(H9&lt;0.35,2,-1)))))</f>
        <v/>
      </c>
      <c r="T9" s="72">
        <f>IF($A9="","",IF(OR(L9="",L9&gt;TIME_TOL),0,IF(S9&gt;0,2,-2)))</f>
        <v/>
      </c>
      <c r="U9" s="72">
        <f>IF($A9="","",IF(P9="",0,(IF(P9="3",4,IF(P9="1",2,IF(P9="2",1,IF(P9="4",1,IF(P9="5",-1,IF(P9="A",-3,IF(P9="B",-2,IF(P9="C",-4,0)))))))))*IF(R9="",0.6,R9/5)))</f>
        <v/>
      </c>
      <c r="V9" s="72">
        <f>IF($A9="","",MAX(-10,MIN(10,S9+T9+U9)))</f>
        <v/>
      </c>
      <c r="W9" s="73">
        <f>IF($A9="","",IF(W_TIME=0,"غیرفعال (وزن صفر)","فعال"))</f>
        <v/>
      </c>
      <c r="AB9" s="74" t="n">
        <v>120</v>
      </c>
      <c r="AD9" s="75" t="inlineStr">
        <is>
          <t>—</t>
        </is>
      </c>
      <c r="AE9" s="75" t="inlineStr">
        <is>
          <t>خیر</t>
        </is>
      </c>
      <c r="AF9" s="75" t="inlineStr">
        <is>
          <t>—</t>
        </is>
      </c>
      <c r="AG9" s="75" t="inlineStr">
        <is>
          <t>—</t>
        </is>
      </c>
      <c r="AH9" s="75" t="n">
        <v>61</v>
      </c>
      <c r="AI9" s="75" t="n">
        <v>52.5</v>
      </c>
      <c r="AJ9" s="75" t="inlineStr">
        <is>
          <t>نزدیک سقف چرخه</t>
        </is>
      </c>
      <c r="AK9" s="75" t="inlineStr">
        <is>
          <t>فقط 2 کف — برای قضاوت کم است</t>
        </is>
      </c>
      <c r="AL9" s="77" t="n">
        <v>46307</v>
      </c>
      <c r="AM9" s="77" t="n">
        <v>46350</v>
      </c>
      <c r="AN9" s="75" t="inlineStr">
        <is>
          <t>زیر FLD</t>
        </is>
      </c>
      <c r="AO9" s="75" t="n">
        <v>4376</v>
      </c>
      <c r="AP9" s="75" t="n">
        <v>0</v>
      </c>
      <c r="AQ9" s="75" t="n">
        <v>0</v>
      </c>
      <c r="AR9" s="75" t="n">
        <v>-4.38</v>
      </c>
      <c r="AS9" s="75" t="inlineStr">
        <is>
          <t>پایین</t>
        </is>
      </c>
      <c r="AT9" s="76" t="inlineStr">
        <is>
          <t>کف جاری کشف نشده: 93 کندل از آخرین کف تأییدشده گذشته که بیش از یک دوره کامل (61) است. احتمالاً یک کف داخل ناحیه کور 70 کندلی رخ داده. فاز زیر یک تخمین است، نه مشاهده. | هیچ چرخه‌ای از آزمون معناداری عبور نکرده است. دوره‌ای که FLD و فاز روی آن ساخته شده‌اند از مدل اسمی هرست آمده، نه از داده این نماد. امتیاز زیر را به‌عنوان یک فرضیه بخوانید، نه یافته.</t>
        </is>
      </c>
    </row>
    <row r="10" ht="18.75" customHeight="1" s="56">
      <c r="A10" s="64" t="inlineStr">
        <is>
          <t>شستا</t>
        </is>
      </c>
      <c r="B10" s="65" t="n">
        <v>46195</v>
      </c>
      <c r="C10" s="65" t="n">
        <v>46253</v>
      </c>
      <c r="D10" s="66" t="n">
        <v>80</v>
      </c>
      <c r="E10" s="67" t="n"/>
      <c r="F10" s="68">
        <f>IF($A10="","",IFERROR(E10-B10,""))</f>
        <v/>
      </c>
      <c r="G10" s="68">
        <f>IF($A10="","",IFERROR(ROUND(F10*5/7,0),""))</f>
        <v/>
      </c>
      <c r="H10" s="69">
        <f>IF($A10="","",IFERROR(G10/D10,""))</f>
        <v/>
      </c>
      <c r="I10" s="70">
        <f>IF($A10="","",IFERROR(B10+ROUND(D10*7/5,0),""))</f>
        <v/>
      </c>
      <c r="J10" s="68">
        <f>IF($A10="","",IFERROR(I10-E10,""))</f>
        <v/>
      </c>
      <c r="K10" s="68">
        <f>IF($A10="","",IFERROR(IF(G10-INDEX($AB$5:$AB$13,MATCH(G10,$AB$5:$AB$13,1))&lt;=INDEX($AB$5:$AB$13,MIN(MATCH(G10,$AB$5:$AB$13,1)+1,9))-G10,INDEX($AB$5:$AB$13,MATCH(G10,$AB$5:$AB$13,1)),INDEX($AB$5:$AB$13,MIN(MATCH(G10,$AB$5:$AB$13,1)+1,9))),30))</f>
        <v/>
      </c>
      <c r="L10" s="68">
        <f>IF($A10="","",IFERROR(ABS(G10-K10),""))</f>
        <v/>
      </c>
      <c r="M10" s="66" t="n">
        <v>34</v>
      </c>
      <c r="N10" s="68">
        <f>IF($A10="","",IFERROR(ROUND(M10*1.618,0),""))</f>
        <v/>
      </c>
      <c r="O10" s="70">
        <f>IF($A10="","",IFERROR(C10+ROUND(N10*7/5,0),""))</f>
        <v/>
      </c>
      <c r="P10" s="71" t="n"/>
      <c r="Q10" s="71" t="n"/>
      <c r="R10" s="66" t="n"/>
      <c r="S10" s="72">
        <f>IF($A10="","",IF(OR(D10="",H10=""),0,IF(OR(H10&lt;=0.15,H10&gt;=0.9),4,IF(AND(H10&gt;=0.35,H10&lt;=0.6),-3,IF(H10&lt;0.35,2,-1)))))</f>
        <v/>
      </c>
      <c r="T10" s="72">
        <f>IF($A10="","",IF(OR(L10="",L10&gt;TIME_TOL),0,IF(S10&gt;0,2,-2)))</f>
        <v/>
      </c>
      <c r="U10" s="72">
        <f>IF($A10="","",IF(P10="",0,(IF(P10="3",4,IF(P10="1",2,IF(P10="2",1,IF(P10="4",1,IF(P10="5",-1,IF(P10="A",-3,IF(P10="B",-2,IF(P10="C",-4,0)))))))))*IF(R10="",0.6,R10/5)))</f>
        <v/>
      </c>
      <c r="V10" s="72">
        <f>IF($A10="","",MAX(-10,MIN(10,S10+T10+U10)))</f>
        <v/>
      </c>
      <c r="W10" s="73">
        <f>IF($A10="","",IF(W_TIME=0,"غیرفعال (وزن صفر)","فعال"))</f>
        <v/>
      </c>
      <c r="AB10" s="74" t="n">
        <v>144</v>
      </c>
      <c r="AD10" s="75" t="inlineStr">
        <is>
          <t>—</t>
        </is>
      </c>
      <c r="AE10" s="75" t="inlineStr">
        <is>
          <t>خیر</t>
        </is>
      </c>
      <c r="AF10" s="75" t="inlineStr">
        <is>
          <t>—</t>
        </is>
      </c>
      <c r="AG10" s="75" t="inlineStr">
        <is>
          <t>—</t>
        </is>
      </c>
      <c r="AH10" s="75" t="inlineStr">
        <is>
          <t>—</t>
        </is>
      </c>
      <c r="AI10" s="75" t="inlineStr">
        <is>
          <t>—</t>
        </is>
      </c>
      <c r="AJ10" s="75" t="inlineStr">
        <is>
          <t>نامشخص</t>
        </is>
      </c>
      <c r="AK10" s="75" t="inlineStr">
        <is>
          <t>کف قابل شناسایی نیست</t>
        </is>
      </c>
      <c r="AL10" s="75" t="inlineStr">
        <is>
          <t>—</t>
        </is>
      </c>
      <c r="AM10" s="75" t="inlineStr">
        <is>
          <t>—</t>
        </is>
      </c>
      <c r="AN10" s="75" t="inlineStr">
        <is>
          <t>بالای FLD</t>
        </is>
      </c>
      <c r="AO10" s="75" t="inlineStr">
        <is>
          <t>—</t>
        </is>
      </c>
      <c r="AP10" s="75" t="n">
        <v>1</v>
      </c>
      <c r="AQ10" s="75" t="n">
        <v>0</v>
      </c>
      <c r="AR10" s="75" t="n">
        <v>4.06</v>
      </c>
      <c r="AS10" s="75" t="inlineStr">
        <is>
          <t>پایین</t>
        </is>
      </c>
      <c r="AT10" s="76" t="inlineStr">
        <is>
          <t>هیچ چرخه‌ای از آزمون معناداری عبور نکرده است. دوره‌ای که FLD و فاز روی آن ساخته شده‌اند از مدل اسمی هرست آمده، نه از داده این نماد. امتیاز زیر را به‌عنوان یک فرضیه بخوانید، نه یافته.</t>
        </is>
      </c>
    </row>
    <row r="11" ht="18.75" customHeight="1" s="56">
      <c r="A11" s="64" t="inlineStr">
        <is>
          <t>اخابر</t>
        </is>
      </c>
      <c r="B11" s="65" t="n">
        <v>46237</v>
      </c>
      <c r="C11" s="65" t="n">
        <v>46102</v>
      </c>
      <c r="D11" s="66" t="n">
        <v>80</v>
      </c>
      <c r="E11" s="67" t="n"/>
      <c r="F11" s="68">
        <f>IF($A11="","",IFERROR(E11-B11,""))</f>
        <v/>
      </c>
      <c r="G11" s="68">
        <f>IF($A11="","",IFERROR(ROUND(F11*5/7,0),""))</f>
        <v/>
      </c>
      <c r="H11" s="69">
        <f>IF($A11="","",IFERROR(G11/D11,""))</f>
        <v/>
      </c>
      <c r="I11" s="70">
        <f>IF($A11="","",IFERROR(B11+ROUND(D11*7/5,0),""))</f>
        <v/>
      </c>
      <c r="J11" s="68">
        <f>IF($A11="","",IFERROR(I11-E11,""))</f>
        <v/>
      </c>
      <c r="K11" s="68">
        <f>IF($A11="","",IFERROR(IF(G11-INDEX($AB$5:$AB$13,MATCH(G11,$AB$5:$AB$13,1))&lt;=INDEX($AB$5:$AB$13,MIN(MATCH(G11,$AB$5:$AB$13,1)+1,9))-G11,INDEX($AB$5:$AB$13,MATCH(G11,$AB$5:$AB$13,1)),INDEX($AB$5:$AB$13,MIN(MATCH(G11,$AB$5:$AB$13,1)+1,9))),30))</f>
        <v/>
      </c>
      <c r="L11" s="68">
        <f>IF($A11="","",IFERROR(ABS(G11-K11),""))</f>
        <v/>
      </c>
      <c r="M11" s="66" t="n">
        <v>34</v>
      </c>
      <c r="N11" s="68">
        <f>IF($A11="","",IFERROR(ROUND(M11*1.618,0),""))</f>
        <v/>
      </c>
      <c r="O11" s="70">
        <f>IF($A11="","",IFERROR(C11+ROUND(N11*7/5,0),""))</f>
        <v/>
      </c>
      <c r="P11" s="71" t="n"/>
      <c r="Q11" s="71" t="n"/>
      <c r="R11" s="66" t="n"/>
      <c r="S11" s="72">
        <f>IF($A11="","",IF(OR(D11="",H11=""),0,IF(OR(H11&lt;=0.15,H11&gt;=0.9),4,IF(AND(H11&gt;=0.35,H11&lt;=0.6),-3,IF(H11&lt;0.35,2,-1)))))</f>
        <v/>
      </c>
      <c r="T11" s="72">
        <f>IF($A11="","",IF(OR(L11="",L11&gt;TIME_TOL),0,IF(S11&gt;0,2,-2)))</f>
        <v/>
      </c>
      <c r="U11" s="72">
        <f>IF($A11="","",IF(P11="",0,(IF(P11="3",4,IF(P11="1",2,IF(P11="2",1,IF(P11="4",1,IF(P11="5",-1,IF(P11="A",-3,IF(P11="B",-2,IF(P11="C",-4,0)))))))))*IF(R11="",0.6,R11/5)))</f>
        <v/>
      </c>
      <c r="V11" s="72">
        <f>IF($A11="","",MAX(-10,MIN(10,S11+T11+U11)))</f>
        <v/>
      </c>
      <c r="W11" s="73">
        <f>IF($A11="","",IF(W_TIME=0,"غیرفعال (وزن صفر)","فعال"))</f>
        <v/>
      </c>
      <c r="AB11" s="74" t="n">
        <v>180</v>
      </c>
      <c r="AD11" s="75" t="inlineStr">
        <is>
          <t>—</t>
        </is>
      </c>
      <c r="AE11" s="75" t="inlineStr">
        <is>
          <t>خیر</t>
        </is>
      </c>
      <c r="AF11" s="75" t="inlineStr">
        <is>
          <t>—</t>
        </is>
      </c>
      <c r="AG11" s="75" t="inlineStr">
        <is>
          <t>—</t>
        </is>
      </c>
      <c r="AH11" s="75" t="n">
        <v>109</v>
      </c>
      <c r="AI11" s="75" t="n">
        <v>71.59999999999999</v>
      </c>
      <c r="AJ11" s="75" t="inlineStr">
        <is>
          <t>نزول چرخه</t>
        </is>
      </c>
      <c r="AK11" s="75" t="inlineStr">
        <is>
          <t>فقط 2 کف — برای قضاوت کم است</t>
        </is>
      </c>
      <c r="AL11" s="77" t="n">
        <v>46310</v>
      </c>
      <c r="AM11" s="77" t="n">
        <v>46386</v>
      </c>
      <c r="AN11" s="75" t="inlineStr">
        <is>
          <t>بالای FLD</t>
        </is>
      </c>
      <c r="AO11" s="75" t="n">
        <v>1381</v>
      </c>
      <c r="AP11" s="75" t="n">
        <v>1</v>
      </c>
      <c r="AQ11" s="75" t="n">
        <v>0</v>
      </c>
      <c r="AR11" s="75" t="n">
        <v>0.53</v>
      </c>
      <c r="AS11" s="75" t="inlineStr">
        <is>
          <t>پایین</t>
        </is>
      </c>
      <c r="AT11" s="76" t="inlineStr">
        <is>
          <t>هیچ چرخه‌ای از آزمون معناداری عبور نکرده است. دوره‌ای که FLD و فاز روی آن ساخته شده‌اند از مدل اسمی هرست آمده، نه از داده این نماد. امتیاز زیر را به‌عنوان یک فرضیه بخوانید، نه یافته.</t>
        </is>
      </c>
    </row>
    <row r="12" ht="18.75" customHeight="1" s="56">
      <c r="A12" s="64" t="inlineStr">
        <is>
          <t>كگل</t>
        </is>
      </c>
      <c r="B12" s="65" t="n">
        <v>46267</v>
      </c>
      <c r="C12" s="65" t="n">
        <v>46180</v>
      </c>
      <c r="D12" s="66" t="n">
        <v>80</v>
      </c>
      <c r="E12" s="67" t="n"/>
      <c r="F12" s="68">
        <f>IF($A12="","",IFERROR(E12-B12,""))</f>
        <v/>
      </c>
      <c r="G12" s="68">
        <f>IF($A12="","",IFERROR(ROUND(F12*5/7,0),""))</f>
        <v/>
      </c>
      <c r="H12" s="69">
        <f>IF($A12="","",IFERROR(G12/D12,""))</f>
        <v/>
      </c>
      <c r="I12" s="70">
        <f>IF($A12="","",IFERROR(B12+ROUND(D12*7/5,0),""))</f>
        <v/>
      </c>
      <c r="J12" s="68">
        <f>IF($A12="","",IFERROR(I12-E12,""))</f>
        <v/>
      </c>
      <c r="K12" s="68">
        <f>IF($A12="","",IFERROR(IF(G12-INDEX($AB$5:$AB$13,MATCH(G12,$AB$5:$AB$13,1))&lt;=INDEX($AB$5:$AB$13,MIN(MATCH(G12,$AB$5:$AB$13,1)+1,9))-G12,INDEX($AB$5:$AB$13,MATCH(G12,$AB$5:$AB$13,1)),INDEX($AB$5:$AB$13,MIN(MATCH(G12,$AB$5:$AB$13,1)+1,9))),30))</f>
        <v/>
      </c>
      <c r="L12" s="68">
        <f>IF($A12="","",IFERROR(ABS(G12-K12),""))</f>
        <v/>
      </c>
      <c r="M12" s="66" t="n">
        <v>34</v>
      </c>
      <c r="N12" s="68">
        <f>IF($A12="","",IFERROR(ROUND(M12*1.618,0),""))</f>
        <v/>
      </c>
      <c r="O12" s="70">
        <f>IF($A12="","",IFERROR(C12+ROUND(N12*7/5,0),""))</f>
        <v/>
      </c>
      <c r="P12" s="71" t="n"/>
      <c r="Q12" s="71" t="n"/>
      <c r="R12" s="66" t="n"/>
      <c r="S12" s="72">
        <f>IF($A12="","",IF(OR(D12="",H12=""),0,IF(OR(H12&lt;=0.15,H12&gt;=0.9),4,IF(AND(H12&gt;=0.35,H12&lt;=0.6),-3,IF(H12&lt;0.35,2,-1)))))</f>
        <v/>
      </c>
      <c r="T12" s="72">
        <f>IF($A12="","",IF(OR(L12="",L12&gt;TIME_TOL),0,IF(S12&gt;0,2,-2)))</f>
        <v/>
      </c>
      <c r="U12" s="72">
        <f>IF($A12="","",IF(P12="",0,(IF(P12="3",4,IF(P12="1",2,IF(P12="2",1,IF(P12="4",1,IF(P12="5",-1,IF(P12="A",-3,IF(P12="B",-2,IF(P12="C",-4,0)))))))))*IF(R12="",0.6,R12/5)))</f>
        <v/>
      </c>
      <c r="V12" s="72">
        <f>IF($A12="","",MAX(-10,MIN(10,S12+T12+U12)))</f>
        <v/>
      </c>
      <c r="W12" s="73">
        <f>IF($A12="","",IF(W_TIME=0,"غیرفعال (وزن صفر)","فعال"))</f>
        <v/>
      </c>
      <c r="AB12" s="74" t="n">
        <v>270</v>
      </c>
      <c r="AD12" s="75" t="inlineStr">
        <is>
          <t>—</t>
        </is>
      </c>
      <c r="AE12" s="75" t="inlineStr">
        <is>
          <t>خیر</t>
        </is>
      </c>
      <c r="AF12" s="75" t="inlineStr">
        <is>
          <t>—</t>
        </is>
      </c>
      <c r="AG12" s="75" t="inlineStr">
        <is>
          <t>—</t>
        </is>
      </c>
      <c r="AH12" s="75" t="inlineStr">
        <is>
          <t>—</t>
        </is>
      </c>
      <c r="AI12" s="75" t="inlineStr">
        <is>
          <t>—</t>
        </is>
      </c>
      <c r="AJ12" s="75" t="inlineStr">
        <is>
          <t>نامشخص</t>
        </is>
      </c>
      <c r="AK12" s="75" t="inlineStr">
        <is>
          <t>کف قابل شناسایی نیست</t>
        </is>
      </c>
      <c r="AL12" s="75" t="inlineStr">
        <is>
          <t>—</t>
        </is>
      </c>
      <c r="AM12" s="75" t="inlineStr">
        <is>
          <t>—</t>
        </is>
      </c>
      <c r="AN12" s="75" t="inlineStr">
        <is>
          <t>زیر FLD</t>
        </is>
      </c>
      <c r="AO12" s="75" t="inlineStr">
        <is>
          <t>—</t>
        </is>
      </c>
      <c r="AP12" s="75" t="n">
        <v>0</v>
      </c>
      <c r="AQ12" s="75" t="n">
        <v>0</v>
      </c>
      <c r="AR12" s="75" t="n">
        <v>-5</v>
      </c>
      <c r="AS12" s="75" t="inlineStr">
        <is>
          <t>پایین</t>
        </is>
      </c>
      <c r="AT12" s="76" t="inlineStr">
        <is>
          <t>هیچ چرخه‌ای از آزمون معناداری عبور نکرده است. دوره‌ای که FLD و فاز روی آن ساخته شده‌اند از مدل اسمی هرست آمده، نه از داده این نماد. امتیاز زیر را به‌عنوان یک فرضیه بخوانید، نه یافته.</t>
        </is>
      </c>
    </row>
    <row r="13" ht="15" customHeight="1" s="56">
      <c r="A13" s="64" t="n"/>
      <c r="B13" s="65" t="n"/>
      <c r="C13" s="65" t="n"/>
      <c r="D13" s="66" t="n"/>
      <c r="E13" s="67" t="n"/>
      <c r="F13" s="68">
        <f>IF($A13="","",IFERROR(E13-B13,""))</f>
        <v/>
      </c>
      <c r="G13" s="68">
        <f>IF($A13="","",IFERROR(ROUND(F13*5/7,0),""))</f>
        <v/>
      </c>
      <c r="H13" s="69">
        <f>IF($A13="","",IFERROR(G13/D13,""))</f>
        <v/>
      </c>
      <c r="I13" s="70">
        <f>IF($A13="","",IFERROR(B13+ROUND(D13*7/5,0),""))</f>
        <v/>
      </c>
      <c r="J13" s="68">
        <f>IF($A13="","",IFERROR(I13-E13,""))</f>
        <v/>
      </c>
      <c r="K13" s="68">
        <f>IF($A13="","",IFERROR(IF(G13-INDEX($AB$5:$AB$13,MATCH(G13,$AB$5:$AB$13,1))&lt;=INDEX($AB$5:$AB$13,MIN(MATCH(G13,$AB$5:$AB$13,1)+1,9))-G13,INDEX($AB$5:$AB$13,MATCH(G13,$AB$5:$AB$13,1)),INDEX($AB$5:$AB$13,MIN(MATCH(G13,$AB$5:$AB$13,1)+1,9))),30))</f>
        <v/>
      </c>
      <c r="L13" s="68">
        <f>IF($A13="","",IFERROR(ABS(G13-K13),""))</f>
        <v/>
      </c>
      <c r="M13" s="66" t="n"/>
      <c r="N13" s="68">
        <f>IF($A13="","",IFERROR(ROUND(M13*1.618,0),""))</f>
        <v/>
      </c>
      <c r="O13" s="70">
        <f>IF($A13="","",IFERROR(C13+ROUND(N13*7/5,0),""))</f>
        <v/>
      </c>
      <c r="P13" s="71" t="n"/>
      <c r="Q13" s="71" t="n"/>
      <c r="R13" s="66" t="n"/>
      <c r="S13" s="72">
        <f>IF($A13="","",IF(OR(D13="",H13=""),0,IF(OR(H13&lt;=0.15,H13&gt;=0.9),4,IF(AND(H13&gt;=0.35,H13&lt;=0.6),-3,IF(H13&lt;0.35,2,-1)))))</f>
        <v/>
      </c>
      <c r="T13" s="72">
        <f>IF($A13="","",IF(OR(L13="",L13&gt;TIME_TOL),0,IF(S13&gt;0,2,-2)))</f>
        <v/>
      </c>
      <c r="U13" s="72">
        <f>IF($A13="","",IF(P13="",0,(IF(P13="3",4,IF(P13="1",2,IF(P13="2",1,IF(P13="4",1,IF(P13="5",-1,IF(P13="A",-3,IF(P13="B",-2,IF(P13="C",-4,0)))))))))*IF(R13="",0.6,R13/5)))</f>
        <v/>
      </c>
      <c r="V13" s="72">
        <f>IF($A13="","",MAX(-10,MIN(10,S13+T13+U13)))</f>
        <v/>
      </c>
      <c r="W13" s="73">
        <f>IF($A13="","",IF(W_TIME=0,"غیرفعال (وزن صفر)","فعال"))</f>
        <v/>
      </c>
      <c r="AB13" s="74" t="n">
        <v>360</v>
      </c>
    </row>
    <row r="14" ht="15" customHeight="1" s="56">
      <c r="A14" s="64" t="n"/>
      <c r="B14" s="65" t="n"/>
      <c r="C14" s="65" t="n"/>
      <c r="D14" s="66" t="n"/>
      <c r="E14" s="67" t="n"/>
      <c r="F14" s="68">
        <f>IF($A14="","",IFERROR(E14-B14,""))</f>
        <v/>
      </c>
      <c r="G14" s="68">
        <f>IF($A14="","",IFERROR(ROUND(F14*5/7,0),""))</f>
        <v/>
      </c>
      <c r="H14" s="69">
        <f>IF($A14="","",IFERROR(G14/D14,""))</f>
        <v/>
      </c>
      <c r="I14" s="70">
        <f>IF($A14="","",IFERROR(B14+ROUND(D14*7/5,0),""))</f>
        <v/>
      </c>
      <c r="J14" s="68">
        <f>IF($A14="","",IFERROR(I14-E14,""))</f>
        <v/>
      </c>
      <c r="K14" s="68">
        <f>IF($A14="","",IFERROR(IF(G14-INDEX($AB$5:$AB$13,MATCH(G14,$AB$5:$AB$13,1))&lt;=INDEX($AB$5:$AB$13,MIN(MATCH(G14,$AB$5:$AB$13,1)+1,9))-G14,INDEX($AB$5:$AB$13,MATCH(G14,$AB$5:$AB$13,1)),INDEX($AB$5:$AB$13,MIN(MATCH(G14,$AB$5:$AB$13,1)+1,9))),30))</f>
        <v/>
      </c>
      <c r="L14" s="68">
        <f>IF($A14="","",IFERROR(ABS(G14-K14),""))</f>
        <v/>
      </c>
      <c r="M14" s="66" t="n"/>
      <c r="N14" s="68">
        <f>IF($A14="","",IFERROR(ROUND(M14*1.618,0),""))</f>
        <v/>
      </c>
      <c r="O14" s="70">
        <f>IF($A14="","",IFERROR(C14+ROUND(N14*7/5,0),""))</f>
        <v/>
      </c>
      <c r="P14" s="71" t="n"/>
      <c r="Q14" s="71" t="n"/>
      <c r="R14" s="66" t="n"/>
      <c r="S14" s="72">
        <f>IF($A14="","",IF(OR(D14="",H14=""),0,IF(OR(H14&lt;=0.15,H14&gt;=0.9),4,IF(AND(H14&gt;=0.35,H14&lt;=0.6),-3,IF(H14&lt;0.35,2,-1)))))</f>
        <v/>
      </c>
      <c r="T14" s="72">
        <f>IF($A14="","",IF(OR(L14="",L14&gt;TIME_TOL),0,IF(S14&gt;0,2,-2)))</f>
        <v/>
      </c>
      <c r="U14" s="72">
        <f>IF($A14="","",IF(P14="",0,(IF(P14="3",4,IF(P14="1",2,IF(P14="2",1,IF(P14="4",1,IF(P14="5",-1,IF(P14="A",-3,IF(P14="B",-2,IF(P14="C",-4,0)))))))))*IF(R14="",0.6,R14/5)))</f>
        <v/>
      </c>
      <c r="V14" s="72">
        <f>IF($A14="","",MAX(-10,MIN(10,S14+T14+U14)))</f>
        <v/>
      </c>
      <c r="W14" s="73">
        <f>IF($A14="","",IF(W_TIME=0,"غیرفعال (وزن صفر)","فعال"))</f>
        <v/>
      </c>
    </row>
    <row r="15" ht="15" customHeight="1" s="56">
      <c r="A15" s="64" t="n"/>
      <c r="B15" s="65" t="n"/>
      <c r="C15" s="65" t="n"/>
      <c r="D15" s="66" t="n"/>
      <c r="E15" s="67" t="n"/>
      <c r="F15" s="68">
        <f>IF($A15="","",IFERROR(E15-B15,""))</f>
        <v/>
      </c>
      <c r="G15" s="68">
        <f>IF($A15="","",IFERROR(ROUND(F15*5/7,0),""))</f>
        <v/>
      </c>
      <c r="H15" s="69">
        <f>IF($A15="","",IFERROR(G15/D15,""))</f>
        <v/>
      </c>
      <c r="I15" s="70">
        <f>IF($A15="","",IFERROR(B15+ROUND(D15*7/5,0),""))</f>
        <v/>
      </c>
      <c r="J15" s="68">
        <f>IF($A15="","",IFERROR(I15-E15,""))</f>
        <v/>
      </c>
      <c r="K15" s="68">
        <f>IF($A15="","",IFERROR(IF(G15-INDEX($AB$5:$AB$13,MATCH(G15,$AB$5:$AB$13,1))&lt;=INDEX($AB$5:$AB$13,MIN(MATCH(G15,$AB$5:$AB$13,1)+1,9))-G15,INDEX($AB$5:$AB$13,MATCH(G15,$AB$5:$AB$13,1)),INDEX($AB$5:$AB$13,MIN(MATCH(G15,$AB$5:$AB$13,1)+1,9))),30))</f>
        <v/>
      </c>
      <c r="L15" s="68">
        <f>IF($A15="","",IFERROR(ABS(G15-K15),""))</f>
        <v/>
      </c>
      <c r="M15" s="66" t="n"/>
      <c r="N15" s="68">
        <f>IF($A15="","",IFERROR(ROUND(M15*1.618,0),""))</f>
        <v/>
      </c>
      <c r="O15" s="70">
        <f>IF($A15="","",IFERROR(C15+ROUND(N15*7/5,0),""))</f>
        <v/>
      </c>
      <c r="P15" s="71" t="n"/>
      <c r="Q15" s="71" t="n"/>
      <c r="R15" s="66" t="n"/>
      <c r="S15" s="72">
        <f>IF($A15="","",IF(OR(D15="",H15=""),0,IF(OR(H15&lt;=0.15,H15&gt;=0.9),4,IF(AND(H15&gt;=0.35,H15&lt;=0.6),-3,IF(H15&lt;0.35,2,-1)))))</f>
        <v/>
      </c>
      <c r="T15" s="72">
        <f>IF($A15="","",IF(OR(L15="",L15&gt;TIME_TOL),0,IF(S15&gt;0,2,-2)))</f>
        <v/>
      </c>
      <c r="U15" s="72">
        <f>IF($A15="","",IF(P15="",0,(IF(P15="3",4,IF(P15="1",2,IF(P15="2",1,IF(P15="4",1,IF(P15="5",-1,IF(P15="A",-3,IF(P15="B",-2,IF(P15="C",-4,0)))))))))*IF(R15="",0.6,R15/5)))</f>
        <v/>
      </c>
      <c r="V15" s="72">
        <f>IF($A15="","",MAX(-10,MIN(10,S15+T15+U15)))</f>
        <v/>
      </c>
      <c r="W15" s="73">
        <f>IF($A15="","",IF(W_TIME=0,"غیرفعال (وزن صفر)","فعال"))</f>
        <v/>
      </c>
    </row>
    <row r="16" ht="15" customHeight="1" s="56">
      <c r="A16" s="64" t="n"/>
      <c r="B16" s="65" t="n"/>
      <c r="C16" s="65" t="n"/>
      <c r="D16" s="66" t="n"/>
      <c r="E16" s="67" t="n"/>
      <c r="F16" s="68">
        <f>IF($A16="","",IFERROR(E16-B16,""))</f>
        <v/>
      </c>
      <c r="G16" s="68">
        <f>IF($A16="","",IFERROR(ROUND(F16*5/7,0),""))</f>
        <v/>
      </c>
      <c r="H16" s="69">
        <f>IF($A16="","",IFERROR(G16/D16,""))</f>
        <v/>
      </c>
      <c r="I16" s="70">
        <f>IF($A16="","",IFERROR(B16+ROUND(D16*7/5,0),""))</f>
        <v/>
      </c>
      <c r="J16" s="68">
        <f>IF($A16="","",IFERROR(I16-E16,""))</f>
        <v/>
      </c>
      <c r="K16" s="68">
        <f>IF($A16="","",IFERROR(IF(G16-INDEX($AB$5:$AB$13,MATCH(G16,$AB$5:$AB$13,1))&lt;=INDEX($AB$5:$AB$13,MIN(MATCH(G16,$AB$5:$AB$13,1)+1,9))-G16,INDEX($AB$5:$AB$13,MATCH(G16,$AB$5:$AB$13,1)),INDEX($AB$5:$AB$13,MIN(MATCH(G16,$AB$5:$AB$13,1)+1,9))),30))</f>
        <v/>
      </c>
      <c r="L16" s="68">
        <f>IF($A16="","",IFERROR(ABS(G16-K16),""))</f>
        <v/>
      </c>
      <c r="M16" s="66" t="n"/>
      <c r="N16" s="68">
        <f>IF($A16="","",IFERROR(ROUND(M16*1.618,0),""))</f>
        <v/>
      </c>
      <c r="O16" s="70">
        <f>IF($A16="","",IFERROR(C16+ROUND(N16*7/5,0),""))</f>
        <v/>
      </c>
      <c r="P16" s="71" t="n"/>
      <c r="Q16" s="71" t="n"/>
      <c r="R16" s="66" t="n"/>
      <c r="S16" s="72">
        <f>IF($A16="","",IF(OR(D16="",H16=""),0,IF(OR(H16&lt;=0.15,H16&gt;=0.9),4,IF(AND(H16&gt;=0.35,H16&lt;=0.6),-3,IF(H16&lt;0.35,2,-1)))))</f>
        <v/>
      </c>
      <c r="T16" s="72">
        <f>IF($A16="","",IF(OR(L16="",L16&gt;TIME_TOL),0,IF(S16&gt;0,2,-2)))</f>
        <v/>
      </c>
      <c r="U16" s="72">
        <f>IF($A16="","",IF(P16="",0,(IF(P16="3",4,IF(P16="1",2,IF(P16="2",1,IF(P16="4",1,IF(P16="5",-1,IF(P16="A",-3,IF(P16="B",-2,IF(P16="C",-4,0)))))))))*IF(R16="",0.6,R16/5)))</f>
        <v/>
      </c>
      <c r="V16" s="72">
        <f>IF($A16="","",MAX(-10,MIN(10,S16+T16+U16)))</f>
        <v/>
      </c>
      <c r="W16" s="73">
        <f>IF($A16="","",IF(W_TIME=0,"غیرفعال (وزن صفر)","فعال"))</f>
        <v/>
      </c>
    </row>
    <row r="17" ht="15" customHeight="1" s="56">
      <c r="A17" s="64" t="n"/>
      <c r="B17" s="65" t="n"/>
      <c r="C17" s="65" t="n"/>
      <c r="D17" s="66" t="n"/>
      <c r="E17" s="67" t="n"/>
      <c r="F17" s="68">
        <f>IF($A17="","",IFERROR(E17-B17,""))</f>
        <v/>
      </c>
      <c r="G17" s="68">
        <f>IF($A17="","",IFERROR(ROUND(F17*5/7,0),""))</f>
        <v/>
      </c>
      <c r="H17" s="69">
        <f>IF($A17="","",IFERROR(G17/D17,""))</f>
        <v/>
      </c>
      <c r="I17" s="70">
        <f>IF($A17="","",IFERROR(B17+ROUND(D17*7/5,0),""))</f>
        <v/>
      </c>
      <c r="J17" s="68">
        <f>IF($A17="","",IFERROR(I17-E17,""))</f>
        <v/>
      </c>
      <c r="K17" s="68">
        <f>IF($A17="","",IFERROR(IF(G17-INDEX($AB$5:$AB$13,MATCH(G17,$AB$5:$AB$13,1))&lt;=INDEX($AB$5:$AB$13,MIN(MATCH(G17,$AB$5:$AB$13,1)+1,9))-G17,INDEX($AB$5:$AB$13,MATCH(G17,$AB$5:$AB$13,1)),INDEX($AB$5:$AB$13,MIN(MATCH(G17,$AB$5:$AB$13,1)+1,9))),30))</f>
        <v/>
      </c>
      <c r="L17" s="68">
        <f>IF($A17="","",IFERROR(ABS(G17-K17),""))</f>
        <v/>
      </c>
      <c r="M17" s="66" t="n"/>
      <c r="N17" s="68">
        <f>IF($A17="","",IFERROR(ROUND(M17*1.618,0),""))</f>
        <v/>
      </c>
      <c r="O17" s="70">
        <f>IF($A17="","",IFERROR(C17+ROUND(N17*7/5,0),""))</f>
        <v/>
      </c>
      <c r="P17" s="71" t="n"/>
      <c r="Q17" s="71" t="n"/>
      <c r="R17" s="66" t="n"/>
      <c r="S17" s="72">
        <f>IF($A17="","",IF(OR(D17="",H17=""),0,IF(OR(H17&lt;=0.15,H17&gt;=0.9),4,IF(AND(H17&gt;=0.35,H17&lt;=0.6),-3,IF(H17&lt;0.35,2,-1)))))</f>
        <v/>
      </c>
      <c r="T17" s="72">
        <f>IF($A17="","",IF(OR(L17="",L17&gt;TIME_TOL),0,IF(S17&gt;0,2,-2)))</f>
        <v/>
      </c>
      <c r="U17" s="72">
        <f>IF($A17="","",IF(P17="",0,(IF(P17="3",4,IF(P17="1",2,IF(P17="2",1,IF(P17="4",1,IF(P17="5",-1,IF(P17="A",-3,IF(P17="B",-2,IF(P17="C",-4,0)))))))))*IF(R17="",0.6,R17/5)))</f>
        <v/>
      </c>
      <c r="V17" s="72">
        <f>IF($A17="","",MAX(-10,MIN(10,S17+T17+U17)))</f>
        <v/>
      </c>
      <c r="W17" s="73">
        <f>IF($A17="","",IF(W_TIME=0,"غیرفعال (وزن صفر)","فعال"))</f>
        <v/>
      </c>
    </row>
    <row r="18" ht="15" customHeight="1" s="56">
      <c r="A18" s="64" t="n"/>
      <c r="B18" s="65" t="n"/>
      <c r="C18" s="65" t="n"/>
      <c r="D18" s="66" t="n"/>
      <c r="E18" s="67" t="n"/>
      <c r="F18" s="68">
        <f>IF($A18="","",IFERROR(E18-B18,""))</f>
        <v/>
      </c>
      <c r="G18" s="68">
        <f>IF($A18="","",IFERROR(ROUND(F18*5/7,0),""))</f>
        <v/>
      </c>
      <c r="H18" s="69">
        <f>IF($A18="","",IFERROR(G18/D18,""))</f>
        <v/>
      </c>
      <c r="I18" s="70">
        <f>IF($A18="","",IFERROR(B18+ROUND(D18*7/5,0),""))</f>
        <v/>
      </c>
      <c r="J18" s="68">
        <f>IF($A18="","",IFERROR(I18-E18,""))</f>
        <v/>
      </c>
      <c r="K18" s="68">
        <f>IF($A18="","",IFERROR(IF(G18-INDEX($AB$5:$AB$13,MATCH(G18,$AB$5:$AB$13,1))&lt;=INDEX($AB$5:$AB$13,MIN(MATCH(G18,$AB$5:$AB$13,1)+1,9))-G18,INDEX($AB$5:$AB$13,MATCH(G18,$AB$5:$AB$13,1)),INDEX($AB$5:$AB$13,MIN(MATCH(G18,$AB$5:$AB$13,1)+1,9))),30))</f>
        <v/>
      </c>
      <c r="L18" s="68">
        <f>IF($A18="","",IFERROR(ABS(G18-K18),""))</f>
        <v/>
      </c>
      <c r="M18" s="66" t="n"/>
      <c r="N18" s="68">
        <f>IF($A18="","",IFERROR(ROUND(M18*1.618,0),""))</f>
        <v/>
      </c>
      <c r="O18" s="70">
        <f>IF($A18="","",IFERROR(C18+ROUND(N18*7/5,0),""))</f>
        <v/>
      </c>
      <c r="P18" s="71" t="n"/>
      <c r="Q18" s="71" t="n"/>
      <c r="R18" s="66" t="n"/>
      <c r="S18" s="72">
        <f>IF($A18="","",IF(OR(D18="",H18=""),0,IF(OR(H18&lt;=0.15,H18&gt;=0.9),4,IF(AND(H18&gt;=0.35,H18&lt;=0.6),-3,IF(H18&lt;0.35,2,-1)))))</f>
        <v/>
      </c>
      <c r="T18" s="72">
        <f>IF($A18="","",IF(OR(L18="",L18&gt;TIME_TOL),0,IF(S18&gt;0,2,-2)))</f>
        <v/>
      </c>
      <c r="U18" s="72">
        <f>IF($A18="","",IF(P18="",0,(IF(P18="3",4,IF(P18="1",2,IF(P18="2",1,IF(P18="4",1,IF(P18="5",-1,IF(P18="A",-3,IF(P18="B",-2,IF(P18="C",-4,0)))))))))*IF(R18="",0.6,R18/5)))</f>
        <v/>
      </c>
      <c r="V18" s="72">
        <f>IF($A18="","",MAX(-10,MIN(10,S18+T18+U18)))</f>
        <v/>
      </c>
      <c r="W18" s="73">
        <f>IF($A18="","",IF(W_TIME=0,"غیرفعال (وزن صفر)","فعال"))</f>
        <v/>
      </c>
    </row>
    <row r="19" ht="15" customHeight="1" s="56">
      <c r="A19" s="64" t="n"/>
      <c r="B19" s="65" t="n"/>
      <c r="C19" s="65" t="n"/>
      <c r="D19" s="66" t="n"/>
      <c r="E19" s="67" t="n"/>
      <c r="F19" s="68">
        <f>IF($A19="","",IFERROR(E19-B19,""))</f>
        <v/>
      </c>
      <c r="G19" s="68">
        <f>IF($A19="","",IFERROR(ROUND(F19*5/7,0),""))</f>
        <v/>
      </c>
      <c r="H19" s="69">
        <f>IF($A19="","",IFERROR(G19/D19,""))</f>
        <v/>
      </c>
      <c r="I19" s="70">
        <f>IF($A19="","",IFERROR(B19+ROUND(D19*7/5,0),""))</f>
        <v/>
      </c>
      <c r="J19" s="68">
        <f>IF($A19="","",IFERROR(I19-E19,""))</f>
        <v/>
      </c>
      <c r="K19" s="68">
        <f>IF($A19="","",IFERROR(IF(G19-INDEX($AB$5:$AB$13,MATCH(G19,$AB$5:$AB$13,1))&lt;=INDEX($AB$5:$AB$13,MIN(MATCH(G19,$AB$5:$AB$13,1)+1,9))-G19,INDEX($AB$5:$AB$13,MATCH(G19,$AB$5:$AB$13,1)),INDEX($AB$5:$AB$13,MIN(MATCH(G19,$AB$5:$AB$13,1)+1,9))),30))</f>
        <v/>
      </c>
      <c r="L19" s="68">
        <f>IF($A19="","",IFERROR(ABS(G19-K19),""))</f>
        <v/>
      </c>
      <c r="M19" s="66" t="n"/>
      <c r="N19" s="68">
        <f>IF($A19="","",IFERROR(ROUND(M19*1.618,0),""))</f>
        <v/>
      </c>
      <c r="O19" s="70">
        <f>IF($A19="","",IFERROR(C19+ROUND(N19*7/5,0),""))</f>
        <v/>
      </c>
      <c r="P19" s="71" t="n"/>
      <c r="Q19" s="71" t="n"/>
      <c r="R19" s="66" t="n"/>
      <c r="S19" s="72">
        <f>IF($A19="","",IF(OR(D19="",H19=""),0,IF(OR(H19&lt;=0.15,H19&gt;=0.9),4,IF(AND(H19&gt;=0.35,H19&lt;=0.6),-3,IF(H19&lt;0.35,2,-1)))))</f>
        <v/>
      </c>
      <c r="T19" s="72">
        <f>IF($A19="","",IF(OR(L19="",L19&gt;TIME_TOL),0,IF(S19&gt;0,2,-2)))</f>
        <v/>
      </c>
      <c r="U19" s="72">
        <f>IF($A19="","",IF(P19="",0,(IF(P19="3",4,IF(P19="1",2,IF(P19="2",1,IF(P19="4",1,IF(P19="5",-1,IF(P19="A",-3,IF(P19="B",-2,IF(P19="C",-4,0)))))))))*IF(R19="",0.6,R19/5)))</f>
        <v/>
      </c>
      <c r="V19" s="72">
        <f>IF($A19="","",MAX(-10,MIN(10,S19+T19+U19)))</f>
        <v/>
      </c>
      <c r="W19" s="73">
        <f>IF($A19="","",IF(W_TIME=0,"غیرفعال (وزن صفر)","فعال"))</f>
        <v/>
      </c>
    </row>
    <row r="20" ht="15" customHeight="1" s="56">
      <c r="A20" s="64" t="n"/>
      <c r="B20" s="65" t="n"/>
      <c r="C20" s="65" t="n"/>
      <c r="D20" s="66" t="n"/>
      <c r="E20" s="67" t="n"/>
      <c r="F20" s="68">
        <f>IF($A20="","",IFERROR(E20-B20,""))</f>
        <v/>
      </c>
      <c r="G20" s="68">
        <f>IF($A20="","",IFERROR(ROUND(F20*5/7,0),""))</f>
        <v/>
      </c>
      <c r="H20" s="69">
        <f>IF($A20="","",IFERROR(G20/D20,""))</f>
        <v/>
      </c>
      <c r="I20" s="70">
        <f>IF($A20="","",IFERROR(B20+ROUND(D20*7/5,0),""))</f>
        <v/>
      </c>
      <c r="J20" s="68">
        <f>IF($A20="","",IFERROR(I20-E20,""))</f>
        <v/>
      </c>
      <c r="K20" s="68">
        <f>IF($A20="","",IFERROR(IF(G20-INDEX($AB$5:$AB$13,MATCH(G20,$AB$5:$AB$13,1))&lt;=INDEX($AB$5:$AB$13,MIN(MATCH(G20,$AB$5:$AB$13,1)+1,9))-G20,INDEX($AB$5:$AB$13,MATCH(G20,$AB$5:$AB$13,1)),INDEX($AB$5:$AB$13,MIN(MATCH(G20,$AB$5:$AB$13,1)+1,9))),30))</f>
        <v/>
      </c>
      <c r="L20" s="68">
        <f>IF($A20="","",IFERROR(ABS(G20-K20),""))</f>
        <v/>
      </c>
      <c r="M20" s="66" t="n"/>
      <c r="N20" s="68">
        <f>IF($A20="","",IFERROR(ROUND(M20*1.618,0),""))</f>
        <v/>
      </c>
      <c r="O20" s="70">
        <f>IF($A20="","",IFERROR(C20+ROUND(N20*7/5,0),""))</f>
        <v/>
      </c>
      <c r="P20" s="71" t="n"/>
      <c r="Q20" s="71" t="n"/>
      <c r="R20" s="66" t="n"/>
      <c r="S20" s="72">
        <f>IF($A20="","",IF(OR(D20="",H20=""),0,IF(OR(H20&lt;=0.15,H20&gt;=0.9),4,IF(AND(H20&gt;=0.35,H20&lt;=0.6),-3,IF(H20&lt;0.35,2,-1)))))</f>
        <v/>
      </c>
      <c r="T20" s="72">
        <f>IF($A20="","",IF(OR(L20="",L20&gt;TIME_TOL),0,IF(S20&gt;0,2,-2)))</f>
        <v/>
      </c>
      <c r="U20" s="72">
        <f>IF($A20="","",IF(P20="",0,(IF(P20="3",4,IF(P20="1",2,IF(P20="2",1,IF(P20="4",1,IF(P20="5",-1,IF(P20="A",-3,IF(P20="B",-2,IF(P20="C",-4,0)))))))))*IF(R20="",0.6,R20/5)))</f>
        <v/>
      </c>
      <c r="V20" s="72">
        <f>IF($A20="","",MAX(-10,MIN(10,S20+T20+U20)))</f>
        <v/>
      </c>
      <c r="W20" s="73">
        <f>IF($A20="","",IF(W_TIME=0,"غیرفعال (وزن صفر)","فعال"))</f>
        <v/>
      </c>
    </row>
    <row r="21" ht="15" customHeight="1" s="56">
      <c r="A21" s="64" t="n"/>
      <c r="B21" s="65" t="n"/>
      <c r="C21" s="65" t="n"/>
      <c r="D21" s="66" t="n"/>
      <c r="E21" s="67" t="n"/>
      <c r="F21" s="68">
        <f>IF($A21="","",IFERROR(E21-B21,""))</f>
        <v/>
      </c>
      <c r="G21" s="68">
        <f>IF($A21="","",IFERROR(ROUND(F21*5/7,0),""))</f>
        <v/>
      </c>
      <c r="H21" s="69">
        <f>IF($A21="","",IFERROR(G21/D21,""))</f>
        <v/>
      </c>
      <c r="I21" s="70">
        <f>IF($A21="","",IFERROR(B21+ROUND(D21*7/5,0),""))</f>
        <v/>
      </c>
      <c r="J21" s="68">
        <f>IF($A21="","",IFERROR(I21-E21,""))</f>
        <v/>
      </c>
      <c r="K21" s="68">
        <f>IF($A21="","",IFERROR(IF(G21-INDEX($AB$5:$AB$13,MATCH(G21,$AB$5:$AB$13,1))&lt;=INDEX($AB$5:$AB$13,MIN(MATCH(G21,$AB$5:$AB$13,1)+1,9))-G21,INDEX($AB$5:$AB$13,MATCH(G21,$AB$5:$AB$13,1)),INDEX($AB$5:$AB$13,MIN(MATCH(G21,$AB$5:$AB$13,1)+1,9))),30))</f>
        <v/>
      </c>
      <c r="L21" s="68">
        <f>IF($A21="","",IFERROR(ABS(G21-K21),""))</f>
        <v/>
      </c>
      <c r="M21" s="66" t="n"/>
      <c r="N21" s="68">
        <f>IF($A21="","",IFERROR(ROUND(M21*1.618,0),""))</f>
        <v/>
      </c>
      <c r="O21" s="70">
        <f>IF($A21="","",IFERROR(C21+ROUND(N21*7/5,0),""))</f>
        <v/>
      </c>
      <c r="P21" s="71" t="n"/>
      <c r="Q21" s="71" t="n"/>
      <c r="R21" s="66" t="n"/>
      <c r="S21" s="72">
        <f>IF($A21="","",IF(OR(D21="",H21=""),0,IF(OR(H21&lt;=0.15,H21&gt;=0.9),4,IF(AND(H21&gt;=0.35,H21&lt;=0.6),-3,IF(H21&lt;0.35,2,-1)))))</f>
        <v/>
      </c>
      <c r="T21" s="72">
        <f>IF($A21="","",IF(OR(L21="",L21&gt;TIME_TOL),0,IF(S21&gt;0,2,-2)))</f>
        <v/>
      </c>
      <c r="U21" s="72">
        <f>IF($A21="","",IF(P21="",0,(IF(P21="3",4,IF(P21="1",2,IF(P21="2",1,IF(P21="4",1,IF(P21="5",-1,IF(P21="A",-3,IF(P21="B",-2,IF(P21="C",-4,0)))))))))*IF(R21="",0.6,R21/5)))</f>
        <v/>
      </c>
      <c r="V21" s="72">
        <f>IF($A21="","",MAX(-10,MIN(10,S21+T21+U21)))</f>
        <v/>
      </c>
      <c r="W21" s="73">
        <f>IF($A21="","",IF(W_TIME=0,"غیرفعال (وزن صفر)","فعال"))</f>
        <v/>
      </c>
    </row>
    <row r="22" ht="15" customHeight="1" s="56">
      <c r="A22" s="64" t="n"/>
      <c r="B22" s="65" t="n"/>
      <c r="C22" s="65" t="n"/>
      <c r="D22" s="66" t="n"/>
      <c r="E22" s="67" t="n"/>
      <c r="F22" s="68">
        <f>IF($A22="","",IFERROR(E22-B22,""))</f>
        <v/>
      </c>
      <c r="G22" s="68">
        <f>IF($A22="","",IFERROR(ROUND(F22*5/7,0),""))</f>
        <v/>
      </c>
      <c r="H22" s="69">
        <f>IF($A22="","",IFERROR(G22/D22,""))</f>
        <v/>
      </c>
      <c r="I22" s="70">
        <f>IF($A22="","",IFERROR(B22+ROUND(D22*7/5,0),""))</f>
        <v/>
      </c>
      <c r="J22" s="68">
        <f>IF($A22="","",IFERROR(I22-E22,""))</f>
        <v/>
      </c>
      <c r="K22" s="68">
        <f>IF($A22="","",IFERROR(IF(G22-INDEX($AB$5:$AB$13,MATCH(G22,$AB$5:$AB$13,1))&lt;=INDEX($AB$5:$AB$13,MIN(MATCH(G22,$AB$5:$AB$13,1)+1,9))-G22,INDEX($AB$5:$AB$13,MATCH(G22,$AB$5:$AB$13,1)),INDEX($AB$5:$AB$13,MIN(MATCH(G22,$AB$5:$AB$13,1)+1,9))),30))</f>
        <v/>
      </c>
      <c r="L22" s="68">
        <f>IF($A22="","",IFERROR(ABS(G22-K22),""))</f>
        <v/>
      </c>
      <c r="M22" s="66" t="n"/>
      <c r="N22" s="68">
        <f>IF($A22="","",IFERROR(ROUND(M22*1.618,0),""))</f>
        <v/>
      </c>
      <c r="O22" s="70">
        <f>IF($A22="","",IFERROR(C22+ROUND(N22*7/5,0),""))</f>
        <v/>
      </c>
      <c r="P22" s="71" t="n"/>
      <c r="Q22" s="71" t="n"/>
      <c r="R22" s="66" t="n"/>
      <c r="S22" s="72">
        <f>IF($A22="","",IF(OR(D22="",H22=""),0,IF(OR(H22&lt;=0.15,H22&gt;=0.9),4,IF(AND(H22&gt;=0.35,H22&lt;=0.6),-3,IF(H22&lt;0.35,2,-1)))))</f>
        <v/>
      </c>
      <c r="T22" s="72">
        <f>IF($A22="","",IF(OR(L22="",L22&gt;TIME_TOL),0,IF(S22&gt;0,2,-2)))</f>
        <v/>
      </c>
      <c r="U22" s="72">
        <f>IF($A22="","",IF(P22="",0,(IF(P22="3",4,IF(P22="1",2,IF(P22="2",1,IF(P22="4",1,IF(P22="5",-1,IF(P22="A",-3,IF(P22="B",-2,IF(P22="C",-4,0)))))))))*IF(R22="",0.6,R22/5)))</f>
        <v/>
      </c>
      <c r="V22" s="72">
        <f>IF($A22="","",MAX(-10,MIN(10,S22+T22+U22)))</f>
        <v/>
      </c>
      <c r="W22" s="73">
        <f>IF($A22="","",IF(W_TIME=0,"غیرفعال (وزن صفر)","فعال"))</f>
        <v/>
      </c>
    </row>
    <row r="23" ht="15" customHeight="1" s="56">
      <c r="A23" s="64" t="n"/>
      <c r="B23" s="65" t="n"/>
      <c r="C23" s="65" t="n"/>
      <c r="D23" s="66" t="n"/>
      <c r="E23" s="67" t="n"/>
      <c r="F23" s="68">
        <f>IF($A23="","",IFERROR(E23-B23,""))</f>
        <v/>
      </c>
      <c r="G23" s="68">
        <f>IF($A23="","",IFERROR(ROUND(F23*5/7,0),""))</f>
        <v/>
      </c>
      <c r="H23" s="69">
        <f>IF($A23="","",IFERROR(G23/D23,""))</f>
        <v/>
      </c>
      <c r="I23" s="70">
        <f>IF($A23="","",IFERROR(B23+ROUND(D23*7/5,0),""))</f>
        <v/>
      </c>
      <c r="J23" s="68">
        <f>IF($A23="","",IFERROR(I23-E23,""))</f>
        <v/>
      </c>
      <c r="K23" s="68">
        <f>IF($A23="","",IFERROR(IF(G23-INDEX($AB$5:$AB$13,MATCH(G23,$AB$5:$AB$13,1))&lt;=INDEX($AB$5:$AB$13,MIN(MATCH(G23,$AB$5:$AB$13,1)+1,9))-G23,INDEX($AB$5:$AB$13,MATCH(G23,$AB$5:$AB$13,1)),INDEX($AB$5:$AB$13,MIN(MATCH(G23,$AB$5:$AB$13,1)+1,9))),30))</f>
        <v/>
      </c>
      <c r="L23" s="68">
        <f>IF($A23="","",IFERROR(ABS(G23-K23),""))</f>
        <v/>
      </c>
      <c r="M23" s="66" t="n"/>
      <c r="N23" s="68">
        <f>IF($A23="","",IFERROR(ROUND(M23*1.618,0),""))</f>
        <v/>
      </c>
      <c r="O23" s="70">
        <f>IF($A23="","",IFERROR(C23+ROUND(N23*7/5,0),""))</f>
        <v/>
      </c>
      <c r="P23" s="71" t="n"/>
      <c r="Q23" s="71" t="n"/>
      <c r="R23" s="66" t="n"/>
      <c r="S23" s="72">
        <f>IF($A23="","",IF(OR(D23="",H23=""),0,IF(OR(H23&lt;=0.15,H23&gt;=0.9),4,IF(AND(H23&gt;=0.35,H23&lt;=0.6),-3,IF(H23&lt;0.35,2,-1)))))</f>
        <v/>
      </c>
      <c r="T23" s="72">
        <f>IF($A23="","",IF(OR(L23="",L23&gt;TIME_TOL),0,IF(S23&gt;0,2,-2)))</f>
        <v/>
      </c>
      <c r="U23" s="72">
        <f>IF($A23="","",IF(P23="",0,(IF(P23="3",4,IF(P23="1",2,IF(P23="2",1,IF(P23="4",1,IF(P23="5",-1,IF(P23="A",-3,IF(P23="B",-2,IF(P23="C",-4,0)))))))))*IF(R23="",0.6,R23/5)))</f>
        <v/>
      </c>
      <c r="V23" s="72">
        <f>IF($A23="","",MAX(-10,MIN(10,S23+T23+U23)))</f>
        <v/>
      </c>
      <c r="W23" s="73">
        <f>IF($A23="","",IF(W_TIME=0,"غیرفعال (وزن صفر)","فعال"))</f>
        <v/>
      </c>
    </row>
    <row r="24" ht="15" customHeight="1" s="56">
      <c r="A24" s="64" t="n"/>
      <c r="B24" s="65" t="n"/>
      <c r="C24" s="65" t="n"/>
      <c r="D24" s="66" t="n"/>
      <c r="E24" s="67" t="n"/>
      <c r="F24" s="68">
        <f>IF($A24="","",IFERROR(E24-B24,""))</f>
        <v/>
      </c>
      <c r="G24" s="68">
        <f>IF($A24="","",IFERROR(ROUND(F24*5/7,0),""))</f>
        <v/>
      </c>
      <c r="H24" s="69">
        <f>IF($A24="","",IFERROR(G24/D24,""))</f>
        <v/>
      </c>
      <c r="I24" s="70">
        <f>IF($A24="","",IFERROR(B24+ROUND(D24*7/5,0),""))</f>
        <v/>
      </c>
      <c r="J24" s="68">
        <f>IF($A24="","",IFERROR(I24-E24,""))</f>
        <v/>
      </c>
      <c r="K24" s="68">
        <f>IF($A24="","",IFERROR(IF(G24-INDEX($AB$5:$AB$13,MATCH(G24,$AB$5:$AB$13,1))&lt;=INDEX($AB$5:$AB$13,MIN(MATCH(G24,$AB$5:$AB$13,1)+1,9))-G24,INDEX($AB$5:$AB$13,MATCH(G24,$AB$5:$AB$13,1)),INDEX($AB$5:$AB$13,MIN(MATCH(G24,$AB$5:$AB$13,1)+1,9))),30))</f>
        <v/>
      </c>
      <c r="L24" s="68">
        <f>IF($A24="","",IFERROR(ABS(G24-K24),""))</f>
        <v/>
      </c>
      <c r="M24" s="66" t="n"/>
      <c r="N24" s="68">
        <f>IF($A24="","",IFERROR(ROUND(M24*1.618,0),""))</f>
        <v/>
      </c>
      <c r="O24" s="70">
        <f>IF($A24="","",IFERROR(C24+ROUND(N24*7/5,0),""))</f>
        <v/>
      </c>
      <c r="P24" s="71" t="n"/>
      <c r="Q24" s="71" t="n"/>
      <c r="R24" s="66" t="n"/>
      <c r="S24" s="72">
        <f>IF($A24="","",IF(OR(D24="",H24=""),0,IF(OR(H24&lt;=0.15,H24&gt;=0.9),4,IF(AND(H24&gt;=0.35,H24&lt;=0.6),-3,IF(H24&lt;0.35,2,-1)))))</f>
        <v/>
      </c>
      <c r="T24" s="72">
        <f>IF($A24="","",IF(OR(L24="",L24&gt;TIME_TOL),0,IF(S24&gt;0,2,-2)))</f>
        <v/>
      </c>
      <c r="U24" s="72">
        <f>IF($A24="","",IF(P24="",0,(IF(P24="3",4,IF(P24="1",2,IF(P24="2",1,IF(P24="4",1,IF(P24="5",-1,IF(P24="A",-3,IF(P24="B",-2,IF(P24="C",-4,0)))))))))*IF(R24="",0.6,R24/5)))</f>
        <v/>
      </c>
      <c r="V24" s="72">
        <f>IF($A24="","",MAX(-10,MIN(10,S24+T24+U24)))</f>
        <v/>
      </c>
      <c r="W24" s="73">
        <f>IF($A24="","",IF(W_TIME=0,"غیرفعال (وزن صفر)","فعال"))</f>
        <v/>
      </c>
    </row>
    <row r="25" ht="15" customHeight="1" s="56">
      <c r="A25" s="64" t="n"/>
      <c r="B25" s="65" t="n"/>
      <c r="C25" s="65" t="n"/>
      <c r="D25" s="66" t="n"/>
      <c r="E25" s="67" t="n"/>
      <c r="F25" s="68">
        <f>IF($A25="","",IFERROR(E25-B25,""))</f>
        <v/>
      </c>
      <c r="G25" s="68">
        <f>IF($A25="","",IFERROR(ROUND(F25*5/7,0),""))</f>
        <v/>
      </c>
      <c r="H25" s="69">
        <f>IF($A25="","",IFERROR(G25/D25,""))</f>
        <v/>
      </c>
      <c r="I25" s="70">
        <f>IF($A25="","",IFERROR(B25+ROUND(D25*7/5,0),""))</f>
        <v/>
      </c>
      <c r="J25" s="68">
        <f>IF($A25="","",IFERROR(I25-E25,""))</f>
        <v/>
      </c>
      <c r="K25" s="68">
        <f>IF($A25="","",IFERROR(IF(G25-INDEX($AB$5:$AB$13,MATCH(G25,$AB$5:$AB$13,1))&lt;=INDEX($AB$5:$AB$13,MIN(MATCH(G25,$AB$5:$AB$13,1)+1,9))-G25,INDEX($AB$5:$AB$13,MATCH(G25,$AB$5:$AB$13,1)),INDEX($AB$5:$AB$13,MIN(MATCH(G25,$AB$5:$AB$13,1)+1,9))),30))</f>
        <v/>
      </c>
      <c r="L25" s="68">
        <f>IF($A25="","",IFERROR(ABS(G25-K25),""))</f>
        <v/>
      </c>
      <c r="M25" s="66" t="n"/>
      <c r="N25" s="68">
        <f>IF($A25="","",IFERROR(ROUND(M25*1.618,0),""))</f>
        <v/>
      </c>
      <c r="O25" s="70">
        <f>IF($A25="","",IFERROR(C25+ROUND(N25*7/5,0),""))</f>
        <v/>
      </c>
      <c r="P25" s="71" t="n"/>
      <c r="Q25" s="71" t="n"/>
      <c r="R25" s="66" t="n"/>
      <c r="S25" s="72">
        <f>IF($A25="","",IF(OR(D25="",H25=""),0,IF(OR(H25&lt;=0.15,H25&gt;=0.9),4,IF(AND(H25&gt;=0.35,H25&lt;=0.6),-3,IF(H25&lt;0.35,2,-1)))))</f>
        <v/>
      </c>
      <c r="T25" s="72">
        <f>IF($A25="","",IF(OR(L25="",L25&gt;TIME_TOL),0,IF(S25&gt;0,2,-2)))</f>
        <v/>
      </c>
      <c r="U25" s="72">
        <f>IF($A25="","",IF(P25="",0,(IF(P25="3",4,IF(P25="1",2,IF(P25="2",1,IF(P25="4",1,IF(P25="5",-1,IF(P25="A",-3,IF(P25="B",-2,IF(P25="C",-4,0)))))))))*IF(R25="",0.6,R25/5)))</f>
        <v/>
      </c>
      <c r="V25" s="72">
        <f>IF($A25="","",MAX(-10,MIN(10,S25+T25+U25)))</f>
        <v/>
      </c>
      <c r="W25" s="73">
        <f>IF($A25="","",IF(W_TIME=0,"غیرفعال (وزن صفر)","فعال"))</f>
        <v/>
      </c>
    </row>
    <row r="26" ht="15" customHeight="1" s="56">
      <c r="A26" s="64" t="n"/>
      <c r="B26" s="65" t="n"/>
      <c r="C26" s="65" t="n"/>
      <c r="D26" s="66" t="n"/>
      <c r="E26" s="67" t="n"/>
      <c r="F26" s="68">
        <f>IF($A26="","",IFERROR(E26-B26,""))</f>
        <v/>
      </c>
      <c r="G26" s="68">
        <f>IF($A26="","",IFERROR(ROUND(F26*5/7,0),""))</f>
        <v/>
      </c>
      <c r="H26" s="69">
        <f>IF($A26="","",IFERROR(G26/D26,""))</f>
        <v/>
      </c>
      <c r="I26" s="70">
        <f>IF($A26="","",IFERROR(B26+ROUND(D26*7/5,0),""))</f>
        <v/>
      </c>
      <c r="J26" s="68">
        <f>IF($A26="","",IFERROR(I26-E26,""))</f>
        <v/>
      </c>
      <c r="K26" s="68">
        <f>IF($A26="","",IFERROR(IF(G26-INDEX($AB$5:$AB$13,MATCH(G26,$AB$5:$AB$13,1))&lt;=INDEX($AB$5:$AB$13,MIN(MATCH(G26,$AB$5:$AB$13,1)+1,9))-G26,INDEX($AB$5:$AB$13,MATCH(G26,$AB$5:$AB$13,1)),INDEX($AB$5:$AB$13,MIN(MATCH(G26,$AB$5:$AB$13,1)+1,9))),30))</f>
        <v/>
      </c>
      <c r="L26" s="68">
        <f>IF($A26="","",IFERROR(ABS(G26-K26),""))</f>
        <v/>
      </c>
      <c r="M26" s="66" t="n"/>
      <c r="N26" s="68">
        <f>IF($A26="","",IFERROR(ROUND(M26*1.618,0),""))</f>
        <v/>
      </c>
      <c r="O26" s="70">
        <f>IF($A26="","",IFERROR(C26+ROUND(N26*7/5,0),""))</f>
        <v/>
      </c>
      <c r="P26" s="71" t="n"/>
      <c r="Q26" s="71" t="n"/>
      <c r="R26" s="66" t="n"/>
      <c r="S26" s="72">
        <f>IF($A26="","",IF(OR(D26="",H26=""),0,IF(OR(H26&lt;=0.15,H26&gt;=0.9),4,IF(AND(H26&gt;=0.35,H26&lt;=0.6),-3,IF(H26&lt;0.35,2,-1)))))</f>
        <v/>
      </c>
      <c r="T26" s="72">
        <f>IF($A26="","",IF(OR(L26="",L26&gt;TIME_TOL),0,IF(S26&gt;0,2,-2)))</f>
        <v/>
      </c>
      <c r="U26" s="72">
        <f>IF($A26="","",IF(P26="",0,(IF(P26="3",4,IF(P26="1",2,IF(P26="2",1,IF(P26="4",1,IF(P26="5",-1,IF(P26="A",-3,IF(P26="B",-2,IF(P26="C",-4,0)))))))))*IF(R26="",0.6,R26/5)))</f>
        <v/>
      </c>
      <c r="V26" s="72">
        <f>IF($A26="","",MAX(-10,MIN(10,S26+T26+U26)))</f>
        <v/>
      </c>
      <c r="W26" s="73">
        <f>IF($A26="","",IF(W_TIME=0,"غیرفعال (وزن صفر)","فعال"))</f>
        <v/>
      </c>
    </row>
    <row r="27" ht="15" customHeight="1" s="56">
      <c r="A27" s="64" t="n"/>
      <c r="B27" s="65" t="n"/>
      <c r="C27" s="65" t="n"/>
      <c r="D27" s="66" t="n"/>
      <c r="E27" s="67" t="n"/>
      <c r="F27" s="68">
        <f>IF($A27="","",IFERROR(E27-B27,""))</f>
        <v/>
      </c>
      <c r="G27" s="68">
        <f>IF($A27="","",IFERROR(ROUND(F27*5/7,0),""))</f>
        <v/>
      </c>
      <c r="H27" s="69">
        <f>IF($A27="","",IFERROR(G27/D27,""))</f>
        <v/>
      </c>
      <c r="I27" s="70">
        <f>IF($A27="","",IFERROR(B27+ROUND(D27*7/5,0),""))</f>
        <v/>
      </c>
      <c r="J27" s="68">
        <f>IF($A27="","",IFERROR(I27-E27,""))</f>
        <v/>
      </c>
      <c r="K27" s="68">
        <f>IF($A27="","",IFERROR(IF(G27-INDEX($AB$5:$AB$13,MATCH(G27,$AB$5:$AB$13,1))&lt;=INDEX($AB$5:$AB$13,MIN(MATCH(G27,$AB$5:$AB$13,1)+1,9))-G27,INDEX($AB$5:$AB$13,MATCH(G27,$AB$5:$AB$13,1)),INDEX($AB$5:$AB$13,MIN(MATCH(G27,$AB$5:$AB$13,1)+1,9))),30))</f>
        <v/>
      </c>
      <c r="L27" s="68">
        <f>IF($A27="","",IFERROR(ABS(G27-K27),""))</f>
        <v/>
      </c>
      <c r="M27" s="66" t="n"/>
      <c r="N27" s="68">
        <f>IF($A27="","",IFERROR(ROUND(M27*1.618,0),""))</f>
        <v/>
      </c>
      <c r="O27" s="70">
        <f>IF($A27="","",IFERROR(C27+ROUND(N27*7/5,0),""))</f>
        <v/>
      </c>
      <c r="P27" s="71" t="n"/>
      <c r="Q27" s="71" t="n"/>
      <c r="R27" s="66" t="n"/>
      <c r="S27" s="72">
        <f>IF($A27="","",IF(OR(D27="",H27=""),0,IF(OR(H27&lt;=0.15,H27&gt;=0.9),4,IF(AND(H27&gt;=0.35,H27&lt;=0.6),-3,IF(H27&lt;0.35,2,-1)))))</f>
        <v/>
      </c>
      <c r="T27" s="72">
        <f>IF($A27="","",IF(OR(L27="",L27&gt;TIME_TOL),0,IF(S27&gt;0,2,-2)))</f>
        <v/>
      </c>
      <c r="U27" s="72">
        <f>IF($A27="","",IF(P27="",0,(IF(P27="3",4,IF(P27="1",2,IF(P27="2",1,IF(P27="4",1,IF(P27="5",-1,IF(P27="A",-3,IF(P27="B",-2,IF(P27="C",-4,0)))))))))*IF(R27="",0.6,R27/5)))</f>
        <v/>
      </c>
      <c r="V27" s="72">
        <f>IF($A27="","",MAX(-10,MIN(10,S27+T27+U27)))</f>
        <v/>
      </c>
      <c r="W27" s="73">
        <f>IF($A27="","",IF(W_TIME=0,"غیرفعال (وزن صفر)","فعال"))</f>
        <v/>
      </c>
    </row>
    <row r="28" ht="15" customHeight="1" s="56">
      <c r="A28" s="64" t="n"/>
      <c r="B28" s="65" t="n"/>
      <c r="C28" s="65" t="n"/>
      <c r="D28" s="66" t="n"/>
      <c r="E28" s="67" t="n"/>
      <c r="F28" s="68">
        <f>IF($A28="","",IFERROR(E28-B28,""))</f>
        <v/>
      </c>
      <c r="G28" s="68">
        <f>IF($A28="","",IFERROR(ROUND(F28*5/7,0),""))</f>
        <v/>
      </c>
      <c r="H28" s="69">
        <f>IF($A28="","",IFERROR(G28/D28,""))</f>
        <v/>
      </c>
      <c r="I28" s="70">
        <f>IF($A28="","",IFERROR(B28+ROUND(D28*7/5,0),""))</f>
        <v/>
      </c>
      <c r="J28" s="68">
        <f>IF($A28="","",IFERROR(I28-E28,""))</f>
        <v/>
      </c>
      <c r="K28" s="68">
        <f>IF($A28="","",IFERROR(IF(G28-INDEX($AB$5:$AB$13,MATCH(G28,$AB$5:$AB$13,1))&lt;=INDEX($AB$5:$AB$13,MIN(MATCH(G28,$AB$5:$AB$13,1)+1,9))-G28,INDEX($AB$5:$AB$13,MATCH(G28,$AB$5:$AB$13,1)),INDEX($AB$5:$AB$13,MIN(MATCH(G28,$AB$5:$AB$13,1)+1,9))),30))</f>
        <v/>
      </c>
      <c r="L28" s="68">
        <f>IF($A28="","",IFERROR(ABS(G28-K28),""))</f>
        <v/>
      </c>
      <c r="M28" s="66" t="n"/>
      <c r="N28" s="68">
        <f>IF($A28="","",IFERROR(ROUND(M28*1.618,0),""))</f>
        <v/>
      </c>
      <c r="O28" s="70">
        <f>IF($A28="","",IFERROR(C28+ROUND(N28*7/5,0),""))</f>
        <v/>
      </c>
      <c r="P28" s="71" t="n"/>
      <c r="Q28" s="71" t="n"/>
      <c r="R28" s="66" t="n"/>
      <c r="S28" s="72">
        <f>IF($A28="","",IF(OR(D28="",H28=""),0,IF(OR(H28&lt;=0.15,H28&gt;=0.9),4,IF(AND(H28&gt;=0.35,H28&lt;=0.6),-3,IF(H28&lt;0.35,2,-1)))))</f>
        <v/>
      </c>
      <c r="T28" s="72">
        <f>IF($A28="","",IF(OR(L28="",L28&gt;TIME_TOL),0,IF(S28&gt;0,2,-2)))</f>
        <v/>
      </c>
      <c r="U28" s="72">
        <f>IF($A28="","",IF(P28="",0,(IF(P28="3",4,IF(P28="1",2,IF(P28="2",1,IF(P28="4",1,IF(P28="5",-1,IF(P28="A",-3,IF(P28="B",-2,IF(P28="C",-4,0)))))))))*IF(R28="",0.6,R28/5)))</f>
        <v/>
      </c>
      <c r="V28" s="72">
        <f>IF($A28="","",MAX(-10,MIN(10,S28+T28+U28)))</f>
        <v/>
      </c>
      <c r="W28" s="73">
        <f>IF($A28="","",IF(W_TIME=0,"غیرفعال (وزن صفر)","فعال"))</f>
        <v/>
      </c>
    </row>
    <row r="29" ht="15" customHeight="1" s="56">
      <c r="A29" s="64" t="n"/>
      <c r="B29" s="65" t="n"/>
      <c r="C29" s="65" t="n"/>
      <c r="D29" s="66" t="n"/>
      <c r="E29" s="67" t="n"/>
      <c r="F29" s="68">
        <f>IF($A29="","",IFERROR(E29-B29,""))</f>
        <v/>
      </c>
      <c r="G29" s="68">
        <f>IF($A29="","",IFERROR(ROUND(F29*5/7,0),""))</f>
        <v/>
      </c>
      <c r="H29" s="69">
        <f>IF($A29="","",IFERROR(G29/D29,""))</f>
        <v/>
      </c>
      <c r="I29" s="70">
        <f>IF($A29="","",IFERROR(B29+ROUND(D29*7/5,0),""))</f>
        <v/>
      </c>
      <c r="J29" s="68">
        <f>IF($A29="","",IFERROR(I29-E29,""))</f>
        <v/>
      </c>
      <c r="K29" s="68">
        <f>IF($A29="","",IFERROR(IF(G29-INDEX($AB$5:$AB$13,MATCH(G29,$AB$5:$AB$13,1))&lt;=INDEX($AB$5:$AB$13,MIN(MATCH(G29,$AB$5:$AB$13,1)+1,9))-G29,INDEX($AB$5:$AB$13,MATCH(G29,$AB$5:$AB$13,1)),INDEX($AB$5:$AB$13,MIN(MATCH(G29,$AB$5:$AB$13,1)+1,9))),30))</f>
        <v/>
      </c>
      <c r="L29" s="68">
        <f>IF($A29="","",IFERROR(ABS(G29-K29),""))</f>
        <v/>
      </c>
      <c r="M29" s="66" t="n"/>
      <c r="N29" s="68">
        <f>IF($A29="","",IFERROR(ROUND(M29*1.618,0),""))</f>
        <v/>
      </c>
      <c r="O29" s="70">
        <f>IF($A29="","",IFERROR(C29+ROUND(N29*7/5,0),""))</f>
        <v/>
      </c>
      <c r="P29" s="71" t="n"/>
      <c r="Q29" s="71" t="n"/>
      <c r="R29" s="66" t="n"/>
      <c r="S29" s="72">
        <f>IF($A29="","",IF(OR(D29="",H29=""),0,IF(OR(H29&lt;=0.15,H29&gt;=0.9),4,IF(AND(H29&gt;=0.35,H29&lt;=0.6),-3,IF(H29&lt;0.35,2,-1)))))</f>
        <v/>
      </c>
      <c r="T29" s="72">
        <f>IF($A29="","",IF(OR(L29="",L29&gt;TIME_TOL),0,IF(S29&gt;0,2,-2)))</f>
        <v/>
      </c>
      <c r="U29" s="72">
        <f>IF($A29="","",IF(P29="",0,(IF(P29="3",4,IF(P29="1",2,IF(P29="2",1,IF(P29="4",1,IF(P29="5",-1,IF(P29="A",-3,IF(P29="B",-2,IF(P29="C",-4,0)))))))))*IF(R29="",0.6,R29/5)))</f>
        <v/>
      </c>
      <c r="V29" s="72">
        <f>IF($A29="","",MAX(-10,MIN(10,S29+T29+U29)))</f>
        <v/>
      </c>
      <c r="W29" s="73">
        <f>IF($A29="","",IF(W_TIME=0,"غیرفعال (وزن صفر)","فعال"))</f>
        <v/>
      </c>
    </row>
    <row r="30" ht="15" customHeight="1" s="56">
      <c r="A30" s="64" t="n"/>
      <c r="B30" s="65" t="n"/>
      <c r="C30" s="65" t="n"/>
      <c r="D30" s="66" t="n"/>
      <c r="E30" s="67" t="n"/>
      <c r="F30" s="68">
        <f>IF($A30="","",IFERROR(E30-B30,""))</f>
        <v/>
      </c>
      <c r="G30" s="68">
        <f>IF($A30="","",IFERROR(ROUND(F30*5/7,0),""))</f>
        <v/>
      </c>
      <c r="H30" s="69">
        <f>IF($A30="","",IFERROR(G30/D30,""))</f>
        <v/>
      </c>
      <c r="I30" s="70">
        <f>IF($A30="","",IFERROR(B30+ROUND(D30*7/5,0),""))</f>
        <v/>
      </c>
      <c r="J30" s="68">
        <f>IF($A30="","",IFERROR(I30-E30,""))</f>
        <v/>
      </c>
      <c r="K30" s="68">
        <f>IF($A30="","",IFERROR(IF(G30-INDEX($AB$5:$AB$13,MATCH(G30,$AB$5:$AB$13,1))&lt;=INDEX($AB$5:$AB$13,MIN(MATCH(G30,$AB$5:$AB$13,1)+1,9))-G30,INDEX($AB$5:$AB$13,MATCH(G30,$AB$5:$AB$13,1)),INDEX($AB$5:$AB$13,MIN(MATCH(G30,$AB$5:$AB$13,1)+1,9))),30))</f>
        <v/>
      </c>
      <c r="L30" s="68">
        <f>IF($A30="","",IFERROR(ABS(G30-K30),""))</f>
        <v/>
      </c>
      <c r="M30" s="66" t="n"/>
      <c r="N30" s="68">
        <f>IF($A30="","",IFERROR(ROUND(M30*1.618,0),""))</f>
        <v/>
      </c>
      <c r="O30" s="70">
        <f>IF($A30="","",IFERROR(C30+ROUND(N30*7/5,0),""))</f>
        <v/>
      </c>
      <c r="P30" s="71" t="n"/>
      <c r="Q30" s="71" t="n"/>
      <c r="R30" s="66" t="n"/>
      <c r="S30" s="72">
        <f>IF($A30="","",IF(OR(D30="",H30=""),0,IF(OR(H30&lt;=0.15,H30&gt;=0.9),4,IF(AND(H30&gt;=0.35,H30&lt;=0.6),-3,IF(H30&lt;0.35,2,-1)))))</f>
        <v/>
      </c>
      <c r="T30" s="72">
        <f>IF($A30="","",IF(OR(L30="",L30&gt;TIME_TOL),0,IF(S30&gt;0,2,-2)))</f>
        <v/>
      </c>
      <c r="U30" s="72">
        <f>IF($A30="","",IF(P30="",0,(IF(P30="3",4,IF(P30="1",2,IF(P30="2",1,IF(P30="4",1,IF(P30="5",-1,IF(P30="A",-3,IF(P30="B",-2,IF(P30="C",-4,0)))))))))*IF(R30="",0.6,R30/5)))</f>
        <v/>
      </c>
      <c r="V30" s="72">
        <f>IF($A30="","",MAX(-10,MIN(10,S30+T30+U30)))</f>
        <v/>
      </c>
      <c r="W30" s="73">
        <f>IF($A30="","",IF(W_TIME=0,"غیرفعال (وزن صفر)","فعال"))</f>
        <v/>
      </c>
    </row>
    <row r="31" ht="15" customHeight="1" s="56">
      <c r="A31" s="64" t="n"/>
      <c r="B31" s="65" t="n"/>
      <c r="C31" s="65" t="n"/>
      <c r="D31" s="66" t="n"/>
      <c r="E31" s="67" t="n"/>
      <c r="F31" s="68">
        <f>IF($A31="","",IFERROR(E31-B31,""))</f>
        <v/>
      </c>
      <c r="G31" s="68">
        <f>IF($A31="","",IFERROR(ROUND(F31*5/7,0),""))</f>
        <v/>
      </c>
      <c r="H31" s="69">
        <f>IF($A31="","",IFERROR(G31/D31,""))</f>
        <v/>
      </c>
      <c r="I31" s="70">
        <f>IF($A31="","",IFERROR(B31+ROUND(D31*7/5,0),""))</f>
        <v/>
      </c>
      <c r="J31" s="68">
        <f>IF($A31="","",IFERROR(I31-E31,""))</f>
        <v/>
      </c>
      <c r="K31" s="68">
        <f>IF($A31="","",IFERROR(IF(G31-INDEX($AB$5:$AB$13,MATCH(G31,$AB$5:$AB$13,1))&lt;=INDEX($AB$5:$AB$13,MIN(MATCH(G31,$AB$5:$AB$13,1)+1,9))-G31,INDEX($AB$5:$AB$13,MATCH(G31,$AB$5:$AB$13,1)),INDEX($AB$5:$AB$13,MIN(MATCH(G31,$AB$5:$AB$13,1)+1,9))),30))</f>
        <v/>
      </c>
      <c r="L31" s="68">
        <f>IF($A31="","",IFERROR(ABS(G31-K31),""))</f>
        <v/>
      </c>
      <c r="M31" s="66" t="n"/>
      <c r="N31" s="68">
        <f>IF($A31="","",IFERROR(ROUND(M31*1.618,0),""))</f>
        <v/>
      </c>
      <c r="O31" s="70">
        <f>IF($A31="","",IFERROR(C31+ROUND(N31*7/5,0),""))</f>
        <v/>
      </c>
      <c r="P31" s="71" t="n"/>
      <c r="Q31" s="71" t="n"/>
      <c r="R31" s="66" t="n"/>
      <c r="S31" s="72">
        <f>IF($A31="","",IF(OR(D31="",H31=""),0,IF(OR(H31&lt;=0.15,H31&gt;=0.9),4,IF(AND(H31&gt;=0.35,H31&lt;=0.6),-3,IF(H31&lt;0.35,2,-1)))))</f>
        <v/>
      </c>
      <c r="T31" s="72">
        <f>IF($A31="","",IF(OR(L31="",L31&gt;TIME_TOL),0,IF(S31&gt;0,2,-2)))</f>
        <v/>
      </c>
      <c r="U31" s="72">
        <f>IF($A31="","",IF(P31="",0,(IF(P31="3",4,IF(P31="1",2,IF(P31="2",1,IF(P31="4",1,IF(P31="5",-1,IF(P31="A",-3,IF(P31="B",-2,IF(P31="C",-4,0)))))))))*IF(R31="",0.6,R31/5)))</f>
        <v/>
      </c>
      <c r="V31" s="72">
        <f>IF($A31="","",MAX(-10,MIN(10,S31+T31+U31)))</f>
        <v/>
      </c>
      <c r="W31" s="73">
        <f>IF($A31="","",IF(W_TIME=0,"غیرفعال (وزن صفر)","فعال"))</f>
        <v/>
      </c>
    </row>
    <row r="32" ht="15" customHeight="1" s="56">
      <c r="A32" s="64" t="n"/>
      <c r="B32" s="65" t="n"/>
      <c r="C32" s="65" t="n"/>
      <c r="D32" s="66" t="n"/>
      <c r="E32" s="67" t="n"/>
      <c r="F32" s="68">
        <f>IF($A32="","",IFERROR(E32-B32,""))</f>
        <v/>
      </c>
      <c r="G32" s="68">
        <f>IF($A32="","",IFERROR(ROUND(F32*5/7,0),""))</f>
        <v/>
      </c>
      <c r="H32" s="69">
        <f>IF($A32="","",IFERROR(G32/D32,""))</f>
        <v/>
      </c>
      <c r="I32" s="70">
        <f>IF($A32="","",IFERROR(B32+ROUND(D32*7/5,0),""))</f>
        <v/>
      </c>
      <c r="J32" s="68">
        <f>IF($A32="","",IFERROR(I32-E32,""))</f>
        <v/>
      </c>
      <c r="K32" s="68">
        <f>IF($A32="","",IFERROR(IF(G32-INDEX($AB$5:$AB$13,MATCH(G32,$AB$5:$AB$13,1))&lt;=INDEX($AB$5:$AB$13,MIN(MATCH(G32,$AB$5:$AB$13,1)+1,9))-G32,INDEX($AB$5:$AB$13,MATCH(G32,$AB$5:$AB$13,1)),INDEX($AB$5:$AB$13,MIN(MATCH(G32,$AB$5:$AB$13,1)+1,9))),30))</f>
        <v/>
      </c>
      <c r="L32" s="68">
        <f>IF($A32="","",IFERROR(ABS(G32-K32),""))</f>
        <v/>
      </c>
      <c r="M32" s="66" t="n"/>
      <c r="N32" s="68">
        <f>IF($A32="","",IFERROR(ROUND(M32*1.618,0),""))</f>
        <v/>
      </c>
      <c r="O32" s="70">
        <f>IF($A32="","",IFERROR(C32+ROUND(N32*7/5,0),""))</f>
        <v/>
      </c>
      <c r="P32" s="71" t="n"/>
      <c r="Q32" s="71" t="n"/>
      <c r="R32" s="66" t="n"/>
      <c r="S32" s="72">
        <f>IF($A32="","",IF(OR(D32="",H32=""),0,IF(OR(H32&lt;=0.15,H32&gt;=0.9),4,IF(AND(H32&gt;=0.35,H32&lt;=0.6),-3,IF(H32&lt;0.35,2,-1)))))</f>
        <v/>
      </c>
      <c r="T32" s="72">
        <f>IF($A32="","",IF(OR(L32="",L32&gt;TIME_TOL),0,IF(S32&gt;0,2,-2)))</f>
        <v/>
      </c>
      <c r="U32" s="72">
        <f>IF($A32="","",IF(P32="",0,(IF(P32="3",4,IF(P32="1",2,IF(P32="2",1,IF(P32="4",1,IF(P32="5",-1,IF(P32="A",-3,IF(P32="B",-2,IF(P32="C",-4,0)))))))))*IF(R32="",0.6,R32/5)))</f>
        <v/>
      </c>
      <c r="V32" s="72">
        <f>IF($A32="","",MAX(-10,MIN(10,S32+T32+U32)))</f>
        <v/>
      </c>
      <c r="W32" s="73">
        <f>IF($A32="","",IF(W_TIME=0,"غیرفعال (وزن صفر)","فعال"))</f>
        <v/>
      </c>
    </row>
    <row r="33" ht="15" customHeight="1" s="56">
      <c r="A33" s="64" t="n"/>
      <c r="B33" s="65" t="n"/>
      <c r="C33" s="65" t="n"/>
      <c r="D33" s="66" t="n"/>
      <c r="E33" s="67" t="n"/>
      <c r="F33" s="68">
        <f>IF($A33="","",IFERROR(E33-B33,""))</f>
        <v/>
      </c>
      <c r="G33" s="68">
        <f>IF($A33="","",IFERROR(ROUND(F33*5/7,0),""))</f>
        <v/>
      </c>
      <c r="H33" s="69">
        <f>IF($A33="","",IFERROR(G33/D33,""))</f>
        <v/>
      </c>
      <c r="I33" s="70">
        <f>IF($A33="","",IFERROR(B33+ROUND(D33*7/5,0),""))</f>
        <v/>
      </c>
      <c r="J33" s="68">
        <f>IF($A33="","",IFERROR(I33-E33,""))</f>
        <v/>
      </c>
      <c r="K33" s="68">
        <f>IF($A33="","",IFERROR(IF(G33-INDEX($AB$5:$AB$13,MATCH(G33,$AB$5:$AB$13,1))&lt;=INDEX($AB$5:$AB$13,MIN(MATCH(G33,$AB$5:$AB$13,1)+1,9))-G33,INDEX($AB$5:$AB$13,MATCH(G33,$AB$5:$AB$13,1)),INDEX($AB$5:$AB$13,MIN(MATCH(G33,$AB$5:$AB$13,1)+1,9))),30))</f>
        <v/>
      </c>
      <c r="L33" s="68">
        <f>IF($A33="","",IFERROR(ABS(G33-K33),""))</f>
        <v/>
      </c>
      <c r="M33" s="66" t="n"/>
      <c r="N33" s="68">
        <f>IF($A33="","",IFERROR(ROUND(M33*1.618,0),""))</f>
        <v/>
      </c>
      <c r="O33" s="70">
        <f>IF($A33="","",IFERROR(C33+ROUND(N33*7/5,0),""))</f>
        <v/>
      </c>
      <c r="P33" s="71" t="n"/>
      <c r="Q33" s="71" t="n"/>
      <c r="R33" s="66" t="n"/>
      <c r="S33" s="72">
        <f>IF($A33="","",IF(OR(D33="",H33=""),0,IF(OR(H33&lt;=0.15,H33&gt;=0.9),4,IF(AND(H33&gt;=0.35,H33&lt;=0.6),-3,IF(H33&lt;0.35,2,-1)))))</f>
        <v/>
      </c>
      <c r="T33" s="72">
        <f>IF($A33="","",IF(OR(L33="",L33&gt;TIME_TOL),0,IF(S33&gt;0,2,-2)))</f>
        <v/>
      </c>
      <c r="U33" s="72">
        <f>IF($A33="","",IF(P33="",0,(IF(P33="3",4,IF(P33="1",2,IF(P33="2",1,IF(P33="4",1,IF(P33="5",-1,IF(P33="A",-3,IF(P33="B",-2,IF(P33="C",-4,0)))))))))*IF(R33="",0.6,R33/5)))</f>
        <v/>
      </c>
      <c r="V33" s="72">
        <f>IF($A33="","",MAX(-10,MIN(10,S33+T33+U33)))</f>
        <v/>
      </c>
      <c r="W33" s="73">
        <f>IF($A33="","",IF(W_TIME=0,"غیرفعال (وزن صفر)","فعال"))</f>
        <v/>
      </c>
    </row>
    <row r="34" ht="15" customHeight="1" s="56">
      <c r="A34" s="64" t="n"/>
      <c r="B34" s="65" t="n"/>
      <c r="C34" s="65" t="n"/>
      <c r="D34" s="66" t="n"/>
      <c r="E34" s="67" t="n"/>
      <c r="F34" s="68">
        <f>IF($A34="","",IFERROR(E34-B34,""))</f>
        <v/>
      </c>
      <c r="G34" s="68">
        <f>IF($A34="","",IFERROR(ROUND(F34*5/7,0),""))</f>
        <v/>
      </c>
      <c r="H34" s="69">
        <f>IF($A34="","",IFERROR(G34/D34,""))</f>
        <v/>
      </c>
      <c r="I34" s="70">
        <f>IF($A34="","",IFERROR(B34+ROUND(D34*7/5,0),""))</f>
        <v/>
      </c>
      <c r="J34" s="68">
        <f>IF($A34="","",IFERROR(I34-E34,""))</f>
        <v/>
      </c>
      <c r="K34" s="68">
        <f>IF($A34="","",IFERROR(IF(G34-INDEX($AB$5:$AB$13,MATCH(G34,$AB$5:$AB$13,1))&lt;=INDEX($AB$5:$AB$13,MIN(MATCH(G34,$AB$5:$AB$13,1)+1,9))-G34,INDEX($AB$5:$AB$13,MATCH(G34,$AB$5:$AB$13,1)),INDEX($AB$5:$AB$13,MIN(MATCH(G34,$AB$5:$AB$13,1)+1,9))),30))</f>
        <v/>
      </c>
      <c r="L34" s="68">
        <f>IF($A34="","",IFERROR(ABS(G34-K34),""))</f>
        <v/>
      </c>
      <c r="M34" s="66" t="n"/>
      <c r="N34" s="68">
        <f>IF($A34="","",IFERROR(ROUND(M34*1.618,0),""))</f>
        <v/>
      </c>
      <c r="O34" s="70">
        <f>IF($A34="","",IFERROR(C34+ROUND(N34*7/5,0),""))</f>
        <v/>
      </c>
      <c r="P34" s="71" t="n"/>
      <c r="Q34" s="71" t="n"/>
      <c r="R34" s="66" t="n"/>
      <c r="S34" s="72">
        <f>IF($A34="","",IF(OR(D34="",H34=""),0,IF(OR(H34&lt;=0.15,H34&gt;=0.9),4,IF(AND(H34&gt;=0.35,H34&lt;=0.6),-3,IF(H34&lt;0.35,2,-1)))))</f>
        <v/>
      </c>
      <c r="T34" s="72">
        <f>IF($A34="","",IF(OR(L34="",L34&gt;TIME_TOL),0,IF(S34&gt;0,2,-2)))</f>
        <v/>
      </c>
      <c r="U34" s="72">
        <f>IF($A34="","",IF(P34="",0,(IF(P34="3",4,IF(P34="1",2,IF(P34="2",1,IF(P34="4",1,IF(P34="5",-1,IF(P34="A",-3,IF(P34="B",-2,IF(P34="C",-4,0)))))))))*IF(R34="",0.6,R34/5)))</f>
        <v/>
      </c>
      <c r="V34" s="72">
        <f>IF($A34="","",MAX(-10,MIN(10,S34+T34+U34)))</f>
        <v/>
      </c>
      <c r="W34" s="73">
        <f>IF($A34="","",IF(W_TIME=0,"غیرفعال (وزن صفر)","فعال"))</f>
        <v/>
      </c>
    </row>
    <row r="35" ht="15" customHeight="1" s="56">
      <c r="A35" s="64" t="n"/>
      <c r="B35" s="65" t="n"/>
      <c r="C35" s="65" t="n"/>
      <c r="D35" s="66" t="n"/>
      <c r="E35" s="67" t="n"/>
      <c r="F35" s="68">
        <f>IF($A35="","",IFERROR(E35-B35,""))</f>
        <v/>
      </c>
      <c r="G35" s="68">
        <f>IF($A35="","",IFERROR(ROUND(F35*5/7,0),""))</f>
        <v/>
      </c>
      <c r="H35" s="69">
        <f>IF($A35="","",IFERROR(G35/D35,""))</f>
        <v/>
      </c>
      <c r="I35" s="70">
        <f>IF($A35="","",IFERROR(B35+ROUND(D35*7/5,0),""))</f>
        <v/>
      </c>
      <c r="J35" s="68">
        <f>IF($A35="","",IFERROR(I35-E35,""))</f>
        <v/>
      </c>
      <c r="K35" s="68">
        <f>IF($A35="","",IFERROR(IF(G35-INDEX($AB$5:$AB$13,MATCH(G35,$AB$5:$AB$13,1))&lt;=INDEX($AB$5:$AB$13,MIN(MATCH(G35,$AB$5:$AB$13,1)+1,9))-G35,INDEX($AB$5:$AB$13,MATCH(G35,$AB$5:$AB$13,1)),INDEX($AB$5:$AB$13,MIN(MATCH(G35,$AB$5:$AB$13,1)+1,9))),30))</f>
        <v/>
      </c>
      <c r="L35" s="68">
        <f>IF($A35="","",IFERROR(ABS(G35-K35),""))</f>
        <v/>
      </c>
      <c r="M35" s="66" t="n"/>
      <c r="N35" s="68">
        <f>IF($A35="","",IFERROR(ROUND(M35*1.618,0),""))</f>
        <v/>
      </c>
      <c r="O35" s="70">
        <f>IF($A35="","",IFERROR(C35+ROUND(N35*7/5,0),""))</f>
        <v/>
      </c>
      <c r="P35" s="71" t="n"/>
      <c r="Q35" s="71" t="n"/>
      <c r="R35" s="66" t="n"/>
      <c r="S35" s="72">
        <f>IF($A35="","",IF(OR(D35="",H35=""),0,IF(OR(H35&lt;=0.15,H35&gt;=0.9),4,IF(AND(H35&gt;=0.35,H35&lt;=0.6),-3,IF(H35&lt;0.35,2,-1)))))</f>
        <v/>
      </c>
      <c r="T35" s="72">
        <f>IF($A35="","",IF(OR(L35="",L35&gt;TIME_TOL),0,IF(S35&gt;0,2,-2)))</f>
        <v/>
      </c>
      <c r="U35" s="72">
        <f>IF($A35="","",IF(P35="",0,(IF(P35="3",4,IF(P35="1",2,IF(P35="2",1,IF(P35="4",1,IF(P35="5",-1,IF(P35="A",-3,IF(P35="B",-2,IF(P35="C",-4,0)))))))))*IF(R35="",0.6,R35/5)))</f>
        <v/>
      </c>
      <c r="V35" s="72">
        <f>IF($A35="","",MAX(-10,MIN(10,S35+T35+U35)))</f>
        <v/>
      </c>
      <c r="W35" s="73">
        <f>IF($A35="","",IF(W_TIME=0,"غیرفعال (وزن صفر)","فعال"))</f>
        <v/>
      </c>
    </row>
    <row r="36" ht="15" customHeight="1" s="56">
      <c r="A36" s="64" t="n"/>
      <c r="B36" s="65" t="n"/>
      <c r="C36" s="65" t="n"/>
      <c r="D36" s="66" t="n"/>
      <c r="E36" s="67" t="n"/>
      <c r="F36" s="68">
        <f>IF($A36="","",IFERROR(E36-B36,""))</f>
        <v/>
      </c>
      <c r="G36" s="68">
        <f>IF($A36="","",IFERROR(ROUND(F36*5/7,0),""))</f>
        <v/>
      </c>
      <c r="H36" s="69">
        <f>IF($A36="","",IFERROR(G36/D36,""))</f>
        <v/>
      </c>
      <c r="I36" s="70">
        <f>IF($A36="","",IFERROR(B36+ROUND(D36*7/5,0),""))</f>
        <v/>
      </c>
      <c r="J36" s="68">
        <f>IF($A36="","",IFERROR(I36-E36,""))</f>
        <v/>
      </c>
      <c r="K36" s="68">
        <f>IF($A36="","",IFERROR(IF(G36-INDEX($AB$5:$AB$13,MATCH(G36,$AB$5:$AB$13,1))&lt;=INDEX($AB$5:$AB$13,MIN(MATCH(G36,$AB$5:$AB$13,1)+1,9))-G36,INDEX($AB$5:$AB$13,MATCH(G36,$AB$5:$AB$13,1)),INDEX($AB$5:$AB$13,MIN(MATCH(G36,$AB$5:$AB$13,1)+1,9))),30))</f>
        <v/>
      </c>
      <c r="L36" s="68">
        <f>IF($A36="","",IFERROR(ABS(G36-K36),""))</f>
        <v/>
      </c>
      <c r="M36" s="66" t="n"/>
      <c r="N36" s="68">
        <f>IF($A36="","",IFERROR(ROUND(M36*1.618,0),""))</f>
        <v/>
      </c>
      <c r="O36" s="70">
        <f>IF($A36="","",IFERROR(C36+ROUND(N36*7/5,0),""))</f>
        <v/>
      </c>
      <c r="P36" s="71" t="n"/>
      <c r="Q36" s="71" t="n"/>
      <c r="R36" s="66" t="n"/>
      <c r="S36" s="72">
        <f>IF($A36="","",IF(OR(D36="",H36=""),0,IF(OR(H36&lt;=0.15,H36&gt;=0.9),4,IF(AND(H36&gt;=0.35,H36&lt;=0.6),-3,IF(H36&lt;0.35,2,-1)))))</f>
        <v/>
      </c>
      <c r="T36" s="72">
        <f>IF($A36="","",IF(OR(L36="",L36&gt;TIME_TOL),0,IF(S36&gt;0,2,-2)))</f>
        <v/>
      </c>
      <c r="U36" s="72">
        <f>IF($A36="","",IF(P36="",0,(IF(P36="3",4,IF(P36="1",2,IF(P36="2",1,IF(P36="4",1,IF(P36="5",-1,IF(P36="A",-3,IF(P36="B",-2,IF(P36="C",-4,0)))))))))*IF(R36="",0.6,R36/5)))</f>
        <v/>
      </c>
      <c r="V36" s="72">
        <f>IF($A36="","",MAX(-10,MIN(10,S36+T36+U36)))</f>
        <v/>
      </c>
      <c r="W36" s="73">
        <f>IF($A36="","",IF(W_TIME=0,"غیرفعال (وزن صفر)","فعال"))</f>
        <v/>
      </c>
    </row>
    <row r="37" ht="15" customHeight="1" s="56">
      <c r="A37" s="64" t="n"/>
      <c r="B37" s="65" t="n"/>
      <c r="C37" s="65" t="n"/>
      <c r="D37" s="66" t="n"/>
      <c r="E37" s="67" t="n"/>
      <c r="F37" s="68">
        <f>IF($A37="","",IFERROR(E37-B37,""))</f>
        <v/>
      </c>
      <c r="G37" s="68">
        <f>IF($A37="","",IFERROR(ROUND(F37*5/7,0),""))</f>
        <v/>
      </c>
      <c r="H37" s="69">
        <f>IF($A37="","",IFERROR(G37/D37,""))</f>
        <v/>
      </c>
      <c r="I37" s="70">
        <f>IF($A37="","",IFERROR(B37+ROUND(D37*7/5,0),""))</f>
        <v/>
      </c>
      <c r="J37" s="68">
        <f>IF($A37="","",IFERROR(I37-E37,""))</f>
        <v/>
      </c>
      <c r="K37" s="68">
        <f>IF($A37="","",IFERROR(IF(G37-INDEX($AB$5:$AB$13,MATCH(G37,$AB$5:$AB$13,1))&lt;=INDEX($AB$5:$AB$13,MIN(MATCH(G37,$AB$5:$AB$13,1)+1,9))-G37,INDEX($AB$5:$AB$13,MATCH(G37,$AB$5:$AB$13,1)),INDEX($AB$5:$AB$13,MIN(MATCH(G37,$AB$5:$AB$13,1)+1,9))),30))</f>
        <v/>
      </c>
      <c r="L37" s="68">
        <f>IF($A37="","",IFERROR(ABS(G37-K37),""))</f>
        <v/>
      </c>
      <c r="M37" s="66" t="n"/>
      <c r="N37" s="68">
        <f>IF($A37="","",IFERROR(ROUND(M37*1.618,0),""))</f>
        <v/>
      </c>
      <c r="O37" s="70">
        <f>IF($A37="","",IFERROR(C37+ROUND(N37*7/5,0),""))</f>
        <v/>
      </c>
      <c r="P37" s="71" t="n"/>
      <c r="Q37" s="71" t="n"/>
      <c r="R37" s="66" t="n"/>
      <c r="S37" s="72">
        <f>IF($A37="","",IF(OR(D37="",H37=""),0,IF(OR(H37&lt;=0.15,H37&gt;=0.9),4,IF(AND(H37&gt;=0.35,H37&lt;=0.6),-3,IF(H37&lt;0.35,2,-1)))))</f>
        <v/>
      </c>
      <c r="T37" s="72">
        <f>IF($A37="","",IF(OR(L37="",L37&gt;TIME_TOL),0,IF(S37&gt;0,2,-2)))</f>
        <v/>
      </c>
      <c r="U37" s="72">
        <f>IF($A37="","",IF(P37="",0,(IF(P37="3",4,IF(P37="1",2,IF(P37="2",1,IF(P37="4",1,IF(P37="5",-1,IF(P37="A",-3,IF(P37="B",-2,IF(P37="C",-4,0)))))))))*IF(R37="",0.6,R37/5)))</f>
        <v/>
      </c>
      <c r="V37" s="72">
        <f>IF($A37="","",MAX(-10,MIN(10,S37+T37+U37)))</f>
        <v/>
      </c>
      <c r="W37" s="73">
        <f>IF($A37="","",IF(W_TIME=0,"غیرفعال (وزن صفر)","فعال"))</f>
        <v/>
      </c>
    </row>
    <row r="38" ht="15" customHeight="1" s="56">
      <c r="A38" s="64" t="n"/>
      <c r="B38" s="65" t="n"/>
      <c r="C38" s="65" t="n"/>
      <c r="D38" s="66" t="n"/>
      <c r="E38" s="67" t="n"/>
      <c r="F38" s="68">
        <f>IF($A38="","",IFERROR(E38-B38,""))</f>
        <v/>
      </c>
      <c r="G38" s="68">
        <f>IF($A38="","",IFERROR(ROUND(F38*5/7,0),""))</f>
        <v/>
      </c>
      <c r="H38" s="69">
        <f>IF($A38="","",IFERROR(G38/D38,""))</f>
        <v/>
      </c>
      <c r="I38" s="70">
        <f>IF($A38="","",IFERROR(B38+ROUND(D38*7/5,0),""))</f>
        <v/>
      </c>
      <c r="J38" s="68">
        <f>IF($A38="","",IFERROR(I38-E38,""))</f>
        <v/>
      </c>
      <c r="K38" s="68">
        <f>IF($A38="","",IFERROR(IF(G38-INDEX($AB$5:$AB$13,MATCH(G38,$AB$5:$AB$13,1))&lt;=INDEX($AB$5:$AB$13,MIN(MATCH(G38,$AB$5:$AB$13,1)+1,9))-G38,INDEX($AB$5:$AB$13,MATCH(G38,$AB$5:$AB$13,1)),INDEX($AB$5:$AB$13,MIN(MATCH(G38,$AB$5:$AB$13,1)+1,9))),30))</f>
        <v/>
      </c>
      <c r="L38" s="68">
        <f>IF($A38="","",IFERROR(ABS(G38-K38),""))</f>
        <v/>
      </c>
      <c r="M38" s="66" t="n"/>
      <c r="N38" s="68">
        <f>IF($A38="","",IFERROR(ROUND(M38*1.618,0),""))</f>
        <v/>
      </c>
      <c r="O38" s="70">
        <f>IF($A38="","",IFERROR(C38+ROUND(N38*7/5,0),""))</f>
        <v/>
      </c>
      <c r="P38" s="71" t="n"/>
      <c r="Q38" s="71" t="n"/>
      <c r="R38" s="66" t="n"/>
      <c r="S38" s="72">
        <f>IF($A38="","",IF(OR(D38="",H38=""),0,IF(OR(H38&lt;=0.15,H38&gt;=0.9),4,IF(AND(H38&gt;=0.35,H38&lt;=0.6),-3,IF(H38&lt;0.35,2,-1)))))</f>
        <v/>
      </c>
      <c r="T38" s="72">
        <f>IF($A38="","",IF(OR(L38="",L38&gt;TIME_TOL),0,IF(S38&gt;0,2,-2)))</f>
        <v/>
      </c>
      <c r="U38" s="72">
        <f>IF($A38="","",IF(P38="",0,(IF(P38="3",4,IF(P38="1",2,IF(P38="2",1,IF(P38="4",1,IF(P38="5",-1,IF(P38="A",-3,IF(P38="B",-2,IF(P38="C",-4,0)))))))))*IF(R38="",0.6,R38/5)))</f>
        <v/>
      </c>
      <c r="V38" s="72">
        <f>IF($A38="","",MAX(-10,MIN(10,S38+T38+U38)))</f>
        <v/>
      </c>
      <c r="W38" s="73">
        <f>IF($A38="","",IF(W_TIME=0,"غیرفعال (وزن صفر)","فعال"))</f>
        <v/>
      </c>
    </row>
    <row r="39" ht="15" customHeight="1" s="56">
      <c r="A39" s="64" t="n"/>
      <c r="B39" s="65" t="n"/>
      <c r="C39" s="65" t="n"/>
      <c r="D39" s="66" t="n"/>
      <c r="E39" s="67" t="n"/>
      <c r="F39" s="68">
        <f>IF($A39="","",IFERROR(E39-B39,""))</f>
        <v/>
      </c>
      <c r="G39" s="68">
        <f>IF($A39="","",IFERROR(ROUND(F39*5/7,0),""))</f>
        <v/>
      </c>
      <c r="H39" s="69">
        <f>IF($A39="","",IFERROR(G39/D39,""))</f>
        <v/>
      </c>
      <c r="I39" s="70">
        <f>IF($A39="","",IFERROR(B39+ROUND(D39*7/5,0),""))</f>
        <v/>
      </c>
      <c r="J39" s="68">
        <f>IF($A39="","",IFERROR(I39-E39,""))</f>
        <v/>
      </c>
      <c r="K39" s="68">
        <f>IF($A39="","",IFERROR(IF(G39-INDEX($AB$5:$AB$13,MATCH(G39,$AB$5:$AB$13,1))&lt;=INDEX($AB$5:$AB$13,MIN(MATCH(G39,$AB$5:$AB$13,1)+1,9))-G39,INDEX($AB$5:$AB$13,MATCH(G39,$AB$5:$AB$13,1)),INDEX($AB$5:$AB$13,MIN(MATCH(G39,$AB$5:$AB$13,1)+1,9))),30))</f>
        <v/>
      </c>
      <c r="L39" s="68">
        <f>IF($A39="","",IFERROR(ABS(G39-K39),""))</f>
        <v/>
      </c>
      <c r="M39" s="66" t="n"/>
      <c r="N39" s="68">
        <f>IF($A39="","",IFERROR(ROUND(M39*1.618,0),""))</f>
        <v/>
      </c>
      <c r="O39" s="70">
        <f>IF($A39="","",IFERROR(C39+ROUND(N39*7/5,0),""))</f>
        <v/>
      </c>
      <c r="P39" s="71" t="n"/>
      <c r="Q39" s="71" t="n"/>
      <c r="R39" s="66" t="n"/>
      <c r="S39" s="72">
        <f>IF($A39="","",IF(OR(D39="",H39=""),0,IF(OR(H39&lt;=0.15,H39&gt;=0.9),4,IF(AND(H39&gt;=0.35,H39&lt;=0.6),-3,IF(H39&lt;0.35,2,-1)))))</f>
        <v/>
      </c>
      <c r="T39" s="72">
        <f>IF($A39="","",IF(OR(L39="",L39&gt;TIME_TOL),0,IF(S39&gt;0,2,-2)))</f>
        <v/>
      </c>
      <c r="U39" s="72">
        <f>IF($A39="","",IF(P39="",0,(IF(P39="3",4,IF(P39="1",2,IF(P39="2",1,IF(P39="4",1,IF(P39="5",-1,IF(P39="A",-3,IF(P39="B",-2,IF(P39="C",-4,0)))))))))*IF(R39="",0.6,R39/5)))</f>
        <v/>
      </c>
      <c r="V39" s="72">
        <f>IF($A39="","",MAX(-10,MIN(10,S39+T39+U39)))</f>
        <v/>
      </c>
      <c r="W39" s="73">
        <f>IF($A39="","",IF(W_TIME=0,"غیرفعال (وزن صفر)","فعال"))</f>
        <v/>
      </c>
    </row>
    <row r="40" ht="15" customHeight="1" s="56">
      <c r="A40" s="64" t="n"/>
      <c r="B40" s="65" t="n"/>
      <c r="C40" s="65" t="n"/>
      <c r="D40" s="66" t="n"/>
      <c r="E40" s="67" t="n"/>
      <c r="F40" s="68">
        <f>IF($A40="","",IFERROR(E40-B40,""))</f>
        <v/>
      </c>
      <c r="G40" s="68">
        <f>IF($A40="","",IFERROR(ROUND(F40*5/7,0),""))</f>
        <v/>
      </c>
      <c r="H40" s="69">
        <f>IF($A40="","",IFERROR(G40/D40,""))</f>
        <v/>
      </c>
      <c r="I40" s="70">
        <f>IF($A40="","",IFERROR(B40+ROUND(D40*7/5,0),""))</f>
        <v/>
      </c>
      <c r="J40" s="68">
        <f>IF($A40="","",IFERROR(I40-E40,""))</f>
        <v/>
      </c>
      <c r="K40" s="68">
        <f>IF($A40="","",IFERROR(IF(G40-INDEX($AB$5:$AB$13,MATCH(G40,$AB$5:$AB$13,1))&lt;=INDEX($AB$5:$AB$13,MIN(MATCH(G40,$AB$5:$AB$13,1)+1,9))-G40,INDEX($AB$5:$AB$13,MATCH(G40,$AB$5:$AB$13,1)),INDEX($AB$5:$AB$13,MIN(MATCH(G40,$AB$5:$AB$13,1)+1,9))),30))</f>
        <v/>
      </c>
      <c r="L40" s="68">
        <f>IF($A40="","",IFERROR(ABS(G40-K40),""))</f>
        <v/>
      </c>
      <c r="M40" s="66" t="n"/>
      <c r="N40" s="68">
        <f>IF($A40="","",IFERROR(ROUND(M40*1.618,0),""))</f>
        <v/>
      </c>
      <c r="O40" s="70">
        <f>IF($A40="","",IFERROR(C40+ROUND(N40*7/5,0),""))</f>
        <v/>
      </c>
      <c r="P40" s="71" t="n"/>
      <c r="Q40" s="71" t="n"/>
      <c r="R40" s="66" t="n"/>
      <c r="S40" s="72">
        <f>IF($A40="","",IF(OR(D40="",H40=""),0,IF(OR(H40&lt;=0.15,H40&gt;=0.9),4,IF(AND(H40&gt;=0.35,H40&lt;=0.6),-3,IF(H40&lt;0.35,2,-1)))))</f>
        <v/>
      </c>
      <c r="T40" s="72">
        <f>IF($A40="","",IF(OR(L40="",L40&gt;TIME_TOL),0,IF(S40&gt;0,2,-2)))</f>
        <v/>
      </c>
      <c r="U40" s="72">
        <f>IF($A40="","",IF(P40="",0,(IF(P40="3",4,IF(P40="1",2,IF(P40="2",1,IF(P40="4",1,IF(P40="5",-1,IF(P40="A",-3,IF(P40="B",-2,IF(P40="C",-4,0)))))))))*IF(R40="",0.6,R40/5)))</f>
        <v/>
      </c>
      <c r="V40" s="72">
        <f>IF($A40="","",MAX(-10,MIN(10,S40+T40+U40)))</f>
        <v/>
      </c>
      <c r="W40" s="73">
        <f>IF($A40="","",IF(W_TIME=0,"غیرفعال (وزن صفر)","فعال"))</f>
        <v/>
      </c>
    </row>
    <row r="41" ht="15" customHeight="1" s="56">
      <c r="A41" s="64" t="n"/>
      <c r="B41" s="65" t="n"/>
      <c r="C41" s="65" t="n"/>
      <c r="D41" s="66" t="n"/>
      <c r="E41" s="67" t="n"/>
      <c r="F41" s="68">
        <f>IF($A41="","",IFERROR(E41-B41,""))</f>
        <v/>
      </c>
      <c r="G41" s="68">
        <f>IF($A41="","",IFERROR(ROUND(F41*5/7,0),""))</f>
        <v/>
      </c>
      <c r="H41" s="69">
        <f>IF($A41="","",IFERROR(G41/D41,""))</f>
        <v/>
      </c>
      <c r="I41" s="70">
        <f>IF($A41="","",IFERROR(B41+ROUND(D41*7/5,0),""))</f>
        <v/>
      </c>
      <c r="J41" s="68">
        <f>IF($A41="","",IFERROR(I41-E41,""))</f>
        <v/>
      </c>
      <c r="K41" s="68">
        <f>IF($A41="","",IFERROR(IF(G41-INDEX($AB$5:$AB$13,MATCH(G41,$AB$5:$AB$13,1))&lt;=INDEX($AB$5:$AB$13,MIN(MATCH(G41,$AB$5:$AB$13,1)+1,9))-G41,INDEX($AB$5:$AB$13,MATCH(G41,$AB$5:$AB$13,1)),INDEX($AB$5:$AB$13,MIN(MATCH(G41,$AB$5:$AB$13,1)+1,9))),30))</f>
        <v/>
      </c>
      <c r="L41" s="68">
        <f>IF($A41="","",IFERROR(ABS(G41-K41),""))</f>
        <v/>
      </c>
      <c r="M41" s="66" t="n"/>
      <c r="N41" s="68">
        <f>IF($A41="","",IFERROR(ROUND(M41*1.618,0),""))</f>
        <v/>
      </c>
      <c r="O41" s="70">
        <f>IF($A41="","",IFERROR(C41+ROUND(N41*7/5,0),""))</f>
        <v/>
      </c>
      <c r="P41" s="71" t="n"/>
      <c r="Q41" s="71" t="n"/>
      <c r="R41" s="66" t="n"/>
      <c r="S41" s="72">
        <f>IF($A41="","",IF(OR(D41="",H41=""),0,IF(OR(H41&lt;=0.15,H41&gt;=0.9),4,IF(AND(H41&gt;=0.35,H41&lt;=0.6),-3,IF(H41&lt;0.35,2,-1)))))</f>
        <v/>
      </c>
      <c r="T41" s="72">
        <f>IF($A41="","",IF(OR(L41="",L41&gt;TIME_TOL),0,IF(S41&gt;0,2,-2)))</f>
        <v/>
      </c>
      <c r="U41" s="72">
        <f>IF($A41="","",IF(P41="",0,(IF(P41="3",4,IF(P41="1",2,IF(P41="2",1,IF(P41="4",1,IF(P41="5",-1,IF(P41="A",-3,IF(P41="B",-2,IF(P41="C",-4,0)))))))))*IF(R41="",0.6,R41/5)))</f>
        <v/>
      </c>
      <c r="V41" s="72">
        <f>IF($A41="","",MAX(-10,MIN(10,S41+T41+U41)))</f>
        <v/>
      </c>
      <c r="W41" s="73">
        <f>IF($A41="","",IF(W_TIME=0,"غیرفعال (وزن صفر)","فعال"))</f>
        <v/>
      </c>
    </row>
    <row r="42" ht="15" customHeight="1" s="56">
      <c r="A42" s="64" t="n"/>
      <c r="B42" s="65" t="n"/>
      <c r="C42" s="65" t="n"/>
      <c r="D42" s="66" t="n"/>
      <c r="E42" s="67" t="n"/>
      <c r="F42" s="68">
        <f>IF($A42="","",IFERROR(E42-B42,""))</f>
        <v/>
      </c>
      <c r="G42" s="68">
        <f>IF($A42="","",IFERROR(ROUND(F42*5/7,0),""))</f>
        <v/>
      </c>
      <c r="H42" s="69">
        <f>IF($A42="","",IFERROR(G42/D42,""))</f>
        <v/>
      </c>
      <c r="I42" s="70">
        <f>IF($A42="","",IFERROR(B42+ROUND(D42*7/5,0),""))</f>
        <v/>
      </c>
      <c r="J42" s="68">
        <f>IF($A42="","",IFERROR(I42-E42,""))</f>
        <v/>
      </c>
      <c r="K42" s="68">
        <f>IF($A42="","",IFERROR(IF(G42-INDEX($AB$5:$AB$13,MATCH(G42,$AB$5:$AB$13,1))&lt;=INDEX($AB$5:$AB$13,MIN(MATCH(G42,$AB$5:$AB$13,1)+1,9))-G42,INDEX($AB$5:$AB$13,MATCH(G42,$AB$5:$AB$13,1)),INDEX($AB$5:$AB$13,MIN(MATCH(G42,$AB$5:$AB$13,1)+1,9))),30))</f>
        <v/>
      </c>
      <c r="L42" s="68">
        <f>IF($A42="","",IFERROR(ABS(G42-K42),""))</f>
        <v/>
      </c>
      <c r="M42" s="66" t="n"/>
      <c r="N42" s="68">
        <f>IF($A42="","",IFERROR(ROUND(M42*1.618,0),""))</f>
        <v/>
      </c>
      <c r="O42" s="70">
        <f>IF($A42="","",IFERROR(C42+ROUND(N42*7/5,0),""))</f>
        <v/>
      </c>
      <c r="P42" s="71" t="n"/>
      <c r="Q42" s="71" t="n"/>
      <c r="R42" s="66" t="n"/>
      <c r="S42" s="72">
        <f>IF($A42="","",IF(OR(D42="",H42=""),0,IF(OR(H42&lt;=0.15,H42&gt;=0.9),4,IF(AND(H42&gt;=0.35,H42&lt;=0.6),-3,IF(H42&lt;0.35,2,-1)))))</f>
        <v/>
      </c>
      <c r="T42" s="72">
        <f>IF($A42="","",IF(OR(L42="",L42&gt;TIME_TOL),0,IF(S42&gt;0,2,-2)))</f>
        <v/>
      </c>
      <c r="U42" s="72">
        <f>IF($A42="","",IF(P42="",0,(IF(P42="3",4,IF(P42="1",2,IF(P42="2",1,IF(P42="4",1,IF(P42="5",-1,IF(P42="A",-3,IF(P42="B",-2,IF(P42="C",-4,0)))))))))*IF(R42="",0.6,R42/5)))</f>
        <v/>
      </c>
      <c r="V42" s="72">
        <f>IF($A42="","",MAX(-10,MIN(10,S42+T42+U42)))</f>
        <v/>
      </c>
      <c r="W42" s="73">
        <f>IF($A42="","",IF(W_TIME=0,"غیرفعال (وزن صفر)","فعال"))</f>
        <v/>
      </c>
    </row>
    <row r="43" ht="15" customHeight="1" s="56">
      <c r="A43" s="64" t="n"/>
      <c r="B43" s="65" t="n"/>
      <c r="C43" s="65" t="n"/>
      <c r="D43" s="66" t="n"/>
      <c r="E43" s="67" t="n"/>
      <c r="F43" s="68">
        <f>IF($A43="","",IFERROR(E43-B43,""))</f>
        <v/>
      </c>
      <c r="G43" s="68">
        <f>IF($A43="","",IFERROR(ROUND(F43*5/7,0),""))</f>
        <v/>
      </c>
      <c r="H43" s="69">
        <f>IF($A43="","",IFERROR(G43/D43,""))</f>
        <v/>
      </c>
      <c r="I43" s="70">
        <f>IF($A43="","",IFERROR(B43+ROUND(D43*7/5,0),""))</f>
        <v/>
      </c>
      <c r="J43" s="68">
        <f>IF($A43="","",IFERROR(I43-E43,""))</f>
        <v/>
      </c>
      <c r="K43" s="68">
        <f>IF($A43="","",IFERROR(IF(G43-INDEX($AB$5:$AB$13,MATCH(G43,$AB$5:$AB$13,1))&lt;=INDEX($AB$5:$AB$13,MIN(MATCH(G43,$AB$5:$AB$13,1)+1,9))-G43,INDEX($AB$5:$AB$13,MATCH(G43,$AB$5:$AB$13,1)),INDEX($AB$5:$AB$13,MIN(MATCH(G43,$AB$5:$AB$13,1)+1,9))),30))</f>
        <v/>
      </c>
      <c r="L43" s="68">
        <f>IF($A43="","",IFERROR(ABS(G43-K43),""))</f>
        <v/>
      </c>
      <c r="M43" s="66" t="n"/>
      <c r="N43" s="68">
        <f>IF($A43="","",IFERROR(ROUND(M43*1.618,0),""))</f>
        <v/>
      </c>
      <c r="O43" s="70">
        <f>IF($A43="","",IFERROR(C43+ROUND(N43*7/5,0),""))</f>
        <v/>
      </c>
      <c r="P43" s="71" t="n"/>
      <c r="Q43" s="71" t="n"/>
      <c r="R43" s="66" t="n"/>
      <c r="S43" s="72">
        <f>IF($A43="","",IF(OR(D43="",H43=""),0,IF(OR(H43&lt;=0.15,H43&gt;=0.9),4,IF(AND(H43&gt;=0.35,H43&lt;=0.6),-3,IF(H43&lt;0.35,2,-1)))))</f>
        <v/>
      </c>
      <c r="T43" s="72">
        <f>IF($A43="","",IF(OR(L43="",L43&gt;TIME_TOL),0,IF(S43&gt;0,2,-2)))</f>
        <v/>
      </c>
      <c r="U43" s="72">
        <f>IF($A43="","",IF(P43="",0,(IF(P43="3",4,IF(P43="1",2,IF(P43="2",1,IF(P43="4",1,IF(P43="5",-1,IF(P43="A",-3,IF(P43="B",-2,IF(P43="C",-4,0)))))))))*IF(R43="",0.6,R43/5)))</f>
        <v/>
      </c>
      <c r="V43" s="72">
        <f>IF($A43="","",MAX(-10,MIN(10,S43+T43+U43)))</f>
        <v/>
      </c>
      <c r="W43" s="73">
        <f>IF($A43="","",IF(W_TIME=0,"غیرفعال (وزن صفر)","فعال"))</f>
        <v/>
      </c>
    </row>
    <row r="44" ht="15" customHeight="1" s="56">
      <c r="A44" s="64" t="n"/>
      <c r="B44" s="65" t="n"/>
      <c r="C44" s="65" t="n"/>
      <c r="D44" s="66" t="n"/>
      <c r="E44" s="67" t="n"/>
      <c r="F44" s="68">
        <f>IF($A44="","",IFERROR(E44-B44,""))</f>
        <v/>
      </c>
      <c r="G44" s="68">
        <f>IF($A44="","",IFERROR(ROUND(F44*5/7,0),""))</f>
        <v/>
      </c>
      <c r="H44" s="69">
        <f>IF($A44="","",IFERROR(G44/D44,""))</f>
        <v/>
      </c>
      <c r="I44" s="70">
        <f>IF($A44="","",IFERROR(B44+ROUND(D44*7/5,0),""))</f>
        <v/>
      </c>
      <c r="J44" s="68">
        <f>IF($A44="","",IFERROR(I44-E44,""))</f>
        <v/>
      </c>
      <c r="K44" s="68">
        <f>IF($A44="","",IFERROR(IF(G44-INDEX($AB$5:$AB$13,MATCH(G44,$AB$5:$AB$13,1))&lt;=INDEX($AB$5:$AB$13,MIN(MATCH(G44,$AB$5:$AB$13,1)+1,9))-G44,INDEX($AB$5:$AB$13,MATCH(G44,$AB$5:$AB$13,1)),INDEX($AB$5:$AB$13,MIN(MATCH(G44,$AB$5:$AB$13,1)+1,9))),30))</f>
        <v/>
      </c>
      <c r="L44" s="68">
        <f>IF($A44="","",IFERROR(ABS(G44-K44),""))</f>
        <v/>
      </c>
      <c r="M44" s="66" t="n"/>
      <c r="N44" s="68">
        <f>IF($A44="","",IFERROR(ROUND(M44*1.618,0),""))</f>
        <v/>
      </c>
      <c r="O44" s="70">
        <f>IF($A44="","",IFERROR(C44+ROUND(N44*7/5,0),""))</f>
        <v/>
      </c>
      <c r="P44" s="71" t="n"/>
      <c r="Q44" s="71" t="n"/>
      <c r="R44" s="66" t="n"/>
      <c r="S44" s="72">
        <f>IF($A44="","",IF(OR(D44="",H44=""),0,IF(OR(H44&lt;=0.15,H44&gt;=0.9),4,IF(AND(H44&gt;=0.35,H44&lt;=0.6),-3,IF(H44&lt;0.35,2,-1)))))</f>
        <v/>
      </c>
      <c r="T44" s="72">
        <f>IF($A44="","",IF(OR(L44="",L44&gt;TIME_TOL),0,IF(S44&gt;0,2,-2)))</f>
        <v/>
      </c>
      <c r="U44" s="72">
        <f>IF($A44="","",IF(P44="",0,(IF(P44="3",4,IF(P44="1",2,IF(P44="2",1,IF(P44="4",1,IF(P44="5",-1,IF(P44="A",-3,IF(P44="B",-2,IF(P44="C",-4,0)))))))))*IF(R44="",0.6,R44/5)))</f>
        <v/>
      </c>
      <c r="V44" s="72">
        <f>IF($A44="","",MAX(-10,MIN(10,S44+T44+U44)))</f>
        <v/>
      </c>
      <c r="W44" s="73">
        <f>IF($A44="","",IF(W_TIME=0,"غیرفعال (وزن صفر)","فعال"))</f>
        <v/>
      </c>
    </row>
    <row r="45" ht="15" customHeight="1" s="56">
      <c r="A45" s="64" t="n"/>
      <c r="B45" s="65" t="n"/>
      <c r="C45" s="65" t="n"/>
      <c r="D45" s="66" t="n"/>
      <c r="E45" s="67" t="n"/>
      <c r="F45" s="68">
        <f>IF($A45="","",IFERROR(E45-B45,""))</f>
        <v/>
      </c>
      <c r="G45" s="68">
        <f>IF($A45="","",IFERROR(ROUND(F45*5/7,0),""))</f>
        <v/>
      </c>
      <c r="H45" s="69">
        <f>IF($A45="","",IFERROR(G45/D45,""))</f>
        <v/>
      </c>
      <c r="I45" s="70">
        <f>IF($A45="","",IFERROR(B45+ROUND(D45*7/5,0),""))</f>
        <v/>
      </c>
      <c r="J45" s="68">
        <f>IF($A45="","",IFERROR(I45-E45,""))</f>
        <v/>
      </c>
      <c r="K45" s="68">
        <f>IF($A45="","",IFERROR(IF(G45-INDEX($AB$5:$AB$13,MATCH(G45,$AB$5:$AB$13,1))&lt;=INDEX($AB$5:$AB$13,MIN(MATCH(G45,$AB$5:$AB$13,1)+1,9))-G45,INDEX($AB$5:$AB$13,MATCH(G45,$AB$5:$AB$13,1)),INDEX($AB$5:$AB$13,MIN(MATCH(G45,$AB$5:$AB$13,1)+1,9))),30))</f>
        <v/>
      </c>
      <c r="L45" s="68">
        <f>IF($A45="","",IFERROR(ABS(G45-K45),""))</f>
        <v/>
      </c>
      <c r="M45" s="66" t="n"/>
      <c r="N45" s="68">
        <f>IF($A45="","",IFERROR(ROUND(M45*1.618,0),""))</f>
        <v/>
      </c>
      <c r="O45" s="70">
        <f>IF($A45="","",IFERROR(C45+ROUND(N45*7/5,0),""))</f>
        <v/>
      </c>
      <c r="P45" s="71" t="n"/>
      <c r="Q45" s="71" t="n"/>
      <c r="R45" s="66" t="n"/>
      <c r="S45" s="72">
        <f>IF($A45="","",IF(OR(D45="",H45=""),0,IF(OR(H45&lt;=0.15,H45&gt;=0.9),4,IF(AND(H45&gt;=0.35,H45&lt;=0.6),-3,IF(H45&lt;0.35,2,-1)))))</f>
        <v/>
      </c>
      <c r="T45" s="72">
        <f>IF($A45="","",IF(OR(L45="",L45&gt;TIME_TOL),0,IF(S45&gt;0,2,-2)))</f>
        <v/>
      </c>
      <c r="U45" s="72">
        <f>IF($A45="","",IF(P45="",0,(IF(P45="3",4,IF(P45="1",2,IF(P45="2",1,IF(P45="4",1,IF(P45="5",-1,IF(P45="A",-3,IF(P45="B",-2,IF(P45="C",-4,0)))))))))*IF(R45="",0.6,R45/5)))</f>
        <v/>
      </c>
      <c r="V45" s="72">
        <f>IF($A45="","",MAX(-10,MIN(10,S45+T45+U45)))</f>
        <v/>
      </c>
      <c r="W45" s="73">
        <f>IF($A45="","",IF(W_TIME=0,"غیرفعال (وزن صفر)","فعال"))</f>
        <v/>
      </c>
    </row>
    <row r="46" ht="15" customHeight="1" s="56">
      <c r="A46" s="64" t="n"/>
      <c r="B46" s="65" t="n"/>
      <c r="C46" s="65" t="n"/>
      <c r="D46" s="66" t="n"/>
      <c r="E46" s="67" t="n"/>
      <c r="F46" s="68">
        <f>IF($A46="","",IFERROR(E46-B46,""))</f>
        <v/>
      </c>
      <c r="G46" s="68">
        <f>IF($A46="","",IFERROR(ROUND(F46*5/7,0),""))</f>
        <v/>
      </c>
      <c r="H46" s="69">
        <f>IF($A46="","",IFERROR(G46/D46,""))</f>
        <v/>
      </c>
      <c r="I46" s="70">
        <f>IF($A46="","",IFERROR(B46+ROUND(D46*7/5,0),""))</f>
        <v/>
      </c>
      <c r="J46" s="68">
        <f>IF($A46="","",IFERROR(I46-E46,""))</f>
        <v/>
      </c>
      <c r="K46" s="68">
        <f>IF($A46="","",IFERROR(IF(G46-INDEX($AB$5:$AB$13,MATCH(G46,$AB$5:$AB$13,1))&lt;=INDEX($AB$5:$AB$13,MIN(MATCH(G46,$AB$5:$AB$13,1)+1,9))-G46,INDEX($AB$5:$AB$13,MATCH(G46,$AB$5:$AB$13,1)),INDEX($AB$5:$AB$13,MIN(MATCH(G46,$AB$5:$AB$13,1)+1,9))),30))</f>
        <v/>
      </c>
      <c r="L46" s="68">
        <f>IF($A46="","",IFERROR(ABS(G46-K46),""))</f>
        <v/>
      </c>
      <c r="M46" s="66" t="n"/>
      <c r="N46" s="68">
        <f>IF($A46="","",IFERROR(ROUND(M46*1.618,0),""))</f>
        <v/>
      </c>
      <c r="O46" s="70">
        <f>IF($A46="","",IFERROR(C46+ROUND(N46*7/5,0),""))</f>
        <v/>
      </c>
      <c r="P46" s="71" t="n"/>
      <c r="Q46" s="71" t="n"/>
      <c r="R46" s="66" t="n"/>
      <c r="S46" s="72">
        <f>IF($A46="","",IF(OR(D46="",H46=""),0,IF(OR(H46&lt;=0.15,H46&gt;=0.9),4,IF(AND(H46&gt;=0.35,H46&lt;=0.6),-3,IF(H46&lt;0.35,2,-1)))))</f>
        <v/>
      </c>
      <c r="T46" s="72">
        <f>IF($A46="","",IF(OR(L46="",L46&gt;TIME_TOL),0,IF(S46&gt;0,2,-2)))</f>
        <v/>
      </c>
      <c r="U46" s="72">
        <f>IF($A46="","",IF(P46="",0,(IF(P46="3",4,IF(P46="1",2,IF(P46="2",1,IF(P46="4",1,IF(P46="5",-1,IF(P46="A",-3,IF(P46="B",-2,IF(P46="C",-4,0)))))))))*IF(R46="",0.6,R46/5)))</f>
        <v/>
      </c>
      <c r="V46" s="72">
        <f>IF($A46="","",MAX(-10,MIN(10,S46+T46+U46)))</f>
        <v/>
      </c>
      <c r="W46" s="73">
        <f>IF($A46="","",IF(W_TIME=0,"غیرفعال (وزن صفر)","فعال"))</f>
        <v/>
      </c>
    </row>
    <row r="47" ht="15" customHeight="1" s="56">
      <c r="A47" s="64" t="n"/>
      <c r="B47" s="65" t="n"/>
      <c r="C47" s="65" t="n"/>
      <c r="D47" s="66" t="n"/>
      <c r="E47" s="67" t="n"/>
      <c r="F47" s="68">
        <f>IF($A47="","",IFERROR(E47-B47,""))</f>
        <v/>
      </c>
      <c r="G47" s="68">
        <f>IF($A47="","",IFERROR(ROUND(F47*5/7,0),""))</f>
        <v/>
      </c>
      <c r="H47" s="69">
        <f>IF($A47="","",IFERROR(G47/D47,""))</f>
        <v/>
      </c>
      <c r="I47" s="70">
        <f>IF($A47="","",IFERROR(B47+ROUND(D47*7/5,0),""))</f>
        <v/>
      </c>
      <c r="J47" s="68">
        <f>IF($A47="","",IFERROR(I47-E47,""))</f>
        <v/>
      </c>
      <c r="K47" s="68">
        <f>IF($A47="","",IFERROR(IF(G47-INDEX($AB$5:$AB$13,MATCH(G47,$AB$5:$AB$13,1))&lt;=INDEX($AB$5:$AB$13,MIN(MATCH(G47,$AB$5:$AB$13,1)+1,9))-G47,INDEX($AB$5:$AB$13,MATCH(G47,$AB$5:$AB$13,1)),INDEX($AB$5:$AB$13,MIN(MATCH(G47,$AB$5:$AB$13,1)+1,9))),30))</f>
        <v/>
      </c>
      <c r="L47" s="68">
        <f>IF($A47="","",IFERROR(ABS(G47-K47),""))</f>
        <v/>
      </c>
      <c r="M47" s="66" t="n"/>
      <c r="N47" s="68">
        <f>IF($A47="","",IFERROR(ROUND(M47*1.618,0),""))</f>
        <v/>
      </c>
      <c r="O47" s="70">
        <f>IF($A47="","",IFERROR(C47+ROUND(N47*7/5,0),""))</f>
        <v/>
      </c>
      <c r="P47" s="71" t="n"/>
      <c r="Q47" s="71" t="n"/>
      <c r="R47" s="66" t="n"/>
      <c r="S47" s="72">
        <f>IF($A47="","",IF(OR(D47="",H47=""),0,IF(OR(H47&lt;=0.15,H47&gt;=0.9),4,IF(AND(H47&gt;=0.35,H47&lt;=0.6),-3,IF(H47&lt;0.35,2,-1)))))</f>
        <v/>
      </c>
      <c r="T47" s="72">
        <f>IF($A47="","",IF(OR(L47="",L47&gt;TIME_TOL),0,IF(S47&gt;0,2,-2)))</f>
        <v/>
      </c>
      <c r="U47" s="72">
        <f>IF($A47="","",IF(P47="",0,(IF(P47="3",4,IF(P47="1",2,IF(P47="2",1,IF(P47="4",1,IF(P47="5",-1,IF(P47="A",-3,IF(P47="B",-2,IF(P47="C",-4,0)))))))))*IF(R47="",0.6,R47/5)))</f>
        <v/>
      </c>
      <c r="V47" s="72">
        <f>IF($A47="","",MAX(-10,MIN(10,S47+T47+U47)))</f>
        <v/>
      </c>
      <c r="W47" s="73">
        <f>IF($A47="","",IF(W_TIME=0,"غیرفعال (وزن صفر)","فعال"))</f>
        <v/>
      </c>
    </row>
    <row r="48" ht="15" customHeight="1" s="56">
      <c r="A48" s="64" t="n"/>
      <c r="B48" s="65" t="n"/>
      <c r="C48" s="65" t="n"/>
      <c r="D48" s="66" t="n"/>
      <c r="E48" s="67" t="n"/>
      <c r="F48" s="68">
        <f>IF($A48="","",IFERROR(E48-B48,""))</f>
        <v/>
      </c>
      <c r="G48" s="68">
        <f>IF($A48="","",IFERROR(ROUND(F48*5/7,0),""))</f>
        <v/>
      </c>
      <c r="H48" s="69">
        <f>IF($A48="","",IFERROR(G48/D48,""))</f>
        <v/>
      </c>
      <c r="I48" s="70">
        <f>IF($A48="","",IFERROR(B48+ROUND(D48*7/5,0),""))</f>
        <v/>
      </c>
      <c r="J48" s="68">
        <f>IF($A48="","",IFERROR(I48-E48,""))</f>
        <v/>
      </c>
      <c r="K48" s="68">
        <f>IF($A48="","",IFERROR(IF(G48-INDEX($AB$5:$AB$13,MATCH(G48,$AB$5:$AB$13,1))&lt;=INDEX($AB$5:$AB$13,MIN(MATCH(G48,$AB$5:$AB$13,1)+1,9))-G48,INDEX($AB$5:$AB$13,MATCH(G48,$AB$5:$AB$13,1)),INDEX($AB$5:$AB$13,MIN(MATCH(G48,$AB$5:$AB$13,1)+1,9))),30))</f>
        <v/>
      </c>
      <c r="L48" s="68">
        <f>IF($A48="","",IFERROR(ABS(G48-K48),""))</f>
        <v/>
      </c>
      <c r="M48" s="66" t="n"/>
      <c r="N48" s="68">
        <f>IF($A48="","",IFERROR(ROUND(M48*1.618,0),""))</f>
        <v/>
      </c>
      <c r="O48" s="70">
        <f>IF($A48="","",IFERROR(C48+ROUND(N48*7/5,0),""))</f>
        <v/>
      </c>
      <c r="P48" s="71" t="n"/>
      <c r="Q48" s="71" t="n"/>
      <c r="R48" s="66" t="n"/>
      <c r="S48" s="72">
        <f>IF($A48="","",IF(OR(D48="",H48=""),0,IF(OR(H48&lt;=0.15,H48&gt;=0.9),4,IF(AND(H48&gt;=0.35,H48&lt;=0.6),-3,IF(H48&lt;0.35,2,-1)))))</f>
        <v/>
      </c>
      <c r="T48" s="72">
        <f>IF($A48="","",IF(OR(L48="",L48&gt;TIME_TOL),0,IF(S48&gt;0,2,-2)))</f>
        <v/>
      </c>
      <c r="U48" s="72">
        <f>IF($A48="","",IF(P48="",0,(IF(P48="3",4,IF(P48="1",2,IF(P48="2",1,IF(P48="4",1,IF(P48="5",-1,IF(P48="A",-3,IF(P48="B",-2,IF(P48="C",-4,0)))))))))*IF(R48="",0.6,R48/5)))</f>
        <v/>
      </c>
      <c r="V48" s="72">
        <f>IF($A48="","",MAX(-10,MIN(10,S48+T48+U48)))</f>
        <v/>
      </c>
      <c r="W48" s="73">
        <f>IF($A48="","",IF(W_TIME=0,"غیرفعال (وزن صفر)","فعال"))</f>
        <v/>
      </c>
    </row>
    <row r="49" ht="15" customHeight="1" s="56">
      <c r="A49" s="64" t="n"/>
      <c r="B49" s="65" t="n"/>
      <c r="C49" s="65" t="n"/>
      <c r="D49" s="66" t="n"/>
      <c r="E49" s="67" t="n"/>
      <c r="F49" s="68">
        <f>IF($A49="","",IFERROR(E49-B49,""))</f>
        <v/>
      </c>
      <c r="G49" s="68">
        <f>IF($A49="","",IFERROR(ROUND(F49*5/7,0),""))</f>
        <v/>
      </c>
      <c r="H49" s="69">
        <f>IF($A49="","",IFERROR(G49/D49,""))</f>
        <v/>
      </c>
      <c r="I49" s="70">
        <f>IF($A49="","",IFERROR(B49+ROUND(D49*7/5,0),""))</f>
        <v/>
      </c>
      <c r="J49" s="68">
        <f>IF($A49="","",IFERROR(I49-E49,""))</f>
        <v/>
      </c>
      <c r="K49" s="68">
        <f>IF($A49="","",IFERROR(IF(G49-INDEX($AB$5:$AB$13,MATCH(G49,$AB$5:$AB$13,1))&lt;=INDEX($AB$5:$AB$13,MIN(MATCH(G49,$AB$5:$AB$13,1)+1,9))-G49,INDEX($AB$5:$AB$13,MATCH(G49,$AB$5:$AB$13,1)),INDEX($AB$5:$AB$13,MIN(MATCH(G49,$AB$5:$AB$13,1)+1,9))),30))</f>
        <v/>
      </c>
      <c r="L49" s="68">
        <f>IF($A49="","",IFERROR(ABS(G49-K49),""))</f>
        <v/>
      </c>
      <c r="M49" s="66" t="n"/>
      <c r="N49" s="68">
        <f>IF($A49="","",IFERROR(ROUND(M49*1.618,0),""))</f>
        <v/>
      </c>
      <c r="O49" s="70">
        <f>IF($A49="","",IFERROR(C49+ROUND(N49*7/5,0),""))</f>
        <v/>
      </c>
      <c r="P49" s="71" t="n"/>
      <c r="Q49" s="71" t="n"/>
      <c r="R49" s="66" t="n"/>
      <c r="S49" s="72">
        <f>IF($A49="","",IF(OR(D49="",H49=""),0,IF(OR(H49&lt;=0.15,H49&gt;=0.9),4,IF(AND(H49&gt;=0.35,H49&lt;=0.6),-3,IF(H49&lt;0.35,2,-1)))))</f>
        <v/>
      </c>
      <c r="T49" s="72">
        <f>IF($A49="","",IF(OR(L49="",L49&gt;TIME_TOL),0,IF(S49&gt;0,2,-2)))</f>
        <v/>
      </c>
      <c r="U49" s="72">
        <f>IF($A49="","",IF(P49="",0,(IF(P49="3",4,IF(P49="1",2,IF(P49="2",1,IF(P49="4",1,IF(P49="5",-1,IF(P49="A",-3,IF(P49="B",-2,IF(P49="C",-4,0)))))))))*IF(R49="",0.6,R49/5)))</f>
        <v/>
      </c>
      <c r="V49" s="72">
        <f>IF($A49="","",MAX(-10,MIN(10,S49+T49+U49)))</f>
        <v/>
      </c>
      <c r="W49" s="73">
        <f>IF($A49="","",IF(W_TIME=0,"غیرفعال (وزن صفر)","فعال"))</f>
        <v/>
      </c>
    </row>
    <row r="50" ht="15" customHeight="1" s="56">
      <c r="A50" s="64" t="n"/>
      <c r="B50" s="65" t="n"/>
      <c r="C50" s="65" t="n"/>
      <c r="D50" s="66" t="n"/>
      <c r="E50" s="67" t="n"/>
      <c r="F50" s="68">
        <f>IF($A50="","",IFERROR(E50-B50,""))</f>
        <v/>
      </c>
      <c r="G50" s="68">
        <f>IF($A50="","",IFERROR(ROUND(F50*5/7,0),""))</f>
        <v/>
      </c>
      <c r="H50" s="69">
        <f>IF($A50="","",IFERROR(G50/D50,""))</f>
        <v/>
      </c>
      <c r="I50" s="70">
        <f>IF($A50="","",IFERROR(B50+ROUND(D50*7/5,0),""))</f>
        <v/>
      </c>
      <c r="J50" s="68">
        <f>IF($A50="","",IFERROR(I50-E50,""))</f>
        <v/>
      </c>
      <c r="K50" s="68">
        <f>IF($A50="","",IFERROR(IF(G50-INDEX($AB$5:$AB$13,MATCH(G50,$AB$5:$AB$13,1))&lt;=INDEX($AB$5:$AB$13,MIN(MATCH(G50,$AB$5:$AB$13,1)+1,9))-G50,INDEX($AB$5:$AB$13,MATCH(G50,$AB$5:$AB$13,1)),INDEX($AB$5:$AB$13,MIN(MATCH(G50,$AB$5:$AB$13,1)+1,9))),30))</f>
        <v/>
      </c>
      <c r="L50" s="68">
        <f>IF($A50="","",IFERROR(ABS(G50-K50),""))</f>
        <v/>
      </c>
      <c r="M50" s="66" t="n"/>
      <c r="N50" s="68">
        <f>IF($A50="","",IFERROR(ROUND(M50*1.618,0),""))</f>
        <v/>
      </c>
      <c r="O50" s="70">
        <f>IF($A50="","",IFERROR(C50+ROUND(N50*7/5,0),""))</f>
        <v/>
      </c>
      <c r="P50" s="71" t="n"/>
      <c r="Q50" s="71" t="n"/>
      <c r="R50" s="66" t="n"/>
      <c r="S50" s="72">
        <f>IF($A50="","",IF(OR(D50="",H50=""),0,IF(OR(H50&lt;=0.15,H50&gt;=0.9),4,IF(AND(H50&gt;=0.35,H50&lt;=0.6),-3,IF(H50&lt;0.35,2,-1)))))</f>
        <v/>
      </c>
      <c r="T50" s="72">
        <f>IF($A50="","",IF(OR(L50="",L50&gt;TIME_TOL),0,IF(S50&gt;0,2,-2)))</f>
        <v/>
      </c>
      <c r="U50" s="72">
        <f>IF($A50="","",IF(P50="",0,(IF(P50="3",4,IF(P50="1",2,IF(P50="2",1,IF(P50="4",1,IF(P50="5",-1,IF(P50="A",-3,IF(P50="B",-2,IF(P50="C",-4,0)))))))))*IF(R50="",0.6,R50/5)))</f>
        <v/>
      </c>
      <c r="V50" s="72">
        <f>IF($A50="","",MAX(-10,MIN(10,S50+T50+U50)))</f>
        <v/>
      </c>
      <c r="W50" s="73">
        <f>IF($A50="","",IF(W_TIME=0,"غیرفعال (وزن صفر)","فعال"))</f>
        <v/>
      </c>
    </row>
    <row r="51" ht="15" customHeight="1" s="56">
      <c r="A51" s="64" t="n"/>
      <c r="B51" s="65" t="n"/>
      <c r="C51" s="65" t="n"/>
      <c r="D51" s="66" t="n"/>
      <c r="E51" s="67" t="n"/>
      <c r="F51" s="68">
        <f>IF($A51="","",IFERROR(E51-B51,""))</f>
        <v/>
      </c>
      <c r="G51" s="68">
        <f>IF($A51="","",IFERROR(ROUND(F51*5/7,0),""))</f>
        <v/>
      </c>
      <c r="H51" s="69">
        <f>IF($A51="","",IFERROR(G51/D51,""))</f>
        <v/>
      </c>
      <c r="I51" s="70">
        <f>IF($A51="","",IFERROR(B51+ROUND(D51*7/5,0),""))</f>
        <v/>
      </c>
      <c r="J51" s="68">
        <f>IF($A51="","",IFERROR(I51-E51,""))</f>
        <v/>
      </c>
      <c r="K51" s="68">
        <f>IF($A51="","",IFERROR(IF(G51-INDEX($AB$5:$AB$13,MATCH(G51,$AB$5:$AB$13,1))&lt;=INDEX($AB$5:$AB$13,MIN(MATCH(G51,$AB$5:$AB$13,1)+1,9))-G51,INDEX($AB$5:$AB$13,MATCH(G51,$AB$5:$AB$13,1)),INDEX($AB$5:$AB$13,MIN(MATCH(G51,$AB$5:$AB$13,1)+1,9))),30))</f>
        <v/>
      </c>
      <c r="L51" s="68">
        <f>IF($A51="","",IFERROR(ABS(G51-K51),""))</f>
        <v/>
      </c>
      <c r="M51" s="66" t="n"/>
      <c r="N51" s="68">
        <f>IF($A51="","",IFERROR(ROUND(M51*1.618,0),""))</f>
        <v/>
      </c>
      <c r="O51" s="70">
        <f>IF($A51="","",IFERROR(C51+ROUND(N51*7/5,0),""))</f>
        <v/>
      </c>
      <c r="P51" s="71" t="n"/>
      <c r="Q51" s="71" t="n"/>
      <c r="R51" s="66" t="n"/>
      <c r="S51" s="72">
        <f>IF($A51="","",IF(OR(D51="",H51=""),0,IF(OR(H51&lt;=0.15,H51&gt;=0.9),4,IF(AND(H51&gt;=0.35,H51&lt;=0.6),-3,IF(H51&lt;0.35,2,-1)))))</f>
        <v/>
      </c>
      <c r="T51" s="72">
        <f>IF($A51="","",IF(OR(L51="",L51&gt;TIME_TOL),0,IF(S51&gt;0,2,-2)))</f>
        <v/>
      </c>
      <c r="U51" s="72">
        <f>IF($A51="","",IF(P51="",0,(IF(P51="3",4,IF(P51="1",2,IF(P51="2",1,IF(P51="4",1,IF(P51="5",-1,IF(P51="A",-3,IF(P51="B",-2,IF(P51="C",-4,0)))))))))*IF(R51="",0.6,R51/5)))</f>
        <v/>
      </c>
      <c r="V51" s="72">
        <f>IF($A51="","",MAX(-10,MIN(10,S51+T51+U51)))</f>
        <v/>
      </c>
      <c r="W51" s="73">
        <f>IF($A51="","",IF(W_TIME=0,"غیرفعال (وزن صفر)","فعال"))</f>
        <v/>
      </c>
    </row>
    <row r="52" ht="15" customHeight="1" s="56">
      <c r="A52" s="64" t="n"/>
      <c r="B52" s="65" t="n"/>
      <c r="C52" s="65" t="n"/>
      <c r="D52" s="66" t="n"/>
      <c r="E52" s="67" t="n"/>
      <c r="F52" s="68">
        <f>IF($A52="","",IFERROR(E52-B52,""))</f>
        <v/>
      </c>
      <c r="G52" s="68">
        <f>IF($A52="","",IFERROR(ROUND(F52*5/7,0),""))</f>
        <v/>
      </c>
      <c r="H52" s="69">
        <f>IF($A52="","",IFERROR(G52/D52,""))</f>
        <v/>
      </c>
      <c r="I52" s="70">
        <f>IF($A52="","",IFERROR(B52+ROUND(D52*7/5,0),""))</f>
        <v/>
      </c>
      <c r="J52" s="68">
        <f>IF($A52="","",IFERROR(I52-E52,""))</f>
        <v/>
      </c>
      <c r="K52" s="68">
        <f>IF($A52="","",IFERROR(IF(G52-INDEX($AB$5:$AB$13,MATCH(G52,$AB$5:$AB$13,1))&lt;=INDEX($AB$5:$AB$13,MIN(MATCH(G52,$AB$5:$AB$13,1)+1,9))-G52,INDEX($AB$5:$AB$13,MATCH(G52,$AB$5:$AB$13,1)),INDEX($AB$5:$AB$13,MIN(MATCH(G52,$AB$5:$AB$13,1)+1,9))),30))</f>
        <v/>
      </c>
      <c r="L52" s="68">
        <f>IF($A52="","",IFERROR(ABS(G52-K52),""))</f>
        <v/>
      </c>
      <c r="M52" s="66" t="n"/>
      <c r="N52" s="68">
        <f>IF($A52="","",IFERROR(ROUND(M52*1.618,0),""))</f>
        <v/>
      </c>
      <c r="O52" s="70">
        <f>IF($A52="","",IFERROR(C52+ROUND(N52*7/5,0),""))</f>
        <v/>
      </c>
      <c r="P52" s="71" t="n"/>
      <c r="Q52" s="71" t="n"/>
      <c r="R52" s="66" t="n"/>
      <c r="S52" s="72">
        <f>IF($A52="","",IF(OR(D52="",H52=""),0,IF(OR(H52&lt;=0.15,H52&gt;=0.9),4,IF(AND(H52&gt;=0.35,H52&lt;=0.6),-3,IF(H52&lt;0.35,2,-1)))))</f>
        <v/>
      </c>
      <c r="T52" s="72">
        <f>IF($A52="","",IF(OR(L52="",L52&gt;TIME_TOL),0,IF(S52&gt;0,2,-2)))</f>
        <v/>
      </c>
      <c r="U52" s="72">
        <f>IF($A52="","",IF(P52="",0,(IF(P52="3",4,IF(P52="1",2,IF(P52="2",1,IF(P52="4",1,IF(P52="5",-1,IF(P52="A",-3,IF(P52="B",-2,IF(P52="C",-4,0)))))))))*IF(R52="",0.6,R52/5)))</f>
        <v/>
      </c>
      <c r="V52" s="72">
        <f>IF($A52="","",MAX(-10,MIN(10,S52+T52+U52)))</f>
        <v/>
      </c>
      <c r="W52" s="73">
        <f>IF($A52="","",IF(W_TIME=0,"غیرفعال (وزن صفر)","فعال"))</f>
        <v/>
      </c>
    </row>
    <row r="53" ht="15" customHeight="1" s="56">
      <c r="A53" s="64" t="n"/>
      <c r="B53" s="65" t="n"/>
      <c r="C53" s="65" t="n"/>
      <c r="D53" s="66" t="n"/>
      <c r="E53" s="67" t="n"/>
      <c r="F53" s="68">
        <f>IF($A53="","",IFERROR(E53-B53,""))</f>
        <v/>
      </c>
      <c r="G53" s="68">
        <f>IF($A53="","",IFERROR(ROUND(F53*5/7,0),""))</f>
        <v/>
      </c>
      <c r="H53" s="69">
        <f>IF($A53="","",IFERROR(G53/D53,""))</f>
        <v/>
      </c>
      <c r="I53" s="70">
        <f>IF($A53="","",IFERROR(B53+ROUND(D53*7/5,0),""))</f>
        <v/>
      </c>
      <c r="J53" s="68">
        <f>IF($A53="","",IFERROR(I53-E53,""))</f>
        <v/>
      </c>
      <c r="K53" s="68">
        <f>IF($A53="","",IFERROR(IF(G53-INDEX($AB$5:$AB$13,MATCH(G53,$AB$5:$AB$13,1))&lt;=INDEX($AB$5:$AB$13,MIN(MATCH(G53,$AB$5:$AB$13,1)+1,9))-G53,INDEX($AB$5:$AB$13,MATCH(G53,$AB$5:$AB$13,1)),INDEX($AB$5:$AB$13,MIN(MATCH(G53,$AB$5:$AB$13,1)+1,9))),30))</f>
        <v/>
      </c>
      <c r="L53" s="68">
        <f>IF($A53="","",IFERROR(ABS(G53-K53),""))</f>
        <v/>
      </c>
      <c r="M53" s="66" t="n"/>
      <c r="N53" s="68">
        <f>IF($A53="","",IFERROR(ROUND(M53*1.618,0),""))</f>
        <v/>
      </c>
      <c r="O53" s="70">
        <f>IF($A53="","",IFERROR(C53+ROUND(N53*7/5,0),""))</f>
        <v/>
      </c>
      <c r="P53" s="71" t="n"/>
      <c r="Q53" s="71" t="n"/>
      <c r="R53" s="66" t="n"/>
      <c r="S53" s="72">
        <f>IF($A53="","",IF(OR(D53="",H53=""),0,IF(OR(H53&lt;=0.15,H53&gt;=0.9),4,IF(AND(H53&gt;=0.35,H53&lt;=0.6),-3,IF(H53&lt;0.35,2,-1)))))</f>
        <v/>
      </c>
      <c r="T53" s="72">
        <f>IF($A53="","",IF(OR(L53="",L53&gt;TIME_TOL),0,IF(S53&gt;0,2,-2)))</f>
        <v/>
      </c>
      <c r="U53" s="72">
        <f>IF($A53="","",IF(P53="",0,(IF(P53="3",4,IF(P53="1",2,IF(P53="2",1,IF(P53="4",1,IF(P53="5",-1,IF(P53="A",-3,IF(P53="B",-2,IF(P53="C",-4,0)))))))))*IF(R53="",0.6,R53/5)))</f>
        <v/>
      </c>
      <c r="V53" s="72">
        <f>IF($A53="","",MAX(-10,MIN(10,S53+T53+U53)))</f>
        <v/>
      </c>
      <c r="W53" s="73">
        <f>IF($A53="","",IF(W_TIME=0,"غیرفعال (وزن صفر)","فعال"))</f>
        <v/>
      </c>
    </row>
    <row r="54" ht="15" customHeight="1" s="56">
      <c r="A54" s="64" t="n"/>
      <c r="B54" s="65" t="n"/>
      <c r="C54" s="65" t="n"/>
      <c r="D54" s="66" t="n"/>
      <c r="E54" s="67" t="n"/>
      <c r="F54" s="68">
        <f>IF($A54="","",IFERROR(E54-B54,""))</f>
        <v/>
      </c>
      <c r="G54" s="68">
        <f>IF($A54="","",IFERROR(ROUND(F54*5/7,0),""))</f>
        <v/>
      </c>
      <c r="H54" s="69">
        <f>IF($A54="","",IFERROR(G54/D54,""))</f>
        <v/>
      </c>
      <c r="I54" s="70">
        <f>IF($A54="","",IFERROR(B54+ROUND(D54*7/5,0),""))</f>
        <v/>
      </c>
      <c r="J54" s="68">
        <f>IF($A54="","",IFERROR(I54-E54,""))</f>
        <v/>
      </c>
      <c r="K54" s="68">
        <f>IF($A54="","",IFERROR(IF(G54-INDEX($AB$5:$AB$13,MATCH(G54,$AB$5:$AB$13,1))&lt;=INDEX($AB$5:$AB$13,MIN(MATCH(G54,$AB$5:$AB$13,1)+1,9))-G54,INDEX($AB$5:$AB$13,MATCH(G54,$AB$5:$AB$13,1)),INDEX($AB$5:$AB$13,MIN(MATCH(G54,$AB$5:$AB$13,1)+1,9))),30))</f>
        <v/>
      </c>
      <c r="L54" s="68">
        <f>IF($A54="","",IFERROR(ABS(G54-K54),""))</f>
        <v/>
      </c>
      <c r="M54" s="66" t="n"/>
      <c r="N54" s="68">
        <f>IF($A54="","",IFERROR(ROUND(M54*1.618,0),""))</f>
        <v/>
      </c>
      <c r="O54" s="70">
        <f>IF($A54="","",IFERROR(C54+ROUND(N54*7/5,0),""))</f>
        <v/>
      </c>
      <c r="P54" s="71" t="n"/>
      <c r="Q54" s="71" t="n"/>
      <c r="R54" s="66" t="n"/>
      <c r="S54" s="72">
        <f>IF($A54="","",IF(OR(D54="",H54=""),0,IF(OR(H54&lt;=0.15,H54&gt;=0.9),4,IF(AND(H54&gt;=0.35,H54&lt;=0.6),-3,IF(H54&lt;0.35,2,-1)))))</f>
        <v/>
      </c>
      <c r="T54" s="72">
        <f>IF($A54="","",IF(OR(L54="",L54&gt;TIME_TOL),0,IF(S54&gt;0,2,-2)))</f>
        <v/>
      </c>
      <c r="U54" s="72">
        <f>IF($A54="","",IF(P54="",0,(IF(P54="3",4,IF(P54="1",2,IF(P54="2",1,IF(P54="4",1,IF(P54="5",-1,IF(P54="A",-3,IF(P54="B",-2,IF(P54="C",-4,0)))))))))*IF(R54="",0.6,R54/5)))</f>
        <v/>
      </c>
      <c r="V54" s="72">
        <f>IF($A54="","",MAX(-10,MIN(10,S54+T54+U54)))</f>
        <v/>
      </c>
      <c r="W54" s="73">
        <f>IF($A54="","",IF(W_TIME=0,"غیرفعال (وزن صفر)","فعال"))</f>
        <v/>
      </c>
    </row>
    <row r="55" ht="15" customHeight="1" s="56">
      <c r="A55" s="64" t="n"/>
      <c r="B55" s="65" t="n"/>
      <c r="C55" s="65" t="n"/>
      <c r="D55" s="66" t="n"/>
      <c r="E55" s="67" t="n"/>
      <c r="F55" s="68">
        <f>IF($A55="","",IFERROR(E55-B55,""))</f>
        <v/>
      </c>
      <c r="G55" s="68">
        <f>IF($A55="","",IFERROR(ROUND(F55*5/7,0),""))</f>
        <v/>
      </c>
      <c r="H55" s="69">
        <f>IF($A55="","",IFERROR(G55/D55,""))</f>
        <v/>
      </c>
      <c r="I55" s="70">
        <f>IF($A55="","",IFERROR(B55+ROUND(D55*7/5,0),""))</f>
        <v/>
      </c>
      <c r="J55" s="68">
        <f>IF($A55="","",IFERROR(I55-E55,""))</f>
        <v/>
      </c>
      <c r="K55" s="68">
        <f>IF($A55="","",IFERROR(IF(G55-INDEX($AB$5:$AB$13,MATCH(G55,$AB$5:$AB$13,1))&lt;=INDEX($AB$5:$AB$13,MIN(MATCH(G55,$AB$5:$AB$13,1)+1,9))-G55,INDEX($AB$5:$AB$13,MATCH(G55,$AB$5:$AB$13,1)),INDEX($AB$5:$AB$13,MIN(MATCH(G55,$AB$5:$AB$13,1)+1,9))),30))</f>
        <v/>
      </c>
      <c r="L55" s="68">
        <f>IF($A55="","",IFERROR(ABS(G55-K55),""))</f>
        <v/>
      </c>
      <c r="M55" s="66" t="n"/>
      <c r="N55" s="68">
        <f>IF($A55="","",IFERROR(ROUND(M55*1.618,0),""))</f>
        <v/>
      </c>
      <c r="O55" s="70">
        <f>IF($A55="","",IFERROR(C55+ROUND(N55*7/5,0),""))</f>
        <v/>
      </c>
      <c r="P55" s="71" t="n"/>
      <c r="Q55" s="71" t="n"/>
      <c r="R55" s="66" t="n"/>
      <c r="S55" s="72">
        <f>IF($A55="","",IF(OR(D55="",H55=""),0,IF(OR(H55&lt;=0.15,H55&gt;=0.9),4,IF(AND(H55&gt;=0.35,H55&lt;=0.6),-3,IF(H55&lt;0.35,2,-1)))))</f>
        <v/>
      </c>
      <c r="T55" s="72">
        <f>IF($A55="","",IF(OR(L55="",L55&gt;TIME_TOL),0,IF(S55&gt;0,2,-2)))</f>
        <v/>
      </c>
      <c r="U55" s="72">
        <f>IF($A55="","",IF(P55="",0,(IF(P55="3",4,IF(P55="1",2,IF(P55="2",1,IF(P55="4",1,IF(P55="5",-1,IF(P55="A",-3,IF(P55="B",-2,IF(P55="C",-4,0)))))))))*IF(R55="",0.6,R55/5)))</f>
        <v/>
      </c>
      <c r="V55" s="72">
        <f>IF($A55="","",MAX(-10,MIN(10,S55+T55+U55)))</f>
        <v/>
      </c>
      <c r="W55" s="73">
        <f>IF($A55="","",IF(W_TIME=0,"غیرفعال (وزن صفر)","فعال"))</f>
        <v/>
      </c>
    </row>
    <row r="56" ht="15" customHeight="1" s="56">
      <c r="A56" s="64" t="n"/>
      <c r="B56" s="65" t="n"/>
      <c r="C56" s="65" t="n"/>
      <c r="D56" s="66" t="n"/>
      <c r="E56" s="67" t="n"/>
      <c r="F56" s="68">
        <f>IF($A56="","",IFERROR(E56-B56,""))</f>
        <v/>
      </c>
      <c r="G56" s="68">
        <f>IF($A56="","",IFERROR(ROUND(F56*5/7,0),""))</f>
        <v/>
      </c>
      <c r="H56" s="69">
        <f>IF($A56="","",IFERROR(G56/D56,""))</f>
        <v/>
      </c>
      <c r="I56" s="70">
        <f>IF($A56="","",IFERROR(B56+ROUND(D56*7/5,0),""))</f>
        <v/>
      </c>
      <c r="J56" s="68">
        <f>IF($A56="","",IFERROR(I56-E56,""))</f>
        <v/>
      </c>
      <c r="K56" s="68">
        <f>IF($A56="","",IFERROR(IF(G56-INDEX($AB$5:$AB$13,MATCH(G56,$AB$5:$AB$13,1))&lt;=INDEX($AB$5:$AB$13,MIN(MATCH(G56,$AB$5:$AB$13,1)+1,9))-G56,INDEX($AB$5:$AB$13,MATCH(G56,$AB$5:$AB$13,1)),INDEX($AB$5:$AB$13,MIN(MATCH(G56,$AB$5:$AB$13,1)+1,9))),30))</f>
        <v/>
      </c>
      <c r="L56" s="68">
        <f>IF($A56="","",IFERROR(ABS(G56-K56),""))</f>
        <v/>
      </c>
      <c r="M56" s="66" t="n"/>
      <c r="N56" s="68">
        <f>IF($A56="","",IFERROR(ROUND(M56*1.618,0),""))</f>
        <v/>
      </c>
      <c r="O56" s="70">
        <f>IF($A56="","",IFERROR(C56+ROUND(N56*7/5,0),""))</f>
        <v/>
      </c>
      <c r="P56" s="71" t="n"/>
      <c r="Q56" s="71" t="n"/>
      <c r="R56" s="66" t="n"/>
      <c r="S56" s="72">
        <f>IF($A56="","",IF(OR(D56="",H56=""),0,IF(OR(H56&lt;=0.15,H56&gt;=0.9),4,IF(AND(H56&gt;=0.35,H56&lt;=0.6),-3,IF(H56&lt;0.35,2,-1)))))</f>
        <v/>
      </c>
      <c r="T56" s="72">
        <f>IF($A56="","",IF(OR(L56="",L56&gt;TIME_TOL),0,IF(S56&gt;0,2,-2)))</f>
        <v/>
      </c>
      <c r="U56" s="72">
        <f>IF($A56="","",IF(P56="",0,(IF(P56="3",4,IF(P56="1",2,IF(P56="2",1,IF(P56="4",1,IF(P56="5",-1,IF(P56="A",-3,IF(P56="B",-2,IF(P56="C",-4,0)))))))))*IF(R56="",0.6,R56/5)))</f>
        <v/>
      </c>
      <c r="V56" s="72">
        <f>IF($A56="","",MAX(-10,MIN(10,S56+T56+U56)))</f>
        <v/>
      </c>
      <c r="W56" s="73">
        <f>IF($A56="","",IF(W_TIME=0,"غیرفعال (وزن صفر)","فعال"))</f>
        <v/>
      </c>
    </row>
    <row r="57" ht="15" customHeight="1" s="56">
      <c r="A57" s="64" t="n"/>
      <c r="B57" s="65" t="n"/>
      <c r="C57" s="65" t="n"/>
      <c r="D57" s="66" t="n"/>
      <c r="E57" s="67" t="n"/>
      <c r="F57" s="68">
        <f>IF($A57="","",IFERROR(E57-B57,""))</f>
        <v/>
      </c>
      <c r="G57" s="68">
        <f>IF($A57="","",IFERROR(ROUND(F57*5/7,0),""))</f>
        <v/>
      </c>
      <c r="H57" s="69">
        <f>IF($A57="","",IFERROR(G57/D57,""))</f>
        <v/>
      </c>
      <c r="I57" s="70">
        <f>IF($A57="","",IFERROR(B57+ROUND(D57*7/5,0),""))</f>
        <v/>
      </c>
      <c r="J57" s="68">
        <f>IF($A57="","",IFERROR(I57-E57,""))</f>
        <v/>
      </c>
      <c r="K57" s="68">
        <f>IF($A57="","",IFERROR(IF(G57-INDEX($AB$5:$AB$13,MATCH(G57,$AB$5:$AB$13,1))&lt;=INDEX($AB$5:$AB$13,MIN(MATCH(G57,$AB$5:$AB$13,1)+1,9))-G57,INDEX($AB$5:$AB$13,MATCH(G57,$AB$5:$AB$13,1)),INDEX($AB$5:$AB$13,MIN(MATCH(G57,$AB$5:$AB$13,1)+1,9))),30))</f>
        <v/>
      </c>
      <c r="L57" s="68">
        <f>IF($A57="","",IFERROR(ABS(G57-K57),""))</f>
        <v/>
      </c>
      <c r="M57" s="66" t="n"/>
      <c r="N57" s="68">
        <f>IF($A57="","",IFERROR(ROUND(M57*1.618,0),""))</f>
        <v/>
      </c>
      <c r="O57" s="70">
        <f>IF($A57="","",IFERROR(C57+ROUND(N57*7/5,0),""))</f>
        <v/>
      </c>
      <c r="P57" s="71" t="n"/>
      <c r="Q57" s="71" t="n"/>
      <c r="R57" s="66" t="n"/>
      <c r="S57" s="72">
        <f>IF($A57="","",IF(OR(D57="",H57=""),0,IF(OR(H57&lt;=0.15,H57&gt;=0.9),4,IF(AND(H57&gt;=0.35,H57&lt;=0.6),-3,IF(H57&lt;0.35,2,-1)))))</f>
        <v/>
      </c>
      <c r="T57" s="72">
        <f>IF($A57="","",IF(OR(L57="",L57&gt;TIME_TOL),0,IF(S57&gt;0,2,-2)))</f>
        <v/>
      </c>
      <c r="U57" s="72">
        <f>IF($A57="","",IF(P57="",0,(IF(P57="3",4,IF(P57="1",2,IF(P57="2",1,IF(P57="4",1,IF(P57="5",-1,IF(P57="A",-3,IF(P57="B",-2,IF(P57="C",-4,0)))))))))*IF(R57="",0.6,R57/5)))</f>
        <v/>
      </c>
      <c r="V57" s="72">
        <f>IF($A57="","",MAX(-10,MIN(10,S57+T57+U57)))</f>
        <v/>
      </c>
      <c r="W57" s="73">
        <f>IF($A57="","",IF(W_TIME=0,"غیرفعال (وزن صفر)","فعال"))</f>
        <v/>
      </c>
    </row>
    <row r="58" ht="15" customHeight="1" s="56">
      <c r="A58" s="64" t="n"/>
      <c r="B58" s="65" t="n"/>
      <c r="C58" s="65" t="n"/>
      <c r="D58" s="66" t="n"/>
      <c r="E58" s="67" t="n"/>
      <c r="F58" s="68">
        <f>IF($A58="","",IFERROR(E58-B58,""))</f>
        <v/>
      </c>
      <c r="G58" s="68">
        <f>IF($A58="","",IFERROR(ROUND(F58*5/7,0),""))</f>
        <v/>
      </c>
      <c r="H58" s="69">
        <f>IF($A58="","",IFERROR(G58/D58,""))</f>
        <v/>
      </c>
      <c r="I58" s="70">
        <f>IF($A58="","",IFERROR(B58+ROUND(D58*7/5,0),""))</f>
        <v/>
      </c>
      <c r="J58" s="68">
        <f>IF($A58="","",IFERROR(I58-E58,""))</f>
        <v/>
      </c>
      <c r="K58" s="68">
        <f>IF($A58="","",IFERROR(IF(G58-INDEX($AB$5:$AB$13,MATCH(G58,$AB$5:$AB$13,1))&lt;=INDEX($AB$5:$AB$13,MIN(MATCH(G58,$AB$5:$AB$13,1)+1,9))-G58,INDEX($AB$5:$AB$13,MATCH(G58,$AB$5:$AB$13,1)),INDEX($AB$5:$AB$13,MIN(MATCH(G58,$AB$5:$AB$13,1)+1,9))),30))</f>
        <v/>
      </c>
      <c r="L58" s="68">
        <f>IF($A58="","",IFERROR(ABS(G58-K58),""))</f>
        <v/>
      </c>
      <c r="M58" s="66" t="n"/>
      <c r="N58" s="68">
        <f>IF($A58="","",IFERROR(ROUND(M58*1.618,0),""))</f>
        <v/>
      </c>
      <c r="O58" s="70">
        <f>IF($A58="","",IFERROR(C58+ROUND(N58*7/5,0),""))</f>
        <v/>
      </c>
      <c r="P58" s="71" t="n"/>
      <c r="Q58" s="71" t="n"/>
      <c r="R58" s="66" t="n"/>
      <c r="S58" s="72">
        <f>IF($A58="","",IF(OR(D58="",H58=""),0,IF(OR(H58&lt;=0.15,H58&gt;=0.9),4,IF(AND(H58&gt;=0.35,H58&lt;=0.6),-3,IF(H58&lt;0.35,2,-1)))))</f>
        <v/>
      </c>
      <c r="T58" s="72">
        <f>IF($A58="","",IF(OR(L58="",L58&gt;TIME_TOL),0,IF(S58&gt;0,2,-2)))</f>
        <v/>
      </c>
      <c r="U58" s="72">
        <f>IF($A58="","",IF(P58="",0,(IF(P58="3",4,IF(P58="1",2,IF(P58="2",1,IF(P58="4",1,IF(P58="5",-1,IF(P58="A",-3,IF(P58="B",-2,IF(P58="C",-4,0)))))))))*IF(R58="",0.6,R58/5)))</f>
        <v/>
      </c>
      <c r="V58" s="72">
        <f>IF($A58="","",MAX(-10,MIN(10,S58+T58+U58)))</f>
        <v/>
      </c>
      <c r="W58" s="73">
        <f>IF($A58="","",IF(W_TIME=0,"غیرفعال (وزن صفر)","فعال"))</f>
        <v/>
      </c>
    </row>
    <row r="59" ht="15" customHeight="1" s="56">
      <c r="A59" s="64" t="n"/>
      <c r="B59" s="65" t="n"/>
      <c r="C59" s="65" t="n"/>
      <c r="D59" s="66" t="n"/>
      <c r="E59" s="67" t="n"/>
      <c r="F59" s="68">
        <f>IF($A59="","",IFERROR(E59-B59,""))</f>
        <v/>
      </c>
      <c r="G59" s="68">
        <f>IF($A59="","",IFERROR(ROUND(F59*5/7,0),""))</f>
        <v/>
      </c>
      <c r="H59" s="69">
        <f>IF($A59="","",IFERROR(G59/D59,""))</f>
        <v/>
      </c>
      <c r="I59" s="70">
        <f>IF($A59="","",IFERROR(B59+ROUND(D59*7/5,0),""))</f>
        <v/>
      </c>
      <c r="J59" s="68">
        <f>IF($A59="","",IFERROR(I59-E59,""))</f>
        <v/>
      </c>
      <c r="K59" s="68">
        <f>IF($A59="","",IFERROR(IF(G59-INDEX($AB$5:$AB$13,MATCH(G59,$AB$5:$AB$13,1))&lt;=INDEX($AB$5:$AB$13,MIN(MATCH(G59,$AB$5:$AB$13,1)+1,9))-G59,INDEX($AB$5:$AB$13,MATCH(G59,$AB$5:$AB$13,1)),INDEX($AB$5:$AB$13,MIN(MATCH(G59,$AB$5:$AB$13,1)+1,9))),30))</f>
        <v/>
      </c>
      <c r="L59" s="68">
        <f>IF($A59="","",IFERROR(ABS(G59-K59),""))</f>
        <v/>
      </c>
      <c r="M59" s="66" t="n"/>
      <c r="N59" s="68">
        <f>IF($A59="","",IFERROR(ROUND(M59*1.618,0),""))</f>
        <v/>
      </c>
      <c r="O59" s="70">
        <f>IF($A59="","",IFERROR(C59+ROUND(N59*7/5,0),""))</f>
        <v/>
      </c>
      <c r="P59" s="71" t="n"/>
      <c r="Q59" s="71" t="n"/>
      <c r="R59" s="66" t="n"/>
      <c r="S59" s="72">
        <f>IF($A59="","",IF(OR(D59="",H59=""),0,IF(OR(H59&lt;=0.15,H59&gt;=0.9),4,IF(AND(H59&gt;=0.35,H59&lt;=0.6),-3,IF(H59&lt;0.35,2,-1)))))</f>
        <v/>
      </c>
      <c r="T59" s="72">
        <f>IF($A59="","",IF(OR(L59="",L59&gt;TIME_TOL),0,IF(S59&gt;0,2,-2)))</f>
        <v/>
      </c>
      <c r="U59" s="72">
        <f>IF($A59="","",IF(P59="",0,(IF(P59="3",4,IF(P59="1",2,IF(P59="2",1,IF(P59="4",1,IF(P59="5",-1,IF(P59="A",-3,IF(P59="B",-2,IF(P59="C",-4,0)))))))))*IF(R59="",0.6,R59/5)))</f>
        <v/>
      </c>
      <c r="V59" s="72">
        <f>IF($A59="","",MAX(-10,MIN(10,S59+T59+U59)))</f>
        <v/>
      </c>
      <c r="W59" s="73">
        <f>IF($A59="","",IF(W_TIME=0,"غیرفعال (وزن صفر)","فعال"))</f>
        <v/>
      </c>
    </row>
    <row r="60" ht="15" customHeight="1" s="56">
      <c r="A60" s="64" t="n"/>
      <c r="B60" s="65" t="n"/>
      <c r="C60" s="65" t="n"/>
      <c r="D60" s="66" t="n"/>
      <c r="E60" s="67" t="n"/>
      <c r="F60" s="68">
        <f>IF($A60="","",IFERROR(E60-B60,""))</f>
        <v/>
      </c>
      <c r="G60" s="68">
        <f>IF($A60="","",IFERROR(ROUND(F60*5/7,0),""))</f>
        <v/>
      </c>
      <c r="H60" s="69">
        <f>IF($A60="","",IFERROR(G60/D60,""))</f>
        <v/>
      </c>
      <c r="I60" s="70">
        <f>IF($A60="","",IFERROR(B60+ROUND(D60*7/5,0),""))</f>
        <v/>
      </c>
      <c r="J60" s="68">
        <f>IF($A60="","",IFERROR(I60-E60,""))</f>
        <v/>
      </c>
      <c r="K60" s="68">
        <f>IF($A60="","",IFERROR(IF(G60-INDEX($AB$5:$AB$13,MATCH(G60,$AB$5:$AB$13,1))&lt;=INDEX($AB$5:$AB$13,MIN(MATCH(G60,$AB$5:$AB$13,1)+1,9))-G60,INDEX($AB$5:$AB$13,MATCH(G60,$AB$5:$AB$13,1)),INDEX($AB$5:$AB$13,MIN(MATCH(G60,$AB$5:$AB$13,1)+1,9))),30))</f>
        <v/>
      </c>
      <c r="L60" s="68">
        <f>IF($A60="","",IFERROR(ABS(G60-K60),""))</f>
        <v/>
      </c>
      <c r="M60" s="66" t="n"/>
      <c r="N60" s="68">
        <f>IF($A60="","",IFERROR(ROUND(M60*1.618,0),""))</f>
        <v/>
      </c>
      <c r="O60" s="70">
        <f>IF($A60="","",IFERROR(C60+ROUND(N60*7/5,0),""))</f>
        <v/>
      </c>
      <c r="P60" s="71" t="n"/>
      <c r="Q60" s="71" t="n"/>
      <c r="R60" s="66" t="n"/>
      <c r="S60" s="72">
        <f>IF($A60="","",IF(OR(D60="",H60=""),0,IF(OR(H60&lt;=0.15,H60&gt;=0.9),4,IF(AND(H60&gt;=0.35,H60&lt;=0.6),-3,IF(H60&lt;0.35,2,-1)))))</f>
        <v/>
      </c>
      <c r="T60" s="72">
        <f>IF($A60="","",IF(OR(L60="",L60&gt;TIME_TOL),0,IF(S60&gt;0,2,-2)))</f>
        <v/>
      </c>
      <c r="U60" s="72">
        <f>IF($A60="","",IF(P60="",0,(IF(P60="3",4,IF(P60="1",2,IF(P60="2",1,IF(P60="4",1,IF(P60="5",-1,IF(P60="A",-3,IF(P60="B",-2,IF(P60="C",-4,0)))))))))*IF(R60="",0.6,R60/5)))</f>
        <v/>
      </c>
      <c r="V60" s="72">
        <f>IF($A60="","",MAX(-10,MIN(10,S60+T60+U60)))</f>
        <v/>
      </c>
      <c r="W60" s="73">
        <f>IF($A60="","",IF(W_TIME=0,"غیرفعال (وزن صفر)","فعال"))</f>
        <v/>
      </c>
    </row>
    <row r="61" ht="15" customHeight="1" s="56">
      <c r="A61" s="64" t="n"/>
      <c r="B61" s="65" t="n"/>
      <c r="C61" s="65" t="n"/>
      <c r="D61" s="66" t="n"/>
      <c r="E61" s="67" t="n"/>
      <c r="F61" s="68">
        <f>IF($A61="","",IFERROR(E61-B61,""))</f>
        <v/>
      </c>
      <c r="G61" s="68">
        <f>IF($A61="","",IFERROR(ROUND(F61*5/7,0),""))</f>
        <v/>
      </c>
      <c r="H61" s="69">
        <f>IF($A61="","",IFERROR(G61/D61,""))</f>
        <v/>
      </c>
      <c r="I61" s="70">
        <f>IF($A61="","",IFERROR(B61+ROUND(D61*7/5,0),""))</f>
        <v/>
      </c>
      <c r="J61" s="68">
        <f>IF($A61="","",IFERROR(I61-E61,""))</f>
        <v/>
      </c>
      <c r="K61" s="68">
        <f>IF($A61="","",IFERROR(IF(G61-INDEX($AB$5:$AB$13,MATCH(G61,$AB$5:$AB$13,1))&lt;=INDEX($AB$5:$AB$13,MIN(MATCH(G61,$AB$5:$AB$13,1)+1,9))-G61,INDEX($AB$5:$AB$13,MATCH(G61,$AB$5:$AB$13,1)),INDEX($AB$5:$AB$13,MIN(MATCH(G61,$AB$5:$AB$13,1)+1,9))),30))</f>
        <v/>
      </c>
      <c r="L61" s="68">
        <f>IF($A61="","",IFERROR(ABS(G61-K61),""))</f>
        <v/>
      </c>
      <c r="M61" s="66" t="n"/>
      <c r="N61" s="68">
        <f>IF($A61="","",IFERROR(ROUND(M61*1.618,0),""))</f>
        <v/>
      </c>
      <c r="O61" s="70">
        <f>IF($A61="","",IFERROR(C61+ROUND(N61*7/5,0),""))</f>
        <v/>
      </c>
      <c r="P61" s="71" t="n"/>
      <c r="Q61" s="71" t="n"/>
      <c r="R61" s="66" t="n"/>
      <c r="S61" s="72">
        <f>IF($A61="","",IF(OR(D61="",H61=""),0,IF(OR(H61&lt;=0.15,H61&gt;=0.9),4,IF(AND(H61&gt;=0.35,H61&lt;=0.6),-3,IF(H61&lt;0.35,2,-1)))))</f>
        <v/>
      </c>
      <c r="T61" s="72">
        <f>IF($A61="","",IF(OR(L61="",L61&gt;TIME_TOL),0,IF(S61&gt;0,2,-2)))</f>
        <v/>
      </c>
      <c r="U61" s="72">
        <f>IF($A61="","",IF(P61="",0,(IF(P61="3",4,IF(P61="1",2,IF(P61="2",1,IF(P61="4",1,IF(P61="5",-1,IF(P61="A",-3,IF(P61="B",-2,IF(P61="C",-4,0)))))))))*IF(R61="",0.6,R61/5)))</f>
        <v/>
      </c>
      <c r="V61" s="72">
        <f>IF($A61="","",MAX(-10,MIN(10,S61+T61+U61)))</f>
        <v/>
      </c>
      <c r="W61" s="73">
        <f>IF($A61="","",IF(W_TIME=0,"غیرفعال (وزن صفر)","فعال"))</f>
        <v/>
      </c>
    </row>
    <row r="62" ht="15" customHeight="1" s="56">
      <c r="A62" s="64" t="n"/>
      <c r="B62" s="65" t="n"/>
      <c r="C62" s="65" t="n"/>
      <c r="D62" s="66" t="n"/>
      <c r="E62" s="67" t="n"/>
      <c r="F62" s="68">
        <f>IF($A62="","",IFERROR(E62-B62,""))</f>
        <v/>
      </c>
      <c r="G62" s="68">
        <f>IF($A62="","",IFERROR(ROUND(F62*5/7,0),""))</f>
        <v/>
      </c>
      <c r="H62" s="69">
        <f>IF($A62="","",IFERROR(G62/D62,""))</f>
        <v/>
      </c>
      <c r="I62" s="70">
        <f>IF($A62="","",IFERROR(B62+ROUND(D62*7/5,0),""))</f>
        <v/>
      </c>
      <c r="J62" s="68">
        <f>IF($A62="","",IFERROR(I62-E62,""))</f>
        <v/>
      </c>
      <c r="K62" s="68">
        <f>IF($A62="","",IFERROR(IF(G62-INDEX($AB$5:$AB$13,MATCH(G62,$AB$5:$AB$13,1))&lt;=INDEX($AB$5:$AB$13,MIN(MATCH(G62,$AB$5:$AB$13,1)+1,9))-G62,INDEX($AB$5:$AB$13,MATCH(G62,$AB$5:$AB$13,1)),INDEX($AB$5:$AB$13,MIN(MATCH(G62,$AB$5:$AB$13,1)+1,9))),30))</f>
        <v/>
      </c>
      <c r="L62" s="68">
        <f>IF($A62="","",IFERROR(ABS(G62-K62),""))</f>
        <v/>
      </c>
      <c r="M62" s="66" t="n"/>
      <c r="N62" s="68">
        <f>IF($A62="","",IFERROR(ROUND(M62*1.618,0),""))</f>
        <v/>
      </c>
      <c r="O62" s="70">
        <f>IF($A62="","",IFERROR(C62+ROUND(N62*7/5,0),""))</f>
        <v/>
      </c>
      <c r="P62" s="71" t="n"/>
      <c r="Q62" s="71" t="n"/>
      <c r="R62" s="66" t="n"/>
      <c r="S62" s="72">
        <f>IF($A62="","",IF(OR(D62="",H62=""),0,IF(OR(H62&lt;=0.15,H62&gt;=0.9),4,IF(AND(H62&gt;=0.35,H62&lt;=0.6),-3,IF(H62&lt;0.35,2,-1)))))</f>
        <v/>
      </c>
      <c r="T62" s="72">
        <f>IF($A62="","",IF(OR(L62="",L62&gt;TIME_TOL),0,IF(S62&gt;0,2,-2)))</f>
        <v/>
      </c>
      <c r="U62" s="72">
        <f>IF($A62="","",IF(P62="",0,(IF(P62="3",4,IF(P62="1",2,IF(P62="2",1,IF(P62="4",1,IF(P62="5",-1,IF(P62="A",-3,IF(P62="B",-2,IF(P62="C",-4,0)))))))))*IF(R62="",0.6,R62/5)))</f>
        <v/>
      </c>
      <c r="V62" s="72">
        <f>IF($A62="","",MAX(-10,MIN(10,S62+T62+U62)))</f>
        <v/>
      </c>
      <c r="W62" s="73">
        <f>IF($A62="","",IF(W_TIME=0,"غیرفعال (وزن صفر)","فعال"))</f>
        <v/>
      </c>
    </row>
    <row r="63" ht="15" customHeight="1" s="56">
      <c r="A63" s="64" t="n"/>
      <c r="B63" s="65" t="n"/>
      <c r="C63" s="65" t="n"/>
      <c r="D63" s="66" t="n"/>
      <c r="E63" s="67" t="n"/>
      <c r="F63" s="68">
        <f>IF($A63="","",IFERROR(E63-B63,""))</f>
        <v/>
      </c>
      <c r="G63" s="68">
        <f>IF($A63="","",IFERROR(ROUND(F63*5/7,0),""))</f>
        <v/>
      </c>
      <c r="H63" s="69">
        <f>IF($A63="","",IFERROR(G63/D63,""))</f>
        <v/>
      </c>
      <c r="I63" s="70">
        <f>IF($A63="","",IFERROR(B63+ROUND(D63*7/5,0),""))</f>
        <v/>
      </c>
      <c r="J63" s="68">
        <f>IF($A63="","",IFERROR(I63-E63,""))</f>
        <v/>
      </c>
      <c r="K63" s="68">
        <f>IF($A63="","",IFERROR(IF(G63-INDEX($AB$5:$AB$13,MATCH(G63,$AB$5:$AB$13,1))&lt;=INDEX($AB$5:$AB$13,MIN(MATCH(G63,$AB$5:$AB$13,1)+1,9))-G63,INDEX($AB$5:$AB$13,MATCH(G63,$AB$5:$AB$13,1)),INDEX($AB$5:$AB$13,MIN(MATCH(G63,$AB$5:$AB$13,1)+1,9))),30))</f>
        <v/>
      </c>
      <c r="L63" s="68">
        <f>IF($A63="","",IFERROR(ABS(G63-K63),""))</f>
        <v/>
      </c>
      <c r="M63" s="66" t="n"/>
      <c r="N63" s="68">
        <f>IF($A63="","",IFERROR(ROUND(M63*1.618,0),""))</f>
        <v/>
      </c>
      <c r="O63" s="70">
        <f>IF($A63="","",IFERROR(C63+ROUND(N63*7/5,0),""))</f>
        <v/>
      </c>
      <c r="P63" s="71" t="n"/>
      <c r="Q63" s="71" t="n"/>
      <c r="R63" s="66" t="n"/>
      <c r="S63" s="72">
        <f>IF($A63="","",IF(OR(D63="",H63=""),0,IF(OR(H63&lt;=0.15,H63&gt;=0.9),4,IF(AND(H63&gt;=0.35,H63&lt;=0.6),-3,IF(H63&lt;0.35,2,-1)))))</f>
        <v/>
      </c>
      <c r="T63" s="72">
        <f>IF($A63="","",IF(OR(L63="",L63&gt;TIME_TOL),0,IF(S63&gt;0,2,-2)))</f>
        <v/>
      </c>
      <c r="U63" s="72">
        <f>IF($A63="","",IF(P63="",0,(IF(P63="3",4,IF(P63="1",2,IF(P63="2",1,IF(P63="4",1,IF(P63="5",-1,IF(P63="A",-3,IF(P63="B",-2,IF(P63="C",-4,0)))))))))*IF(R63="",0.6,R63/5)))</f>
        <v/>
      </c>
      <c r="V63" s="72">
        <f>IF($A63="","",MAX(-10,MIN(10,S63+T63+U63)))</f>
        <v/>
      </c>
      <c r="W63" s="73">
        <f>IF($A63="","",IF(W_TIME=0,"غیرفعال (وزن صفر)","فعال"))</f>
        <v/>
      </c>
    </row>
    <row r="64" ht="15" customHeight="1" s="56">
      <c r="A64" s="64" t="n"/>
      <c r="B64" s="65" t="n"/>
      <c r="C64" s="65" t="n"/>
      <c r="D64" s="66" t="n"/>
      <c r="E64" s="67" t="n"/>
      <c r="F64" s="68">
        <f>IF($A64="","",IFERROR(E64-B64,""))</f>
        <v/>
      </c>
      <c r="G64" s="68">
        <f>IF($A64="","",IFERROR(ROUND(F64*5/7,0),""))</f>
        <v/>
      </c>
      <c r="H64" s="69">
        <f>IF($A64="","",IFERROR(G64/D64,""))</f>
        <v/>
      </c>
      <c r="I64" s="70">
        <f>IF($A64="","",IFERROR(B64+ROUND(D64*7/5,0),""))</f>
        <v/>
      </c>
      <c r="J64" s="68">
        <f>IF($A64="","",IFERROR(I64-E64,""))</f>
        <v/>
      </c>
      <c r="K64" s="68">
        <f>IF($A64="","",IFERROR(IF(G64-INDEX($AB$5:$AB$13,MATCH(G64,$AB$5:$AB$13,1))&lt;=INDEX($AB$5:$AB$13,MIN(MATCH(G64,$AB$5:$AB$13,1)+1,9))-G64,INDEX($AB$5:$AB$13,MATCH(G64,$AB$5:$AB$13,1)),INDEX($AB$5:$AB$13,MIN(MATCH(G64,$AB$5:$AB$13,1)+1,9))),30))</f>
        <v/>
      </c>
      <c r="L64" s="68">
        <f>IF($A64="","",IFERROR(ABS(G64-K64),""))</f>
        <v/>
      </c>
      <c r="M64" s="66" t="n"/>
      <c r="N64" s="68">
        <f>IF($A64="","",IFERROR(ROUND(M64*1.618,0),""))</f>
        <v/>
      </c>
      <c r="O64" s="70">
        <f>IF($A64="","",IFERROR(C64+ROUND(N64*7/5,0),""))</f>
        <v/>
      </c>
      <c r="P64" s="71" t="n"/>
      <c r="Q64" s="71" t="n"/>
      <c r="R64" s="66" t="n"/>
      <c r="S64" s="72">
        <f>IF($A64="","",IF(OR(D64="",H64=""),0,IF(OR(H64&lt;=0.15,H64&gt;=0.9),4,IF(AND(H64&gt;=0.35,H64&lt;=0.6),-3,IF(H64&lt;0.35,2,-1)))))</f>
        <v/>
      </c>
      <c r="T64" s="72">
        <f>IF($A64="","",IF(OR(L64="",L64&gt;TIME_TOL),0,IF(S64&gt;0,2,-2)))</f>
        <v/>
      </c>
      <c r="U64" s="72">
        <f>IF($A64="","",IF(P64="",0,(IF(P64="3",4,IF(P64="1",2,IF(P64="2",1,IF(P64="4",1,IF(P64="5",-1,IF(P64="A",-3,IF(P64="B",-2,IF(P64="C",-4,0)))))))))*IF(R64="",0.6,R64/5)))</f>
        <v/>
      </c>
      <c r="V64" s="72">
        <f>IF($A64="","",MAX(-10,MIN(10,S64+T64+U64)))</f>
        <v/>
      </c>
      <c r="W64" s="73">
        <f>IF($A64="","",IF(W_TIME=0,"غیرفعال (وزن صفر)","فعال"))</f>
        <v/>
      </c>
    </row>
    <row r="66" ht="15" customHeight="1" s="56">
      <c r="A66" s="78" t="inlineStr">
        <is>
          <t>منابع مرجع این لایه (برای توسعه آینده):</t>
        </is>
      </c>
    </row>
    <row r="67" ht="15" customHeight="1" s="56">
      <c r="A67" s="79" t="inlineStr">
        <is>
          <t>• J.M. Hurst — The Profit Magic of Stock Transaction Timing  ·  مدل چرخه‌های اسمی و FLD</t>
        </is>
      </c>
    </row>
    <row r="68" ht="15" customHeight="1" s="56">
      <c r="A68" s="79" t="inlineStr">
        <is>
          <t>• Christopher Grafton — Mastering Hurst Cycle Analysis  ·  اعتبارسنجی چرخه‌ها</t>
        </is>
      </c>
    </row>
    <row r="69" ht="15" customHeight="1" s="56">
      <c r="A69" s="79" t="inlineStr">
        <is>
          <t>• James A. Hyerczyk — Pattern, Price &amp; Time  ·  شمارش‌های زمانی گن</t>
        </is>
      </c>
    </row>
    <row r="70" ht="15" customHeight="1" s="56">
      <c r="A70" s="79" t="inlineStr">
        <is>
          <t>• Lars von Thienen — Decoding the Hidden Market Rhythm  ·  استخراج چرخه غالب با تحلیل طیفی</t>
        </is>
      </c>
    </row>
    <row r="71" ht="15" customHeight="1" s="56">
      <c r="A71" s="79" t="inlineStr">
        <is>
          <t>• Frost &amp; Prechter — Elliott Wave Principle  ·  برچسب‌گذاری موج</t>
        </is>
      </c>
    </row>
    <row r="72" ht="15" customHeight="1" s="56">
      <c r="A72" s="78" t="inlineStr">
        <is>
          <t>گام بعدی پیشنهادی: طول چرخه غالب (ستون D) به‌جای ورود دستی، با تحلیل طیفی در پایتون محاسبه و اینجا نوشته شود.</t>
        </is>
      </c>
    </row>
  </sheetData>
  <mergeCells count="9">
    <mergeCell ref="A1:W1"/>
    <mergeCell ref="A70:J70"/>
    <mergeCell ref="A67:J67"/>
    <mergeCell ref="A69:J69"/>
    <mergeCell ref="A68:J68"/>
    <mergeCell ref="A72:J72"/>
    <mergeCell ref="A2:W2"/>
    <mergeCell ref="A71:J71"/>
    <mergeCell ref="A66:J66"/>
  </mergeCells>
  <conditionalFormatting sqref="V5:V64">
    <cfRule type="colorScale" priority="2">
      <colorScale>
        <cfvo type="num" val="-10"/>
        <cfvo type="num" val="0"/>
        <cfvo type="num" val="10"/>
        <color rgb="FFC00000"/>
        <color rgb="FFFFFFFF"/>
        <color rgb="FF00B050"/>
      </colorScale>
    </cfRule>
  </conditionalFormatting>
  <dataValidations count="3">
    <dataValidation sqref="P5:P64" showDropDown="0" showInputMessage="0" showErrorMessage="0" allowBlank="1" type="list" errorStyle="stop" operator="between">
      <formula1>"1,2,3,4,5,A,B,C"</formula1>
      <formula2>0</formula2>
    </dataValidation>
    <dataValidation sqref="Q5:Q64" showDropDown="0" showInputMessage="0" showErrorMessage="0" allowBlank="1" type="list" errorStyle="stop" operator="between">
      <formula1>"ریزموج,فرعی,میانی,اولیه,چرخه‌ای,ابرچرخه"</formula1>
      <formula2>0</formula2>
    </dataValidation>
    <dataValidation sqref="R5:R64" showDropDown="0" showInputMessage="0" showErrorMessage="0" allowBlank="1" type="whole" errorStyle="stop" operator="between">
      <formula1>1</formula1>
      <formula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38"/>
  <sheetViews>
    <sheetView showFormulas="0" showGridLines="1" showRowColHeaders="1" showZeros="1" rightToLeft="1"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30" customWidth="1" style="55" min="1" max="1"/>
    <col width="54" customWidth="1" style="55" min="2" max="2"/>
    <col width="8" customWidth="1" style="55" min="3" max="3"/>
    <col width="16" customWidth="1" style="55" min="4" max="4"/>
    <col width="34" customWidth="1" style="55" min="5" max="5"/>
    <col width="88" customWidth="1" style="55" min="6" max="6"/>
  </cols>
  <sheetData>
    <row r="1" ht="27.75" customHeight="1" s="56">
      <c r="A1" s="57" t="inlineStr">
        <is>
          <t>منابع لایه زمانی و روش‌شناسی</t>
        </is>
      </c>
    </row>
    <row r="2" ht="18" customHeight="1" s="56">
      <c r="A2" s="58" t="inlineStr">
        <is>
          <t>هر چارچوب یک برچسب جایگاه دارد. تفکیک «دارای پشتوانه تجربی» از «چارچوب روایی» شرط خواندن درست خروجی است.</t>
        </is>
      </c>
    </row>
    <row r="3" ht="30" customHeight="1" s="56">
      <c r="A3" s="59" t="inlineStr">
        <is>
          <t>نویسنده</t>
        </is>
      </c>
      <c r="B3" s="59" t="inlineStr">
        <is>
          <t>اثر</t>
        </is>
      </c>
      <c r="C3" s="59" t="inlineStr">
        <is>
          <t>سال</t>
        </is>
      </c>
      <c r="D3" s="59" t="inlineStr">
        <is>
          <t>حوزه</t>
        </is>
      </c>
      <c r="E3" s="59" t="inlineStr">
        <is>
          <t>جایگاه علمی</t>
        </is>
      </c>
      <c r="F3" s="59" t="inlineStr">
        <is>
          <t>یادداشت</t>
        </is>
      </c>
    </row>
    <row r="4" ht="21.75" customHeight="1" s="56">
      <c r="A4" s="62" t="inlineStr">
        <is>
          <t>-</t>
        </is>
      </c>
      <c r="B4" s="62" t="inlineStr">
        <is>
          <t>-</t>
        </is>
      </c>
      <c r="C4" s="62" t="inlineStr">
        <is>
          <t>-</t>
        </is>
      </c>
      <c r="D4" s="62" t="inlineStr">
        <is>
          <t>-</t>
        </is>
      </c>
      <c r="E4" s="62" t="inlineStr">
        <is>
          <t>EMPIRICAL/DEBATED/HETERODOX/NARRATIVE</t>
        </is>
      </c>
      <c r="F4" s="62" t="inlineStr">
        <is>
          <t>-</t>
        </is>
      </c>
    </row>
    <row r="5" ht="30" customHeight="1" s="56">
      <c r="A5" s="80" t="inlineStr">
        <is>
          <t>Halbert White</t>
        </is>
      </c>
      <c r="B5" s="80" t="inlineStr">
        <is>
          <t>A Reality Check for Data Snooping</t>
        </is>
      </c>
      <c r="C5" s="81" t="n">
        <v>2000</v>
      </c>
      <c r="D5" s="81" t="inlineStr">
        <is>
          <t>بک‌تست</t>
        </is>
      </c>
      <c r="E5" s="80" t="inlineStr">
        <is>
          <t>دارای پشتوانه تجربی متعارف</t>
        </is>
      </c>
      <c r="F5" s="80" t="inlineStr">
        <is>
          <t>آزمون معناداری وقتی چندین استراتژی روی یک داده امتحان شده‌اند. معادل تصحیح چندگانگی، ولی برای بک‌تست.</t>
        </is>
      </c>
    </row>
    <row r="6" ht="30" customHeight="1" s="56">
      <c r="A6" s="80" t="inlineStr">
        <is>
          <t>David H. Bailey, Jonathan Borwein, Marcos López de Prado &amp; Qiji Jim Zhu</t>
        </is>
      </c>
      <c r="B6" s="80" t="inlineStr">
        <is>
          <t>Pseudo-Mathematics and Financial Charlatanism: The Effects of Backtest Overfitting on Out-of-Sample Performance</t>
        </is>
      </c>
      <c r="C6" s="81" t="n">
        <v>2014</v>
      </c>
      <c r="D6" s="81" t="inlineStr">
        <is>
          <t>بک‌تست</t>
        </is>
      </c>
      <c r="E6" s="80" t="inlineStr">
        <is>
          <t>دارای پشتوانه تجربی متعارف</t>
        </is>
      </c>
      <c r="F6" s="80" t="inlineStr">
        <is>
          <t>با کافی‌بودن تعداد تلاش، همیشه می‌توان یک استراتژی با شارپ بالا در نمونه ساخت که خارج از نمونه بی‌ارزش است. مبنای «نسبت شارپ تعدیل‌شده» و ثبت تعداد تلاش در بک‌تستر.</t>
        </is>
      </c>
    </row>
    <row r="7" ht="30" customHeight="1" s="56">
      <c r="A7" s="80" t="inlineStr">
        <is>
          <t>David H. Bailey &amp; Marcos López de Prado</t>
        </is>
      </c>
      <c r="B7" s="80" t="inlineStr">
        <is>
          <t>The Deflated Sharpe Ratio: Correcting for Selection Bias, Backtest Overfitting and Non-Normality</t>
        </is>
      </c>
      <c r="C7" s="81" t="n">
        <v>2014</v>
      </c>
      <c r="D7" s="81" t="inlineStr">
        <is>
          <t>بک‌تست</t>
        </is>
      </c>
      <c r="E7" s="80" t="inlineStr">
        <is>
          <t>دارای پشتوانه تجربی متعارف</t>
        </is>
      </c>
      <c r="F7" s="80" t="inlineStr">
        <is>
          <t>شارپ تعدیل‌شده بابت تعداد تلاش، چولگی و کشیدگی. عددی که در این پکیج به‌جای شارپ خام گزارش می‌شود.</t>
        </is>
      </c>
    </row>
    <row r="8" ht="30" customHeight="1" s="56">
      <c r="A8" s="80" t="inlineStr">
        <is>
          <t>Nassim Nicholas Taleb</t>
        </is>
      </c>
      <c r="B8" s="80" t="inlineStr">
        <is>
          <t>The Black Swan / Dynamic Hedging</t>
        </is>
      </c>
      <c r="C8" s="81" t="n">
        <v>2007</v>
      </c>
      <c r="D8" s="81" t="inlineStr">
        <is>
          <t>ریسک</t>
        </is>
      </c>
      <c r="E8" s="80" t="inlineStr">
        <is>
          <t>در ادبیات تخصصی مطرح ولی مورد مناقشه</t>
        </is>
      </c>
      <c r="F8" s="80" t="inlineStr">
        <is>
          <t>دم‌های ضخیم و ناارگودیک‌بودن. برای بازار ایران به‌ویژه مهم: توزیع بازده به‌شدت غیرنرمال است و معیارهای مبتنی بر واریانس ریسک را کم‌برآورد می‌کنند.</t>
        </is>
      </c>
    </row>
    <row r="9" ht="30" customHeight="1" s="56">
      <c r="A9" s="80" t="inlineStr">
        <is>
          <t>Robert F. Engle</t>
        </is>
      </c>
      <c r="B9" s="80" t="inlineStr">
        <is>
          <t>Autoregressive Conditional Heteroscedasticity with Estimates of the Variance of United Kingdom Inflation</t>
        </is>
      </c>
      <c r="C9" s="81" t="n">
        <v>1982</v>
      </c>
      <c r="D9" s="81" t="inlineStr">
        <is>
          <t>نوسان</t>
        </is>
      </c>
      <c r="E9" s="80" t="inlineStr">
        <is>
          <t>دارای پشتوانه تجربی متعارف</t>
        </is>
      </c>
      <c r="F9" s="80" t="inlineStr">
        <is>
          <t>خوشه‌ای‌بودن نوسان. یکی از مستحکم‌ترین یافته‌های مالی: نوسان پیش‌بینی‌پذیر است حتی وقتی جهت بازده نیست.</t>
        </is>
      </c>
    </row>
    <row r="10" ht="30" customHeight="1" s="56">
      <c r="A10" s="80" t="inlineStr">
        <is>
          <t>Tim Bollerslev</t>
        </is>
      </c>
      <c r="B10" s="80" t="inlineStr">
        <is>
          <t>Generalized Autoregressive Conditional Heteroskedasticity</t>
        </is>
      </c>
      <c r="C10" s="81" t="n">
        <v>1986</v>
      </c>
      <c r="D10" s="81" t="inlineStr">
        <is>
          <t>نوسان</t>
        </is>
      </c>
      <c r="E10" s="80" t="inlineStr">
        <is>
          <t>دارای پشتوانه تجربی متعارف</t>
        </is>
      </c>
      <c r="F10" s="80" t="inlineStr">
        <is>
          <t>GARCH — تعمیم ARCH. مبنای برآورد احتمال افت شدید در افق کوتاه.</t>
        </is>
      </c>
    </row>
    <row r="11" ht="30" customHeight="1" s="56">
      <c r="A11" s="80" t="inlineStr">
        <is>
          <t>Glenn W. Brier</t>
        </is>
      </c>
      <c r="B11" s="80" t="inlineStr">
        <is>
          <t>Verification of Forecasts Expressed in Terms of Probability</t>
        </is>
      </c>
      <c r="C11" s="81" t="n">
        <v>1950</v>
      </c>
      <c r="D11" s="81" t="inlineStr">
        <is>
          <t>پیش‌بینی</t>
        </is>
      </c>
      <c r="E11" s="80" t="inlineStr">
        <is>
          <t>دارای پشتوانه تجربی متعارف</t>
        </is>
      </c>
      <c r="F11" s="80" t="inlineStr">
        <is>
          <t>امتیاز بریر: تنها راه صادقانه سنجش پیش‌بینی احتمالاتی. بدون آن، هر پیش‌بینی‌کننده‌ای می‌تواند خودش را موفق بداند.</t>
        </is>
      </c>
    </row>
    <row r="12" ht="30" customHeight="1" s="56">
      <c r="A12" s="80" t="inlineStr">
        <is>
          <t>Allan H. Murphy</t>
        </is>
      </c>
      <c r="B12" s="80" t="inlineStr">
        <is>
          <t>A New Vector Partition of the Probability Score</t>
        </is>
      </c>
      <c r="C12" s="81" t="n">
        <v>1973</v>
      </c>
      <c r="D12" s="81" t="inlineStr">
        <is>
          <t>پیش‌بینی</t>
        </is>
      </c>
      <c r="E12" s="80" t="inlineStr">
        <is>
          <t>دارای پشتوانه تجربی متعارف</t>
        </is>
      </c>
      <c r="F12" s="80" t="inlineStr">
        <is>
          <t>تجزیه بریر به سه جزء: کالیبراسیون، تفکیک‌پذیری و عدم‌قطعیت ذاتی. نشان می‌دهد یک پیش‌بینی می‌تواند کالیبره ولی بی‌فایده باشد.</t>
        </is>
      </c>
    </row>
    <row r="13" ht="30" customHeight="1" s="56">
      <c r="A13" s="80" t="inlineStr">
        <is>
          <t>John Y. Campbell &amp; Robert J. Shiller</t>
        </is>
      </c>
      <c r="B13" s="80" t="inlineStr">
        <is>
          <t>Stock Prices, Earnings, and Expected Dividends</t>
        </is>
      </c>
      <c r="C13" s="81" t="n">
        <v>1988</v>
      </c>
      <c r="D13" s="81" t="inlineStr">
        <is>
          <t>پیش‌بینی</t>
        </is>
      </c>
      <c r="E13" s="80" t="inlineStr">
        <is>
          <t>دارای پشتوانه تجربی متعارف</t>
        </is>
      </c>
      <c r="F13" s="80" t="inlineStr">
        <is>
          <t>نسبت‌های ارزش‌گذاری بازده بلندمدت را پیش‌بینی می‌کنند، نه کوتاه‌مدت. افق مهم است: آنچه در ۱۰ سال کار می‌کند در ۳ ماه کار نمی‌کند.</t>
        </is>
      </c>
    </row>
    <row r="14" ht="30" customHeight="1" s="56">
      <c r="A14" s="80" t="inlineStr">
        <is>
          <t>Francis X. Diebold &amp; Roberto S. Mariano</t>
        </is>
      </c>
      <c r="B14" s="80" t="inlineStr">
        <is>
          <t>Comparing Predictive Accuracy</t>
        </is>
      </c>
      <c r="C14" s="81" t="n">
        <v>1995</v>
      </c>
      <c r="D14" s="81" t="inlineStr">
        <is>
          <t>پیش‌بینی</t>
        </is>
      </c>
      <c r="E14" s="80" t="inlineStr">
        <is>
          <t>دارای پشتوانه تجربی متعارف</t>
        </is>
      </c>
      <c r="F14" s="80" t="inlineStr">
        <is>
          <t>آزمون معناداری تفاوت دقت دو پیش‌بینی. بدون آن، «مدل من بهتر است» یک ادعای بدون پشتوانه آماری است.</t>
        </is>
      </c>
    </row>
    <row r="15" ht="30" customHeight="1" s="56">
      <c r="A15" s="80" t="inlineStr">
        <is>
          <t>Andrew W. Lo</t>
        </is>
      </c>
      <c r="B15" s="80" t="inlineStr">
        <is>
          <t>The Adaptive Markets Hypothesis</t>
        </is>
      </c>
      <c r="C15" s="81" t="n">
        <v>2004</v>
      </c>
      <c r="D15" s="81" t="inlineStr">
        <is>
          <t>پیش‌بینی</t>
        </is>
      </c>
      <c r="E15" s="80" t="inlineStr">
        <is>
          <t>در ادبیات تخصصی مطرح ولی مورد مناقشه</t>
        </is>
      </c>
      <c r="F15" s="80" t="inlineStr">
        <is>
          <t>کارایی بازار مطلق نیست بلکه به شرایط و رقابت بستگی دارد؛ لبه‌ها وجود دارند ولی فرسوده می‌شوند. توضیح می‌دهد چرا یک استراتژی که در گذشته کار کرده ممکن است دیگر کار نکند.</t>
        </is>
      </c>
    </row>
    <row r="16" ht="30" customHeight="1" s="56">
      <c r="A16" s="80" t="inlineStr">
        <is>
          <t>Philip E. Tetlock</t>
        </is>
      </c>
      <c r="B16" s="80" t="inlineStr">
        <is>
          <t>Expert Political Judgment</t>
        </is>
      </c>
      <c r="C16" s="81" t="n">
        <v>2005</v>
      </c>
      <c r="D16" s="81" t="inlineStr">
        <is>
          <t>پیش‌بینی</t>
        </is>
      </c>
      <c r="E16" s="80" t="inlineStr">
        <is>
          <t>دارای پشتوانه تجربی متعارف</t>
        </is>
      </c>
      <c r="F16" s="80" t="inlineStr">
        <is>
          <t>بیست سال ردیابی ۲۸ هزار پیش‌بینی از ۲۸۴ کارشناس: دقت کارشناسان سیاسی به‌سختی از حدس تصادفی بهتر بود و کارشناسان مشهورتر بدتر عمل کردند. این مطالعه، پایه‌ی تصمیمِ ما برای نساختن «مدل پیش‌بینی رویداد سیاسی» است.</t>
        </is>
      </c>
    </row>
    <row r="17" ht="30" customHeight="1" s="56">
      <c r="A17" s="80" t="inlineStr">
        <is>
          <t>Ivo Welch &amp; Amit Goyal</t>
        </is>
      </c>
      <c r="B17" s="80" t="inlineStr">
        <is>
          <t>A Comprehensive Look at the Empirical Performance of Equity Premium Prediction</t>
        </is>
      </c>
      <c r="C17" s="81" t="n">
        <v>2008</v>
      </c>
      <c r="D17" s="81" t="inlineStr">
        <is>
          <t>پیش‌بینی</t>
        </is>
      </c>
      <c r="E17" s="80" t="inlineStr">
        <is>
          <t>دارای پشتوانه تجربی متعارف</t>
        </is>
      </c>
      <c r="F17" s="80" t="inlineStr">
        <is>
          <t>بررسی گسترده متغیرهای پیش‌بین بازده سهام: تقریباً همه در خارج از نمونه شکست می‌خورند و از میانگین ساده تاریخی بدتر عمل می‌کنند. این مقاله، دلیل اصلی وجود بخش «مقایسه با معیار بی‌اثر» در بک‌تستر ماست.</t>
        </is>
      </c>
    </row>
    <row r="18" ht="30" customHeight="1" s="56">
      <c r="A18" s="80" t="inlineStr">
        <is>
          <t>Philip E. Tetlock &amp; Dan Gardner</t>
        </is>
      </c>
      <c r="B18" s="80" t="inlineStr">
        <is>
          <t>Superforecasting</t>
        </is>
      </c>
      <c r="C18" s="81" t="n">
        <v>2015</v>
      </c>
      <c r="D18" s="81" t="inlineStr">
        <is>
          <t>پیش‌بینی</t>
        </is>
      </c>
      <c r="E18" s="80" t="inlineStr">
        <is>
          <t>دارای پشتوانه تجربی متعارف</t>
        </is>
      </c>
      <c r="F18" s="80" t="inlineStr">
        <is>
          <t>یافته تورنمنت IARPA: آنچه دقت را بالا می‌برد مدل نیست — تجزیه سؤال، شروع از نرخ پایه، احتمال عددی صریح، به‌روزرسانی مکرر و کوچک، و سنجش کالیبراسیون است. معماری ماژول judgment از همین‌جا می‌آید.</t>
        </is>
      </c>
    </row>
    <row r="19" ht="30" customHeight="1" s="56">
      <c r="A19" s="80" t="inlineStr">
        <is>
          <t>Clément Juglar</t>
        </is>
      </c>
      <c r="B19" s="80" t="inlineStr">
        <is>
          <t>Des crises commerciales et de leur retour périodique</t>
        </is>
      </c>
      <c r="C19" s="81" t="n">
        <v>1862</v>
      </c>
      <c r="D19" s="81" t="inlineStr">
        <is>
          <t>چرخه اقتصادی</t>
        </is>
      </c>
      <c r="E19" s="80" t="inlineStr">
        <is>
          <t>دارای پشتوانه تجربی متعارف</t>
        </is>
      </c>
      <c r="F19" s="80" t="inlineStr">
        <is>
          <t>نخستین مستندسازی چرخه تجاری ۷ تا ۱۱ ساله. وجود چرخه تجاری در اقتصاد جریان اصلی پذیرفته است؛ دوره ثابت آن نه.</t>
        </is>
      </c>
    </row>
    <row r="20" ht="30" customHeight="1" s="56">
      <c r="A20" s="80" t="inlineStr">
        <is>
          <t>Joseph Schumpeter</t>
        </is>
      </c>
      <c r="B20" s="80" t="inlineStr">
        <is>
          <t>Business Cycles</t>
        </is>
      </c>
      <c r="C20" s="81" t="n">
        <v>1939</v>
      </c>
      <c r="D20" s="81" t="inlineStr">
        <is>
          <t>چرخه اقتصادی</t>
        </is>
      </c>
      <c r="E20" s="80" t="inlineStr">
        <is>
          <t>در ادبیات تخصصی مطرح ولی مورد مناقشه</t>
        </is>
      </c>
      <c r="F20" s="80" t="inlineStr">
        <is>
          <t>طرح سه‌چرخه‌ای کیچین/ژوگلار/کندراتیف و تخریب خلاق. مفهوم تخریب خلاق پذیرفته‌شده است؛ طرح سه‌چرخه‌ای منظم نه.</t>
        </is>
      </c>
    </row>
    <row r="21" ht="30" customHeight="1" s="56">
      <c r="A21" s="80" t="inlineStr">
        <is>
          <t>James D. Hamilton</t>
        </is>
      </c>
      <c r="B21" s="80" t="inlineStr">
        <is>
          <t>A New Approach to the Economic Analysis of Nonstationary Time Series and the Business Cycle</t>
        </is>
      </c>
      <c r="C21" s="81" t="n">
        <v>1989</v>
      </c>
      <c r="D21" s="81" t="inlineStr">
        <is>
          <t>چرخه اقتصادی</t>
        </is>
      </c>
      <c r="E21" s="80" t="inlineStr">
        <is>
          <t>دارای پشتوانه تجربی متعارف</t>
        </is>
      </c>
      <c r="F21" s="80" t="inlineStr">
        <is>
          <t>مدل مارکوف رژیم‌سوئیچینگ. روش استاندارد جریان اصلی برای تخمین احتمال قرارگرفتن اقتصاد/بازار در رژیم رکودی. مبنای ماژول regime.</t>
        </is>
      </c>
    </row>
    <row r="22" ht="30" customHeight="1" s="56">
      <c r="A22" s="80" t="inlineStr">
        <is>
          <t>Arturo Estrella &amp; Frederic S. Mishkin</t>
        </is>
      </c>
      <c r="B22" s="80" t="inlineStr">
        <is>
          <t>Predicting U.S. Recessions: Financial Variables as Leading Indicators</t>
        </is>
      </c>
      <c r="C22" s="81" t="n">
        <v>1998</v>
      </c>
      <c r="D22" s="81" t="inlineStr">
        <is>
          <t>چرخه اقتصادی</t>
        </is>
      </c>
      <c r="E22" s="80" t="inlineStr">
        <is>
          <t>دارای پشتوانه تجربی متعارف</t>
        </is>
      </c>
      <c r="F22" s="80" t="inlineStr">
        <is>
          <t>شیب منحنی بازده بهترین پیش‌بین منفرد رکود آمریکاست، با افق ۱۲ تا ۱۸ ماه — نه سه ماه. برای ایران معادل تقریبی آن ساختار زمانی بازدهی اخزاست.</t>
        </is>
      </c>
    </row>
    <row r="23" ht="30" customHeight="1" s="56">
      <c r="A23" s="80" t="inlineStr">
        <is>
          <t>Carlota Perez</t>
        </is>
      </c>
      <c r="B23" s="80" t="inlineStr">
        <is>
          <t>Technological Revolutions and Financial Capital</t>
        </is>
      </c>
      <c r="C23" s="81" t="n">
        <v>2002</v>
      </c>
      <c r="D23" s="81" t="inlineStr">
        <is>
          <t>چرخه اقتصادی</t>
        </is>
      </c>
      <c r="E23" s="80" t="inlineStr">
        <is>
          <t>در ادبیات تخصصی مطرح ولی مورد مناقشه</t>
        </is>
      </c>
      <c r="F23" s="80" t="inlineStr">
        <is>
          <t>پارادایم‌های فناورانه-اقتصادی. تاریخ‌های آغاز پنج موج صریحاً در کتاب آمده.</t>
        </is>
      </c>
    </row>
    <row r="24" ht="30" customHeight="1" s="56">
      <c r="A24" s="80" t="inlineStr">
        <is>
          <t>Leonid Grinin, Andrey Korotayev, Arno Tausch</t>
        </is>
      </c>
      <c r="B24" s="80" t="inlineStr">
        <is>
          <t>Economic Cycles, Crises, and the Global Periphery</t>
        </is>
      </c>
      <c r="C24" s="81" t="n">
        <v>2016</v>
      </c>
      <c r="D24" s="81" t="inlineStr">
        <is>
          <t>چرخه اقتصادی</t>
        </is>
      </c>
      <c r="E24" s="80" t="inlineStr">
        <is>
          <t>در ادبیات تخصصی مطرح ولی مورد مناقشه</t>
        </is>
      </c>
      <c r="F24" s="80" t="inlineStr">
        <is>
          <t>دیتینگ استاندارد امواج کندراتیف و پیوند آن با بحران‌های پیرامون.</t>
        </is>
      </c>
    </row>
    <row r="25" ht="30" customHeight="1" s="56">
      <c r="A25" s="80" t="inlineStr">
        <is>
          <t>W.D. Gann</t>
        </is>
      </c>
      <c r="B25" s="80" t="inlineStr">
        <is>
          <t>The Tunnel Thru the Air</t>
        </is>
      </c>
      <c r="C25" s="81" t="n">
        <v>1927</v>
      </c>
      <c r="D25" s="81" t="inlineStr">
        <is>
          <t>چرخه بازار</t>
        </is>
      </c>
      <c r="E25" s="82" t="inlineStr">
        <is>
          <t>خارج از جریان اصلی؛ اجماع علمی ندارد</t>
        </is>
      </c>
      <c r="F25" s="80" t="inlineStr">
        <is>
          <t>رمان با لایه رمزی چرخه‌های زمانی. منبع اولیه ادعاهای چرخه طبیعی گن.</t>
        </is>
      </c>
    </row>
    <row r="26" ht="30" customHeight="1" s="56">
      <c r="A26" s="80" t="inlineStr">
        <is>
          <t>W.D. Gann</t>
        </is>
      </c>
      <c r="B26" s="80" t="inlineStr">
        <is>
          <t>How to Make Profits Trading in Commodities</t>
        </is>
      </c>
      <c r="C26" s="81" t="n">
        <v>1941</v>
      </c>
      <c r="D26" s="81" t="inlineStr">
        <is>
          <t>چرخه بازار</t>
        </is>
      </c>
      <c r="E26" s="82" t="inlineStr">
        <is>
          <t>خارج از جریان اصلی؛ اجماع علمی ندارد</t>
        </is>
      </c>
      <c r="F26" s="80" t="inlineStr">
        <is>
          <t>شمارش‌های زمانی و سالگردها. هیچ توجیه علّی برای اعداد ارائه نمی‌شود.</t>
        </is>
      </c>
    </row>
    <row r="27" ht="30" customHeight="1" s="56">
      <c r="A27" s="80" t="inlineStr">
        <is>
          <t>J.M. Hurst</t>
        </is>
      </c>
      <c r="B27" s="80" t="inlineStr">
        <is>
          <t>The Profit Magic of Stock Transaction Timing</t>
        </is>
      </c>
      <c r="C27" s="81" t="n">
        <v>1970</v>
      </c>
      <c r="D27" s="81" t="inlineStr">
        <is>
          <t>چرخه بازار</t>
        </is>
      </c>
      <c r="E27" s="82" t="inlineStr">
        <is>
          <t>خارج از جریان اصلی؛ اجماع علمی ندارد</t>
        </is>
      </c>
      <c r="F27" s="80" t="inlineStr">
        <is>
          <t>مدل چرخه‌های اسمی و اصول هشت‌گانه. مبنای ریاضی روشن دارد ولی اعتبارسنجی مستقل و منتشرشده‌ای که سودآوری آن را تأیید کند در دست نیست.</t>
        </is>
      </c>
    </row>
    <row r="28" ht="30" customHeight="1" s="56">
      <c r="A28" s="80" t="inlineStr">
        <is>
          <t>A.J. Frost &amp; Robert Prechter</t>
        </is>
      </c>
      <c r="B28" s="80" t="inlineStr">
        <is>
          <t>Elliott Wave Principle: Key to Market Behavior</t>
        </is>
      </c>
      <c r="C28" s="81" t="n">
        <v>1978</v>
      </c>
      <c r="D28" s="81" t="inlineStr">
        <is>
          <t>چرخه بازار</t>
        </is>
      </c>
      <c r="E28" s="82" t="inlineStr">
        <is>
          <t>خارج از جریان اصلی؛ اجماع علمی ندارد</t>
        </is>
      </c>
      <c r="F28" s="80" t="inlineStr">
        <is>
          <t>سه قاعده سخت قابل آزمون‌اند؛ اما برچسب‌گذاری چندگانه است و همین، ابطال‌پذیری چارچوب را تضعیف می‌کند.</t>
        </is>
      </c>
    </row>
    <row r="29" ht="30" customHeight="1" s="56">
      <c r="A29" s="80" t="inlineStr">
        <is>
          <t>James A. Hyerczyk</t>
        </is>
      </c>
      <c r="B29" s="80" t="inlineStr">
        <is>
          <t>Pattern, Price &amp; Time: Using Gann Theory</t>
        </is>
      </c>
      <c r="C29" s="81" t="n">
        <v>1998</v>
      </c>
      <c r="D29" s="81" t="inlineStr">
        <is>
          <t>چرخه بازار</t>
        </is>
      </c>
      <c r="E29" s="82" t="inlineStr">
        <is>
          <t>خارج از جریان اصلی؛ اجماع علمی ندارد</t>
        </is>
      </c>
      <c r="F29" s="80" t="inlineStr">
        <is>
          <t>منظم‌ترین تدوین نظریه گن برای استفاده عملی.</t>
        </is>
      </c>
    </row>
    <row r="30" ht="30" customHeight="1" s="56">
      <c r="A30" s="80" t="inlineStr">
        <is>
          <t>Robert Prechter</t>
        </is>
      </c>
      <c r="B30" s="80" t="inlineStr">
        <is>
          <t>Beautiful Pictures from the Gallery of Phinance</t>
        </is>
      </c>
      <c r="C30" s="81" t="n">
        <v>2003</v>
      </c>
      <c r="D30" s="81" t="inlineStr">
        <is>
          <t>چرخه بازار</t>
        </is>
      </c>
      <c r="E30" s="82" t="inlineStr">
        <is>
          <t>خارج از جریان اصلی؛ اجماع علمی ندارد</t>
        </is>
      </c>
      <c r="F30" s="80" t="inlineStr">
        <is>
          <t>نسبت‌های فیبوناچی در ساختار قیمت و زمان.</t>
        </is>
      </c>
    </row>
    <row r="31" ht="30" customHeight="1" s="56">
      <c r="A31" s="80" t="inlineStr">
        <is>
          <t>Christopher Grafton</t>
        </is>
      </c>
      <c r="B31" s="80" t="inlineStr">
        <is>
          <t>Mastering Hurst Cycle Analysis</t>
        </is>
      </c>
      <c r="C31" s="81" t="n">
        <v>2011</v>
      </c>
      <c r="D31" s="81" t="inlineStr">
        <is>
          <t>چرخه بازار</t>
        </is>
      </c>
      <c r="E31" s="82" t="inlineStr">
        <is>
          <t>خارج از جریان اصلی؛ اجماع علمی ندارد</t>
        </is>
      </c>
      <c r="F31" s="80" t="inlineStr">
        <is>
          <t>تدوین عملیاتی روش هرست: FLD، VTL و فازبندی.</t>
        </is>
      </c>
    </row>
    <row r="32" ht="30" customHeight="1" s="56">
      <c r="A32" s="80" t="inlineStr">
        <is>
          <t>Lars von Thienen</t>
        </is>
      </c>
      <c r="B32" s="80" t="inlineStr">
        <is>
          <t>Decoding the Hidden Market Rhythm — Part 1: Dynamic Cycles</t>
        </is>
      </c>
      <c r="C32" s="81" t="n">
        <v>2011</v>
      </c>
      <c r="D32" s="81" t="inlineStr">
        <is>
          <t>چرخه بازار</t>
        </is>
      </c>
      <c r="E32" s="82" t="inlineStr">
        <is>
          <t>خارج از جریان اصلی؛ اجماع علمی ندارد</t>
        </is>
      </c>
      <c r="F32" s="80" t="inlineStr">
        <is>
          <t>تحلیل طیفی و آزمون معناداری چرخه. روش آماری آن (آزمون بارتلز) معتبر است؛ آنچه مورد مناقشه است، پایداری چرخه‌های یافته‌شده در آینده است.</t>
        </is>
      </c>
    </row>
    <row r="33" ht="30" customHeight="1" s="56">
      <c r="A33" s="80" t="inlineStr">
        <is>
          <t>Paul Kennedy</t>
        </is>
      </c>
      <c r="B33" s="80" t="inlineStr">
        <is>
          <t>The Rise and Fall of the Great Powers</t>
        </is>
      </c>
      <c r="C33" s="81" t="n">
        <v>1987</v>
      </c>
      <c r="D33" s="81" t="inlineStr">
        <is>
          <t>ژئوپلیتیک</t>
        </is>
      </c>
      <c r="E33" s="80" t="inlineStr">
        <is>
          <t>در ادبیات تخصصی مطرح ولی مورد مناقشه</t>
        </is>
      </c>
      <c r="F33" s="80" t="inlineStr">
        <is>
          <t>تز «کشیدگی امپراتوری»: نسبت پایه اقتصادی به تعهدات نظامی. تاریخ‌نگاری جدی است ولی چرخه با دوره ثابت ارائه نمی‌دهد.</t>
        </is>
      </c>
    </row>
    <row r="34" ht="30" customHeight="1" s="56">
      <c r="A34" s="80" t="inlineStr">
        <is>
          <t>Joshua S. Goldstein</t>
        </is>
      </c>
      <c r="B34" s="80" t="inlineStr">
        <is>
          <t>Long Cycles: Prosperity and War in the Modern Age</t>
        </is>
      </c>
      <c r="C34" s="81" t="n">
        <v>1988</v>
      </c>
      <c r="D34" s="81" t="inlineStr">
        <is>
          <t>ژئوپلیتیک</t>
        </is>
      </c>
      <c r="E34" s="80" t="inlineStr">
        <is>
          <t>در ادبیات تخصصی مطرح ولی مورد مناقشه</t>
        </is>
      </c>
      <c r="F34" s="80" t="inlineStr">
        <is>
          <t>پیوند موج بلند با شدت جنگ قدرت‌های بزرگ؛ داده‌های کمی از ۱۴۹۵ به بعد.</t>
        </is>
      </c>
    </row>
    <row r="35" ht="30" customHeight="1" s="56">
      <c r="A35" s="80" t="inlineStr">
        <is>
          <t>Ray Dalio</t>
        </is>
      </c>
      <c r="B35" s="80" t="inlineStr">
        <is>
          <t>Principles for Dealing with the Changing World Order</t>
        </is>
      </c>
      <c r="C35" s="81" t="n">
        <v>2021</v>
      </c>
      <c r="D35" s="81" t="inlineStr">
        <is>
          <t>ژئوپلیتیک</t>
        </is>
      </c>
      <c r="E35" s="82" t="inlineStr">
        <is>
          <t>چارچوب روایی/دوره‌بندی تاریخی، نه مدل آماری آزموده</t>
        </is>
      </c>
      <c r="F35" s="80" t="inlineStr">
        <is>
          <t>چرخه بزرگ امپراتوری‌ها و هشت سنجه قدرت. دوره‌بندی پس‌نگر است و پیش‌بینی‌های آن آزمون بیرونی نشده‌اند.</t>
        </is>
      </c>
    </row>
    <row r="36" ht="30" customHeight="1" s="56">
      <c r="A36" s="80" t="inlineStr">
        <is>
          <t>Neil Howe</t>
        </is>
      </c>
      <c r="B36" s="80" t="inlineStr">
        <is>
          <t>The Fourth Turning Is Here</t>
        </is>
      </c>
      <c r="C36" s="81" t="n">
        <v>2023</v>
      </c>
      <c r="D36" s="81" t="inlineStr">
        <is>
          <t>ژئوپلیتیک</t>
        </is>
      </c>
      <c r="E36" s="82" t="inlineStr">
        <is>
          <t>چارچوب روایی/دوره‌بندی تاریخی، نه مدل آماری آزموده</t>
        </is>
      </c>
      <c r="F36" s="80" t="inlineStr">
        <is>
          <t>ساکولوم ۸۰ تا ۱۰۰ ساله و چهار چرخش نسلی. نقدهای جدی روش‌شناختی به آن وارد شده؛ به‌عنوان چارچوب روایی بخوانید، نه تقویم.</t>
        </is>
      </c>
    </row>
    <row r="38" ht="15" customHeight="1" s="56">
      <c r="A38" s="83" t="inlineStr">
        <is>
          <t>فهرست کامل با  python -m timeframe sources  هم قابل دریافت است.</t>
        </is>
      </c>
    </row>
  </sheetData>
  <mergeCells count="3">
    <mergeCell ref="A38:F38"/>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34"/>
  <sheetViews>
    <sheetView showFormulas="0" showGridLines="1" showRowColHeaders="1" showZeros="1" rightToLeft="1"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3" customWidth="1" style="55" min="1" max="1"/>
    <col width="46" customWidth="1" style="55" min="2" max="2"/>
    <col width="14" customWidth="1" style="55" min="3" max="3"/>
    <col width="46" customWidth="1" style="55" min="4" max="4"/>
    <col width="3" customWidth="1" style="55" min="5" max="5"/>
  </cols>
  <sheetData>
    <row r="1" ht="27.75" customHeight="1" s="56">
      <c r="A1" s="57" t="inlineStr">
        <is>
          <t>تنظیمات و پارامترهای سیستم</t>
        </is>
      </c>
    </row>
    <row r="2" ht="18" customHeight="1" s="56">
      <c r="A2" s="58" t="inlineStr">
        <is>
          <t>هر عدد آبی‌رنگ قابل تغییر است؛ همه فرمول‌های فایل از همین سلول‌ها می‌خوانند.</t>
        </is>
      </c>
    </row>
    <row r="4" ht="19.5" customHeight="1" s="56">
      <c r="B4" s="84" t="inlineStr">
        <is>
          <t>۱) پارامترهای میانگین متحرک و نوسان</t>
        </is>
      </c>
      <c r="C4" s="84" t="n"/>
      <c r="D4" s="84" t="n"/>
    </row>
    <row r="5" ht="15" customHeight="1" s="56">
      <c r="B5" s="85" t="inlineStr">
        <is>
          <t>دوره میانگین متحرک کوتاه</t>
        </is>
      </c>
      <c r="C5" s="86" t="n">
        <v>20</v>
      </c>
      <c r="D5" s="87" t="inlineStr">
        <is>
          <t>روزهای معاملاتی</t>
        </is>
      </c>
    </row>
    <row r="6" ht="15" customHeight="1" s="56">
      <c r="B6" s="85" t="inlineStr">
        <is>
          <t>دوره میانگین متحرک میان‌مدت</t>
        </is>
      </c>
      <c r="C6" s="86" t="n">
        <v>50</v>
      </c>
      <c r="D6" s="87" t="inlineStr">
        <is>
          <t>ستون فقرات تشخیص روند میان‌مدت</t>
        </is>
      </c>
    </row>
    <row r="7" ht="15" customHeight="1" s="56">
      <c r="B7" s="85" t="inlineStr">
        <is>
          <t>دوره میانگین متحرک بلند ۱</t>
        </is>
      </c>
      <c r="C7" s="86" t="n">
        <v>100</v>
      </c>
      <c r="D7" s="87" t="n"/>
    </row>
    <row r="8" ht="15" customHeight="1" s="56">
      <c r="B8" s="85" t="inlineStr">
        <is>
          <t>دوره میانگین متحرک بلند ۲</t>
        </is>
      </c>
      <c r="C8" s="86" t="n">
        <v>200</v>
      </c>
      <c r="D8" s="87" t="inlineStr">
        <is>
          <t>مرز روند بلندمدت</t>
        </is>
      </c>
    </row>
    <row r="9" ht="15" customHeight="1" s="56">
      <c r="B9" s="85" t="inlineStr">
        <is>
          <t>دوره ATR</t>
        </is>
      </c>
      <c r="C9" s="86" t="n">
        <v>14</v>
      </c>
      <c r="D9" s="87" t="inlineStr">
        <is>
          <t>برای حد ضرر و نرمال‌سازی نوسان</t>
        </is>
      </c>
    </row>
    <row r="10" ht="15" customHeight="1" s="56">
      <c r="B10" s="85" t="inlineStr">
        <is>
          <t>ضریب حد ضرر بر مبنای ATR</t>
        </is>
      </c>
      <c r="C10" s="88" t="n">
        <v>2</v>
      </c>
      <c r="D10" s="87" t="inlineStr">
        <is>
          <t>حد ضرر = قیمت − ضریب × ATR</t>
        </is>
      </c>
    </row>
    <row r="12" ht="19.5" customHeight="1" s="56">
      <c r="B12" s="84" t="inlineStr">
        <is>
          <t>۴) وزن معیارها — جمع باید دقیقاً ۱۰۰٪ شود</t>
        </is>
      </c>
      <c r="C12" s="84" t="n"/>
      <c r="D12" s="84" t="n"/>
    </row>
    <row r="13" ht="15" customHeight="1" s="56">
      <c r="B13" s="85" t="inlineStr">
        <is>
          <t>وزن روند قیمتی سهم</t>
        </is>
      </c>
      <c r="C13" s="89" t="n">
        <v>0.35</v>
      </c>
      <c r="D13" s="87" t="n"/>
    </row>
    <row r="14" ht="15" customHeight="1" s="56">
      <c r="B14" s="85" t="inlineStr">
        <is>
          <t>وزن جریان پول هوشمند</t>
        </is>
      </c>
      <c r="C14" s="89" t="n">
        <v>0.3</v>
      </c>
      <c r="D14" s="87" t="n"/>
    </row>
    <row r="15" ht="15" customHeight="1" s="56">
      <c r="B15" s="85" t="inlineStr">
        <is>
          <t>وزن وضعیت میانگین‌های متحرک</t>
        </is>
      </c>
      <c r="C15" s="89" t="n">
        <v>0.15</v>
      </c>
      <c r="D15" s="87" t="n"/>
    </row>
    <row r="16" ht="15" customHeight="1" s="56">
      <c r="B16" s="85" t="inlineStr">
        <is>
          <t>وزن حجم معاملات</t>
        </is>
      </c>
      <c r="C16" s="89" t="n">
        <v>0.1</v>
      </c>
      <c r="D16" s="87" t="n"/>
    </row>
    <row r="17" ht="15" customHeight="1" s="56">
      <c r="B17" s="85" t="inlineStr">
        <is>
          <t>وزن روند کل بازار (شاخص)</t>
        </is>
      </c>
      <c r="C17" s="89" t="n">
        <v>0.1</v>
      </c>
      <c r="D17" s="87" t="n"/>
    </row>
    <row r="18" ht="15" customHeight="1" s="56">
      <c r="B18" s="85" t="inlineStr">
        <is>
          <t>وزن لایه زمانی (Hurst/Gann/Fib/Elliott)</t>
        </is>
      </c>
      <c r="C18" s="89" t="n">
        <v>0</v>
      </c>
      <c r="D18" s="87" t="inlineStr">
        <is>
          <t>پیش‌فرض صفر — ساختار آماده، غیرفعال</t>
        </is>
      </c>
    </row>
    <row r="19" ht="15" customHeight="1" s="56">
      <c r="B19" s="85" t="inlineStr">
        <is>
          <t>جمع وزن‌ها</t>
        </is>
      </c>
      <c r="C19" s="90">
        <f>SUM(C13:C18)</f>
        <v/>
      </c>
      <c r="D19" s="91">
        <f>IF(ROUND(C19,6)=1,"✔ وزن‌ها معتبر است","✘ خطا: جمع وزن‌ها باید ۱۰۰٪ باشد")</f>
        <v/>
      </c>
    </row>
    <row r="21" ht="19.5" customHeight="1" s="56">
      <c r="B21" s="84" t="inlineStr">
        <is>
          <t>۷) لایه زمانی — چرخه‌های اسمی (فعلاً غیرفعال)</t>
        </is>
      </c>
      <c r="C21" s="84" t="n"/>
      <c r="D21" s="84" t="n"/>
    </row>
    <row r="22" ht="15" customHeight="1" s="56">
      <c r="B22" s="85" t="inlineStr">
        <is>
          <t>چرخه اسمی ۱ (روز معاملاتی)</t>
        </is>
      </c>
      <c r="C22" s="86" t="n">
        <v>20</v>
      </c>
      <c r="D22" s="87" t="inlineStr">
        <is>
          <t>مدل چرخه‌های اسمی هرست</t>
        </is>
      </c>
    </row>
    <row r="23" ht="15" customHeight="1" s="56">
      <c r="B23" s="85" t="inlineStr">
        <is>
          <t>چرخه اسمی ۲</t>
        </is>
      </c>
      <c r="C23" s="86" t="n">
        <v>40</v>
      </c>
      <c r="D23" s="87" t="n"/>
    </row>
    <row r="24" ht="15" customHeight="1" s="56">
      <c r="B24" s="85" t="inlineStr">
        <is>
          <t>چرخه اسمی ۳ (چرخه اصلی)</t>
        </is>
      </c>
      <c r="C24" s="86" t="n">
        <v>80</v>
      </c>
      <c r="D24" s="87" t="n"/>
    </row>
    <row r="25" ht="15" customHeight="1" s="56">
      <c r="B25" s="85" t="inlineStr">
        <is>
          <t>چرخه اسمی ۴</t>
        </is>
      </c>
      <c r="C25" s="86" t="n">
        <v>160</v>
      </c>
      <c r="D25" s="87" t="n"/>
    </row>
    <row r="26" ht="15" customHeight="1" s="56">
      <c r="B26" s="85" t="inlineStr">
        <is>
          <t>پنجره تحمل زمانی (± روز)</t>
        </is>
      </c>
      <c r="C26" s="86" t="n">
        <v>3</v>
      </c>
      <c r="D26" s="87" t="inlineStr">
        <is>
          <t>برای تطبیق تاریخ‌های Gann/Fibonacci</t>
        </is>
      </c>
    </row>
    <row r="28" ht="19.5" customHeight="1" s="56">
      <c r="B28" s="84" t="inlineStr">
        <is>
          <t>۸) سایر</t>
        </is>
      </c>
      <c r="C28" s="84" t="n"/>
      <c r="D28" s="84" t="n"/>
    </row>
    <row r="29" ht="15" customHeight="1" s="56">
      <c r="B29" s="85" t="inlineStr">
        <is>
          <t>پنجره ساختار روند کوتاه (سقف/کف)</t>
        </is>
      </c>
      <c r="C29" s="86" t="n">
        <v>20</v>
      </c>
      <c r="D29" s="87" t="inlineStr">
        <is>
          <t>برای تشخیص Higher High / Lower Low</t>
        </is>
      </c>
    </row>
    <row r="30" ht="15" customHeight="1" s="56">
      <c r="B30" s="85" t="inlineStr">
        <is>
          <t>پنجره ساختار روند بلند (سقف/کف)</t>
        </is>
      </c>
      <c r="C30" s="86" t="n">
        <v>60</v>
      </c>
      <c r="D30" s="87" t="inlineStr">
        <is>
          <t>روند میان‌مدت</t>
        </is>
      </c>
    </row>
    <row r="31" ht="15" customHeight="1" s="56">
      <c r="B31" s="85" t="inlineStr">
        <is>
          <t>دامنه نوسان روزانه بازار</t>
        </is>
      </c>
      <c r="C31" s="89" t="n">
        <v>0.07000000000000001</v>
      </c>
      <c r="D31" s="87" t="inlineStr">
        <is>
          <t>⚠️ مقدار جاری را تأیید کنید</t>
        </is>
      </c>
    </row>
    <row r="32" ht="15" customHeight="1" s="56">
      <c r="B32" s="85" t="inlineStr">
        <is>
          <t>حداقل ارزش معاملات روزانه معتبر (میلیارد ریال)</t>
        </is>
      </c>
      <c r="C32" s="86" t="n">
        <v>50</v>
      </c>
      <c r="D32" s="87" t="inlineStr">
        <is>
          <t>زیر این حد، سیگنال «کم‌اعتبار» علامت می‌خورد</t>
        </is>
      </c>
    </row>
    <row r="34" ht="15" customHeight="1" s="56">
      <c r="B34" s="83" t="inlineStr">
        <is>
          <t>راهنمای رنگ: سلول زرد با متن آبی = ورودی قابل تغییر شما · متن مشکی = فرمول · متن سبز = ارجاع به شیت دیگر.</t>
        </is>
      </c>
    </row>
  </sheetData>
  <mergeCells count="3">
    <mergeCell ref="A2:E2"/>
    <mergeCell ref="A1:E1"/>
    <mergeCell ref="B34:D34"/>
  </mergeCells>
  <conditionalFormatting sqref="D19">
    <cfRule type="expression" rank="0" priority="2" equalAverage="0" aboveAverage="0" dxfId="0" text="" percent="0" bottom="0">
      <formula>ISNUMBER(SEARCH("خطا",D19))</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0" customWidth="1" style="55" min="1" max="1"/>
    <col width="78" customWidth="1" style="55" min="2" max="2"/>
    <col width="3" customWidth="1" style="55" min="3" max="8"/>
  </cols>
  <sheetData>
    <row r="1" ht="30" customHeight="1" s="56">
      <c r="A1" s="57" t="inlineStr">
        <is>
          <t>راهنمای سیستم سیگنال‌دهی بازار سرمایه ایران</t>
        </is>
      </c>
    </row>
    <row r="2" ht="30" customHeight="1" s="56">
      <c r="A2" s="92" t="inlineStr">
        <is>
          <t>نسخه ۱٫۰ · ساخته‌شده در ۱۴۰۵/۰۶/۱۴ · بدون VBA · همه محاسبات با فرمول اکسل</t>
        </is>
      </c>
    </row>
    <row r="3" ht="33.75" customHeight="1" s="56">
      <c r="A3" s="93" t="inlineStr">
        <is>
          <t>⚠️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is>
      </c>
    </row>
    <row r="4" ht="24" customHeight="1" s="56">
      <c r="A4" s="94" t="inlineStr">
        <is>
          <t>۱) فلسفه طراحی</t>
        </is>
      </c>
    </row>
    <row r="5" ht="30" customHeight="1" s="56">
      <c r="A5" s="92" t="inlineStr">
        <is>
          <t>این فایل برای معامله‌گر میان‌مدت ساخته شده، نه روزانه. سه پرسش را پشت سر هم می‌پرسد:</t>
        </is>
      </c>
    </row>
    <row r="6" ht="18" customHeight="1" s="56">
      <c r="A6" s="95" t="inlineStr">
        <is>
          <t>۱. بازار کجاست؟ (رژیم بازار از شاخص کل و هم‌وزن) — اگر بازار نزولی است، سیگنال خرید تک‌سهم کم‌ارزش‌تر است.</t>
        </is>
      </c>
    </row>
    <row r="7" ht="18" customHeight="1" s="56">
      <c r="A7" s="95" t="inlineStr">
        <is>
          <t>۲. سهم در چه روندی است؟ (میانگین‌های متحرک + ساختار سقف/کف + شیب)</t>
        </is>
      </c>
    </row>
    <row r="8" ht="18" customHeight="1" s="56">
      <c r="A8" s="95" t="inlineStr">
        <is>
          <t>۳. پول هوشمند چه می‌کند؟ (سرانه خرید و فروش حقیقی، خالص جریان نرمال‌شده)</t>
        </is>
      </c>
    </row>
    <row r="9" ht="30" customHeight="1" s="56">
      <c r="A9" s="92" t="inlineStr">
        <is>
          <t>تحلیل بنیادی عمداً وارد نشده است. این یک انتخاب است، نه فراموشی.</t>
        </is>
      </c>
    </row>
    <row r="10" ht="24" customHeight="1" s="56">
      <c r="A10" s="94" t="inlineStr">
        <is>
          <t>۶) لایه زمانی — وضعیت فعلی و مسیر توسعه</t>
        </is>
      </c>
    </row>
    <row r="11" ht="30" customHeight="1" s="56">
      <c r="A11" s="92" t="inlineStr">
        <is>
          <t>شیت Time_Cycles امروز کامل ساخته شده ولی وزنش صفر است؛ یعنی محاسبه می‌شود، نمایش داده می‌شود، اما روی سیگنال اثر ندارد. این عمدی است: یک لایه زمانی که ورودی‌هایش دستی و تأییدنشده است نباید سیگنال معاملاتی را جابه‌جا کند.</t>
        </is>
      </c>
    </row>
    <row r="12" ht="30" customHeight="1" s="56">
      <c r="A12" s="92" t="inlineStr">
        <is>
          <t>برای فعال‌سازی واقعی، به‌ترتیب این سه کار لازم است:</t>
        </is>
      </c>
    </row>
    <row r="13" ht="18" customHeight="1" s="56">
      <c r="A13" s="95" t="inlineStr">
        <is>
          <t>۱. طول چرخه غالب (ستون D) به‌جای عدد ثابت ۸۰، با تحلیل طیفی روی سری قیمت در پایتون استخراج شود (روش von Thienen).</t>
        </is>
      </c>
    </row>
    <row r="14" ht="18" customHeight="1" s="56">
      <c r="A14" s="95" t="inlineStr">
        <is>
          <t>۲. تاریخ کف و سقف چرخه به‌صورت خودکار با الگوریتم تشخیص نقاط چرخش پر شود، نه چشمی.</t>
        </is>
      </c>
    </row>
    <row r="15" ht="18" customHeight="1" s="56">
      <c r="A15" s="95" t="inlineStr">
        <is>
          <t>۳. برچسب موج الیوت دستی بماند — این تنها بخشی است که خودکارسازی‌اش بیشتر خطا می‌آورد تا فایده.</t>
        </is>
      </c>
    </row>
    <row r="16" ht="24" customHeight="1" s="56">
      <c r="A16" s="94" t="inlineStr">
        <is>
          <t>۸) محدودیت‌هایی که باید بدانید</t>
        </is>
      </c>
    </row>
    <row r="17" ht="18" customHeight="1" s="56">
      <c r="A17" s="95" t="inlineStr">
        <is>
          <t>• سیستم trend-following است. در بازار رِنج، سیگنال‌های کاذب می‌دهد و این ذاتی روش است، نه ایراد فایل.</t>
        </is>
      </c>
    </row>
    <row r="18" ht="18" customHeight="1" s="56">
      <c r="A18" s="95" t="inlineStr">
        <is>
          <t>• هیچ بک‌تستی روی این وزن‌ها انجام نشده. وزن‌های پیش‌فرض بر پایه استدلال ساختاری‌اند، نه بهینه‌سازی تاریخی.</t>
        </is>
      </c>
    </row>
    <row r="19" ht="18" customHeight="1" s="56">
      <c r="A19" s="95" t="inlineStr">
        <is>
          <t>• نمادهای متوقف: ستون cEtavalTitle را چک کنید. برای نماد متوقف، خالی‌بودن داده تاریخی طبیعی است.</t>
        </is>
      </c>
    </row>
    <row r="20" ht="18" customHeight="1" s="56">
      <c r="A20" s="95" t="inlineStr">
        <is>
          <t>• صف خرید/فروش: endpoint مربوطه یک delta feed است نه اسنپ‌شات؛ بازسازی دقیق عمق بازار نیاز به نگهداری وضعیت دارد.</t>
        </is>
      </c>
    </row>
    <row r="21" ht="18" customHeight="1" s="56">
      <c r="A21" s="95" t="inlineStr">
        <is>
          <t>• تعدیل قیمت (افزایش سرمایه/سود نقدی) در تاریخچه لحاظ نشده — میانگین‌های متحرک پس از تعدیل چند روز نامعتبرند.</t>
        </is>
      </c>
    </row>
    <row r="22" ht="18" customHeight="1" s="56">
      <c r="A22" s="95" t="inlineStr">
        <is>
          <t>• بلک-شولز در شیت آپشن برای اختیار اروپایی است و قیمت نظری اختیار فروش آمریکایی را کم‌برآورد می‌کند.</t>
        </is>
      </c>
    </row>
    <row r="23" ht="24" customHeight="1" s="56">
      <c r="A23" s="94" t="inlineStr">
        <is>
          <t>۹) گام بعدی پیشنهادی</t>
        </is>
      </c>
    </row>
    <row r="24" ht="18" customHeight="1" s="56">
      <c r="A24" s="95" t="inlineStr">
        <is>
          <t>۱. اجرای اسکریپت به‌روزرسانی و تأیید نام فیلدهای علامت‌خورده «نیازمند تأیید» در شیت API_Map.</t>
        </is>
      </c>
    </row>
    <row r="25" ht="18" customHeight="1" s="56">
      <c r="A25" s="95" t="inlineStr">
        <is>
          <t>۲. افزودن ۳۰ تا ۵۰ نماد به Watchlist — سیستم با ۸ نماد نمونه ساخته شده ولی برای غربال‌گری واقعی به عمق نیاز دارد.</t>
        </is>
      </c>
    </row>
    <row r="26" ht="18" customHeight="1" s="56">
      <c r="A26" s="95" t="inlineStr">
        <is>
          <t>۳. بک‌تست وزن‌ها روی دو سال داده تاریخی، پیش از اتکای جدی به آستانه‌های TH_*.</t>
        </is>
      </c>
    </row>
    <row r="27" ht="18" customHeight="1" s="56">
      <c r="A27" s="95" t="inlineStr">
        <is>
          <t>۴. فعال‌سازی تدریجی لایه زمانی با وزن کوچک (۵٪ تا ۱۰٪) و مقایسه نتیجه با حالت خاموش.</t>
        </is>
      </c>
    </row>
    <row r="28" ht="24" customHeight="1" s="56">
      <c r="A28" s="94" t="inlineStr">
        <is>
          <t>۹) اتصال این فایل به بقیه مجموعه</t>
        </is>
      </c>
    </row>
    <row r="29" ht="30" customHeight="1" s="56">
      <c r="A29" s="92" t="inlineStr">
        <is>
          <t>این فایل تاریخچه قیمت ندارد. موتور پایتون داده را از فایل سیگنال سهام می‌خواند، تحلیل می‌کند و نتیجه را اینجا می‌نویسد:</t>
        </is>
      </c>
    </row>
    <row r="30" ht="15" customHeight="1" s="56">
      <c r="A30" s="96" t="inlineStr">
        <is>
          <t>python -m timeframe export --workbook Time_Analysis.xlsx --data Stocks_Signals.xlsx</t>
        </is>
      </c>
    </row>
    <row r="31" ht="30" customHeight="1" s="56">
      <c r="A31" s="92" t="inlineStr">
        <is>
          <t>و امتیاز زمانی هر نماد در شیت Time_Link فایل سیگنال سهام نوشته می‌شود تا در امتیاز نهایی وارد شود (با وزن W_TIME که پیش‌فرضش صفر است).</t>
        </is>
      </c>
    </row>
    <row r="32" ht="30" customHeight="1" s="56">
      <c r="A32" s="92" t="inlineStr">
        <is>
          <t>چرا ارجاع بین‌فایلی اکسل به‌کار نرفت: فرمول ارجاع به فایل دیگر وقتی فایل مبدأ باز نباشد فقط مقدار کش‌شده را نشان می‌دهد، و با بازنویسی توسط openpyxl کاملاً از بین می‌رود. پل داده‌ای پایدارتر است.</t>
        </is>
      </c>
    </row>
  </sheetData>
  <mergeCells count="32">
    <mergeCell ref="A24:B24"/>
    <mergeCell ref="A30:B30"/>
    <mergeCell ref="A15:B15"/>
    <mergeCell ref="A11:B11"/>
    <mergeCell ref="A1:B1"/>
    <mergeCell ref="A6:B6"/>
    <mergeCell ref="A16:B16"/>
    <mergeCell ref="A7:B7"/>
    <mergeCell ref="A25:B25"/>
    <mergeCell ref="A18:B18"/>
    <mergeCell ref="A27:B27"/>
    <mergeCell ref="A3:B3"/>
    <mergeCell ref="A12:B12"/>
    <mergeCell ref="A26:B26"/>
    <mergeCell ref="A21:B21"/>
    <mergeCell ref="A2:B2"/>
    <mergeCell ref="A5:B5"/>
    <mergeCell ref="A32:B32"/>
    <mergeCell ref="A14:B14"/>
    <mergeCell ref="A17:B17"/>
    <mergeCell ref="A23:B23"/>
    <mergeCell ref="A8:B8"/>
    <mergeCell ref="A22:B22"/>
    <mergeCell ref="A4:B4"/>
    <mergeCell ref="A20:B20"/>
    <mergeCell ref="A29:B29"/>
    <mergeCell ref="A19:B19"/>
    <mergeCell ref="A10:B10"/>
    <mergeCell ref="A28:B28"/>
    <mergeCell ref="A13:B13"/>
    <mergeCell ref="A9:B9"/>
    <mergeCell ref="A31:B3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H83"/>
  <sheetViews>
    <sheetView showGridLines="0" rightToLeft="1" workbookViewId="0">
      <pane ySplit="2" topLeftCell="A3" activePane="bottomLeft" state="frozen"/>
      <selection pane="bottomLeft" activeCell="A1" sqref="A1"/>
    </sheetView>
  </sheetViews>
  <sheetFormatPr baseColWidth="8" defaultRowHeight="15"/>
  <cols>
    <col width="30" customWidth="1" style="56" min="1" max="1"/>
    <col width="52" customWidth="1" style="56" min="2" max="2"/>
    <col width="8" customWidth="1" style="56" min="3" max="3"/>
    <col width="16" customWidth="1" style="56" min="4" max="4"/>
    <col width="34" customWidth="1" style="56" min="5" max="5"/>
    <col width="86" customWidth="1" style="56" min="6" max="6"/>
    <col width="30" customWidth="1" style="56" min="7" max="7"/>
    <col width="30" customWidth="1" style="56" min="8" max="8"/>
  </cols>
  <sheetData>
    <row r="1" ht="28" customHeight="1" s="56">
      <c r="A1" s="97" t="inlineStr">
        <is>
          <t>چرخه‌های بلند اقتصادی، ژئوپلیتیک و ساختاری</t>
        </is>
      </c>
    </row>
    <row r="2" ht="32" customHeight="1" s="56">
      <c r="A2" s="98" t="inlineStr">
        <is>
          <t>این شیت «زمینه» است، نه سیگنال. وزن پیش‌فرض لایه کلان در امتیاز نهایی صفر است. دلیل: هیچ‌کدام از این چارچوب‌ها مدل آماری آزموده نیستند و افق چندساله‌شان با تصمیم معاملاتی میان‌مدت هم‌مقیاس نیست.</t>
        </is>
      </c>
    </row>
    <row r="4" ht="20" customHeight="1" s="56">
      <c r="A4" s="99" t="inlineStr">
        <is>
          <t>۱) وضعیت جاری چرخه‌های بلند</t>
        </is>
      </c>
      <c r="B4" s="99" t="n"/>
      <c r="C4" s="99" t="n"/>
      <c r="D4" s="99" t="n"/>
      <c r="E4" s="99" t="n"/>
      <c r="F4" s="99" t="n"/>
      <c r="G4" s="99" t="n"/>
      <c r="H4" s="99" t="n"/>
    </row>
    <row r="5" ht="30" customHeight="1" s="56">
      <c r="A5" s="61" t="inlineStr">
        <is>
          <t>چرخه</t>
        </is>
      </c>
      <c r="B5" s="61" t="inlineStr">
        <is>
          <t>طول متعارف</t>
        </is>
      </c>
      <c r="C5" s="61" t="inlineStr">
        <is>
          <t>فاز جاری</t>
        </is>
      </c>
      <c r="D5" s="61" t="inlineStr">
        <is>
          <t>بازه</t>
        </is>
      </c>
      <c r="E5" s="61" t="inlineStr">
        <is>
          <t>پیشرفت</t>
        </is>
      </c>
      <c r="F5" s="61" t="inlineStr">
        <is>
          <t>اطمینان تاریخ</t>
        </is>
      </c>
      <c r="G5" s="61" t="inlineStr">
        <is>
          <t>جایگاه چارچوب</t>
        </is>
      </c>
      <c r="H5" s="61" t="inlineStr">
        <is>
          <t>منبع</t>
        </is>
      </c>
    </row>
    <row r="6" ht="26" customHeight="1" s="56">
      <c r="A6" s="100" t="inlineStr">
        <is>
          <t>امواج بلند کندراتیف</t>
        </is>
      </c>
      <c r="B6" s="101" t="inlineStr">
        <is>
          <t>۴۵ تا ۶۰ سال</t>
        </is>
      </c>
      <c r="C6" s="100" t="inlineStr">
        <is>
          <t>موج ۵ — نزول</t>
        </is>
      </c>
      <c r="D6" s="101" t="inlineStr">
        <is>
          <t>2008–2030</t>
        </is>
      </c>
      <c r="E6" s="101" t="inlineStr">
        <is>
          <t>82%</t>
        </is>
      </c>
      <c r="F6" s="100" t="inlineStr">
        <is>
          <t>دیتینگ استاندارد ادبیات موضوع (بین نویسندگان متفاوت است)</t>
        </is>
      </c>
      <c r="G6" s="100" t="inlineStr">
        <is>
          <t>در ادبیات تخصصی مطرح ولی مورد مناقشه</t>
        </is>
      </c>
      <c r="H6" s="100" t="inlineStr">
        <is>
          <t>Leonid Grinin, Andrey Korotayev, Arno Tausch — Economic Cycles, Crises, and the Global Periphery (2016)</t>
        </is>
      </c>
    </row>
    <row r="7" ht="24" customHeight="1" s="56">
      <c r="A7" s="102" t="inlineStr">
        <is>
          <t>احتیاط: مرزهای امواج بین نویسندگان تا یک دهه اختلاف دارد. وجود خودِ موج کندراتیف در اقتصاد جریان اصلی پذیرفته نیست — چون تعداد مشاهدات (حدود پنج موج) برای استنتاج آماری بسیار کم است.</t>
        </is>
      </c>
    </row>
    <row r="8" ht="26" customHeight="1" s="56">
      <c r="A8" s="100" t="inlineStr">
        <is>
          <t>امواج بزرگ فناورانه (پرز)</t>
        </is>
      </c>
      <c r="B8" s="101" t="inlineStr">
        <is>
          <t>۴۰ تا ۶۰ سال</t>
        </is>
      </c>
      <c r="C8" s="100" t="inlineStr">
        <is>
          <t>موج ۵ — استقرار/هم‌افزایی</t>
        </is>
      </c>
      <c r="D8" s="101" t="inlineStr">
        <is>
          <t>2010–…</t>
        </is>
      </c>
      <c r="E8" s="101" t="inlineStr">
        <is>
          <t>پایان‌باز</t>
        </is>
      </c>
      <c r="F8" s="100" t="inlineStr">
        <is>
          <t>صریح در منبع</t>
        </is>
      </c>
      <c r="G8" s="100" t="inlineStr">
        <is>
          <t>در ادبیات تخصصی مطرح ولی مورد مناقشه</t>
        </is>
      </c>
      <c r="H8" s="100" t="inlineStr">
        <is>
          <t>Carlota Perez — Technological Revolutions and Financial Capital (2002)</t>
        </is>
      </c>
    </row>
    <row r="9" ht="24" customHeight="1" s="56">
      <c r="A9" s="102" t="inlineStr">
        <is>
          <t>احتیاط: سال‌های آغاز پنج موج (۱۷۷۱، ۱۸۲۹، ۱۸۷۵، ۱۹۰۸، ۱۹۷۱) صریحاً در کتاب پرز آمده. تفکیک فازهای درونی موج پنجم تفسیری است.</t>
        </is>
      </c>
    </row>
    <row r="10" ht="26" customHeight="1" s="56">
      <c r="A10" s="100" t="inlineStr">
        <is>
          <t>چرخه بزرگ قدرت (دالیو)</t>
        </is>
      </c>
      <c r="B10" s="101" t="inlineStr">
        <is>
          <t>حدود ۲۵۰ سال</t>
        </is>
      </c>
      <c r="C10" s="100" t="inlineStr">
        <is>
          <t>چرخه آمریکا — دلار به‌عنوان ارز ذخیره</t>
        </is>
      </c>
      <c r="D10" s="101" t="inlineStr">
        <is>
          <t>1945–…</t>
        </is>
      </c>
      <c r="E10" s="101" t="inlineStr">
        <is>
          <t>پایان‌باز</t>
        </is>
      </c>
      <c r="F10" s="100" t="inlineStr">
        <is>
          <t>تخمین — در منبع صریح نیامده</t>
        </is>
      </c>
      <c r="G10" s="103" t="inlineStr">
        <is>
          <t>چارچوب روایی/دوره‌بندی تاریخی، نه مدل آماری آزموده</t>
        </is>
      </c>
      <c r="H10" s="100" t="inlineStr">
        <is>
          <t>Ray Dalio — Principles for Dealing with the Changing World Order (2021)</t>
        </is>
      </c>
    </row>
    <row r="11" ht="24" customHeight="1" s="56">
      <c r="A11" s="102" t="inlineStr">
        <is>
          <t>احتیاط: دوره‌بندی پس‌نگر با سه مشاهده. سه نقطه داده برای استنتاج «چرخه» کافی نیست.</t>
        </is>
      </c>
    </row>
    <row r="12" ht="26" customHeight="1" s="56">
      <c r="A12" s="100" t="inlineStr">
        <is>
          <t>ساکولوم و چهار چرخش (هاو)</t>
        </is>
      </c>
      <c r="B12" s="101" t="inlineStr">
        <is>
          <t>۸۰ تا ۱۰۰ سال</t>
        </is>
      </c>
      <c r="C12" s="100" t="inlineStr">
        <is>
          <t>چرخش چهارم — بحران (Crisis)</t>
        </is>
      </c>
      <c r="D12" s="101" t="inlineStr">
        <is>
          <t>2008–2033</t>
        </is>
      </c>
      <c r="E12" s="101" t="inlineStr">
        <is>
          <t>72%</t>
        </is>
      </c>
      <c r="F12" s="100" t="inlineStr">
        <is>
          <t>صریح در منبع</t>
        </is>
      </c>
      <c r="G12" s="103" t="inlineStr">
        <is>
          <t>چارچوب روایی/دوره‌بندی تاریخی، نه مدل آماری آزموده</t>
        </is>
      </c>
      <c r="H12" s="100" t="inlineStr">
        <is>
          <t>Neil Howe — The Fourth Turning Is Here (2023)</t>
        </is>
      </c>
    </row>
    <row r="13" ht="24" customHeight="1" s="56">
      <c r="A13" s="102" t="inlineStr">
        <is>
          <t>احتیاط: دوره‌بندی نسلی هاو در تاریخ‌نگاری دانشگاهی جدی گرفته نمی‌شود: مرزها پس از وقوع تعیین شده‌اند و چارچوب تقریباً ابطال‌ناپذیر است. به‌عنوان یک زبان توصیفی مفید است، نه تقویم پیش‌بینی.</t>
        </is>
      </c>
    </row>
    <row r="15" ht="20" customHeight="1" s="56">
      <c r="A15" s="99" t="inlineStr">
        <is>
          <t>۲) چارچوب‌های بدون تاریخ — نیازمند لنگر ورودی شما</t>
        </is>
      </c>
      <c r="B15" s="99" t="n"/>
      <c r="C15" s="99" t="n"/>
      <c r="D15" s="99" t="n"/>
      <c r="E15" s="99" t="n"/>
      <c r="F15" s="99" t="n"/>
      <c r="G15" s="99" t="n"/>
      <c r="H15" s="99" t="n"/>
    </row>
    <row r="16" ht="30" customHeight="1" s="56">
      <c r="A16" s="61" t="inlineStr">
        <is>
          <t>چارچوب</t>
        </is>
      </c>
      <c r="B16" s="61" t="inlineStr">
        <is>
          <t>طول متعارف</t>
        </is>
      </c>
      <c r="C16" s="61" t="inlineStr">
        <is>
          <t>جایگاه</t>
        </is>
      </c>
      <c r="D16" s="61" t="inlineStr">
        <is>
          <t>توضیح</t>
        </is>
      </c>
    </row>
    <row r="17" ht="30" customHeight="1" s="56">
      <c r="A17" s="104" t="inlineStr">
        <is>
          <t>چرخه ژوگلار (سرمایه‌گذاری و اعتبار)</t>
        </is>
      </c>
      <c r="B17" s="104" t="inlineStr">
        <is>
          <t>۷ تا ۱۱ سال</t>
        </is>
      </c>
      <c r="C17" s="104" t="inlineStr">
        <is>
          <t>دارای پشتوانه تجربی متعارف</t>
        </is>
      </c>
      <c r="D17" s="104" t="inlineStr">
        <is>
          <t>ژوگلار چرخه را کشف کرد ولی تاریخ‌گذاری جهانی معاصر برای آن در این پکیج ثبت نشده؛ برای استفاده، تاریخ رکودهای اقتصاد مرجع خودتان را به‌عنوان لنگر وارد کنید.</t>
        </is>
      </c>
    </row>
    <row r="18" ht="30" customHeight="1" s="56">
      <c r="A18" s="104" t="inlineStr">
        <is>
          <t>چرخه کیچین (موجودی انبار)</t>
        </is>
      </c>
      <c r="B18" s="104" t="inlineStr">
        <is>
          <t>۳ تا ۵ سال</t>
        </is>
      </c>
      <c r="C18" s="104" t="inlineStr">
        <is>
          <t>در ادبیات تخصصی مطرح ولی مورد مناقشه</t>
        </is>
      </c>
      <c r="D18" s="104" t="inlineStr">
        <is>
          <t>کوتاه‌ترین چرخه طرح سه‌گانه شومپیتر؛ سه کیچین در هر ژوگلار.</t>
        </is>
      </c>
    </row>
    <row r="19" ht="30" customHeight="1" s="56">
      <c r="A19" s="104" t="inlineStr">
        <is>
          <t>طرح سه‌چرخه‌ای شومپیتر</t>
        </is>
      </c>
      <c r="B19" s="104" t="inlineStr">
        <is>
          <t>کیچین ۴۰ ماه / ژوگلار ۹–۱۰ سال / کندراتیف ۵۵–۶۰ سال</t>
        </is>
      </c>
      <c r="C19" s="104" t="inlineStr">
        <is>
          <t>در ادبیات تخصصی مطرح ولی مورد مناقشه</t>
        </is>
      </c>
      <c r="D19" s="104" t="inlineStr">
        <is>
          <t>شومپیتر سه چرخه را روی هم سوار می‌کند: سه کیچین در یک ژوگلار و شش ژوگلار در یک کندراتیف. این تناسب دقیق، همان بخشی است که بیشترین نقد را گرفته.</t>
        </is>
      </c>
    </row>
    <row r="20" ht="30" customHeight="1" s="56">
      <c r="A20" s="104" t="inlineStr">
        <is>
          <t>چرخه نظم داخلی (دالیو) — شش مرحله</t>
        </is>
      </c>
      <c r="B20" s="104" t="inlineStr">
        <is>
          <t>متغیر</t>
        </is>
      </c>
      <c r="C20" s="104" t="inlineStr">
        <is>
          <t>چارچوب روایی/دوره‌بندی تاریخی، نه مدل آماری آزموده</t>
        </is>
      </c>
      <c r="D20" s="104" t="inlineStr">
        <is>
          <t>شش مرحله: ۱) نظم نو و رهبری جدید ۲) ساخت نظام تخصیص منابع و دیوان‌سالاری ۳) صلح و رونق ۴) زیاده‌روی مالی، حباب بدهی و شکاف ثروت ۵) وضعیت بد مالی و تشدید تعارض ۶) جنگ داخلی/انقلاب. دالیو آمریکا را در اواخر مرحله ۵ می‌داند — این تشخیص اوست، نه سنجه‌ای عینی.</t>
        </is>
      </c>
    </row>
    <row r="21" ht="30" customHeight="1" s="56">
      <c r="A21" s="104" t="inlineStr">
        <is>
          <t>چرخه بدهی بلندمدت (دالیو)</t>
        </is>
      </c>
      <c r="B21" s="104" t="inlineStr">
        <is>
          <t>۵۰ تا ۷۵ سال</t>
        </is>
      </c>
      <c r="C21" s="104" t="inlineStr">
        <is>
          <t>چارچوب روایی/دوره‌بندی تاریخی، نه مدل آماری آزموده</t>
        </is>
      </c>
      <c r="D21" s="104" t="inlineStr">
        <is>
          <t>چرخه بدهی کوتاه‌مدت ۶ تا ۸ سال (تقریباً معادل ژوگلار) و چرخه بلندمدت ۵۰ تا ۷۵ سال. دالیو معمولاً عدد ۷۵ سال را به‌کار می‌برد.</t>
        </is>
      </c>
    </row>
    <row r="22" ht="30" customHeight="1" s="56">
      <c r="A22" s="104" t="inlineStr">
        <is>
          <t>موج بلند و جنگ قدرت‌های بزرگ (گلدستاین)</t>
        </is>
      </c>
      <c r="B22" s="104" t="inlineStr">
        <is>
          <t>حدود ۵۰ سال</t>
        </is>
      </c>
      <c r="C22" s="104" t="inlineStr">
        <is>
          <t>در ادبیات تخصصی مطرح ولی مورد مناقشه</t>
        </is>
      </c>
      <c r="D22" s="104" t="inlineStr">
        <is>
          <t>گلدستاین توالی «صعود موج بلند ← اوج شدت جنگ ← اوج قیمت‌ها ← نزول» را با داده‌های کمی از ۱۴۹۵ بررسی می‌کند. برخلاف کندراتیف کلاسیک، او جهت علیت را از جنگ به اقتصاد می‌داند، نه برعکس.</t>
        </is>
      </c>
    </row>
    <row r="23" ht="30" customHeight="1" s="56">
      <c r="A23" s="104" t="inlineStr">
        <is>
          <t>کشیدگی امپراتوری (کندی)</t>
        </is>
      </c>
      <c r="B23" s="104" t="inlineStr">
        <is>
          <t>بدون دوره ثابت</t>
        </is>
      </c>
      <c r="C23" s="104" t="inlineStr">
        <is>
          <t>در ادبیات تخصصی مطرح ولی مورد مناقشه</t>
        </is>
      </c>
      <c r="D23" s="104" t="inlineStr">
        <is>
          <t>کندی چرخه با دوره ثابت ارائه نمی‌دهد. تز او ساختاری است: وقتی تعهدات نظامی و ژئوپلیتیک از پایه اقتصادی جلو بزند، افول آغاز می‌شود. به‌جای تاریخ، باید نسبت هزینه نظامی به تولید و بدهی را پایش کرد.</t>
        </is>
      </c>
    </row>
    <row r="25" ht="20" customHeight="1" s="56">
      <c r="A25" s="99" t="inlineStr">
        <is>
          <t>۳) تقویم ساختاری بازار ایران — خارج از منابع کتاب‌شناختی</t>
        </is>
      </c>
      <c r="B25" s="99" t="n"/>
      <c r="C25" s="99" t="n"/>
      <c r="D25" s="99" t="n"/>
      <c r="E25" s="99" t="n"/>
      <c r="F25" s="99" t="n"/>
      <c r="G25" s="99" t="n"/>
      <c r="H25" s="99" t="n"/>
    </row>
    <row r="26" ht="30" customHeight="1" s="56">
      <c r="A26" s="98" t="inlineStr">
        <is>
          <t>⚠ هیچ‌یک از ۱۶ کتاب مرجع درباره بازار ایران چیزی نگفته است. رویدادهای زیر از ساختار نهادی بازار استخراج شده‌اند: خودِ رویدادها قطعی‌اند، اثرشان بر قیمت فرضیه است و بک‌تست نشده.</t>
        </is>
      </c>
    </row>
    <row r="27" ht="30" customHeight="1" s="56">
      <c r="A27" s="61" t="inlineStr">
        <is>
          <t>پنجره</t>
        </is>
      </c>
      <c r="B27" s="61" t="inlineStr">
        <is>
          <t>وضعیت</t>
        </is>
      </c>
      <c r="C27" s="61" t="inlineStr">
        <is>
          <t>شروع</t>
        </is>
      </c>
      <c r="D27" s="61" t="inlineStr">
        <is>
          <t>پایان</t>
        </is>
      </c>
      <c r="E27" s="61" t="inlineStr">
        <is>
          <t>صنایع متأثر</t>
        </is>
      </c>
      <c r="F27" s="61" t="inlineStr">
        <is>
          <t>فرضیه اثر</t>
        </is>
      </c>
      <c r="G27" s="61" t="inlineStr">
        <is>
          <t>قطعیت رویداد</t>
        </is>
      </c>
    </row>
    <row r="28" ht="34" customHeight="1" s="56">
      <c r="A28" s="104" t="inlineStr">
        <is>
          <t>ناترازی برق تابستان</t>
        </is>
      </c>
      <c r="B28" s="105" t="inlineStr">
        <is>
          <t>فعال</t>
        </is>
      </c>
      <c r="C28" s="106" t="n">
        <v>46195</v>
      </c>
      <c r="D28" s="106" t="n">
        <v>46271</v>
      </c>
      <c r="E28" s="104" t="inlineStr">
        <is>
          <t>فولاد، آلومینیوم، مس، سیمان، روی</t>
        </is>
      </c>
      <c r="F28" s="104" t="inlineStr">
        <is>
          <t>محدودیت برق صنایع انرژی‌بر در تیر تا شهریور. اثر آن معمولاً در گزارش ماهانه همان ماه و سود فصلی بعدی دیده می‌شود.</t>
        </is>
      </c>
      <c r="G28" s="104" t="inlineStr">
        <is>
          <t>مشاهده تکرارشونده — شدت سال‌به‌سال متفاوت</t>
        </is>
      </c>
    </row>
    <row r="29" ht="34" customHeight="1" s="56">
      <c r="A29" s="104" t="inlineStr">
        <is>
          <t>فصل بودجه</t>
        </is>
      </c>
      <c r="B29" s="107" t="inlineStr">
        <is>
          <t>77 روز مانده</t>
        </is>
      </c>
      <c r="C29" s="106" t="n">
        <v>46348</v>
      </c>
      <c r="D29" s="106" t="n">
        <v>46466</v>
      </c>
      <c r="E29" s="104" t="inlineStr">
        <is>
          <t>بانک، پالایشی، خودرو، دارو، معدنی</t>
        </is>
      </c>
      <c r="F29" s="104" t="inlineStr">
        <is>
          <t>لایحه بودجه معمولاً آذر تقدیم و اسفند تصویب می‌شود. نرخ خوراک، نرخ ارز مبنا، نرخ بهره مالکانه و یارانه‌ها در این پنجره تعیین می‌شوند و مستقیماً حاشیه سود صنایع را جابه‌جا می‌کنند.</t>
        </is>
      </c>
      <c r="G29" s="104" t="inlineStr">
        <is>
          <t>قطعی — فرایند قانونی</t>
        </is>
      </c>
    </row>
    <row r="30" ht="34" customHeight="1" s="56">
      <c r="A30" s="104" t="inlineStr">
        <is>
          <t>ناترازی گاز زمستان</t>
        </is>
      </c>
      <c r="B30" s="107" t="inlineStr">
        <is>
          <t>107 روز مانده</t>
        </is>
      </c>
      <c r="C30" s="106" t="n">
        <v>46378</v>
      </c>
      <c r="D30" s="106" t="n">
        <v>46437</v>
      </c>
      <c r="E30" s="104" t="inlineStr">
        <is>
          <t>پتروشیمی (متانول و اوره)، فولاد، سیمان</t>
        </is>
      </c>
      <c r="F30" s="104" t="inlineStr">
        <is>
          <t>محدودیت گاز صنایع در دی و بهمن سابقه تکرارشونده دارد و تولید فصلی را کاهش می‌دهد. گزارش‌های ماهانه کدال این کاهش را با تأخیر نشان می‌دهند.</t>
        </is>
      </c>
      <c r="G30" s="104" t="inlineStr">
        <is>
          <t>مشاهده تکرارشونده — شدت سال‌به‌سال متفاوت</t>
        </is>
      </c>
    </row>
    <row r="31" ht="34" customHeight="1" s="56">
      <c r="A31" s="104" t="inlineStr">
        <is>
          <t>رقیق‌شدن معاملات پیش از نوروز</t>
        </is>
      </c>
      <c r="B31" s="107" t="inlineStr">
        <is>
          <t>181 روز مانده</t>
        </is>
      </c>
      <c r="C31" s="106" t="n">
        <v>46452</v>
      </c>
      <c r="D31" s="106" t="n">
        <v>46466</v>
      </c>
      <c r="E31" s="104" t="inlineStr">
        <is>
          <t>کل بازار</t>
        </is>
      </c>
      <c r="F31" s="104" t="inlineStr">
        <is>
          <t>افت ارزش معاملات و افزایش نوسان بی‌دلیل. سیگنال‌های مبتنی بر حجم در این پنجره اعتبار کمتری دارند.</t>
        </is>
      </c>
      <c r="G31" s="104" t="inlineStr">
        <is>
          <t>قطعی — تقویم رسمی</t>
        </is>
      </c>
    </row>
    <row r="32" ht="34" customHeight="1" s="56">
      <c r="A32" s="104" t="inlineStr">
        <is>
          <t>آغاز سال مالی و نوروز</t>
        </is>
      </c>
      <c r="B32" s="107" t="inlineStr">
        <is>
          <t>196 روز مانده</t>
        </is>
      </c>
      <c r="C32" s="106" t="n">
        <v>46467</v>
      </c>
      <c r="D32" s="106" t="n">
        <v>46481</v>
      </c>
      <c r="E32" s="104" t="inlineStr">
        <is>
          <t>کل بازار</t>
        </is>
      </c>
      <c r="F32" s="104" t="inlineStr">
        <is>
          <t>معاملات پیش از نوروز رقیق می‌شود و پس از تعطیلات، ورود نقدینگی جدید و تخصیص پرتفوی سال نو محتمل است. جهت اثر تعیین‌شده نیست.</t>
        </is>
      </c>
      <c r="G32" s="104" t="inlineStr">
        <is>
          <t>قطعی — تقویم رسمی</t>
        </is>
      </c>
    </row>
    <row r="33" ht="34" customHeight="1" s="56">
      <c r="A33" s="104" t="inlineStr">
        <is>
          <t>فصل گزارش‌های سالانه و مجامع</t>
        </is>
      </c>
      <c r="B33" s="107" t="inlineStr">
        <is>
          <t>289 روز مانده</t>
        </is>
      </c>
      <c r="C33" s="106" t="n">
        <v>46560</v>
      </c>
      <c r="D33" s="106" t="n">
        <v>46605</v>
      </c>
      <c r="E33" s="104" t="inlineStr">
        <is>
          <t>کل بازار</t>
        </is>
      </c>
      <c r="F33" s="104" t="inlineStr">
        <is>
          <t>مجامع سالانه و تقسیم سود شرکت‌های با سال مالی اسفند در تیر و مرداد متمرکز است. بازشدن نماد پس از مجمع، قیمت را با افت سود نقدی تعدیل می‌کند.</t>
        </is>
      </c>
      <c r="G33" s="104" t="inlineStr">
        <is>
          <t>قطعی — مهلت قانونی</t>
        </is>
      </c>
    </row>
    <row r="35" ht="20" customHeight="1" s="56">
      <c r="A35" s="99" t="inlineStr">
        <is>
          <t>۴) محرک‌های ساختاری بدون دوره ثابت</t>
        </is>
      </c>
      <c r="B35" s="99" t="n"/>
      <c r="C35" s="99" t="n"/>
      <c r="D35" s="99" t="n"/>
      <c r="E35" s="99" t="n"/>
      <c r="F35" s="99" t="n"/>
      <c r="G35" s="99" t="n"/>
      <c r="H35" s="99" t="n"/>
    </row>
    <row r="36" ht="30" customHeight="1" s="56">
      <c r="A36" s="61" t="inlineStr">
        <is>
          <t>محرک</t>
        </is>
      </c>
      <c r="B36" s="61" t="inlineStr">
        <is>
          <t>دوره</t>
        </is>
      </c>
      <c r="C36" s="61" t="inlineStr">
        <is>
          <t>سازوکار</t>
        </is>
      </c>
      <c r="D36" s="61" t="inlineStr">
        <is>
          <t>وضعیت شواهد</t>
        </is>
      </c>
      <c r="E36" s="61" t="inlineStr">
        <is>
          <t>پایش کنید</t>
        </is>
      </c>
    </row>
    <row r="37" ht="42" customHeight="1" s="56">
      <c r="A37" s="104" t="inlineStr">
        <is>
          <t>چرخه جهش ارزی</t>
        </is>
      </c>
      <c r="B37" s="104" t="inlineStr">
        <is>
          <t>پله‌ای و نامنظم — نه دوره‌ای</t>
        </is>
      </c>
      <c r="C37" s="104" t="inlineStr">
        <is>
          <t>نرخ ارز در ایران به‌جای رشد پیوسته، در جهش‌های گسسته تعدیل می‌شود. بازار سهام با تأخیر و ناقص این جهش را در قیمت‌های ریالی منعکس می‌کند؛ صادرات‌محورها زودتر و کامل‌تر، داخلی‌فروش‌ها دیرتر و کمتر.</t>
        </is>
      </c>
      <c r="D37" s="104" t="inlineStr">
        <is>
          <t>الگوی پله‌ای در داده تاریخی نرخ ارز قابل مشاهده است. اما «چرخه» خواندن آن اشتباه است: زمان‌بندی جهش‌ها به تصمیم سیاستی و شوک بیرونی وابسته است، نه به یک دوره تکرارشونده.</t>
        </is>
      </c>
      <c r="E37" s="104" t="inlineStr">
        <is>
          <t>شکاف نرخ آزاد و نیمایی، پایه پولی و نقدینگی، درآمد ارزی نفت</t>
        </is>
      </c>
    </row>
    <row r="38" ht="42" customHeight="1" s="56">
      <c r="A38" s="104" t="inlineStr">
        <is>
          <t>چرخه تنش و مذاکره</t>
        </is>
      </c>
      <c r="B38" s="104" t="inlineStr">
        <is>
          <t>بدون دوره ثابت</t>
        </is>
      </c>
      <c r="C38" s="104" t="inlineStr">
        <is>
          <t>دوره‌های تشدید تحریم و دوره‌های مذاکره، ریسک‌پریمیوم بازار و نرخ ارز را جابه‌جا می‌کنند. اثر آن بر بازار سهام دوگانه است: تضعیف ریال، ارزش ریالی صادرات‌محور را بالا می‌برد در حالی که ریسک کل بازار را هم بالا می‌برد.</t>
        </is>
      </c>
      <c r="D38" s="104" t="inlineStr">
        <is>
          <t>هیچ دوره‌ای برای این چرخه قابل استخراج نیست. تلاش برای دوره‌ای‌کردن آن خطای روش‌شناختی است — این یک فرایند سیاسی است، نه چرخه.</t>
        </is>
      </c>
      <c r="E38" s="104" t="inlineStr">
        <is>
          <t>وضعیت مذاکرات، قیمت اوراق ارزی، شکاف نرخ ارز</t>
        </is>
      </c>
    </row>
    <row r="39" ht="42" customHeight="1" s="56">
      <c r="A39" s="104" t="inlineStr">
        <is>
          <t>چرخه انتخاباتی</t>
        </is>
      </c>
      <c r="B39" s="104" t="inlineStr">
        <is>
          <t>۴ سال (ریاست‌جمهوری و مجلس)</t>
        </is>
      </c>
      <c r="C39" s="104" t="inlineStr">
        <is>
          <t>انتظارات سیاستی پیش و پس از انتخابات، به‌ویژه درباره نرخ ارز، یارانه انرژی و نرخ بهره، بر تخصیص پرتفوی اثر می‌گذارد.</t>
        </is>
      </c>
      <c r="D39" s="104" t="inlineStr">
        <is>
          <t>دوره ۴ ساله قطعی است ولی جهت و شدت اثر آن بر بازار آزمون نشده. در ایران دولت‌ها معمولاً پیش از انتخابات نرخ‌های کلیدی را تثبیت می‌کنند — این یک مشاهده رایج است، نه یافته آماری.</t>
        </is>
      </c>
      <c r="E39" s="104" t="inlineStr">
        <is>
          <t>تقویم انتخابات، سیاست تثبیت نرخ پیش از انتخابات</t>
        </is>
      </c>
    </row>
    <row r="40" ht="42" customHeight="1" s="56">
      <c r="A40" s="104" t="inlineStr">
        <is>
          <t>چرخه نرخ بهره و اوراق</t>
        </is>
      </c>
      <c r="B40" s="104" t="inlineStr">
        <is>
          <t>متغیر</t>
        </is>
      </c>
      <c r="C40" s="104" t="inlineStr">
        <is>
          <t>نرخ سود بانکی و بازدهی اوراق، هزینه فرصت نگهداری سهام را تعیین می‌کند. بالا رفتن بازدهی اخزا معمولاً با خروج پول از سهام همراه است.</t>
        </is>
      </c>
      <c r="D40" s="104" t="inlineStr">
        <is>
          <t>این رابطه در تئوری مالی پایه‌دار است و قابل آزمون روی داده ایران — ولی در این پکیج آزموده نشده.</t>
        </is>
      </c>
      <c r="E40" s="104" t="inlineStr">
        <is>
          <t>بازدهی اخزا، نرخ سود سپرده، نرخ بین‌بانکی</t>
        </is>
      </c>
    </row>
    <row r="42" ht="20" customHeight="1" s="56">
      <c r="A42" s="99" t="inlineStr">
        <is>
          <t>۵) مهلت‌های گزارشگری کدال</t>
        </is>
      </c>
      <c r="B42" s="99" t="n"/>
      <c r="C42" s="99" t="n"/>
      <c r="D42" s="99" t="n"/>
      <c r="E42" s="99" t="n"/>
      <c r="F42" s="99" t="n"/>
      <c r="G42" s="99" t="n"/>
      <c r="H42" s="99" t="n"/>
    </row>
    <row r="43" ht="30" customHeight="1" s="56">
      <c r="A43" s="61" t="inlineStr">
        <is>
          <t>گزارش</t>
        </is>
      </c>
      <c r="B43" s="61" t="inlineStr">
        <is>
          <t>مهلت</t>
        </is>
      </c>
      <c r="C43" s="61" t="inlineStr">
        <is>
          <t>ماه انتشار</t>
        </is>
      </c>
    </row>
    <row r="44">
      <c r="A44" s="108" t="inlineStr">
        <is>
          <t>گزارش ماهانه تولید و فروش</t>
        </is>
      </c>
      <c r="B44" s="108" t="inlineStr">
        <is>
          <t>تا ۱۰ روز پس از پایان هر ماه شمسی</t>
        </is>
      </c>
      <c r="C44" s="108" t="inlineStr">
        <is>
          <t>ماهانه</t>
        </is>
      </c>
    </row>
    <row r="45">
      <c r="A45" s="108" t="inlineStr">
        <is>
          <t>صورت مالی میان‌دوره‌ای ۳ ماهه</t>
        </is>
      </c>
      <c r="B45" s="108" t="inlineStr">
        <is>
          <t>پایان خرداد + حداکثر ۳۰ روز</t>
        </is>
      </c>
      <c r="C45" s="108" t="inlineStr">
        <is>
          <t>تیر</t>
        </is>
      </c>
    </row>
    <row r="46">
      <c r="A46" s="108" t="inlineStr">
        <is>
          <t>صورت مالی میان‌دوره‌ای ۶ ماهه (حسابرسی‌شده)</t>
        </is>
      </c>
      <c r="B46" s="108" t="inlineStr">
        <is>
          <t>پایان شهریور + حداکثر ۶۰ روز</t>
        </is>
      </c>
      <c r="C46" s="108" t="inlineStr">
        <is>
          <t>آبان</t>
        </is>
      </c>
    </row>
    <row r="47">
      <c r="A47" s="108" t="inlineStr">
        <is>
          <t>صورت مالی میان‌دوره‌ای ۹ ماهه</t>
        </is>
      </c>
      <c r="B47" s="108" t="inlineStr">
        <is>
          <t>پایان آذر + حداکثر ۳۰ روز</t>
        </is>
      </c>
      <c r="C47" s="108" t="inlineStr">
        <is>
          <t>دی</t>
        </is>
      </c>
    </row>
    <row r="48">
      <c r="A48" s="108" t="inlineStr">
        <is>
          <t>صورت مالی سالانه (حسابرسی‌شده)</t>
        </is>
      </c>
      <c r="B48" s="108" t="inlineStr">
        <is>
          <t>پایان اسفند + حداکثر ۹۰ روز</t>
        </is>
      </c>
      <c r="C48" s="108" t="inlineStr">
        <is>
          <t>خرداد</t>
        </is>
      </c>
    </row>
    <row r="50" ht="20" customHeight="1" s="56">
      <c r="A50" s="99" t="inlineStr">
        <is>
          <t>۶) منابع و جایگاه علمی هر چارچوب</t>
        </is>
      </c>
      <c r="B50" s="99" t="n"/>
      <c r="C50" s="99" t="n"/>
      <c r="D50" s="99" t="n"/>
      <c r="E50" s="99" t="n"/>
      <c r="F50" s="99" t="n"/>
      <c r="G50" s="99" t="n"/>
      <c r="H50" s="99" t="n"/>
    </row>
    <row r="51" ht="30" customHeight="1" s="56">
      <c r="A51" s="61" t="inlineStr">
        <is>
          <t>نویسنده</t>
        </is>
      </c>
      <c r="B51" s="61" t="inlineStr">
        <is>
          <t>اثر</t>
        </is>
      </c>
      <c r="C51" s="61" t="inlineStr">
        <is>
          <t>سال</t>
        </is>
      </c>
      <c r="D51" s="61" t="inlineStr">
        <is>
          <t>حوزه</t>
        </is>
      </c>
      <c r="E51" s="61" t="inlineStr">
        <is>
          <t>جایگاه</t>
        </is>
      </c>
      <c r="F51" s="61" t="inlineStr">
        <is>
          <t>یادداشت</t>
        </is>
      </c>
    </row>
    <row r="52" ht="30" customHeight="1" s="56">
      <c r="A52" s="100" t="inlineStr">
        <is>
          <t>Halbert White</t>
        </is>
      </c>
      <c r="B52" s="100" t="inlineStr">
        <is>
          <t>A Reality Check for Data Snooping</t>
        </is>
      </c>
      <c r="C52" s="101" t="n">
        <v>2000</v>
      </c>
      <c r="D52" s="101" t="inlineStr">
        <is>
          <t>بک‌تست</t>
        </is>
      </c>
      <c r="E52" s="100" t="inlineStr">
        <is>
          <t>دارای پشتوانه تجربی متعارف</t>
        </is>
      </c>
      <c r="F52" s="100" t="inlineStr">
        <is>
          <t>آزمون معناداری وقتی چندین استراتژی روی یک داده امتحان شده‌اند. معادل تصحیح چندگانگی، ولی برای بک‌تست.</t>
        </is>
      </c>
    </row>
    <row r="53" ht="30" customHeight="1" s="56">
      <c r="A53" s="100" t="inlineStr">
        <is>
          <t>David H. Bailey, Jonathan Borwein, Marcos López de Prado &amp; Qiji Jim Zhu</t>
        </is>
      </c>
      <c r="B53" s="100" t="inlineStr">
        <is>
          <t>Pseudo-Mathematics and Financial Charlatanism: The Effects of Backtest Overfitting on Out-of-Sample Performance</t>
        </is>
      </c>
      <c r="C53" s="101" t="n">
        <v>2014</v>
      </c>
      <c r="D53" s="101" t="inlineStr">
        <is>
          <t>بک‌تست</t>
        </is>
      </c>
      <c r="E53" s="100" t="inlineStr">
        <is>
          <t>دارای پشتوانه تجربی متعارف</t>
        </is>
      </c>
      <c r="F53" s="100" t="inlineStr">
        <is>
          <t>با کافی‌بودن تعداد تلاش، همیشه می‌توان یک استراتژی با شارپ بالا در نمونه ساخت که خارج از نمونه بی‌ارزش است. مبنای «نسبت شارپ تعدیل‌شده» و ثبت تعداد تلاش در بک‌تستر.</t>
        </is>
      </c>
    </row>
    <row r="54" ht="30" customHeight="1" s="56">
      <c r="A54" s="100" t="inlineStr">
        <is>
          <t>David H. Bailey &amp; Marcos López de Prado</t>
        </is>
      </c>
      <c r="B54" s="100" t="inlineStr">
        <is>
          <t>The Deflated Sharpe Ratio: Correcting for Selection Bias, Backtest Overfitting and Non-Normality</t>
        </is>
      </c>
      <c r="C54" s="101" t="n">
        <v>2014</v>
      </c>
      <c r="D54" s="101" t="inlineStr">
        <is>
          <t>بک‌تست</t>
        </is>
      </c>
      <c r="E54" s="100" t="inlineStr">
        <is>
          <t>دارای پشتوانه تجربی متعارف</t>
        </is>
      </c>
      <c r="F54" s="100" t="inlineStr">
        <is>
          <t>شارپ تعدیل‌شده بابت تعداد تلاش، چولگی و کشیدگی. عددی که در این پکیج به‌جای شارپ خام گزارش می‌شود.</t>
        </is>
      </c>
    </row>
    <row r="55" ht="30" customHeight="1" s="56">
      <c r="A55" s="100" t="inlineStr">
        <is>
          <t>Nassim Nicholas Taleb</t>
        </is>
      </c>
      <c r="B55" s="100" t="inlineStr">
        <is>
          <t>The Black Swan / Dynamic Hedging</t>
        </is>
      </c>
      <c r="C55" s="101" t="n">
        <v>2007</v>
      </c>
      <c r="D55" s="101" t="inlineStr">
        <is>
          <t>ریسک</t>
        </is>
      </c>
      <c r="E55" s="100" t="inlineStr">
        <is>
          <t>در ادبیات تخصصی مطرح ولی مورد مناقشه</t>
        </is>
      </c>
      <c r="F55" s="100" t="inlineStr">
        <is>
          <t>دم‌های ضخیم و ناارگودیک‌بودن. برای بازار ایران به‌ویژه مهم: توزیع بازده به‌شدت غیرنرمال است و معیارهای مبتنی بر واریانس ریسک را کم‌برآورد می‌کنند.</t>
        </is>
      </c>
    </row>
    <row r="56" ht="30" customHeight="1" s="56">
      <c r="A56" s="100" t="inlineStr">
        <is>
          <t>Robert F. Engle</t>
        </is>
      </c>
      <c r="B56" s="100" t="inlineStr">
        <is>
          <t>Autoregressive Conditional Heteroscedasticity with Estimates of the Variance of United Kingdom Inflation</t>
        </is>
      </c>
      <c r="C56" s="101" t="n">
        <v>1982</v>
      </c>
      <c r="D56" s="101" t="inlineStr">
        <is>
          <t>نوسان</t>
        </is>
      </c>
      <c r="E56" s="100" t="inlineStr">
        <is>
          <t>دارای پشتوانه تجربی متعارف</t>
        </is>
      </c>
      <c r="F56" s="100" t="inlineStr">
        <is>
          <t>خوشه‌ای‌بودن نوسان. یکی از مستحکم‌ترین یافته‌های مالی: نوسان پیش‌بینی‌پذیر است حتی وقتی جهت بازده نیست.</t>
        </is>
      </c>
    </row>
    <row r="57" ht="30" customHeight="1" s="56">
      <c r="A57" s="100" t="inlineStr">
        <is>
          <t>Tim Bollerslev</t>
        </is>
      </c>
      <c r="B57" s="100" t="inlineStr">
        <is>
          <t>Generalized Autoregressive Conditional Heteroskedasticity</t>
        </is>
      </c>
      <c r="C57" s="101" t="n">
        <v>1986</v>
      </c>
      <c r="D57" s="101" t="inlineStr">
        <is>
          <t>نوسان</t>
        </is>
      </c>
      <c r="E57" s="100" t="inlineStr">
        <is>
          <t>دارای پشتوانه تجربی متعارف</t>
        </is>
      </c>
      <c r="F57" s="100" t="inlineStr">
        <is>
          <t>GARCH — تعمیم ARCH. مبنای برآورد احتمال افت شدید در افق کوتاه.</t>
        </is>
      </c>
    </row>
    <row r="58" ht="30" customHeight="1" s="56">
      <c r="A58" s="100" t="inlineStr">
        <is>
          <t>Glenn W. Brier</t>
        </is>
      </c>
      <c r="B58" s="100" t="inlineStr">
        <is>
          <t>Verification of Forecasts Expressed in Terms of Probability</t>
        </is>
      </c>
      <c r="C58" s="101" t="n">
        <v>1950</v>
      </c>
      <c r="D58" s="101" t="inlineStr">
        <is>
          <t>پیش‌بینی</t>
        </is>
      </c>
      <c r="E58" s="100" t="inlineStr">
        <is>
          <t>دارای پشتوانه تجربی متعارف</t>
        </is>
      </c>
      <c r="F58" s="100" t="inlineStr">
        <is>
          <t>امتیاز بریر: تنها راه صادقانه سنجش پیش‌بینی احتمالاتی. بدون آن، هر پیش‌بینی‌کننده‌ای می‌تواند خودش را موفق بداند.</t>
        </is>
      </c>
    </row>
    <row r="59" ht="30" customHeight="1" s="56">
      <c r="A59" s="100" t="inlineStr">
        <is>
          <t>Allan H. Murphy</t>
        </is>
      </c>
      <c r="B59" s="100" t="inlineStr">
        <is>
          <t>A New Vector Partition of the Probability Score</t>
        </is>
      </c>
      <c r="C59" s="101" t="n">
        <v>1973</v>
      </c>
      <c r="D59" s="101" t="inlineStr">
        <is>
          <t>پیش‌بینی</t>
        </is>
      </c>
      <c r="E59" s="100" t="inlineStr">
        <is>
          <t>دارای پشتوانه تجربی متعارف</t>
        </is>
      </c>
      <c r="F59" s="100" t="inlineStr">
        <is>
          <t>تجزیه بریر به سه جزء: کالیبراسیون، تفکیک‌پذیری و عدم‌قطعیت ذاتی. نشان می‌دهد یک پیش‌بینی می‌تواند کالیبره ولی بی‌فایده باشد.</t>
        </is>
      </c>
    </row>
    <row r="60" ht="30" customHeight="1" s="56">
      <c r="A60" s="100" t="inlineStr">
        <is>
          <t>John Y. Campbell &amp; Robert J. Shiller</t>
        </is>
      </c>
      <c r="B60" s="100" t="inlineStr">
        <is>
          <t>Stock Prices, Earnings, and Expected Dividends</t>
        </is>
      </c>
      <c r="C60" s="101" t="n">
        <v>1988</v>
      </c>
      <c r="D60" s="101" t="inlineStr">
        <is>
          <t>پیش‌بینی</t>
        </is>
      </c>
      <c r="E60" s="100" t="inlineStr">
        <is>
          <t>دارای پشتوانه تجربی متعارف</t>
        </is>
      </c>
      <c r="F60" s="100" t="inlineStr">
        <is>
          <t>نسبت‌های ارزش‌گذاری بازده بلندمدت را پیش‌بینی می‌کنند، نه کوتاه‌مدت. افق مهم است: آنچه در ۱۰ سال کار می‌کند در ۳ ماه کار نمی‌کند.</t>
        </is>
      </c>
    </row>
    <row r="61" ht="30" customHeight="1" s="56">
      <c r="A61" s="100" t="inlineStr">
        <is>
          <t>Francis X. Diebold &amp; Roberto S. Mariano</t>
        </is>
      </c>
      <c r="B61" s="100" t="inlineStr">
        <is>
          <t>Comparing Predictive Accuracy</t>
        </is>
      </c>
      <c r="C61" s="101" t="n">
        <v>1995</v>
      </c>
      <c r="D61" s="101" t="inlineStr">
        <is>
          <t>پیش‌بینی</t>
        </is>
      </c>
      <c r="E61" s="100" t="inlineStr">
        <is>
          <t>دارای پشتوانه تجربی متعارف</t>
        </is>
      </c>
      <c r="F61" s="100" t="inlineStr">
        <is>
          <t>آزمون معناداری تفاوت دقت دو پیش‌بینی. بدون آن، «مدل من بهتر است» یک ادعای بدون پشتوانه آماری است.</t>
        </is>
      </c>
    </row>
    <row r="62" ht="30" customHeight="1" s="56">
      <c r="A62" s="100" t="inlineStr">
        <is>
          <t>Andrew W. Lo</t>
        </is>
      </c>
      <c r="B62" s="100" t="inlineStr">
        <is>
          <t>The Adaptive Markets Hypothesis</t>
        </is>
      </c>
      <c r="C62" s="101" t="n">
        <v>2004</v>
      </c>
      <c r="D62" s="101" t="inlineStr">
        <is>
          <t>پیش‌بینی</t>
        </is>
      </c>
      <c r="E62" s="100" t="inlineStr">
        <is>
          <t>در ادبیات تخصصی مطرح ولی مورد مناقشه</t>
        </is>
      </c>
      <c r="F62" s="100" t="inlineStr">
        <is>
          <t>کارایی بازار مطلق نیست بلکه به شرایط و رقابت بستگی دارد؛ لبه‌ها وجود دارند ولی فرسوده می‌شوند. توضیح می‌دهد چرا یک استراتژی که در گذشته کار کرده ممکن است دیگر کار نکند.</t>
        </is>
      </c>
    </row>
    <row r="63" ht="30" customHeight="1" s="56">
      <c r="A63" s="100" t="inlineStr">
        <is>
          <t>Philip E. Tetlock</t>
        </is>
      </c>
      <c r="B63" s="100" t="inlineStr">
        <is>
          <t>Expert Political Judgment</t>
        </is>
      </c>
      <c r="C63" s="101" t="n">
        <v>2005</v>
      </c>
      <c r="D63" s="101" t="inlineStr">
        <is>
          <t>پیش‌بینی</t>
        </is>
      </c>
      <c r="E63" s="100" t="inlineStr">
        <is>
          <t>دارای پشتوانه تجربی متعارف</t>
        </is>
      </c>
      <c r="F63" s="100" t="inlineStr">
        <is>
          <t>بیست سال ردیابی ۲۸ هزار پیش‌بینی از ۲۸۴ کارشناس: دقت کارشناسان سیاسی به‌سختی از حدس تصادفی بهتر بود و کارشناسان مشهورتر بدتر عمل کردند. این مطالعه، پایه‌ی تصمیمِ ما برای نساختن «مدل پیش‌بینی رویداد سیاسی» است.</t>
        </is>
      </c>
    </row>
    <row r="64" ht="30" customHeight="1" s="56">
      <c r="A64" s="100" t="inlineStr">
        <is>
          <t>Ivo Welch &amp; Amit Goyal</t>
        </is>
      </c>
      <c r="B64" s="100" t="inlineStr">
        <is>
          <t>A Comprehensive Look at the Empirical Performance of Equity Premium Prediction</t>
        </is>
      </c>
      <c r="C64" s="101" t="n">
        <v>2008</v>
      </c>
      <c r="D64" s="101" t="inlineStr">
        <is>
          <t>پیش‌بینی</t>
        </is>
      </c>
      <c r="E64" s="100" t="inlineStr">
        <is>
          <t>دارای پشتوانه تجربی متعارف</t>
        </is>
      </c>
      <c r="F64" s="100" t="inlineStr">
        <is>
          <t>بررسی گسترده متغیرهای پیش‌بین بازده سهام: تقریباً همه در خارج از نمونه شکست می‌خورند و از میانگین ساده تاریخی بدتر عمل می‌کنند. این مقاله، دلیل اصلی وجود بخش «مقایسه با معیار بی‌اثر» در بک‌تستر ماست.</t>
        </is>
      </c>
    </row>
    <row r="65" ht="30" customHeight="1" s="56">
      <c r="A65" s="100" t="inlineStr">
        <is>
          <t>Philip E. Tetlock &amp; Dan Gardner</t>
        </is>
      </c>
      <c r="B65" s="100" t="inlineStr">
        <is>
          <t>Superforecasting</t>
        </is>
      </c>
      <c r="C65" s="101" t="n">
        <v>2015</v>
      </c>
      <c r="D65" s="101" t="inlineStr">
        <is>
          <t>پیش‌بینی</t>
        </is>
      </c>
      <c r="E65" s="100" t="inlineStr">
        <is>
          <t>دارای پشتوانه تجربی متعارف</t>
        </is>
      </c>
      <c r="F65" s="100" t="inlineStr">
        <is>
          <t>یافته تورنمنت IARPA: آنچه دقت را بالا می‌برد مدل نیست — تجزیه سؤال، شروع از نرخ پایه، احتمال عددی صریح، به‌روزرسانی مکرر و کوچک، و سنجش کالیبراسیون است. معماری ماژول judgment از همین‌جا می‌آید.</t>
        </is>
      </c>
    </row>
    <row r="66" ht="30" customHeight="1" s="56">
      <c r="A66" s="100" t="inlineStr">
        <is>
          <t>Clément Juglar</t>
        </is>
      </c>
      <c r="B66" s="100" t="inlineStr">
        <is>
          <t>Des crises commerciales et de leur retour périodique</t>
        </is>
      </c>
      <c r="C66" s="101" t="n">
        <v>1862</v>
      </c>
      <c r="D66" s="101" t="inlineStr">
        <is>
          <t>چرخه اقتصادی</t>
        </is>
      </c>
      <c r="E66" s="100" t="inlineStr">
        <is>
          <t>دارای پشتوانه تجربی متعارف</t>
        </is>
      </c>
      <c r="F66" s="100" t="inlineStr">
        <is>
          <t>نخستین مستندسازی چرخه تجاری ۷ تا ۱۱ ساله. وجود چرخه تجاری در اقتصاد جریان اصلی پذیرفته است؛ دوره ثابت آن نه.</t>
        </is>
      </c>
    </row>
    <row r="67" ht="30" customHeight="1" s="56">
      <c r="A67" s="100" t="inlineStr">
        <is>
          <t>Joseph Schumpeter</t>
        </is>
      </c>
      <c r="B67" s="100" t="inlineStr">
        <is>
          <t>Business Cycles</t>
        </is>
      </c>
      <c r="C67" s="101" t="n">
        <v>1939</v>
      </c>
      <c r="D67" s="101" t="inlineStr">
        <is>
          <t>چرخه اقتصادی</t>
        </is>
      </c>
      <c r="E67" s="100" t="inlineStr">
        <is>
          <t>در ادبیات تخصصی مطرح ولی مورد مناقشه</t>
        </is>
      </c>
      <c r="F67" s="100" t="inlineStr">
        <is>
          <t>طرح سه‌چرخه‌ای کیچین/ژوگلار/کندراتیف و تخریب خلاق. مفهوم تخریب خلاق پذیرفته‌شده است؛ طرح سه‌چرخه‌ای منظم نه.</t>
        </is>
      </c>
    </row>
    <row r="68" ht="30" customHeight="1" s="56">
      <c r="A68" s="100" t="inlineStr">
        <is>
          <t>James D. Hamilton</t>
        </is>
      </c>
      <c r="B68" s="100" t="inlineStr">
        <is>
          <t>A New Approach to the Economic Analysis of Nonstationary Time Series and the Business Cycle</t>
        </is>
      </c>
      <c r="C68" s="101" t="n">
        <v>1989</v>
      </c>
      <c r="D68" s="101" t="inlineStr">
        <is>
          <t>چرخه اقتصادی</t>
        </is>
      </c>
      <c r="E68" s="100" t="inlineStr">
        <is>
          <t>دارای پشتوانه تجربی متعارف</t>
        </is>
      </c>
      <c r="F68" s="100" t="inlineStr">
        <is>
          <t>مدل مارکوف رژیم‌سوئیچینگ. روش استاندارد جریان اصلی برای تخمین احتمال قرارگرفتن اقتصاد/بازار در رژیم رکودی. مبنای ماژول regime.</t>
        </is>
      </c>
    </row>
    <row r="69" ht="30" customHeight="1" s="56">
      <c r="A69" s="100" t="inlineStr">
        <is>
          <t>Arturo Estrella &amp; Frederic S. Mishkin</t>
        </is>
      </c>
      <c r="B69" s="100" t="inlineStr">
        <is>
          <t>Predicting U.S. Recessions: Financial Variables as Leading Indicators</t>
        </is>
      </c>
      <c r="C69" s="101" t="n">
        <v>1998</v>
      </c>
      <c r="D69" s="101" t="inlineStr">
        <is>
          <t>چرخه اقتصادی</t>
        </is>
      </c>
      <c r="E69" s="100" t="inlineStr">
        <is>
          <t>دارای پشتوانه تجربی متعارف</t>
        </is>
      </c>
      <c r="F69" s="100" t="inlineStr">
        <is>
          <t>شیب منحنی بازده بهترین پیش‌بین منفرد رکود آمریکاست، با افق ۱۲ تا ۱۸ ماه — نه سه ماه. برای ایران معادل تقریبی آن ساختار زمانی بازدهی اخزاست.</t>
        </is>
      </c>
    </row>
    <row r="70" ht="30" customHeight="1" s="56">
      <c r="A70" s="100" t="inlineStr">
        <is>
          <t>Carlota Perez</t>
        </is>
      </c>
      <c r="B70" s="100" t="inlineStr">
        <is>
          <t>Technological Revolutions and Financial Capital</t>
        </is>
      </c>
      <c r="C70" s="101" t="n">
        <v>2002</v>
      </c>
      <c r="D70" s="101" t="inlineStr">
        <is>
          <t>چرخه اقتصادی</t>
        </is>
      </c>
      <c r="E70" s="100" t="inlineStr">
        <is>
          <t>در ادبیات تخصصی مطرح ولی مورد مناقشه</t>
        </is>
      </c>
      <c r="F70" s="100" t="inlineStr">
        <is>
          <t>پارادایم‌های فناورانه-اقتصادی. تاریخ‌های آغاز پنج موج صریحاً در کتاب آمده.</t>
        </is>
      </c>
    </row>
    <row r="71" ht="30" customHeight="1" s="56">
      <c r="A71" s="100" t="inlineStr">
        <is>
          <t>Leonid Grinin, Andrey Korotayev, Arno Tausch</t>
        </is>
      </c>
      <c r="B71" s="100" t="inlineStr">
        <is>
          <t>Economic Cycles, Crises, and the Global Periphery</t>
        </is>
      </c>
      <c r="C71" s="101" t="n">
        <v>2016</v>
      </c>
      <c r="D71" s="101" t="inlineStr">
        <is>
          <t>چرخه اقتصادی</t>
        </is>
      </c>
      <c r="E71" s="100" t="inlineStr">
        <is>
          <t>در ادبیات تخصصی مطرح ولی مورد مناقشه</t>
        </is>
      </c>
      <c r="F71" s="100" t="inlineStr">
        <is>
          <t>دیتینگ استاندارد امواج کندراتیف و پیوند آن با بحران‌های پیرامون.</t>
        </is>
      </c>
    </row>
    <row r="72" ht="30" customHeight="1" s="56">
      <c r="A72" s="100" t="inlineStr">
        <is>
          <t>W.D. Gann</t>
        </is>
      </c>
      <c r="B72" s="100" t="inlineStr">
        <is>
          <t>The Tunnel Thru the Air</t>
        </is>
      </c>
      <c r="C72" s="101" t="n">
        <v>1927</v>
      </c>
      <c r="D72" s="101" t="inlineStr">
        <is>
          <t>چرخه بازار</t>
        </is>
      </c>
      <c r="E72" s="103" t="inlineStr">
        <is>
          <t>خارج از جریان اصلی؛ اجماع علمی ندارد</t>
        </is>
      </c>
      <c r="F72" s="100" t="inlineStr">
        <is>
          <t>رمان با لایه رمزی چرخه‌های زمانی. منبع اولیه ادعاهای چرخه طبیعی گن.</t>
        </is>
      </c>
    </row>
    <row r="73" ht="30" customHeight="1" s="56">
      <c r="A73" s="100" t="inlineStr">
        <is>
          <t>W.D. Gann</t>
        </is>
      </c>
      <c r="B73" s="100" t="inlineStr">
        <is>
          <t>How to Make Profits Trading in Commodities</t>
        </is>
      </c>
      <c r="C73" s="101" t="n">
        <v>1941</v>
      </c>
      <c r="D73" s="101" t="inlineStr">
        <is>
          <t>چرخه بازار</t>
        </is>
      </c>
      <c r="E73" s="103" t="inlineStr">
        <is>
          <t>خارج از جریان اصلی؛ اجماع علمی ندارد</t>
        </is>
      </c>
      <c r="F73" s="100" t="inlineStr">
        <is>
          <t>شمارش‌های زمانی و سالگردها. هیچ توجیه علّی برای اعداد ارائه نمی‌شود.</t>
        </is>
      </c>
    </row>
    <row r="74" ht="30" customHeight="1" s="56">
      <c r="A74" s="100" t="inlineStr">
        <is>
          <t>J.M. Hurst</t>
        </is>
      </c>
      <c r="B74" s="100" t="inlineStr">
        <is>
          <t>The Profit Magic of Stock Transaction Timing</t>
        </is>
      </c>
      <c r="C74" s="101" t="n">
        <v>1970</v>
      </c>
      <c r="D74" s="101" t="inlineStr">
        <is>
          <t>چرخه بازار</t>
        </is>
      </c>
      <c r="E74" s="103" t="inlineStr">
        <is>
          <t>خارج از جریان اصلی؛ اجماع علمی ندارد</t>
        </is>
      </c>
      <c r="F74" s="100" t="inlineStr">
        <is>
          <t>مدل چرخه‌های اسمی و اصول هشت‌گانه. مبنای ریاضی روشن دارد ولی اعتبارسنجی مستقل و منتشرشده‌ای که سودآوری آن را تأیید کند در دست نیست.</t>
        </is>
      </c>
    </row>
    <row r="75" ht="30" customHeight="1" s="56">
      <c r="A75" s="100" t="inlineStr">
        <is>
          <t>A.J. Frost &amp; Robert Prechter</t>
        </is>
      </c>
      <c r="B75" s="100" t="inlineStr">
        <is>
          <t>Elliott Wave Principle: Key to Market Behavior</t>
        </is>
      </c>
      <c r="C75" s="101" t="n">
        <v>1978</v>
      </c>
      <c r="D75" s="101" t="inlineStr">
        <is>
          <t>چرخه بازار</t>
        </is>
      </c>
      <c r="E75" s="103" t="inlineStr">
        <is>
          <t>خارج از جریان اصلی؛ اجماع علمی ندارد</t>
        </is>
      </c>
      <c r="F75" s="100" t="inlineStr">
        <is>
          <t>سه قاعده سخت قابل آزمون‌اند؛ اما برچسب‌گذاری چندگانه است و همین، ابطال‌پذیری چارچوب را تضعیف می‌کند.</t>
        </is>
      </c>
    </row>
    <row r="76" ht="30" customHeight="1" s="56">
      <c r="A76" s="100" t="inlineStr">
        <is>
          <t>James A. Hyerczyk</t>
        </is>
      </c>
      <c r="B76" s="100" t="inlineStr">
        <is>
          <t>Pattern, Price &amp; Time: Using Gann Theory</t>
        </is>
      </c>
      <c r="C76" s="101" t="n">
        <v>1998</v>
      </c>
      <c r="D76" s="101" t="inlineStr">
        <is>
          <t>چرخه بازار</t>
        </is>
      </c>
      <c r="E76" s="103" t="inlineStr">
        <is>
          <t>خارج از جریان اصلی؛ اجماع علمی ندارد</t>
        </is>
      </c>
      <c r="F76" s="100" t="inlineStr">
        <is>
          <t>منظم‌ترین تدوین نظریه گن برای استفاده عملی.</t>
        </is>
      </c>
    </row>
    <row r="77" ht="30" customHeight="1" s="56">
      <c r="A77" s="100" t="inlineStr">
        <is>
          <t>Robert Prechter</t>
        </is>
      </c>
      <c r="B77" s="100" t="inlineStr">
        <is>
          <t>Beautiful Pictures from the Gallery of Phinance</t>
        </is>
      </c>
      <c r="C77" s="101" t="n">
        <v>2003</v>
      </c>
      <c r="D77" s="101" t="inlineStr">
        <is>
          <t>چرخه بازار</t>
        </is>
      </c>
      <c r="E77" s="103" t="inlineStr">
        <is>
          <t>خارج از جریان اصلی؛ اجماع علمی ندارد</t>
        </is>
      </c>
      <c r="F77" s="100" t="inlineStr">
        <is>
          <t>نسبت‌های فیبوناچی در ساختار قیمت و زمان.</t>
        </is>
      </c>
    </row>
    <row r="78" ht="30" customHeight="1" s="56">
      <c r="A78" s="100" t="inlineStr">
        <is>
          <t>Christopher Grafton</t>
        </is>
      </c>
      <c r="B78" s="100" t="inlineStr">
        <is>
          <t>Mastering Hurst Cycle Analysis</t>
        </is>
      </c>
      <c r="C78" s="101" t="n">
        <v>2011</v>
      </c>
      <c r="D78" s="101" t="inlineStr">
        <is>
          <t>چرخه بازار</t>
        </is>
      </c>
      <c r="E78" s="103" t="inlineStr">
        <is>
          <t>خارج از جریان اصلی؛ اجماع علمی ندارد</t>
        </is>
      </c>
      <c r="F78" s="100" t="inlineStr">
        <is>
          <t>تدوین عملیاتی روش هرست: FLD، VTL و فازبندی.</t>
        </is>
      </c>
    </row>
    <row r="79" ht="30" customHeight="1" s="56">
      <c r="A79" s="100" t="inlineStr">
        <is>
          <t>Lars von Thienen</t>
        </is>
      </c>
      <c r="B79" s="100" t="inlineStr">
        <is>
          <t>Decoding the Hidden Market Rhythm — Part 1: Dynamic Cycles</t>
        </is>
      </c>
      <c r="C79" s="101" t="n">
        <v>2011</v>
      </c>
      <c r="D79" s="101" t="inlineStr">
        <is>
          <t>چرخه بازار</t>
        </is>
      </c>
      <c r="E79" s="103" t="inlineStr">
        <is>
          <t>خارج از جریان اصلی؛ اجماع علمی ندارد</t>
        </is>
      </c>
      <c r="F79" s="100" t="inlineStr">
        <is>
          <t>تحلیل طیفی و آزمون معناداری چرخه. روش آماری آن (آزمون بارتلز) معتبر است؛ آنچه مورد مناقشه است، پایداری چرخه‌های یافته‌شده در آینده است.</t>
        </is>
      </c>
    </row>
    <row r="80" ht="30" customHeight="1" s="56">
      <c r="A80" s="100" t="inlineStr">
        <is>
          <t>Paul Kennedy</t>
        </is>
      </c>
      <c r="B80" s="100" t="inlineStr">
        <is>
          <t>The Rise and Fall of the Great Powers</t>
        </is>
      </c>
      <c r="C80" s="101" t="n">
        <v>1987</v>
      </c>
      <c r="D80" s="101" t="inlineStr">
        <is>
          <t>ژئوپلیتیک</t>
        </is>
      </c>
      <c r="E80" s="100" t="inlineStr">
        <is>
          <t>در ادبیات تخصصی مطرح ولی مورد مناقشه</t>
        </is>
      </c>
      <c r="F80" s="100" t="inlineStr">
        <is>
          <t>تز «کشیدگی امپراتوری»: نسبت پایه اقتصادی به تعهدات نظامی. تاریخ‌نگاری جدی است ولی چرخه با دوره ثابت ارائه نمی‌دهد.</t>
        </is>
      </c>
    </row>
    <row r="81" ht="30" customHeight="1" s="56">
      <c r="A81" s="100" t="inlineStr">
        <is>
          <t>Joshua S. Goldstein</t>
        </is>
      </c>
      <c r="B81" s="100" t="inlineStr">
        <is>
          <t>Long Cycles: Prosperity and War in the Modern Age</t>
        </is>
      </c>
      <c r="C81" s="101" t="n">
        <v>1988</v>
      </c>
      <c r="D81" s="101" t="inlineStr">
        <is>
          <t>ژئوپلیتیک</t>
        </is>
      </c>
      <c r="E81" s="100" t="inlineStr">
        <is>
          <t>در ادبیات تخصصی مطرح ولی مورد مناقشه</t>
        </is>
      </c>
      <c r="F81" s="100" t="inlineStr">
        <is>
          <t>پیوند موج بلند با شدت جنگ قدرت‌های بزرگ؛ داده‌های کمی از ۱۴۹۵ به بعد.</t>
        </is>
      </c>
    </row>
    <row r="82" ht="30" customHeight="1" s="56">
      <c r="A82" s="100" t="inlineStr">
        <is>
          <t>Ray Dalio</t>
        </is>
      </c>
      <c r="B82" s="100" t="inlineStr">
        <is>
          <t>Principles for Dealing with the Changing World Order</t>
        </is>
      </c>
      <c r="C82" s="101" t="n">
        <v>2021</v>
      </c>
      <c r="D82" s="101" t="inlineStr">
        <is>
          <t>ژئوپلیتیک</t>
        </is>
      </c>
      <c r="E82" s="103" t="inlineStr">
        <is>
          <t>چارچوب روایی/دوره‌بندی تاریخی، نه مدل آماری آزموده</t>
        </is>
      </c>
      <c r="F82" s="100" t="inlineStr">
        <is>
          <t>چرخه بزرگ امپراتوری‌ها و هشت سنجه قدرت. دوره‌بندی پس‌نگر است و پیش‌بینی‌های آن آزمون بیرونی نشده‌اند.</t>
        </is>
      </c>
    </row>
    <row r="83" ht="30" customHeight="1" s="56">
      <c r="A83" s="100" t="inlineStr">
        <is>
          <t>Neil Howe</t>
        </is>
      </c>
      <c r="B83" s="100" t="inlineStr">
        <is>
          <t>The Fourth Turning Is Here</t>
        </is>
      </c>
      <c r="C83" s="101" t="n">
        <v>2023</v>
      </c>
      <c r="D83" s="101" t="inlineStr">
        <is>
          <t>ژئوپلیتیک</t>
        </is>
      </c>
      <c r="E83" s="103" t="inlineStr">
        <is>
          <t>چارچوب روایی/دوره‌بندی تاریخی، نه مدل آماری آزموده</t>
        </is>
      </c>
      <c r="F83" s="100" t="inlineStr">
        <is>
          <t>ساکولوم ۸۰ تا ۱۰۰ ساله و چهار چرخش نسلی. نقدهای جدی روش‌شناختی به آن وارد شده؛ به‌عنوان چارچوب روایی بخوانید، نه تقویم.</t>
        </is>
      </c>
    </row>
  </sheetData>
  <mergeCells count="7">
    <mergeCell ref="A9:H9"/>
    <mergeCell ref="A26:H26"/>
    <mergeCell ref="A7:H7"/>
    <mergeCell ref="A2:H2"/>
    <mergeCell ref="A13:H13"/>
    <mergeCell ref="A11:H11"/>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4"/>
  <sheetViews>
    <sheetView showGridLines="0" rightToLeft="1" workbookViewId="0">
      <pane ySplit="2" topLeftCell="A3" activePane="bottomLeft" state="frozen"/>
      <selection pane="bottomLeft" activeCell="A1" sqref="A1"/>
    </sheetView>
  </sheetViews>
  <sheetFormatPr baseColWidth="8" defaultRowHeight="15"/>
  <cols>
    <col width="18" customWidth="1" style="56" min="1" max="1"/>
    <col width="40" customWidth="1" style="56" min="2" max="2"/>
    <col width="66" customWidth="1" style="56" min="3" max="3"/>
    <col width="12" customWidth="1" style="56" min="4" max="4"/>
    <col width="13" customWidth="1" style="56" min="5" max="5"/>
    <col width="10" customWidth="1" style="56" min="6" max="6"/>
    <col width="12" customWidth="1" style="56" min="7" max="7"/>
    <col width="13" customWidth="1" style="56" min="8" max="8"/>
    <col width="34" customWidth="1" style="56" min="9" max="9"/>
    <col width="10" customWidth="1" style="56" min="10" max="10"/>
    <col width="12" customWidth="1" style="56" min="11" max="11"/>
    <col width="13" customWidth="1" style="56" min="12" max="12"/>
    <col width="11" customWidth="1" style="56" min="13" max="13"/>
    <col width="46" customWidth="1" style="56" min="14" max="14"/>
  </cols>
  <sheetData>
    <row r="1" ht="28" customHeight="1" s="56">
      <c r="A1" s="97" t="inlineStr">
        <is>
          <t>چشم‌انداز احتمالاتی — افق سه ماه</t>
        </is>
      </c>
    </row>
    <row r="2" ht="32" customHeight="1" s="56">
      <c r="A2" s="98" t="inlineStr">
        <is>
          <t>این اعداد احتمال‌اند، نه پیش‌بینی. «۳۰٪» یعنی اگر صد بار در چنین وضعیتی باشیم حدود سی بار رخ می‌دهد. هر رویداد با سه روش مستقل برآورد شده؛ اختلاف زیاد بین روش‌ها یعنی نتیجه به فرض‌ها حساس است.</t>
        </is>
      </c>
    </row>
    <row r="4" ht="20" customHeight="1" s="56">
      <c r="A4" s="99" t="inlineStr">
        <is>
          <t>۱) برآورد احتمال به تفکیک نماد</t>
        </is>
      </c>
      <c r="B4" s="99" t="n"/>
      <c r="C4" s="99" t="n"/>
      <c r="D4" s="99" t="n"/>
      <c r="E4" s="99" t="n"/>
      <c r="F4" s="99" t="n"/>
      <c r="G4" s="99" t="n"/>
      <c r="H4" s="99" t="n"/>
      <c r="I4" s="99" t="n"/>
      <c r="J4" s="99" t="n"/>
      <c r="K4" s="99" t="n"/>
      <c r="L4" s="99" t="n"/>
      <c r="M4" s="99" t="n"/>
      <c r="N4" s="99" t="n"/>
    </row>
    <row r="5" ht="30" customHeight="1" s="56">
      <c r="A5" s="61" t="inlineStr">
        <is>
          <t>نماد</t>
        </is>
      </c>
      <c r="B5" s="61" t="inlineStr">
        <is>
          <t>کندل</t>
        </is>
      </c>
      <c r="C5" s="61" t="inlineStr">
        <is>
          <t>رژیم جاری</t>
        </is>
      </c>
      <c r="D5" s="61" t="inlineStr">
        <is>
          <t>احتمال رژیم پرتنش اکنون</t>
        </is>
      </c>
      <c r="E5" s="61" t="inlineStr">
        <is>
          <t>ورود به رژیم پرتنش در افق</t>
        </is>
      </c>
      <c r="F5" s="61" t="inlineStr">
        <is>
          <t>بازده منفی — مدل</t>
        </is>
      </c>
      <c r="G5" s="61" t="inlineStr">
        <is>
          <t>بازده منفی — نرخ پایه</t>
        </is>
      </c>
      <c r="H5" s="61" t="inlineStr">
        <is>
          <t>افت &gt;۱۰٪ — مدل</t>
        </is>
      </c>
      <c r="I5" s="61" t="inlineStr">
        <is>
          <t>افت &gt;۱۰٪ — نرخ پایه</t>
        </is>
      </c>
      <c r="J5" s="61" t="inlineStr">
        <is>
          <t>بیشینه‌افت &gt;۲۰٪ — مدل</t>
        </is>
      </c>
      <c r="K5" s="61" t="inlineStr">
        <is>
          <t>بیشینه‌افت &gt;۲۰٪ — تجربی</t>
        </is>
      </c>
      <c r="L5" s="61" t="inlineStr">
        <is>
          <t>بازده میانه شبیه‌سازی</t>
        </is>
      </c>
      <c r="M5" s="61" t="inlineStr">
        <is>
          <t>نمونه مستقل</t>
        </is>
      </c>
      <c r="N5" s="61" t="inlineStr">
        <is>
          <t>هشدار</t>
        </is>
      </c>
    </row>
    <row r="6" ht="26" customHeight="1" s="56">
      <c r="A6" s="109" t="inlineStr">
        <is>
          <t>فولاد</t>
        </is>
      </c>
      <c r="B6" s="109" t="n">
        <v>260</v>
      </c>
      <c r="C6" s="109" t="inlineStr">
        <is>
          <t>پرتنش</t>
        </is>
      </c>
      <c r="D6" s="110" t="n">
        <v>0.5592275438479158</v>
      </c>
      <c r="E6" s="110" t="n">
        <v>0.9999937624875901</v>
      </c>
      <c r="F6" s="110" t="n">
        <v>0.2442</v>
      </c>
      <c r="G6" s="110" t="n">
        <v>0.1116751269035533</v>
      </c>
      <c r="H6" s="110" t="n">
        <v>0.0648</v>
      </c>
      <c r="I6" s="110" t="n">
        <v>0</v>
      </c>
      <c r="J6" s="110" t="n">
        <v>0.0278</v>
      </c>
      <c r="K6" s="110" t="n">
        <v>0</v>
      </c>
      <c r="L6" s="110" t="n">
        <v>0.08778457749681434</v>
      </c>
      <c r="M6" s="75" t="n">
        <v>3</v>
      </c>
      <c r="N6" s="76" t="inlineStr">
        <is>
          <t>به‌دلیل همپوشانی پنجره‌های 63 کندلی، تعداد مشاهده مستقل حدود 3 است. همه احتمال‌های بالا عدم‌قطعیت زیادی دارند.</t>
        </is>
      </c>
    </row>
    <row r="7" ht="26" customHeight="1" s="56">
      <c r="A7" s="109" t="inlineStr">
        <is>
          <t>فملي</t>
        </is>
      </c>
      <c r="B7" s="109" t="n">
        <v>260</v>
      </c>
      <c r="C7" s="109" t="inlineStr">
        <is>
          <t>آرام</t>
        </is>
      </c>
      <c r="D7" s="110" t="n">
        <v>0.4583964427961013</v>
      </c>
      <c r="E7" s="110" t="n">
        <v>0.9999012760021955</v>
      </c>
      <c r="F7" s="110" t="n">
        <v>0.5898</v>
      </c>
      <c r="G7" s="110" t="n">
        <v>0.5736040609137056</v>
      </c>
      <c r="H7" s="110" t="n">
        <v>0.3108</v>
      </c>
      <c r="I7" s="110" t="n">
        <v>0.06598984771573604</v>
      </c>
      <c r="J7" s="110" t="n">
        <v>0.2488</v>
      </c>
      <c r="K7" s="110" t="n">
        <v>0.1421319796954315</v>
      </c>
      <c r="L7" s="110" t="n">
        <v>-0.03401392796544594</v>
      </c>
      <c r="M7" s="75" t="n">
        <v>3</v>
      </c>
      <c r="N7" s="76" t="inlineStr">
        <is>
          <t>به‌دلیل همپوشانی پنجره‌های 63 کندلی، تعداد مشاهده مستقل حدود 3 است. همه احتمال‌های بالا عدم‌قطعیت زیادی دارند.</t>
        </is>
      </c>
    </row>
    <row r="8" ht="26" customHeight="1" s="56">
      <c r="A8" s="109" t="inlineStr">
        <is>
          <t>شپنا</t>
        </is>
      </c>
      <c r="B8" s="109" t="n">
        <v>260</v>
      </c>
      <c r="C8" s="109" t="inlineStr">
        <is>
          <t>پرتنش</t>
        </is>
      </c>
      <c r="D8" s="110" t="n">
        <v>0.999999782443393</v>
      </c>
      <c r="E8" s="110" t="n">
        <v>0.9999999999999847</v>
      </c>
      <c r="F8" s="110" t="n">
        <v>0.4312</v>
      </c>
      <c r="G8" s="110" t="n">
        <v>0.4060913705583756</v>
      </c>
      <c r="H8" s="110" t="n">
        <v>0.1984</v>
      </c>
      <c r="I8" s="110" t="n">
        <v>0.1015228426395939</v>
      </c>
      <c r="J8" s="110" t="n">
        <v>0.201</v>
      </c>
      <c r="K8" s="110" t="n">
        <v>0.1218274111675127</v>
      </c>
      <c r="L8" s="110" t="n">
        <v>0.02882098163331881</v>
      </c>
      <c r="M8" s="75" t="n">
        <v>3</v>
      </c>
      <c r="N8" s="76" t="inlineStr">
        <is>
          <t>به‌دلیل همپوشانی پنجره‌های 63 کندلی، تعداد مشاهده مستقل حدود 3 است. همه احتمال‌های بالا عدم‌قطعیت زیادی دارند.</t>
        </is>
      </c>
    </row>
    <row r="9" ht="26" customHeight="1" s="56">
      <c r="A9" s="109" t="inlineStr">
        <is>
          <t>خودرو</t>
        </is>
      </c>
      <c r="B9" s="109" t="n">
        <v>260</v>
      </c>
      <c r="C9" s="109" t="inlineStr">
        <is>
          <t>پرتنش</t>
        </is>
      </c>
      <c r="D9" s="110" t="n">
        <v>0.9999956082528264</v>
      </c>
      <c r="E9" s="110" t="n">
        <v>1</v>
      </c>
      <c r="F9" s="110" t="n">
        <v>0.2636</v>
      </c>
      <c r="G9" s="110" t="n">
        <v>0.2538071065989848</v>
      </c>
      <c r="H9" s="110" t="n">
        <v>0.1098</v>
      </c>
      <c r="I9" s="110" t="n">
        <v>0.08629441624365482</v>
      </c>
      <c r="J9" s="110" t="n">
        <v>0.1664</v>
      </c>
      <c r="K9" s="110" t="n">
        <v>0.2030456852791878</v>
      </c>
      <c r="L9" s="110" t="n">
        <v>0.1191431413396001</v>
      </c>
      <c r="M9" s="75" t="n">
        <v>3</v>
      </c>
      <c r="N9" s="76" t="inlineStr">
        <is>
          <t>به‌دلیل همپوشانی پنجره‌های 63 کندلی، تعداد مشاهده مستقل حدود 3 است. همه احتمال‌های بالا عدم‌قطعیت زیادی دارند.</t>
        </is>
      </c>
    </row>
    <row r="10" ht="26" customHeight="1" s="56">
      <c r="A10" s="109" t="inlineStr">
        <is>
          <t>وبملت</t>
        </is>
      </c>
      <c r="B10" s="109" t="n">
        <v>260</v>
      </c>
      <c r="C10" s="109" t="inlineStr">
        <is>
          <t>پرتنش</t>
        </is>
      </c>
      <c r="D10" s="110" t="n">
        <v>0.9463728618035615</v>
      </c>
      <c r="E10" s="110" t="n">
        <v>0.9999999999987444</v>
      </c>
      <c r="F10" s="110" t="n">
        <v>0.5714</v>
      </c>
      <c r="G10" s="110" t="n">
        <v>0.4974619289340101</v>
      </c>
      <c r="H10" s="110" t="n">
        <v>0.3204</v>
      </c>
      <c r="I10" s="110" t="n">
        <v>0.2487309644670051</v>
      </c>
      <c r="J10" s="110" t="n">
        <v>0.2944</v>
      </c>
      <c r="K10" s="110" t="n">
        <v>0.2588832487309645</v>
      </c>
      <c r="L10" s="110" t="n">
        <v>-0.028610732713651</v>
      </c>
      <c r="M10" s="75" t="n">
        <v>3</v>
      </c>
      <c r="N10" s="76" t="inlineStr">
        <is>
          <t>به‌دلیل همپوشانی پنجره‌های 63 کندلی، تعداد مشاهده مستقل حدود 3 است. همه احتمال‌های بالا عدم‌قطعیت زیادی دارند.</t>
        </is>
      </c>
    </row>
    <row r="11" ht="26" customHeight="1" s="56">
      <c r="A11" s="109" t="inlineStr">
        <is>
          <t>شستا</t>
        </is>
      </c>
      <c r="B11" s="109" t="n">
        <v>260</v>
      </c>
      <c r="C11" s="109" t="inlineStr">
        <is>
          <t>پرتنش</t>
        </is>
      </c>
      <c r="D11" s="110" t="n">
        <v>0.8140649298685042</v>
      </c>
      <c r="E11" s="110" t="n">
        <v>1</v>
      </c>
      <c r="F11" s="110" t="n">
        <v>0.319</v>
      </c>
      <c r="G11" s="110" t="n">
        <v>0.4060913705583756</v>
      </c>
      <c r="H11" s="110" t="n">
        <v>0.1358</v>
      </c>
      <c r="I11" s="110" t="n">
        <v>0.09644670050761421</v>
      </c>
      <c r="J11" s="110" t="n">
        <v>0.1516</v>
      </c>
      <c r="K11" s="110" t="n">
        <v>0.06598984771573604</v>
      </c>
      <c r="L11" s="110" t="n">
        <v>0.08092381320186171</v>
      </c>
      <c r="M11" s="75" t="n">
        <v>3</v>
      </c>
      <c r="N11" s="76" t="inlineStr">
        <is>
          <t>به‌دلیل همپوشانی پنجره‌های 63 کندلی، تعداد مشاهده مستقل حدود 3 است. همه احتمال‌های بالا عدم‌قطعیت زیادی دارند.</t>
        </is>
      </c>
    </row>
    <row r="12" ht="26" customHeight="1" s="56">
      <c r="A12" s="109" t="inlineStr">
        <is>
          <t>اخابر</t>
        </is>
      </c>
      <c r="B12" s="109" t="n">
        <v>260</v>
      </c>
      <c r="C12" s="109" t="inlineStr">
        <is>
          <t>آرام</t>
        </is>
      </c>
      <c r="D12" s="110" t="n">
        <v>0.1185435596352223</v>
      </c>
      <c r="E12" s="110" t="n">
        <v>0.9977724952041093</v>
      </c>
      <c r="F12" s="110" t="n">
        <v>0.7948</v>
      </c>
      <c r="G12" s="110" t="n">
        <v>0.883248730964467</v>
      </c>
      <c r="H12" s="110" t="n">
        <v>0.5224</v>
      </c>
      <c r="I12" s="110" t="n">
        <v>0.6040609137055838</v>
      </c>
      <c r="J12" s="110" t="n">
        <v>0.3642</v>
      </c>
      <c r="K12" s="110" t="n">
        <v>0.4010152284263959</v>
      </c>
      <c r="L12" s="110" t="n">
        <v>-0.1070533461975425</v>
      </c>
      <c r="M12" s="75" t="n">
        <v>3</v>
      </c>
      <c r="N12" s="76" t="inlineStr">
        <is>
          <t>به‌دلیل همپوشانی پنجره‌های 63 کندلی، تعداد مشاهده مستقل حدود 3 است. همه احتمال‌های بالا عدم‌قطعیت زیادی دارند.</t>
        </is>
      </c>
    </row>
    <row r="13" ht="26" customHeight="1" s="56">
      <c r="A13" s="109" t="inlineStr">
        <is>
          <t>كگل</t>
        </is>
      </c>
      <c r="B13" s="109" t="n">
        <v>260</v>
      </c>
      <c r="C13" s="109" t="inlineStr">
        <is>
          <t>پرتنش</t>
        </is>
      </c>
      <c r="D13" s="110" t="n">
        <v>0.9566062954204946</v>
      </c>
      <c r="E13" s="110" t="n">
        <v>0.99887304263556</v>
      </c>
      <c r="F13" s="110" t="n">
        <v>0.5712</v>
      </c>
      <c r="G13" s="110" t="n">
        <v>0.2741116751269035</v>
      </c>
      <c r="H13" s="110" t="n">
        <v>0.2924</v>
      </c>
      <c r="I13" s="110" t="n">
        <v>0.16751269035533</v>
      </c>
      <c r="J13" s="110" t="n">
        <v>0.202</v>
      </c>
      <c r="K13" s="110" t="n">
        <v>0.2131979695431472</v>
      </c>
      <c r="L13" s="110" t="n">
        <v>-0.02529865606002768</v>
      </c>
      <c r="M13" s="75" t="n">
        <v>3</v>
      </c>
      <c r="N13" s="76" t="inlineStr">
        <is>
          <t>به‌دلیل همپوشانی پنجره‌های 63 کندلی، تعداد مشاهده مستقل حدود 3 است. همه احتمال‌های بالا عدم‌قطعیت زیادی دارند.</t>
        </is>
      </c>
    </row>
    <row r="15" ht="20" customHeight="1" s="56">
      <c r="A15" s="99" t="inlineStr">
        <is>
          <t>۲) دفتر پیش‌بینی قضاوتی — روش تتلاک</t>
        </is>
      </c>
      <c r="B15" s="99" t="n"/>
      <c r="C15" s="99" t="n"/>
      <c r="D15" s="99" t="n"/>
      <c r="E15" s="99" t="n"/>
      <c r="F15" s="99" t="n"/>
      <c r="G15" s="99" t="n"/>
      <c r="H15" s="99" t="n"/>
      <c r="I15" s="99" t="n"/>
      <c r="J15" s="99" t="n"/>
      <c r="K15" s="99" t="n"/>
      <c r="L15" s="99" t="n"/>
      <c r="M15" s="99" t="n"/>
      <c r="N15" s="99" t="n"/>
    </row>
    <row r="16" ht="44" customHeight="1" s="56">
      <c r="A16" s="111" t="inlineStr">
        <is>
          <t>رویداد سیاسی از داده قیمت قابل استخراج نیست. تتلاک با ردیابی ۲۸ هزار پیش‌بینی نشان داد دقت کارشناسان سیاسی به‌سختی از حدس تصادفی بهتر است. آنچه دقت را بالا می‌برد: نرخ پایه، احتمال عددی صریح، به‌روزرسانی مکرر و سنجش کالیبراسیون. ستون‌های زیر را خودتان پر کنید و با scripts زیر امتیاز بریرتان را بگیرید.</t>
        </is>
      </c>
    </row>
    <row r="17" ht="30" customHeight="1" s="56">
      <c r="A17" s="61" t="inlineStr">
        <is>
          <t>شناسه</t>
        </is>
      </c>
      <c r="B17" s="61" t="inlineStr">
        <is>
          <t>سؤال</t>
        </is>
      </c>
      <c r="C17" s="61" t="inlineStr">
        <is>
          <t>معیار حل‌شدن (الزامی)</t>
        </is>
      </c>
      <c r="D17" s="61" t="inlineStr">
        <is>
          <t>دسته</t>
        </is>
      </c>
      <c r="E17" s="61" t="inlineStr">
        <is>
          <t>مهلت</t>
        </is>
      </c>
      <c r="F17" s="61" t="inlineStr">
        <is>
          <t>نرخ پایه</t>
        </is>
      </c>
      <c r="G17" s="61" t="inlineStr">
        <is>
          <t>پیش‌بینی شما</t>
        </is>
      </c>
      <c r="H17" s="61" t="inlineStr">
        <is>
          <t>تاریخ برآورد</t>
        </is>
      </c>
      <c r="I17" s="61" t="inlineStr">
        <is>
          <t>دلیل</t>
        </is>
      </c>
      <c r="J17" s="61" t="inlineStr">
        <is>
          <t>حل شد؟</t>
        </is>
      </c>
      <c r="K17" s="61" t="inlineStr">
        <is>
          <t>نتیجه (۰/۱)</t>
        </is>
      </c>
    </row>
    <row r="18" ht="46" customHeight="1" s="56">
      <c r="A18" s="101" t="inlineStr">
        <is>
          <t>MKT-DRAWDOWN-3M</t>
        </is>
      </c>
      <c r="B18" s="100" t="inlineStr">
        <is>
          <t>افت شاخص کل بیش از ۱۵٪ از سقف، طی سه ماه آینده</t>
        </is>
      </c>
      <c r="C18" s="100" t="inlineStr">
        <is>
          <t>حل مثبت اگر شاخص کل بورس تهران در هر روز معاملاتی تا تاریخ مهلت، بیش از ۱۵٪ پایین‌تر از بالاترین مقدار ثبت‌شده‌اش در ۲۵۲ روز معاملاتی قبل بسته شود.</t>
        </is>
      </c>
      <c r="D18" s="101" t="inlineStr">
        <is>
          <t>بازار</t>
        </is>
      </c>
      <c r="E18" s="112" t="inlineStr"/>
      <c r="F18" s="112" t="inlineStr"/>
      <c r="G18" s="112" t="inlineStr"/>
      <c r="H18" s="112" t="inlineStr"/>
      <c r="I18" s="113" t="inlineStr"/>
      <c r="J18" s="112" t="inlineStr">
        <is>
          <t>خیر</t>
        </is>
      </c>
      <c r="K18" s="112" t="inlineStr"/>
    </row>
    <row r="19" ht="46" customHeight="1" s="56">
      <c r="A19" s="101" t="inlineStr">
        <is>
          <t>MKT-REGIME-3M</t>
        </is>
      </c>
      <c r="B19" s="100" t="inlineStr">
        <is>
          <t>ورود بازار به رژیم پرتنش طی سه ماه آینده</t>
        </is>
      </c>
      <c r="C19" s="100" t="inlineStr">
        <is>
          <t>حل مثبت اگر احتمال هموارشده رژیم پرتنش در مدل دو رژیمی همیلتون (روی بازده روزانه شاخص کل) در هر روزی تا مهلت، بالای ۷۰٪ برود.</t>
        </is>
      </c>
      <c r="D19" s="101" t="inlineStr">
        <is>
          <t>بازار</t>
        </is>
      </c>
      <c r="E19" s="112" t="inlineStr"/>
      <c r="F19" s="112" t="inlineStr"/>
      <c r="G19" s="112" t="inlineStr"/>
      <c r="H19" s="112" t="inlineStr"/>
      <c r="I19" s="113" t="inlineStr"/>
      <c r="J19" s="112" t="inlineStr">
        <is>
          <t>خیر</t>
        </is>
      </c>
      <c r="K19" s="112" t="inlineStr"/>
    </row>
    <row r="20" ht="46" customHeight="1" s="56">
      <c r="A20" s="101" t="inlineStr">
        <is>
          <t>FX-STEP-3M</t>
        </is>
      </c>
      <c r="B20" s="100" t="inlineStr">
        <is>
          <t>جهش بیش از ۲۰٪ نرخ دلار آزاد طی سه ماه آینده</t>
        </is>
      </c>
      <c r="C20" s="100" t="inlineStr">
        <is>
          <t>حل مثبت اگر میانگین هفتگی نرخ دلار آزاد در هر هفته تا مهلت، بیش از ۲۰٪ بالاتر از میانگین هفته پایانِ ثبت سؤال باشد. منبع مرجع را از قبل تعیین کنید.</t>
        </is>
      </c>
      <c r="D20" s="101" t="inlineStr">
        <is>
          <t>ارز</t>
        </is>
      </c>
      <c r="E20" s="112" t="inlineStr"/>
      <c r="F20" s="112" t="inlineStr"/>
      <c r="G20" s="112" t="inlineStr"/>
      <c r="H20" s="112" t="inlineStr"/>
      <c r="I20" s="113" t="inlineStr"/>
      <c r="J20" s="112" t="inlineStr">
        <is>
          <t>خیر</t>
        </is>
      </c>
      <c r="K20" s="112" t="inlineStr"/>
    </row>
    <row r="21" ht="46" customHeight="1" s="56">
      <c r="A21" s="101" t="inlineStr">
        <is>
          <t>POL-EVENT-3M</t>
        </is>
      </c>
      <c r="B21" s="100" t="inlineStr">
        <is>
          <t>رویداد سیاسی با اثر مستقیم بر بازار طی سه ماه آینده</t>
        </is>
      </c>
      <c r="C21" s="100" t="inlineStr">
        <is>
          <t>⚠ این سؤال به همین شکل قابل سنجش نیست و باید تجزیه شود. مثال قابل سنجش: «تا تاریخ X، دور جدیدی از مذاکرات رسمی با اعلام عمومی طرفین برگزار می‌شود» یا «تا تاریخ X، قطعنامه‌ای در شورای حکام تصویب می‌شود». هر سؤال باید یک رویداد منفرد، قابل مشاهده و بدون ابهام باشد.</t>
        </is>
      </c>
      <c r="D21" s="101" t="inlineStr">
        <is>
          <t>سیاسی</t>
        </is>
      </c>
      <c r="E21" s="112" t="inlineStr"/>
      <c r="F21" s="112" t="inlineStr"/>
      <c r="G21" s="112" t="inlineStr"/>
      <c r="H21" s="112" t="inlineStr"/>
      <c r="I21" s="113" t="inlineStr"/>
      <c r="J21" s="112" t="inlineStr">
        <is>
          <t>خیر</t>
        </is>
      </c>
      <c r="K21" s="112" t="inlineStr"/>
    </row>
    <row r="22" ht="46" customHeight="1" s="56">
      <c r="A22" s="101" t="inlineStr">
        <is>
          <t>ENERGY-CUT-WINTER</t>
        </is>
      </c>
      <c r="B22" s="100" t="inlineStr">
        <is>
          <t>اعمال محدودیت گاز صنایع بزرگ در زمستان پیش‌رو</t>
        </is>
      </c>
      <c r="C22" s="100" t="inlineStr">
        <is>
          <t>حل مثبت اگر دست‌کم سه شرکت بورسی از صنایع فولاد، پتروشیمی یا سیمان، در گزارش‌های کدال خود تا مهلت، به کاهش تولید ناشی از محدودیت گاز اشاره کنند.</t>
        </is>
      </c>
      <c r="D22" s="101" t="inlineStr">
        <is>
          <t>ساختاری</t>
        </is>
      </c>
      <c r="E22" s="112" t="inlineStr"/>
      <c r="F22" s="112" t="inlineStr"/>
      <c r="G22" s="112" t="inlineStr"/>
      <c r="H22" s="112" t="inlineStr"/>
      <c r="I22" s="113" t="inlineStr"/>
      <c r="J22" s="112" t="inlineStr">
        <is>
          <t>خیر</t>
        </is>
      </c>
      <c r="K22" s="112" t="inlineStr"/>
    </row>
    <row r="24" ht="30" customHeight="1" s="56">
      <c r="A24" s="98" t="inlineStr">
        <is>
          <t>قاعده سخت: سؤالی که معیار حل‌شدن روشن ندارد، پیش‌بینی نیست — یک نظر است. «بازار بد می‌شود» قابل سنجش نیست؛ «شاخص کل تا تاریخ X بیش از ۱۵٪ زیر سقف ۲۵۲ روزه‌اش بسته می‌شود» قابل سنجش است.</t>
        </is>
      </c>
    </row>
  </sheetData>
  <mergeCells count="4">
    <mergeCell ref="A16:N16"/>
    <mergeCell ref="A24:N24"/>
    <mergeCell ref="A2:N2"/>
    <mergeCell ref="A1:N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2026-09-06T02:55:11Z</dcterms:created>
  <dcterms:modified xsi:type="dcterms:W3CDTF">2026-09-06T03:07:11Z</dcterms:modified>
  <cp:revision>0</cp:revision>
</cp:coreProperties>
</file>