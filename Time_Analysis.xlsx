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l_Index" sheetId="1" state="visible" r:id="rId3"/>
    <sheet name="Macro_Cycles" sheetId="2" state="visible" r:id="rId4"/>
    <sheet name="Lead_Lag" sheetId="3" state="visible" r:id="rId5"/>
    <sheet name="Cointegration" sheetId="4" state="visible" r:id="rId6"/>
    <sheet name="Geo_Events" sheetId="5" state="visible" r:id="rId7"/>
    <sheet name="Macro_Series" sheetId="6" state="visible" r:id="rId8"/>
    <sheet name="Time_Cycles" sheetId="7" state="visible" r:id="rId9"/>
    <sheet name="Forecast" sheetId="8" state="visible" r:id="rId10"/>
    <sheet name="Sources" sheetId="9" state="visible" r:id="rId11"/>
    <sheet name="Settings" sheetId="10" state="visible" r:id="rId12"/>
    <sheet name="Documentation" sheetId="11" state="visible" r:id="rId13"/>
  </sheets>
  <definedNames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CYC_1" vbProcedure="false">Settings!$C$22</definedName>
    <definedName function="false" hidden="false" name="CYC_2" vbProcedure="false">Settings!$C$23</definedName>
    <definedName function="false" hidden="false" name="CYC_3" vbProcedure="false">Settings!$C$24</definedName>
    <definedName function="false" hidden="false" name="CYC_4" vbProcedure="false">Settings!$C$25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Settings!$C$32</definedName>
    <definedName function="false" hidden="false" name="PRICE_BAND" vbProcedure="false">Settings!$C$31</definedName>
    <definedName function="false" hidden="false" name="STRUCT_L" vbProcedure="false">Settings!$C$30</definedName>
    <definedName function="false" hidden="false" name="STRUCT_S" vbProcedure="false">Settings!$C$29</definedName>
    <definedName function="false" hidden="false" name="TIME_TOL" vbProcedure="false">Settings!$C$26</definedName>
    <definedName function="false" hidden="false" name="W_MA" vbProcedure="false">Settings!$C$15</definedName>
    <definedName function="false" hidden="false" name="W_MARKET" vbProcedure="false">Settings!$C$17</definedName>
    <definedName function="false" hidden="false" name="W_SMART" vbProcedure="false">Settings!$C$14</definedName>
    <definedName function="false" hidden="false" name="W_SUM" vbProcedure="false">Settings!$C$19</definedName>
    <definedName function="false" hidden="false" name="W_TIME" vbProcedure="false">Settings!$C$18</definedName>
    <definedName function="false" hidden="false" name="W_TREND" vbProcedure="false">Settings!$C$13</definedName>
    <definedName function="false" hidden="false" name="W_VOL" vbProcedure="false">Settings!$C$16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<sst xmlns="http://schemas.openxmlformats.org/spreadsheetml/2006/main" count="515" uniqueCount="390">
  <si>
    <t xml:space="preserve">شاخص واقعی — بورس به دلار و به طلا</t>
  </si>
  <si>
    <t xml:space="preserve">ستون آخر «توهم تورمی» است: چقدر از بازده ریالی، فقط کاهش ارزش پول بوده و نه رشد واقعی. عدد مثبت بزرگ یعنی بازده اسمی، واقعی نبوده.</t>
  </si>
  <si>
    <t xml:space="preserve">تاریخ</t>
  </si>
  <si>
    <t xml:space="preserve">شاخص کل (ریالی)</t>
  </si>
  <si>
    <t xml:space="preserve">دلار آزاد</t>
  </si>
  <si>
    <t xml:space="preserve">شاخص به دلار</t>
  </si>
  <si>
    <t xml:space="preserve">اونس طلا</t>
  </si>
  <si>
    <t xml:space="preserve">شاخص به طلا</t>
  </si>
  <si>
    <t xml:space="preserve">بازده ریالی ۱ ساله</t>
  </si>
  <si>
    <t xml:space="preserve">بازده دلاری ۱ ساله</t>
  </si>
  <si>
    <t xml:space="preserve">توهم تورمی</t>
  </si>
  <si>
    <t xml:space="preserve">Macro_Series</t>
  </si>
  <si>
    <t xml:space="preserve">ریالی</t>
  </si>
  <si>
    <t xml:space="preserve">ریال</t>
  </si>
  <si>
    <t xml:space="preserve">B÷C</t>
  </si>
  <si>
    <t xml:space="preserve">دلار</t>
  </si>
  <si>
    <t xml:space="preserve">D÷E</t>
  </si>
  <si>
    <t xml:space="preserve">۲۴۵ روز</t>
  </si>
  <si>
    <t xml:space="preserve">ریالی − دلاری</t>
  </si>
  <si>
    <t xml:space="preserve">چرخه‌های زمانی متغیرهای کلان</t>
  </si>
  <si>
    <t xml:space="preserve">همان آشکارساز طیفی، ولی روی شاخص کل و دلار و طلا — نه روی تک‌سهم. آشکارساز عمداً سخت‌گیر است: روی نویز خالص صفر بار چرخه می‌بیند. «پیدا نشد» یک نتیجه است، نه خرابی.</t>
  </si>
  <si>
    <t xml:space="preserve">سری</t>
  </si>
  <si>
    <t xml:space="preserve">طول چرخه غالب (روز)</t>
  </si>
  <si>
    <t xml:space="preserve">نسبت دامنه</t>
  </si>
  <si>
    <t xml:space="preserve">تعداد تکرار</t>
  </si>
  <si>
    <t xml:space="preserve">تاریخ آخرین کف</t>
  </si>
  <si>
    <t xml:space="preserve">تاریخ آخرین سقف</t>
  </si>
  <si>
    <t xml:space="preserve">روز از کف</t>
  </si>
  <si>
    <t xml:space="preserve">فاز چرخه</t>
  </si>
  <si>
    <t xml:space="preserve">کف بعدی (تخمین)</t>
  </si>
  <si>
    <t xml:space="preserve">وضعیت</t>
  </si>
  <si>
    <t xml:space="preserve">-</t>
  </si>
  <si>
    <t xml:space="preserve">Goertzel + Šidák</t>
  </si>
  <si>
    <t xml:space="preserve">قله÷میانه</t>
  </si>
  <si>
    <t xml:space="preserve">قطعات</t>
  </si>
  <si>
    <t xml:space="preserve">پیوت</t>
  </si>
  <si>
    <t xml:space="preserve">شمارش</t>
  </si>
  <si>
    <t xml:space="preserve">روز÷طول</t>
  </si>
  <si>
    <t xml:space="preserve">کف+طول</t>
  </si>
  <si>
    <t xml:space="preserve">شاخص کل بورس</t>
  </si>
  <si>
    <t xml:space="preserve">شاخص هم‌وزن</t>
  </si>
  <si>
    <t xml:space="preserve">دلار نیمایی</t>
  </si>
  <si>
    <t xml:space="preserve">تتر</t>
  </si>
  <si>
    <t xml:space="preserve">اونس طلا (دلار)</t>
  </si>
  <si>
    <t xml:space="preserve">سکه تمام</t>
  </si>
  <si>
    <t xml:space="preserve">پیشرو و پیرو — کدام سری زودتر حرکت می‌کند؟</t>
  </si>
  <si>
    <t xml:space="preserve">روش باکس-جنکینز با پیش‌سفیدسازی. ⚠️ «باند تصحیح‌شده» بابت تعداد وقفه‌های آزموده‌شده تعدیل شده؛ ستون «باند خام» فقط برای نشان دادن اینکه بدون تصحیح چقدر گمراه‌کننده می‌شد.</t>
  </si>
  <si>
    <t xml:space="preserve">سری پیشرو (فرضی)</t>
  </si>
  <si>
    <t xml:space="preserve">سری پیرو</t>
  </si>
  <si>
    <t xml:space="preserve">تأخیر (روز)</t>
  </si>
  <si>
    <t xml:space="preserve">همبستگی</t>
  </si>
  <si>
    <t xml:space="preserve">باند تصحیح‌شده</t>
  </si>
  <si>
    <t xml:space="preserve">باند خام</t>
  </si>
  <si>
    <t xml:space="preserve">مرتبه AR</t>
  </si>
  <si>
    <t xml:space="preserve">تعداد داده</t>
  </si>
  <si>
    <t xml:space="preserve">وقفه‌های آزموده</t>
  </si>
  <si>
    <t xml:space="preserve">نتیجه</t>
  </si>
  <si>
    <t xml:space="preserve">ورودی</t>
  </si>
  <si>
    <t xml:space="preserve">پایتون/ماکرو</t>
  </si>
  <si>
    <t xml:space="preserve">−۱ تا ۱</t>
  </si>
  <si>
    <t xml:space="preserve">Šidák</t>
  </si>
  <si>
    <t xml:space="preserve">۱٫۹۶/√n</t>
  </si>
  <si>
    <t xml:space="preserve">AIC</t>
  </si>
  <si>
    <t xml:space="preserve">شاخص کل</t>
  </si>
  <si>
    <t xml:space="preserve">تأخیر مثبت یعنی سری اول جلوتر است. تأخیر منفی یعنی برعکسِ فرضیه — و این خودش یافته است، نه خطا.</t>
  </si>
  <si>
    <t xml:space="preserve">⚠️ همبستگی، علیت نیست. حتی تأخیر معنادار هم می‌تواند از یک عامل سوم مشترک بیاید (مثلاً انتظارات تورمی که هر دو را هم‌زمان می‌راند).</t>
  </si>
  <si>
    <t xml:space="preserve">آیا بورس چیزی جز نماینده دلار است؟</t>
  </si>
  <si>
    <t xml:space="preserve">آزمون انگل-گرنجر روی لگاریتم سری‌ها. اگر شاخص کل و دلار هم‌انباشته باشند، «رشد بورس» عمدتاً بازتاب نرخ ارز است و سیگنال گرفتن از سطح شاخص، دوباره‌شماری همان اطلاعات است.</t>
  </si>
  <si>
    <t xml:space="preserve">سری وابسته</t>
  </si>
  <si>
    <t xml:space="preserve">سری توضیحی</t>
  </si>
  <si>
    <t xml:space="preserve">ضریب بلندمدت β</t>
  </si>
  <si>
    <t xml:space="preserve">آماره ADF</t>
  </si>
  <si>
    <t xml:space="preserve">بحرانی ۵٪</t>
  </si>
  <si>
    <t xml:space="preserve">هم‌انباشته؟</t>
  </si>
  <si>
    <t xml:space="preserve">نیمه‌عمر (روز)</t>
  </si>
  <si>
    <t xml:space="preserve">تفسیر</t>
  </si>
  <si>
    <t xml:space="preserve">OLS روی log</t>
  </si>
  <si>
    <t xml:space="preserve">روی باقی‌مانده</t>
  </si>
  <si>
    <t xml:space="preserve">مک‌کینون</t>
  </si>
  <si>
    <t xml:space="preserve">آماره &lt; بحرانی</t>
  </si>
  <si>
    <t xml:space="preserve">بازگشت به تعادل</t>
  </si>
  <si>
    <t xml:space="preserve">β نزدیک ۱ به‌علاوه هم‌انباشتگی یعنی شاخص و دلار عملاً یک چیزند و بورس در بلندمدت فقط تورم ارزی را دنبال می‌کند. β کمتر از ۱ یعنی بورس کمتر از دلار بازده داده — یعنی نگه‌داشتن دلار بهتر بوده.</t>
  </si>
  <si>
    <t xml:space="preserve">رویدادهای ژئوپلیتیک و واکنش بازار</t>
  </si>
  <si>
    <t xml:space="preserve">⚠️ **این فهرست را خودتان پر می‌کنید.** من تاریخ رویداد نمی‌سازم — چیزی که تاریخش را مطمئن نباشم، ننوشتنش بهتر از نوشتنِ حدسی است. ستون‌های CAR را تحلیل حساب می‌کند.</t>
  </si>
  <si>
    <t xml:space="preserve">تاریخ میلادی</t>
  </si>
  <si>
    <t xml:space="preserve">تاریخ شمسی</t>
  </si>
  <si>
    <t xml:space="preserve">رویداد</t>
  </si>
  <si>
    <t xml:space="preserve">دسته</t>
  </si>
  <si>
    <t xml:space="preserve">CAR شاخص کل</t>
  </si>
  <si>
    <t xml:space="preserve">CAR دلار</t>
  </si>
  <si>
    <t xml:space="preserve">CAR سکه</t>
  </si>
  <si>
    <t xml:space="preserve">یادداشت</t>
  </si>
  <si>
    <t xml:space="preserve">خودکار</t>
  </si>
  <si>
    <t xml:space="preserve">±روز پنجره</t>
  </si>
  <si>
    <t xml:space="preserve">CAR = بازده تجمعی غیرعادی در پنجره حول رویداد. **پیش‌فرض [−۱، +۳] روز** — با اندازه‌گیری انتخاب شد نه با عرف: پنجره پهن‌تر ([−۵، +۱۰]) در آزمون، شوک واقعی ۳٫۵٪ را زیر نویز گم کرد (p=۰٫۴۹)، در حالی که پنجره باریک همان شوک را با p=۰٫۰۰۴ گرفت.</t>
  </si>
  <si>
    <t xml:space="preserve">معناداری با **آزمون جایگشت** سنجیده می‌شود: همان تعداد تاریخ ولی تصادفی. اگر CAR واقعی از توزیع تاریخ‌های تصادفی جدا نباشد، رویدادها اطلاعاتی نداشته‌اند. آزمون پارامتری اینجا نامناسب است چون بازده‌ها دم‌سنگین‌اند و تعداد رویداد کم.</t>
  </si>
  <si>
    <t xml:space="preserve">⚠️ با کمتر از حدود ۱۰ رویداد، هیچ نتیجه آماری‌ای معتبر نیست — جدول را می‌شود توصیفی خواند، نه استنباطی.</t>
  </si>
  <si>
    <t xml:space="preserve">سری‌های کلان روزانه</t>
  </si>
  <si>
    <t xml:space="preserve">ستون‌ها را دکمه «به‌روزرسانی کلان» پر می‌کند. هیچ فرمولی اینجا نیست — این شیت فقط داده خام است.</t>
  </si>
  <si>
    <t xml:space="preserve">tsetmc / شاخص کل</t>
  </si>
  <si>
    <t xml:space="preserve">tsetmc / هم‌وزن</t>
  </si>
  <si>
    <t xml:space="preserve">tgju / price_dollar_rl</t>
  </si>
  <si>
    <t xml:space="preserve">tgju / nima_sell_usd</t>
  </si>
  <si>
    <t xml:space="preserve">nobitex / usdt-rls</t>
  </si>
  <si>
    <t xml:space="preserve">tgju / ons</t>
  </si>
  <si>
    <t xml:space="preserve">tgju / sekee</t>
  </si>
  <si>
    <t xml:space="preserve">لایه زمانی — چرخه‌های هرست، گن، فیبوناچی زمانی و الیوت</t>
  </si>
  <si>
    <t xml:space="preserve">این لایه امروز با وزن صفر ساخته شده است: ساختار و فرمول‌ها زنده‌اند ولی روی سیگنال اثر ندارند. برای فعال‌سازی، W_TIME را در Settings بزرگ‌تر از صفر کنید.</t>
  </si>
  <si>
    <t xml:space="preserve">نماد</t>
  </si>
  <si>
    <t xml:space="preserve">تاریخ کف چرخه اخیر</t>
  </si>
  <si>
    <t xml:space="preserve">تاریخ سقف چرخه اخیر</t>
  </si>
  <si>
    <t xml:space="preserve">طول چرخه غالب (روز معاملاتی)</t>
  </si>
  <si>
    <t xml:space="preserve">تاریخ آخرین داده</t>
  </si>
  <si>
    <t xml:space="preserve">روز تقویمی از کف</t>
  </si>
  <si>
    <t xml:space="preserve">روز معاملاتی از کف</t>
  </si>
  <si>
    <t xml:space="preserve">کف بعدی (پیش‌بینی)</t>
  </si>
  <si>
    <t xml:space="preserve">روز تا کف بعدی</t>
  </si>
  <si>
    <t xml:space="preserve">نزدیک‌ترین عدد گن</t>
  </si>
  <si>
    <t xml:space="preserve">فاصله تا عدد گن</t>
  </si>
  <si>
    <t xml:space="preserve">طول سوئینگ قبلی (روز)</t>
  </si>
  <si>
    <t xml:space="preserve">پروجکشن زمانی فیبوناچی ۱٫۶۱۸</t>
  </si>
  <si>
    <t xml:space="preserve">تاریخ پروجکشن فیبوناچی</t>
  </si>
  <si>
    <t xml:space="preserve">برچسب موج الیوت</t>
  </si>
  <si>
    <t xml:space="preserve">درجه موج</t>
  </si>
  <si>
    <t xml:space="preserve">اطمینان (۱ تا ۵)</t>
  </si>
  <si>
    <t xml:space="preserve">امتیاز فاز چرخه</t>
  </si>
  <si>
    <t xml:space="preserve">امتیاز پنجره گن</t>
  </si>
  <si>
    <t xml:space="preserve">امتیاز الیوت</t>
  </si>
  <si>
    <t xml:space="preserve">امتیاز زمان (Z)</t>
  </si>
  <si>
    <t xml:space="preserve">وضعیت لایه</t>
  </si>
  <si>
    <t xml:space="preserve">کد نماد (InsCode)</t>
  </si>
  <si>
    <t xml:space="preserve">اعداد کلیدی گن</t>
  </si>
  <si>
    <t xml:space="preserve">از Watchlist</t>
  </si>
  <si>
    <t xml:space="preserve">ورودی دستی</t>
  </si>
  <si>
    <t xml:space="preserve">ورودی / CYC_3</t>
  </si>
  <si>
    <t xml:space="preserve">Daily_History</t>
  </si>
  <si>
    <t xml:space="preserve">last − low</t>
  </si>
  <si>
    <t xml:space="preserve">×۵÷۷</t>
  </si>
  <si>
    <t xml:space="preserve">سپری‌شده ÷ طول</t>
  </si>
  <si>
    <t xml:space="preserve">low + طول چرخه</t>
  </si>
  <si>
    <t xml:space="preserve">تقویمی</t>
  </si>
  <si>
    <t xml:space="preserve">۳۰/۴۵/۶۰/۹۰/۱۲۰/۱۴۴/۱۸۰/۲۷۰/۳۶۰</t>
  </si>
  <si>
    <t xml:space="preserve">روز</t>
  </si>
  <si>
    <t xml:space="preserve">swing × ۱٫۶۱۸</t>
  </si>
  <si>
    <t xml:space="preserve">از سقف اخیر</t>
  </si>
  <si>
    <t xml:space="preserve">هرست</t>
  </si>
  <si>
    <t xml:space="preserve">±۲</t>
  </si>
  <si>
    <t xml:space="preserve">×اطمینان</t>
  </si>
  <si>
    <t xml:space="preserve">−۱۰ تا +۱۰</t>
  </si>
  <si>
    <t xml:space="preserve">W_TIME</t>
  </si>
  <si>
    <t xml:space="preserve">برای دکمه ماکرو</t>
  </si>
  <si>
    <t xml:space="preserve">فولاد</t>
  </si>
  <si>
    <t xml:space="preserve">46348559193224090</t>
  </si>
  <si>
    <t xml:space="preserve">فملي</t>
  </si>
  <si>
    <t xml:space="preserve">35425587644337450</t>
  </si>
  <si>
    <t xml:space="preserve">شپنا</t>
  </si>
  <si>
    <t xml:space="preserve">7745894403636165</t>
  </si>
  <si>
    <t xml:space="preserve">خودرو</t>
  </si>
  <si>
    <t xml:space="preserve">65883838195688438</t>
  </si>
  <si>
    <t xml:space="preserve">وبملت</t>
  </si>
  <si>
    <t xml:space="preserve">778253364357513</t>
  </si>
  <si>
    <t xml:space="preserve">شستا</t>
  </si>
  <si>
    <t xml:space="preserve">2400322364771558</t>
  </si>
  <si>
    <t xml:space="preserve">اخابر</t>
  </si>
  <si>
    <t xml:space="preserve">22811176775480091</t>
  </si>
  <si>
    <t xml:space="preserve">كگل</t>
  </si>
  <si>
    <t xml:space="preserve">35700344742885862</t>
  </si>
  <si>
    <t xml:space="preserve">منابع مرجع این لایه (برای توسعه آینده):</t>
  </si>
  <si>
    <t xml:space="preserve">• J.M. Hurst — The Profit Magic of Stock Transaction Timing  ·  مدل چرخه‌های اسمی و FLD</t>
  </si>
  <si>
    <t xml:space="preserve">• Christopher Grafton — Mastering Hurst Cycle Analysis  ·  اعتبارسنجی چرخه‌ها</t>
  </si>
  <si>
    <t xml:space="preserve">• James A. Hyerczyk — Pattern, Price &amp; Time  ·  شمارش‌های زمانی گن</t>
  </si>
  <si>
    <t xml:space="preserve">• Lars von Thienen — Decoding the Hidden Market Rhythm  ·  استخراج چرخه غالب با تحلیل طیفی</t>
  </si>
  <si>
    <t xml:space="preserve">• Frost &amp; Prechter — Elliott Wave Principle  ·  برچسب‌گذاری موج</t>
  </si>
  <si>
    <t xml:space="preserve">گام بعدی پیشنهادی: طول چرخه غالب (ستون D) به‌جای ورود دستی، با تحلیل طیفی در پایتون محاسبه و اینجا نوشته شود.</t>
  </si>
  <si>
    <t xml:space="preserve">چشم‌انداز احتمالاتی سه‌ماهه</t>
  </si>
  <si>
    <t xml:space="preserve">احتمال، نه پیش‌بینی. «۳۰٪ احتمال افت بیش از ۱۰٪» یعنی اگر صد بار در چنین وضعیتی باشیم، حدود سی بار چنین می‌شود — نه اینکه بازار سقوط می‌کند.</t>
  </si>
  <si>
    <t xml:space="preserve">دارایی</t>
  </si>
  <si>
    <t xml:space="preserve">رژیم فعلی</t>
  </si>
  <si>
    <t xml:space="preserve">احتمال رژیم پرتنش</t>
  </si>
  <si>
    <t xml:space="preserve">بازده سالانه رژیم آرام</t>
  </si>
  <si>
    <t xml:space="preserve">بازده سالانه رژیم پرتنش</t>
  </si>
  <si>
    <t xml:space="preserve">نوسان آرام</t>
  </si>
  <si>
    <t xml:space="preserve">نوسان پرتنش</t>
  </si>
  <si>
    <t xml:space="preserve">ماندگاری آرام (روز)</t>
  </si>
  <si>
    <t xml:space="preserve">ماندگاری پرتنش (روز)</t>
  </si>
  <si>
    <t xml:space="preserve">احتمال ورود به تنش (۳ ماه)</t>
  </si>
  <si>
    <t xml:space="preserve">مدل: بازده ۳ماهه &lt; ‎−۱۰٪</t>
  </si>
  <si>
    <t xml:space="preserve">تجربی: همان رویداد</t>
  </si>
  <si>
    <t xml:space="preserve">n مؤثر</t>
  </si>
  <si>
    <t xml:space="preserve">هشدار</t>
  </si>
  <si>
    <t xml:space="preserve">همیلتون</t>
  </si>
  <si>
    <t xml:space="preserve">هموارشده</t>
  </si>
  <si>
    <t xml:space="preserve">EM</t>
  </si>
  <si>
    <t xml:space="preserve">۱÷(۱−p)</t>
  </si>
  <si>
    <t xml:space="preserve">زنجیره مارکوف</t>
  </si>
  <si>
    <t xml:space="preserve">مونت‌کارلو</t>
  </si>
  <si>
    <t xml:space="preserve">نرخ پایه</t>
  </si>
  <si>
    <t xml:space="preserve">n÷افق</t>
  </si>
  <si>
    <t xml:space="preserve">**دو ستون آخرِ احتمال، عمداً یک رویداد را می‌سنجند:** «بازده سه‌ماهه کمتر از ‎−۱۰٪». یکی از مدل می‌آید و یکی از تاریخ. اگر ناهم‌جنس بودند (مثلاً یکی افت درون‌دوره و دیگری بازده پایان‌دوره)، مقایسه‌شان بی‌معنا می‌شد — و این دقیقاً خطایی است که راحت رخ می‌دهد.</t>
  </si>
  <si>
    <t xml:space="preserve">**«رژیم پرتنش» یعنی چه:** مدل دو حالت پیدا می‌کند و حالتی که میانگین بازده کمترش است «پرتنش» نام می‌گیرد. این برچسب از داده درمی‌آید، نه از قضاوت من.</t>
  </si>
  <si>
    <t xml:space="preserve">⚠️ **مسئله همپوشانی پنجره‌ها.** نرخ پایه سه‌ماهه از پنجره‌های متداخل حساب می‌شود، پس تعداد مشاهده مستقل بسیار کمتر از تعداد ردیف است. ستون «n مؤثر» عدد واقعی را نشان می‌دهد (تعداد ÷ افق). اگر n مؤثر زیر ۱۰ باشد، نرخ پایه یک حکایت است نه آمار.</t>
  </si>
  <si>
    <t xml:space="preserve">⚠️ هر سه ستون احتمال، **مشروط بر ادامه رفتار گذشته**اند. تغییر رژیم سیاستی (جهش ارزی، تحریم جدید، تغییر قواعد بازار) دقیقاً چیزی است که مدل نمی‌تواند ببیند، چون در داده گذشته نیست.</t>
  </si>
  <si>
    <t xml:space="preserve">منابع لایه زمانی و روش‌شناسی</t>
  </si>
  <si>
    <t xml:space="preserve">هر چارچوب یک برچسب جایگاه دارد. تفکیک «دارای پشتوانه تجربی» از «چارچوب روایی» شرط خواندن درست خروجی است.</t>
  </si>
  <si>
    <t xml:space="preserve">نویسنده</t>
  </si>
  <si>
    <t xml:space="preserve">اثر</t>
  </si>
  <si>
    <t xml:space="preserve">سال</t>
  </si>
  <si>
    <t xml:space="preserve">حوزه</t>
  </si>
  <si>
    <t xml:space="preserve">جایگاه علمی</t>
  </si>
  <si>
    <t xml:space="preserve">EMPIRICAL/DEBATED/HETERODOX/NARRATIVE</t>
  </si>
  <si>
    <t xml:space="preserve">Halbert White</t>
  </si>
  <si>
    <t xml:space="preserve">A Reality Check for Data Snooping</t>
  </si>
  <si>
    <t xml:space="preserve">بک‌تست</t>
  </si>
  <si>
    <t xml:space="preserve">دارای پشتوانه تجربی متعارف</t>
  </si>
  <si>
    <t xml:space="preserve">آزمون معناداری وقتی چندین استراتژی روی یک داده امتحان شده‌اند. معادل تصحیح چندگانگی، ولی برای بک‌تست.</t>
  </si>
  <si>
    <t xml:space="preserve">David H. Bailey, Jonathan Borwein, Marcos López de Prado &amp; Qiji Jim Zhu</t>
  </si>
  <si>
    <t xml:space="preserve">Pseudo-Mathematics and Financial Charlatanism: The Effects of Backtest Overfitting on Out-of-Sample Performance</t>
  </si>
  <si>
    <t xml:space="preserve">با کافی‌بودن تعداد تلاش، همیشه می‌توان یک استراتژی با شارپ بالا در نمونه ساخت که خارج از نمونه بی‌ارزش است. مبنای «نسبت شارپ تعدیل‌شده» و ثبت تعداد تلاش در بک‌تستر.</t>
  </si>
  <si>
    <t xml:space="preserve">David H. Bailey &amp; Marcos López de Prado</t>
  </si>
  <si>
    <t xml:space="preserve">The Deflated Sharpe Ratio: Correcting for Selection Bias, Backtest Overfitting and Non-Normality</t>
  </si>
  <si>
    <t xml:space="preserve">شارپ تعدیل‌شده بابت تعداد تلاش، چولگی و کشیدگی. عددی که در این پکیج به‌جای شارپ خام گزارش می‌شود.</t>
  </si>
  <si>
    <t xml:space="preserve">Nassim Nicholas Taleb</t>
  </si>
  <si>
    <t xml:space="preserve">The Black Swan / Dynamic Hedging</t>
  </si>
  <si>
    <t xml:space="preserve">ریسک</t>
  </si>
  <si>
    <t xml:space="preserve">در ادبیات تخصصی مطرح ولی مورد مناقشه</t>
  </si>
  <si>
    <t xml:space="preserve">دم‌های ضخیم و ناارگودیک‌بودن. برای بازار ایران به‌ویژه مهم: توزیع بازده به‌شدت غیرنرمال است و معیارهای مبتنی بر واریانس ریسک را کم‌برآورد می‌کنند.</t>
  </si>
  <si>
    <t xml:space="preserve">Robert F. Engle</t>
  </si>
  <si>
    <t xml:space="preserve">Autoregressive Conditional Heteroscedasticity with Estimates of the Variance of United Kingdom Inflation</t>
  </si>
  <si>
    <t xml:space="preserve">نوسان</t>
  </si>
  <si>
    <t xml:space="preserve">خوشه‌ای‌بودن نوسان. یکی از مستحکم‌ترین یافته‌های مالی: نوسان پیش‌بینی‌پذیر است حتی وقتی جهت بازده نیست.</t>
  </si>
  <si>
    <t xml:space="preserve">Tim Bollerslev</t>
  </si>
  <si>
    <t xml:space="preserve">Generalized Autoregressive Conditional Heteroskedasticity</t>
  </si>
  <si>
    <t xml:space="preserve">GARCH — تعمیم ARCH. مبنای برآورد احتمال افت شدید در افق کوتاه.</t>
  </si>
  <si>
    <t xml:space="preserve">Glenn W. Brier</t>
  </si>
  <si>
    <t xml:space="preserve">Verification of Forecasts Expressed in Terms of Probability</t>
  </si>
  <si>
    <t xml:space="preserve">پیش‌بینی</t>
  </si>
  <si>
    <t xml:space="preserve">امتیاز بریر: تنها راه صادقانه سنجش پیش‌بینی احتمالاتی. بدون آن، هر پیش‌بینی‌کننده‌ای می‌تواند خودش را موفق بداند.</t>
  </si>
  <si>
    <t xml:space="preserve">Allan H. Murphy</t>
  </si>
  <si>
    <t xml:space="preserve">A New Vector Partition of the Probability Score</t>
  </si>
  <si>
    <t xml:space="preserve">تجزیه بریر به سه جزء: کالیبراسیون، تفکیک‌پذیری و عدم‌قطعیت ذاتی. نشان می‌دهد یک پیش‌بینی می‌تواند کالیبره ولی بی‌فایده باشد.</t>
  </si>
  <si>
    <t xml:space="preserve">John Y. Campbell &amp; Robert J. Shiller</t>
  </si>
  <si>
    <t xml:space="preserve">Stock Prices, Earnings, and Expected Dividends</t>
  </si>
  <si>
    <t xml:space="preserve">نسبت‌های ارزش‌گذاری بازده بلندمدت را پیش‌بینی می‌کنند، نه کوتاه‌مدت. افق مهم است: آنچه در ۱۰ سال کار می‌کند در ۳ ماه کار نمی‌کند.</t>
  </si>
  <si>
    <t xml:space="preserve">Francis X. Diebold &amp; Roberto S. Mariano</t>
  </si>
  <si>
    <t xml:space="preserve">Comparing Predictive Accuracy</t>
  </si>
  <si>
    <t xml:space="preserve">آزمون معناداری تفاوت دقت دو پیش‌بینی. بدون آن، «مدل من بهتر است» یک ادعای بدون پشتوانه آماری است.</t>
  </si>
  <si>
    <t xml:space="preserve">Andrew W. Lo</t>
  </si>
  <si>
    <t xml:space="preserve">The Adaptive Markets Hypothesis</t>
  </si>
  <si>
    <t xml:space="preserve">کارایی بازار مطلق نیست بلکه به شرایط و رقابت بستگی دارد؛ لبه‌ها وجود دارند ولی فرسوده می‌شوند. توضیح می‌دهد چرا یک استراتژی که در گذشته کار کرده ممکن است دیگر کار نکند.</t>
  </si>
  <si>
    <t xml:space="preserve">Philip E. Tetlock</t>
  </si>
  <si>
    <t xml:space="preserve">Expert Political Judgment</t>
  </si>
  <si>
    <t xml:space="preserve">بیست سال ردیابی ۲۸ هزار پیش‌بینی از ۲۸۴ کارشناس: دقت کارشناسان سیاسی به‌سختی از حدس تصادفی بهتر بود و کارشناسان مشهورتر بدتر عمل کردند. این مطالعه، پایه‌ی تصمیمِ ما برای نساختن «مدل پیش‌بینی رویداد سیاسی» است.</t>
  </si>
  <si>
    <t xml:space="preserve">Ivo Welch &amp; Amit Goyal</t>
  </si>
  <si>
    <t xml:space="preserve">A Comprehensive Look at the Empirical Performance of Equity Premium Prediction</t>
  </si>
  <si>
    <t xml:space="preserve">بررسی گسترده متغیرهای پیش‌بین بازده سهام: تقریباً همه در خارج از نمونه شکست می‌خورند و از میانگین ساده تاریخی بدتر عمل می‌کنند. این مقاله، دلیل اصلی وجود بخش «مقایسه با معیار بی‌اثر» در بک‌تستر ماست.</t>
  </si>
  <si>
    <t xml:space="preserve">Philip E. Tetlock &amp; Dan Gardner</t>
  </si>
  <si>
    <t xml:space="preserve">Superforecasting</t>
  </si>
  <si>
    <t xml:space="preserve">یافته تورنمنت IARPA: آنچه دقت را بالا می‌برد مدل نیست — تجزیه سؤال، شروع از نرخ پایه، احتمال عددی صریح، به‌روزرسانی مکرر و کوچک، و سنجش کالیبراسیون است. معماری ماژول judgment از همین‌جا می‌آید.</t>
  </si>
  <si>
    <t xml:space="preserve">Clément Juglar</t>
  </si>
  <si>
    <t xml:space="preserve">Des crises commerciales et de leur retour périodique</t>
  </si>
  <si>
    <t xml:space="preserve">چرخه اقتصادی</t>
  </si>
  <si>
    <t xml:space="preserve">نخستین مستندسازی چرخه تجاری ۷ تا ۱۱ ساله. وجود چرخه تجاری در اقتصاد جریان اصلی پذیرفته است؛ دوره ثابت آن نه.</t>
  </si>
  <si>
    <t xml:space="preserve">Joseph Schumpeter</t>
  </si>
  <si>
    <t xml:space="preserve">Business Cycles</t>
  </si>
  <si>
    <t xml:space="preserve">طرح سه‌چرخه‌ای کیچین/ژوگلار/کندراتیف و تخریب خلاق. مفهوم تخریب خلاق پذیرفته‌شده است؛ طرح سه‌چرخه‌ای منظم نه.</t>
  </si>
  <si>
    <t xml:space="preserve">James D. Hamilton</t>
  </si>
  <si>
    <t xml:space="preserve">A New Approach to the Economic Analysis of Nonstationary Time Series and the Business Cycle</t>
  </si>
  <si>
    <t xml:space="preserve">مدل مارکوف رژیم‌سوئیچینگ. روش استاندارد جریان اصلی برای تخمین احتمال قرارگرفتن اقتصاد/بازار در رژیم رکودی. مبنای ماژول regime.</t>
  </si>
  <si>
    <t xml:space="preserve">Arturo Estrella &amp; Frederic S. Mishkin</t>
  </si>
  <si>
    <t xml:space="preserve">Predicting U.S. Recessions: Financial Variables as Leading Indicators</t>
  </si>
  <si>
    <t xml:space="preserve">شیب منحنی بازده بهترین پیش‌بین منفرد رکود آمریکاست، با افق ۱۲ تا ۱۸ ماه — نه سه ماه. برای ایران معادل تقریبی آن ساختار زمانی بازدهی اخزاست.</t>
  </si>
  <si>
    <t xml:space="preserve">Carlota Perez</t>
  </si>
  <si>
    <t xml:space="preserve">Technological Revolutions and Financial Capital</t>
  </si>
  <si>
    <t xml:space="preserve">پارادایم‌های فناورانه-اقتصادی. تاریخ‌های آغاز پنج موج صریحاً در کتاب آمده.</t>
  </si>
  <si>
    <t xml:space="preserve">Leonid Grinin, Andrey Korotayev, Arno Tausch</t>
  </si>
  <si>
    <t xml:space="preserve">Economic Cycles, Crises, and the Global Periphery</t>
  </si>
  <si>
    <t xml:space="preserve">دیتینگ استاندارد امواج کندراتیف و پیوند آن با بحران‌های پیرامون.</t>
  </si>
  <si>
    <t xml:space="preserve">W.D. Gann</t>
  </si>
  <si>
    <t xml:space="preserve">The Tunnel Thru the Air</t>
  </si>
  <si>
    <t xml:space="preserve">چرخه بازار</t>
  </si>
  <si>
    <t xml:space="preserve">خارج از جریان اصلی؛ اجماع علمی ندارد</t>
  </si>
  <si>
    <t xml:space="preserve">رمان با لایه رمزی چرخه‌های زمانی. منبع اولیه ادعاهای چرخه طبیعی گن.</t>
  </si>
  <si>
    <t xml:space="preserve">How to Make Profits Trading in Commodities</t>
  </si>
  <si>
    <t xml:space="preserve">شمارش‌های زمانی و سالگردها. هیچ توجیه علّی برای اعداد ارائه نمی‌شود.</t>
  </si>
  <si>
    <t xml:space="preserve">J.M. Hurst</t>
  </si>
  <si>
    <t xml:space="preserve">The Profit Magic of Stock Transaction Timing</t>
  </si>
  <si>
    <t xml:space="preserve">مدل چرخه‌های اسمی و اصول هشت‌گانه. مبنای ریاضی روشن دارد ولی اعتبارسنجی مستقل و منتشرشده‌ای که سودآوری آن را تأیید کند در دست نیست.</t>
  </si>
  <si>
    <t xml:space="preserve">A.J. Frost &amp; Robert Prechter</t>
  </si>
  <si>
    <t xml:space="preserve">Elliott Wave Principle: Key to Market Behavior</t>
  </si>
  <si>
    <t xml:space="preserve">سه قاعده سخت قابل آزمون‌اند؛ اما برچسب‌گذاری چندگانه است و همین، ابطال‌پذیری چارچوب را تضعیف می‌کند.</t>
  </si>
  <si>
    <t xml:space="preserve">James A. Hyerczyk</t>
  </si>
  <si>
    <t xml:space="preserve">Pattern, Price &amp; Time: Using Gann Theory</t>
  </si>
  <si>
    <t xml:space="preserve">منظم‌ترین تدوین نظریه گن برای استفاده عملی.</t>
  </si>
  <si>
    <t xml:space="preserve">Robert Prechter</t>
  </si>
  <si>
    <t xml:space="preserve">Beautiful Pictures from the Gallery of Phinance</t>
  </si>
  <si>
    <t xml:space="preserve">نسبت‌های فیبوناچی در ساختار قیمت و زمان.</t>
  </si>
  <si>
    <t xml:space="preserve">Christopher Grafton</t>
  </si>
  <si>
    <t xml:space="preserve">Mastering Hurst Cycle Analysis</t>
  </si>
  <si>
    <t xml:space="preserve">تدوین عملیاتی روش هرست: FLD، VTL و فازبندی.</t>
  </si>
  <si>
    <t xml:space="preserve">Lars von Thienen</t>
  </si>
  <si>
    <t xml:space="preserve">Decoding the Hidden Market Rhythm — Part 1: Dynamic Cycles</t>
  </si>
  <si>
    <t xml:space="preserve">تحلیل طیفی و آزمون معناداری چرخه. روش آماری آن (آزمون بارتلز) معتبر است؛ آنچه مورد مناقشه است، پایداری چرخه‌های یافته‌شده در آینده است.</t>
  </si>
  <si>
    <t xml:space="preserve">Paul Kennedy</t>
  </si>
  <si>
    <t xml:space="preserve">The Rise and Fall of the Great Powers</t>
  </si>
  <si>
    <t xml:space="preserve">ژئوپلیتیک</t>
  </si>
  <si>
    <t xml:space="preserve">تز «کشیدگی امپراتوری»: نسبت پایه اقتصادی به تعهدات نظامی. تاریخ‌نگاری جدی است ولی چرخه با دوره ثابت ارائه نمی‌دهد.</t>
  </si>
  <si>
    <t xml:space="preserve">Joshua S. Goldstein</t>
  </si>
  <si>
    <t xml:space="preserve">Long Cycles: Prosperity and War in the Modern Age</t>
  </si>
  <si>
    <t xml:space="preserve">پیوند موج بلند با شدت جنگ قدرت‌های بزرگ؛ داده‌های کمی از ۱۴۹۵ به بعد.</t>
  </si>
  <si>
    <t xml:space="preserve">Ray Dalio</t>
  </si>
  <si>
    <t xml:space="preserve">Principles for Dealing with the Changing World Order</t>
  </si>
  <si>
    <t xml:space="preserve">چارچوب روایی/دوره‌بندی تاریخی، نه مدل آماری آزموده</t>
  </si>
  <si>
    <t xml:space="preserve">چرخه بزرگ امپراتوری‌ها و هشت سنجه قدرت. دوره‌بندی پس‌نگر است و پیش‌بینی‌های آن آزمون بیرونی نشده‌اند.</t>
  </si>
  <si>
    <t xml:space="preserve">Neil Howe</t>
  </si>
  <si>
    <t xml:space="preserve">The Fourth Turning Is Here</t>
  </si>
  <si>
    <t xml:space="preserve">ساکولوم ۸۰ تا ۱۰۰ ساله و چهار چرخش نسلی. نقدهای جدی روش‌شناختی به آن وارد شده؛ به‌عنوان چارچوب روایی بخوانید، نه تقویم.</t>
  </si>
  <si>
    <t xml:space="preserve">فهرست کامل با  python -m timeframe sources  هم قابل دریافت است.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</si>
  <si>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</si>
  <si>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</si>
  <si>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</si>
  <si>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</si>
  <si>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</si>
  <si>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</si>
  <si>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</si>
  <si>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</si>
  <si>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</si>
  <si>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</si>
  <si>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</si>
  <si>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</si>
  <si>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</si>
  <si>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</si>
  <si>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۴) وزن معیارها — جمع باید دقیقاً ۱۰۰٪ شود</t>
  </si>
  <si>
    <t xml:space="preserve">وزن روند قیمتی سهم</t>
  </si>
  <si>
    <t xml:space="preserve">وزن جریان پول هوشمند</t>
  </si>
  <si>
    <t xml:space="preserve">وزن وضعیت میانگین‌های متحرک</t>
  </si>
  <si>
    <t xml:space="preserve">وزن حجم معاملات</t>
  </si>
  <si>
    <t xml:space="preserve">وزن روند کل بازار (شاخص)</t>
  </si>
  <si>
    <t xml:space="preserve">وزن لایه زمانی (Hurst/Gann/Fib/Elliott)</t>
  </si>
  <si>
    <t xml:space="preserve">پیش‌فرض صفر — ساختار آماده، غیرفعال</t>
  </si>
  <si>
    <t xml:space="preserve">جمع وزن‌ها</t>
  </si>
  <si>
    <t xml:space="preserve">۷) لایه زمانی — چرخه‌های اسمی (فعلاً غیرفعال)</t>
  </si>
  <si>
    <t xml:space="preserve">چرخه اسمی ۱ (روز معاملاتی)</t>
  </si>
  <si>
    <t xml:space="preserve">مدل چرخه‌های اسمی هرست</t>
  </si>
  <si>
    <t xml:space="preserve">چرخه اسمی ۲</t>
  </si>
  <si>
    <t xml:space="preserve">چرخه اسمی ۳ (چرخه اصلی)</t>
  </si>
  <si>
    <t xml:space="preserve">چرخه اسمی ۴</t>
  </si>
  <si>
    <t xml:space="preserve">پنجره تحمل زمانی (± روز)</t>
  </si>
  <si>
    <t xml:space="preserve">برای تطبیق تاریخ‌های Gann/Fibonacci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</si>
  <si>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</si>
  <si>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</si>
  <si>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</si>
  <si>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</si>
  <si>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</si>
  <si>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</si>
  <si>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</si>
  <si>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</si>
  <si>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</si>
  <si>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</si>
  <si>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</si>
  <si>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</si>
  <si>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</si>
  <si>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</si>
  <si>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</si>
  <si>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</si>
  <si>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</si>
  <si>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</si>
  <si>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</si>
  <si>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۶) لایه زمانی — وضعیت فعلی و مسیر توسعه</t>
  </si>
  <si>
    <t xml:space="preserve">شیت Time_Cycles امروز کامل ساخته شده ولی وزنش صفر است؛ یعنی محاسبه می‌شود، نمایش داده می‌شود، اما روی سیگنال اثر ندارد. این عمدی است: یک لایه زمانی که ورودی‌هایش دستی و تأییدنشده است نباید سیگنال معاملاتی را جابه‌جا کند.</t>
  </si>
  <si>
    <t xml:space="preserve">برای فعال‌سازی واقعی، به‌ترتیب این سه کار لازم است:</t>
  </si>
  <si>
    <t xml:space="preserve">۱. طول چرخه غالب (ستون D) به‌جای عدد ثابت ۸۰، با تحلیل طیفی روی سری قیمت در پایتون استخراج شود (روش von Thienen).</t>
  </si>
  <si>
    <t xml:space="preserve">۲. تاریخ کف و سقف چرخه به‌صورت خودکار با الگوریتم تشخیص نقاط چرخش پر شود، نه چشمی.</t>
  </si>
  <si>
    <t xml:space="preserve">۳. برچسب موج الیوت دستی بماند — این تنها بخشی است که خودکارسازی‌اش بیشتر خطا می‌آورد تا فایده.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</si>
  <si>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</si>
  <si>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</si>
  <si>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</si>
  <si>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</si>
  <si>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</si>
  <si>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</si>
  <si>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</si>
  <si>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۹) گام بعدی پیشنهادی</t>
  </si>
  <si>
    <t xml:space="preserve">۱. اجرای اسکریپت به‌روزرسانی و تأیید نام فیلدهای علامت‌خورده «نیازمند تأیید» در شیت API_Map.</t>
  </si>
  <si>
    <t xml:space="preserve">۲. افزودن ۳۰ تا ۵۰ نماد به Watchlist — سیستم با ۸ نماد نمونه ساخته شده ولی برای غربال‌گری واقعی به عمق نیاز دارد.</t>
  </si>
  <si>
    <t xml:space="preserve">۳. بک‌تست وزن‌ها روی دو سال داده تاریخی، پیش از اتکای جدی به آستانه‌های TH_*.</t>
  </si>
  <si>
    <t xml:space="preserve">۴. فعال‌سازی تدریجی لایه زمانی با وزن کوچک (۵٪ تا ۱۰٪) و مقایسه نتیجه با حالت خاموش.</t>
  </si>
  <si>
    <t xml:space="preserve">۹) اتصال این فایل به بقیه مجموعه</t>
  </si>
  <si>
    <t xml:space="preserve">این فایل تاریخچه قیمت ندارد. موتور پایتون داده را از فایل سیگنال سهام می‌خواند، تحلیل می‌کند و نتیجه را اینجا می‌نویسد:</t>
  </si>
  <si>
    <t xml:space="preserve">python -m timeframe export --workbook Time_Analysis.xlsx --data Stocks_Signals.xlsx</t>
  </si>
  <si>
    <t xml:space="preserve">و امتیاز زمانی هر نماد در شیت Time_Link فایل سیگنال سهام نوشته می‌شود تا در امتیاز نهایی وارد شود (با وزن W_TIME که پیش‌فرضش صفر است).</t>
  </si>
  <si>
    <t xml:space="preserve">چرا ارجاع بین‌فایلی اکسل به‌کار نرفت: فرمول ارجاع به فایل دیگر وقتی فایل مبدأ باز نباشد فقط مقدار کش‌شده را نشان می‌دهد، و با بازنویسی توسط openpyxl کاملاً از بین می‌رود. پل داده‌ای پایدارتر است.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</si>
</sst>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#,##0;\(#,##0\);\-"/>
    <numFmt numFmtId="167" formatCode="0.00;\(0.00\);\-"/>
    <numFmt numFmtId="168" formatCode="0.0%;\(0.0%\);\-"/>
    <numFmt numFmtId="169" formatCode="0"/>
    <numFmt numFmtId="170" formatCode="0.0;\(0.0\);\-"/>
    <numFmt numFmtId="171" formatCode="0.00\x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8"/>
      <name val="Arial"/>
      <family val="0"/>
      <charset val="1"/>
    </font>
    <font>
      <b val="true"/>
      <sz val="8"/>
      <name val="Arial"/>
      <family val="0"/>
      <charset val="1"/>
    </font>
    <font>
      <sz val="8"/>
      <color rgb="FF0000FF"/>
      <name val="Arial"/>
      <family val="0"/>
      <charset val="1"/>
    </font>
    <font>
      <sz val="7"/>
      <color rgb="FF80808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i val="true"/>
      <sz val="9"/>
      <color rgb="FF404040"/>
      <name val="Arial"/>
      <family val="0"/>
      <charset val="1"/>
    </font>
    <font>
      <i val="true"/>
      <sz val="8"/>
      <color rgb="FF404040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C00000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2E5C8A"/>
        <bgColor rgb="FF1F3864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3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C8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9" min="7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</row>
    <row r="4" customFormat="false" ht="21.75" hidden="false" customHeight="true" outlineLevel="0" collapsed="false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  <c r="G4" s="4" t="s">
        <v>17</v>
      </c>
      <c r="H4" s="4" t="s">
        <v>17</v>
      </c>
      <c r="I4" s="4" t="s">
        <v>18</v>
      </c>
    </row>
    <row r="5" customFormat="false" ht="15" hidden="false" customHeight="false" outlineLevel="0" collapsed="false">
      <c r="A5" s="5" t="str">
        <f aca="false">IF(NOT(ISNUMBER(Macro_Series!$A5)),"",Macro_Series!$A5)</f>
        <v/>
      </c>
      <c r="B5" s="6" t="str">
        <f aca="false">IF(NOT(ISNUMBER(Macro_Series!$C5)),"",Macro_Series!$C5)</f>
        <v/>
      </c>
      <c r="C5" s="6" t="str">
        <f aca="false">IF(NOT(ISNUMBER(Macro_Series!$E5)),"",Macro_Series!$E5)</f>
        <v/>
      </c>
      <c r="D5" s="7" t="str">
        <f aca="false">IF(OR(NOT(ISNUMBER($B5)),NOT(ISNUMBER($C5)),$C5=0),"",$B5/$C5)</f>
        <v/>
      </c>
      <c r="E5" s="7" t="str">
        <f aca="false">IF(NOT(ISNUMBER(Macro_Series!$H5)),"",Macro_Series!$H5)</f>
        <v/>
      </c>
      <c r="F5" s="7" t="str">
        <f aca="false">IF(OR(NOT(ISNUMBER($D5)),NOT(ISNUMBER($E5)),$E5=0),"",$D5/$E5)</f>
        <v/>
      </c>
      <c r="G5" s="8" t="str">
        <f aca="false">""</f>
        <v/>
      </c>
      <c r="H5" s="8" t="str">
        <f aca="false">""</f>
        <v/>
      </c>
      <c r="I5" s="8" t="str">
        <f aca="false">IF(OR(NOT(ISNUMBER($G5)),NOT(ISNUMBER($H5))),"",$G5-$H5)</f>
        <v/>
      </c>
    </row>
    <row r="6" customFormat="false" ht="15" hidden="false" customHeight="false" outlineLevel="0" collapsed="false">
      <c r="A6" s="5" t="str">
        <f aca="false">IF(NOT(ISNUMBER(Macro_Series!$A6)),"",Macro_Series!$A6)</f>
        <v/>
      </c>
      <c r="B6" s="6" t="str">
        <f aca="false">IF(NOT(ISNUMBER(Macro_Series!$C6)),"",Macro_Series!$C6)</f>
        <v/>
      </c>
      <c r="C6" s="6" t="str">
        <f aca="false">IF(NOT(ISNUMBER(Macro_Series!$E6)),"",Macro_Series!$E6)</f>
        <v/>
      </c>
      <c r="D6" s="7" t="str">
        <f aca="false">IF(OR(NOT(ISNUMBER($B6)),NOT(ISNUMBER($C6)),$C6=0),"",$B6/$C6)</f>
        <v/>
      </c>
      <c r="E6" s="7" t="str">
        <f aca="false">IF(NOT(ISNUMBER(Macro_Series!$H6)),"",Macro_Series!$H6)</f>
        <v/>
      </c>
      <c r="F6" s="7" t="str">
        <f aca="false">IF(OR(NOT(ISNUMBER($D6)),NOT(ISNUMBER($E6)),$E6=0),"",$D6/$E6)</f>
        <v/>
      </c>
      <c r="G6" s="8" t="str">
        <f aca="false">""</f>
        <v/>
      </c>
      <c r="H6" s="8" t="str">
        <f aca="false">""</f>
        <v/>
      </c>
      <c r="I6" s="8" t="str">
        <f aca="false">IF(OR(NOT(ISNUMBER($G6)),NOT(ISNUMBER($H6))),"",$G6-$H6)</f>
        <v/>
      </c>
    </row>
    <row r="7" customFormat="false" ht="15" hidden="false" customHeight="false" outlineLevel="0" collapsed="false">
      <c r="A7" s="5" t="str">
        <f aca="false">IF(NOT(ISNUMBER(Macro_Series!$A7)),"",Macro_Series!$A7)</f>
        <v/>
      </c>
      <c r="B7" s="6" t="str">
        <f aca="false">IF(NOT(ISNUMBER(Macro_Series!$C7)),"",Macro_Series!$C7)</f>
        <v/>
      </c>
      <c r="C7" s="6" t="str">
        <f aca="false">IF(NOT(ISNUMBER(Macro_Series!$E7)),"",Macro_Series!$E7)</f>
        <v/>
      </c>
      <c r="D7" s="7" t="str">
        <f aca="false">IF(OR(NOT(ISNUMBER($B7)),NOT(ISNUMBER($C7)),$C7=0),"",$B7/$C7)</f>
        <v/>
      </c>
      <c r="E7" s="7" t="str">
        <f aca="false">IF(NOT(ISNUMBER(Macro_Series!$H7)),"",Macro_Series!$H7)</f>
        <v/>
      </c>
      <c r="F7" s="7" t="str">
        <f aca="false">IF(OR(NOT(ISNUMBER($D7)),NOT(ISNUMBER($E7)),$E7=0),"",$D7/$E7)</f>
        <v/>
      </c>
      <c r="G7" s="8" t="str">
        <f aca="false">""</f>
        <v/>
      </c>
      <c r="H7" s="8" t="str">
        <f aca="false">""</f>
        <v/>
      </c>
      <c r="I7" s="8" t="str">
        <f aca="false">IF(OR(NOT(ISNUMBER($G7)),NOT(ISNUMBER($H7))),"",$G7-$H7)</f>
        <v/>
      </c>
    </row>
    <row r="8" customFormat="false" ht="15" hidden="false" customHeight="false" outlineLevel="0" collapsed="false">
      <c r="A8" s="5" t="str">
        <f aca="false">IF(NOT(ISNUMBER(Macro_Series!$A8)),"",Macro_Series!$A8)</f>
        <v/>
      </c>
      <c r="B8" s="6" t="str">
        <f aca="false">IF(NOT(ISNUMBER(Macro_Series!$C8)),"",Macro_Series!$C8)</f>
        <v/>
      </c>
      <c r="C8" s="6" t="str">
        <f aca="false">IF(NOT(ISNUMBER(Macro_Series!$E8)),"",Macro_Series!$E8)</f>
        <v/>
      </c>
      <c r="D8" s="7" t="str">
        <f aca="false">IF(OR(NOT(ISNUMBER($B8)),NOT(ISNUMBER($C8)),$C8=0),"",$B8/$C8)</f>
        <v/>
      </c>
      <c r="E8" s="7" t="str">
        <f aca="false">IF(NOT(ISNUMBER(Macro_Series!$H8)),"",Macro_Series!$H8)</f>
        <v/>
      </c>
      <c r="F8" s="7" t="str">
        <f aca="false">IF(OR(NOT(ISNUMBER($D8)),NOT(ISNUMBER($E8)),$E8=0),"",$D8/$E8)</f>
        <v/>
      </c>
      <c r="G8" s="8" t="str">
        <f aca="false">""</f>
        <v/>
      </c>
      <c r="H8" s="8" t="str">
        <f aca="false">""</f>
        <v/>
      </c>
      <c r="I8" s="8" t="str">
        <f aca="false">IF(OR(NOT(ISNUMBER($G8)),NOT(ISNUMBER($H8))),"",$G8-$H8)</f>
        <v/>
      </c>
    </row>
    <row r="9" customFormat="false" ht="15" hidden="false" customHeight="false" outlineLevel="0" collapsed="false">
      <c r="A9" s="5" t="str">
        <f aca="false">IF(NOT(ISNUMBER(Macro_Series!$A9)),"",Macro_Series!$A9)</f>
        <v/>
      </c>
      <c r="B9" s="6" t="str">
        <f aca="false">IF(NOT(ISNUMBER(Macro_Series!$C9)),"",Macro_Series!$C9)</f>
        <v/>
      </c>
      <c r="C9" s="6" t="str">
        <f aca="false">IF(NOT(ISNUMBER(Macro_Series!$E9)),"",Macro_Series!$E9)</f>
        <v/>
      </c>
      <c r="D9" s="7" t="str">
        <f aca="false">IF(OR(NOT(ISNUMBER($B9)),NOT(ISNUMBER($C9)),$C9=0),"",$B9/$C9)</f>
        <v/>
      </c>
      <c r="E9" s="7" t="str">
        <f aca="false">IF(NOT(ISNUMBER(Macro_Series!$H9)),"",Macro_Series!$H9)</f>
        <v/>
      </c>
      <c r="F9" s="7" t="str">
        <f aca="false">IF(OR(NOT(ISNUMBER($D9)),NOT(ISNUMBER($E9)),$E9=0),"",$D9/$E9)</f>
        <v/>
      </c>
      <c r="G9" s="8" t="str">
        <f aca="false">""</f>
        <v/>
      </c>
      <c r="H9" s="8" t="str">
        <f aca="false">""</f>
        <v/>
      </c>
      <c r="I9" s="8" t="str">
        <f aca="false">IF(OR(NOT(ISNUMBER($G9)),NOT(ISNUMBER($H9))),"",$G9-$H9)</f>
        <v/>
      </c>
    </row>
    <row r="10" customFormat="false" ht="15" hidden="false" customHeight="false" outlineLevel="0" collapsed="false">
      <c r="A10" s="5" t="str">
        <f aca="false">IF(NOT(ISNUMBER(Macro_Series!$A10)),"",Macro_Series!$A10)</f>
        <v/>
      </c>
      <c r="B10" s="6" t="str">
        <f aca="false">IF(NOT(ISNUMBER(Macro_Series!$C10)),"",Macro_Series!$C10)</f>
        <v/>
      </c>
      <c r="C10" s="6" t="str">
        <f aca="false">IF(NOT(ISNUMBER(Macro_Series!$E10)),"",Macro_Series!$E10)</f>
        <v/>
      </c>
      <c r="D10" s="7" t="str">
        <f aca="false">IF(OR(NOT(ISNUMBER($B10)),NOT(ISNUMBER($C10)),$C10=0),"",$B10/$C10)</f>
        <v/>
      </c>
      <c r="E10" s="7" t="str">
        <f aca="false">IF(NOT(ISNUMBER(Macro_Series!$H10)),"",Macro_Series!$H10)</f>
        <v/>
      </c>
      <c r="F10" s="7" t="str">
        <f aca="false">IF(OR(NOT(ISNUMBER($D10)),NOT(ISNUMBER($E10)),$E10=0),"",$D10/$E10)</f>
        <v/>
      </c>
      <c r="G10" s="8" t="str">
        <f aca="false">""</f>
        <v/>
      </c>
      <c r="H10" s="8" t="str">
        <f aca="false">""</f>
        <v/>
      </c>
      <c r="I10" s="8" t="str">
        <f aca="false">IF(OR(NOT(ISNUMBER($G10)),NOT(ISNUMBER($H10))),"",$G10-$H10)</f>
        <v/>
      </c>
    </row>
    <row r="11" customFormat="false" ht="15" hidden="false" customHeight="false" outlineLevel="0" collapsed="false">
      <c r="A11" s="5" t="str">
        <f aca="false">IF(NOT(ISNUMBER(Macro_Series!$A11)),"",Macro_Series!$A11)</f>
        <v/>
      </c>
      <c r="B11" s="6" t="str">
        <f aca="false">IF(NOT(ISNUMBER(Macro_Series!$C11)),"",Macro_Series!$C11)</f>
        <v/>
      </c>
      <c r="C11" s="6" t="str">
        <f aca="false">IF(NOT(ISNUMBER(Macro_Series!$E11)),"",Macro_Series!$E11)</f>
        <v/>
      </c>
      <c r="D11" s="7" t="str">
        <f aca="false">IF(OR(NOT(ISNUMBER($B11)),NOT(ISNUMBER($C11)),$C11=0),"",$B11/$C11)</f>
        <v/>
      </c>
      <c r="E11" s="7" t="str">
        <f aca="false">IF(NOT(ISNUMBER(Macro_Series!$H11)),"",Macro_Series!$H11)</f>
        <v/>
      </c>
      <c r="F11" s="7" t="str">
        <f aca="false">IF(OR(NOT(ISNUMBER($D11)),NOT(ISNUMBER($E11)),$E11=0),"",$D11/$E11)</f>
        <v/>
      </c>
      <c r="G11" s="8" t="str">
        <f aca="false">""</f>
        <v/>
      </c>
      <c r="H11" s="8" t="str">
        <f aca="false">""</f>
        <v/>
      </c>
      <c r="I11" s="8" t="str">
        <f aca="false">IF(OR(NOT(ISNUMBER($G11)),NOT(ISNUMBER($H11))),"",$G11-$H11)</f>
        <v/>
      </c>
    </row>
    <row r="12" customFormat="false" ht="15" hidden="false" customHeight="false" outlineLevel="0" collapsed="false">
      <c r="A12" s="5" t="str">
        <f aca="false">IF(NOT(ISNUMBER(Macro_Series!$A12)),"",Macro_Series!$A12)</f>
        <v/>
      </c>
      <c r="B12" s="6" t="str">
        <f aca="false">IF(NOT(ISNUMBER(Macro_Series!$C12)),"",Macro_Series!$C12)</f>
        <v/>
      </c>
      <c r="C12" s="6" t="str">
        <f aca="false">IF(NOT(ISNUMBER(Macro_Series!$E12)),"",Macro_Series!$E12)</f>
        <v/>
      </c>
      <c r="D12" s="7" t="str">
        <f aca="false">IF(OR(NOT(ISNUMBER($B12)),NOT(ISNUMBER($C12)),$C12=0),"",$B12/$C12)</f>
        <v/>
      </c>
      <c r="E12" s="7" t="str">
        <f aca="false">IF(NOT(ISNUMBER(Macro_Series!$H12)),"",Macro_Series!$H12)</f>
        <v/>
      </c>
      <c r="F12" s="7" t="str">
        <f aca="false">IF(OR(NOT(ISNUMBER($D12)),NOT(ISNUMBER($E12)),$E12=0),"",$D12/$E12)</f>
        <v/>
      </c>
      <c r="G12" s="8" t="str">
        <f aca="false">""</f>
        <v/>
      </c>
      <c r="H12" s="8" t="str">
        <f aca="false">""</f>
        <v/>
      </c>
      <c r="I12" s="8" t="str">
        <f aca="false">IF(OR(NOT(ISNUMBER($G12)),NOT(ISNUMBER($H12))),"",$G12-$H12)</f>
        <v/>
      </c>
    </row>
    <row r="13" customFormat="false" ht="15" hidden="false" customHeight="false" outlineLevel="0" collapsed="false">
      <c r="A13" s="5" t="str">
        <f aca="false">IF(NOT(ISNUMBER(Macro_Series!$A13)),"",Macro_Series!$A13)</f>
        <v/>
      </c>
      <c r="B13" s="6" t="str">
        <f aca="false">IF(NOT(ISNUMBER(Macro_Series!$C13)),"",Macro_Series!$C13)</f>
        <v/>
      </c>
      <c r="C13" s="6" t="str">
        <f aca="false">IF(NOT(ISNUMBER(Macro_Series!$E13)),"",Macro_Series!$E13)</f>
        <v/>
      </c>
      <c r="D13" s="7" t="str">
        <f aca="false">IF(OR(NOT(ISNUMBER($B13)),NOT(ISNUMBER($C13)),$C13=0),"",$B13/$C13)</f>
        <v/>
      </c>
      <c r="E13" s="7" t="str">
        <f aca="false">IF(NOT(ISNUMBER(Macro_Series!$H13)),"",Macro_Series!$H13)</f>
        <v/>
      </c>
      <c r="F13" s="7" t="str">
        <f aca="false">IF(OR(NOT(ISNUMBER($D13)),NOT(ISNUMBER($E13)),$E13=0),"",$D13/$E13)</f>
        <v/>
      </c>
      <c r="G13" s="8" t="str">
        <f aca="false">""</f>
        <v/>
      </c>
      <c r="H13" s="8" t="str">
        <f aca="false">""</f>
        <v/>
      </c>
      <c r="I13" s="8" t="str">
        <f aca="false">IF(OR(NOT(ISNUMBER($G13)),NOT(ISNUMBER($H13))),"",$G13-$H13)</f>
        <v/>
      </c>
    </row>
    <row r="14" customFormat="false" ht="15" hidden="false" customHeight="false" outlineLevel="0" collapsed="false">
      <c r="A14" s="5" t="str">
        <f aca="false">IF(NOT(ISNUMBER(Macro_Series!$A14)),"",Macro_Series!$A14)</f>
        <v/>
      </c>
      <c r="B14" s="6" t="str">
        <f aca="false">IF(NOT(ISNUMBER(Macro_Series!$C14)),"",Macro_Series!$C14)</f>
        <v/>
      </c>
      <c r="C14" s="6" t="str">
        <f aca="false">IF(NOT(ISNUMBER(Macro_Series!$E14)),"",Macro_Series!$E14)</f>
        <v/>
      </c>
      <c r="D14" s="7" t="str">
        <f aca="false">IF(OR(NOT(ISNUMBER($B14)),NOT(ISNUMBER($C14)),$C14=0),"",$B14/$C14)</f>
        <v/>
      </c>
      <c r="E14" s="7" t="str">
        <f aca="false">IF(NOT(ISNUMBER(Macro_Series!$H14)),"",Macro_Series!$H14)</f>
        <v/>
      </c>
      <c r="F14" s="7" t="str">
        <f aca="false">IF(OR(NOT(ISNUMBER($D14)),NOT(ISNUMBER($E14)),$E14=0),"",$D14/$E14)</f>
        <v/>
      </c>
      <c r="G14" s="8" t="str">
        <f aca="false">""</f>
        <v/>
      </c>
      <c r="H14" s="8" t="str">
        <f aca="false">""</f>
        <v/>
      </c>
      <c r="I14" s="8" t="str">
        <f aca="false">IF(OR(NOT(ISNUMBER($G14)),NOT(ISNUMBER($H14))),"",$G14-$H14)</f>
        <v/>
      </c>
    </row>
    <row r="15" customFormat="false" ht="15" hidden="false" customHeight="false" outlineLevel="0" collapsed="false">
      <c r="A15" s="5" t="str">
        <f aca="false">IF(NOT(ISNUMBER(Macro_Series!$A15)),"",Macro_Series!$A15)</f>
        <v/>
      </c>
      <c r="B15" s="6" t="str">
        <f aca="false">IF(NOT(ISNUMBER(Macro_Series!$C15)),"",Macro_Series!$C15)</f>
        <v/>
      </c>
      <c r="C15" s="6" t="str">
        <f aca="false">IF(NOT(ISNUMBER(Macro_Series!$E15)),"",Macro_Series!$E15)</f>
        <v/>
      </c>
      <c r="D15" s="7" t="str">
        <f aca="false">IF(OR(NOT(ISNUMBER($B15)),NOT(ISNUMBER($C15)),$C15=0),"",$B15/$C15)</f>
        <v/>
      </c>
      <c r="E15" s="7" t="str">
        <f aca="false">IF(NOT(ISNUMBER(Macro_Series!$H15)),"",Macro_Series!$H15)</f>
        <v/>
      </c>
      <c r="F15" s="7" t="str">
        <f aca="false">IF(OR(NOT(ISNUMBER($D15)),NOT(ISNUMBER($E15)),$E15=0),"",$D15/$E15)</f>
        <v/>
      </c>
      <c r="G15" s="8" t="str">
        <f aca="false">""</f>
        <v/>
      </c>
      <c r="H15" s="8" t="str">
        <f aca="false">""</f>
        <v/>
      </c>
      <c r="I15" s="8" t="str">
        <f aca="false">IF(OR(NOT(ISNUMBER($G15)),NOT(ISNUMBER($H15))),"",$G15-$H15)</f>
        <v/>
      </c>
    </row>
    <row r="16" customFormat="false" ht="15" hidden="false" customHeight="false" outlineLevel="0" collapsed="false">
      <c r="A16" s="5" t="str">
        <f aca="false">IF(NOT(ISNUMBER(Macro_Series!$A16)),"",Macro_Series!$A16)</f>
        <v/>
      </c>
      <c r="B16" s="6" t="str">
        <f aca="false">IF(NOT(ISNUMBER(Macro_Series!$C16)),"",Macro_Series!$C16)</f>
        <v/>
      </c>
      <c r="C16" s="6" t="str">
        <f aca="false">IF(NOT(ISNUMBER(Macro_Series!$E16)),"",Macro_Series!$E16)</f>
        <v/>
      </c>
      <c r="D16" s="7" t="str">
        <f aca="false">IF(OR(NOT(ISNUMBER($B16)),NOT(ISNUMBER($C16)),$C16=0),"",$B16/$C16)</f>
        <v/>
      </c>
      <c r="E16" s="7" t="str">
        <f aca="false">IF(NOT(ISNUMBER(Macro_Series!$H16)),"",Macro_Series!$H16)</f>
        <v/>
      </c>
      <c r="F16" s="7" t="str">
        <f aca="false">IF(OR(NOT(ISNUMBER($D16)),NOT(ISNUMBER($E16)),$E16=0),"",$D16/$E16)</f>
        <v/>
      </c>
      <c r="G16" s="8" t="str">
        <f aca="false">""</f>
        <v/>
      </c>
      <c r="H16" s="8" t="str">
        <f aca="false">""</f>
        <v/>
      </c>
      <c r="I16" s="8" t="str">
        <f aca="false">IF(OR(NOT(ISNUMBER($G16)),NOT(ISNUMBER($H16))),"",$G16-$H16)</f>
        <v/>
      </c>
    </row>
    <row r="17" customFormat="false" ht="15" hidden="false" customHeight="false" outlineLevel="0" collapsed="false">
      <c r="A17" s="5" t="str">
        <f aca="false">IF(NOT(ISNUMBER(Macro_Series!$A17)),"",Macro_Series!$A17)</f>
        <v/>
      </c>
      <c r="B17" s="6" t="str">
        <f aca="false">IF(NOT(ISNUMBER(Macro_Series!$C17)),"",Macro_Series!$C17)</f>
        <v/>
      </c>
      <c r="C17" s="6" t="str">
        <f aca="false">IF(NOT(ISNUMBER(Macro_Series!$E17)),"",Macro_Series!$E17)</f>
        <v/>
      </c>
      <c r="D17" s="7" t="str">
        <f aca="false">IF(OR(NOT(ISNUMBER($B17)),NOT(ISNUMBER($C17)),$C17=0),"",$B17/$C17)</f>
        <v/>
      </c>
      <c r="E17" s="7" t="str">
        <f aca="false">IF(NOT(ISNUMBER(Macro_Series!$H17)),"",Macro_Series!$H17)</f>
        <v/>
      </c>
      <c r="F17" s="7" t="str">
        <f aca="false">IF(OR(NOT(ISNUMBER($D17)),NOT(ISNUMBER($E17)),$E17=0),"",$D17/$E17)</f>
        <v/>
      </c>
      <c r="G17" s="8" t="str">
        <f aca="false">""</f>
        <v/>
      </c>
      <c r="H17" s="8" t="str">
        <f aca="false">""</f>
        <v/>
      </c>
      <c r="I17" s="8" t="str">
        <f aca="false">IF(OR(NOT(ISNUMBER($G17)),NOT(ISNUMBER($H17))),"",$G17-$H17)</f>
        <v/>
      </c>
    </row>
    <row r="18" customFormat="false" ht="15" hidden="false" customHeight="false" outlineLevel="0" collapsed="false">
      <c r="A18" s="5" t="str">
        <f aca="false">IF(NOT(ISNUMBER(Macro_Series!$A18)),"",Macro_Series!$A18)</f>
        <v/>
      </c>
      <c r="B18" s="6" t="str">
        <f aca="false">IF(NOT(ISNUMBER(Macro_Series!$C18)),"",Macro_Series!$C18)</f>
        <v/>
      </c>
      <c r="C18" s="6" t="str">
        <f aca="false">IF(NOT(ISNUMBER(Macro_Series!$E18)),"",Macro_Series!$E18)</f>
        <v/>
      </c>
      <c r="D18" s="7" t="str">
        <f aca="false">IF(OR(NOT(ISNUMBER($B18)),NOT(ISNUMBER($C18)),$C18=0),"",$B18/$C18)</f>
        <v/>
      </c>
      <c r="E18" s="7" t="str">
        <f aca="false">IF(NOT(ISNUMBER(Macro_Series!$H18)),"",Macro_Series!$H18)</f>
        <v/>
      </c>
      <c r="F18" s="7" t="str">
        <f aca="false">IF(OR(NOT(ISNUMBER($D18)),NOT(ISNUMBER($E18)),$E18=0),"",$D18/$E18)</f>
        <v/>
      </c>
      <c r="G18" s="8" t="str">
        <f aca="false">""</f>
        <v/>
      </c>
      <c r="H18" s="8" t="str">
        <f aca="false">""</f>
        <v/>
      </c>
      <c r="I18" s="8" t="str">
        <f aca="false">IF(OR(NOT(ISNUMBER($G18)),NOT(ISNUMBER($H18))),"",$G18-$H18)</f>
        <v/>
      </c>
    </row>
    <row r="19" customFormat="false" ht="15" hidden="false" customHeight="false" outlineLevel="0" collapsed="false">
      <c r="A19" s="5" t="str">
        <f aca="false">IF(NOT(ISNUMBER(Macro_Series!$A19)),"",Macro_Series!$A19)</f>
        <v/>
      </c>
      <c r="B19" s="6" t="str">
        <f aca="false">IF(NOT(ISNUMBER(Macro_Series!$C19)),"",Macro_Series!$C19)</f>
        <v/>
      </c>
      <c r="C19" s="6" t="str">
        <f aca="false">IF(NOT(ISNUMBER(Macro_Series!$E19)),"",Macro_Series!$E19)</f>
        <v/>
      </c>
      <c r="D19" s="7" t="str">
        <f aca="false">IF(OR(NOT(ISNUMBER($B19)),NOT(ISNUMBER($C19)),$C19=0),"",$B19/$C19)</f>
        <v/>
      </c>
      <c r="E19" s="7" t="str">
        <f aca="false">IF(NOT(ISNUMBER(Macro_Series!$H19)),"",Macro_Series!$H19)</f>
        <v/>
      </c>
      <c r="F19" s="7" t="str">
        <f aca="false">IF(OR(NOT(ISNUMBER($D19)),NOT(ISNUMBER($E19)),$E19=0),"",$D19/$E19)</f>
        <v/>
      </c>
      <c r="G19" s="8" t="str">
        <f aca="false">""</f>
        <v/>
      </c>
      <c r="H19" s="8" t="str">
        <f aca="false">""</f>
        <v/>
      </c>
      <c r="I19" s="8" t="str">
        <f aca="false">IF(OR(NOT(ISNUMBER($G19)),NOT(ISNUMBER($H19))),"",$G19-$H19)</f>
        <v/>
      </c>
    </row>
    <row r="20" customFormat="false" ht="15" hidden="false" customHeight="false" outlineLevel="0" collapsed="false">
      <c r="A20" s="5" t="str">
        <f aca="false">IF(NOT(ISNUMBER(Macro_Series!$A20)),"",Macro_Series!$A20)</f>
        <v/>
      </c>
      <c r="B20" s="6" t="str">
        <f aca="false">IF(NOT(ISNUMBER(Macro_Series!$C20)),"",Macro_Series!$C20)</f>
        <v/>
      </c>
      <c r="C20" s="6" t="str">
        <f aca="false">IF(NOT(ISNUMBER(Macro_Series!$E20)),"",Macro_Series!$E20)</f>
        <v/>
      </c>
      <c r="D20" s="7" t="str">
        <f aca="false">IF(OR(NOT(ISNUMBER($B20)),NOT(ISNUMBER($C20)),$C20=0),"",$B20/$C20)</f>
        <v/>
      </c>
      <c r="E20" s="7" t="str">
        <f aca="false">IF(NOT(ISNUMBER(Macro_Series!$H20)),"",Macro_Series!$H20)</f>
        <v/>
      </c>
      <c r="F20" s="7" t="str">
        <f aca="false">IF(OR(NOT(ISNUMBER($D20)),NOT(ISNUMBER($E20)),$E20=0),"",$D20/$E20)</f>
        <v/>
      </c>
      <c r="G20" s="8" t="str">
        <f aca="false">""</f>
        <v/>
      </c>
      <c r="H20" s="8" t="str">
        <f aca="false">""</f>
        <v/>
      </c>
      <c r="I20" s="8" t="str">
        <f aca="false">IF(OR(NOT(ISNUMBER($G20)),NOT(ISNUMBER($H20))),"",$G20-$H20)</f>
        <v/>
      </c>
    </row>
    <row r="21" customFormat="false" ht="15" hidden="false" customHeight="false" outlineLevel="0" collapsed="false">
      <c r="A21" s="5" t="str">
        <f aca="false">IF(NOT(ISNUMBER(Macro_Series!$A21)),"",Macro_Series!$A21)</f>
        <v/>
      </c>
      <c r="B21" s="6" t="str">
        <f aca="false">IF(NOT(ISNUMBER(Macro_Series!$C21)),"",Macro_Series!$C21)</f>
        <v/>
      </c>
      <c r="C21" s="6" t="str">
        <f aca="false">IF(NOT(ISNUMBER(Macro_Series!$E21)),"",Macro_Series!$E21)</f>
        <v/>
      </c>
      <c r="D21" s="7" t="str">
        <f aca="false">IF(OR(NOT(ISNUMBER($B21)),NOT(ISNUMBER($C21)),$C21=0),"",$B21/$C21)</f>
        <v/>
      </c>
      <c r="E21" s="7" t="str">
        <f aca="false">IF(NOT(ISNUMBER(Macro_Series!$H21)),"",Macro_Series!$H21)</f>
        <v/>
      </c>
      <c r="F21" s="7" t="str">
        <f aca="false">IF(OR(NOT(ISNUMBER($D21)),NOT(ISNUMBER($E21)),$E21=0),"",$D21/$E21)</f>
        <v/>
      </c>
      <c r="G21" s="8" t="str">
        <f aca="false">""</f>
        <v/>
      </c>
      <c r="H21" s="8" t="str">
        <f aca="false">""</f>
        <v/>
      </c>
      <c r="I21" s="8" t="str">
        <f aca="false">IF(OR(NOT(ISNUMBER($G21)),NOT(ISNUMBER($H21))),"",$G21-$H21)</f>
        <v/>
      </c>
    </row>
    <row r="22" customFormat="false" ht="15" hidden="false" customHeight="false" outlineLevel="0" collapsed="false">
      <c r="A22" s="5" t="str">
        <f aca="false">IF(NOT(ISNUMBER(Macro_Series!$A22)),"",Macro_Series!$A22)</f>
        <v/>
      </c>
      <c r="B22" s="6" t="str">
        <f aca="false">IF(NOT(ISNUMBER(Macro_Series!$C22)),"",Macro_Series!$C22)</f>
        <v/>
      </c>
      <c r="C22" s="6" t="str">
        <f aca="false">IF(NOT(ISNUMBER(Macro_Series!$E22)),"",Macro_Series!$E22)</f>
        <v/>
      </c>
      <c r="D22" s="7" t="str">
        <f aca="false">IF(OR(NOT(ISNUMBER($B22)),NOT(ISNUMBER($C22)),$C22=0),"",$B22/$C22)</f>
        <v/>
      </c>
      <c r="E22" s="7" t="str">
        <f aca="false">IF(NOT(ISNUMBER(Macro_Series!$H22)),"",Macro_Series!$H22)</f>
        <v/>
      </c>
      <c r="F22" s="7" t="str">
        <f aca="false">IF(OR(NOT(ISNUMBER($D22)),NOT(ISNUMBER($E22)),$E22=0),"",$D22/$E22)</f>
        <v/>
      </c>
      <c r="G22" s="8" t="str">
        <f aca="false">""</f>
        <v/>
      </c>
      <c r="H22" s="8" t="str">
        <f aca="false">""</f>
        <v/>
      </c>
      <c r="I22" s="8" t="str">
        <f aca="false">IF(OR(NOT(ISNUMBER($G22)),NOT(ISNUMBER($H22))),"",$G22-$H22)</f>
        <v/>
      </c>
    </row>
    <row r="23" customFormat="false" ht="15" hidden="false" customHeight="false" outlineLevel="0" collapsed="false">
      <c r="A23" s="5" t="str">
        <f aca="false">IF(NOT(ISNUMBER(Macro_Series!$A23)),"",Macro_Series!$A23)</f>
        <v/>
      </c>
      <c r="B23" s="6" t="str">
        <f aca="false">IF(NOT(ISNUMBER(Macro_Series!$C23)),"",Macro_Series!$C23)</f>
        <v/>
      </c>
      <c r="C23" s="6" t="str">
        <f aca="false">IF(NOT(ISNUMBER(Macro_Series!$E23)),"",Macro_Series!$E23)</f>
        <v/>
      </c>
      <c r="D23" s="7" t="str">
        <f aca="false">IF(OR(NOT(ISNUMBER($B23)),NOT(ISNUMBER($C23)),$C23=0),"",$B23/$C23)</f>
        <v/>
      </c>
      <c r="E23" s="7" t="str">
        <f aca="false">IF(NOT(ISNUMBER(Macro_Series!$H23)),"",Macro_Series!$H23)</f>
        <v/>
      </c>
      <c r="F23" s="7" t="str">
        <f aca="false">IF(OR(NOT(ISNUMBER($D23)),NOT(ISNUMBER($E23)),$E23=0),"",$D23/$E23)</f>
        <v/>
      </c>
      <c r="G23" s="8" t="str">
        <f aca="false">""</f>
        <v/>
      </c>
      <c r="H23" s="8" t="str">
        <f aca="false">""</f>
        <v/>
      </c>
      <c r="I23" s="8" t="str">
        <f aca="false">IF(OR(NOT(ISNUMBER($G23)),NOT(ISNUMBER($H23))),"",$G23-$H23)</f>
        <v/>
      </c>
    </row>
    <row r="24" customFormat="false" ht="15" hidden="false" customHeight="false" outlineLevel="0" collapsed="false">
      <c r="A24" s="5" t="str">
        <f aca="false">IF(NOT(ISNUMBER(Macro_Series!$A24)),"",Macro_Series!$A24)</f>
        <v/>
      </c>
      <c r="B24" s="6" t="str">
        <f aca="false">IF(NOT(ISNUMBER(Macro_Series!$C24)),"",Macro_Series!$C24)</f>
        <v/>
      </c>
      <c r="C24" s="6" t="str">
        <f aca="false">IF(NOT(ISNUMBER(Macro_Series!$E24)),"",Macro_Series!$E24)</f>
        <v/>
      </c>
      <c r="D24" s="7" t="str">
        <f aca="false">IF(OR(NOT(ISNUMBER($B24)),NOT(ISNUMBER($C24)),$C24=0),"",$B24/$C24)</f>
        <v/>
      </c>
      <c r="E24" s="7" t="str">
        <f aca="false">IF(NOT(ISNUMBER(Macro_Series!$H24)),"",Macro_Series!$H24)</f>
        <v/>
      </c>
      <c r="F24" s="7" t="str">
        <f aca="false">IF(OR(NOT(ISNUMBER($D24)),NOT(ISNUMBER($E24)),$E24=0),"",$D24/$E24)</f>
        <v/>
      </c>
      <c r="G24" s="8" t="str">
        <f aca="false">""</f>
        <v/>
      </c>
      <c r="H24" s="8" t="str">
        <f aca="false">""</f>
        <v/>
      </c>
      <c r="I24" s="8" t="str">
        <f aca="false">IF(OR(NOT(ISNUMBER($G24)),NOT(ISNUMBER($H24))),"",$G24-$H24)</f>
        <v/>
      </c>
    </row>
    <row r="25" customFormat="false" ht="15" hidden="false" customHeight="false" outlineLevel="0" collapsed="false">
      <c r="A25" s="5" t="str">
        <f aca="false">IF(NOT(ISNUMBER(Macro_Series!$A25)),"",Macro_Series!$A25)</f>
        <v/>
      </c>
      <c r="B25" s="6" t="str">
        <f aca="false">IF(NOT(ISNUMBER(Macro_Series!$C25)),"",Macro_Series!$C25)</f>
        <v/>
      </c>
      <c r="C25" s="6" t="str">
        <f aca="false">IF(NOT(ISNUMBER(Macro_Series!$E25)),"",Macro_Series!$E25)</f>
        <v/>
      </c>
      <c r="D25" s="7" t="str">
        <f aca="false">IF(OR(NOT(ISNUMBER($B25)),NOT(ISNUMBER($C25)),$C25=0),"",$B25/$C25)</f>
        <v/>
      </c>
      <c r="E25" s="7" t="str">
        <f aca="false">IF(NOT(ISNUMBER(Macro_Series!$H25)),"",Macro_Series!$H25)</f>
        <v/>
      </c>
      <c r="F25" s="7" t="str">
        <f aca="false">IF(OR(NOT(ISNUMBER($D25)),NOT(ISNUMBER($E25)),$E25=0),"",$D25/$E25)</f>
        <v/>
      </c>
      <c r="G25" s="8" t="str">
        <f aca="false">""</f>
        <v/>
      </c>
      <c r="H25" s="8" t="str">
        <f aca="false">""</f>
        <v/>
      </c>
      <c r="I25" s="8" t="str">
        <f aca="false">IF(OR(NOT(ISNUMBER($G25)),NOT(ISNUMBER($H25))),"",$G25-$H25)</f>
        <v/>
      </c>
    </row>
    <row r="26" customFormat="false" ht="15" hidden="false" customHeight="false" outlineLevel="0" collapsed="false">
      <c r="A26" s="5" t="str">
        <f aca="false">IF(NOT(ISNUMBER(Macro_Series!$A26)),"",Macro_Series!$A26)</f>
        <v/>
      </c>
      <c r="B26" s="6" t="str">
        <f aca="false">IF(NOT(ISNUMBER(Macro_Series!$C26)),"",Macro_Series!$C26)</f>
        <v/>
      </c>
      <c r="C26" s="6" t="str">
        <f aca="false">IF(NOT(ISNUMBER(Macro_Series!$E26)),"",Macro_Series!$E26)</f>
        <v/>
      </c>
      <c r="D26" s="7" t="str">
        <f aca="false">IF(OR(NOT(ISNUMBER($B26)),NOT(ISNUMBER($C26)),$C26=0),"",$B26/$C26)</f>
        <v/>
      </c>
      <c r="E26" s="7" t="str">
        <f aca="false">IF(NOT(ISNUMBER(Macro_Series!$H26)),"",Macro_Series!$H26)</f>
        <v/>
      </c>
      <c r="F26" s="7" t="str">
        <f aca="false">IF(OR(NOT(ISNUMBER($D26)),NOT(ISNUMBER($E26)),$E26=0),"",$D26/$E26)</f>
        <v/>
      </c>
      <c r="G26" s="8" t="str">
        <f aca="false">""</f>
        <v/>
      </c>
      <c r="H26" s="8" t="str">
        <f aca="false">""</f>
        <v/>
      </c>
      <c r="I26" s="8" t="str">
        <f aca="false">IF(OR(NOT(ISNUMBER($G26)),NOT(ISNUMBER($H26))),"",$G26-$H26)</f>
        <v/>
      </c>
    </row>
    <row r="27" customFormat="false" ht="15" hidden="false" customHeight="false" outlineLevel="0" collapsed="false">
      <c r="A27" s="5" t="str">
        <f aca="false">IF(NOT(ISNUMBER(Macro_Series!$A27)),"",Macro_Series!$A27)</f>
        <v/>
      </c>
      <c r="B27" s="6" t="str">
        <f aca="false">IF(NOT(ISNUMBER(Macro_Series!$C27)),"",Macro_Series!$C27)</f>
        <v/>
      </c>
      <c r="C27" s="6" t="str">
        <f aca="false">IF(NOT(ISNUMBER(Macro_Series!$E27)),"",Macro_Series!$E27)</f>
        <v/>
      </c>
      <c r="D27" s="7" t="str">
        <f aca="false">IF(OR(NOT(ISNUMBER($B27)),NOT(ISNUMBER($C27)),$C27=0),"",$B27/$C27)</f>
        <v/>
      </c>
      <c r="E27" s="7" t="str">
        <f aca="false">IF(NOT(ISNUMBER(Macro_Series!$H27)),"",Macro_Series!$H27)</f>
        <v/>
      </c>
      <c r="F27" s="7" t="str">
        <f aca="false">IF(OR(NOT(ISNUMBER($D27)),NOT(ISNUMBER($E27)),$E27=0),"",$D27/$E27)</f>
        <v/>
      </c>
      <c r="G27" s="8" t="str">
        <f aca="false">""</f>
        <v/>
      </c>
      <c r="H27" s="8" t="str">
        <f aca="false">""</f>
        <v/>
      </c>
      <c r="I27" s="8" t="str">
        <f aca="false">IF(OR(NOT(ISNUMBER($G27)),NOT(ISNUMBER($H27))),"",$G27-$H27)</f>
        <v/>
      </c>
    </row>
    <row r="28" customFormat="false" ht="15" hidden="false" customHeight="false" outlineLevel="0" collapsed="false">
      <c r="A28" s="5" t="str">
        <f aca="false">IF(NOT(ISNUMBER(Macro_Series!$A28)),"",Macro_Series!$A28)</f>
        <v/>
      </c>
      <c r="B28" s="6" t="str">
        <f aca="false">IF(NOT(ISNUMBER(Macro_Series!$C28)),"",Macro_Series!$C28)</f>
        <v/>
      </c>
      <c r="C28" s="6" t="str">
        <f aca="false">IF(NOT(ISNUMBER(Macro_Series!$E28)),"",Macro_Series!$E28)</f>
        <v/>
      </c>
      <c r="D28" s="7" t="str">
        <f aca="false">IF(OR(NOT(ISNUMBER($B28)),NOT(ISNUMBER($C28)),$C28=0),"",$B28/$C28)</f>
        <v/>
      </c>
      <c r="E28" s="7" t="str">
        <f aca="false">IF(NOT(ISNUMBER(Macro_Series!$H28)),"",Macro_Series!$H28)</f>
        <v/>
      </c>
      <c r="F28" s="7" t="str">
        <f aca="false">IF(OR(NOT(ISNUMBER($D28)),NOT(ISNUMBER($E28)),$E28=0),"",$D28/$E28)</f>
        <v/>
      </c>
      <c r="G28" s="8" t="str">
        <f aca="false">""</f>
        <v/>
      </c>
      <c r="H28" s="8" t="str">
        <f aca="false">""</f>
        <v/>
      </c>
      <c r="I28" s="8" t="str">
        <f aca="false">IF(OR(NOT(ISNUMBER($G28)),NOT(ISNUMBER($H28))),"",$G28-$H28)</f>
        <v/>
      </c>
    </row>
    <row r="29" customFormat="false" ht="15" hidden="false" customHeight="false" outlineLevel="0" collapsed="false">
      <c r="A29" s="5" t="str">
        <f aca="false">IF(NOT(ISNUMBER(Macro_Series!$A29)),"",Macro_Series!$A29)</f>
        <v/>
      </c>
      <c r="B29" s="6" t="str">
        <f aca="false">IF(NOT(ISNUMBER(Macro_Series!$C29)),"",Macro_Series!$C29)</f>
        <v/>
      </c>
      <c r="C29" s="6" t="str">
        <f aca="false">IF(NOT(ISNUMBER(Macro_Series!$E29)),"",Macro_Series!$E29)</f>
        <v/>
      </c>
      <c r="D29" s="7" t="str">
        <f aca="false">IF(OR(NOT(ISNUMBER($B29)),NOT(ISNUMBER($C29)),$C29=0),"",$B29/$C29)</f>
        <v/>
      </c>
      <c r="E29" s="7" t="str">
        <f aca="false">IF(NOT(ISNUMBER(Macro_Series!$H29)),"",Macro_Series!$H29)</f>
        <v/>
      </c>
      <c r="F29" s="7" t="str">
        <f aca="false">IF(OR(NOT(ISNUMBER($D29)),NOT(ISNUMBER($E29)),$E29=0),"",$D29/$E29)</f>
        <v/>
      </c>
      <c r="G29" s="8" t="str">
        <f aca="false">""</f>
        <v/>
      </c>
      <c r="H29" s="8" t="str">
        <f aca="false">""</f>
        <v/>
      </c>
      <c r="I29" s="8" t="str">
        <f aca="false">IF(OR(NOT(ISNUMBER($G29)),NOT(ISNUMBER($H29))),"",$G29-$H29)</f>
        <v/>
      </c>
    </row>
    <row r="30" customFormat="false" ht="15" hidden="false" customHeight="false" outlineLevel="0" collapsed="false">
      <c r="A30" s="5" t="str">
        <f aca="false">IF(NOT(ISNUMBER(Macro_Series!$A30)),"",Macro_Series!$A30)</f>
        <v/>
      </c>
      <c r="B30" s="6" t="str">
        <f aca="false">IF(NOT(ISNUMBER(Macro_Series!$C30)),"",Macro_Series!$C30)</f>
        <v/>
      </c>
      <c r="C30" s="6" t="str">
        <f aca="false">IF(NOT(ISNUMBER(Macro_Series!$E30)),"",Macro_Series!$E30)</f>
        <v/>
      </c>
      <c r="D30" s="7" t="str">
        <f aca="false">IF(OR(NOT(ISNUMBER($B30)),NOT(ISNUMBER($C30)),$C30=0),"",$B30/$C30)</f>
        <v/>
      </c>
      <c r="E30" s="7" t="str">
        <f aca="false">IF(NOT(ISNUMBER(Macro_Series!$H30)),"",Macro_Series!$H30)</f>
        <v/>
      </c>
      <c r="F30" s="7" t="str">
        <f aca="false">IF(OR(NOT(ISNUMBER($D30)),NOT(ISNUMBER($E30)),$E30=0),"",$D30/$E30)</f>
        <v/>
      </c>
      <c r="G30" s="8" t="str">
        <f aca="false">""</f>
        <v/>
      </c>
      <c r="H30" s="8" t="str">
        <f aca="false">""</f>
        <v/>
      </c>
      <c r="I30" s="8" t="str">
        <f aca="false">IF(OR(NOT(ISNUMBER($G30)),NOT(ISNUMBER($H30))),"",$G30-$H30)</f>
        <v/>
      </c>
    </row>
    <row r="31" customFormat="false" ht="15" hidden="false" customHeight="false" outlineLevel="0" collapsed="false">
      <c r="A31" s="5" t="str">
        <f aca="false">IF(NOT(ISNUMBER(Macro_Series!$A31)),"",Macro_Series!$A31)</f>
        <v/>
      </c>
      <c r="B31" s="6" t="str">
        <f aca="false">IF(NOT(ISNUMBER(Macro_Series!$C31)),"",Macro_Series!$C31)</f>
        <v/>
      </c>
      <c r="C31" s="6" t="str">
        <f aca="false">IF(NOT(ISNUMBER(Macro_Series!$E31)),"",Macro_Series!$E31)</f>
        <v/>
      </c>
      <c r="D31" s="7" t="str">
        <f aca="false">IF(OR(NOT(ISNUMBER($B31)),NOT(ISNUMBER($C31)),$C31=0),"",$B31/$C31)</f>
        <v/>
      </c>
      <c r="E31" s="7" t="str">
        <f aca="false">IF(NOT(ISNUMBER(Macro_Series!$H31)),"",Macro_Series!$H31)</f>
        <v/>
      </c>
      <c r="F31" s="7" t="str">
        <f aca="false">IF(OR(NOT(ISNUMBER($D31)),NOT(ISNUMBER($E31)),$E31=0),"",$D31/$E31)</f>
        <v/>
      </c>
      <c r="G31" s="8" t="str">
        <f aca="false">""</f>
        <v/>
      </c>
      <c r="H31" s="8" t="str">
        <f aca="false">""</f>
        <v/>
      </c>
      <c r="I31" s="8" t="str">
        <f aca="false">IF(OR(NOT(ISNUMBER($G31)),NOT(ISNUMBER($H31))),"",$G31-$H31)</f>
        <v/>
      </c>
    </row>
    <row r="32" customFormat="false" ht="15" hidden="false" customHeight="false" outlineLevel="0" collapsed="false">
      <c r="A32" s="5" t="str">
        <f aca="false">IF(NOT(ISNUMBER(Macro_Series!$A32)),"",Macro_Series!$A32)</f>
        <v/>
      </c>
      <c r="B32" s="6" t="str">
        <f aca="false">IF(NOT(ISNUMBER(Macro_Series!$C32)),"",Macro_Series!$C32)</f>
        <v/>
      </c>
      <c r="C32" s="6" t="str">
        <f aca="false">IF(NOT(ISNUMBER(Macro_Series!$E32)),"",Macro_Series!$E32)</f>
        <v/>
      </c>
      <c r="D32" s="7" t="str">
        <f aca="false">IF(OR(NOT(ISNUMBER($B32)),NOT(ISNUMBER($C32)),$C32=0),"",$B32/$C32)</f>
        <v/>
      </c>
      <c r="E32" s="7" t="str">
        <f aca="false">IF(NOT(ISNUMBER(Macro_Series!$H32)),"",Macro_Series!$H32)</f>
        <v/>
      </c>
      <c r="F32" s="7" t="str">
        <f aca="false">IF(OR(NOT(ISNUMBER($D32)),NOT(ISNUMBER($E32)),$E32=0),"",$D32/$E32)</f>
        <v/>
      </c>
      <c r="G32" s="8" t="str">
        <f aca="false">""</f>
        <v/>
      </c>
      <c r="H32" s="8" t="str">
        <f aca="false">""</f>
        <v/>
      </c>
      <c r="I32" s="8" t="str">
        <f aca="false">IF(OR(NOT(ISNUMBER($G32)),NOT(ISNUMBER($H32))),"",$G32-$H32)</f>
        <v/>
      </c>
    </row>
    <row r="33" customFormat="false" ht="15" hidden="false" customHeight="false" outlineLevel="0" collapsed="false">
      <c r="A33" s="5" t="str">
        <f aca="false">IF(NOT(ISNUMBER(Macro_Series!$A33)),"",Macro_Series!$A33)</f>
        <v/>
      </c>
      <c r="B33" s="6" t="str">
        <f aca="false">IF(NOT(ISNUMBER(Macro_Series!$C33)),"",Macro_Series!$C33)</f>
        <v/>
      </c>
      <c r="C33" s="6" t="str">
        <f aca="false">IF(NOT(ISNUMBER(Macro_Series!$E33)),"",Macro_Series!$E33)</f>
        <v/>
      </c>
      <c r="D33" s="7" t="str">
        <f aca="false">IF(OR(NOT(ISNUMBER($B33)),NOT(ISNUMBER($C33)),$C33=0),"",$B33/$C33)</f>
        <v/>
      </c>
      <c r="E33" s="7" t="str">
        <f aca="false">IF(NOT(ISNUMBER(Macro_Series!$H33)),"",Macro_Series!$H33)</f>
        <v/>
      </c>
      <c r="F33" s="7" t="str">
        <f aca="false">IF(OR(NOT(ISNUMBER($D33)),NOT(ISNUMBER($E33)),$E33=0),"",$D33/$E33)</f>
        <v/>
      </c>
      <c r="G33" s="8" t="str">
        <f aca="false">""</f>
        <v/>
      </c>
      <c r="H33" s="8" t="str">
        <f aca="false">""</f>
        <v/>
      </c>
      <c r="I33" s="8" t="str">
        <f aca="false">IF(OR(NOT(ISNUMBER($G33)),NOT(ISNUMBER($H33))),"",$G33-$H33)</f>
        <v/>
      </c>
    </row>
    <row r="34" customFormat="false" ht="15" hidden="false" customHeight="false" outlineLevel="0" collapsed="false">
      <c r="A34" s="5" t="str">
        <f aca="false">IF(NOT(ISNUMBER(Macro_Series!$A34)),"",Macro_Series!$A34)</f>
        <v/>
      </c>
      <c r="B34" s="6" t="str">
        <f aca="false">IF(NOT(ISNUMBER(Macro_Series!$C34)),"",Macro_Series!$C34)</f>
        <v/>
      </c>
      <c r="C34" s="6" t="str">
        <f aca="false">IF(NOT(ISNUMBER(Macro_Series!$E34)),"",Macro_Series!$E34)</f>
        <v/>
      </c>
      <c r="D34" s="7" t="str">
        <f aca="false">IF(OR(NOT(ISNUMBER($B34)),NOT(ISNUMBER($C34)),$C34=0),"",$B34/$C34)</f>
        <v/>
      </c>
      <c r="E34" s="7" t="str">
        <f aca="false">IF(NOT(ISNUMBER(Macro_Series!$H34)),"",Macro_Series!$H34)</f>
        <v/>
      </c>
      <c r="F34" s="7" t="str">
        <f aca="false">IF(OR(NOT(ISNUMBER($D34)),NOT(ISNUMBER($E34)),$E34=0),"",$D34/$E34)</f>
        <v/>
      </c>
      <c r="G34" s="8" t="str">
        <f aca="false">""</f>
        <v/>
      </c>
      <c r="H34" s="8" t="str">
        <f aca="false">""</f>
        <v/>
      </c>
      <c r="I34" s="8" t="str">
        <f aca="false">IF(OR(NOT(ISNUMBER($G34)),NOT(ISNUMBER($H34))),"",$G34-$H34)</f>
        <v/>
      </c>
    </row>
    <row r="35" customFormat="false" ht="15" hidden="false" customHeight="false" outlineLevel="0" collapsed="false">
      <c r="A35" s="5" t="str">
        <f aca="false">IF(NOT(ISNUMBER(Macro_Series!$A35)),"",Macro_Series!$A35)</f>
        <v/>
      </c>
      <c r="B35" s="6" t="str">
        <f aca="false">IF(NOT(ISNUMBER(Macro_Series!$C35)),"",Macro_Series!$C35)</f>
        <v/>
      </c>
      <c r="C35" s="6" t="str">
        <f aca="false">IF(NOT(ISNUMBER(Macro_Series!$E35)),"",Macro_Series!$E35)</f>
        <v/>
      </c>
      <c r="D35" s="7" t="str">
        <f aca="false">IF(OR(NOT(ISNUMBER($B35)),NOT(ISNUMBER($C35)),$C35=0),"",$B35/$C35)</f>
        <v/>
      </c>
      <c r="E35" s="7" t="str">
        <f aca="false">IF(NOT(ISNUMBER(Macro_Series!$H35)),"",Macro_Series!$H35)</f>
        <v/>
      </c>
      <c r="F35" s="7" t="str">
        <f aca="false">IF(OR(NOT(ISNUMBER($D35)),NOT(ISNUMBER($E35)),$E35=0),"",$D35/$E35)</f>
        <v/>
      </c>
      <c r="G35" s="8" t="str">
        <f aca="false">""</f>
        <v/>
      </c>
      <c r="H35" s="8" t="str">
        <f aca="false">""</f>
        <v/>
      </c>
      <c r="I35" s="8" t="str">
        <f aca="false">IF(OR(NOT(ISNUMBER($G35)),NOT(ISNUMBER($H35))),"",$G35-$H35)</f>
        <v/>
      </c>
    </row>
    <row r="36" customFormat="false" ht="15" hidden="false" customHeight="false" outlineLevel="0" collapsed="false">
      <c r="A36" s="5" t="str">
        <f aca="false">IF(NOT(ISNUMBER(Macro_Series!$A36)),"",Macro_Series!$A36)</f>
        <v/>
      </c>
      <c r="B36" s="6" t="str">
        <f aca="false">IF(NOT(ISNUMBER(Macro_Series!$C36)),"",Macro_Series!$C36)</f>
        <v/>
      </c>
      <c r="C36" s="6" t="str">
        <f aca="false">IF(NOT(ISNUMBER(Macro_Series!$E36)),"",Macro_Series!$E36)</f>
        <v/>
      </c>
      <c r="D36" s="7" t="str">
        <f aca="false">IF(OR(NOT(ISNUMBER($B36)),NOT(ISNUMBER($C36)),$C36=0),"",$B36/$C36)</f>
        <v/>
      </c>
      <c r="E36" s="7" t="str">
        <f aca="false">IF(NOT(ISNUMBER(Macro_Series!$H36)),"",Macro_Series!$H36)</f>
        <v/>
      </c>
      <c r="F36" s="7" t="str">
        <f aca="false">IF(OR(NOT(ISNUMBER($D36)),NOT(ISNUMBER($E36)),$E36=0),"",$D36/$E36)</f>
        <v/>
      </c>
      <c r="G36" s="8" t="str">
        <f aca="false">""</f>
        <v/>
      </c>
      <c r="H36" s="8" t="str">
        <f aca="false">""</f>
        <v/>
      </c>
      <c r="I36" s="8" t="str">
        <f aca="false">IF(OR(NOT(ISNUMBER($G36)),NOT(ISNUMBER($H36))),"",$G36-$H36)</f>
        <v/>
      </c>
    </row>
    <row r="37" customFormat="false" ht="15" hidden="false" customHeight="false" outlineLevel="0" collapsed="false">
      <c r="A37" s="5" t="str">
        <f aca="false">IF(NOT(ISNUMBER(Macro_Series!$A37)),"",Macro_Series!$A37)</f>
        <v/>
      </c>
      <c r="B37" s="6" t="str">
        <f aca="false">IF(NOT(ISNUMBER(Macro_Series!$C37)),"",Macro_Series!$C37)</f>
        <v/>
      </c>
      <c r="C37" s="6" t="str">
        <f aca="false">IF(NOT(ISNUMBER(Macro_Series!$E37)),"",Macro_Series!$E37)</f>
        <v/>
      </c>
      <c r="D37" s="7" t="str">
        <f aca="false">IF(OR(NOT(ISNUMBER($B37)),NOT(ISNUMBER($C37)),$C37=0),"",$B37/$C37)</f>
        <v/>
      </c>
      <c r="E37" s="7" t="str">
        <f aca="false">IF(NOT(ISNUMBER(Macro_Series!$H37)),"",Macro_Series!$H37)</f>
        <v/>
      </c>
      <c r="F37" s="7" t="str">
        <f aca="false">IF(OR(NOT(ISNUMBER($D37)),NOT(ISNUMBER($E37)),$E37=0),"",$D37/$E37)</f>
        <v/>
      </c>
      <c r="G37" s="8" t="str">
        <f aca="false">""</f>
        <v/>
      </c>
      <c r="H37" s="8" t="str">
        <f aca="false">""</f>
        <v/>
      </c>
      <c r="I37" s="8" t="str">
        <f aca="false">IF(OR(NOT(ISNUMBER($G37)),NOT(ISNUMBER($H37))),"",$G37-$H37)</f>
        <v/>
      </c>
    </row>
    <row r="38" customFormat="false" ht="15" hidden="false" customHeight="false" outlineLevel="0" collapsed="false">
      <c r="A38" s="5" t="str">
        <f aca="false">IF(NOT(ISNUMBER(Macro_Series!$A38)),"",Macro_Series!$A38)</f>
        <v/>
      </c>
      <c r="B38" s="6" t="str">
        <f aca="false">IF(NOT(ISNUMBER(Macro_Series!$C38)),"",Macro_Series!$C38)</f>
        <v/>
      </c>
      <c r="C38" s="6" t="str">
        <f aca="false">IF(NOT(ISNUMBER(Macro_Series!$E38)),"",Macro_Series!$E38)</f>
        <v/>
      </c>
      <c r="D38" s="7" t="str">
        <f aca="false">IF(OR(NOT(ISNUMBER($B38)),NOT(ISNUMBER($C38)),$C38=0),"",$B38/$C38)</f>
        <v/>
      </c>
      <c r="E38" s="7" t="str">
        <f aca="false">IF(NOT(ISNUMBER(Macro_Series!$H38)),"",Macro_Series!$H38)</f>
        <v/>
      </c>
      <c r="F38" s="7" t="str">
        <f aca="false">IF(OR(NOT(ISNUMBER($D38)),NOT(ISNUMBER($E38)),$E38=0),"",$D38/$E38)</f>
        <v/>
      </c>
      <c r="G38" s="8" t="str">
        <f aca="false">""</f>
        <v/>
      </c>
      <c r="H38" s="8" t="str">
        <f aca="false">""</f>
        <v/>
      </c>
      <c r="I38" s="8" t="str">
        <f aca="false">IF(OR(NOT(ISNUMBER($G38)),NOT(ISNUMBER($H38))),"",$G38-$H38)</f>
        <v/>
      </c>
    </row>
    <row r="39" customFormat="false" ht="15" hidden="false" customHeight="false" outlineLevel="0" collapsed="false">
      <c r="A39" s="5" t="str">
        <f aca="false">IF(NOT(ISNUMBER(Macro_Series!$A39)),"",Macro_Series!$A39)</f>
        <v/>
      </c>
      <c r="B39" s="6" t="str">
        <f aca="false">IF(NOT(ISNUMBER(Macro_Series!$C39)),"",Macro_Series!$C39)</f>
        <v/>
      </c>
      <c r="C39" s="6" t="str">
        <f aca="false">IF(NOT(ISNUMBER(Macro_Series!$E39)),"",Macro_Series!$E39)</f>
        <v/>
      </c>
      <c r="D39" s="7" t="str">
        <f aca="false">IF(OR(NOT(ISNUMBER($B39)),NOT(ISNUMBER($C39)),$C39=0),"",$B39/$C39)</f>
        <v/>
      </c>
      <c r="E39" s="7" t="str">
        <f aca="false">IF(NOT(ISNUMBER(Macro_Series!$H39)),"",Macro_Series!$H39)</f>
        <v/>
      </c>
      <c r="F39" s="7" t="str">
        <f aca="false">IF(OR(NOT(ISNUMBER($D39)),NOT(ISNUMBER($E39)),$E39=0),"",$D39/$E39)</f>
        <v/>
      </c>
      <c r="G39" s="8" t="str">
        <f aca="false">""</f>
        <v/>
      </c>
      <c r="H39" s="8" t="str">
        <f aca="false">""</f>
        <v/>
      </c>
      <c r="I39" s="8" t="str">
        <f aca="false">IF(OR(NOT(ISNUMBER($G39)),NOT(ISNUMBER($H39))),"",$G39-$H39)</f>
        <v/>
      </c>
    </row>
    <row r="40" customFormat="false" ht="15" hidden="false" customHeight="false" outlineLevel="0" collapsed="false">
      <c r="A40" s="5" t="str">
        <f aca="false">IF(NOT(ISNUMBER(Macro_Series!$A40)),"",Macro_Series!$A40)</f>
        <v/>
      </c>
      <c r="B40" s="6" t="str">
        <f aca="false">IF(NOT(ISNUMBER(Macro_Series!$C40)),"",Macro_Series!$C40)</f>
        <v/>
      </c>
      <c r="C40" s="6" t="str">
        <f aca="false">IF(NOT(ISNUMBER(Macro_Series!$E40)),"",Macro_Series!$E40)</f>
        <v/>
      </c>
      <c r="D40" s="7" t="str">
        <f aca="false">IF(OR(NOT(ISNUMBER($B40)),NOT(ISNUMBER($C40)),$C40=0),"",$B40/$C40)</f>
        <v/>
      </c>
      <c r="E40" s="7" t="str">
        <f aca="false">IF(NOT(ISNUMBER(Macro_Series!$H40)),"",Macro_Series!$H40)</f>
        <v/>
      </c>
      <c r="F40" s="7" t="str">
        <f aca="false">IF(OR(NOT(ISNUMBER($D40)),NOT(ISNUMBER($E40)),$E40=0),"",$D40/$E40)</f>
        <v/>
      </c>
      <c r="G40" s="8" t="str">
        <f aca="false">""</f>
        <v/>
      </c>
      <c r="H40" s="8" t="str">
        <f aca="false">""</f>
        <v/>
      </c>
      <c r="I40" s="8" t="str">
        <f aca="false">IF(OR(NOT(ISNUMBER($G40)),NOT(ISNUMBER($H40))),"",$G40-$H40)</f>
        <v/>
      </c>
    </row>
    <row r="41" customFormat="false" ht="15" hidden="false" customHeight="false" outlineLevel="0" collapsed="false">
      <c r="A41" s="5" t="str">
        <f aca="false">IF(NOT(ISNUMBER(Macro_Series!$A41)),"",Macro_Series!$A41)</f>
        <v/>
      </c>
      <c r="B41" s="6" t="str">
        <f aca="false">IF(NOT(ISNUMBER(Macro_Series!$C41)),"",Macro_Series!$C41)</f>
        <v/>
      </c>
      <c r="C41" s="6" t="str">
        <f aca="false">IF(NOT(ISNUMBER(Macro_Series!$E41)),"",Macro_Series!$E41)</f>
        <v/>
      </c>
      <c r="D41" s="7" t="str">
        <f aca="false">IF(OR(NOT(ISNUMBER($B41)),NOT(ISNUMBER($C41)),$C41=0),"",$B41/$C41)</f>
        <v/>
      </c>
      <c r="E41" s="7" t="str">
        <f aca="false">IF(NOT(ISNUMBER(Macro_Series!$H41)),"",Macro_Series!$H41)</f>
        <v/>
      </c>
      <c r="F41" s="7" t="str">
        <f aca="false">IF(OR(NOT(ISNUMBER($D41)),NOT(ISNUMBER($E41)),$E41=0),"",$D41/$E41)</f>
        <v/>
      </c>
      <c r="G41" s="8" t="str">
        <f aca="false">""</f>
        <v/>
      </c>
      <c r="H41" s="8" t="str">
        <f aca="false">""</f>
        <v/>
      </c>
      <c r="I41" s="8" t="str">
        <f aca="false">IF(OR(NOT(ISNUMBER($G41)),NOT(ISNUMBER($H41))),"",$G41-$H41)</f>
        <v/>
      </c>
    </row>
    <row r="42" customFormat="false" ht="15" hidden="false" customHeight="false" outlineLevel="0" collapsed="false">
      <c r="A42" s="5" t="str">
        <f aca="false">IF(NOT(ISNUMBER(Macro_Series!$A42)),"",Macro_Series!$A42)</f>
        <v/>
      </c>
      <c r="B42" s="6" t="str">
        <f aca="false">IF(NOT(ISNUMBER(Macro_Series!$C42)),"",Macro_Series!$C42)</f>
        <v/>
      </c>
      <c r="C42" s="6" t="str">
        <f aca="false">IF(NOT(ISNUMBER(Macro_Series!$E42)),"",Macro_Series!$E42)</f>
        <v/>
      </c>
      <c r="D42" s="7" t="str">
        <f aca="false">IF(OR(NOT(ISNUMBER($B42)),NOT(ISNUMBER($C42)),$C42=0),"",$B42/$C42)</f>
        <v/>
      </c>
      <c r="E42" s="7" t="str">
        <f aca="false">IF(NOT(ISNUMBER(Macro_Series!$H42)),"",Macro_Series!$H42)</f>
        <v/>
      </c>
      <c r="F42" s="7" t="str">
        <f aca="false">IF(OR(NOT(ISNUMBER($D42)),NOT(ISNUMBER($E42)),$E42=0),"",$D42/$E42)</f>
        <v/>
      </c>
      <c r="G42" s="8" t="str">
        <f aca="false">""</f>
        <v/>
      </c>
      <c r="H42" s="8" t="str">
        <f aca="false">""</f>
        <v/>
      </c>
      <c r="I42" s="8" t="str">
        <f aca="false">IF(OR(NOT(ISNUMBER($G42)),NOT(ISNUMBER($H42))),"",$G42-$H42)</f>
        <v/>
      </c>
    </row>
    <row r="43" customFormat="false" ht="15" hidden="false" customHeight="false" outlineLevel="0" collapsed="false">
      <c r="A43" s="5" t="str">
        <f aca="false">IF(NOT(ISNUMBER(Macro_Series!$A43)),"",Macro_Series!$A43)</f>
        <v/>
      </c>
      <c r="B43" s="6" t="str">
        <f aca="false">IF(NOT(ISNUMBER(Macro_Series!$C43)),"",Macro_Series!$C43)</f>
        <v/>
      </c>
      <c r="C43" s="6" t="str">
        <f aca="false">IF(NOT(ISNUMBER(Macro_Series!$E43)),"",Macro_Series!$E43)</f>
        <v/>
      </c>
      <c r="D43" s="7" t="str">
        <f aca="false">IF(OR(NOT(ISNUMBER($B43)),NOT(ISNUMBER($C43)),$C43=0),"",$B43/$C43)</f>
        <v/>
      </c>
      <c r="E43" s="7" t="str">
        <f aca="false">IF(NOT(ISNUMBER(Macro_Series!$H43)),"",Macro_Series!$H43)</f>
        <v/>
      </c>
      <c r="F43" s="7" t="str">
        <f aca="false">IF(OR(NOT(ISNUMBER($D43)),NOT(ISNUMBER($E43)),$E43=0),"",$D43/$E43)</f>
        <v/>
      </c>
      <c r="G43" s="8" t="str">
        <f aca="false">""</f>
        <v/>
      </c>
      <c r="H43" s="8" t="str">
        <f aca="false">""</f>
        <v/>
      </c>
      <c r="I43" s="8" t="str">
        <f aca="false">IF(OR(NOT(ISNUMBER($G43)),NOT(ISNUMBER($H43))),"",$G43-$H43)</f>
        <v/>
      </c>
    </row>
    <row r="44" customFormat="false" ht="15" hidden="false" customHeight="false" outlineLevel="0" collapsed="false">
      <c r="A44" s="5" t="str">
        <f aca="false">IF(NOT(ISNUMBER(Macro_Series!$A44)),"",Macro_Series!$A44)</f>
        <v/>
      </c>
      <c r="B44" s="6" t="str">
        <f aca="false">IF(NOT(ISNUMBER(Macro_Series!$C44)),"",Macro_Series!$C44)</f>
        <v/>
      </c>
      <c r="C44" s="6" t="str">
        <f aca="false">IF(NOT(ISNUMBER(Macro_Series!$E44)),"",Macro_Series!$E44)</f>
        <v/>
      </c>
      <c r="D44" s="7" t="str">
        <f aca="false">IF(OR(NOT(ISNUMBER($B44)),NOT(ISNUMBER($C44)),$C44=0),"",$B44/$C44)</f>
        <v/>
      </c>
      <c r="E44" s="7" t="str">
        <f aca="false">IF(NOT(ISNUMBER(Macro_Series!$H44)),"",Macro_Series!$H44)</f>
        <v/>
      </c>
      <c r="F44" s="7" t="str">
        <f aca="false">IF(OR(NOT(ISNUMBER($D44)),NOT(ISNUMBER($E44)),$E44=0),"",$D44/$E44)</f>
        <v/>
      </c>
      <c r="G44" s="8" t="str">
        <f aca="false">""</f>
        <v/>
      </c>
      <c r="H44" s="8" t="str">
        <f aca="false">""</f>
        <v/>
      </c>
      <c r="I44" s="8" t="str">
        <f aca="false">IF(OR(NOT(ISNUMBER($G44)),NOT(ISNUMBER($H44))),"",$G44-$H44)</f>
        <v/>
      </c>
    </row>
    <row r="45" customFormat="false" ht="15" hidden="false" customHeight="false" outlineLevel="0" collapsed="false">
      <c r="A45" s="5" t="str">
        <f aca="false">IF(NOT(ISNUMBER(Macro_Series!$A45)),"",Macro_Series!$A45)</f>
        <v/>
      </c>
      <c r="B45" s="6" t="str">
        <f aca="false">IF(NOT(ISNUMBER(Macro_Series!$C45)),"",Macro_Series!$C45)</f>
        <v/>
      </c>
      <c r="C45" s="6" t="str">
        <f aca="false">IF(NOT(ISNUMBER(Macro_Series!$E45)),"",Macro_Series!$E45)</f>
        <v/>
      </c>
      <c r="D45" s="7" t="str">
        <f aca="false">IF(OR(NOT(ISNUMBER($B45)),NOT(ISNUMBER($C45)),$C45=0),"",$B45/$C45)</f>
        <v/>
      </c>
      <c r="E45" s="7" t="str">
        <f aca="false">IF(NOT(ISNUMBER(Macro_Series!$H45)),"",Macro_Series!$H45)</f>
        <v/>
      </c>
      <c r="F45" s="7" t="str">
        <f aca="false">IF(OR(NOT(ISNUMBER($D45)),NOT(ISNUMBER($E45)),$E45=0),"",$D45/$E45)</f>
        <v/>
      </c>
      <c r="G45" s="8" t="str">
        <f aca="false">""</f>
        <v/>
      </c>
      <c r="H45" s="8" t="str">
        <f aca="false">""</f>
        <v/>
      </c>
      <c r="I45" s="8" t="str">
        <f aca="false">IF(OR(NOT(ISNUMBER($G45)),NOT(ISNUMBER($H45))),"",$G45-$H45)</f>
        <v/>
      </c>
    </row>
    <row r="46" customFormat="false" ht="15" hidden="false" customHeight="false" outlineLevel="0" collapsed="false">
      <c r="A46" s="5" t="str">
        <f aca="false">IF(NOT(ISNUMBER(Macro_Series!$A46)),"",Macro_Series!$A46)</f>
        <v/>
      </c>
      <c r="B46" s="6" t="str">
        <f aca="false">IF(NOT(ISNUMBER(Macro_Series!$C46)),"",Macro_Series!$C46)</f>
        <v/>
      </c>
      <c r="C46" s="6" t="str">
        <f aca="false">IF(NOT(ISNUMBER(Macro_Series!$E46)),"",Macro_Series!$E46)</f>
        <v/>
      </c>
      <c r="D46" s="7" t="str">
        <f aca="false">IF(OR(NOT(ISNUMBER($B46)),NOT(ISNUMBER($C46)),$C46=0),"",$B46/$C46)</f>
        <v/>
      </c>
      <c r="E46" s="7" t="str">
        <f aca="false">IF(NOT(ISNUMBER(Macro_Series!$H46)),"",Macro_Series!$H46)</f>
        <v/>
      </c>
      <c r="F46" s="7" t="str">
        <f aca="false">IF(OR(NOT(ISNUMBER($D46)),NOT(ISNUMBER($E46)),$E46=0),"",$D46/$E46)</f>
        <v/>
      </c>
      <c r="G46" s="8" t="str">
        <f aca="false">""</f>
        <v/>
      </c>
      <c r="H46" s="8" t="str">
        <f aca="false">""</f>
        <v/>
      </c>
      <c r="I46" s="8" t="str">
        <f aca="false">IF(OR(NOT(ISNUMBER($G46)),NOT(ISNUMBER($H46))),"",$G46-$H46)</f>
        <v/>
      </c>
    </row>
    <row r="47" customFormat="false" ht="15" hidden="false" customHeight="false" outlineLevel="0" collapsed="false">
      <c r="A47" s="5" t="str">
        <f aca="false">IF(NOT(ISNUMBER(Macro_Series!$A47)),"",Macro_Series!$A47)</f>
        <v/>
      </c>
      <c r="B47" s="6" t="str">
        <f aca="false">IF(NOT(ISNUMBER(Macro_Series!$C47)),"",Macro_Series!$C47)</f>
        <v/>
      </c>
      <c r="C47" s="6" t="str">
        <f aca="false">IF(NOT(ISNUMBER(Macro_Series!$E47)),"",Macro_Series!$E47)</f>
        <v/>
      </c>
      <c r="D47" s="7" t="str">
        <f aca="false">IF(OR(NOT(ISNUMBER($B47)),NOT(ISNUMBER($C47)),$C47=0),"",$B47/$C47)</f>
        <v/>
      </c>
      <c r="E47" s="7" t="str">
        <f aca="false">IF(NOT(ISNUMBER(Macro_Series!$H47)),"",Macro_Series!$H47)</f>
        <v/>
      </c>
      <c r="F47" s="7" t="str">
        <f aca="false">IF(OR(NOT(ISNUMBER($D47)),NOT(ISNUMBER($E47)),$E47=0),"",$D47/$E47)</f>
        <v/>
      </c>
      <c r="G47" s="8" t="str">
        <f aca="false">""</f>
        <v/>
      </c>
      <c r="H47" s="8" t="str">
        <f aca="false">""</f>
        <v/>
      </c>
      <c r="I47" s="8" t="str">
        <f aca="false">IF(OR(NOT(ISNUMBER($G47)),NOT(ISNUMBER($H47))),"",$G47-$H47)</f>
        <v/>
      </c>
    </row>
    <row r="48" customFormat="false" ht="15" hidden="false" customHeight="false" outlineLevel="0" collapsed="false">
      <c r="A48" s="5" t="str">
        <f aca="false">IF(NOT(ISNUMBER(Macro_Series!$A48)),"",Macro_Series!$A48)</f>
        <v/>
      </c>
      <c r="B48" s="6" t="str">
        <f aca="false">IF(NOT(ISNUMBER(Macro_Series!$C48)),"",Macro_Series!$C48)</f>
        <v/>
      </c>
      <c r="C48" s="6" t="str">
        <f aca="false">IF(NOT(ISNUMBER(Macro_Series!$E48)),"",Macro_Series!$E48)</f>
        <v/>
      </c>
      <c r="D48" s="7" t="str">
        <f aca="false">IF(OR(NOT(ISNUMBER($B48)),NOT(ISNUMBER($C48)),$C48=0),"",$B48/$C48)</f>
        <v/>
      </c>
      <c r="E48" s="7" t="str">
        <f aca="false">IF(NOT(ISNUMBER(Macro_Series!$H48)),"",Macro_Series!$H48)</f>
        <v/>
      </c>
      <c r="F48" s="7" t="str">
        <f aca="false">IF(OR(NOT(ISNUMBER($D48)),NOT(ISNUMBER($E48)),$E48=0),"",$D48/$E48)</f>
        <v/>
      </c>
      <c r="G48" s="8" t="str">
        <f aca="false">""</f>
        <v/>
      </c>
      <c r="H48" s="8" t="str">
        <f aca="false">""</f>
        <v/>
      </c>
      <c r="I48" s="8" t="str">
        <f aca="false">IF(OR(NOT(ISNUMBER($G48)),NOT(ISNUMBER($H48))),"",$G48-$H48)</f>
        <v/>
      </c>
    </row>
    <row r="49" customFormat="false" ht="15" hidden="false" customHeight="false" outlineLevel="0" collapsed="false">
      <c r="A49" s="5" t="str">
        <f aca="false">IF(NOT(ISNUMBER(Macro_Series!$A49)),"",Macro_Series!$A49)</f>
        <v/>
      </c>
      <c r="B49" s="6" t="str">
        <f aca="false">IF(NOT(ISNUMBER(Macro_Series!$C49)),"",Macro_Series!$C49)</f>
        <v/>
      </c>
      <c r="C49" s="6" t="str">
        <f aca="false">IF(NOT(ISNUMBER(Macro_Series!$E49)),"",Macro_Series!$E49)</f>
        <v/>
      </c>
      <c r="D49" s="7" t="str">
        <f aca="false">IF(OR(NOT(ISNUMBER($B49)),NOT(ISNUMBER($C49)),$C49=0),"",$B49/$C49)</f>
        <v/>
      </c>
      <c r="E49" s="7" t="str">
        <f aca="false">IF(NOT(ISNUMBER(Macro_Series!$H49)),"",Macro_Series!$H49)</f>
        <v/>
      </c>
      <c r="F49" s="7" t="str">
        <f aca="false">IF(OR(NOT(ISNUMBER($D49)),NOT(ISNUMBER($E49)),$E49=0),"",$D49/$E49)</f>
        <v/>
      </c>
      <c r="G49" s="8" t="str">
        <f aca="false">""</f>
        <v/>
      </c>
      <c r="H49" s="8" t="str">
        <f aca="false">""</f>
        <v/>
      </c>
      <c r="I49" s="8" t="str">
        <f aca="false">IF(OR(NOT(ISNUMBER($G49)),NOT(ISNUMBER($H49))),"",$G49-$H49)</f>
        <v/>
      </c>
    </row>
    <row r="50" customFormat="false" ht="15" hidden="false" customHeight="false" outlineLevel="0" collapsed="false">
      <c r="A50" s="5" t="str">
        <f aca="false">IF(NOT(ISNUMBER(Macro_Series!$A50)),"",Macro_Series!$A50)</f>
        <v/>
      </c>
      <c r="B50" s="6" t="str">
        <f aca="false">IF(NOT(ISNUMBER(Macro_Series!$C50)),"",Macro_Series!$C50)</f>
        <v/>
      </c>
      <c r="C50" s="6" t="str">
        <f aca="false">IF(NOT(ISNUMBER(Macro_Series!$E50)),"",Macro_Series!$E50)</f>
        <v/>
      </c>
      <c r="D50" s="7" t="str">
        <f aca="false">IF(OR(NOT(ISNUMBER($B50)),NOT(ISNUMBER($C50)),$C50=0),"",$B50/$C50)</f>
        <v/>
      </c>
      <c r="E50" s="7" t="str">
        <f aca="false">IF(NOT(ISNUMBER(Macro_Series!$H50)),"",Macro_Series!$H50)</f>
        <v/>
      </c>
      <c r="F50" s="7" t="str">
        <f aca="false">IF(OR(NOT(ISNUMBER($D50)),NOT(ISNUMBER($E50)),$E50=0),"",$D50/$E50)</f>
        <v/>
      </c>
      <c r="G50" s="8" t="str">
        <f aca="false">""</f>
        <v/>
      </c>
      <c r="H50" s="8" t="str">
        <f aca="false">""</f>
        <v/>
      </c>
      <c r="I50" s="8" t="str">
        <f aca="false">IF(OR(NOT(ISNUMBER($G50)),NOT(ISNUMBER($H50))),"",$G50-$H50)</f>
        <v/>
      </c>
    </row>
    <row r="51" customFormat="false" ht="15" hidden="false" customHeight="false" outlineLevel="0" collapsed="false">
      <c r="A51" s="5" t="str">
        <f aca="false">IF(NOT(ISNUMBER(Macro_Series!$A51)),"",Macro_Series!$A51)</f>
        <v/>
      </c>
      <c r="B51" s="6" t="str">
        <f aca="false">IF(NOT(ISNUMBER(Macro_Series!$C51)),"",Macro_Series!$C51)</f>
        <v/>
      </c>
      <c r="C51" s="6" t="str">
        <f aca="false">IF(NOT(ISNUMBER(Macro_Series!$E51)),"",Macro_Series!$E51)</f>
        <v/>
      </c>
      <c r="D51" s="7" t="str">
        <f aca="false">IF(OR(NOT(ISNUMBER($B51)),NOT(ISNUMBER($C51)),$C51=0),"",$B51/$C51)</f>
        <v/>
      </c>
      <c r="E51" s="7" t="str">
        <f aca="false">IF(NOT(ISNUMBER(Macro_Series!$H51)),"",Macro_Series!$H51)</f>
        <v/>
      </c>
      <c r="F51" s="7" t="str">
        <f aca="false">IF(OR(NOT(ISNUMBER($D51)),NOT(ISNUMBER($E51)),$E51=0),"",$D51/$E51)</f>
        <v/>
      </c>
      <c r="G51" s="8" t="str">
        <f aca="false">""</f>
        <v/>
      </c>
      <c r="H51" s="8" t="str">
        <f aca="false">""</f>
        <v/>
      </c>
      <c r="I51" s="8" t="str">
        <f aca="false">IF(OR(NOT(ISNUMBER($G51)),NOT(ISNUMBER($H51))),"",$G51-$H51)</f>
        <v/>
      </c>
    </row>
    <row r="52" customFormat="false" ht="15" hidden="false" customHeight="false" outlineLevel="0" collapsed="false">
      <c r="A52" s="5" t="str">
        <f aca="false">IF(NOT(ISNUMBER(Macro_Series!$A52)),"",Macro_Series!$A52)</f>
        <v/>
      </c>
      <c r="B52" s="6" t="str">
        <f aca="false">IF(NOT(ISNUMBER(Macro_Series!$C52)),"",Macro_Series!$C52)</f>
        <v/>
      </c>
      <c r="C52" s="6" t="str">
        <f aca="false">IF(NOT(ISNUMBER(Macro_Series!$E52)),"",Macro_Series!$E52)</f>
        <v/>
      </c>
      <c r="D52" s="7" t="str">
        <f aca="false">IF(OR(NOT(ISNUMBER($B52)),NOT(ISNUMBER($C52)),$C52=0),"",$B52/$C52)</f>
        <v/>
      </c>
      <c r="E52" s="7" t="str">
        <f aca="false">IF(NOT(ISNUMBER(Macro_Series!$H52)),"",Macro_Series!$H52)</f>
        <v/>
      </c>
      <c r="F52" s="7" t="str">
        <f aca="false">IF(OR(NOT(ISNUMBER($D52)),NOT(ISNUMBER($E52)),$E52=0),"",$D52/$E52)</f>
        <v/>
      </c>
      <c r="G52" s="8" t="str">
        <f aca="false">""</f>
        <v/>
      </c>
      <c r="H52" s="8" t="str">
        <f aca="false">""</f>
        <v/>
      </c>
      <c r="I52" s="8" t="str">
        <f aca="false">IF(OR(NOT(ISNUMBER($G52)),NOT(ISNUMBER($H52))),"",$G52-$H52)</f>
        <v/>
      </c>
    </row>
    <row r="53" customFormat="false" ht="15" hidden="false" customHeight="false" outlineLevel="0" collapsed="false">
      <c r="A53" s="5" t="str">
        <f aca="false">IF(NOT(ISNUMBER(Macro_Series!$A53)),"",Macro_Series!$A53)</f>
        <v/>
      </c>
      <c r="B53" s="6" t="str">
        <f aca="false">IF(NOT(ISNUMBER(Macro_Series!$C53)),"",Macro_Series!$C53)</f>
        <v/>
      </c>
      <c r="C53" s="6" t="str">
        <f aca="false">IF(NOT(ISNUMBER(Macro_Series!$E53)),"",Macro_Series!$E53)</f>
        <v/>
      </c>
      <c r="D53" s="7" t="str">
        <f aca="false">IF(OR(NOT(ISNUMBER($B53)),NOT(ISNUMBER($C53)),$C53=0),"",$B53/$C53)</f>
        <v/>
      </c>
      <c r="E53" s="7" t="str">
        <f aca="false">IF(NOT(ISNUMBER(Macro_Series!$H53)),"",Macro_Series!$H53)</f>
        <v/>
      </c>
      <c r="F53" s="7" t="str">
        <f aca="false">IF(OR(NOT(ISNUMBER($D53)),NOT(ISNUMBER($E53)),$E53=0),"",$D53/$E53)</f>
        <v/>
      </c>
      <c r="G53" s="8" t="str">
        <f aca="false">""</f>
        <v/>
      </c>
      <c r="H53" s="8" t="str">
        <f aca="false">""</f>
        <v/>
      </c>
      <c r="I53" s="8" t="str">
        <f aca="false">IF(OR(NOT(ISNUMBER($G53)),NOT(ISNUMBER($H53))),"",$G53-$H53)</f>
        <v/>
      </c>
    </row>
    <row r="54" customFormat="false" ht="15" hidden="false" customHeight="false" outlineLevel="0" collapsed="false">
      <c r="A54" s="5" t="str">
        <f aca="false">IF(NOT(ISNUMBER(Macro_Series!$A54)),"",Macro_Series!$A54)</f>
        <v/>
      </c>
      <c r="B54" s="6" t="str">
        <f aca="false">IF(NOT(ISNUMBER(Macro_Series!$C54)),"",Macro_Series!$C54)</f>
        <v/>
      </c>
      <c r="C54" s="6" t="str">
        <f aca="false">IF(NOT(ISNUMBER(Macro_Series!$E54)),"",Macro_Series!$E54)</f>
        <v/>
      </c>
      <c r="D54" s="7" t="str">
        <f aca="false">IF(OR(NOT(ISNUMBER($B54)),NOT(ISNUMBER($C54)),$C54=0),"",$B54/$C54)</f>
        <v/>
      </c>
      <c r="E54" s="7" t="str">
        <f aca="false">IF(NOT(ISNUMBER(Macro_Series!$H54)),"",Macro_Series!$H54)</f>
        <v/>
      </c>
      <c r="F54" s="7" t="str">
        <f aca="false">IF(OR(NOT(ISNUMBER($D54)),NOT(ISNUMBER($E54)),$E54=0),"",$D54/$E54)</f>
        <v/>
      </c>
      <c r="G54" s="8" t="str">
        <f aca="false">""</f>
        <v/>
      </c>
      <c r="H54" s="8" t="str">
        <f aca="false">""</f>
        <v/>
      </c>
      <c r="I54" s="8" t="str">
        <f aca="false">IF(OR(NOT(ISNUMBER($G54)),NOT(ISNUMBER($H54))),"",$G54-$H54)</f>
        <v/>
      </c>
    </row>
    <row r="55" customFormat="false" ht="15" hidden="false" customHeight="false" outlineLevel="0" collapsed="false">
      <c r="A55" s="5" t="str">
        <f aca="false">IF(NOT(ISNUMBER(Macro_Series!$A55)),"",Macro_Series!$A55)</f>
        <v/>
      </c>
      <c r="B55" s="6" t="str">
        <f aca="false">IF(NOT(ISNUMBER(Macro_Series!$C55)),"",Macro_Series!$C55)</f>
        <v/>
      </c>
      <c r="C55" s="6" t="str">
        <f aca="false">IF(NOT(ISNUMBER(Macro_Series!$E55)),"",Macro_Series!$E55)</f>
        <v/>
      </c>
      <c r="D55" s="7" t="str">
        <f aca="false">IF(OR(NOT(ISNUMBER($B55)),NOT(ISNUMBER($C55)),$C55=0),"",$B55/$C55)</f>
        <v/>
      </c>
      <c r="E55" s="7" t="str">
        <f aca="false">IF(NOT(ISNUMBER(Macro_Series!$H55)),"",Macro_Series!$H55)</f>
        <v/>
      </c>
      <c r="F55" s="7" t="str">
        <f aca="false">IF(OR(NOT(ISNUMBER($D55)),NOT(ISNUMBER($E55)),$E55=0),"",$D55/$E55)</f>
        <v/>
      </c>
      <c r="G55" s="8" t="str">
        <f aca="false">""</f>
        <v/>
      </c>
      <c r="H55" s="8" t="str">
        <f aca="false">""</f>
        <v/>
      </c>
      <c r="I55" s="8" t="str">
        <f aca="false">IF(OR(NOT(ISNUMBER($G55)),NOT(ISNUMBER($H55))),"",$G55-$H55)</f>
        <v/>
      </c>
    </row>
    <row r="56" customFormat="false" ht="15" hidden="false" customHeight="false" outlineLevel="0" collapsed="false">
      <c r="A56" s="5" t="str">
        <f aca="false">IF(NOT(ISNUMBER(Macro_Series!$A56)),"",Macro_Series!$A56)</f>
        <v/>
      </c>
      <c r="B56" s="6" t="str">
        <f aca="false">IF(NOT(ISNUMBER(Macro_Series!$C56)),"",Macro_Series!$C56)</f>
        <v/>
      </c>
      <c r="C56" s="6" t="str">
        <f aca="false">IF(NOT(ISNUMBER(Macro_Series!$E56)),"",Macro_Series!$E56)</f>
        <v/>
      </c>
      <c r="D56" s="7" t="str">
        <f aca="false">IF(OR(NOT(ISNUMBER($B56)),NOT(ISNUMBER($C56)),$C56=0),"",$B56/$C56)</f>
        <v/>
      </c>
      <c r="E56" s="7" t="str">
        <f aca="false">IF(NOT(ISNUMBER(Macro_Series!$H56)),"",Macro_Series!$H56)</f>
        <v/>
      </c>
      <c r="F56" s="7" t="str">
        <f aca="false">IF(OR(NOT(ISNUMBER($D56)),NOT(ISNUMBER($E56)),$E56=0),"",$D56/$E56)</f>
        <v/>
      </c>
      <c r="G56" s="8" t="str">
        <f aca="false">""</f>
        <v/>
      </c>
      <c r="H56" s="8" t="str">
        <f aca="false">""</f>
        <v/>
      </c>
      <c r="I56" s="8" t="str">
        <f aca="false">IF(OR(NOT(ISNUMBER($G56)),NOT(ISNUMBER($H56))),"",$G56-$H56)</f>
        <v/>
      </c>
    </row>
    <row r="57" customFormat="false" ht="15" hidden="false" customHeight="false" outlineLevel="0" collapsed="false">
      <c r="A57" s="5" t="str">
        <f aca="false">IF(NOT(ISNUMBER(Macro_Series!$A57)),"",Macro_Series!$A57)</f>
        <v/>
      </c>
      <c r="B57" s="6" t="str">
        <f aca="false">IF(NOT(ISNUMBER(Macro_Series!$C57)),"",Macro_Series!$C57)</f>
        <v/>
      </c>
      <c r="C57" s="6" t="str">
        <f aca="false">IF(NOT(ISNUMBER(Macro_Series!$E57)),"",Macro_Series!$E57)</f>
        <v/>
      </c>
      <c r="D57" s="7" t="str">
        <f aca="false">IF(OR(NOT(ISNUMBER($B57)),NOT(ISNUMBER($C57)),$C57=0),"",$B57/$C57)</f>
        <v/>
      </c>
      <c r="E57" s="7" t="str">
        <f aca="false">IF(NOT(ISNUMBER(Macro_Series!$H57)),"",Macro_Series!$H57)</f>
        <v/>
      </c>
      <c r="F57" s="7" t="str">
        <f aca="false">IF(OR(NOT(ISNUMBER($D57)),NOT(ISNUMBER($E57)),$E57=0),"",$D57/$E57)</f>
        <v/>
      </c>
      <c r="G57" s="8" t="str">
        <f aca="false">""</f>
        <v/>
      </c>
      <c r="H57" s="8" t="str">
        <f aca="false">""</f>
        <v/>
      </c>
      <c r="I57" s="8" t="str">
        <f aca="false">IF(OR(NOT(ISNUMBER($G57)),NOT(ISNUMBER($H57))),"",$G57-$H57)</f>
        <v/>
      </c>
    </row>
    <row r="58" customFormat="false" ht="15" hidden="false" customHeight="false" outlineLevel="0" collapsed="false">
      <c r="A58" s="5" t="str">
        <f aca="false">IF(NOT(ISNUMBER(Macro_Series!$A58)),"",Macro_Series!$A58)</f>
        <v/>
      </c>
      <c r="B58" s="6" t="str">
        <f aca="false">IF(NOT(ISNUMBER(Macro_Series!$C58)),"",Macro_Series!$C58)</f>
        <v/>
      </c>
      <c r="C58" s="6" t="str">
        <f aca="false">IF(NOT(ISNUMBER(Macro_Series!$E58)),"",Macro_Series!$E58)</f>
        <v/>
      </c>
      <c r="D58" s="7" t="str">
        <f aca="false">IF(OR(NOT(ISNUMBER($B58)),NOT(ISNUMBER($C58)),$C58=0),"",$B58/$C58)</f>
        <v/>
      </c>
      <c r="E58" s="7" t="str">
        <f aca="false">IF(NOT(ISNUMBER(Macro_Series!$H58)),"",Macro_Series!$H58)</f>
        <v/>
      </c>
      <c r="F58" s="7" t="str">
        <f aca="false">IF(OR(NOT(ISNUMBER($D58)),NOT(ISNUMBER($E58)),$E58=0),"",$D58/$E58)</f>
        <v/>
      </c>
      <c r="G58" s="8" t="str">
        <f aca="false">""</f>
        <v/>
      </c>
      <c r="H58" s="8" t="str">
        <f aca="false">""</f>
        <v/>
      </c>
      <c r="I58" s="8" t="str">
        <f aca="false">IF(OR(NOT(ISNUMBER($G58)),NOT(ISNUMBER($H58))),"",$G58-$H58)</f>
        <v/>
      </c>
    </row>
    <row r="59" customFormat="false" ht="15" hidden="false" customHeight="false" outlineLevel="0" collapsed="false">
      <c r="A59" s="5" t="str">
        <f aca="false">IF(NOT(ISNUMBER(Macro_Series!$A59)),"",Macro_Series!$A59)</f>
        <v/>
      </c>
      <c r="B59" s="6" t="str">
        <f aca="false">IF(NOT(ISNUMBER(Macro_Series!$C59)),"",Macro_Series!$C59)</f>
        <v/>
      </c>
      <c r="C59" s="6" t="str">
        <f aca="false">IF(NOT(ISNUMBER(Macro_Series!$E59)),"",Macro_Series!$E59)</f>
        <v/>
      </c>
      <c r="D59" s="7" t="str">
        <f aca="false">IF(OR(NOT(ISNUMBER($B59)),NOT(ISNUMBER($C59)),$C59=0),"",$B59/$C59)</f>
        <v/>
      </c>
      <c r="E59" s="7" t="str">
        <f aca="false">IF(NOT(ISNUMBER(Macro_Series!$H59)),"",Macro_Series!$H59)</f>
        <v/>
      </c>
      <c r="F59" s="7" t="str">
        <f aca="false">IF(OR(NOT(ISNUMBER($D59)),NOT(ISNUMBER($E59)),$E59=0),"",$D59/$E59)</f>
        <v/>
      </c>
      <c r="G59" s="8" t="str">
        <f aca="false">""</f>
        <v/>
      </c>
      <c r="H59" s="8" t="str">
        <f aca="false">""</f>
        <v/>
      </c>
      <c r="I59" s="8" t="str">
        <f aca="false">IF(OR(NOT(ISNUMBER($G59)),NOT(ISNUMBER($H59))),"",$G59-$H59)</f>
        <v/>
      </c>
    </row>
    <row r="60" customFormat="false" ht="15" hidden="false" customHeight="false" outlineLevel="0" collapsed="false">
      <c r="A60" s="5" t="str">
        <f aca="false">IF(NOT(ISNUMBER(Macro_Series!$A60)),"",Macro_Series!$A60)</f>
        <v/>
      </c>
      <c r="B60" s="6" t="str">
        <f aca="false">IF(NOT(ISNUMBER(Macro_Series!$C60)),"",Macro_Series!$C60)</f>
        <v/>
      </c>
      <c r="C60" s="6" t="str">
        <f aca="false">IF(NOT(ISNUMBER(Macro_Series!$E60)),"",Macro_Series!$E60)</f>
        <v/>
      </c>
      <c r="D60" s="7" t="str">
        <f aca="false">IF(OR(NOT(ISNUMBER($B60)),NOT(ISNUMBER($C60)),$C60=0),"",$B60/$C60)</f>
        <v/>
      </c>
      <c r="E60" s="7" t="str">
        <f aca="false">IF(NOT(ISNUMBER(Macro_Series!$H60)),"",Macro_Series!$H60)</f>
        <v/>
      </c>
      <c r="F60" s="7" t="str">
        <f aca="false">IF(OR(NOT(ISNUMBER($D60)),NOT(ISNUMBER($E60)),$E60=0),"",$D60/$E60)</f>
        <v/>
      </c>
      <c r="G60" s="8" t="str">
        <f aca="false">""</f>
        <v/>
      </c>
      <c r="H60" s="8" t="str">
        <f aca="false">""</f>
        <v/>
      </c>
      <c r="I60" s="8" t="str">
        <f aca="false">IF(OR(NOT(ISNUMBER($G60)),NOT(ISNUMBER($H60))),"",$G60-$H60)</f>
        <v/>
      </c>
    </row>
    <row r="61" customFormat="false" ht="15" hidden="false" customHeight="false" outlineLevel="0" collapsed="false">
      <c r="A61" s="5" t="str">
        <f aca="false">IF(NOT(ISNUMBER(Macro_Series!$A61)),"",Macro_Series!$A61)</f>
        <v/>
      </c>
      <c r="B61" s="6" t="str">
        <f aca="false">IF(NOT(ISNUMBER(Macro_Series!$C61)),"",Macro_Series!$C61)</f>
        <v/>
      </c>
      <c r="C61" s="6" t="str">
        <f aca="false">IF(NOT(ISNUMBER(Macro_Series!$E61)),"",Macro_Series!$E61)</f>
        <v/>
      </c>
      <c r="D61" s="7" t="str">
        <f aca="false">IF(OR(NOT(ISNUMBER($B61)),NOT(ISNUMBER($C61)),$C61=0),"",$B61/$C61)</f>
        <v/>
      </c>
      <c r="E61" s="7" t="str">
        <f aca="false">IF(NOT(ISNUMBER(Macro_Series!$H61)),"",Macro_Series!$H61)</f>
        <v/>
      </c>
      <c r="F61" s="7" t="str">
        <f aca="false">IF(OR(NOT(ISNUMBER($D61)),NOT(ISNUMBER($E61)),$E61=0),"",$D61/$E61)</f>
        <v/>
      </c>
      <c r="G61" s="8" t="str">
        <f aca="false">""</f>
        <v/>
      </c>
      <c r="H61" s="8" t="str">
        <f aca="false">""</f>
        <v/>
      </c>
      <c r="I61" s="8" t="str">
        <f aca="false">IF(OR(NOT(ISNUMBER($G61)),NOT(ISNUMBER($H61))),"",$G61-$H61)</f>
        <v/>
      </c>
    </row>
    <row r="62" customFormat="false" ht="15" hidden="false" customHeight="false" outlineLevel="0" collapsed="false">
      <c r="A62" s="5" t="str">
        <f aca="false">IF(NOT(ISNUMBER(Macro_Series!$A62)),"",Macro_Series!$A62)</f>
        <v/>
      </c>
      <c r="B62" s="6" t="str">
        <f aca="false">IF(NOT(ISNUMBER(Macro_Series!$C62)),"",Macro_Series!$C62)</f>
        <v/>
      </c>
      <c r="C62" s="6" t="str">
        <f aca="false">IF(NOT(ISNUMBER(Macro_Series!$E62)),"",Macro_Series!$E62)</f>
        <v/>
      </c>
      <c r="D62" s="7" t="str">
        <f aca="false">IF(OR(NOT(ISNUMBER($B62)),NOT(ISNUMBER($C62)),$C62=0),"",$B62/$C62)</f>
        <v/>
      </c>
      <c r="E62" s="7" t="str">
        <f aca="false">IF(NOT(ISNUMBER(Macro_Series!$H62)),"",Macro_Series!$H62)</f>
        <v/>
      </c>
      <c r="F62" s="7" t="str">
        <f aca="false">IF(OR(NOT(ISNUMBER($D62)),NOT(ISNUMBER($E62)),$E62=0),"",$D62/$E62)</f>
        <v/>
      </c>
      <c r="G62" s="8" t="str">
        <f aca="false">""</f>
        <v/>
      </c>
      <c r="H62" s="8" t="str">
        <f aca="false">""</f>
        <v/>
      </c>
      <c r="I62" s="8" t="str">
        <f aca="false">IF(OR(NOT(ISNUMBER($G62)),NOT(ISNUMBER($H62))),"",$G62-$H62)</f>
        <v/>
      </c>
    </row>
    <row r="63" customFormat="false" ht="15" hidden="false" customHeight="false" outlineLevel="0" collapsed="false">
      <c r="A63" s="5" t="str">
        <f aca="false">IF(NOT(ISNUMBER(Macro_Series!$A63)),"",Macro_Series!$A63)</f>
        <v/>
      </c>
      <c r="B63" s="6" t="str">
        <f aca="false">IF(NOT(ISNUMBER(Macro_Series!$C63)),"",Macro_Series!$C63)</f>
        <v/>
      </c>
      <c r="C63" s="6" t="str">
        <f aca="false">IF(NOT(ISNUMBER(Macro_Series!$E63)),"",Macro_Series!$E63)</f>
        <v/>
      </c>
      <c r="D63" s="7" t="str">
        <f aca="false">IF(OR(NOT(ISNUMBER($B63)),NOT(ISNUMBER($C63)),$C63=0),"",$B63/$C63)</f>
        <v/>
      </c>
      <c r="E63" s="7" t="str">
        <f aca="false">IF(NOT(ISNUMBER(Macro_Series!$H63)),"",Macro_Series!$H63)</f>
        <v/>
      </c>
      <c r="F63" s="7" t="str">
        <f aca="false">IF(OR(NOT(ISNUMBER($D63)),NOT(ISNUMBER($E63)),$E63=0),"",$D63/$E63)</f>
        <v/>
      </c>
      <c r="G63" s="8" t="str">
        <f aca="false">""</f>
        <v/>
      </c>
      <c r="H63" s="8" t="str">
        <f aca="false">""</f>
        <v/>
      </c>
      <c r="I63" s="8" t="str">
        <f aca="false">IF(OR(NOT(ISNUMBER($G63)),NOT(ISNUMBER($H63))),"",$G63-$H63)</f>
        <v/>
      </c>
    </row>
    <row r="64" customFormat="false" ht="15" hidden="false" customHeight="false" outlineLevel="0" collapsed="false">
      <c r="A64" s="5" t="str">
        <f aca="false">IF(NOT(ISNUMBER(Macro_Series!$A64)),"",Macro_Series!$A64)</f>
        <v/>
      </c>
      <c r="B64" s="6" t="str">
        <f aca="false">IF(NOT(ISNUMBER(Macro_Series!$C64)),"",Macro_Series!$C64)</f>
        <v/>
      </c>
      <c r="C64" s="6" t="str">
        <f aca="false">IF(NOT(ISNUMBER(Macro_Series!$E64)),"",Macro_Series!$E64)</f>
        <v/>
      </c>
      <c r="D64" s="7" t="str">
        <f aca="false">IF(OR(NOT(ISNUMBER($B64)),NOT(ISNUMBER($C64)),$C64=0),"",$B64/$C64)</f>
        <v/>
      </c>
      <c r="E64" s="7" t="str">
        <f aca="false">IF(NOT(ISNUMBER(Macro_Series!$H64)),"",Macro_Series!$H64)</f>
        <v/>
      </c>
      <c r="F64" s="7" t="str">
        <f aca="false">IF(OR(NOT(ISNUMBER($D64)),NOT(ISNUMBER($E64)),$E64=0),"",$D64/$E64)</f>
        <v/>
      </c>
      <c r="G64" s="8" t="str">
        <f aca="false">""</f>
        <v/>
      </c>
      <c r="H64" s="8" t="str">
        <f aca="false">""</f>
        <v/>
      </c>
      <c r="I64" s="8" t="str">
        <f aca="false">IF(OR(NOT(ISNUMBER($G64)),NOT(ISNUMBER($H64))),"",$G64-$H64)</f>
        <v/>
      </c>
    </row>
    <row r="65" customFormat="false" ht="15" hidden="false" customHeight="false" outlineLevel="0" collapsed="false">
      <c r="A65" s="5" t="str">
        <f aca="false">IF(NOT(ISNUMBER(Macro_Series!$A65)),"",Macro_Series!$A65)</f>
        <v/>
      </c>
      <c r="B65" s="6" t="str">
        <f aca="false">IF(NOT(ISNUMBER(Macro_Series!$C65)),"",Macro_Series!$C65)</f>
        <v/>
      </c>
      <c r="C65" s="6" t="str">
        <f aca="false">IF(NOT(ISNUMBER(Macro_Series!$E65)),"",Macro_Series!$E65)</f>
        <v/>
      </c>
      <c r="D65" s="7" t="str">
        <f aca="false">IF(OR(NOT(ISNUMBER($B65)),NOT(ISNUMBER($C65)),$C65=0),"",$B65/$C65)</f>
        <v/>
      </c>
      <c r="E65" s="7" t="str">
        <f aca="false">IF(NOT(ISNUMBER(Macro_Series!$H65)),"",Macro_Series!$H65)</f>
        <v/>
      </c>
      <c r="F65" s="7" t="str">
        <f aca="false">IF(OR(NOT(ISNUMBER($D65)),NOT(ISNUMBER($E65)),$E65=0),"",$D65/$E65)</f>
        <v/>
      </c>
      <c r="G65" s="8" t="str">
        <f aca="false">""</f>
        <v/>
      </c>
      <c r="H65" s="8" t="str">
        <f aca="false">""</f>
        <v/>
      </c>
      <c r="I65" s="8" t="str">
        <f aca="false">IF(OR(NOT(ISNUMBER($G65)),NOT(ISNUMBER($H65))),"",$G65-$H65)</f>
        <v/>
      </c>
    </row>
    <row r="66" customFormat="false" ht="15" hidden="false" customHeight="false" outlineLevel="0" collapsed="false">
      <c r="A66" s="5" t="str">
        <f aca="false">IF(NOT(ISNUMBER(Macro_Series!$A66)),"",Macro_Series!$A66)</f>
        <v/>
      </c>
      <c r="B66" s="6" t="str">
        <f aca="false">IF(NOT(ISNUMBER(Macro_Series!$C66)),"",Macro_Series!$C66)</f>
        <v/>
      </c>
      <c r="C66" s="6" t="str">
        <f aca="false">IF(NOT(ISNUMBER(Macro_Series!$E66)),"",Macro_Series!$E66)</f>
        <v/>
      </c>
      <c r="D66" s="7" t="str">
        <f aca="false">IF(OR(NOT(ISNUMBER($B66)),NOT(ISNUMBER($C66)),$C66=0),"",$B66/$C66)</f>
        <v/>
      </c>
      <c r="E66" s="7" t="str">
        <f aca="false">IF(NOT(ISNUMBER(Macro_Series!$H66)),"",Macro_Series!$H66)</f>
        <v/>
      </c>
      <c r="F66" s="7" t="str">
        <f aca="false">IF(OR(NOT(ISNUMBER($D66)),NOT(ISNUMBER($E66)),$E66=0),"",$D66/$E66)</f>
        <v/>
      </c>
      <c r="G66" s="8" t="str">
        <f aca="false">""</f>
        <v/>
      </c>
      <c r="H66" s="8" t="str">
        <f aca="false">""</f>
        <v/>
      </c>
      <c r="I66" s="8" t="str">
        <f aca="false">IF(OR(NOT(ISNUMBER($G66)),NOT(ISNUMBER($H66))),"",$G66-$H66)</f>
        <v/>
      </c>
    </row>
    <row r="67" customFormat="false" ht="15" hidden="false" customHeight="false" outlineLevel="0" collapsed="false">
      <c r="A67" s="5" t="str">
        <f aca="false">IF(NOT(ISNUMBER(Macro_Series!$A67)),"",Macro_Series!$A67)</f>
        <v/>
      </c>
      <c r="B67" s="6" t="str">
        <f aca="false">IF(NOT(ISNUMBER(Macro_Series!$C67)),"",Macro_Series!$C67)</f>
        <v/>
      </c>
      <c r="C67" s="6" t="str">
        <f aca="false">IF(NOT(ISNUMBER(Macro_Series!$E67)),"",Macro_Series!$E67)</f>
        <v/>
      </c>
      <c r="D67" s="7" t="str">
        <f aca="false">IF(OR(NOT(ISNUMBER($B67)),NOT(ISNUMBER($C67)),$C67=0),"",$B67/$C67)</f>
        <v/>
      </c>
      <c r="E67" s="7" t="str">
        <f aca="false">IF(NOT(ISNUMBER(Macro_Series!$H67)),"",Macro_Series!$H67)</f>
        <v/>
      </c>
      <c r="F67" s="7" t="str">
        <f aca="false">IF(OR(NOT(ISNUMBER($D67)),NOT(ISNUMBER($E67)),$E67=0),"",$D67/$E67)</f>
        <v/>
      </c>
      <c r="G67" s="8" t="str">
        <f aca="false">""</f>
        <v/>
      </c>
      <c r="H67" s="8" t="str">
        <f aca="false">""</f>
        <v/>
      </c>
      <c r="I67" s="8" t="str">
        <f aca="false">IF(OR(NOT(ISNUMBER($G67)),NOT(ISNUMBER($H67))),"",$G67-$H67)</f>
        <v/>
      </c>
    </row>
    <row r="68" customFormat="false" ht="15" hidden="false" customHeight="false" outlineLevel="0" collapsed="false">
      <c r="A68" s="5" t="str">
        <f aca="false">IF(NOT(ISNUMBER(Macro_Series!$A68)),"",Macro_Series!$A68)</f>
        <v/>
      </c>
      <c r="B68" s="6" t="str">
        <f aca="false">IF(NOT(ISNUMBER(Macro_Series!$C68)),"",Macro_Series!$C68)</f>
        <v/>
      </c>
      <c r="C68" s="6" t="str">
        <f aca="false">IF(NOT(ISNUMBER(Macro_Series!$E68)),"",Macro_Series!$E68)</f>
        <v/>
      </c>
      <c r="D68" s="7" t="str">
        <f aca="false">IF(OR(NOT(ISNUMBER($B68)),NOT(ISNUMBER($C68)),$C68=0),"",$B68/$C68)</f>
        <v/>
      </c>
      <c r="E68" s="7" t="str">
        <f aca="false">IF(NOT(ISNUMBER(Macro_Series!$H68)),"",Macro_Series!$H68)</f>
        <v/>
      </c>
      <c r="F68" s="7" t="str">
        <f aca="false">IF(OR(NOT(ISNUMBER($D68)),NOT(ISNUMBER($E68)),$E68=0),"",$D68/$E68)</f>
        <v/>
      </c>
      <c r="G68" s="8" t="str">
        <f aca="false">""</f>
        <v/>
      </c>
      <c r="H68" s="8" t="str">
        <f aca="false">""</f>
        <v/>
      </c>
      <c r="I68" s="8" t="str">
        <f aca="false">IF(OR(NOT(ISNUMBER($G68)),NOT(ISNUMBER($H68))),"",$G68-$H68)</f>
        <v/>
      </c>
    </row>
    <row r="69" customFormat="false" ht="15" hidden="false" customHeight="false" outlineLevel="0" collapsed="false">
      <c r="A69" s="5" t="str">
        <f aca="false">IF(NOT(ISNUMBER(Macro_Series!$A69)),"",Macro_Series!$A69)</f>
        <v/>
      </c>
      <c r="B69" s="6" t="str">
        <f aca="false">IF(NOT(ISNUMBER(Macro_Series!$C69)),"",Macro_Series!$C69)</f>
        <v/>
      </c>
      <c r="C69" s="6" t="str">
        <f aca="false">IF(NOT(ISNUMBER(Macro_Series!$E69)),"",Macro_Series!$E69)</f>
        <v/>
      </c>
      <c r="D69" s="7" t="str">
        <f aca="false">IF(OR(NOT(ISNUMBER($B69)),NOT(ISNUMBER($C69)),$C69=0),"",$B69/$C69)</f>
        <v/>
      </c>
      <c r="E69" s="7" t="str">
        <f aca="false">IF(NOT(ISNUMBER(Macro_Series!$H69)),"",Macro_Series!$H69)</f>
        <v/>
      </c>
      <c r="F69" s="7" t="str">
        <f aca="false">IF(OR(NOT(ISNUMBER($D69)),NOT(ISNUMBER($E69)),$E69=0),"",$D69/$E69)</f>
        <v/>
      </c>
      <c r="G69" s="8" t="str">
        <f aca="false">""</f>
        <v/>
      </c>
      <c r="H69" s="8" t="str">
        <f aca="false">""</f>
        <v/>
      </c>
      <c r="I69" s="8" t="str">
        <f aca="false">IF(OR(NOT(ISNUMBER($G69)),NOT(ISNUMBER($H69))),"",$G69-$H69)</f>
        <v/>
      </c>
    </row>
    <row r="70" customFormat="false" ht="15" hidden="false" customHeight="false" outlineLevel="0" collapsed="false">
      <c r="A70" s="5" t="str">
        <f aca="false">IF(NOT(ISNUMBER(Macro_Series!$A70)),"",Macro_Series!$A70)</f>
        <v/>
      </c>
      <c r="B70" s="6" t="str">
        <f aca="false">IF(NOT(ISNUMBER(Macro_Series!$C70)),"",Macro_Series!$C70)</f>
        <v/>
      </c>
      <c r="C70" s="6" t="str">
        <f aca="false">IF(NOT(ISNUMBER(Macro_Series!$E70)),"",Macro_Series!$E70)</f>
        <v/>
      </c>
      <c r="D70" s="7" t="str">
        <f aca="false">IF(OR(NOT(ISNUMBER($B70)),NOT(ISNUMBER($C70)),$C70=0),"",$B70/$C70)</f>
        <v/>
      </c>
      <c r="E70" s="7" t="str">
        <f aca="false">IF(NOT(ISNUMBER(Macro_Series!$H70)),"",Macro_Series!$H70)</f>
        <v/>
      </c>
      <c r="F70" s="7" t="str">
        <f aca="false">IF(OR(NOT(ISNUMBER($D70)),NOT(ISNUMBER($E70)),$E70=0),"",$D70/$E70)</f>
        <v/>
      </c>
      <c r="G70" s="8" t="str">
        <f aca="false">""</f>
        <v/>
      </c>
      <c r="H70" s="8" t="str">
        <f aca="false">""</f>
        <v/>
      </c>
      <c r="I70" s="8" t="str">
        <f aca="false">IF(OR(NOT(ISNUMBER($G70)),NOT(ISNUMBER($H70))),"",$G70-$H70)</f>
        <v/>
      </c>
    </row>
    <row r="71" customFormat="false" ht="15" hidden="false" customHeight="false" outlineLevel="0" collapsed="false">
      <c r="A71" s="5" t="str">
        <f aca="false">IF(NOT(ISNUMBER(Macro_Series!$A71)),"",Macro_Series!$A71)</f>
        <v/>
      </c>
      <c r="B71" s="6" t="str">
        <f aca="false">IF(NOT(ISNUMBER(Macro_Series!$C71)),"",Macro_Series!$C71)</f>
        <v/>
      </c>
      <c r="C71" s="6" t="str">
        <f aca="false">IF(NOT(ISNUMBER(Macro_Series!$E71)),"",Macro_Series!$E71)</f>
        <v/>
      </c>
      <c r="D71" s="7" t="str">
        <f aca="false">IF(OR(NOT(ISNUMBER($B71)),NOT(ISNUMBER($C71)),$C71=0),"",$B71/$C71)</f>
        <v/>
      </c>
      <c r="E71" s="7" t="str">
        <f aca="false">IF(NOT(ISNUMBER(Macro_Series!$H71)),"",Macro_Series!$H71)</f>
        <v/>
      </c>
      <c r="F71" s="7" t="str">
        <f aca="false">IF(OR(NOT(ISNUMBER($D71)),NOT(ISNUMBER($E71)),$E71=0),"",$D71/$E71)</f>
        <v/>
      </c>
      <c r="G71" s="8" t="str">
        <f aca="false">""</f>
        <v/>
      </c>
      <c r="H71" s="8" t="str">
        <f aca="false">""</f>
        <v/>
      </c>
      <c r="I71" s="8" t="str">
        <f aca="false">IF(OR(NOT(ISNUMBER($G71)),NOT(ISNUMBER($H71))),"",$G71-$H71)</f>
        <v/>
      </c>
    </row>
    <row r="72" customFormat="false" ht="15" hidden="false" customHeight="false" outlineLevel="0" collapsed="false">
      <c r="A72" s="5" t="str">
        <f aca="false">IF(NOT(ISNUMBER(Macro_Series!$A72)),"",Macro_Series!$A72)</f>
        <v/>
      </c>
      <c r="B72" s="6" t="str">
        <f aca="false">IF(NOT(ISNUMBER(Macro_Series!$C72)),"",Macro_Series!$C72)</f>
        <v/>
      </c>
      <c r="C72" s="6" t="str">
        <f aca="false">IF(NOT(ISNUMBER(Macro_Series!$E72)),"",Macro_Series!$E72)</f>
        <v/>
      </c>
      <c r="D72" s="7" t="str">
        <f aca="false">IF(OR(NOT(ISNUMBER($B72)),NOT(ISNUMBER($C72)),$C72=0),"",$B72/$C72)</f>
        <v/>
      </c>
      <c r="E72" s="7" t="str">
        <f aca="false">IF(NOT(ISNUMBER(Macro_Series!$H72)),"",Macro_Series!$H72)</f>
        <v/>
      </c>
      <c r="F72" s="7" t="str">
        <f aca="false">IF(OR(NOT(ISNUMBER($D72)),NOT(ISNUMBER($E72)),$E72=0),"",$D72/$E72)</f>
        <v/>
      </c>
      <c r="G72" s="8" t="str">
        <f aca="false">""</f>
        <v/>
      </c>
      <c r="H72" s="8" t="str">
        <f aca="false">""</f>
        <v/>
      </c>
      <c r="I72" s="8" t="str">
        <f aca="false">IF(OR(NOT(ISNUMBER($G72)),NOT(ISNUMBER($H72))),"",$G72-$H72)</f>
        <v/>
      </c>
    </row>
    <row r="73" customFormat="false" ht="15" hidden="false" customHeight="false" outlineLevel="0" collapsed="false">
      <c r="A73" s="5" t="str">
        <f aca="false">IF(NOT(ISNUMBER(Macro_Series!$A73)),"",Macro_Series!$A73)</f>
        <v/>
      </c>
      <c r="B73" s="6" t="str">
        <f aca="false">IF(NOT(ISNUMBER(Macro_Series!$C73)),"",Macro_Series!$C73)</f>
        <v/>
      </c>
      <c r="C73" s="6" t="str">
        <f aca="false">IF(NOT(ISNUMBER(Macro_Series!$E73)),"",Macro_Series!$E73)</f>
        <v/>
      </c>
      <c r="D73" s="7" t="str">
        <f aca="false">IF(OR(NOT(ISNUMBER($B73)),NOT(ISNUMBER($C73)),$C73=0),"",$B73/$C73)</f>
        <v/>
      </c>
      <c r="E73" s="7" t="str">
        <f aca="false">IF(NOT(ISNUMBER(Macro_Series!$H73)),"",Macro_Series!$H73)</f>
        <v/>
      </c>
      <c r="F73" s="7" t="str">
        <f aca="false">IF(OR(NOT(ISNUMBER($D73)),NOT(ISNUMBER($E73)),$E73=0),"",$D73/$E73)</f>
        <v/>
      </c>
      <c r="G73" s="8" t="str">
        <f aca="false">""</f>
        <v/>
      </c>
      <c r="H73" s="8" t="str">
        <f aca="false">""</f>
        <v/>
      </c>
      <c r="I73" s="8" t="str">
        <f aca="false">IF(OR(NOT(ISNUMBER($G73)),NOT(ISNUMBER($H73))),"",$G73-$H73)</f>
        <v/>
      </c>
    </row>
    <row r="74" customFormat="false" ht="15" hidden="false" customHeight="false" outlineLevel="0" collapsed="false">
      <c r="A74" s="5" t="str">
        <f aca="false">IF(NOT(ISNUMBER(Macro_Series!$A74)),"",Macro_Series!$A74)</f>
        <v/>
      </c>
      <c r="B74" s="6" t="str">
        <f aca="false">IF(NOT(ISNUMBER(Macro_Series!$C74)),"",Macro_Series!$C74)</f>
        <v/>
      </c>
      <c r="C74" s="6" t="str">
        <f aca="false">IF(NOT(ISNUMBER(Macro_Series!$E74)),"",Macro_Series!$E74)</f>
        <v/>
      </c>
      <c r="D74" s="7" t="str">
        <f aca="false">IF(OR(NOT(ISNUMBER($B74)),NOT(ISNUMBER($C74)),$C74=0),"",$B74/$C74)</f>
        <v/>
      </c>
      <c r="E74" s="7" t="str">
        <f aca="false">IF(NOT(ISNUMBER(Macro_Series!$H74)),"",Macro_Series!$H74)</f>
        <v/>
      </c>
      <c r="F74" s="7" t="str">
        <f aca="false">IF(OR(NOT(ISNUMBER($D74)),NOT(ISNUMBER($E74)),$E74=0),"",$D74/$E74)</f>
        <v/>
      </c>
      <c r="G74" s="8" t="str">
        <f aca="false">""</f>
        <v/>
      </c>
      <c r="H74" s="8" t="str">
        <f aca="false">""</f>
        <v/>
      </c>
      <c r="I74" s="8" t="str">
        <f aca="false">IF(OR(NOT(ISNUMBER($G74)),NOT(ISNUMBER($H74))),"",$G74-$H74)</f>
        <v/>
      </c>
    </row>
    <row r="75" customFormat="false" ht="15" hidden="false" customHeight="false" outlineLevel="0" collapsed="false">
      <c r="A75" s="5" t="str">
        <f aca="false">IF(NOT(ISNUMBER(Macro_Series!$A75)),"",Macro_Series!$A75)</f>
        <v/>
      </c>
      <c r="B75" s="6" t="str">
        <f aca="false">IF(NOT(ISNUMBER(Macro_Series!$C75)),"",Macro_Series!$C75)</f>
        <v/>
      </c>
      <c r="C75" s="6" t="str">
        <f aca="false">IF(NOT(ISNUMBER(Macro_Series!$E75)),"",Macro_Series!$E75)</f>
        <v/>
      </c>
      <c r="D75" s="7" t="str">
        <f aca="false">IF(OR(NOT(ISNUMBER($B75)),NOT(ISNUMBER($C75)),$C75=0),"",$B75/$C75)</f>
        <v/>
      </c>
      <c r="E75" s="7" t="str">
        <f aca="false">IF(NOT(ISNUMBER(Macro_Series!$H75)),"",Macro_Series!$H75)</f>
        <v/>
      </c>
      <c r="F75" s="7" t="str">
        <f aca="false">IF(OR(NOT(ISNUMBER($D75)),NOT(ISNUMBER($E75)),$E75=0),"",$D75/$E75)</f>
        <v/>
      </c>
      <c r="G75" s="8" t="str">
        <f aca="false">""</f>
        <v/>
      </c>
      <c r="H75" s="8" t="str">
        <f aca="false">""</f>
        <v/>
      </c>
      <c r="I75" s="8" t="str">
        <f aca="false">IF(OR(NOT(ISNUMBER($G75)),NOT(ISNUMBER($H75))),"",$G75-$H75)</f>
        <v/>
      </c>
    </row>
    <row r="76" customFormat="false" ht="15" hidden="false" customHeight="false" outlineLevel="0" collapsed="false">
      <c r="A76" s="5" t="str">
        <f aca="false">IF(NOT(ISNUMBER(Macro_Series!$A76)),"",Macro_Series!$A76)</f>
        <v/>
      </c>
      <c r="B76" s="6" t="str">
        <f aca="false">IF(NOT(ISNUMBER(Macro_Series!$C76)),"",Macro_Series!$C76)</f>
        <v/>
      </c>
      <c r="C76" s="6" t="str">
        <f aca="false">IF(NOT(ISNUMBER(Macro_Series!$E76)),"",Macro_Series!$E76)</f>
        <v/>
      </c>
      <c r="D76" s="7" t="str">
        <f aca="false">IF(OR(NOT(ISNUMBER($B76)),NOT(ISNUMBER($C76)),$C76=0),"",$B76/$C76)</f>
        <v/>
      </c>
      <c r="E76" s="7" t="str">
        <f aca="false">IF(NOT(ISNUMBER(Macro_Series!$H76)),"",Macro_Series!$H76)</f>
        <v/>
      </c>
      <c r="F76" s="7" t="str">
        <f aca="false">IF(OR(NOT(ISNUMBER($D76)),NOT(ISNUMBER($E76)),$E76=0),"",$D76/$E76)</f>
        <v/>
      </c>
      <c r="G76" s="8" t="str">
        <f aca="false">""</f>
        <v/>
      </c>
      <c r="H76" s="8" t="str">
        <f aca="false">""</f>
        <v/>
      </c>
      <c r="I76" s="8" t="str">
        <f aca="false">IF(OR(NOT(ISNUMBER($G76)),NOT(ISNUMBER($H76))),"",$G76-$H76)</f>
        <v/>
      </c>
    </row>
    <row r="77" customFormat="false" ht="15" hidden="false" customHeight="false" outlineLevel="0" collapsed="false">
      <c r="A77" s="5" t="str">
        <f aca="false">IF(NOT(ISNUMBER(Macro_Series!$A77)),"",Macro_Series!$A77)</f>
        <v/>
      </c>
      <c r="B77" s="6" t="str">
        <f aca="false">IF(NOT(ISNUMBER(Macro_Series!$C77)),"",Macro_Series!$C77)</f>
        <v/>
      </c>
      <c r="C77" s="6" t="str">
        <f aca="false">IF(NOT(ISNUMBER(Macro_Series!$E77)),"",Macro_Series!$E77)</f>
        <v/>
      </c>
      <c r="D77" s="7" t="str">
        <f aca="false">IF(OR(NOT(ISNUMBER($B77)),NOT(ISNUMBER($C77)),$C77=0),"",$B77/$C77)</f>
        <v/>
      </c>
      <c r="E77" s="7" t="str">
        <f aca="false">IF(NOT(ISNUMBER(Macro_Series!$H77)),"",Macro_Series!$H77)</f>
        <v/>
      </c>
      <c r="F77" s="7" t="str">
        <f aca="false">IF(OR(NOT(ISNUMBER($D77)),NOT(ISNUMBER($E77)),$E77=0),"",$D77/$E77)</f>
        <v/>
      </c>
      <c r="G77" s="8" t="str">
        <f aca="false">""</f>
        <v/>
      </c>
      <c r="H77" s="8" t="str">
        <f aca="false">""</f>
        <v/>
      </c>
      <c r="I77" s="8" t="str">
        <f aca="false">IF(OR(NOT(ISNUMBER($G77)),NOT(ISNUMBER($H77))),"",$G77-$H77)</f>
        <v/>
      </c>
    </row>
    <row r="78" customFormat="false" ht="15" hidden="false" customHeight="false" outlineLevel="0" collapsed="false">
      <c r="A78" s="5" t="str">
        <f aca="false">IF(NOT(ISNUMBER(Macro_Series!$A78)),"",Macro_Series!$A78)</f>
        <v/>
      </c>
      <c r="B78" s="6" t="str">
        <f aca="false">IF(NOT(ISNUMBER(Macro_Series!$C78)),"",Macro_Series!$C78)</f>
        <v/>
      </c>
      <c r="C78" s="6" t="str">
        <f aca="false">IF(NOT(ISNUMBER(Macro_Series!$E78)),"",Macro_Series!$E78)</f>
        <v/>
      </c>
      <c r="D78" s="7" t="str">
        <f aca="false">IF(OR(NOT(ISNUMBER($B78)),NOT(ISNUMBER($C78)),$C78=0),"",$B78/$C78)</f>
        <v/>
      </c>
      <c r="E78" s="7" t="str">
        <f aca="false">IF(NOT(ISNUMBER(Macro_Series!$H78)),"",Macro_Series!$H78)</f>
        <v/>
      </c>
      <c r="F78" s="7" t="str">
        <f aca="false">IF(OR(NOT(ISNUMBER($D78)),NOT(ISNUMBER($E78)),$E78=0),"",$D78/$E78)</f>
        <v/>
      </c>
      <c r="G78" s="8" t="str">
        <f aca="false">""</f>
        <v/>
      </c>
      <c r="H78" s="8" t="str">
        <f aca="false">""</f>
        <v/>
      </c>
      <c r="I78" s="8" t="str">
        <f aca="false">IF(OR(NOT(ISNUMBER($G78)),NOT(ISNUMBER($H78))),"",$G78-$H78)</f>
        <v/>
      </c>
    </row>
    <row r="79" customFormat="false" ht="15" hidden="false" customHeight="false" outlineLevel="0" collapsed="false">
      <c r="A79" s="5" t="str">
        <f aca="false">IF(NOT(ISNUMBER(Macro_Series!$A79)),"",Macro_Series!$A79)</f>
        <v/>
      </c>
      <c r="B79" s="6" t="str">
        <f aca="false">IF(NOT(ISNUMBER(Macro_Series!$C79)),"",Macro_Series!$C79)</f>
        <v/>
      </c>
      <c r="C79" s="6" t="str">
        <f aca="false">IF(NOT(ISNUMBER(Macro_Series!$E79)),"",Macro_Series!$E79)</f>
        <v/>
      </c>
      <c r="D79" s="7" t="str">
        <f aca="false">IF(OR(NOT(ISNUMBER($B79)),NOT(ISNUMBER($C79)),$C79=0),"",$B79/$C79)</f>
        <v/>
      </c>
      <c r="E79" s="7" t="str">
        <f aca="false">IF(NOT(ISNUMBER(Macro_Series!$H79)),"",Macro_Series!$H79)</f>
        <v/>
      </c>
      <c r="F79" s="7" t="str">
        <f aca="false">IF(OR(NOT(ISNUMBER($D79)),NOT(ISNUMBER($E79)),$E79=0),"",$D79/$E79)</f>
        <v/>
      </c>
      <c r="G79" s="8" t="str">
        <f aca="false">""</f>
        <v/>
      </c>
      <c r="H79" s="8" t="str">
        <f aca="false">""</f>
        <v/>
      </c>
      <c r="I79" s="8" t="str">
        <f aca="false">IF(OR(NOT(ISNUMBER($G79)),NOT(ISNUMBER($H79))),"",$G79-$H79)</f>
        <v/>
      </c>
    </row>
    <row r="80" customFormat="false" ht="15" hidden="false" customHeight="false" outlineLevel="0" collapsed="false">
      <c r="A80" s="5" t="str">
        <f aca="false">IF(NOT(ISNUMBER(Macro_Series!$A80)),"",Macro_Series!$A80)</f>
        <v/>
      </c>
      <c r="B80" s="6" t="str">
        <f aca="false">IF(NOT(ISNUMBER(Macro_Series!$C80)),"",Macro_Series!$C80)</f>
        <v/>
      </c>
      <c r="C80" s="6" t="str">
        <f aca="false">IF(NOT(ISNUMBER(Macro_Series!$E80)),"",Macro_Series!$E80)</f>
        <v/>
      </c>
      <c r="D80" s="7" t="str">
        <f aca="false">IF(OR(NOT(ISNUMBER($B80)),NOT(ISNUMBER($C80)),$C80=0),"",$B80/$C80)</f>
        <v/>
      </c>
      <c r="E80" s="7" t="str">
        <f aca="false">IF(NOT(ISNUMBER(Macro_Series!$H80)),"",Macro_Series!$H80)</f>
        <v/>
      </c>
      <c r="F80" s="7" t="str">
        <f aca="false">IF(OR(NOT(ISNUMBER($D80)),NOT(ISNUMBER($E80)),$E80=0),"",$D80/$E80)</f>
        <v/>
      </c>
      <c r="G80" s="8" t="str">
        <f aca="false">""</f>
        <v/>
      </c>
      <c r="H80" s="8" t="str">
        <f aca="false">""</f>
        <v/>
      </c>
      <c r="I80" s="8" t="str">
        <f aca="false">IF(OR(NOT(ISNUMBER($G80)),NOT(ISNUMBER($H80))),"",$G80-$H80)</f>
        <v/>
      </c>
    </row>
    <row r="81" customFormat="false" ht="15" hidden="false" customHeight="false" outlineLevel="0" collapsed="false">
      <c r="A81" s="5" t="str">
        <f aca="false">IF(NOT(ISNUMBER(Macro_Series!$A81)),"",Macro_Series!$A81)</f>
        <v/>
      </c>
      <c r="B81" s="6" t="str">
        <f aca="false">IF(NOT(ISNUMBER(Macro_Series!$C81)),"",Macro_Series!$C81)</f>
        <v/>
      </c>
      <c r="C81" s="6" t="str">
        <f aca="false">IF(NOT(ISNUMBER(Macro_Series!$E81)),"",Macro_Series!$E81)</f>
        <v/>
      </c>
      <c r="D81" s="7" t="str">
        <f aca="false">IF(OR(NOT(ISNUMBER($B81)),NOT(ISNUMBER($C81)),$C81=0),"",$B81/$C81)</f>
        <v/>
      </c>
      <c r="E81" s="7" t="str">
        <f aca="false">IF(NOT(ISNUMBER(Macro_Series!$H81)),"",Macro_Series!$H81)</f>
        <v/>
      </c>
      <c r="F81" s="7" t="str">
        <f aca="false">IF(OR(NOT(ISNUMBER($D81)),NOT(ISNUMBER($E81)),$E81=0),"",$D81/$E81)</f>
        <v/>
      </c>
      <c r="G81" s="8" t="str">
        <f aca="false">""</f>
        <v/>
      </c>
      <c r="H81" s="8" t="str">
        <f aca="false">""</f>
        <v/>
      </c>
      <c r="I81" s="8" t="str">
        <f aca="false">IF(OR(NOT(ISNUMBER($G81)),NOT(ISNUMBER($H81))),"",$G81-$H81)</f>
        <v/>
      </c>
    </row>
    <row r="82" customFormat="false" ht="15" hidden="false" customHeight="false" outlineLevel="0" collapsed="false">
      <c r="A82" s="5" t="str">
        <f aca="false">IF(NOT(ISNUMBER(Macro_Series!$A82)),"",Macro_Series!$A82)</f>
        <v/>
      </c>
      <c r="B82" s="6" t="str">
        <f aca="false">IF(NOT(ISNUMBER(Macro_Series!$C82)),"",Macro_Series!$C82)</f>
        <v/>
      </c>
      <c r="C82" s="6" t="str">
        <f aca="false">IF(NOT(ISNUMBER(Macro_Series!$E82)),"",Macro_Series!$E82)</f>
        <v/>
      </c>
      <c r="D82" s="7" t="str">
        <f aca="false">IF(OR(NOT(ISNUMBER($B82)),NOT(ISNUMBER($C82)),$C82=0),"",$B82/$C82)</f>
        <v/>
      </c>
      <c r="E82" s="7" t="str">
        <f aca="false">IF(NOT(ISNUMBER(Macro_Series!$H82)),"",Macro_Series!$H82)</f>
        <v/>
      </c>
      <c r="F82" s="7" t="str">
        <f aca="false">IF(OR(NOT(ISNUMBER($D82)),NOT(ISNUMBER($E82)),$E82=0),"",$D82/$E82)</f>
        <v/>
      </c>
      <c r="G82" s="8" t="str">
        <f aca="false">""</f>
        <v/>
      </c>
      <c r="H82" s="8" t="str">
        <f aca="false">""</f>
        <v/>
      </c>
      <c r="I82" s="8" t="str">
        <f aca="false">IF(OR(NOT(ISNUMBER($G82)),NOT(ISNUMBER($H82))),"",$G82-$H82)</f>
        <v/>
      </c>
    </row>
    <row r="83" customFormat="false" ht="15" hidden="false" customHeight="false" outlineLevel="0" collapsed="false">
      <c r="A83" s="5" t="str">
        <f aca="false">IF(NOT(ISNUMBER(Macro_Series!$A83)),"",Macro_Series!$A83)</f>
        <v/>
      </c>
      <c r="B83" s="6" t="str">
        <f aca="false">IF(NOT(ISNUMBER(Macro_Series!$C83)),"",Macro_Series!$C83)</f>
        <v/>
      </c>
      <c r="C83" s="6" t="str">
        <f aca="false">IF(NOT(ISNUMBER(Macro_Series!$E83)),"",Macro_Series!$E83)</f>
        <v/>
      </c>
      <c r="D83" s="7" t="str">
        <f aca="false">IF(OR(NOT(ISNUMBER($B83)),NOT(ISNUMBER($C83)),$C83=0),"",$B83/$C83)</f>
        <v/>
      </c>
      <c r="E83" s="7" t="str">
        <f aca="false">IF(NOT(ISNUMBER(Macro_Series!$H83)),"",Macro_Series!$H83)</f>
        <v/>
      </c>
      <c r="F83" s="7" t="str">
        <f aca="false">IF(OR(NOT(ISNUMBER($D83)),NOT(ISNUMBER($E83)),$E83=0),"",$D83/$E83)</f>
        <v/>
      </c>
      <c r="G83" s="8" t="str">
        <f aca="false">""</f>
        <v/>
      </c>
      <c r="H83" s="8" t="str">
        <f aca="false">""</f>
        <v/>
      </c>
      <c r="I83" s="8" t="str">
        <f aca="false">IF(OR(NOT(ISNUMBER($G83)),NOT(ISNUMBER($H83))),"",$G83-$H83)</f>
        <v/>
      </c>
    </row>
    <row r="84" customFormat="false" ht="15" hidden="false" customHeight="false" outlineLevel="0" collapsed="false">
      <c r="A84" s="5" t="str">
        <f aca="false">IF(NOT(ISNUMBER(Macro_Series!$A84)),"",Macro_Series!$A84)</f>
        <v/>
      </c>
      <c r="B84" s="6" t="str">
        <f aca="false">IF(NOT(ISNUMBER(Macro_Series!$C84)),"",Macro_Series!$C84)</f>
        <v/>
      </c>
      <c r="C84" s="6" t="str">
        <f aca="false">IF(NOT(ISNUMBER(Macro_Series!$E84)),"",Macro_Series!$E84)</f>
        <v/>
      </c>
      <c r="D84" s="7" t="str">
        <f aca="false">IF(OR(NOT(ISNUMBER($B84)),NOT(ISNUMBER($C84)),$C84=0),"",$B84/$C84)</f>
        <v/>
      </c>
      <c r="E84" s="7" t="str">
        <f aca="false">IF(NOT(ISNUMBER(Macro_Series!$H84)),"",Macro_Series!$H84)</f>
        <v/>
      </c>
      <c r="F84" s="7" t="str">
        <f aca="false">IF(OR(NOT(ISNUMBER($D84)),NOT(ISNUMBER($E84)),$E84=0),"",$D84/$E84)</f>
        <v/>
      </c>
      <c r="G84" s="8" t="str">
        <f aca="false">""</f>
        <v/>
      </c>
      <c r="H84" s="8" t="str">
        <f aca="false">""</f>
        <v/>
      </c>
      <c r="I84" s="8" t="str">
        <f aca="false">IF(OR(NOT(ISNUMBER($G84)),NOT(ISNUMBER($H84))),"",$G84-$H84)</f>
        <v/>
      </c>
    </row>
    <row r="85" customFormat="false" ht="15" hidden="false" customHeight="false" outlineLevel="0" collapsed="false">
      <c r="A85" s="5" t="str">
        <f aca="false">IF(NOT(ISNUMBER(Macro_Series!$A85)),"",Macro_Series!$A85)</f>
        <v/>
      </c>
      <c r="B85" s="6" t="str">
        <f aca="false">IF(NOT(ISNUMBER(Macro_Series!$C85)),"",Macro_Series!$C85)</f>
        <v/>
      </c>
      <c r="C85" s="6" t="str">
        <f aca="false">IF(NOT(ISNUMBER(Macro_Series!$E85)),"",Macro_Series!$E85)</f>
        <v/>
      </c>
      <c r="D85" s="7" t="str">
        <f aca="false">IF(OR(NOT(ISNUMBER($B85)),NOT(ISNUMBER($C85)),$C85=0),"",$B85/$C85)</f>
        <v/>
      </c>
      <c r="E85" s="7" t="str">
        <f aca="false">IF(NOT(ISNUMBER(Macro_Series!$H85)),"",Macro_Series!$H85)</f>
        <v/>
      </c>
      <c r="F85" s="7" t="str">
        <f aca="false">IF(OR(NOT(ISNUMBER($D85)),NOT(ISNUMBER($E85)),$E85=0),"",$D85/$E85)</f>
        <v/>
      </c>
      <c r="G85" s="8" t="str">
        <f aca="false">""</f>
        <v/>
      </c>
      <c r="H85" s="8" t="str">
        <f aca="false">""</f>
        <v/>
      </c>
      <c r="I85" s="8" t="str">
        <f aca="false">IF(OR(NOT(ISNUMBER($G85)),NOT(ISNUMBER($H85))),"",$G85-$H85)</f>
        <v/>
      </c>
    </row>
    <row r="86" customFormat="false" ht="15" hidden="false" customHeight="false" outlineLevel="0" collapsed="false">
      <c r="A86" s="5" t="str">
        <f aca="false">IF(NOT(ISNUMBER(Macro_Series!$A86)),"",Macro_Series!$A86)</f>
        <v/>
      </c>
      <c r="B86" s="6" t="str">
        <f aca="false">IF(NOT(ISNUMBER(Macro_Series!$C86)),"",Macro_Series!$C86)</f>
        <v/>
      </c>
      <c r="C86" s="6" t="str">
        <f aca="false">IF(NOT(ISNUMBER(Macro_Series!$E86)),"",Macro_Series!$E86)</f>
        <v/>
      </c>
      <c r="D86" s="7" t="str">
        <f aca="false">IF(OR(NOT(ISNUMBER($B86)),NOT(ISNUMBER($C86)),$C86=0),"",$B86/$C86)</f>
        <v/>
      </c>
      <c r="E86" s="7" t="str">
        <f aca="false">IF(NOT(ISNUMBER(Macro_Series!$H86)),"",Macro_Series!$H86)</f>
        <v/>
      </c>
      <c r="F86" s="7" t="str">
        <f aca="false">IF(OR(NOT(ISNUMBER($D86)),NOT(ISNUMBER($E86)),$E86=0),"",$D86/$E86)</f>
        <v/>
      </c>
      <c r="G86" s="8" t="str">
        <f aca="false">""</f>
        <v/>
      </c>
      <c r="H86" s="8" t="str">
        <f aca="false">""</f>
        <v/>
      </c>
      <c r="I86" s="8" t="str">
        <f aca="false">IF(OR(NOT(ISNUMBER($G86)),NOT(ISNUMBER($H86))),"",$G86-$H86)</f>
        <v/>
      </c>
    </row>
    <row r="87" customFormat="false" ht="15" hidden="false" customHeight="false" outlineLevel="0" collapsed="false">
      <c r="A87" s="5" t="str">
        <f aca="false">IF(NOT(ISNUMBER(Macro_Series!$A87)),"",Macro_Series!$A87)</f>
        <v/>
      </c>
      <c r="B87" s="6" t="str">
        <f aca="false">IF(NOT(ISNUMBER(Macro_Series!$C87)),"",Macro_Series!$C87)</f>
        <v/>
      </c>
      <c r="C87" s="6" t="str">
        <f aca="false">IF(NOT(ISNUMBER(Macro_Series!$E87)),"",Macro_Series!$E87)</f>
        <v/>
      </c>
      <c r="D87" s="7" t="str">
        <f aca="false">IF(OR(NOT(ISNUMBER($B87)),NOT(ISNUMBER($C87)),$C87=0),"",$B87/$C87)</f>
        <v/>
      </c>
      <c r="E87" s="7" t="str">
        <f aca="false">IF(NOT(ISNUMBER(Macro_Series!$H87)),"",Macro_Series!$H87)</f>
        <v/>
      </c>
      <c r="F87" s="7" t="str">
        <f aca="false">IF(OR(NOT(ISNUMBER($D87)),NOT(ISNUMBER($E87)),$E87=0),"",$D87/$E87)</f>
        <v/>
      </c>
      <c r="G87" s="8" t="str">
        <f aca="false">""</f>
        <v/>
      </c>
      <c r="H87" s="8" t="str">
        <f aca="false">""</f>
        <v/>
      </c>
      <c r="I87" s="8" t="str">
        <f aca="false">IF(OR(NOT(ISNUMBER($G87)),NOT(ISNUMBER($H87))),"",$G87-$H87)</f>
        <v/>
      </c>
    </row>
    <row r="88" customFormat="false" ht="15" hidden="false" customHeight="false" outlineLevel="0" collapsed="false">
      <c r="A88" s="5" t="str">
        <f aca="false">IF(NOT(ISNUMBER(Macro_Series!$A88)),"",Macro_Series!$A88)</f>
        <v/>
      </c>
      <c r="B88" s="6" t="str">
        <f aca="false">IF(NOT(ISNUMBER(Macro_Series!$C88)),"",Macro_Series!$C88)</f>
        <v/>
      </c>
      <c r="C88" s="6" t="str">
        <f aca="false">IF(NOT(ISNUMBER(Macro_Series!$E88)),"",Macro_Series!$E88)</f>
        <v/>
      </c>
      <c r="D88" s="7" t="str">
        <f aca="false">IF(OR(NOT(ISNUMBER($B88)),NOT(ISNUMBER($C88)),$C88=0),"",$B88/$C88)</f>
        <v/>
      </c>
      <c r="E88" s="7" t="str">
        <f aca="false">IF(NOT(ISNUMBER(Macro_Series!$H88)),"",Macro_Series!$H88)</f>
        <v/>
      </c>
      <c r="F88" s="7" t="str">
        <f aca="false">IF(OR(NOT(ISNUMBER($D88)),NOT(ISNUMBER($E88)),$E88=0),"",$D88/$E88)</f>
        <v/>
      </c>
      <c r="G88" s="8" t="str">
        <f aca="false">""</f>
        <v/>
      </c>
      <c r="H88" s="8" t="str">
        <f aca="false">""</f>
        <v/>
      </c>
      <c r="I88" s="8" t="str">
        <f aca="false">IF(OR(NOT(ISNUMBER($G88)),NOT(ISNUMBER($H88))),"",$G88-$H88)</f>
        <v/>
      </c>
    </row>
    <row r="89" customFormat="false" ht="15" hidden="false" customHeight="false" outlineLevel="0" collapsed="false">
      <c r="A89" s="5" t="str">
        <f aca="false">IF(NOT(ISNUMBER(Macro_Series!$A89)),"",Macro_Series!$A89)</f>
        <v/>
      </c>
      <c r="B89" s="6" t="str">
        <f aca="false">IF(NOT(ISNUMBER(Macro_Series!$C89)),"",Macro_Series!$C89)</f>
        <v/>
      </c>
      <c r="C89" s="6" t="str">
        <f aca="false">IF(NOT(ISNUMBER(Macro_Series!$E89)),"",Macro_Series!$E89)</f>
        <v/>
      </c>
      <c r="D89" s="7" t="str">
        <f aca="false">IF(OR(NOT(ISNUMBER($B89)),NOT(ISNUMBER($C89)),$C89=0),"",$B89/$C89)</f>
        <v/>
      </c>
      <c r="E89" s="7" t="str">
        <f aca="false">IF(NOT(ISNUMBER(Macro_Series!$H89)),"",Macro_Series!$H89)</f>
        <v/>
      </c>
      <c r="F89" s="7" t="str">
        <f aca="false">IF(OR(NOT(ISNUMBER($D89)),NOT(ISNUMBER($E89)),$E89=0),"",$D89/$E89)</f>
        <v/>
      </c>
      <c r="G89" s="8" t="str">
        <f aca="false">""</f>
        <v/>
      </c>
      <c r="H89" s="8" t="str">
        <f aca="false">""</f>
        <v/>
      </c>
      <c r="I89" s="8" t="str">
        <f aca="false">IF(OR(NOT(ISNUMBER($G89)),NOT(ISNUMBER($H89))),"",$G89-$H89)</f>
        <v/>
      </c>
    </row>
    <row r="90" customFormat="false" ht="15" hidden="false" customHeight="false" outlineLevel="0" collapsed="false">
      <c r="A90" s="5" t="str">
        <f aca="false">IF(NOT(ISNUMBER(Macro_Series!$A90)),"",Macro_Series!$A90)</f>
        <v/>
      </c>
      <c r="B90" s="6" t="str">
        <f aca="false">IF(NOT(ISNUMBER(Macro_Series!$C90)),"",Macro_Series!$C90)</f>
        <v/>
      </c>
      <c r="C90" s="6" t="str">
        <f aca="false">IF(NOT(ISNUMBER(Macro_Series!$E90)),"",Macro_Series!$E90)</f>
        <v/>
      </c>
      <c r="D90" s="7" t="str">
        <f aca="false">IF(OR(NOT(ISNUMBER($B90)),NOT(ISNUMBER($C90)),$C90=0),"",$B90/$C90)</f>
        <v/>
      </c>
      <c r="E90" s="7" t="str">
        <f aca="false">IF(NOT(ISNUMBER(Macro_Series!$H90)),"",Macro_Series!$H90)</f>
        <v/>
      </c>
      <c r="F90" s="7" t="str">
        <f aca="false">IF(OR(NOT(ISNUMBER($D90)),NOT(ISNUMBER($E90)),$E90=0),"",$D90/$E90)</f>
        <v/>
      </c>
      <c r="G90" s="8" t="str">
        <f aca="false">""</f>
        <v/>
      </c>
      <c r="H90" s="8" t="str">
        <f aca="false">""</f>
        <v/>
      </c>
      <c r="I90" s="8" t="str">
        <f aca="false">IF(OR(NOT(ISNUMBER($G90)),NOT(ISNUMBER($H90))),"",$G90-$H90)</f>
        <v/>
      </c>
    </row>
    <row r="91" customFormat="false" ht="15" hidden="false" customHeight="false" outlineLevel="0" collapsed="false">
      <c r="A91" s="5" t="str">
        <f aca="false">IF(NOT(ISNUMBER(Macro_Series!$A91)),"",Macro_Series!$A91)</f>
        <v/>
      </c>
      <c r="B91" s="6" t="str">
        <f aca="false">IF(NOT(ISNUMBER(Macro_Series!$C91)),"",Macro_Series!$C91)</f>
        <v/>
      </c>
      <c r="C91" s="6" t="str">
        <f aca="false">IF(NOT(ISNUMBER(Macro_Series!$E91)),"",Macro_Series!$E91)</f>
        <v/>
      </c>
      <c r="D91" s="7" t="str">
        <f aca="false">IF(OR(NOT(ISNUMBER($B91)),NOT(ISNUMBER($C91)),$C91=0),"",$B91/$C91)</f>
        <v/>
      </c>
      <c r="E91" s="7" t="str">
        <f aca="false">IF(NOT(ISNUMBER(Macro_Series!$H91)),"",Macro_Series!$H91)</f>
        <v/>
      </c>
      <c r="F91" s="7" t="str">
        <f aca="false">IF(OR(NOT(ISNUMBER($D91)),NOT(ISNUMBER($E91)),$E91=0),"",$D91/$E91)</f>
        <v/>
      </c>
      <c r="G91" s="8" t="str">
        <f aca="false">""</f>
        <v/>
      </c>
      <c r="H91" s="8" t="str">
        <f aca="false">""</f>
        <v/>
      </c>
      <c r="I91" s="8" t="str">
        <f aca="false">IF(OR(NOT(ISNUMBER($G91)),NOT(ISNUMBER($H91))),"",$G91-$H91)</f>
        <v/>
      </c>
    </row>
    <row r="92" customFormat="false" ht="15" hidden="false" customHeight="false" outlineLevel="0" collapsed="false">
      <c r="A92" s="5" t="str">
        <f aca="false">IF(NOT(ISNUMBER(Macro_Series!$A92)),"",Macro_Series!$A92)</f>
        <v/>
      </c>
      <c r="B92" s="6" t="str">
        <f aca="false">IF(NOT(ISNUMBER(Macro_Series!$C92)),"",Macro_Series!$C92)</f>
        <v/>
      </c>
      <c r="C92" s="6" t="str">
        <f aca="false">IF(NOT(ISNUMBER(Macro_Series!$E92)),"",Macro_Series!$E92)</f>
        <v/>
      </c>
      <c r="D92" s="7" t="str">
        <f aca="false">IF(OR(NOT(ISNUMBER($B92)),NOT(ISNUMBER($C92)),$C92=0),"",$B92/$C92)</f>
        <v/>
      </c>
      <c r="E92" s="7" t="str">
        <f aca="false">IF(NOT(ISNUMBER(Macro_Series!$H92)),"",Macro_Series!$H92)</f>
        <v/>
      </c>
      <c r="F92" s="7" t="str">
        <f aca="false">IF(OR(NOT(ISNUMBER($D92)),NOT(ISNUMBER($E92)),$E92=0),"",$D92/$E92)</f>
        <v/>
      </c>
      <c r="G92" s="8" t="str">
        <f aca="false">""</f>
        <v/>
      </c>
      <c r="H92" s="8" t="str">
        <f aca="false">""</f>
        <v/>
      </c>
      <c r="I92" s="8" t="str">
        <f aca="false">IF(OR(NOT(ISNUMBER($G92)),NOT(ISNUMBER($H92))),"",$G92-$H92)</f>
        <v/>
      </c>
    </row>
    <row r="93" customFormat="false" ht="15" hidden="false" customHeight="false" outlineLevel="0" collapsed="false">
      <c r="A93" s="5" t="str">
        <f aca="false">IF(NOT(ISNUMBER(Macro_Series!$A93)),"",Macro_Series!$A93)</f>
        <v/>
      </c>
      <c r="B93" s="6" t="str">
        <f aca="false">IF(NOT(ISNUMBER(Macro_Series!$C93)),"",Macro_Series!$C93)</f>
        <v/>
      </c>
      <c r="C93" s="6" t="str">
        <f aca="false">IF(NOT(ISNUMBER(Macro_Series!$E93)),"",Macro_Series!$E93)</f>
        <v/>
      </c>
      <c r="D93" s="7" t="str">
        <f aca="false">IF(OR(NOT(ISNUMBER($B93)),NOT(ISNUMBER($C93)),$C93=0),"",$B93/$C93)</f>
        <v/>
      </c>
      <c r="E93" s="7" t="str">
        <f aca="false">IF(NOT(ISNUMBER(Macro_Series!$H93)),"",Macro_Series!$H93)</f>
        <v/>
      </c>
      <c r="F93" s="7" t="str">
        <f aca="false">IF(OR(NOT(ISNUMBER($D93)),NOT(ISNUMBER($E93)),$E93=0),"",$D93/$E93)</f>
        <v/>
      </c>
      <c r="G93" s="8" t="str">
        <f aca="false">""</f>
        <v/>
      </c>
      <c r="H93" s="8" t="str">
        <f aca="false">""</f>
        <v/>
      </c>
      <c r="I93" s="8" t="str">
        <f aca="false">IF(OR(NOT(ISNUMBER($G93)),NOT(ISNUMBER($H93))),"",$G93-$H93)</f>
        <v/>
      </c>
    </row>
    <row r="94" customFormat="false" ht="15" hidden="false" customHeight="false" outlineLevel="0" collapsed="false">
      <c r="A94" s="5" t="str">
        <f aca="false">IF(NOT(ISNUMBER(Macro_Series!$A94)),"",Macro_Series!$A94)</f>
        <v/>
      </c>
      <c r="B94" s="6" t="str">
        <f aca="false">IF(NOT(ISNUMBER(Macro_Series!$C94)),"",Macro_Series!$C94)</f>
        <v/>
      </c>
      <c r="C94" s="6" t="str">
        <f aca="false">IF(NOT(ISNUMBER(Macro_Series!$E94)),"",Macro_Series!$E94)</f>
        <v/>
      </c>
      <c r="D94" s="7" t="str">
        <f aca="false">IF(OR(NOT(ISNUMBER($B94)),NOT(ISNUMBER($C94)),$C94=0),"",$B94/$C94)</f>
        <v/>
      </c>
      <c r="E94" s="7" t="str">
        <f aca="false">IF(NOT(ISNUMBER(Macro_Series!$H94)),"",Macro_Series!$H94)</f>
        <v/>
      </c>
      <c r="F94" s="7" t="str">
        <f aca="false">IF(OR(NOT(ISNUMBER($D94)),NOT(ISNUMBER($E94)),$E94=0),"",$D94/$E94)</f>
        <v/>
      </c>
      <c r="G94" s="8" t="str">
        <f aca="false">""</f>
        <v/>
      </c>
      <c r="H94" s="8" t="str">
        <f aca="false">""</f>
        <v/>
      </c>
      <c r="I94" s="8" t="str">
        <f aca="false">IF(OR(NOT(ISNUMBER($G94)),NOT(ISNUMBER($H94))),"",$G94-$H94)</f>
        <v/>
      </c>
    </row>
    <row r="95" customFormat="false" ht="15" hidden="false" customHeight="false" outlineLevel="0" collapsed="false">
      <c r="A95" s="5" t="str">
        <f aca="false">IF(NOT(ISNUMBER(Macro_Series!$A95)),"",Macro_Series!$A95)</f>
        <v/>
      </c>
      <c r="B95" s="6" t="str">
        <f aca="false">IF(NOT(ISNUMBER(Macro_Series!$C95)),"",Macro_Series!$C95)</f>
        <v/>
      </c>
      <c r="C95" s="6" t="str">
        <f aca="false">IF(NOT(ISNUMBER(Macro_Series!$E95)),"",Macro_Series!$E95)</f>
        <v/>
      </c>
      <c r="D95" s="7" t="str">
        <f aca="false">IF(OR(NOT(ISNUMBER($B95)),NOT(ISNUMBER($C95)),$C95=0),"",$B95/$C95)</f>
        <v/>
      </c>
      <c r="E95" s="7" t="str">
        <f aca="false">IF(NOT(ISNUMBER(Macro_Series!$H95)),"",Macro_Series!$H95)</f>
        <v/>
      </c>
      <c r="F95" s="7" t="str">
        <f aca="false">IF(OR(NOT(ISNUMBER($D95)),NOT(ISNUMBER($E95)),$E95=0),"",$D95/$E95)</f>
        <v/>
      </c>
      <c r="G95" s="8" t="str">
        <f aca="false">""</f>
        <v/>
      </c>
      <c r="H95" s="8" t="str">
        <f aca="false">""</f>
        <v/>
      </c>
      <c r="I95" s="8" t="str">
        <f aca="false">IF(OR(NOT(ISNUMBER($G95)),NOT(ISNUMBER($H95))),"",$G95-$H95)</f>
        <v/>
      </c>
    </row>
    <row r="96" customFormat="false" ht="15" hidden="false" customHeight="false" outlineLevel="0" collapsed="false">
      <c r="A96" s="5" t="str">
        <f aca="false">IF(NOT(ISNUMBER(Macro_Series!$A96)),"",Macro_Series!$A96)</f>
        <v/>
      </c>
      <c r="B96" s="6" t="str">
        <f aca="false">IF(NOT(ISNUMBER(Macro_Series!$C96)),"",Macro_Series!$C96)</f>
        <v/>
      </c>
      <c r="C96" s="6" t="str">
        <f aca="false">IF(NOT(ISNUMBER(Macro_Series!$E96)),"",Macro_Series!$E96)</f>
        <v/>
      </c>
      <c r="D96" s="7" t="str">
        <f aca="false">IF(OR(NOT(ISNUMBER($B96)),NOT(ISNUMBER($C96)),$C96=0),"",$B96/$C96)</f>
        <v/>
      </c>
      <c r="E96" s="7" t="str">
        <f aca="false">IF(NOT(ISNUMBER(Macro_Series!$H96)),"",Macro_Series!$H96)</f>
        <v/>
      </c>
      <c r="F96" s="7" t="str">
        <f aca="false">IF(OR(NOT(ISNUMBER($D96)),NOT(ISNUMBER($E96)),$E96=0),"",$D96/$E96)</f>
        <v/>
      </c>
      <c r="G96" s="8" t="str">
        <f aca="false">""</f>
        <v/>
      </c>
      <c r="H96" s="8" t="str">
        <f aca="false">""</f>
        <v/>
      </c>
      <c r="I96" s="8" t="str">
        <f aca="false">IF(OR(NOT(ISNUMBER($G96)),NOT(ISNUMBER($H96))),"",$G96-$H96)</f>
        <v/>
      </c>
    </row>
    <row r="97" customFormat="false" ht="15" hidden="false" customHeight="false" outlineLevel="0" collapsed="false">
      <c r="A97" s="5" t="str">
        <f aca="false">IF(NOT(ISNUMBER(Macro_Series!$A97)),"",Macro_Series!$A97)</f>
        <v/>
      </c>
      <c r="B97" s="6" t="str">
        <f aca="false">IF(NOT(ISNUMBER(Macro_Series!$C97)),"",Macro_Series!$C97)</f>
        <v/>
      </c>
      <c r="C97" s="6" t="str">
        <f aca="false">IF(NOT(ISNUMBER(Macro_Series!$E97)),"",Macro_Series!$E97)</f>
        <v/>
      </c>
      <c r="D97" s="7" t="str">
        <f aca="false">IF(OR(NOT(ISNUMBER($B97)),NOT(ISNUMBER($C97)),$C97=0),"",$B97/$C97)</f>
        <v/>
      </c>
      <c r="E97" s="7" t="str">
        <f aca="false">IF(NOT(ISNUMBER(Macro_Series!$H97)),"",Macro_Series!$H97)</f>
        <v/>
      </c>
      <c r="F97" s="7" t="str">
        <f aca="false">IF(OR(NOT(ISNUMBER($D97)),NOT(ISNUMBER($E97)),$E97=0),"",$D97/$E97)</f>
        <v/>
      </c>
      <c r="G97" s="8" t="str">
        <f aca="false">""</f>
        <v/>
      </c>
      <c r="H97" s="8" t="str">
        <f aca="false">""</f>
        <v/>
      </c>
      <c r="I97" s="8" t="str">
        <f aca="false">IF(OR(NOT(ISNUMBER($G97)),NOT(ISNUMBER($H97))),"",$G97-$H97)</f>
        <v/>
      </c>
    </row>
    <row r="98" customFormat="false" ht="15" hidden="false" customHeight="false" outlineLevel="0" collapsed="false">
      <c r="A98" s="5" t="str">
        <f aca="false">IF(NOT(ISNUMBER(Macro_Series!$A98)),"",Macro_Series!$A98)</f>
        <v/>
      </c>
      <c r="B98" s="6" t="str">
        <f aca="false">IF(NOT(ISNUMBER(Macro_Series!$C98)),"",Macro_Series!$C98)</f>
        <v/>
      </c>
      <c r="C98" s="6" t="str">
        <f aca="false">IF(NOT(ISNUMBER(Macro_Series!$E98)),"",Macro_Series!$E98)</f>
        <v/>
      </c>
      <c r="D98" s="7" t="str">
        <f aca="false">IF(OR(NOT(ISNUMBER($B98)),NOT(ISNUMBER($C98)),$C98=0),"",$B98/$C98)</f>
        <v/>
      </c>
      <c r="E98" s="7" t="str">
        <f aca="false">IF(NOT(ISNUMBER(Macro_Series!$H98)),"",Macro_Series!$H98)</f>
        <v/>
      </c>
      <c r="F98" s="7" t="str">
        <f aca="false">IF(OR(NOT(ISNUMBER($D98)),NOT(ISNUMBER($E98)),$E98=0),"",$D98/$E98)</f>
        <v/>
      </c>
      <c r="G98" s="8" t="str">
        <f aca="false">""</f>
        <v/>
      </c>
      <c r="H98" s="8" t="str">
        <f aca="false">""</f>
        <v/>
      </c>
      <c r="I98" s="8" t="str">
        <f aca="false">IF(OR(NOT(ISNUMBER($G98)),NOT(ISNUMBER($H98))),"",$G98-$H98)</f>
        <v/>
      </c>
    </row>
    <row r="99" customFormat="false" ht="15" hidden="false" customHeight="false" outlineLevel="0" collapsed="false">
      <c r="A99" s="5" t="str">
        <f aca="false">IF(NOT(ISNUMBER(Macro_Series!$A99)),"",Macro_Series!$A99)</f>
        <v/>
      </c>
      <c r="B99" s="6" t="str">
        <f aca="false">IF(NOT(ISNUMBER(Macro_Series!$C99)),"",Macro_Series!$C99)</f>
        <v/>
      </c>
      <c r="C99" s="6" t="str">
        <f aca="false">IF(NOT(ISNUMBER(Macro_Series!$E99)),"",Macro_Series!$E99)</f>
        <v/>
      </c>
      <c r="D99" s="7" t="str">
        <f aca="false">IF(OR(NOT(ISNUMBER($B99)),NOT(ISNUMBER($C99)),$C99=0),"",$B99/$C99)</f>
        <v/>
      </c>
      <c r="E99" s="7" t="str">
        <f aca="false">IF(NOT(ISNUMBER(Macro_Series!$H99)),"",Macro_Series!$H99)</f>
        <v/>
      </c>
      <c r="F99" s="7" t="str">
        <f aca="false">IF(OR(NOT(ISNUMBER($D99)),NOT(ISNUMBER($E99)),$E99=0),"",$D99/$E99)</f>
        <v/>
      </c>
      <c r="G99" s="8" t="str">
        <f aca="false">""</f>
        <v/>
      </c>
      <c r="H99" s="8" t="str">
        <f aca="false">""</f>
        <v/>
      </c>
      <c r="I99" s="8" t="str">
        <f aca="false">IF(OR(NOT(ISNUMBER($G99)),NOT(ISNUMBER($H99))),"",$G99-$H99)</f>
        <v/>
      </c>
    </row>
    <row r="100" customFormat="false" ht="15" hidden="false" customHeight="false" outlineLevel="0" collapsed="false">
      <c r="A100" s="5" t="str">
        <f aca="false">IF(NOT(ISNUMBER(Macro_Series!$A100)),"",Macro_Series!$A100)</f>
        <v/>
      </c>
      <c r="B100" s="6" t="str">
        <f aca="false">IF(NOT(ISNUMBER(Macro_Series!$C100)),"",Macro_Series!$C100)</f>
        <v/>
      </c>
      <c r="C100" s="6" t="str">
        <f aca="false">IF(NOT(ISNUMBER(Macro_Series!$E100)),"",Macro_Series!$E100)</f>
        <v/>
      </c>
      <c r="D100" s="7" t="str">
        <f aca="false">IF(OR(NOT(ISNUMBER($B100)),NOT(ISNUMBER($C100)),$C100=0),"",$B100/$C100)</f>
        <v/>
      </c>
      <c r="E100" s="7" t="str">
        <f aca="false">IF(NOT(ISNUMBER(Macro_Series!$H100)),"",Macro_Series!$H100)</f>
        <v/>
      </c>
      <c r="F100" s="7" t="str">
        <f aca="false">IF(OR(NOT(ISNUMBER($D100)),NOT(ISNUMBER($E100)),$E100=0),"",$D100/$E100)</f>
        <v/>
      </c>
      <c r="G100" s="8" t="str">
        <f aca="false">""</f>
        <v/>
      </c>
      <c r="H100" s="8" t="str">
        <f aca="false">""</f>
        <v/>
      </c>
      <c r="I100" s="8" t="str">
        <f aca="false">IF(OR(NOT(ISNUMBER($G100)),NOT(ISNUMBER($H100))),"",$G100-$H100)</f>
        <v/>
      </c>
    </row>
    <row r="101" customFormat="false" ht="15" hidden="false" customHeight="false" outlineLevel="0" collapsed="false">
      <c r="A101" s="5" t="str">
        <f aca="false">IF(NOT(ISNUMBER(Macro_Series!$A101)),"",Macro_Series!$A101)</f>
        <v/>
      </c>
      <c r="B101" s="6" t="str">
        <f aca="false">IF(NOT(ISNUMBER(Macro_Series!$C101)),"",Macro_Series!$C101)</f>
        <v/>
      </c>
      <c r="C101" s="6" t="str">
        <f aca="false">IF(NOT(ISNUMBER(Macro_Series!$E101)),"",Macro_Series!$E101)</f>
        <v/>
      </c>
      <c r="D101" s="7" t="str">
        <f aca="false">IF(OR(NOT(ISNUMBER($B101)),NOT(ISNUMBER($C101)),$C101=0),"",$B101/$C101)</f>
        <v/>
      </c>
      <c r="E101" s="7" t="str">
        <f aca="false">IF(NOT(ISNUMBER(Macro_Series!$H101)),"",Macro_Series!$H101)</f>
        <v/>
      </c>
      <c r="F101" s="7" t="str">
        <f aca="false">IF(OR(NOT(ISNUMBER($D101)),NOT(ISNUMBER($E101)),$E101=0),"",$D101/$E101)</f>
        <v/>
      </c>
      <c r="G101" s="8" t="str">
        <f aca="false">""</f>
        <v/>
      </c>
      <c r="H101" s="8" t="str">
        <f aca="false">""</f>
        <v/>
      </c>
      <c r="I101" s="8" t="str">
        <f aca="false">IF(OR(NOT(ISNUMBER($G101)),NOT(ISNUMBER($H101))),"",$G101-$H101)</f>
        <v/>
      </c>
    </row>
    <row r="102" customFormat="false" ht="15" hidden="false" customHeight="false" outlineLevel="0" collapsed="false">
      <c r="A102" s="5" t="str">
        <f aca="false">IF(NOT(ISNUMBER(Macro_Series!$A102)),"",Macro_Series!$A102)</f>
        <v/>
      </c>
      <c r="B102" s="6" t="str">
        <f aca="false">IF(NOT(ISNUMBER(Macro_Series!$C102)),"",Macro_Series!$C102)</f>
        <v/>
      </c>
      <c r="C102" s="6" t="str">
        <f aca="false">IF(NOT(ISNUMBER(Macro_Series!$E102)),"",Macro_Series!$E102)</f>
        <v/>
      </c>
      <c r="D102" s="7" t="str">
        <f aca="false">IF(OR(NOT(ISNUMBER($B102)),NOT(ISNUMBER($C102)),$C102=0),"",$B102/$C102)</f>
        <v/>
      </c>
      <c r="E102" s="7" t="str">
        <f aca="false">IF(NOT(ISNUMBER(Macro_Series!$H102)),"",Macro_Series!$H102)</f>
        <v/>
      </c>
      <c r="F102" s="7" t="str">
        <f aca="false">IF(OR(NOT(ISNUMBER($D102)),NOT(ISNUMBER($E102)),$E102=0),"",$D102/$E102)</f>
        <v/>
      </c>
      <c r="G102" s="8" t="str">
        <f aca="false">""</f>
        <v/>
      </c>
      <c r="H102" s="8" t="str">
        <f aca="false">""</f>
        <v/>
      </c>
      <c r="I102" s="8" t="str">
        <f aca="false">IF(OR(NOT(ISNUMBER($G102)),NOT(ISNUMBER($H102))),"",$G102-$H102)</f>
        <v/>
      </c>
    </row>
    <row r="103" customFormat="false" ht="15" hidden="false" customHeight="false" outlineLevel="0" collapsed="false">
      <c r="A103" s="5" t="str">
        <f aca="false">IF(NOT(ISNUMBER(Macro_Series!$A103)),"",Macro_Series!$A103)</f>
        <v/>
      </c>
      <c r="B103" s="6" t="str">
        <f aca="false">IF(NOT(ISNUMBER(Macro_Series!$C103)),"",Macro_Series!$C103)</f>
        <v/>
      </c>
      <c r="C103" s="6" t="str">
        <f aca="false">IF(NOT(ISNUMBER(Macro_Series!$E103)),"",Macro_Series!$E103)</f>
        <v/>
      </c>
      <c r="D103" s="7" t="str">
        <f aca="false">IF(OR(NOT(ISNUMBER($B103)),NOT(ISNUMBER($C103)),$C103=0),"",$B103/$C103)</f>
        <v/>
      </c>
      <c r="E103" s="7" t="str">
        <f aca="false">IF(NOT(ISNUMBER(Macro_Series!$H103)),"",Macro_Series!$H103)</f>
        <v/>
      </c>
      <c r="F103" s="7" t="str">
        <f aca="false">IF(OR(NOT(ISNUMBER($D103)),NOT(ISNUMBER($E103)),$E103=0),"",$D103/$E103)</f>
        <v/>
      </c>
      <c r="G103" s="8" t="str">
        <f aca="false">""</f>
        <v/>
      </c>
      <c r="H103" s="8" t="str">
        <f aca="false">""</f>
        <v/>
      </c>
      <c r="I103" s="8" t="str">
        <f aca="false">IF(OR(NOT(ISNUMBER($G103)),NOT(ISNUMBER($H103))),"",$G103-$H103)</f>
        <v/>
      </c>
    </row>
    <row r="104" customFormat="false" ht="15" hidden="false" customHeight="false" outlineLevel="0" collapsed="false">
      <c r="A104" s="5" t="str">
        <f aca="false">IF(NOT(ISNUMBER(Macro_Series!$A104)),"",Macro_Series!$A104)</f>
        <v/>
      </c>
      <c r="B104" s="6" t="str">
        <f aca="false">IF(NOT(ISNUMBER(Macro_Series!$C104)),"",Macro_Series!$C104)</f>
        <v/>
      </c>
      <c r="C104" s="6" t="str">
        <f aca="false">IF(NOT(ISNUMBER(Macro_Series!$E104)),"",Macro_Series!$E104)</f>
        <v/>
      </c>
      <c r="D104" s="7" t="str">
        <f aca="false">IF(OR(NOT(ISNUMBER($B104)),NOT(ISNUMBER($C104)),$C104=0),"",$B104/$C104)</f>
        <v/>
      </c>
      <c r="E104" s="7" t="str">
        <f aca="false">IF(NOT(ISNUMBER(Macro_Series!$H104)),"",Macro_Series!$H104)</f>
        <v/>
      </c>
      <c r="F104" s="7" t="str">
        <f aca="false">IF(OR(NOT(ISNUMBER($D104)),NOT(ISNUMBER($E104)),$E104=0),"",$D104/$E104)</f>
        <v/>
      </c>
      <c r="G104" s="8" t="str">
        <f aca="false">""</f>
        <v/>
      </c>
      <c r="H104" s="8" t="str">
        <f aca="false">""</f>
        <v/>
      </c>
      <c r="I104" s="8" t="str">
        <f aca="false">IF(OR(NOT(ISNUMBER($G104)),NOT(ISNUMBER($H104))),"",$G104-$H104)</f>
        <v/>
      </c>
    </row>
    <row r="105" customFormat="false" ht="15" hidden="false" customHeight="false" outlineLevel="0" collapsed="false">
      <c r="A105" s="5" t="str">
        <f aca="false">IF(NOT(ISNUMBER(Macro_Series!$A105)),"",Macro_Series!$A105)</f>
        <v/>
      </c>
      <c r="B105" s="6" t="str">
        <f aca="false">IF(NOT(ISNUMBER(Macro_Series!$C105)),"",Macro_Series!$C105)</f>
        <v/>
      </c>
      <c r="C105" s="6" t="str">
        <f aca="false">IF(NOT(ISNUMBER(Macro_Series!$E105)),"",Macro_Series!$E105)</f>
        <v/>
      </c>
      <c r="D105" s="7" t="str">
        <f aca="false">IF(OR(NOT(ISNUMBER($B105)),NOT(ISNUMBER($C105)),$C105=0),"",$B105/$C105)</f>
        <v/>
      </c>
      <c r="E105" s="7" t="str">
        <f aca="false">IF(NOT(ISNUMBER(Macro_Series!$H105)),"",Macro_Series!$H105)</f>
        <v/>
      </c>
      <c r="F105" s="7" t="str">
        <f aca="false">IF(OR(NOT(ISNUMBER($D105)),NOT(ISNUMBER($E105)),$E105=0),"",$D105/$E105)</f>
        <v/>
      </c>
      <c r="G105" s="8" t="str">
        <f aca="false">""</f>
        <v/>
      </c>
      <c r="H105" s="8" t="str">
        <f aca="false">""</f>
        <v/>
      </c>
      <c r="I105" s="8" t="str">
        <f aca="false">IF(OR(NOT(ISNUMBER($G105)),NOT(ISNUMBER($H105))),"",$G105-$H105)</f>
        <v/>
      </c>
    </row>
    <row r="106" customFormat="false" ht="15" hidden="false" customHeight="false" outlineLevel="0" collapsed="false">
      <c r="A106" s="5" t="str">
        <f aca="false">IF(NOT(ISNUMBER(Macro_Series!$A106)),"",Macro_Series!$A106)</f>
        <v/>
      </c>
      <c r="B106" s="6" t="str">
        <f aca="false">IF(NOT(ISNUMBER(Macro_Series!$C106)),"",Macro_Series!$C106)</f>
        <v/>
      </c>
      <c r="C106" s="6" t="str">
        <f aca="false">IF(NOT(ISNUMBER(Macro_Series!$E106)),"",Macro_Series!$E106)</f>
        <v/>
      </c>
      <c r="D106" s="7" t="str">
        <f aca="false">IF(OR(NOT(ISNUMBER($B106)),NOT(ISNUMBER($C106)),$C106=0),"",$B106/$C106)</f>
        <v/>
      </c>
      <c r="E106" s="7" t="str">
        <f aca="false">IF(NOT(ISNUMBER(Macro_Series!$H106)),"",Macro_Series!$H106)</f>
        <v/>
      </c>
      <c r="F106" s="7" t="str">
        <f aca="false">IF(OR(NOT(ISNUMBER($D106)),NOT(ISNUMBER($E106)),$E106=0),"",$D106/$E106)</f>
        <v/>
      </c>
      <c r="G106" s="8" t="str">
        <f aca="false">""</f>
        <v/>
      </c>
      <c r="H106" s="8" t="str">
        <f aca="false">""</f>
        <v/>
      </c>
      <c r="I106" s="8" t="str">
        <f aca="false">IF(OR(NOT(ISNUMBER($G106)),NOT(ISNUMBER($H106))),"",$G106-$H106)</f>
        <v/>
      </c>
    </row>
    <row r="107" customFormat="false" ht="15" hidden="false" customHeight="false" outlineLevel="0" collapsed="false">
      <c r="A107" s="5" t="str">
        <f aca="false">IF(NOT(ISNUMBER(Macro_Series!$A107)),"",Macro_Series!$A107)</f>
        <v/>
      </c>
      <c r="B107" s="6" t="str">
        <f aca="false">IF(NOT(ISNUMBER(Macro_Series!$C107)),"",Macro_Series!$C107)</f>
        <v/>
      </c>
      <c r="C107" s="6" t="str">
        <f aca="false">IF(NOT(ISNUMBER(Macro_Series!$E107)),"",Macro_Series!$E107)</f>
        <v/>
      </c>
      <c r="D107" s="7" t="str">
        <f aca="false">IF(OR(NOT(ISNUMBER($B107)),NOT(ISNUMBER($C107)),$C107=0),"",$B107/$C107)</f>
        <v/>
      </c>
      <c r="E107" s="7" t="str">
        <f aca="false">IF(NOT(ISNUMBER(Macro_Series!$H107)),"",Macro_Series!$H107)</f>
        <v/>
      </c>
      <c r="F107" s="7" t="str">
        <f aca="false">IF(OR(NOT(ISNUMBER($D107)),NOT(ISNUMBER($E107)),$E107=0),"",$D107/$E107)</f>
        <v/>
      </c>
      <c r="G107" s="8" t="str">
        <f aca="false">""</f>
        <v/>
      </c>
      <c r="H107" s="8" t="str">
        <f aca="false">""</f>
        <v/>
      </c>
      <c r="I107" s="8" t="str">
        <f aca="false">IF(OR(NOT(ISNUMBER($G107)),NOT(ISNUMBER($H107))),"",$G107-$H107)</f>
        <v/>
      </c>
    </row>
    <row r="108" customFormat="false" ht="15" hidden="false" customHeight="false" outlineLevel="0" collapsed="false">
      <c r="A108" s="5" t="str">
        <f aca="false">IF(NOT(ISNUMBER(Macro_Series!$A108)),"",Macro_Series!$A108)</f>
        <v/>
      </c>
      <c r="B108" s="6" t="str">
        <f aca="false">IF(NOT(ISNUMBER(Macro_Series!$C108)),"",Macro_Series!$C108)</f>
        <v/>
      </c>
      <c r="C108" s="6" t="str">
        <f aca="false">IF(NOT(ISNUMBER(Macro_Series!$E108)),"",Macro_Series!$E108)</f>
        <v/>
      </c>
      <c r="D108" s="7" t="str">
        <f aca="false">IF(OR(NOT(ISNUMBER($B108)),NOT(ISNUMBER($C108)),$C108=0),"",$B108/$C108)</f>
        <v/>
      </c>
      <c r="E108" s="7" t="str">
        <f aca="false">IF(NOT(ISNUMBER(Macro_Series!$H108)),"",Macro_Series!$H108)</f>
        <v/>
      </c>
      <c r="F108" s="7" t="str">
        <f aca="false">IF(OR(NOT(ISNUMBER($D108)),NOT(ISNUMBER($E108)),$E108=0),"",$D108/$E108)</f>
        <v/>
      </c>
      <c r="G108" s="8" t="str">
        <f aca="false">""</f>
        <v/>
      </c>
      <c r="H108" s="8" t="str">
        <f aca="false">""</f>
        <v/>
      </c>
      <c r="I108" s="8" t="str">
        <f aca="false">IF(OR(NOT(ISNUMBER($G108)),NOT(ISNUMBER($H108))),"",$G108-$H108)</f>
        <v/>
      </c>
    </row>
    <row r="109" customFormat="false" ht="15" hidden="false" customHeight="false" outlineLevel="0" collapsed="false">
      <c r="A109" s="5" t="str">
        <f aca="false">IF(NOT(ISNUMBER(Macro_Series!$A109)),"",Macro_Series!$A109)</f>
        <v/>
      </c>
      <c r="B109" s="6" t="str">
        <f aca="false">IF(NOT(ISNUMBER(Macro_Series!$C109)),"",Macro_Series!$C109)</f>
        <v/>
      </c>
      <c r="C109" s="6" t="str">
        <f aca="false">IF(NOT(ISNUMBER(Macro_Series!$E109)),"",Macro_Series!$E109)</f>
        <v/>
      </c>
      <c r="D109" s="7" t="str">
        <f aca="false">IF(OR(NOT(ISNUMBER($B109)),NOT(ISNUMBER($C109)),$C109=0),"",$B109/$C109)</f>
        <v/>
      </c>
      <c r="E109" s="7" t="str">
        <f aca="false">IF(NOT(ISNUMBER(Macro_Series!$H109)),"",Macro_Series!$H109)</f>
        <v/>
      </c>
      <c r="F109" s="7" t="str">
        <f aca="false">IF(OR(NOT(ISNUMBER($D109)),NOT(ISNUMBER($E109)),$E109=0),"",$D109/$E109)</f>
        <v/>
      </c>
      <c r="G109" s="8" t="str">
        <f aca="false">""</f>
        <v/>
      </c>
      <c r="H109" s="8" t="str">
        <f aca="false">""</f>
        <v/>
      </c>
      <c r="I109" s="8" t="str">
        <f aca="false">IF(OR(NOT(ISNUMBER($G109)),NOT(ISNUMBER($H109))),"",$G109-$H109)</f>
        <v/>
      </c>
    </row>
    <row r="110" customFormat="false" ht="15" hidden="false" customHeight="false" outlineLevel="0" collapsed="false">
      <c r="A110" s="5" t="str">
        <f aca="false">IF(NOT(ISNUMBER(Macro_Series!$A110)),"",Macro_Series!$A110)</f>
        <v/>
      </c>
      <c r="B110" s="6" t="str">
        <f aca="false">IF(NOT(ISNUMBER(Macro_Series!$C110)),"",Macro_Series!$C110)</f>
        <v/>
      </c>
      <c r="C110" s="6" t="str">
        <f aca="false">IF(NOT(ISNUMBER(Macro_Series!$E110)),"",Macro_Series!$E110)</f>
        <v/>
      </c>
      <c r="D110" s="7" t="str">
        <f aca="false">IF(OR(NOT(ISNUMBER($B110)),NOT(ISNUMBER($C110)),$C110=0),"",$B110/$C110)</f>
        <v/>
      </c>
      <c r="E110" s="7" t="str">
        <f aca="false">IF(NOT(ISNUMBER(Macro_Series!$H110)),"",Macro_Series!$H110)</f>
        <v/>
      </c>
      <c r="F110" s="7" t="str">
        <f aca="false">IF(OR(NOT(ISNUMBER($D110)),NOT(ISNUMBER($E110)),$E110=0),"",$D110/$E110)</f>
        <v/>
      </c>
      <c r="G110" s="8" t="str">
        <f aca="false">""</f>
        <v/>
      </c>
      <c r="H110" s="8" t="str">
        <f aca="false">""</f>
        <v/>
      </c>
      <c r="I110" s="8" t="str">
        <f aca="false">IF(OR(NOT(ISNUMBER($G110)),NOT(ISNUMBER($H110))),"",$G110-$H110)</f>
        <v/>
      </c>
    </row>
    <row r="111" customFormat="false" ht="15" hidden="false" customHeight="false" outlineLevel="0" collapsed="false">
      <c r="A111" s="5" t="str">
        <f aca="false">IF(NOT(ISNUMBER(Macro_Series!$A111)),"",Macro_Series!$A111)</f>
        <v/>
      </c>
      <c r="B111" s="6" t="str">
        <f aca="false">IF(NOT(ISNUMBER(Macro_Series!$C111)),"",Macro_Series!$C111)</f>
        <v/>
      </c>
      <c r="C111" s="6" t="str">
        <f aca="false">IF(NOT(ISNUMBER(Macro_Series!$E111)),"",Macro_Series!$E111)</f>
        <v/>
      </c>
      <c r="D111" s="7" t="str">
        <f aca="false">IF(OR(NOT(ISNUMBER($B111)),NOT(ISNUMBER($C111)),$C111=0),"",$B111/$C111)</f>
        <v/>
      </c>
      <c r="E111" s="7" t="str">
        <f aca="false">IF(NOT(ISNUMBER(Macro_Series!$H111)),"",Macro_Series!$H111)</f>
        <v/>
      </c>
      <c r="F111" s="7" t="str">
        <f aca="false">IF(OR(NOT(ISNUMBER($D111)),NOT(ISNUMBER($E111)),$E111=0),"",$D111/$E111)</f>
        <v/>
      </c>
      <c r="G111" s="8" t="str">
        <f aca="false">""</f>
        <v/>
      </c>
      <c r="H111" s="8" t="str">
        <f aca="false">""</f>
        <v/>
      </c>
      <c r="I111" s="8" t="str">
        <f aca="false">IF(OR(NOT(ISNUMBER($G111)),NOT(ISNUMBER($H111))),"",$G111-$H111)</f>
        <v/>
      </c>
    </row>
    <row r="112" customFormat="false" ht="15" hidden="false" customHeight="false" outlineLevel="0" collapsed="false">
      <c r="A112" s="5" t="str">
        <f aca="false">IF(NOT(ISNUMBER(Macro_Series!$A112)),"",Macro_Series!$A112)</f>
        <v/>
      </c>
      <c r="B112" s="6" t="str">
        <f aca="false">IF(NOT(ISNUMBER(Macro_Series!$C112)),"",Macro_Series!$C112)</f>
        <v/>
      </c>
      <c r="C112" s="6" t="str">
        <f aca="false">IF(NOT(ISNUMBER(Macro_Series!$E112)),"",Macro_Series!$E112)</f>
        <v/>
      </c>
      <c r="D112" s="7" t="str">
        <f aca="false">IF(OR(NOT(ISNUMBER($B112)),NOT(ISNUMBER($C112)),$C112=0),"",$B112/$C112)</f>
        <v/>
      </c>
      <c r="E112" s="7" t="str">
        <f aca="false">IF(NOT(ISNUMBER(Macro_Series!$H112)),"",Macro_Series!$H112)</f>
        <v/>
      </c>
      <c r="F112" s="7" t="str">
        <f aca="false">IF(OR(NOT(ISNUMBER($D112)),NOT(ISNUMBER($E112)),$E112=0),"",$D112/$E112)</f>
        <v/>
      </c>
      <c r="G112" s="8" t="str">
        <f aca="false">""</f>
        <v/>
      </c>
      <c r="H112" s="8" t="str">
        <f aca="false">""</f>
        <v/>
      </c>
      <c r="I112" s="8" t="str">
        <f aca="false">IF(OR(NOT(ISNUMBER($G112)),NOT(ISNUMBER($H112))),"",$G112-$H112)</f>
        <v/>
      </c>
    </row>
    <row r="113" customFormat="false" ht="15" hidden="false" customHeight="false" outlineLevel="0" collapsed="false">
      <c r="A113" s="5" t="str">
        <f aca="false">IF(NOT(ISNUMBER(Macro_Series!$A113)),"",Macro_Series!$A113)</f>
        <v/>
      </c>
      <c r="B113" s="6" t="str">
        <f aca="false">IF(NOT(ISNUMBER(Macro_Series!$C113)),"",Macro_Series!$C113)</f>
        <v/>
      </c>
      <c r="C113" s="6" t="str">
        <f aca="false">IF(NOT(ISNUMBER(Macro_Series!$E113)),"",Macro_Series!$E113)</f>
        <v/>
      </c>
      <c r="D113" s="7" t="str">
        <f aca="false">IF(OR(NOT(ISNUMBER($B113)),NOT(ISNUMBER($C113)),$C113=0),"",$B113/$C113)</f>
        <v/>
      </c>
      <c r="E113" s="7" t="str">
        <f aca="false">IF(NOT(ISNUMBER(Macro_Series!$H113)),"",Macro_Series!$H113)</f>
        <v/>
      </c>
      <c r="F113" s="7" t="str">
        <f aca="false">IF(OR(NOT(ISNUMBER($D113)),NOT(ISNUMBER($E113)),$E113=0),"",$D113/$E113)</f>
        <v/>
      </c>
      <c r="G113" s="8" t="str">
        <f aca="false">""</f>
        <v/>
      </c>
      <c r="H113" s="8" t="str">
        <f aca="false">""</f>
        <v/>
      </c>
      <c r="I113" s="8" t="str">
        <f aca="false">IF(OR(NOT(ISNUMBER($G113)),NOT(ISNUMBER($H113))),"",$G113-$H113)</f>
        <v/>
      </c>
    </row>
    <row r="114" customFormat="false" ht="15" hidden="false" customHeight="false" outlineLevel="0" collapsed="false">
      <c r="A114" s="5" t="str">
        <f aca="false">IF(NOT(ISNUMBER(Macro_Series!$A114)),"",Macro_Series!$A114)</f>
        <v/>
      </c>
      <c r="B114" s="6" t="str">
        <f aca="false">IF(NOT(ISNUMBER(Macro_Series!$C114)),"",Macro_Series!$C114)</f>
        <v/>
      </c>
      <c r="C114" s="6" t="str">
        <f aca="false">IF(NOT(ISNUMBER(Macro_Series!$E114)),"",Macro_Series!$E114)</f>
        <v/>
      </c>
      <c r="D114" s="7" t="str">
        <f aca="false">IF(OR(NOT(ISNUMBER($B114)),NOT(ISNUMBER($C114)),$C114=0),"",$B114/$C114)</f>
        <v/>
      </c>
      <c r="E114" s="7" t="str">
        <f aca="false">IF(NOT(ISNUMBER(Macro_Series!$H114)),"",Macro_Series!$H114)</f>
        <v/>
      </c>
      <c r="F114" s="7" t="str">
        <f aca="false">IF(OR(NOT(ISNUMBER($D114)),NOT(ISNUMBER($E114)),$E114=0),"",$D114/$E114)</f>
        <v/>
      </c>
      <c r="G114" s="8" t="str">
        <f aca="false">""</f>
        <v/>
      </c>
      <c r="H114" s="8" t="str">
        <f aca="false">""</f>
        <v/>
      </c>
      <c r="I114" s="8" t="str">
        <f aca="false">IF(OR(NOT(ISNUMBER($G114)),NOT(ISNUMBER($H114))),"",$G114-$H114)</f>
        <v/>
      </c>
    </row>
    <row r="115" customFormat="false" ht="15" hidden="false" customHeight="false" outlineLevel="0" collapsed="false">
      <c r="A115" s="5" t="str">
        <f aca="false">IF(NOT(ISNUMBER(Macro_Series!$A115)),"",Macro_Series!$A115)</f>
        <v/>
      </c>
      <c r="B115" s="6" t="str">
        <f aca="false">IF(NOT(ISNUMBER(Macro_Series!$C115)),"",Macro_Series!$C115)</f>
        <v/>
      </c>
      <c r="C115" s="6" t="str">
        <f aca="false">IF(NOT(ISNUMBER(Macro_Series!$E115)),"",Macro_Series!$E115)</f>
        <v/>
      </c>
      <c r="D115" s="7" t="str">
        <f aca="false">IF(OR(NOT(ISNUMBER($B115)),NOT(ISNUMBER($C115)),$C115=0),"",$B115/$C115)</f>
        <v/>
      </c>
      <c r="E115" s="7" t="str">
        <f aca="false">IF(NOT(ISNUMBER(Macro_Series!$H115)),"",Macro_Series!$H115)</f>
        <v/>
      </c>
      <c r="F115" s="7" t="str">
        <f aca="false">IF(OR(NOT(ISNUMBER($D115)),NOT(ISNUMBER($E115)),$E115=0),"",$D115/$E115)</f>
        <v/>
      </c>
      <c r="G115" s="8" t="str">
        <f aca="false">""</f>
        <v/>
      </c>
      <c r="H115" s="8" t="str">
        <f aca="false">""</f>
        <v/>
      </c>
      <c r="I115" s="8" t="str">
        <f aca="false">IF(OR(NOT(ISNUMBER($G115)),NOT(ISNUMBER($H115))),"",$G115-$H115)</f>
        <v/>
      </c>
    </row>
    <row r="116" customFormat="false" ht="15" hidden="false" customHeight="false" outlineLevel="0" collapsed="false">
      <c r="A116" s="5" t="str">
        <f aca="false">IF(NOT(ISNUMBER(Macro_Series!$A116)),"",Macro_Series!$A116)</f>
        <v/>
      </c>
      <c r="B116" s="6" t="str">
        <f aca="false">IF(NOT(ISNUMBER(Macro_Series!$C116)),"",Macro_Series!$C116)</f>
        <v/>
      </c>
      <c r="C116" s="6" t="str">
        <f aca="false">IF(NOT(ISNUMBER(Macro_Series!$E116)),"",Macro_Series!$E116)</f>
        <v/>
      </c>
      <c r="D116" s="7" t="str">
        <f aca="false">IF(OR(NOT(ISNUMBER($B116)),NOT(ISNUMBER($C116)),$C116=0),"",$B116/$C116)</f>
        <v/>
      </c>
      <c r="E116" s="7" t="str">
        <f aca="false">IF(NOT(ISNUMBER(Macro_Series!$H116)),"",Macro_Series!$H116)</f>
        <v/>
      </c>
      <c r="F116" s="7" t="str">
        <f aca="false">IF(OR(NOT(ISNUMBER($D116)),NOT(ISNUMBER($E116)),$E116=0),"",$D116/$E116)</f>
        <v/>
      </c>
      <c r="G116" s="8" t="str">
        <f aca="false">""</f>
        <v/>
      </c>
      <c r="H116" s="8" t="str">
        <f aca="false">""</f>
        <v/>
      </c>
      <c r="I116" s="8" t="str">
        <f aca="false">IF(OR(NOT(ISNUMBER($G116)),NOT(ISNUMBER($H116))),"",$G116-$H116)</f>
        <v/>
      </c>
    </row>
    <row r="117" customFormat="false" ht="15" hidden="false" customHeight="false" outlineLevel="0" collapsed="false">
      <c r="A117" s="5" t="str">
        <f aca="false">IF(NOT(ISNUMBER(Macro_Series!$A117)),"",Macro_Series!$A117)</f>
        <v/>
      </c>
      <c r="B117" s="6" t="str">
        <f aca="false">IF(NOT(ISNUMBER(Macro_Series!$C117)),"",Macro_Series!$C117)</f>
        <v/>
      </c>
      <c r="C117" s="6" t="str">
        <f aca="false">IF(NOT(ISNUMBER(Macro_Series!$E117)),"",Macro_Series!$E117)</f>
        <v/>
      </c>
      <c r="D117" s="7" t="str">
        <f aca="false">IF(OR(NOT(ISNUMBER($B117)),NOT(ISNUMBER($C117)),$C117=0),"",$B117/$C117)</f>
        <v/>
      </c>
      <c r="E117" s="7" t="str">
        <f aca="false">IF(NOT(ISNUMBER(Macro_Series!$H117)),"",Macro_Series!$H117)</f>
        <v/>
      </c>
      <c r="F117" s="7" t="str">
        <f aca="false">IF(OR(NOT(ISNUMBER($D117)),NOT(ISNUMBER($E117)),$E117=0),"",$D117/$E117)</f>
        <v/>
      </c>
      <c r="G117" s="8" t="str">
        <f aca="false">""</f>
        <v/>
      </c>
      <c r="H117" s="8" t="str">
        <f aca="false">""</f>
        <v/>
      </c>
      <c r="I117" s="8" t="str">
        <f aca="false">IF(OR(NOT(ISNUMBER($G117)),NOT(ISNUMBER($H117))),"",$G117-$H117)</f>
        <v/>
      </c>
    </row>
    <row r="118" customFormat="false" ht="15" hidden="false" customHeight="false" outlineLevel="0" collapsed="false">
      <c r="A118" s="5" t="str">
        <f aca="false">IF(NOT(ISNUMBER(Macro_Series!$A118)),"",Macro_Series!$A118)</f>
        <v/>
      </c>
      <c r="B118" s="6" t="str">
        <f aca="false">IF(NOT(ISNUMBER(Macro_Series!$C118)),"",Macro_Series!$C118)</f>
        <v/>
      </c>
      <c r="C118" s="6" t="str">
        <f aca="false">IF(NOT(ISNUMBER(Macro_Series!$E118)),"",Macro_Series!$E118)</f>
        <v/>
      </c>
      <c r="D118" s="7" t="str">
        <f aca="false">IF(OR(NOT(ISNUMBER($B118)),NOT(ISNUMBER($C118)),$C118=0),"",$B118/$C118)</f>
        <v/>
      </c>
      <c r="E118" s="7" t="str">
        <f aca="false">IF(NOT(ISNUMBER(Macro_Series!$H118)),"",Macro_Series!$H118)</f>
        <v/>
      </c>
      <c r="F118" s="7" t="str">
        <f aca="false">IF(OR(NOT(ISNUMBER($D118)),NOT(ISNUMBER($E118)),$E118=0),"",$D118/$E118)</f>
        <v/>
      </c>
      <c r="G118" s="8" t="str">
        <f aca="false">""</f>
        <v/>
      </c>
      <c r="H118" s="8" t="str">
        <f aca="false">""</f>
        <v/>
      </c>
      <c r="I118" s="8" t="str">
        <f aca="false">IF(OR(NOT(ISNUMBER($G118)),NOT(ISNUMBER($H118))),"",$G118-$H118)</f>
        <v/>
      </c>
    </row>
    <row r="119" customFormat="false" ht="15" hidden="false" customHeight="false" outlineLevel="0" collapsed="false">
      <c r="A119" s="5" t="str">
        <f aca="false">IF(NOT(ISNUMBER(Macro_Series!$A119)),"",Macro_Series!$A119)</f>
        <v/>
      </c>
      <c r="B119" s="6" t="str">
        <f aca="false">IF(NOT(ISNUMBER(Macro_Series!$C119)),"",Macro_Series!$C119)</f>
        <v/>
      </c>
      <c r="C119" s="6" t="str">
        <f aca="false">IF(NOT(ISNUMBER(Macro_Series!$E119)),"",Macro_Series!$E119)</f>
        <v/>
      </c>
      <c r="D119" s="7" t="str">
        <f aca="false">IF(OR(NOT(ISNUMBER($B119)),NOT(ISNUMBER($C119)),$C119=0),"",$B119/$C119)</f>
        <v/>
      </c>
      <c r="E119" s="7" t="str">
        <f aca="false">IF(NOT(ISNUMBER(Macro_Series!$H119)),"",Macro_Series!$H119)</f>
        <v/>
      </c>
      <c r="F119" s="7" t="str">
        <f aca="false">IF(OR(NOT(ISNUMBER($D119)),NOT(ISNUMBER($E119)),$E119=0),"",$D119/$E119)</f>
        <v/>
      </c>
      <c r="G119" s="8" t="str">
        <f aca="false">""</f>
        <v/>
      </c>
      <c r="H119" s="8" t="str">
        <f aca="false">""</f>
        <v/>
      </c>
      <c r="I119" s="8" t="str">
        <f aca="false">IF(OR(NOT(ISNUMBER($G119)),NOT(ISNUMBER($H119))),"",$G119-$H119)</f>
        <v/>
      </c>
    </row>
    <row r="120" customFormat="false" ht="15" hidden="false" customHeight="false" outlineLevel="0" collapsed="false">
      <c r="A120" s="5" t="str">
        <f aca="false">IF(NOT(ISNUMBER(Macro_Series!$A120)),"",Macro_Series!$A120)</f>
        <v/>
      </c>
      <c r="B120" s="6" t="str">
        <f aca="false">IF(NOT(ISNUMBER(Macro_Series!$C120)),"",Macro_Series!$C120)</f>
        <v/>
      </c>
      <c r="C120" s="6" t="str">
        <f aca="false">IF(NOT(ISNUMBER(Macro_Series!$E120)),"",Macro_Series!$E120)</f>
        <v/>
      </c>
      <c r="D120" s="7" t="str">
        <f aca="false">IF(OR(NOT(ISNUMBER($B120)),NOT(ISNUMBER($C120)),$C120=0),"",$B120/$C120)</f>
        <v/>
      </c>
      <c r="E120" s="7" t="str">
        <f aca="false">IF(NOT(ISNUMBER(Macro_Series!$H120)),"",Macro_Series!$H120)</f>
        <v/>
      </c>
      <c r="F120" s="7" t="str">
        <f aca="false">IF(OR(NOT(ISNUMBER($D120)),NOT(ISNUMBER($E120)),$E120=0),"",$D120/$E120)</f>
        <v/>
      </c>
      <c r="G120" s="8" t="str">
        <f aca="false">""</f>
        <v/>
      </c>
      <c r="H120" s="8" t="str">
        <f aca="false">""</f>
        <v/>
      </c>
      <c r="I120" s="8" t="str">
        <f aca="false">IF(OR(NOT(ISNUMBER($G120)),NOT(ISNUMBER($H120))),"",$G120-$H120)</f>
        <v/>
      </c>
    </row>
    <row r="121" customFormat="false" ht="15" hidden="false" customHeight="false" outlineLevel="0" collapsed="false">
      <c r="A121" s="5" t="str">
        <f aca="false">IF(NOT(ISNUMBER(Macro_Series!$A121)),"",Macro_Series!$A121)</f>
        <v/>
      </c>
      <c r="B121" s="6" t="str">
        <f aca="false">IF(NOT(ISNUMBER(Macro_Series!$C121)),"",Macro_Series!$C121)</f>
        <v/>
      </c>
      <c r="C121" s="6" t="str">
        <f aca="false">IF(NOT(ISNUMBER(Macro_Series!$E121)),"",Macro_Series!$E121)</f>
        <v/>
      </c>
      <c r="D121" s="7" t="str">
        <f aca="false">IF(OR(NOT(ISNUMBER($B121)),NOT(ISNUMBER($C121)),$C121=0),"",$B121/$C121)</f>
        <v/>
      </c>
      <c r="E121" s="7" t="str">
        <f aca="false">IF(NOT(ISNUMBER(Macro_Series!$H121)),"",Macro_Series!$H121)</f>
        <v/>
      </c>
      <c r="F121" s="7" t="str">
        <f aca="false">IF(OR(NOT(ISNUMBER($D121)),NOT(ISNUMBER($E121)),$E121=0),"",$D121/$E121)</f>
        <v/>
      </c>
      <c r="G121" s="8" t="str">
        <f aca="false">""</f>
        <v/>
      </c>
      <c r="H121" s="8" t="str">
        <f aca="false">""</f>
        <v/>
      </c>
      <c r="I121" s="8" t="str">
        <f aca="false">IF(OR(NOT(ISNUMBER($G121)),NOT(ISNUMBER($H121))),"",$G121-$H121)</f>
        <v/>
      </c>
    </row>
    <row r="122" customFormat="false" ht="15" hidden="false" customHeight="false" outlineLevel="0" collapsed="false">
      <c r="A122" s="5" t="str">
        <f aca="false">IF(NOT(ISNUMBER(Macro_Series!$A122)),"",Macro_Series!$A122)</f>
        <v/>
      </c>
      <c r="B122" s="6" t="str">
        <f aca="false">IF(NOT(ISNUMBER(Macro_Series!$C122)),"",Macro_Series!$C122)</f>
        <v/>
      </c>
      <c r="C122" s="6" t="str">
        <f aca="false">IF(NOT(ISNUMBER(Macro_Series!$E122)),"",Macro_Series!$E122)</f>
        <v/>
      </c>
      <c r="D122" s="7" t="str">
        <f aca="false">IF(OR(NOT(ISNUMBER($B122)),NOT(ISNUMBER($C122)),$C122=0),"",$B122/$C122)</f>
        <v/>
      </c>
      <c r="E122" s="7" t="str">
        <f aca="false">IF(NOT(ISNUMBER(Macro_Series!$H122)),"",Macro_Series!$H122)</f>
        <v/>
      </c>
      <c r="F122" s="7" t="str">
        <f aca="false">IF(OR(NOT(ISNUMBER($D122)),NOT(ISNUMBER($E122)),$E122=0),"",$D122/$E122)</f>
        <v/>
      </c>
      <c r="G122" s="8" t="str">
        <f aca="false">""</f>
        <v/>
      </c>
      <c r="H122" s="8" t="str">
        <f aca="false">""</f>
        <v/>
      </c>
      <c r="I122" s="8" t="str">
        <f aca="false">IF(OR(NOT(ISNUMBER($G122)),NOT(ISNUMBER($H122))),"",$G122-$H122)</f>
        <v/>
      </c>
    </row>
    <row r="123" customFormat="false" ht="15" hidden="false" customHeight="false" outlineLevel="0" collapsed="false">
      <c r="A123" s="5" t="str">
        <f aca="false">IF(NOT(ISNUMBER(Macro_Series!$A123)),"",Macro_Series!$A123)</f>
        <v/>
      </c>
      <c r="B123" s="6" t="str">
        <f aca="false">IF(NOT(ISNUMBER(Macro_Series!$C123)),"",Macro_Series!$C123)</f>
        <v/>
      </c>
      <c r="C123" s="6" t="str">
        <f aca="false">IF(NOT(ISNUMBER(Macro_Series!$E123)),"",Macro_Series!$E123)</f>
        <v/>
      </c>
      <c r="D123" s="7" t="str">
        <f aca="false">IF(OR(NOT(ISNUMBER($B123)),NOT(ISNUMBER($C123)),$C123=0),"",$B123/$C123)</f>
        <v/>
      </c>
      <c r="E123" s="7" t="str">
        <f aca="false">IF(NOT(ISNUMBER(Macro_Series!$H123)),"",Macro_Series!$H123)</f>
        <v/>
      </c>
      <c r="F123" s="7" t="str">
        <f aca="false">IF(OR(NOT(ISNUMBER($D123)),NOT(ISNUMBER($E123)),$E123=0),"",$D123/$E123)</f>
        <v/>
      </c>
      <c r="G123" s="8" t="str">
        <f aca="false">""</f>
        <v/>
      </c>
      <c r="H123" s="8" t="str">
        <f aca="false">""</f>
        <v/>
      </c>
      <c r="I123" s="8" t="str">
        <f aca="false">IF(OR(NOT(ISNUMBER($G123)),NOT(ISNUMBER($H123))),"",$G123-$H123)</f>
        <v/>
      </c>
    </row>
    <row r="124" customFormat="false" ht="15" hidden="false" customHeight="false" outlineLevel="0" collapsed="false">
      <c r="A124" s="5" t="str">
        <f aca="false">IF(NOT(ISNUMBER(Macro_Series!$A124)),"",Macro_Series!$A124)</f>
        <v/>
      </c>
      <c r="B124" s="6" t="str">
        <f aca="false">IF(NOT(ISNUMBER(Macro_Series!$C124)),"",Macro_Series!$C124)</f>
        <v/>
      </c>
      <c r="C124" s="6" t="str">
        <f aca="false">IF(NOT(ISNUMBER(Macro_Series!$E124)),"",Macro_Series!$E124)</f>
        <v/>
      </c>
      <c r="D124" s="7" t="str">
        <f aca="false">IF(OR(NOT(ISNUMBER($B124)),NOT(ISNUMBER($C124)),$C124=0),"",$B124/$C124)</f>
        <v/>
      </c>
      <c r="E124" s="7" t="str">
        <f aca="false">IF(NOT(ISNUMBER(Macro_Series!$H124)),"",Macro_Series!$H124)</f>
        <v/>
      </c>
      <c r="F124" s="7" t="str">
        <f aca="false">IF(OR(NOT(ISNUMBER($D124)),NOT(ISNUMBER($E124)),$E124=0),"",$D124/$E124)</f>
        <v/>
      </c>
      <c r="G124" s="8" t="str">
        <f aca="false">""</f>
        <v/>
      </c>
      <c r="H124" s="8" t="str">
        <f aca="false">""</f>
        <v/>
      </c>
      <c r="I124" s="8" t="str">
        <f aca="false">IF(OR(NOT(ISNUMBER($G124)),NOT(ISNUMBER($H124))),"",$G124-$H124)</f>
        <v/>
      </c>
    </row>
    <row r="125" customFormat="false" ht="15" hidden="false" customHeight="false" outlineLevel="0" collapsed="false">
      <c r="A125" s="5" t="str">
        <f aca="false">IF(NOT(ISNUMBER(Macro_Series!$A125)),"",Macro_Series!$A125)</f>
        <v/>
      </c>
      <c r="B125" s="6" t="str">
        <f aca="false">IF(NOT(ISNUMBER(Macro_Series!$C125)),"",Macro_Series!$C125)</f>
        <v/>
      </c>
      <c r="C125" s="6" t="str">
        <f aca="false">IF(NOT(ISNUMBER(Macro_Series!$E125)),"",Macro_Series!$E125)</f>
        <v/>
      </c>
      <c r="D125" s="7" t="str">
        <f aca="false">IF(OR(NOT(ISNUMBER($B125)),NOT(ISNUMBER($C125)),$C125=0),"",$B125/$C125)</f>
        <v/>
      </c>
      <c r="E125" s="7" t="str">
        <f aca="false">IF(NOT(ISNUMBER(Macro_Series!$H125)),"",Macro_Series!$H125)</f>
        <v/>
      </c>
      <c r="F125" s="7" t="str">
        <f aca="false">IF(OR(NOT(ISNUMBER($D125)),NOT(ISNUMBER($E125)),$E125=0),"",$D125/$E125)</f>
        <v/>
      </c>
      <c r="G125" s="8" t="str">
        <f aca="false">""</f>
        <v/>
      </c>
      <c r="H125" s="8" t="str">
        <f aca="false">""</f>
        <v/>
      </c>
      <c r="I125" s="8" t="str">
        <f aca="false">IF(OR(NOT(ISNUMBER($G125)),NOT(ISNUMBER($H125))),"",$G125-$H125)</f>
        <v/>
      </c>
    </row>
    <row r="126" customFormat="false" ht="15" hidden="false" customHeight="false" outlineLevel="0" collapsed="false">
      <c r="A126" s="5" t="str">
        <f aca="false">IF(NOT(ISNUMBER(Macro_Series!$A126)),"",Macro_Series!$A126)</f>
        <v/>
      </c>
      <c r="B126" s="6" t="str">
        <f aca="false">IF(NOT(ISNUMBER(Macro_Series!$C126)),"",Macro_Series!$C126)</f>
        <v/>
      </c>
      <c r="C126" s="6" t="str">
        <f aca="false">IF(NOT(ISNUMBER(Macro_Series!$E126)),"",Macro_Series!$E126)</f>
        <v/>
      </c>
      <c r="D126" s="7" t="str">
        <f aca="false">IF(OR(NOT(ISNUMBER($B126)),NOT(ISNUMBER($C126)),$C126=0),"",$B126/$C126)</f>
        <v/>
      </c>
      <c r="E126" s="7" t="str">
        <f aca="false">IF(NOT(ISNUMBER(Macro_Series!$H126)),"",Macro_Series!$H126)</f>
        <v/>
      </c>
      <c r="F126" s="7" t="str">
        <f aca="false">IF(OR(NOT(ISNUMBER($D126)),NOT(ISNUMBER($E126)),$E126=0),"",$D126/$E126)</f>
        <v/>
      </c>
      <c r="G126" s="8" t="str">
        <f aca="false">""</f>
        <v/>
      </c>
      <c r="H126" s="8" t="str">
        <f aca="false">""</f>
        <v/>
      </c>
      <c r="I126" s="8" t="str">
        <f aca="false">IF(OR(NOT(ISNUMBER($G126)),NOT(ISNUMBER($H126))),"",$G126-$H126)</f>
        <v/>
      </c>
    </row>
    <row r="127" customFormat="false" ht="15" hidden="false" customHeight="false" outlineLevel="0" collapsed="false">
      <c r="A127" s="5" t="str">
        <f aca="false">IF(NOT(ISNUMBER(Macro_Series!$A127)),"",Macro_Series!$A127)</f>
        <v/>
      </c>
      <c r="B127" s="6" t="str">
        <f aca="false">IF(NOT(ISNUMBER(Macro_Series!$C127)),"",Macro_Series!$C127)</f>
        <v/>
      </c>
      <c r="C127" s="6" t="str">
        <f aca="false">IF(NOT(ISNUMBER(Macro_Series!$E127)),"",Macro_Series!$E127)</f>
        <v/>
      </c>
      <c r="D127" s="7" t="str">
        <f aca="false">IF(OR(NOT(ISNUMBER($B127)),NOT(ISNUMBER($C127)),$C127=0),"",$B127/$C127)</f>
        <v/>
      </c>
      <c r="E127" s="7" t="str">
        <f aca="false">IF(NOT(ISNUMBER(Macro_Series!$H127)),"",Macro_Series!$H127)</f>
        <v/>
      </c>
      <c r="F127" s="7" t="str">
        <f aca="false">IF(OR(NOT(ISNUMBER($D127)),NOT(ISNUMBER($E127)),$E127=0),"",$D127/$E127)</f>
        <v/>
      </c>
      <c r="G127" s="8" t="str">
        <f aca="false">""</f>
        <v/>
      </c>
      <c r="H127" s="8" t="str">
        <f aca="false">""</f>
        <v/>
      </c>
      <c r="I127" s="8" t="str">
        <f aca="false">IF(OR(NOT(ISNUMBER($G127)),NOT(ISNUMBER($H127))),"",$G127-$H127)</f>
        <v/>
      </c>
    </row>
    <row r="128" customFormat="false" ht="15" hidden="false" customHeight="false" outlineLevel="0" collapsed="false">
      <c r="A128" s="5" t="str">
        <f aca="false">IF(NOT(ISNUMBER(Macro_Series!$A128)),"",Macro_Series!$A128)</f>
        <v/>
      </c>
      <c r="B128" s="6" t="str">
        <f aca="false">IF(NOT(ISNUMBER(Macro_Series!$C128)),"",Macro_Series!$C128)</f>
        <v/>
      </c>
      <c r="C128" s="6" t="str">
        <f aca="false">IF(NOT(ISNUMBER(Macro_Series!$E128)),"",Macro_Series!$E128)</f>
        <v/>
      </c>
      <c r="D128" s="7" t="str">
        <f aca="false">IF(OR(NOT(ISNUMBER($B128)),NOT(ISNUMBER($C128)),$C128=0),"",$B128/$C128)</f>
        <v/>
      </c>
      <c r="E128" s="7" t="str">
        <f aca="false">IF(NOT(ISNUMBER(Macro_Series!$H128)),"",Macro_Series!$H128)</f>
        <v/>
      </c>
      <c r="F128" s="7" t="str">
        <f aca="false">IF(OR(NOT(ISNUMBER($D128)),NOT(ISNUMBER($E128)),$E128=0),"",$D128/$E128)</f>
        <v/>
      </c>
      <c r="G128" s="8" t="str">
        <f aca="false">""</f>
        <v/>
      </c>
      <c r="H128" s="8" t="str">
        <f aca="false">""</f>
        <v/>
      </c>
      <c r="I128" s="8" t="str">
        <f aca="false">IF(OR(NOT(ISNUMBER($G128)),NOT(ISNUMBER($H128))),"",$G128-$H128)</f>
        <v/>
      </c>
    </row>
    <row r="129" customFormat="false" ht="15" hidden="false" customHeight="false" outlineLevel="0" collapsed="false">
      <c r="A129" s="5" t="str">
        <f aca="false">IF(NOT(ISNUMBER(Macro_Series!$A129)),"",Macro_Series!$A129)</f>
        <v/>
      </c>
      <c r="B129" s="6" t="str">
        <f aca="false">IF(NOT(ISNUMBER(Macro_Series!$C129)),"",Macro_Series!$C129)</f>
        <v/>
      </c>
      <c r="C129" s="6" t="str">
        <f aca="false">IF(NOT(ISNUMBER(Macro_Series!$E129)),"",Macro_Series!$E129)</f>
        <v/>
      </c>
      <c r="D129" s="7" t="str">
        <f aca="false">IF(OR(NOT(ISNUMBER($B129)),NOT(ISNUMBER($C129)),$C129=0),"",$B129/$C129)</f>
        <v/>
      </c>
      <c r="E129" s="7" t="str">
        <f aca="false">IF(NOT(ISNUMBER(Macro_Series!$H129)),"",Macro_Series!$H129)</f>
        <v/>
      </c>
      <c r="F129" s="7" t="str">
        <f aca="false">IF(OR(NOT(ISNUMBER($D129)),NOT(ISNUMBER($E129)),$E129=0),"",$D129/$E129)</f>
        <v/>
      </c>
      <c r="G129" s="8" t="str">
        <f aca="false">""</f>
        <v/>
      </c>
      <c r="H129" s="8" t="str">
        <f aca="false">""</f>
        <v/>
      </c>
      <c r="I129" s="8" t="str">
        <f aca="false">IF(OR(NOT(ISNUMBER($G129)),NOT(ISNUMBER($H129))),"",$G129-$H129)</f>
        <v/>
      </c>
    </row>
    <row r="130" customFormat="false" ht="15" hidden="false" customHeight="false" outlineLevel="0" collapsed="false">
      <c r="A130" s="5" t="str">
        <f aca="false">IF(NOT(ISNUMBER(Macro_Series!$A130)),"",Macro_Series!$A130)</f>
        <v/>
      </c>
      <c r="B130" s="6" t="str">
        <f aca="false">IF(NOT(ISNUMBER(Macro_Series!$C130)),"",Macro_Series!$C130)</f>
        <v/>
      </c>
      <c r="C130" s="6" t="str">
        <f aca="false">IF(NOT(ISNUMBER(Macro_Series!$E130)),"",Macro_Series!$E130)</f>
        <v/>
      </c>
      <c r="D130" s="7" t="str">
        <f aca="false">IF(OR(NOT(ISNUMBER($B130)),NOT(ISNUMBER($C130)),$C130=0),"",$B130/$C130)</f>
        <v/>
      </c>
      <c r="E130" s="7" t="str">
        <f aca="false">IF(NOT(ISNUMBER(Macro_Series!$H130)),"",Macro_Series!$H130)</f>
        <v/>
      </c>
      <c r="F130" s="7" t="str">
        <f aca="false">IF(OR(NOT(ISNUMBER($D130)),NOT(ISNUMBER($E130)),$E130=0),"",$D130/$E130)</f>
        <v/>
      </c>
      <c r="G130" s="8" t="str">
        <f aca="false">""</f>
        <v/>
      </c>
      <c r="H130" s="8" t="str">
        <f aca="false">""</f>
        <v/>
      </c>
      <c r="I130" s="8" t="str">
        <f aca="false">IF(OR(NOT(ISNUMBER($G130)),NOT(ISNUMBER($H130))),"",$G130-$H130)</f>
        <v/>
      </c>
    </row>
    <row r="131" customFormat="false" ht="15" hidden="false" customHeight="false" outlineLevel="0" collapsed="false">
      <c r="A131" s="5" t="str">
        <f aca="false">IF(NOT(ISNUMBER(Macro_Series!$A131)),"",Macro_Series!$A131)</f>
        <v/>
      </c>
      <c r="B131" s="6" t="str">
        <f aca="false">IF(NOT(ISNUMBER(Macro_Series!$C131)),"",Macro_Series!$C131)</f>
        <v/>
      </c>
      <c r="C131" s="6" t="str">
        <f aca="false">IF(NOT(ISNUMBER(Macro_Series!$E131)),"",Macro_Series!$E131)</f>
        <v/>
      </c>
      <c r="D131" s="7" t="str">
        <f aca="false">IF(OR(NOT(ISNUMBER($B131)),NOT(ISNUMBER($C131)),$C131=0),"",$B131/$C131)</f>
        <v/>
      </c>
      <c r="E131" s="7" t="str">
        <f aca="false">IF(NOT(ISNUMBER(Macro_Series!$H131)),"",Macro_Series!$H131)</f>
        <v/>
      </c>
      <c r="F131" s="7" t="str">
        <f aca="false">IF(OR(NOT(ISNUMBER($D131)),NOT(ISNUMBER($E131)),$E131=0),"",$D131/$E131)</f>
        <v/>
      </c>
      <c r="G131" s="8" t="str">
        <f aca="false">""</f>
        <v/>
      </c>
      <c r="H131" s="8" t="str">
        <f aca="false">""</f>
        <v/>
      </c>
      <c r="I131" s="8" t="str">
        <f aca="false">IF(OR(NOT(ISNUMBER($G131)),NOT(ISNUMBER($H131))),"",$G131-$H131)</f>
        <v/>
      </c>
    </row>
    <row r="132" customFormat="false" ht="15" hidden="false" customHeight="false" outlineLevel="0" collapsed="false">
      <c r="A132" s="5" t="str">
        <f aca="false">IF(NOT(ISNUMBER(Macro_Series!$A132)),"",Macro_Series!$A132)</f>
        <v/>
      </c>
      <c r="B132" s="6" t="str">
        <f aca="false">IF(NOT(ISNUMBER(Macro_Series!$C132)),"",Macro_Series!$C132)</f>
        <v/>
      </c>
      <c r="C132" s="6" t="str">
        <f aca="false">IF(NOT(ISNUMBER(Macro_Series!$E132)),"",Macro_Series!$E132)</f>
        <v/>
      </c>
      <c r="D132" s="7" t="str">
        <f aca="false">IF(OR(NOT(ISNUMBER($B132)),NOT(ISNUMBER($C132)),$C132=0),"",$B132/$C132)</f>
        <v/>
      </c>
      <c r="E132" s="7" t="str">
        <f aca="false">IF(NOT(ISNUMBER(Macro_Series!$H132)),"",Macro_Series!$H132)</f>
        <v/>
      </c>
      <c r="F132" s="7" t="str">
        <f aca="false">IF(OR(NOT(ISNUMBER($D132)),NOT(ISNUMBER($E132)),$E132=0),"",$D132/$E132)</f>
        <v/>
      </c>
      <c r="G132" s="8" t="str">
        <f aca="false">""</f>
        <v/>
      </c>
      <c r="H132" s="8" t="str">
        <f aca="false">""</f>
        <v/>
      </c>
      <c r="I132" s="8" t="str">
        <f aca="false">IF(OR(NOT(ISNUMBER($G132)),NOT(ISNUMBER($H132))),"",$G132-$H132)</f>
        <v/>
      </c>
    </row>
    <row r="133" customFormat="false" ht="15" hidden="false" customHeight="false" outlineLevel="0" collapsed="false">
      <c r="A133" s="5" t="str">
        <f aca="false">IF(NOT(ISNUMBER(Macro_Series!$A133)),"",Macro_Series!$A133)</f>
        <v/>
      </c>
      <c r="B133" s="6" t="str">
        <f aca="false">IF(NOT(ISNUMBER(Macro_Series!$C133)),"",Macro_Series!$C133)</f>
        <v/>
      </c>
      <c r="C133" s="6" t="str">
        <f aca="false">IF(NOT(ISNUMBER(Macro_Series!$E133)),"",Macro_Series!$E133)</f>
        <v/>
      </c>
      <c r="D133" s="7" t="str">
        <f aca="false">IF(OR(NOT(ISNUMBER($B133)),NOT(ISNUMBER($C133)),$C133=0),"",$B133/$C133)</f>
        <v/>
      </c>
      <c r="E133" s="7" t="str">
        <f aca="false">IF(NOT(ISNUMBER(Macro_Series!$H133)),"",Macro_Series!$H133)</f>
        <v/>
      </c>
      <c r="F133" s="7" t="str">
        <f aca="false">IF(OR(NOT(ISNUMBER($D133)),NOT(ISNUMBER($E133)),$E133=0),"",$D133/$E133)</f>
        <v/>
      </c>
      <c r="G133" s="8" t="str">
        <f aca="false">""</f>
        <v/>
      </c>
      <c r="H133" s="8" t="str">
        <f aca="false">""</f>
        <v/>
      </c>
      <c r="I133" s="8" t="str">
        <f aca="false">IF(OR(NOT(ISNUMBER($G133)),NOT(ISNUMBER($H133))),"",$G133-$H133)</f>
        <v/>
      </c>
    </row>
    <row r="134" customFormat="false" ht="15" hidden="false" customHeight="false" outlineLevel="0" collapsed="false">
      <c r="A134" s="5" t="str">
        <f aca="false">IF(NOT(ISNUMBER(Macro_Series!$A134)),"",Macro_Series!$A134)</f>
        <v/>
      </c>
      <c r="B134" s="6" t="str">
        <f aca="false">IF(NOT(ISNUMBER(Macro_Series!$C134)),"",Macro_Series!$C134)</f>
        <v/>
      </c>
      <c r="C134" s="6" t="str">
        <f aca="false">IF(NOT(ISNUMBER(Macro_Series!$E134)),"",Macro_Series!$E134)</f>
        <v/>
      </c>
      <c r="D134" s="7" t="str">
        <f aca="false">IF(OR(NOT(ISNUMBER($B134)),NOT(ISNUMBER($C134)),$C134=0),"",$B134/$C134)</f>
        <v/>
      </c>
      <c r="E134" s="7" t="str">
        <f aca="false">IF(NOT(ISNUMBER(Macro_Series!$H134)),"",Macro_Series!$H134)</f>
        <v/>
      </c>
      <c r="F134" s="7" t="str">
        <f aca="false">IF(OR(NOT(ISNUMBER($D134)),NOT(ISNUMBER($E134)),$E134=0),"",$D134/$E134)</f>
        <v/>
      </c>
      <c r="G134" s="8" t="str">
        <f aca="false">""</f>
        <v/>
      </c>
      <c r="H134" s="8" t="str">
        <f aca="false">""</f>
        <v/>
      </c>
      <c r="I134" s="8" t="str">
        <f aca="false">IF(OR(NOT(ISNUMBER($G134)),NOT(ISNUMBER($H134))),"",$G134-$H134)</f>
        <v/>
      </c>
    </row>
    <row r="135" customFormat="false" ht="15" hidden="false" customHeight="false" outlineLevel="0" collapsed="false">
      <c r="A135" s="5" t="str">
        <f aca="false">IF(NOT(ISNUMBER(Macro_Series!$A135)),"",Macro_Series!$A135)</f>
        <v/>
      </c>
      <c r="B135" s="6" t="str">
        <f aca="false">IF(NOT(ISNUMBER(Macro_Series!$C135)),"",Macro_Series!$C135)</f>
        <v/>
      </c>
      <c r="C135" s="6" t="str">
        <f aca="false">IF(NOT(ISNUMBER(Macro_Series!$E135)),"",Macro_Series!$E135)</f>
        <v/>
      </c>
      <c r="D135" s="7" t="str">
        <f aca="false">IF(OR(NOT(ISNUMBER($B135)),NOT(ISNUMBER($C135)),$C135=0),"",$B135/$C135)</f>
        <v/>
      </c>
      <c r="E135" s="7" t="str">
        <f aca="false">IF(NOT(ISNUMBER(Macro_Series!$H135)),"",Macro_Series!$H135)</f>
        <v/>
      </c>
      <c r="F135" s="7" t="str">
        <f aca="false">IF(OR(NOT(ISNUMBER($D135)),NOT(ISNUMBER($E135)),$E135=0),"",$D135/$E135)</f>
        <v/>
      </c>
      <c r="G135" s="8" t="str">
        <f aca="false">""</f>
        <v/>
      </c>
      <c r="H135" s="8" t="str">
        <f aca="false">""</f>
        <v/>
      </c>
      <c r="I135" s="8" t="str">
        <f aca="false">IF(OR(NOT(ISNUMBER($G135)),NOT(ISNUMBER($H135))),"",$G135-$H135)</f>
        <v/>
      </c>
    </row>
    <row r="136" customFormat="false" ht="15" hidden="false" customHeight="false" outlineLevel="0" collapsed="false">
      <c r="A136" s="5" t="str">
        <f aca="false">IF(NOT(ISNUMBER(Macro_Series!$A136)),"",Macro_Series!$A136)</f>
        <v/>
      </c>
      <c r="B136" s="6" t="str">
        <f aca="false">IF(NOT(ISNUMBER(Macro_Series!$C136)),"",Macro_Series!$C136)</f>
        <v/>
      </c>
      <c r="C136" s="6" t="str">
        <f aca="false">IF(NOT(ISNUMBER(Macro_Series!$E136)),"",Macro_Series!$E136)</f>
        <v/>
      </c>
      <c r="D136" s="7" t="str">
        <f aca="false">IF(OR(NOT(ISNUMBER($B136)),NOT(ISNUMBER($C136)),$C136=0),"",$B136/$C136)</f>
        <v/>
      </c>
      <c r="E136" s="7" t="str">
        <f aca="false">IF(NOT(ISNUMBER(Macro_Series!$H136)),"",Macro_Series!$H136)</f>
        <v/>
      </c>
      <c r="F136" s="7" t="str">
        <f aca="false">IF(OR(NOT(ISNUMBER($D136)),NOT(ISNUMBER($E136)),$E136=0),"",$D136/$E136)</f>
        <v/>
      </c>
      <c r="G136" s="8" t="str">
        <f aca="false">""</f>
        <v/>
      </c>
      <c r="H136" s="8" t="str">
        <f aca="false">""</f>
        <v/>
      </c>
      <c r="I136" s="8" t="str">
        <f aca="false">IF(OR(NOT(ISNUMBER($G136)),NOT(ISNUMBER($H136))),"",$G136-$H136)</f>
        <v/>
      </c>
    </row>
    <row r="137" customFormat="false" ht="15" hidden="false" customHeight="false" outlineLevel="0" collapsed="false">
      <c r="A137" s="5" t="str">
        <f aca="false">IF(NOT(ISNUMBER(Macro_Series!$A137)),"",Macro_Series!$A137)</f>
        <v/>
      </c>
      <c r="B137" s="6" t="str">
        <f aca="false">IF(NOT(ISNUMBER(Macro_Series!$C137)),"",Macro_Series!$C137)</f>
        <v/>
      </c>
      <c r="C137" s="6" t="str">
        <f aca="false">IF(NOT(ISNUMBER(Macro_Series!$E137)),"",Macro_Series!$E137)</f>
        <v/>
      </c>
      <c r="D137" s="7" t="str">
        <f aca="false">IF(OR(NOT(ISNUMBER($B137)),NOT(ISNUMBER($C137)),$C137=0),"",$B137/$C137)</f>
        <v/>
      </c>
      <c r="E137" s="7" t="str">
        <f aca="false">IF(NOT(ISNUMBER(Macro_Series!$H137)),"",Macro_Series!$H137)</f>
        <v/>
      </c>
      <c r="F137" s="7" t="str">
        <f aca="false">IF(OR(NOT(ISNUMBER($D137)),NOT(ISNUMBER($E137)),$E137=0),"",$D137/$E137)</f>
        <v/>
      </c>
      <c r="G137" s="8" t="str">
        <f aca="false">""</f>
        <v/>
      </c>
      <c r="H137" s="8" t="str">
        <f aca="false">""</f>
        <v/>
      </c>
      <c r="I137" s="8" t="str">
        <f aca="false">IF(OR(NOT(ISNUMBER($G137)),NOT(ISNUMBER($H137))),"",$G137-$H137)</f>
        <v/>
      </c>
    </row>
    <row r="138" customFormat="false" ht="15" hidden="false" customHeight="false" outlineLevel="0" collapsed="false">
      <c r="A138" s="5" t="str">
        <f aca="false">IF(NOT(ISNUMBER(Macro_Series!$A138)),"",Macro_Series!$A138)</f>
        <v/>
      </c>
      <c r="B138" s="6" t="str">
        <f aca="false">IF(NOT(ISNUMBER(Macro_Series!$C138)),"",Macro_Series!$C138)</f>
        <v/>
      </c>
      <c r="C138" s="6" t="str">
        <f aca="false">IF(NOT(ISNUMBER(Macro_Series!$E138)),"",Macro_Series!$E138)</f>
        <v/>
      </c>
      <c r="D138" s="7" t="str">
        <f aca="false">IF(OR(NOT(ISNUMBER($B138)),NOT(ISNUMBER($C138)),$C138=0),"",$B138/$C138)</f>
        <v/>
      </c>
      <c r="E138" s="7" t="str">
        <f aca="false">IF(NOT(ISNUMBER(Macro_Series!$H138)),"",Macro_Series!$H138)</f>
        <v/>
      </c>
      <c r="F138" s="7" t="str">
        <f aca="false">IF(OR(NOT(ISNUMBER($D138)),NOT(ISNUMBER($E138)),$E138=0),"",$D138/$E138)</f>
        <v/>
      </c>
      <c r="G138" s="8" t="str">
        <f aca="false">""</f>
        <v/>
      </c>
      <c r="H138" s="8" t="str">
        <f aca="false">""</f>
        <v/>
      </c>
      <c r="I138" s="8" t="str">
        <f aca="false">IF(OR(NOT(ISNUMBER($G138)),NOT(ISNUMBER($H138))),"",$G138-$H138)</f>
        <v/>
      </c>
    </row>
    <row r="139" customFormat="false" ht="15" hidden="false" customHeight="false" outlineLevel="0" collapsed="false">
      <c r="A139" s="5" t="str">
        <f aca="false">IF(NOT(ISNUMBER(Macro_Series!$A139)),"",Macro_Series!$A139)</f>
        <v/>
      </c>
      <c r="B139" s="6" t="str">
        <f aca="false">IF(NOT(ISNUMBER(Macro_Series!$C139)),"",Macro_Series!$C139)</f>
        <v/>
      </c>
      <c r="C139" s="6" t="str">
        <f aca="false">IF(NOT(ISNUMBER(Macro_Series!$E139)),"",Macro_Series!$E139)</f>
        <v/>
      </c>
      <c r="D139" s="7" t="str">
        <f aca="false">IF(OR(NOT(ISNUMBER($B139)),NOT(ISNUMBER($C139)),$C139=0),"",$B139/$C139)</f>
        <v/>
      </c>
      <c r="E139" s="7" t="str">
        <f aca="false">IF(NOT(ISNUMBER(Macro_Series!$H139)),"",Macro_Series!$H139)</f>
        <v/>
      </c>
      <c r="F139" s="7" t="str">
        <f aca="false">IF(OR(NOT(ISNUMBER($D139)),NOT(ISNUMBER($E139)),$E139=0),"",$D139/$E139)</f>
        <v/>
      </c>
      <c r="G139" s="8" t="str">
        <f aca="false">""</f>
        <v/>
      </c>
      <c r="H139" s="8" t="str">
        <f aca="false">""</f>
        <v/>
      </c>
      <c r="I139" s="8" t="str">
        <f aca="false">IF(OR(NOT(ISNUMBER($G139)),NOT(ISNUMBER($H139))),"",$G139-$H139)</f>
        <v/>
      </c>
    </row>
    <row r="140" customFormat="false" ht="15" hidden="false" customHeight="false" outlineLevel="0" collapsed="false">
      <c r="A140" s="5" t="str">
        <f aca="false">IF(NOT(ISNUMBER(Macro_Series!$A140)),"",Macro_Series!$A140)</f>
        <v/>
      </c>
      <c r="B140" s="6" t="str">
        <f aca="false">IF(NOT(ISNUMBER(Macro_Series!$C140)),"",Macro_Series!$C140)</f>
        <v/>
      </c>
      <c r="C140" s="6" t="str">
        <f aca="false">IF(NOT(ISNUMBER(Macro_Series!$E140)),"",Macro_Series!$E140)</f>
        <v/>
      </c>
      <c r="D140" s="7" t="str">
        <f aca="false">IF(OR(NOT(ISNUMBER($B140)),NOT(ISNUMBER($C140)),$C140=0),"",$B140/$C140)</f>
        <v/>
      </c>
      <c r="E140" s="7" t="str">
        <f aca="false">IF(NOT(ISNUMBER(Macro_Series!$H140)),"",Macro_Series!$H140)</f>
        <v/>
      </c>
      <c r="F140" s="7" t="str">
        <f aca="false">IF(OR(NOT(ISNUMBER($D140)),NOT(ISNUMBER($E140)),$E140=0),"",$D140/$E140)</f>
        <v/>
      </c>
      <c r="G140" s="8" t="str">
        <f aca="false">""</f>
        <v/>
      </c>
      <c r="H140" s="8" t="str">
        <f aca="false">""</f>
        <v/>
      </c>
      <c r="I140" s="8" t="str">
        <f aca="false">IF(OR(NOT(ISNUMBER($G140)),NOT(ISNUMBER($H140))),"",$G140-$H140)</f>
        <v/>
      </c>
    </row>
    <row r="141" customFormat="false" ht="15" hidden="false" customHeight="false" outlineLevel="0" collapsed="false">
      <c r="A141" s="5" t="str">
        <f aca="false">IF(NOT(ISNUMBER(Macro_Series!$A141)),"",Macro_Series!$A141)</f>
        <v/>
      </c>
      <c r="B141" s="6" t="str">
        <f aca="false">IF(NOT(ISNUMBER(Macro_Series!$C141)),"",Macro_Series!$C141)</f>
        <v/>
      </c>
      <c r="C141" s="6" t="str">
        <f aca="false">IF(NOT(ISNUMBER(Macro_Series!$E141)),"",Macro_Series!$E141)</f>
        <v/>
      </c>
      <c r="D141" s="7" t="str">
        <f aca="false">IF(OR(NOT(ISNUMBER($B141)),NOT(ISNUMBER($C141)),$C141=0),"",$B141/$C141)</f>
        <v/>
      </c>
      <c r="E141" s="7" t="str">
        <f aca="false">IF(NOT(ISNUMBER(Macro_Series!$H141)),"",Macro_Series!$H141)</f>
        <v/>
      </c>
      <c r="F141" s="7" t="str">
        <f aca="false">IF(OR(NOT(ISNUMBER($D141)),NOT(ISNUMBER($E141)),$E141=0),"",$D141/$E141)</f>
        <v/>
      </c>
      <c r="G141" s="8" t="str">
        <f aca="false">""</f>
        <v/>
      </c>
      <c r="H141" s="8" t="str">
        <f aca="false">""</f>
        <v/>
      </c>
      <c r="I141" s="8" t="str">
        <f aca="false">IF(OR(NOT(ISNUMBER($G141)),NOT(ISNUMBER($H141))),"",$G141-$H141)</f>
        <v/>
      </c>
    </row>
    <row r="142" customFormat="false" ht="15" hidden="false" customHeight="false" outlineLevel="0" collapsed="false">
      <c r="A142" s="5" t="str">
        <f aca="false">IF(NOT(ISNUMBER(Macro_Series!$A142)),"",Macro_Series!$A142)</f>
        <v/>
      </c>
      <c r="B142" s="6" t="str">
        <f aca="false">IF(NOT(ISNUMBER(Macro_Series!$C142)),"",Macro_Series!$C142)</f>
        <v/>
      </c>
      <c r="C142" s="6" t="str">
        <f aca="false">IF(NOT(ISNUMBER(Macro_Series!$E142)),"",Macro_Series!$E142)</f>
        <v/>
      </c>
      <c r="D142" s="7" t="str">
        <f aca="false">IF(OR(NOT(ISNUMBER($B142)),NOT(ISNUMBER($C142)),$C142=0),"",$B142/$C142)</f>
        <v/>
      </c>
      <c r="E142" s="7" t="str">
        <f aca="false">IF(NOT(ISNUMBER(Macro_Series!$H142)),"",Macro_Series!$H142)</f>
        <v/>
      </c>
      <c r="F142" s="7" t="str">
        <f aca="false">IF(OR(NOT(ISNUMBER($D142)),NOT(ISNUMBER($E142)),$E142=0),"",$D142/$E142)</f>
        <v/>
      </c>
      <c r="G142" s="8" t="str">
        <f aca="false">""</f>
        <v/>
      </c>
      <c r="H142" s="8" t="str">
        <f aca="false">""</f>
        <v/>
      </c>
      <c r="I142" s="8" t="str">
        <f aca="false">IF(OR(NOT(ISNUMBER($G142)),NOT(ISNUMBER($H142))),"",$G142-$H142)</f>
        <v/>
      </c>
    </row>
    <row r="143" customFormat="false" ht="15" hidden="false" customHeight="false" outlineLevel="0" collapsed="false">
      <c r="A143" s="5" t="str">
        <f aca="false">IF(NOT(ISNUMBER(Macro_Series!$A143)),"",Macro_Series!$A143)</f>
        <v/>
      </c>
      <c r="B143" s="6" t="str">
        <f aca="false">IF(NOT(ISNUMBER(Macro_Series!$C143)),"",Macro_Series!$C143)</f>
        <v/>
      </c>
      <c r="C143" s="6" t="str">
        <f aca="false">IF(NOT(ISNUMBER(Macro_Series!$E143)),"",Macro_Series!$E143)</f>
        <v/>
      </c>
      <c r="D143" s="7" t="str">
        <f aca="false">IF(OR(NOT(ISNUMBER($B143)),NOT(ISNUMBER($C143)),$C143=0),"",$B143/$C143)</f>
        <v/>
      </c>
      <c r="E143" s="7" t="str">
        <f aca="false">IF(NOT(ISNUMBER(Macro_Series!$H143)),"",Macro_Series!$H143)</f>
        <v/>
      </c>
      <c r="F143" s="7" t="str">
        <f aca="false">IF(OR(NOT(ISNUMBER($D143)),NOT(ISNUMBER($E143)),$E143=0),"",$D143/$E143)</f>
        <v/>
      </c>
      <c r="G143" s="8" t="str">
        <f aca="false">""</f>
        <v/>
      </c>
      <c r="H143" s="8" t="str">
        <f aca="false">""</f>
        <v/>
      </c>
      <c r="I143" s="8" t="str">
        <f aca="false">IF(OR(NOT(ISNUMBER($G143)),NOT(ISNUMBER($H143))),"",$G143-$H143)</f>
        <v/>
      </c>
    </row>
    <row r="144" customFormat="false" ht="15" hidden="false" customHeight="false" outlineLevel="0" collapsed="false">
      <c r="A144" s="5" t="str">
        <f aca="false">IF(NOT(ISNUMBER(Macro_Series!$A144)),"",Macro_Series!$A144)</f>
        <v/>
      </c>
      <c r="B144" s="6" t="str">
        <f aca="false">IF(NOT(ISNUMBER(Macro_Series!$C144)),"",Macro_Series!$C144)</f>
        <v/>
      </c>
      <c r="C144" s="6" t="str">
        <f aca="false">IF(NOT(ISNUMBER(Macro_Series!$E144)),"",Macro_Series!$E144)</f>
        <v/>
      </c>
      <c r="D144" s="7" t="str">
        <f aca="false">IF(OR(NOT(ISNUMBER($B144)),NOT(ISNUMBER($C144)),$C144=0),"",$B144/$C144)</f>
        <v/>
      </c>
      <c r="E144" s="7" t="str">
        <f aca="false">IF(NOT(ISNUMBER(Macro_Series!$H144)),"",Macro_Series!$H144)</f>
        <v/>
      </c>
      <c r="F144" s="7" t="str">
        <f aca="false">IF(OR(NOT(ISNUMBER($D144)),NOT(ISNUMBER($E144)),$E144=0),"",$D144/$E144)</f>
        <v/>
      </c>
      <c r="G144" s="8" t="str">
        <f aca="false">""</f>
        <v/>
      </c>
      <c r="H144" s="8" t="str">
        <f aca="false">""</f>
        <v/>
      </c>
      <c r="I144" s="8" t="str">
        <f aca="false">IF(OR(NOT(ISNUMBER($G144)),NOT(ISNUMBER($H144))),"",$G144-$H144)</f>
        <v/>
      </c>
    </row>
    <row r="145" customFormat="false" ht="15" hidden="false" customHeight="false" outlineLevel="0" collapsed="false">
      <c r="A145" s="5" t="str">
        <f aca="false">IF(NOT(ISNUMBER(Macro_Series!$A145)),"",Macro_Series!$A145)</f>
        <v/>
      </c>
      <c r="B145" s="6" t="str">
        <f aca="false">IF(NOT(ISNUMBER(Macro_Series!$C145)),"",Macro_Series!$C145)</f>
        <v/>
      </c>
      <c r="C145" s="6" t="str">
        <f aca="false">IF(NOT(ISNUMBER(Macro_Series!$E145)),"",Macro_Series!$E145)</f>
        <v/>
      </c>
      <c r="D145" s="7" t="str">
        <f aca="false">IF(OR(NOT(ISNUMBER($B145)),NOT(ISNUMBER($C145)),$C145=0),"",$B145/$C145)</f>
        <v/>
      </c>
      <c r="E145" s="7" t="str">
        <f aca="false">IF(NOT(ISNUMBER(Macro_Series!$H145)),"",Macro_Series!$H145)</f>
        <v/>
      </c>
      <c r="F145" s="7" t="str">
        <f aca="false">IF(OR(NOT(ISNUMBER($D145)),NOT(ISNUMBER($E145)),$E145=0),"",$D145/$E145)</f>
        <v/>
      </c>
      <c r="G145" s="8" t="str">
        <f aca="false">""</f>
        <v/>
      </c>
      <c r="H145" s="8" t="str">
        <f aca="false">""</f>
        <v/>
      </c>
      <c r="I145" s="8" t="str">
        <f aca="false">IF(OR(NOT(ISNUMBER($G145)),NOT(ISNUMBER($H145))),"",$G145-$H145)</f>
        <v/>
      </c>
    </row>
    <row r="146" customFormat="false" ht="15" hidden="false" customHeight="false" outlineLevel="0" collapsed="false">
      <c r="A146" s="5" t="str">
        <f aca="false">IF(NOT(ISNUMBER(Macro_Series!$A146)),"",Macro_Series!$A146)</f>
        <v/>
      </c>
      <c r="B146" s="6" t="str">
        <f aca="false">IF(NOT(ISNUMBER(Macro_Series!$C146)),"",Macro_Series!$C146)</f>
        <v/>
      </c>
      <c r="C146" s="6" t="str">
        <f aca="false">IF(NOT(ISNUMBER(Macro_Series!$E146)),"",Macro_Series!$E146)</f>
        <v/>
      </c>
      <c r="D146" s="7" t="str">
        <f aca="false">IF(OR(NOT(ISNUMBER($B146)),NOT(ISNUMBER($C146)),$C146=0),"",$B146/$C146)</f>
        <v/>
      </c>
      <c r="E146" s="7" t="str">
        <f aca="false">IF(NOT(ISNUMBER(Macro_Series!$H146)),"",Macro_Series!$H146)</f>
        <v/>
      </c>
      <c r="F146" s="7" t="str">
        <f aca="false">IF(OR(NOT(ISNUMBER($D146)),NOT(ISNUMBER($E146)),$E146=0),"",$D146/$E146)</f>
        <v/>
      </c>
      <c r="G146" s="8" t="str">
        <f aca="false">""</f>
        <v/>
      </c>
      <c r="H146" s="8" t="str">
        <f aca="false">""</f>
        <v/>
      </c>
      <c r="I146" s="8" t="str">
        <f aca="false">IF(OR(NOT(ISNUMBER($G146)),NOT(ISNUMBER($H146))),"",$G146-$H146)</f>
        <v/>
      </c>
    </row>
    <row r="147" customFormat="false" ht="15" hidden="false" customHeight="false" outlineLevel="0" collapsed="false">
      <c r="A147" s="5" t="str">
        <f aca="false">IF(NOT(ISNUMBER(Macro_Series!$A147)),"",Macro_Series!$A147)</f>
        <v/>
      </c>
      <c r="B147" s="6" t="str">
        <f aca="false">IF(NOT(ISNUMBER(Macro_Series!$C147)),"",Macro_Series!$C147)</f>
        <v/>
      </c>
      <c r="C147" s="6" t="str">
        <f aca="false">IF(NOT(ISNUMBER(Macro_Series!$E147)),"",Macro_Series!$E147)</f>
        <v/>
      </c>
      <c r="D147" s="7" t="str">
        <f aca="false">IF(OR(NOT(ISNUMBER($B147)),NOT(ISNUMBER($C147)),$C147=0),"",$B147/$C147)</f>
        <v/>
      </c>
      <c r="E147" s="7" t="str">
        <f aca="false">IF(NOT(ISNUMBER(Macro_Series!$H147)),"",Macro_Series!$H147)</f>
        <v/>
      </c>
      <c r="F147" s="7" t="str">
        <f aca="false">IF(OR(NOT(ISNUMBER($D147)),NOT(ISNUMBER($E147)),$E147=0),"",$D147/$E147)</f>
        <v/>
      </c>
      <c r="G147" s="8" t="str">
        <f aca="false">""</f>
        <v/>
      </c>
      <c r="H147" s="8" t="str">
        <f aca="false">""</f>
        <v/>
      </c>
      <c r="I147" s="8" t="str">
        <f aca="false">IF(OR(NOT(ISNUMBER($G147)),NOT(ISNUMBER($H147))),"",$G147-$H147)</f>
        <v/>
      </c>
    </row>
    <row r="148" customFormat="false" ht="15" hidden="false" customHeight="false" outlineLevel="0" collapsed="false">
      <c r="A148" s="5" t="str">
        <f aca="false">IF(NOT(ISNUMBER(Macro_Series!$A148)),"",Macro_Series!$A148)</f>
        <v/>
      </c>
      <c r="B148" s="6" t="str">
        <f aca="false">IF(NOT(ISNUMBER(Macro_Series!$C148)),"",Macro_Series!$C148)</f>
        <v/>
      </c>
      <c r="C148" s="6" t="str">
        <f aca="false">IF(NOT(ISNUMBER(Macro_Series!$E148)),"",Macro_Series!$E148)</f>
        <v/>
      </c>
      <c r="D148" s="7" t="str">
        <f aca="false">IF(OR(NOT(ISNUMBER($B148)),NOT(ISNUMBER($C148)),$C148=0),"",$B148/$C148)</f>
        <v/>
      </c>
      <c r="E148" s="7" t="str">
        <f aca="false">IF(NOT(ISNUMBER(Macro_Series!$H148)),"",Macro_Series!$H148)</f>
        <v/>
      </c>
      <c r="F148" s="7" t="str">
        <f aca="false">IF(OR(NOT(ISNUMBER($D148)),NOT(ISNUMBER($E148)),$E148=0),"",$D148/$E148)</f>
        <v/>
      </c>
      <c r="G148" s="8" t="str">
        <f aca="false">""</f>
        <v/>
      </c>
      <c r="H148" s="8" t="str">
        <f aca="false">""</f>
        <v/>
      </c>
      <c r="I148" s="8" t="str">
        <f aca="false">IF(OR(NOT(ISNUMBER($G148)),NOT(ISNUMBER($H148))),"",$G148-$H148)</f>
        <v/>
      </c>
    </row>
    <row r="149" customFormat="false" ht="15" hidden="false" customHeight="false" outlineLevel="0" collapsed="false">
      <c r="A149" s="5" t="str">
        <f aca="false">IF(NOT(ISNUMBER(Macro_Series!$A149)),"",Macro_Series!$A149)</f>
        <v/>
      </c>
      <c r="B149" s="6" t="str">
        <f aca="false">IF(NOT(ISNUMBER(Macro_Series!$C149)),"",Macro_Series!$C149)</f>
        <v/>
      </c>
      <c r="C149" s="6" t="str">
        <f aca="false">IF(NOT(ISNUMBER(Macro_Series!$E149)),"",Macro_Series!$E149)</f>
        <v/>
      </c>
      <c r="D149" s="7" t="str">
        <f aca="false">IF(OR(NOT(ISNUMBER($B149)),NOT(ISNUMBER($C149)),$C149=0),"",$B149/$C149)</f>
        <v/>
      </c>
      <c r="E149" s="7" t="str">
        <f aca="false">IF(NOT(ISNUMBER(Macro_Series!$H149)),"",Macro_Series!$H149)</f>
        <v/>
      </c>
      <c r="F149" s="7" t="str">
        <f aca="false">IF(OR(NOT(ISNUMBER($D149)),NOT(ISNUMBER($E149)),$E149=0),"",$D149/$E149)</f>
        <v/>
      </c>
      <c r="G149" s="8" t="str">
        <f aca="false">""</f>
        <v/>
      </c>
      <c r="H149" s="8" t="str">
        <f aca="false">""</f>
        <v/>
      </c>
      <c r="I149" s="8" t="str">
        <f aca="false">IF(OR(NOT(ISNUMBER($G149)),NOT(ISNUMBER($H149))),"",$G149-$H149)</f>
        <v/>
      </c>
    </row>
    <row r="150" customFormat="false" ht="15" hidden="false" customHeight="false" outlineLevel="0" collapsed="false">
      <c r="A150" s="5" t="str">
        <f aca="false">IF(NOT(ISNUMBER(Macro_Series!$A150)),"",Macro_Series!$A150)</f>
        <v/>
      </c>
      <c r="B150" s="6" t="str">
        <f aca="false">IF(NOT(ISNUMBER(Macro_Series!$C150)),"",Macro_Series!$C150)</f>
        <v/>
      </c>
      <c r="C150" s="6" t="str">
        <f aca="false">IF(NOT(ISNUMBER(Macro_Series!$E150)),"",Macro_Series!$E150)</f>
        <v/>
      </c>
      <c r="D150" s="7" t="str">
        <f aca="false">IF(OR(NOT(ISNUMBER($B150)),NOT(ISNUMBER($C150)),$C150=0),"",$B150/$C150)</f>
        <v/>
      </c>
      <c r="E150" s="7" t="str">
        <f aca="false">IF(NOT(ISNUMBER(Macro_Series!$H150)),"",Macro_Series!$H150)</f>
        <v/>
      </c>
      <c r="F150" s="7" t="str">
        <f aca="false">IF(OR(NOT(ISNUMBER($D150)),NOT(ISNUMBER($E150)),$E150=0),"",$D150/$E150)</f>
        <v/>
      </c>
      <c r="G150" s="8" t="str">
        <f aca="false">""</f>
        <v/>
      </c>
      <c r="H150" s="8" t="str">
        <f aca="false">""</f>
        <v/>
      </c>
      <c r="I150" s="8" t="str">
        <f aca="false">IF(OR(NOT(ISNUMBER($G150)),NOT(ISNUMBER($H150))),"",$G150-$H150)</f>
        <v/>
      </c>
    </row>
    <row r="151" customFormat="false" ht="15" hidden="false" customHeight="false" outlineLevel="0" collapsed="false">
      <c r="A151" s="5" t="str">
        <f aca="false">IF(NOT(ISNUMBER(Macro_Series!$A151)),"",Macro_Series!$A151)</f>
        <v/>
      </c>
      <c r="B151" s="6" t="str">
        <f aca="false">IF(NOT(ISNUMBER(Macro_Series!$C151)),"",Macro_Series!$C151)</f>
        <v/>
      </c>
      <c r="C151" s="6" t="str">
        <f aca="false">IF(NOT(ISNUMBER(Macro_Series!$E151)),"",Macro_Series!$E151)</f>
        <v/>
      </c>
      <c r="D151" s="7" t="str">
        <f aca="false">IF(OR(NOT(ISNUMBER($B151)),NOT(ISNUMBER($C151)),$C151=0),"",$B151/$C151)</f>
        <v/>
      </c>
      <c r="E151" s="7" t="str">
        <f aca="false">IF(NOT(ISNUMBER(Macro_Series!$H151)),"",Macro_Series!$H151)</f>
        <v/>
      </c>
      <c r="F151" s="7" t="str">
        <f aca="false">IF(OR(NOT(ISNUMBER($D151)),NOT(ISNUMBER($E151)),$E151=0),"",$D151/$E151)</f>
        <v/>
      </c>
      <c r="G151" s="8" t="str">
        <f aca="false">""</f>
        <v/>
      </c>
      <c r="H151" s="8" t="str">
        <f aca="false">""</f>
        <v/>
      </c>
      <c r="I151" s="8" t="str">
        <f aca="false">IF(OR(NOT(ISNUMBER($G151)),NOT(ISNUMBER($H151))),"",$G151-$H151)</f>
        <v/>
      </c>
    </row>
    <row r="152" customFormat="false" ht="15" hidden="false" customHeight="false" outlineLevel="0" collapsed="false">
      <c r="A152" s="5" t="str">
        <f aca="false">IF(NOT(ISNUMBER(Macro_Series!$A152)),"",Macro_Series!$A152)</f>
        <v/>
      </c>
      <c r="B152" s="6" t="str">
        <f aca="false">IF(NOT(ISNUMBER(Macro_Series!$C152)),"",Macro_Series!$C152)</f>
        <v/>
      </c>
      <c r="C152" s="6" t="str">
        <f aca="false">IF(NOT(ISNUMBER(Macro_Series!$E152)),"",Macro_Series!$E152)</f>
        <v/>
      </c>
      <c r="D152" s="7" t="str">
        <f aca="false">IF(OR(NOT(ISNUMBER($B152)),NOT(ISNUMBER($C152)),$C152=0),"",$B152/$C152)</f>
        <v/>
      </c>
      <c r="E152" s="7" t="str">
        <f aca="false">IF(NOT(ISNUMBER(Macro_Series!$H152)),"",Macro_Series!$H152)</f>
        <v/>
      </c>
      <c r="F152" s="7" t="str">
        <f aca="false">IF(OR(NOT(ISNUMBER($D152)),NOT(ISNUMBER($E152)),$E152=0),"",$D152/$E152)</f>
        <v/>
      </c>
      <c r="G152" s="8" t="str">
        <f aca="false">""</f>
        <v/>
      </c>
      <c r="H152" s="8" t="str">
        <f aca="false">""</f>
        <v/>
      </c>
      <c r="I152" s="8" t="str">
        <f aca="false">IF(OR(NOT(ISNUMBER($G152)),NOT(ISNUMBER($H152))),"",$G152-$H152)</f>
        <v/>
      </c>
    </row>
    <row r="153" customFormat="false" ht="15" hidden="false" customHeight="false" outlineLevel="0" collapsed="false">
      <c r="A153" s="5" t="str">
        <f aca="false">IF(NOT(ISNUMBER(Macro_Series!$A153)),"",Macro_Series!$A153)</f>
        <v/>
      </c>
      <c r="B153" s="6" t="str">
        <f aca="false">IF(NOT(ISNUMBER(Macro_Series!$C153)),"",Macro_Series!$C153)</f>
        <v/>
      </c>
      <c r="C153" s="6" t="str">
        <f aca="false">IF(NOT(ISNUMBER(Macro_Series!$E153)),"",Macro_Series!$E153)</f>
        <v/>
      </c>
      <c r="D153" s="7" t="str">
        <f aca="false">IF(OR(NOT(ISNUMBER($B153)),NOT(ISNUMBER($C153)),$C153=0),"",$B153/$C153)</f>
        <v/>
      </c>
      <c r="E153" s="7" t="str">
        <f aca="false">IF(NOT(ISNUMBER(Macro_Series!$H153)),"",Macro_Series!$H153)</f>
        <v/>
      </c>
      <c r="F153" s="7" t="str">
        <f aca="false">IF(OR(NOT(ISNUMBER($D153)),NOT(ISNUMBER($E153)),$E153=0),"",$D153/$E153)</f>
        <v/>
      </c>
      <c r="G153" s="8" t="str">
        <f aca="false">""</f>
        <v/>
      </c>
      <c r="H153" s="8" t="str">
        <f aca="false">""</f>
        <v/>
      </c>
      <c r="I153" s="8" t="str">
        <f aca="false">IF(OR(NOT(ISNUMBER($G153)),NOT(ISNUMBER($H153))),"",$G153-$H153)</f>
        <v/>
      </c>
    </row>
    <row r="154" customFormat="false" ht="15" hidden="false" customHeight="false" outlineLevel="0" collapsed="false">
      <c r="A154" s="5" t="str">
        <f aca="false">IF(NOT(ISNUMBER(Macro_Series!$A154)),"",Macro_Series!$A154)</f>
        <v/>
      </c>
      <c r="B154" s="6" t="str">
        <f aca="false">IF(NOT(ISNUMBER(Macro_Series!$C154)),"",Macro_Series!$C154)</f>
        <v/>
      </c>
      <c r="C154" s="6" t="str">
        <f aca="false">IF(NOT(ISNUMBER(Macro_Series!$E154)),"",Macro_Series!$E154)</f>
        <v/>
      </c>
      <c r="D154" s="7" t="str">
        <f aca="false">IF(OR(NOT(ISNUMBER($B154)),NOT(ISNUMBER($C154)),$C154=0),"",$B154/$C154)</f>
        <v/>
      </c>
      <c r="E154" s="7" t="str">
        <f aca="false">IF(NOT(ISNUMBER(Macro_Series!$H154)),"",Macro_Series!$H154)</f>
        <v/>
      </c>
      <c r="F154" s="7" t="str">
        <f aca="false">IF(OR(NOT(ISNUMBER($D154)),NOT(ISNUMBER($E154)),$E154=0),"",$D154/$E154)</f>
        <v/>
      </c>
      <c r="G154" s="8" t="str">
        <f aca="false">""</f>
        <v/>
      </c>
      <c r="H154" s="8" t="str">
        <f aca="false">""</f>
        <v/>
      </c>
      <c r="I154" s="8" t="str">
        <f aca="false">IF(OR(NOT(ISNUMBER($G154)),NOT(ISNUMBER($H154))),"",$G154-$H154)</f>
        <v/>
      </c>
    </row>
    <row r="155" customFormat="false" ht="15" hidden="false" customHeight="false" outlineLevel="0" collapsed="false">
      <c r="A155" s="5" t="str">
        <f aca="false">IF(NOT(ISNUMBER(Macro_Series!$A155)),"",Macro_Series!$A155)</f>
        <v/>
      </c>
      <c r="B155" s="6" t="str">
        <f aca="false">IF(NOT(ISNUMBER(Macro_Series!$C155)),"",Macro_Series!$C155)</f>
        <v/>
      </c>
      <c r="C155" s="6" t="str">
        <f aca="false">IF(NOT(ISNUMBER(Macro_Series!$E155)),"",Macro_Series!$E155)</f>
        <v/>
      </c>
      <c r="D155" s="7" t="str">
        <f aca="false">IF(OR(NOT(ISNUMBER($B155)),NOT(ISNUMBER($C155)),$C155=0),"",$B155/$C155)</f>
        <v/>
      </c>
      <c r="E155" s="7" t="str">
        <f aca="false">IF(NOT(ISNUMBER(Macro_Series!$H155)),"",Macro_Series!$H155)</f>
        <v/>
      </c>
      <c r="F155" s="7" t="str">
        <f aca="false">IF(OR(NOT(ISNUMBER($D155)),NOT(ISNUMBER($E155)),$E155=0),"",$D155/$E155)</f>
        <v/>
      </c>
      <c r="G155" s="8" t="str">
        <f aca="false">""</f>
        <v/>
      </c>
      <c r="H155" s="8" t="str">
        <f aca="false">""</f>
        <v/>
      </c>
      <c r="I155" s="8" t="str">
        <f aca="false">IF(OR(NOT(ISNUMBER($G155)),NOT(ISNUMBER($H155))),"",$G155-$H155)</f>
        <v/>
      </c>
    </row>
    <row r="156" customFormat="false" ht="15" hidden="false" customHeight="false" outlineLevel="0" collapsed="false">
      <c r="A156" s="5" t="str">
        <f aca="false">IF(NOT(ISNUMBER(Macro_Series!$A156)),"",Macro_Series!$A156)</f>
        <v/>
      </c>
      <c r="B156" s="6" t="str">
        <f aca="false">IF(NOT(ISNUMBER(Macro_Series!$C156)),"",Macro_Series!$C156)</f>
        <v/>
      </c>
      <c r="C156" s="6" t="str">
        <f aca="false">IF(NOT(ISNUMBER(Macro_Series!$E156)),"",Macro_Series!$E156)</f>
        <v/>
      </c>
      <c r="D156" s="7" t="str">
        <f aca="false">IF(OR(NOT(ISNUMBER($B156)),NOT(ISNUMBER($C156)),$C156=0),"",$B156/$C156)</f>
        <v/>
      </c>
      <c r="E156" s="7" t="str">
        <f aca="false">IF(NOT(ISNUMBER(Macro_Series!$H156)),"",Macro_Series!$H156)</f>
        <v/>
      </c>
      <c r="F156" s="7" t="str">
        <f aca="false">IF(OR(NOT(ISNUMBER($D156)),NOT(ISNUMBER($E156)),$E156=0),"",$D156/$E156)</f>
        <v/>
      </c>
      <c r="G156" s="8" t="str">
        <f aca="false">""</f>
        <v/>
      </c>
      <c r="H156" s="8" t="str">
        <f aca="false">""</f>
        <v/>
      </c>
      <c r="I156" s="8" t="str">
        <f aca="false">IF(OR(NOT(ISNUMBER($G156)),NOT(ISNUMBER($H156))),"",$G156-$H156)</f>
        <v/>
      </c>
    </row>
    <row r="157" customFormat="false" ht="15" hidden="false" customHeight="false" outlineLevel="0" collapsed="false">
      <c r="A157" s="5" t="str">
        <f aca="false">IF(NOT(ISNUMBER(Macro_Series!$A157)),"",Macro_Series!$A157)</f>
        <v/>
      </c>
      <c r="B157" s="6" t="str">
        <f aca="false">IF(NOT(ISNUMBER(Macro_Series!$C157)),"",Macro_Series!$C157)</f>
        <v/>
      </c>
      <c r="C157" s="6" t="str">
        <f aca="false">IF(NOT(ISNUMBER(Macro_Series!$E157)),"",Macro_Series!$E157)</f>
        <v/>
      </c>
      <c r="D157" s="7" t="str">
        <f aca="false">IF(OR(NOT(ISNUMBER($B157)),NOT(ISNUMBER($C157)),$C157=0),"",$B157/$C157)</f>
        <v/>
      </c>
      <c r="E157" s="7" t="str">
        <f aca="false">IF(NOT(ISNUMBER(Macro_Series!$H157)),"",Macro_Series!$H157)</f>
        <v/>
      </c>
      <c r="F157" s="7" t="str">
        <f aca="false">IF(OR(NOT(ISNUMBER($D157)),NOT(ISNUMBER($E157)),$E157=0),"",$D157/$E157)</f>
        <v/>
      </c>
      <c r="G157" s="8" t="str">
        <f aca="false">""</f>
        <v/>
      </c>
      <c r="H157" s="8" t="str">
        <f aca="false">""</f>
        <v/>
      </c>
      <c r="I157" s="8" t="str">
        <f aca="false">IF(OR(NOT(ISNUMBER($G157)),NOT(ISNUMBER($H157))),"",$G157-$H157)</f>
        <v/>
      </c>
    </row>
    <row r="158" customFormat="false" ht="15" hidden="false" customHeight="false" outlineLevel="0" collapsed="false">
      <c r="A158" s="5" t="str">
        <f aca="false">IF(NOT(ISNUMBER(Macro_Series!$A158)),"",Macro_Series!$A158)</f>
        <v/>
      </c>
      <c r="B158" s="6" t="str">
        <f aca="false">IF(NOT(ISNUMBER(Macro_Series!$C158)),"",Macro_Series!$C158)</f>
        <v/>
      </c>
      <c r="C158" s="6" t="str">
        <f aca="false">IF(NOT(ISNUMBER(Macro_Series!$E158)),"",Macro_Series!$E158)</f>
        <v/>
      </c>
      <c r="D158" s="7" t="str">
        <f aca="false">IF(OR(NOT(ISNUMBER($B158)),NOT(ISNUMBER($C158)),$C158=0),"",$B158/$C158)</f>
        <v/>
      </c>
      <c r="E158" s="7" t="str">
        <f aca="false">IF(NOT(ISNUMBER(Macro_Series!$H158)),"",Macro_Series!$H158)</f>
        <v/>
      </c>
      <c r="F158" s="7" t="str">
        <f aca="false">IF(OR(NOT(ISNUMBER($D158)),NOT(ISNUMBER($E158)),$E158=0),"",$D158/$E158)</f>
        <v/>
      </c>
      <c r="G158" s="8" t="str">
        <f aca="false">""</f>
        <v/>
      </c>
      <c r="H158" s="8" t="str">
        <f aca="false">""</f>
        <v/>
      </c>
      <c r="I158" s="8" t="str">
        <f aca="false">IF(OR(NOT(ISNUMBER($G158)),NOT(ISNUMBER($H158))),"",$G158-$H158)</f>
        <v/>
      </c>
    </row>
    <row r="159" customFormat="false" ht="15" hidden="false" customHeight="false" outlineLevel="0" collapsed="false">
      <c r="A159" s="5" t="str">
        <f aca="false">IF(NOT(ISNUMBER(Macro_Series!$A159)),"",Macro_Series!$A159)</f>
        <v/>
      </c>
      <c r="B159" s="6" t="str">
        <f aca="false">IF(NOT(ISNUMBER(Macro_Series!$C159)),"",Macro_Series!$C159)</f>
        <v/>
      </c>
      <c r="C159" s="6" t="str">
        <f aca="false">IF(NOT(ISNUMBER(Macro_Series!$E159)),"",Macro_Series!$E159)</f>
        <v/>
      </c>
      <c r="D159" s="7" t="str">
        <f aca="false">IF(OR(NOT(ISNUMBER($B159)),NOT(ISNUMBER($C159)),$C159=0),"",$B159/$C159)</f>
        <v/>
      </c>
      <c r="E159" s="7" t="str">
        <f aca="false">IF(NOT(ISNUMBER(Macro_Series!$H159)),"",Macro_Series!$H159)</f>
        <v/>
      </c>
      <c r="F159" s="7" t="str">
        <f aca="false">IF(OR(NOT(ISNUMBER($D159)),NOT(ISNUMBER($E159)),$E159=0),"",$D159/$E159)</f>
        <v/>
      </c>
      <c r="G159" s="8" t="str">
        <f aca="false">""</f>
        <v/>
      </c>
      <c r="H159" s="8" t="str">
        <f aca="false">""</f>
        <v/>
      </c>
      <c r="I159" s="8" t="str">
        <f aca="false">IF(OR(NOT(ISNUMBER($G159)),NOT(ISNUMBER($H159))),"",$G159-$H159)</f>
        <v/>
      </c>
    </row>
    <row r="160" customFormat="false" ht="15" hidden="false" customHeight="false" outlineLevel="0" collapsed="false">
      <c r="A160" s="5" t="str">
        <f aca="false">IF(NOT(ISNUMBER(Macro_Series!$A160)),"",Macro_Series!$A160)</f>
        <v/>
      </c>
      <c r="B160" s="6" t="str">
        <f aca="false">IF(NOT(ISNUMBER(Macro_Series!$C160)),"",Macro_Series!$C160)</f>
        <v/>
      </c>
      <c r="C160" s="6" t="str">
        <f aca="false">IF(NOT(ISNUMBER(Macro_Series!$E160)),"",Macro_Series!$E160)</f>
        <v/>
      </c>
      <c r="D160" s="7" t="str">
        <f aca="false">IF(OR(NOT(ISNUMBER($B160)),NOT(ISNUMBER($C160)),$C160=0),"",$B160/$C160)</f>
        <v/>
      </c>
      <c r="E160" s="7" t="str">
        <f aca="false">IF(NOT(ISNUMBER(Macro_Series!$H160)),"",Macro_Series!$H160)</f>
        <v/>
      </c>
      <c r="F160" s="7" t="str">
        <f aca="false">IF(OR(NOT(ISNUMBER($D160)),NOT(ISNUMBER($E160)),$E160=0),"",$D160/$E160)</f>
        <v/>
      </c>
      <c r="G160" s="8" t="str">
        <f aca="false">""</f>
        <v/>
      </c>
      <c r="H160" s="8" t="str">
        <f aca="false">""</f>
        <v/>
      </c>
      <c r="I160" s="8" t="str">
        <f aca="false">IF(OR(NOT(ISNUMBER($G160)),NOT(ISNUMBER($H160))),"",$G160-$H160)</f>
        <v/>
      </c>
    </row>
    <row r="161" customFormat="false" ht="15" hidden="false" customHeight="false" outlineLevel="0" collapsed="false">
      <c r="A161" s="5" t="str">
        <f aca="false">IF(NOT(ISNUMBER(Macro_Series!$A161)),"",Macro_Series!$A161)</f>
        <v/>
      </c>
      <c r="B161" s="6" t="str">
        <f aca="false">IF(NOT(ISNUMBER(Macro_Series!$C161)),"",Macro_Series!$C161)</f>
        <v/>
      </c>
      <c r="C161" s="6" t="str">
        <f aca="false">IF(NOT(ISNUMBER(Macro_Series!$E161)),"",Macro_Series!$E161)</f>
        <v/>
      </c>
      <c r="D161" s="7" t="str">
        <f aca="false">IF(OR(NOT(ISNUMBER($B161)),NOT(ISNUMBER($C161)),$C161=0),"",$B161/$C161)</f>
        <v/>
      </c>
      <c r="E161" s="7" t="str">
        <f aca="false">IF(NOT(ISNUMBER(Macro_Series!$H161)),"",Macro_Series!$H161)</f>
        <v/>
      </c>
      <c r="F161" s="7" t="str">
        <f aca="false">IF(OR(NOT(ISNUMBER($D161)),NOT(ISNUMBER($E161)),$E161=0),"",$D161/$E161)</f>
        <v/>
      </c>
      <c r="G161" s="8" t="str">
        <f aca="false">""</f>
        <v/>
      </c>
      <c r="H161" s="8" t="str">
        <f aca="false">""</f>
        <v/>
      </c>
      <c r="I161" s="8" t="str">
        <f aca="false">IF(OR(NOT(ISNUMBER($G161)),NOT(ISNUMBER($H161))),"",$G161-$H161)</f>
        <v/>
      </c>
    </row>
    <row r="162" customFormat="false" ht="15" hidden="false" customHeight="false" outlineLevel="0" collapsed="false">
      <c r="A162" s="5" t="str">
        <f aca="false">IF(NOT(ISNUMBER(Macro_Series!$A162)),"",Macro_Series!$A162)</f>
        <v/>
      </c>
      <c r="B162" s="6" t="str">
        <f aca="false">IF(NOT(ISNUMBER(Macro_Series!$C162)),"",Macro_Series!$C162)</f>
        <v/>
      </c>
      <c r="C162" s="6" t="str">
        <f aca="false">IF(NOT(ISNUMBER(Macro_Series!$E162)),"",Macro_Series!$E162)</f>
        <v/>
      </c>
      <c r="D162" s="7" t="str">
        <f aca="false">IF(OR(NOT(ISNUMBER($B162)),NOT(ISNUMBER($C162)),$C162=0),"",$B162/$C162)</f>
        <v/>
      </c>
      <c r="E162" s="7" t="str">
        <f aca="false">IF(NOT(ISNUMBER(Macro_Series!$H162)),"",Macro_Series!$H162)</f>
        <v/>
      </c>
      <c r="F162" s="7" t="str">
        <f aca="false">IF(OR(NOT(ISNUMBER($D162)),NOT(ISNUMBER($E162)),$E162=0),"",$D162/$E162)</f>
        <v/>
      </c>
      <c r="G162" s="8" t="str">
        <f aca="false">""</f>
        <v/>
      </c>
      <c r="H162" s="8" t="str">
        <f aca="false">""</f>
        <v/>
      </c>
      <c r="I162" s="8" t="str">
        <f aca="false">IF(OR(NOT(ISNUMBER($G162)),NOT(ISNUMBER($H162))),"",$G162-$H162)</f>
        <v/>
      </c>
    </row>
    <row r="163" customFormat="false" ht="15" hidden="false" customHeight="false" outlineLevel="0" collapsed="false">
      <c r="A163" s="5" t="str">
        <f aca="false">IF(NOT(ISNUMBER(Macro_Series!$A163)),"",Macro_Series!$A163)</f>
        <v/>
      </c>
      <c r="B163" s="6" t="str">
        <f aca="false">IF(NOT(ISNUMBER(Macro_Series!$C163)),"",Macro_Series!$C163)</f>
        <v/>
      </c>
      <c r="C163" s="6" t="str">
        <f aca="false">IF(NOT(ISNUMBER(Macro_Series!$E163)),"",Macro_Series!$E163)</f>
        <v/>
      </c>
      <c r="D163" s="7" t="str">
        <f aca="false">IF(OR(NOT(ISNUMBER($B163)),NOT(ISNUMBER($C163)),$C163=0),"",$B163/$C163)</f>
        <v/>
      </c>
      <c r="E163" s="7" t="str">
        <f aca="false">IF(NOT(ISNUMBER(Macro_Series!$H163)),"",Macro_Series!$H163)</f>
        <v/>
      </c>
      <c r="F163" s="7" t="str">
        <f aca="false">IF(OR(NOT(ISNUMBER($D163)),NOT(ISNUMBER($E163)),$E163=0),"",$D163/$E163)</f>
        <v/>
      </c>
      <c r="G163" s="8" t="str">
        <f aca="false">""</f>
        <v/>
      </c>
      <c r="H163" s="8" t="str">
        <f aca="false">""</f>
        <v/>
      </c>
      <c r="I163" s="8" t="str">
        <f aca="false">IF(OR(NOT(ISNUMBER($G163)),NOT(ISNUMBER($H163))),"",$G163-$H163)</f>
        <v/>
      </c>
    </row>
    <row r="164" customFormat="false" ht="15" hidden="false" customHeight="false" outlineLevel="0" collapsed="false">
      <c r="A164" s="5" t="str">
        <f aca="false">IF(NOT(ISNUMBER(Macro_Series!$A164)),"",Macro_Series!$A164)</f>
        <v/>
      </c>
      <c r="B164" s="6" t="str">
        <f aca="false">IF(NOT(ISNUMBER(Macro_Series!$C164)),"",Macro_Series!$C164)</f>
        <v/>
      </c>
      <c r="C164" s="6" t="str">
        <f aca="false">IF(NOT(ISNUMBER(Macro_Series!$E164)),"",Macro_Series!$E164)</f>
        <v/>
      </c>
      <c r="D164" s="7" t="str">
        <f aca="false">IF(OR(NOT(ISNUMBER($B164)),NOT(ISNUMBER($C164)),$C164=0),"",$B164/$C164)</f>
        <v/>
      </c>
      <c r="E164" s="7" t="str">
        <f aca="false">IF(NOT(ISNUMBER(Macro_Series!$H164)),"",Macro_Series!$H164)</f>
        <v/>
      </c>
      <c r="F164" s="7" t="str">
        <f aca="false">IF(OR(NOT(ISNUMBER($D164)),NOT(ISNUMBER($E164)),$E164=0),"",$D164/$E164)</f>
        <v/>
      </c>
      <c r="G164" s="8" t="str">
        <f aca="false">""</f>
        <v/>
      </c>
      <c r="H164" s="8" t="str">
        <f aca="false">""</f>
        <v/>
      </c>
      <c r="I164" s="8" t="str">
        <f aca="false">IF(OR(NOT(ISNUMBER($G164)),NOT(ISNUMBER($H164))),"",$G164-$H164)</f>
        <v/>
      </c>
    </row>
    <row r="165" customFormat="false" ht="15" hidden="false" customHeight="false" outlineLevel="0" collapsed="false">
      <c r="A165" s="5" t="str">
        <f aca="false">IF(NOT(ISNUMBER(Macro_Series!$A165)),"",Macro_Series!$A165)</f>
        <v/>
      </c>
      <c r="B165" s="6" t="str">
        <f aca="false">IF(NOT(ISNUMBER(Macro_Series!$C165)),"",Macro_Series!$C165)</f>
        <v/>
      </c>
      <c r="C165" s="6" t="str">
        <f aca="false">IF(NOT(ISNUMBER(Macro_Series!$E165)),"",Macro_Series!$E165)</f>
        <v/>
      </c>
      <c r="D165" s="7" t="str">
        <f aca="false">IF(OR(NOT(ISNUMBER($B165)),NOT(ISNUMBER($C165)),$C165=0),"",$B165/$C165)</f>
        <v/>
      </c>
      <c r="E165" s="7" t="str">
        <f aca="false">IF(NOT(ISNUMBER(Macro_Series!$H165)),"",Macro_Series!$H165)</f>
        <v/>
      </c>
      <c r="F165" s="7" t="str">
        <f aca="false">IF(OR(NOT(ISNUMBER($D165)),NOT(ISNUMBER($E165)),$E165=0),"",$D165/$E165)</f>
        <v/>
      </c>
      <c r="G165" s="8" t="str">
        <f aca="false">""</f>
        <v/>
      </c>
      <c r="H165" s="8" t="str">
        <f aca="false">""</f>
        <v/>
      </c>
      <c r="I165" s="8" t="str">
        <f aca="false">IF(OR(NOT(ISNUMBER($G165)),NOT(ISNUMBER($H165))),"",$G165-$H165)</f>
        <v/>
      </c>
    </row>
    <row r="166" customFormat="false" ht="15" hidden="false" customHeight="false" outlineLevel="0" collapsed="false">
      <c r="A166" s="5" t="str">
        <f aca="false">IF(NOT(ISNUMBER(Macro_Series!$A166)),"",Macro_Series!$A166)</f>
        <v/>
      </c>
      <c r="B166" s="6" t="str">
        <f aca="false">IF(NOT(ISNUMBER(Macro_Series!$C166)),"",Macro_Series!$C166)</f>
        <v/>
      </c>
      <c r="C166" s="6" t="str">
        <f aca="false">IF(NOT(ISNUMBER(Macro_Series!$E166)),"",Macro_Series!$E166)</f>
        <v/>
      </c>
      <c r="D166" s="7" t="str">
        <f aca="false">IF(OR(NOT(ISNUMBER($B166)),NOT(ISNUMBER($C166)),$C166=0),"",$B166/$C166)</f>
        <v/>
      </c>
      <c r="E166" s="7" t="str">
        <f aca="false">IF(NOT(ISNUMBER(Macro_Series!$H166)),"",Macro_Series!$H166)</f>
        <v/>
      </c>
      <c r="F166" s="7" t="str">
        <f aca="false">IF(OR(NOT(ISNUMBER($D166)),NOT(ISNUMBER($E166)),$E166=0),"",$D166/$E166)</f>
        <v/>
      </c>
      <c r="G166" s="8" t="str">
        <f aca="false">""</f>
        <v/>
      </c>
      <c r="H166" s="8" t="str">
        <f aca="false">""</f>
        <v/>
      </c>
      <c r="I166" s="8" t="str">
        <f aca="false">IF(OR(NOT(ISNUMBER($G166)),NOT(ISNUMBER($H166))),"",$G166-$H166)</f>
        <v/>
      </c>
    </row>
    <row r="167" customFormat="false" ht="15" hidden="false" customHeight="false" outlineLevel="0" collapsed="false">
      <c r="A167" s="5" t="str">
        <f aca="false">IF(NOT(ISNUMBER(Macro_Series!$A167)),"",Macro_Series!$A167)</f>
        <v/>
      </c>
      <c r="B167" s="6" t="str">
        <f aca="false">IF(NOT(ISNUMBER(Macro_Series!$C167)),"",Macro_Series!$C167)</f>
        <v/>
      </c>
      <c r="C167" s="6" t="str">
        <f aca="false">IF(NOT(ISNUMBER(Macro_Series!$E167)),"",Macro_Series!$E167)</f>
        <v/>
      </c>
      <c r="D167" s="7" t="str">
        <f aca="false">IF(OR(NOT(ISNUMBER($B167)),NOT(ISNUMBER($C167)),$C167=0),"",$B167/$C167)</f>
        <v/>
      </c>
      <c r="E167" s="7" t="str">
        <f aca="false">IF(NOT(ISNUMBER(Macro_Series!$H167)),"",Macro_Series!$H167)</f>
        <v/>
      </c>
      <c r="F167" s="7" t="str">
        <f aca="false">IF(OR(NOT(ISNUMBER($D167)),NOT(ISNUMBER($E167)),$E167=0),"",$D167/$E167)</f>
        <v/>
      </c>
      <c r="G167" s="8" t="str">
        <f aca="false">""</f>
        <v/>
      </c>
      <c r="H167" s="8" t="str">
        <f aca="false">""</f>
        <v/>
      </c>
      <c r="I167" s="8" t="str">
        <f aca="false">IF(OR(NOT(ISNUMBER($G167)),NOT(ISNUMBER($H167))),"",$G167-$H167)</f>
        <v/>
      </c>
    </row>
    <row r="168" customFormat="false" ht="15" hidden="false" customHeight="false" outlineLevel="0" collapsed="false">
      <c r="A168" s="5" t="str">
        <f aca="false">IF(NOT(ISNUMBER(Macro_Series!$A168)),"",Macro_Series!$A168)</f>
        <v/>
      </c>
      <c r="B168" s="6" t="str">
        <f aca="false">IF(NOT(ISNUMBER(Macro_Series!$C168)),"",Macro_Series!$C168)</f>
        <v/>
      </c>
      <c r="C168" s="6" t="str">
        <f aca="false">IF(NOT(ISNUMBER(Macro_Series!$E168)),"",Macro_Series!$E168)</f>
        <v/>
      </c>
      <c r="D168" s="7" t="str">
        <f aca="false">IF(OR(NOT(ISNUMBER($B168)),NOT(ISNUMBER($C168)),$C168=0),"",$B168/$C168)</f>
        <v/>
      </c>
      <c r="E168" s="7" t="str">
        <f aca="false">IF(NOT(ISNUMBER(Macro_Series!$H168)),"",Macro_Series!$H168)</f>
        <v/>
      </c>
      <c r="F168" s="7" t="str">
        <f aca="false">IF(OR(NOT(ISNUMBER($D168)),NOT(ISNUMBER($E168)),$E168=0),"",$D168/$E168)</f>
        <v/>
      </c>
      <c r="G168" s="8" t="str">
        <f aca="false">""</f>
        <v/>
      </c>
      <c r="H168" s="8" t="str">
        <f aca="false">""</f>
        <v/>
      </c>
      <c r="I168" s="8" t="str">
        <f aca="false">IF(OR(NOT(ISNUMBER($G168)),NOT(ISNUMBER($H168))),"",$G168-$H168)</f>
        <v/>
      </c>
    </row>
    <row r="169" customFormat="false" ht="15" hidden="false" customHeight="false" outlineLevel="0" collapsed="false">
      <c r="A169" s="5" t="str">
        <f aca="false">IF(NOT(ISNUMBER(Macro_Series!$A169)),"",Macro_Series!$A169)</f>
        <v/>
      </c>
      <c r="B169" s="6" t="str">
        <f aca="false">IF(NOT(ISNUMBER(Macro_Series!$C169)),"",Macro_Series!$C169)</f>
        <v/>
      </c>
      <c r="C169" s="6" t="str">
        <f aca="false">IF(NOT(ISNUMBER(Macro_Series!$E169)),"",Macro_Series!$E169)</f>
        <v/>
      </c>
      <c r="D169" s="7" t="str">
        <f aca="false">IF(OR(NOT(ISNUMBER($B169)),NOT(ISNUMBER($C169)),$C169=0),"",$B169/$C169)</f>
        <v/>
      </c>
      <c r="E169" s="7" t="str">
        <f aca="false">IF(NOT(ISNUMBER(Macro_Series!$H169)),"",Macro_Series!$H169)</f>
        <v/>
      </c>
      <c r="F169" s="7" t="str">
        <f aca="false">IF(OR(NOT(ISNUMBER($D169)),NOT(ISNUMBER($E169)),$E169=0),"",$D169/$E169)</f>
        <v/>
      </c>
      <c r="G169" s="8" t="str">
        <f aca="false">""</f>
        <v/>
      </c>
      <c r="H169" s="8" t="str">
        <f aca="false">""</f>
        <v/>
      </c>
      <c r="I169" s="8" t="str">
        <f aca="false">IF(OR(NOT(ISNUMBER($G169)),NOT(ISNUMBER($H169))),"",$G169-$H169)</f>
        <v/>
      </c>
    </row>
    <row r="170" customFormat="false" ht="15" hidden="false" customHeight="false" outlineLevel="0" collapsed="false">
      <c r="A170" s="5" t="str">
        <f aca="false">IF(NOT(ISNUMBER(Macro_Series!$A170)),"",Macro_Series!$A170)</f>
        <v/>
      </c>
      <c r="B170" s="6" t="str">
        <f aca="false">IF(NOT(ISNUMBER(Macro_Series!$C170)),"",Macro_Series!$C170)</f>
        <v/>
      </c>
      <c r="C170" s="6" t="str">
        <f aca="false">IF(NOT(ISNUMBER(Macro_Series!$E170)),"",Macro_Series!$E170)</f>
        <v/>
      </c>
      <c r="D170" s="7" t="str">
        <f aca="false">IF(OR(NOT(ISNUMBER($B170)),NOT(ISNUMBER($C170)),$C170=0),"",$B170/$C170)</f>
        <v/>
      </c>
      <c r="E170" s="7" t="str">
        <f aca="false">IF(NOT(ISNUMBER(Macro_Series!$H170)),"",Macro_Series!$H170)</f>
        <v/>
      </c>
      <c r="F170" s="7" t="str">
        <f aca="false">IF(OR(NOT(ISNUMBER($D170)),NOT(ISNUMBER($E170)),$E170=0),"",$D170/$E170)</f>
        <v/>
      </c>
      <c r="G170" s="8" t="str">
        <f aca="false">""</f>
        <v/>
      </c>
      <c r="H170" s="8" t="str">
        <f aca="false">""</f>
        <v/>
      </c>
      <c r="I170" s="8" t="str">
        <f aca="false">IF(OR(NOT(ISNUMBER($G170)),NOT(ISNUMBER($H170))),"",$G170-$H170)</f>
        <v/>
      </c>
    </row>
    <row r="171" customFormat="false" ht="15" hidden="false" customHeight="false" outlineLevel="0" collapsed="false">
      <c r="A171" s="5" t="str">
        <f aca="false">IF(NOT(ISNUMBER(Macro_Series!$A171)),"",Macro_Series!$A171)</f>
        <v/>
      </c>
      <c r="B171" s="6" t="str">
        <f aca="false">IF(NOT(ISNUMBER(Macro_Series!$C171)),"",Macro_Series!$C171)</f>
        <v/>
      </c>
      <c r="C171" s="6" t="str">
        <f aca="false">IF(NOT(ISNUMBER(Macro_Series!$E171)),"",Macro_Series!$E171)</f>
        <v/>
      </c>
      <c r="D171" s="7" t="str">
        <f aca="false">IF(OR(NOT(ISNUMBER($B171)),NOT(ISNUMBER($C171)),$C171=0),"",$B171/$C171)</f>
        <v/>
      </c>
      <c r="E171" s="7" t="str">
        <f aca="false">IF(NOT(ISNUMBER(Macro_Series!$H171)),"",Macro_Series!$H171)</f>
        <v/>
      </c>
      <c r="F171" s="7" t="str">
        <f aca="false">IF(OR(NOT(ISNUMBER($D171)),NOT(ISNUMBER($E171)),$E171=0),"",$D171/$E171)</f>
        <v/>
      </c>
      <c r="G171" s="8" t="str">
        <f aca="false">""</f>
        <v/>
      </c>
      <c r="H171" s="8" t="str">
        <f aca="false">""</f>
        <v/>
      </c>
      <c r="I171" s="8" t="str">
        <f aca="false">IF(OR(NOT(ISNUMBER($G171)),NOT(ISNUMBER($H171))),"",$G171-$H171)</f>
        <v/>
      </c>
    </row>
    <row r="172" customFormat="false" ht="15" hidden="false" customHeight="false" outlineLevel="0" collapsed="false">
      <c r="A172" s="5" t="str">
        <f aca="false">IF(NOT(ISNUMBER(Macro_Series!$A172)),"",Macro_Series!$A172)</f>
        <v/>
      </c>
      <c r="B172" s="6" t="str">
        <f aca="false">IF(NOT(ISNUMBER(Macro_Series!$C172)),"",Macro_Series!$C172)</f>
        <v/>
      </c>
      <c r="C172" s="6" t="str">
        <f aca="false">IF(NOT(ISNUMBER(Macro_Series!$E172)),"",Macro_Series!$E172)</f>
        <v/>
      </c>
      <c r="D172" s="7" t="str">
        <f aca="false">IF(OR(NOT(ISNUMBER($B172)),NOT(ISNUMBER($C172)),$C172=0),"",$B172/$C172)</f>
        <v/>
      </c>
      <c r="E172" s="7" t="str">
        <f aca="false">IF(NOT(ISNUMBER(Macro_Series!$H172)),"",Macro_Series!$H172)</f>
        <v/>
      </c>
      <c r="F172" s="7" t="str">
        <f aca="false">IF(OR(NOT(ISNUMBER($D172)),NOT(ISNUMBER($E172)),$E172=0),"",$D172/$E172)</f>
        <v/>
      </c>
      <c r="G172" s="8" t="str">
        <f aca="false">""</f>
        <v/>
      </c>
      <c r="H172" s="8" t="str">
        <f aca="false">""</f>
        <v/>
      </c>
      <c r="I172" s="8" t="str">
        <f aca="false">IF(OR(NOT(ISNUMBER($G172)),NOT(ISNUMBER($H172))),"",$G172-$H172)</f>
        <v/>
      </c>
    </row>
    <row r="173" customFormat="false" ht="15" hidden="false" customHeight="false" outlineLevel="0" collapsed="false">
      <c r="A173" s="5" t="str">
        <f aca="false">IF(NOT(ISNUMBER(Macro_Series!$A173)),"",Macro_Series!$A173)</f>
        <v/>
      </c>
      <c r="B173" s="6" t="str">
        <f aca="false">IF(NOT(ISNUMBER(Macro_Series!$C173)),"",Macro_Series!$C173)</f>
        <v/>
      </c>
      <c r="C173" s="6" t="str">
        <f aca="false">IF(NOT(ISNUMBER(Macro_Series!$E173)),"",Macro_Series!$E173)</f>
        <v/>
      </c>
      <c r="D173" s="7" t="str">
        <f aca="false">IF(OR(NOT(ISNUMBER($B173)),NOT(ISNUMBER($C173)),$C173=0),"",$B173/$C173)</f>
        <v/>
      </c>
      <c r="E173" s="7" t="str">
        <f aca="false">IF(NOT(ISNUMBER(Macro_Series!$H173)),"",Macro_Series!$H173)</f>
        <v/>
      </c>
      <c r="F173" s="7" t="str">
        <f aca="false">IF(OR(NOT(ISNUMBER($D173)),NOT(ISNUMBER($E173)),$E173=0),"",$D173/$E173)</f>
        <v/>
      </c>
      <c r="G173" s="8" t="str">
        <f aca="false">""</f>
        <v/>
      </c>
      <c r="H173" s="8" t="str">
        <f aca="false">""</f>
        <v/>
      </c>
      <c r="I173" s="8" t="str">
        <f aca="false">IF(OR(NOT(ISNUMBER($G173)),NOT(ISNUMBER($H173))),"",$G173-$H173)</f>
        <v/>
      </c>
    </row>
    <row r="174" customFormat="false" ht="15" hidden="false" customHeight="false" outlineLevel="0" collapsed="false">
      <c r="A174" s="5" t="str">
        <f aca="false">IF(NOT(ISNUMBER(Macro_Series!$A174)),"",Macro_Series!$A174)</f>
        <v/>
      </c>
      <c r="B174" s="6" t="str">
        <f aca="false">IF(NOT(ISNUMBER(Macro_Series!$C174)),"",Macro_Series!$C174)</f>
        <v/>
      </c>
      <c r="C174" s="6" t="str">
        <f aca="false">IF(NOT(ISNUMBER(Macro_Series!$E174)),"",Macro_Series!$E174)</f>
        <v/>
      </c>
      <c r="D174" s="7" t="str">
        <f aca="false">IF(OR(NOT(ISNUMBER($B174)),NOT(ISNUMBER($C174)),$C174=0),"",$B174/$C174)</f>
        <v/>
      </c>
      <c r="E174" s="7" t="str">
        <f aca="false">IF(NOT(ISNUMBER(Macro_Series!$H174)),"",Macro_Series!$H174)</f>
        <v/>
      </c>
      <c r="F174" s="7" t="str">
        <f aca="false">IF(OR(NOT(ISNUMBER($D174)),NOT(ISNUMBER($E174)),$E174=0),"",$D174/$E174)</f>
        <v/>
      </c>
      <c r="G174" s="8" t="str">
        <f aca="false">""</f>
        <v/>
      </c>
      <c r="H174" s="8" t="str">
        <f aca="false">""</f>
        <v/>
      </c>
      <c r="I174" s="8" t="str">
        <f aca="false">IF(OR(NOT(ISNUMBER($G174)),NOT(ISNUMBER($H174))),"",$G174-$H174)</f>
        <v/>
      </c>
    </row>
    <row r="175" customFormat="false" ht="15" hidden="false" customHeight="false" outlineLevel="0" collapsed="false">
      <c r="A175" s="5" t="str">
        <f aca="false">IF(NOT(ISNUMBER(Macro_Series!$A175)),"",Macro_Series!$A175)</f>
        <v/>
      </c>
      <c r="B175" s="6" t="str">
        <f aca="false">IF(NOT(ISNUMBER(Macro_Series!$C175)),"",Macro_Series!$C175)</f>
        <v/>
      </c>
      <c r="C175" s="6" t="str">
        <f aca="false">IF(NOT(ISNUMBER(Macro_Series!$E175)),"",Macro_Series!$E175)</f>
        <v/>
      </c>
      <c r="D175" s="7" t="str">
        <f aca="false">IF(OR(NOT(ISNUMBER($B175)),NOT(ISNUMBER($C175)),$C175=0),"",$B175/$C175)</f>
        <v/>
      </c>
      <c r="E175" s="7" t="str">
        <f aca="false">IF(NOT(ISNUMBER(Macro_Series!$H175)),"",Macro_Series!$H175)</f>
        <v/>
      </c>
      <c r="F175" s="7" t="str">
        <f aca="false">IF(OR(NOT(ISNUMBER($D175)),NOT(ISNUMBER($E175)),$E175=0),"",$D175/$E175)</f>
        <v/>
      </c>
      <c r="G175" s="8" t="str">
        <f aca="false">""</f>
        <v/>
      </c>
      <c r="H175" s="8" t="str">
        <f aca="false">""</f>
        <v/>
      </c>
      <c r="I175" s="8" t="str">
        <f aca="false">IF(OR(NOT(ISNUMBER($G175)),NOT(ISNUMBER($H175))),"",$G175-$H175)</f>
        <v/>
      </c>
    </row>
    <row r="176" customFormat="false" ht="15" hidden="false" customHeight="false" outlineLevel="0" collapsed="false">
      <c r="A176" s="5" t="str">
        <f aca="false">IF(NOT(ISNUMBER(Macro_Series!$A176)),"",Macro_Series!$A176)</f>
        <v/>
      </c>
      <c r="B176" s="6" t="str">
        <f aca="false">IF(NOT(ISNUMBER(Macro_Series!$C176)),"",Macro_Series!$C176)</f>
        <v/>
      </c>
      <c r="C176" s="6" t="str">
        <f aca="false">IF(NOT(ISNUMBER(Macro_Series!$E176)),"",Macro_Series!$E176)</f>
        <v/>
      </c>
      <c r="D176" s="7" t="str">
        <f aca="false">IF(OR(NOT(ISNUMBER($B176)),NOT(ISNUMBER($C176)),$C176=0),"",$B176/$C176)</f>
        <v/>
      </c>
      <c r="E176" s="7" t="str">
        <f aca="false">IF(NOT(ISNUMBER(Macro_Series!$H176)),"",Macro_Series!$H176)</f>
        <v/>
      </c>
      <c r="F176" s="7" t="str">
        <f aca="false">IF(OR(NOT(ISNUMBER($D176)),NOT(ISNUMBER($E176)),$E176=0),"",$D176/$E176)</f>
        <v/>
      </c>
      <c r="G176" s="8" t="str">
        <f aca="false">""</f>
        <v/>
      </c>
      <c r="H176" s="8" t="str">
        <f aca="false">""</f>
        <v/>
      </c>
      <c r="I176" s="8" t="str">
        <f aca="false">IF(OR(NOT(ISNUMBER($G176)),NOT(ISNUMBER($H176))),"",$G176-$H176)</f>
        <v/>
      </c>
    </row>
    <row r="177" customFormat="false" ht="15" hidden="false" customHeight="false" outlineLevel="0" collapsed="false">
      <c r="A177" s="5" t="str">
        <f aca="false">IF(NOT(ISNUMBER(Macro_Series!$A177)),"",Macro_Series!$A177)</f>
        <v/>
      </c>
      <c r="B177" s="6" t="str">
        <f aca="false">IF(NOT(ISNUMBER(Macro_Series!$C177)),"",Macro_Series!$C177)</f>
        <v/>
      </c>
      <c r="C177" s="6" t="str">
        <f aca="false">IF(NOT(ISNUMBER(Macro_Series!$E177)),"",Macro_Series!$E177)</f>
        <v/>
      </c>
      <c r="D177" s="7" t="str">
        <f aca="false">IF(OR(NOT(ISNUMBER($B177)),NOT(ISNUMBER($C177)),$C177=0),"",$B177/$C177)</f>
        <v/>
      </c>
      <c r="E177" s="7" t="str">
        <f aca="false">IF(NOT(ISNUMBER(Macro_Series!$H177)),"",Macro_Series!$H177)</f>
        <v/>
      </c>
      <c r="F177" s="7" t="str">
        <f aca="false">IF(OR(NOT(ISNUMBER($D177)),NOT(ISNUMBER($E177)),$E177=0),"",$D177/$E177)</f>
        <v/>
      </c>
      <c r="G177" s="8" t="str">
        <f aca="false">""</f>
        <v/>
      </c>
      <c r="H177" s="8" t="str">
        <f aca="false">""</f>
        <v/>
      </c>
      <c r="I177" s="8" t="str">
        <f aca="false">IF(OR(NOT(ISNUMBER($G177)),NOT(ISNUMBER($H177))),"",$G177-$H177)</f>
        <v/>
      </c>
    </row>
    <row r="178" customFormat="false" ht="15" hidden="false" customHeight="false" outlineLevel="0" collapsed="false">
      <c r="A178" s="5" t="str">
        <f aca="false">IF(NOT(ISNUMBER(Macro_Series!$A178)),"",Macro_Series!$A178)</f>
        <v/>
      </c>
      <c r="B178" s="6" t="str">
        <f aca="false">IF(NOT(ISNUMBER(Macro_Series!$C178)),"",Macro_Series!$C178)</f>
        <v/>
      </c>
      <c r="C178" s="6" t="str">
        <f aca="false">IF(NOT(ISNUMBER(Macro_Series!$E178)),"",Macro_Series!$E178)</f>
        <v/>
      </c>
      <c r="D178" s="7" t="str">
        <f aca="false">IF(OR(NOT(ISNUMBER($B178)),NOT(ISNUMBER($C178)),$C178=0),"",$B178/$C178)</f>
        <v/>
      </c>
      <c r="E178" s="7" t="str">
        <f aca="false">IF(NOT(ISNUMBER(Macro_Series!$H178)),"",Macro_Series!$H178)</f>
        <v/>
      </c>
      <c r="F178" s="7" t="str">
        <f aca="false">IF(OR(NOT(ISNUMBER($D178)),NOT(ISNUMBER($E178)),$E178=0),"",$D178/$E178)</f>
        <v/>
      </c>
      <c r="G178" s="8" t="str">
        <f aca="false">""</f>
        <v/>
      </c>
      <c r="H178" s="8" t="str">
        <f aca="false">""</f>
        <v/>
      </c>
      <c r="I178" s="8" t="str">
        <f aca="false">IF(OR(NOT(ISNUMBER($G178)),NOT(ISNUMBER($H178))),"",$G178-$H178)</f>
        <v/>
      </c>
    </row>
    <row r="179" customFormat="false" ht="15" hidden="false" customHeight="false" outlineLevel="0" collapsed="false">
      <c r="A179" s="5" t="str">
        <f aca="false">IF(NOT(ISNUMBER(Macro_Series!$A179)),"",Macro_Series!$A179)</f>
        <v/>
      </c>
      <c r="B179" s="6" t="str">
        <f aca="false">IF(NOT(ISNUMBER(Macro_Series!$C179)),"",Macro_Series!$C179)</f>
        <v/>
      </c>
      <c r="C179" s="6" t="str">
        <f aca="false">IF(NOT(ISNUMBER(Macro_Series!$E179)),"",Macro_Series!$E179)</f>
        <v/>
      </c>
      <c r="D179" s="7" t="str">
        <f aca="false">IF(OR(NOT(ISNUMBER($B179)),NOT(ISNUMBER($C179)),$C179=0),"",$B179/$C179)</f>
        <v/>
      </c>
      <c r="E179" s="7" t="str">
        <f aca="false">IF(NOT(ISNUMBER(Macro_Series!$H179)),"",Macro_Series!$H179)</f>
        <v/>
      </c>
      <c r="F179" s="7" t="str">
        <f aca="false">IF(OR(NOT(ISNUMBER($D179)),NOT(ISNUMBER($E179)),$E179=0),"",$D179/$E179)</f>
        <v/>
      </c>
      <c r="G179" s="8" t="str">
        <f aca="false">""</f>
        <v/>
      </c>
      <c r="H179" s="8" t="str">
        <f aca="false">""</f>
        <v/>
      </c>
      <c r="I179" s="8" t="str">
        <f aca="false">IF(OR(NOT(ISNUMBER($G179)),NOT(ISNUMBER($H179))),"",$G179-$H179)</f>
        <v/>
      </c>
    </row>
    <row r="180" customFormat="false" ht="15" hidden="false" customHeight="false" outlineLevel="0" collapsed="false">
      <c r="A180" s="5" t="str">
        <f aca="false">IF(NOT(ISNUMBER(Macro_Series!$A180)),"",Macro_Series!$A180)</f>
        <v/>
      </c>
      <c r="B180" s="6" t="str">
        <f aca="false">IF(NOT(ISNUMBER(Macro_Series!$C180)),"",Macro_Series!$C180)</f>
        <v/>
      </c>
      <c r="C180" s="6" t="str">
        <f aca="false">IF(NOT(ISNUMBER(Macro_Series!$E180)),"",Macro_Series!$E180)</f>
        <v/>
      </c>
      <c r="D180" s="7" t="str">
        <f aca="false">IF(OR(NOT(ISNUMBER($B180)),NOT(ISNUMBER($C180)),$C180=0),"",$B180/$C180)</f>
        <v/>
      </c>
      <c r="E180" s="7" t="str">
        <f aca="false">IF(NOT(ISNUMBER(Macro_Series!$H180)),"",Macro_Series!$H180)</f>
        <v/>
      </c>
      <c r="F180" s="7" t="str">
        <f aca="false">IF(OR(NOT(ISNUMBER($D180)),NOT(ISNUMBER($E180)),$E180=0),"",$D180/$E180)</f>
        <v/>
      </c>
      <c r="G180" s="8" t="str">
        <f aca="false">""</f>
        <v/>
      </c>
      <c r="H180" s="8" t="str">
        <f aca="false">""</f>
        <v/>
      </c>
      <c r="I180" s="8" t="str">
        <f aca="false">IF(OR(NOT(ISNUMBER($G180)),NOT(ISNUMBER($H180))),"",$G180-$H180)</f>
        <v/>
      </c>
    </row>
    <row r="181" customFormat="false" ht="15" hidden="false" customHeight="false" outlineLevel="0" collapsed="false">
      <c r="A181" s="5" t="str">
        <f aca="false">IF(NOT(ISNUMBER(Macro_Series!$A181)),"",Macro_Series!$A181)</f>
        <v/>
      </c>
      <c r="B181" s="6" t="str">
        <f aca="false">IF(NOT(ISNUMBER(Macro_Series!$C181)),"",Macro_Series!$C181)</f>
        <v/>
      </c>
      <c r="C181" s="6" t="str">
        <f aca="false">IF(NOT(ISNUMBER(Macro_Series!$E181)),"",Macro_Series!$E181)</f>
        <v/>
      </c>
      <c r="D181" s="7" t="str">
        <f aca="false">IF(OR(NOT(ISNUMBER($B181)),NOT(ISNUMBER($C181)),$C181=0),"",$B181/$C181)</f>
        <v/>
      </c>
      <c r="E181" s="7" t="str">
        <f aca="false">IF(NOT(ISNUMBER(Macro_Series!$H181)),"",Macro_Series!$H181)</f>
        <v/>
      </c>
      <c r="F181" s="7" t="str">
        <f aca="false">IF(OR(NOT(ISNUMBER($D181)),NOT(ISNUMBER($E181)),$E181=0),"",$D181/$E181)</f>
        <v/>
      </c>
      <c r="G181" s="8" t="str">
        <f aca="false">""</f>
        <v/>
      </c>
      <c r="H181" s="8" t="str">
        <f aca="false">""</f>
        <v/>
      </c>
      <c r="I181" s="8" t="str">
        <f aca="false">IF(OR(NOT(ISNUMBER($G181)),NOT(ISNUMBER($H181))),"",$G181-$H181)</f>
        <v/>
      </c>
    </row>
    <row r="182" customFormat="false" ht="15" hidden="false" customHeight="false" outlineLevel="0" collapsed="false">
      <c r="A182" s="5" t="str">
        <f aca="false">IF(NOT(ISNUMBER(Macro_Series!$A182)),"",Macro_Series!$A182)</f>
        <v/>
      </c>
      <c r="B182" s="6" t="str">
        <f aca="false">IF(NOT(ISNUMBER(Macro_Series!$C182)),"",Macro_Series!$C182)</f>
        <v/>
      </c>
      <c r="C182" s="6" t="str">
        <f aca="false">IF(NOT(ISNUMBER(Macro_Series!$E182)),"",Macro_Series!$E182)</f>
        <v/>
      </c>
      <c r="D182" s="7" t="str">
        <f aca="false">IF(OR(NOT(ISNUMBER($B182)),NOT(ISNUMBER($C182)),$C182=0),"",$B182/$C182)</f>
        <v/>
      </c>
      <c r="E182" s="7" t="str">
        <f aca="false">IF(NOT(ISNUMBER(Macro_Series!$H182)),"",Macro_Series!$H182)</f>
        <v/>
      </c>
      <c r="F182" s="7" t="str">
        <f aca="false">IF(OR(NOT(ISNUMBER($D182)),NOT(ISNUMBER($E182)),$E182=0),"",$D182/$E182)</f>
        <v/>
      </c>
      <c r="G182" s="8" t="str">
        <f aca="false">""</f>
        <v/>
      </c>
      <c r="H182" s="8" t="str">
        <f aca="false">""</f>
        <v/>
      </c>
      <c r="I182" s="8" t="str">
        <f aca="false">IF(OR(NOT(ISNUMBER($G182)),NOT(ISNUMBER($H182))),"",$G182-$H182)</f>
        <v/>
      </c>
    </row>
    <row r="183" customFormat="false" ht="15" hidden="false" customHeight="false" outlineLevel="0" collapsed="false">
      <c r="A183" s="5" t="str">
        <f aca="false">IF(NOT(ISNUMBER(Macro_Series!$A183)),"",Macro_Series!$A183)</f>
        <v/>
      </c>
      <c r="B183" s="6" t="str">
        <f aca="false">IF(NOT(ISNUMBER(Macro_Series!$C183)),"",Macro_Series!$C183)</f>
        <v/>
      </c>
      <c r="C183" s="6" t="str">
        <f aca="false">IF(NOT(ISNUMBER(Macro_Series!$E183)),"",Macro_Series!$E183)</f>
        <v/>
      </c>
      <c r="D183" s="7" t="str">
        <f aca="false">IF(OR(NOT(ISNUMBER($B183)),NOT(ISNUMBER($C183)),$C183=0),"",$B183/$C183)</f>
        <v/>
      </c>
      <c r="E183" s="7" t="str">
        <f aca="false">IF(NOT(ISNUMBER(Macro_Series!$H183)),"",Macro_Series!$H183)</f>
        <v/>
      </c>
      <c r="F183" s="7" t="str">
        <f aca="false">IF(OR(NOT(ISNUMBER($D183)),NOT(ISNUMBER($E183)),$E183=0),"",$D183/$E183)</f>
        <v/>
      </c>
      <c r="G183" s="8" t="str">
        <f aca="false">""</f>
        <v/>
      </c>
      <c r="H183" s="8" t="str">
        <f aca="false">""</f>
        <v/>
      </c>
      <c r="I183" s="8" t="str">
        <f aca="false">IF(OR(NOT(ISNUMBER($G183)),NOT(ISNUMBER($H183))),"",$G183-$H183)</f>
        <v/>
      </c>
    </row>
    <row r="184" customFormat="false" ht="15" hidden="false" customHeight="false" outlineLevel="0" collapsed="false">
      <c r="A184" s="5" t="str">
        <f aca="false">IF(NOT(ISNUMBER(Macro_Series!$A184)),"",Macro_Series!$A184)</f>
        <v/>
      </c>
      <c r="B184" s="6" t="str">
        <f aca="false">IF(NOT(ISNUMBER(Macro_Series!$C184)),"",Macro_Series!$C184)</f>
        <v/>
      </c>
      <c r="C184" s="6" t="str">
        <f aca="false">IF(NOT(ISNUMBER(Macro_Series!$E184)),"",Macro_Series!$E184)</f>
        <v/>
      </c>
      <c r="D184" s="7" t="str">
        <f aca="false">IF(OR(NOT(ISNUMBER($B184)),NOT(ISNUMBER($C184)),$C184=0),"",$B184/$C184)</f>
        <v/>
      </c>
      <c r="E184" s="7" t="str">
        <f aca="false">IF(NOT(ISNUMBER(Macro_Series!$H184)),"",Macro_Series!$H184)</f>
        <v/>
      </c>
      <c r="F184" s="7" t="str">
        <f aca="false">IF(OR(NOT(ISNUMBER($D184)),NOT(ISNUMBER($E184)),$E184=0),"",$D184/$E184)</f>
        <v/>
      </c>
      <c r="G184" s="8" t="str">
        <f aca="false">""</f>
        <v/>
      </c>
      <c r="H184" s="8" t="str">
        <f aca="false">""</f>
        <v/>
      </c>
      <c r="I184" s="8" t="str">
        <f aca="false">IF(OR(NOT(ISNUMBER($G184)),NOT(ISNUMBER($H184))),"",$G184-$H184)</f>
        <v/>
      </c>
    </row>
    <row r="185" customFormat="false" ht="15" hidden="false" customHeight="false" outlineLevel="0" collapsed="false">
      <c r="A185" s="5" t="str">
        <f aca="false">IF(NOT(ISNUMBER(Macro_Series!$A185)),"",Macro_Series!$A185)</f>
        <v/>
      </c>
      <c r="B185" s="6" t="str">
        <f aca="false">IF(NOT(ISNUMBER(Macro_Series!$C185)),"",Macro_Series!$C185)</f>
        <v/>
      </c>
      <c r="C185" s="6" t="str">
        <f aca="false">IF(NOT(ISNUMBER(Macro_Series!$E185)),"",Macro_Series!$E185)</f>
        <v/>
      </c>
      <c r="D185" s="7" t="str">
        <f aca="false">IF(OR(NOT(ISNUMBER($B185)),NOT(ISNUMBER($C185)),$C185=0),"",$B185/$C185)</f>
        <v/>
      </c>
      <c r="E185" s="7" t="str">
        <f aca="false">IF(NOT(ISNUMBER(Macro_Series!$H185)),"",Macro_Series!$H185)</f>
        <v/>
      </c>
      <c r="F185" s="7" t="str">
        <f aca="false">IF(OR(NOT(ISNUMBER($D185)),NOT(ISNUMBER($E185)),$E185=0),"",$D185/$E185)</f>
        <v/>
      </c>
      <c r="G185" s="8" t="str">
        <f aca="false">""</f>
        <v/>
      </c>
      <c r="H185" s="8" t="str">
        <f aca="false">""</f>
        <v/>
      </c>
      <c r="I185" s="8" t="str">
        <f aca="false">IF(OR(NOT(ISNUMBER($G185)),NOT(ISNUMBER($H185))),"",$G185-$H185)</f>
        <v/>
      </c>
    </row>
    <row r="186" customFormat="false" ht="15" hidden="false" customHeight="false" outlineLevel="0" collapsed="false">
      <c r="A186" s="5" t="str">
        <f aca="false">IF(NOT(ISNUMBER(Macro_Series!$A186)),"",Macro_Series!$A186)</f>
        <v/>
      </c>
      <c r="B186" s="6" t="str">
        <f aca="false">IF(NOT(ISNUMBER(Macro_Series!$C186)),"",Macro_Series!$C186)</f>
        <v/>
      </c>
      <c r="C186" s="6" t="str">
        <f aca="false">IF(NOT(ISNUMBER(Macro_Series!$E186)),"",Macro_Series!$E186)</f>
        <v/>
      </c>
      <c r="D186" s="7" t="str">
        <f aca="false">IF(OR(NOT(ISNUMBER($B186)),NOT(ISNUMBER($C186)),$C186=0),"",$B186/$C186)</f>
        <v/>
      </c>
      <c r="E186" s="7" t="str">
        <f aca="false">IF(NOT(ISNUMBER(Macro_Series!$H186)),"",Macro_Series!$H186)</f>
        <v/>
      </c>
      <c r="F186" s="7" t="str">
        <f aca="false">IF(OR(NOT(ISNUMBER($D186)),NOT(ISNUMBER($E186)),$E186=0),"",$D186/$E186)</f>
        <v/>
      </c>
      <c r="G186" s="8" t="str">
        <f aca="false">""</f>
        <v/>
      </c>
      <c r="H186" s="8" t="str">
        <f aca="false">""</f>
        <v/>
      </c>
      <c r="I186" s="8" t="str">
        <f aca="false">IF(OR(NOT(ISNUMBER($G186)),NOT(ISNUMBER($H186))),"",$G186-$H186)</f>
        <v/>
      </c>
    </row>
    <row r="187" customFormat="false" ht="15" hidden="false" customHeight="false" outlineLevel="0" collapsed="false">
      <c r="A187" s="5" t="str">
        <f aca="false">IF(NOT(ISNUMBER(Macro_Series!$A187)),"",Macro_Series!$A187)</f>
        <v/>
      </c>
      <c r="B187" s="6" t="str">
        <f aca="false">IF(NOT(ISNUMBER(Macro_Series!$C187)),"",Macro_Series!$C187)</f>
        <v/>
      </c>
      <c r="C187" s="6" t="str">
        <f aca="false">IF(NOT(ISNUMBER(Macro_Series!$E187)),"",Macro_Series!$E187)</f>
        <v/>
      </c>
      <c r="D187" s="7" t="str">
        <f aca="false">IF(OR(NOT(ISNUMBER($B187)),NOT(ISNUMBER($C187)),$C187=0),"",$B187/$C187)</f>
        <v/>
      </c>
      <c r="E187" s="7" t="str">
        <f aca="false">IF(NOT(ISNUMBER(Macro_Series!$H187)),"",Macro_Series!$H187)</f>
        <v/>
      </c>
      <c r="F187" s="7" t="str">
        <f aca="false">IF(OR(NOT(ISNUMBER($D187)),NOT(ISNUMBER($E187)),$E187=0),"",$D187/$E187)</f>
        <v/>
      </c>
      <c r="G187" s="8" t="str">
        <f aca="false">""</f>
        <v/>
      </c>
      <c r="H187" s="8" t="str">
        <f aca="false">""</f>
        <v/>
      </c>
      <c r="I187" s="8" t="str">
        <f aca="false">IF(OR(NOT(ISNUMBER($G187)),NOT(ISNUMBER($H187))),"",$G187-$H187)</f>
        <v/>
      </c>
    </row>
    <row r="188" customFormat="false" ht="15" hidden="false" customHeight="false" outlineLevel="0" collapsed="false">
      <c r="A188" s="5" t="str">
        <f aca="false">IF(NOT(ISNUMBER(Macro_Series!$A188)),"",Macro_Series!$A188)</f>
        <v/>
      </c>
      <c r="B188" s="6" t="str">
        <f aca="false">IF(NOT(ISNUMBER(Macro_Series!$C188)),"",Macro_Series!$C188)</f>
        <v/>
      </c>
      <c r="C188" s="6" t="str">
        <f aca="false">IF(NOT(ISNUMBER(Macro_Series!$E188)),"",Macro_Series!$E188)</f>
        <v/>
      </c>
      <c r="D188" s="7" t="str">
        <f aca="false">IF(OR(NOT(ISNUMBER($B188)),NOT(ISNUMBER($C188)),$C188=0),"",$B188/$C188)</f>
        <v/>
      </c>
      <c r="E188" s="7" t="str">
        <f aca="false">IF(NOT(ISNUMBER(Macro_Series!$H188)),"",Macro_Series!$H188)</f>
        <v/>
      </c>
      <c r="F188" s="7" t="str">
        <f aca="false">IF(OR(NOT(ISNUMBER($D188)),NOT(ISNUMBER($E188)),$E188=0),"",$D188/$E188)</f>
        <v/>
      </c>
      <c r="G188" s="8" t="str">
        <f aca="false">""</f>
        <v/>
      </c>
      <c r="H188" s="8" t="str">
        <f aca="false">""</f>
        <v/>
      </c>
      <c r="I188" s="8" t="str">
        <f aca="false">IF(OR(NOT(ISNUMBER($G188)),NOT(ISNUMBER($H188))),"",$G188-$H188)</f>
        <v/>
      </c>
    </row>
    <row r="189" customFormat="false" ht="15" hidden="false" customHeight="false" outlineLevel="0" collapsed="false">
      <c r="A189" s="5" t="str">
        <f aca="false">IF(NOT(ISNUMBER(Macro_Series!$A189)),"",Macro_Series!$A189)</f>
        <v/>
      </c>
      <c r="B189" s="6" t="str">
        <f aca="false">IF(NOT(ISNUMBER(Macro_Series!$C189)),"",Macro_Series!$C189)</f>
        <v/>
      </c>
      <c r="C189" s="6" t="str">
        <f aca="false">IF(NOT(ISNUMBER(Macro_Series!$E189)),"",Macro_Series!$E189)</f>
        <v/>
      </c>
      <c r="D189" s="7" t="str">
        <f aca="false">IF(OR(NOT(ISNUMBER($B189)),NOT(ISNUMBER($C189)),$C189=0),"",$B189/$C189)</f>
        <v/>
      </c>
      <c r="E189" s="7" t="str">
        <f aca="false">IF(NOT(ISNUMBER(Macro_Series!$H189)),"",Macro_Series!$H189)</f>
        <v/>
      </c>
      <c r="F189" s="7" t="str">
        <f aca="false">IF(OR(NOT(ISNUMBER($D189)),NOT(ISNUMBER($E189)),$E189=0),"",$D189/$E189)</f>
        <v/>
      </c>
      <c r="G189" s="8" t="str">
        <f aca="false">""</f>
        <v/>
      </c>
      <c r="H189" s="8" t="str">
        <f aca="false">""</f>
        <v/>
      </c>
      <c r="I189" s="8" t="str">
        <f aca="false">IF(OR(NOT(ISNUMBER($G189)),NOT(ISNUMBER($H189))),"",$G189-$H189)</f>
        <v/>
      </c>
    </row>
    <row r="190" customFormat="false" ht="15" hidden="false" customHeight="false" outlineLevel="0" collapsed="false">
      <c r="A190" s="5" t="str">
        <f aca="false">IF(NOT(ISNUMBER(Macro_Series!$A190)),"",Macro_Series!$A190)</f>
        <v/>
      </c>
      <c r="B190" s="6" t="str">
        <f aca="false">IF(NOT(ISNUMBER(Macro_Series!$C190)),"",Macro_Series!$C190)</f>
        <v/>
      </c>
      <c r="C190" s="6" t="str">
        <f aca="false">IF(NOT(ISNUMBER(Macro_Series!$E190)),"",Macro_Series!$E190)</f>
        <v/>
      </c>
      <c r="D190" s="7" t="str">
        <f aca="false">IF(OR(NOT(ISNUMBER($B190)),NOT(ISNUMBER($C190)),$C190=0),"",$B190/$C190)</f>
        <v/>
      </c>
      <c r="E190" s="7" t="str">
        <f aca="false">IF(NOT(ISNUMBER(Macro_Series!$H190)),"",Macro_Series!$H190)</f>
        <v/>
      </c>
      <c r="F190" s="7" t="str">
        <f aca="false">IF(OR(NOT(ISNUMBER($D190)),NOT(ISNUMBER($E190)),$E190=0),"",$D190/$E190)</f>
        <v/>
      </c>
      <c r="G190" s="8" t="str">
        <f aca="false">""</f>
        <v/>
      </c>
      <c r="H190" s="8" t="str">
        <f aca="false">""</f>
        <v/>
      </c>
      <c r="I190" s="8" t="str">
        <f aca="false">IF(OR(NOT(ISNUMBER($G190)),NOT(ISNUMBER($H190))),"",$G190-$H190)</f>
        <v/>
      </c>
    </row>
    <row r="191" customFormat="false" ht="15" hidden="false" customHeight="false" outlineLevel="0" collapsed="false">
      <c r="A191" s="5" t="str">
        <f aca="false">IF(NOT(ISNUMBER(Macro_Series!$A191)),"",Macro_Series!$A191)</f>
        <v/>
      </c>
      <c r="B191" s="6" t="str">
        <f aca="false">IF(NOT(ISNUMBER(Macro_Series!$C191)),"",Macro_Series!$C191)</f>
        <v/>
      </c>
      <c r="C191" s="6" t="str">
        <f aca="false">IF(NOT(ISNUMBER(Macro_Series!$E191)),"",Macro_Series!$E191)</f>
        <v/>
      </c>
      <c r="D191" s="7" t="str">
        <f aca="false">IF(OR(NOT(ISNUMBER($B191)),NOT(ISNUMBER($C191)),$C191=0),"",$B191/$C191)</f>
        <v/>
      </c>
      <c r="E191" s="7" t="str">
        <f aca="false">IF(NOT(ISNUMBER(Macro_Series!$H191)),"",Macro_Series!$H191)</f>
        <v/>
      </c>
      <c r="F191" s="7" t="str">
        <f aca="false">IF(OR(NOT(ISNUMBER($D191)),NOT(ISNUMBER($E191)),$E191=0),"",$D191/$E191)</f>
        <v/>
      </c>
      <c r="G191" s="8" t="str">
        <f aca="false">""</f>
        <v/>
      </c>
      <c r="H191" s="8" t="str">
        <f aca="false">""</f>
        <v/>
      </c>
      <c r="I191" s="8" t="str">
        <f aca="false">IF(OR(NOT(ISNUMBER($G191)),NOT(ISNUMBER($H191))),"",$G191-$H191)</f>
        <v/>
      </c>
    </row>
    <row r="192" customFormat="false" ht="15" hidden="false" customHeight="false" outlineLevel="0" collapsed="false">
      <c r="A192" s="5" t="str">
        <f aca="false">IF(NOT(ISNUMBER(Macro_Series!$A192)),"",Macro_Series!$A192)</f>
        <v/>
      </c>
      <c r="B192" s="6" t="str">
        <f aca="false">IF(NOT(ISNUMBER(Macro_Series!$C192)),"",Macro_Series!$C192)</f>
        <v/>
      </c>
      <c r="C192" s="6" t="str">
        <f aca="false">IF(NOT(ISNUMBER(Macro_Series!$E192)),"",Macro_Series!$E192)</f>
        <v/>
      </c>
      <c r="D192" s="7" t="str">
        <f aca="false">IF(OR(NOT(ISNUMBER($B192)),NOT(ISNUMBER($C192)),$C192=0),"",$B192/$C192)</f>
        <v/>
      </c>
      <c r="E192" s="7" t="str">
        <f aca="false">IF(NOT(ISNUMBER(Macro_Series!$H192)),"",Macro_Series!$H192)</f>
        <v/>
      </c>
      <c r="F192" s="7" t="str">
        <f aca="false">IF(OR(NOT(ISNUMBER($D192)),NOT(ISNUMBER($E192)),$E192=0),"",$D192/$E192)</f>
        <v/>
      </c>
      <c r="G192" s="8" t="str">
        <f aca="false">""</f>
        <v/>
      </c>
      <c r="H192" s="8" t="str">
        <f aca="false">""</f>
        <v/>
      </c>
      <c r="I192" s="8" t="str">
        <f aca="false">IF(OR(NOT(ISNUMBER($G192)),NOT(ISNUMBER($H192))),"",$G192-$H192)</f>
        <v/>
      </c>
    </row>
    <row r="193" customFormat="false" ht="15" hidden="false" customHeight="false" outlineLevel="0" collapsed="false">
      <c r="A193" s="5" t="str">
        <f aca="false">IF(NOT(ISNUMBER(Macro_Series!$A193)),"",Macro_Series!$A193)</f>
        <v/>
      </c>
      <c r="B193" s="6" t="str">
        <f aca="false">IF(NOT(ISNUMBER(Macro_Series!$C193)),"",Macro_Series!$C193)</f>
        <v/>
      </c>
      <c r="C193" s="6" t="str">
        <f aca="false">IF(NOT(ISNUMBER(Macro_Series!$E193)),"",Macro_Series!$E193)</f>
        <v/>
      </c>
      <c r="D193" s="7" t="str">
        <f aca="false">IF(OR(NOT(ISNUMBER($B193)),NOT(ISNUMBER($C193)),$C193=0),"",$B193/$C193)</f>
        <v/>
      </c>
      <c r="E193" s="7" t="str">
        <f aca="false">IF(NOT(ISNUMBER(Macro_Series!$H193)),"",Macro_Series!$H193)</f>
        <v/>
      </c>
      <c r="F193" s="7" t="str">
        <f aca="false">IF(OR(NOT(ISNUMBER($D193)),NOT(ISNUMBER($E193)),$E193=0),"",$D193/$E193)</f>
        <v/>
      </c>
      <c r="G193" s="8" t="str">
        <f aca="false">""</f>
        <v/>
      </c>
      <c r="H193" s="8" t="str">
        <f aca="false">""</f>
        <v/>
      </c>
      <c r="I193" s="8" t="str">
        <f aca="false">IF(OR(NOT(ISNUMBER($G193)),NOT(ISNUMBER($H193))),"",$G193-$H193)</f>
        <v/>
      </c>
    </row>
    <row r="194" customFormat="false" ht="15" hidden="false" customHeight="false" outlineLevel="0" collapsed="false">
      <c r="A194" s="5" t="str">
        <f aca="false">IF(NOT(ISNUMBER(Macro_Series!$A194)),"",Macro_Series!$A194)</f>
        <v/>
      </c>
      <c r="B194" s="6" t="str">
        <f aca="false">IF(NOT(ISNUMBER(Macro_Series!$C194)),"",Macro_Series!$C194)</f>
        <v/>
      </c>
      <c r="C194" s="6" t="str">
        <f aca="false">IF(NOT(ISNUMBER(Macro_Series!$E194)),"",Macro_Series!$E194)</f>
        <v/>
      </c>
      <c r="D194" s="7" t="str">
        <f aca="false">IF(OR(NOT(ISNUMBER($B194)),NOT(ISNUMBER($C194)),$C194=0),"",$B194/$C194)</f>
        <v/>
      </c>
      <c r="E194" s="7" t="str">
        <f aca="false">IF(NOT(ISNUMBER(Macro_Series!$H194)),"",Macro_Series!$H194)</f>
        <v/>
      </c>
      <c r="F194" s="7" t="str">
        <f aca="false">IF(OR(NOT(ISNUMBER($D194)),NOT(ISNUMBER($E194)),$E194=0),"",$D194/$E194)</f>
        <v/>
      </c>
      <c r="G194" s="8" t="str">
        <f aca="false">""</f>
        <v/>
      </c>
      <c r="H194" s="8" t="str">
        <f aca="false">""</f>
        <v/>
      </c>
      <c r="I194" s="8" t="str">
        <f aca="false">IF(OR(NOT(ISNUMBER($G194)),NOT(ISNUMBER($H194))),"",$G194-$H194)</f>
        <v/>
      </c>
    </row>
    <row r="195" customFormat="false" ht="15" hidden="false" customHeight="false" outlineLevel="0" collapsed="false">
      <c r="A195" s="5" t="str">
        <f aca="false">IF(NOT(ISNUMBER(Macro_Series!$A195)),"",Macro_Series!$A195)</f>
        <v/>
      </c>
      <c r="B195" s="6" t="str">
        <f aca="false">IF(NOT(ISNUMBER(Macro_Series!$C195)),"",Macro_Series!$C195)</f>
        <v/>
      </c>
      <c r="C195" s="6" t="str">
        <f aca="false">IF(NOT(ISNUMBER(Macro_Series!$E195)),"",Macro_Series!$E195)</f>
        <v/>
      </c>
      <c r="D195" s="7" t="str">
        <f aca="false">IF(OR(NOT(ISNUMBER($B195)),NOT(ISNUMBER($C195)),$C195=0),"",$B195/$C195)</f>
        <v/>
      </c>
      <c r="E195" s="7" t="str">
        <f aca="false">IF(NOT(ISNUMBER(Macro_Series!$H195)),"",Macro_Series!$H195)</f>
        <v/>
      </c>
      <c r="F195" s="7" t="str">
        <f aca="false">IF(OR(NOT(ISNUMBER($D195)),NOT(ISNUMBER($E195)),$E195=0),"",$D195/$E195)</f>
        <v/>
      </c>
      <c r="G195" s="8" t="str">
        <f aca="false">""</f>
        <v/>
      </c>
      <c r="H195" s="8" t="str">
        <f aca="false">""</f>
        <v/>
      </c>
      <c r="I195" s="8" t="str">
        <f aca="false">IF(OR(NOT(ISNUMBER($G195)),NOT(ISNUMBER($H195))),"",$G195-$H195)</f>
        <v/>
      </c>
    </row>
    <row r="196" customFormat="false" ht="15" hidden="false" customHeight="false" outlineLevel="0" collapsed="false">
      <c r="A196" s="5" t="str">
        <f aca="false">IF(NOT(ISNUMBER(Macro_Series!$A196)),"",Macro_Series!$A196)</f>
        <v/>
      </c>
      <c r="B196" s="6" t="str">
        <f aca="false">IF(NOT(ISNUMBER(Macro_Series!$C196)),"",Macro_Series!$C196)</f>
        <v/>
      </c>
      <c r="C196" s="6" t="str">
        <f aca="false">IF(NOT(ISNUMBER(Macro_Series!$E196)),"",Macro_Series!$E196)</f>
        <v/>
      </c>
      <c r="D196" s="7" t="str">
        <f aca="false">IF(OR(NOT(ISNUMBER($B196)),NOT(ISNUMBER($C196)),$C196=0),"",$B196/$C196)</f>
        <v/>
      </c>
      <c r="E196" s="7" t="str">
        <f aca="false">IF(NOT(ISNUMBER(Macro_Series!$H196)),"",Macro_Series!$H196)</f>
        <v/>
      </c>
      <c r="F196" s="7" t="str">
        <f aca="false">IF(OR(NOT(ISNUMBER($D196)),NOT(ISNUMBER($E196)),$E196=0),"",$D196/$E196)</f>
        <v/>
      </c>
      <c r="G196" s="8" t="str">
        <f aca="false">""</f>
        <v/>
      </c>
      <c r="H196" s="8" t="str">
        <f aca="false">""</f>
        <v/>
      </c>
      <c r="I196" s="8" t="str">
        <f aca="false">IF(OR(NOT(ISNUMBER($G196)),NOT(ISNUMBER($H196))),"",$G196-$H196)</f>
        <v/>
      </c>
    </row>
    <row r="197" customFormat="false" ht="15" hidden="false" customHeight="false" outlineLevel="0" collapsed="false">
      <c r="A197" s="5" t="str">
        <f aca="false">IF(NOT(ISNUMBER(Macro_Series!$A197)),"",Macro_Series!$A197)</f>
        <v/>
      </c>
      <c r="B197" s="6" t="str">
        <f aca="false">IF(NOT(ISNUMBER(Macro_Series!$C197)),"",Macro_Series!$C197)</f>
        <v/>
      </c>
      <c r="C197" s="6" t="str">
        <f aca="false">IF(NOT(ISNUMBER(Macro_Series!$E197)),"",Macro_Series!$E197)</f>
        <v/>
      </c>
      <c r="D197" s="7" t="str">
        <f aca="false">IF(OR(NOT(ISNUMBER($B197)),NOT(ISNUMBER($C197)),$C197=0),"",$B197/$C197)</f>
        <v/>
      </c>
      <c r="E197" s="7" t="str">
        <f aca="false">IF(NOT(ISNUMBER(Macro_Series!$H197)),"",Macro_Series!$H197)</f>
        <v/>
      </c>
      <c r="F197" s="7" t="str">
        <f aca="false">IF(OR(NOT(ISNUMBER($D197)),NOT(ISNUMBER($E197)),$E197=0),"",$D197/$E197)</f>
        <v/>
      </c>
      <c r="G197" s="8" t="str">
        <f aca="false">""</f>
        <v/>
      </c>
      <c r="H197" s="8" t="str">
        <f aca="false">""</f>
        <v/>
      </c>
      <c r="I197" s="8" t="str">
        <f aca="false">IF(OR(NOT(ISNUMBER($G197)),NOT(ISNUMBER($H197))),"",$G197-$H197)</f>
        <v/>
      </c>
    </row>
    <row r="198" customFormat="false" ht="15" hidden="false" customHeight="false" outlineLevel="0" collapsed="false">
      <c r="A198" s="5" t="str">
        <f aca="false">IF(NOT(ISNUMBER(Macro_Series!$A198)),"",Macro_Series!$A198)</f>
        <v/>
      </c>
      <c r="B198" s="6" t="str">
        <f aca="false">IF(NOT(ISNUMBER(Macro_Series!$C198)),"",Macro_Series!$C198)</f>
        <v/>
      </c>
      <c r="C198" s="6" t="str">
        <f aca="false">IF(NOT(ISNUMBER(Macro_Series!$E198)),"",Macro_Series!$E198)</f>
        <v/>
      </c>
      <c r="D198" s="7" t="str">
        <f aca="false">IF(OR(NOT(ISNUMBER($B198)),NOT(ISNUMBER($C198)),$C198=0),"",$B198/$C198)</f>
        <v/>
      </c>
      <c r="E198" s="7" t="str">
        <f aca="false">IF(NOT(ISNUMBER(Macro_Series!$H198)),"",Macro_Series!$H198)</f>
        <v/>
      </c>
      <c r="F198" s="7" t="str">
        <f aca="false">IF(OR(NOT(ISNUMBER($D198)),NOT(ISNUMBER($E198)),$E198=0),"",$D198/$E198)</f>
        <v/>
      </c>
      <c r="G198" s="8" t="str">
        <f aca="false">""</f>
        <v/>
      </c>
      <c r="H198" s="8" t="str">
        <f aca="false">""</f>
        <v/>
      </c>
      <c r="I198" s="8" t="str">
        <f aca="false">IF(OR(NOT(ISNUMBER($G198)),NOT(ISNUMBER($H198))),"",$G198-$H198)</f>
        <v/>
      </c>
    </row>
    <row r="199" customFormat="false" ht="15" hidden="false" customHeight="false" outlineLevel="0" collapsed="false">
      <c r="A199" s="5" t="str">
        <f aca="false">IF(NOT(ISNUMBER(Macro_Series!$A199)),"",Macro_Series!$A199)</f>
        <v/>
      </c>
      <c r="B199" s="6" t="str">
        <f aca="false">IF(NOT(ISNUMBER(Macro_Series!$C199)),"",Macro_Series!$C199)</f>
        <v/>
      </c>
      <c r="C199" s="6" t="str">
        <f aca="false">IF(NOT(ISNUMBER(Macro_Series!$E199)),"",Macro_Series!$E199)</f>
        <v/>
      </c>
      <c r="D199" s="7" t="str">
        <f aca="false">IF(OR(NOT(ISNUMBER($B199)),NOT(ISNUMBER($C199)),$C199=0),"",$B199/$C199)</f>
        <v/>
      </c>
      <c r="E199" s="7" t="str">
        <f aca="false">IF(NOT(ISNUMBER(Macro_Series!$H199)),"",Macro_Series!$H199)</f>
        <v/>
      </c>
      <c r="F199" s="7" t="str">
        <f aca="false">IF(OR(NOT(ISNUMBER($D199)),NOT(ISNUMBER($E199)),$E199=0),"",$D199/$E199)</f>
        <v/>
      </c>
      <c r="G199" s="8" t="str">
        <f aca="false">""</f>
        <v/>
      </c>
      <c r="H199" s="8" t="str">
        <f aca="false">""</f>
        <v/>
      </c>
      <c r="I199" s="8" t="str">
        <f aca="false">IF(OR(NOT(ISNUMBER($G199)),NOT(ISNUMBER($H199))),"",$G199-$H199)</f>
        <v/>
      </c>
    </row>
    <row r="200" customFormat="false" ht="15" hidden="false" customHeight="false" outlineLevel="0" collapsed="false">
      <c r="A200" s="5" t="str">
        <f aca="false">IF(NOT(ISNUMBER(Macro_Series!$A200)),"",Macro_Series!$A200)</f>
        <v/>
      </c>
      <c r="B200" s="6" t="str">
        <f aca="false">IF(NOT(ISNUMBER(Macro_Series!$C200)),"",Macro_Series!$C200)</f>
        <v/>
      </c>
      <c r="C200" s="6" t="str">
        <f aca="false">IF(NOT(ISNUMBER(Macro_Series!$E200)),"",Macro_Series!$E200)</f>
        <v/>
      </c>
      <c r="D200" s="7" t="str">
        <f aca="false">IF(OR(NOT(ISNUMBER($B200)),NOT(ISNUMBER($C200)),$C200=0),"",$B200/$C200)</f>
        <v/>
      </c>
      <c r="E200" s="7" t="str">
        <f aca="false">IF(NOT(ISNUMBER(Macro_Series!$H200)),"",Macro_Series!$H200)</f>
        <v/>
      </c>
      <c r="F200" s="7" t="str">
        <f aca="false">IF(OR(NOT(ISNUMBER($D200)),NOT(ISNUMBER($E200)),$E200=0),"",$D200/$E200)</f>
        <v/>
      </c>
      <c r="G200" s="8" t="str">
        <f aca="false">""</f>
        <v/>
      </c>
      <c r="H200" s="8" t="str">
        <f aca="false">""</f>
        <v/>
      </c>
      <c r="I200" s="8" t="str">
        <f aca="false">IF(OR(NOT(ISNUMBER($G200)),NOT(ISNUMBER($H200))),"",$G200-$H200)</f>
        <v/>
      </c>
    </row>
    <row r="201" customFormat="false" ht="15" hidden="false" customHeight="false" outlineLevel="0" collapsed="false">
      <c r="A201" s="5" t="str">
        <f aca="false">IF(NOT(ISNUMBER(Macro_Series!$A201)),"",Macro_Series!$A201)</f>
        <v/>
      </c>
      <c r="B201" s="6" t="str">
        <f aca="false">IF(NOT(ISNUMBER(Macro_Series!$C201)),"",Macro_Series!$C201)</f>
        <v/>
      </c>
      <c r="C201" s="6" t="str">
        <f aca="false">IF(NOT(ISNUMBER(Macro_Series!$E201)),"",Macro_Series!$E201)</f>
        <v/>
      </c>
      <c r="D201" s="7" t="str">
        <f aca="false">IF(OR(NOT(ISNUMBER($B201)),NOT(ISNUMBER($C201)),$C201=0),"",$B201/$C201)</f>
        <v/>
      </c>
      <c r="E201" s="7" t="str">
        <f aca="false">IF(NOT(ISNUMBER(Macro_Series!$H201)),"",Macro_Series!$H201)</f>
        <v/>
      </c>
      <c r="F201" s="7" t="str">
        <f aca="false">IF(OR(NOT(ISNUMBER($D201)),NOT(ISNUMBER($E201)),$E201=0),"",$D201/$E201)</f>
        <v/>
      </c>
      <c r="G201" s="8" t="str">
        <f aca="false">""</f>
        <v/>
      </c>
      <c r="H201" s="8" t="str">
        <f aca="false">""</f>
        <v/>
      </c>
      <c r="I201" s="8" t="str">
        <f aca="false">IF(OR(NOT(ISNUMBER($G201)),NOT(ISNUMBER($H201))),"",$G201-$H201)</f>
        <v/>
      </c>
    </row>
    <row r="202" customFormat="false" ht="15" hidden="false" customHeight="false" outlineLevel="0" collapsed="false">
      <c r="A202" s="5" t="str">
        <f aca="false">IF(NOT(ISNUMBER(Macro_Series!$A202)),"",Macro_Series!$A202)</f>
        <v/>
      </c>
      <c r="B202" s="6" t="str">
        <f aca="false">IF(NOT(ISNUMBER(Macro_Series!$C202)),"",Macro_Series!$C202)</f>
        <v/>
      </c>
      <c r="C202" s="6" t="str">
        <f aca="false">IF(NOT(ISNUMBER(Macro_Series!$E202)),"",Macro_Series!$E202)</f>
        <v/>
      </c>
      <c r="D202" s="7" t="str">
        <f aca="false">IF(OR(NOT(ISNUMBER($B202)),NOT(ISNUMBER($C202)),$C202=0),"",$B202/$C202)</f>
        <v/>
      </c>
      <c r="E202" s="7" t="str">
        <f aca="false">IF(NOT(ISNUMBER(Macro_Series!$H202)),"",Macro_Series!$H202)</f>
        <v/>
      </c>
      <c r="F202" s="7" t="str">
        <f aca="false">IF(OR(NOT(ISNUMBER($D202)),NOT(ISNUMBER($E202)),$E202=0),"",$D202/$E202)</f>
        <v/>
      </c>
      <c r="G202" s="8" t="str">
        <f aca="false">""</f>
        <v/>
      </c>
      <c r="H202" s="8" t="str">
        <f aca="false">""</f>
        <v/>
      </c>
      <c r="I202" s="8" t="str">
        <f aca="false">IF(OR(NOT(ISNUMBER($G202)),NOT(ISNUMBER($H202))),"",$G202-$H202)</f>
        <v/>
      </c>
    </row>
    <row r="203" customFormat="false" ht="15" hidden="false" customHeight="false" outlineLevel="0" collapsed="false">
      <c r="A203" s="5" t="str">
        <f aca="false">IF(NOT(ISNUMBER(Macro_Series!$A203)),"",Macro_Series!$A203)</f>
        <v/>
      </c>
      <c r="B203" s="6" t="str">
        <f aca="false">IF(NOT(ISNUMBER(Macro_Series!$C203)),"",Macro_Series!$C203)</f>
        <v/>
      </c>
      <c r="C203" s="6" t="str">
        <f aca="false">IF(NOT(ISNUMBER(Macro_Series!$E203)),"",Macro_Series!$E203)</f>
        <v/>
      </c>
      <c r="D203" s="7" t="str">
        <f aca="false">IF(OR(NOT(ISNUMBER($B203)),NOT(ISNUMBER($C203)),$C203=0),"",$B203/$C203)</f>
        <v/>
      </c>
      <c r="E203" s="7" t="str">
        <f aca="false">IF(NOT(ISNUMBER(Macro_Series!$H203)),"",Macro_Series!$H203)</f>
        <v/>
      </c>
      <c r="F203" s="7" t="str">
        <f aca="false">IF(OR(NOT(ISNUMBER($D203)),NOT(ISNUMBER($E203)),$E203=0),"",$D203/$E203)</f>
        <v/>
      </c>
      <c r="G203" s="8" t="str">
        <f aca="false">""</f>
        <v/>
      </c>
      <c r="H203" s="8" t="str">
        <f aca="false">""</f>
        <v/>
      </c>
      <c r="I203" s="8" t="str">
        <f aca="false">IF(OR(NOT(ISNUMBER($G203)),NOT(ISNUMBER($H203))),"",$G203-$H203)</f>
        <v/>
      </c>
    </row>
    <row r="204" customFormat="false" ht="15" hidden="false" customHeight="false" outlineLevel="0" collapsed="false">
      <c r="A204" s="5" t="str">
        <f aca="false">IF(NOT(ISNUMBER(Macro_Series!$A204)),"",Macro_Series!$A204)</f>
        <v/>
      </c>
      <c r="B204" s="6" t="str">
        <f aca="false">IF(NOT(ISNUMBER(Macro_Series!$C204)),"",Macro_Series!$C204)</f>
        <v/>
      </c>
      <c r="C204" s="6" t="str">
        <f aca="false">IF(NOT(ISNUMBER(Macro_Series!$E204)),"",Macro_Series!$E204)</f>
        <v/>
      </c>
      <c r="D204" s="7" t="str">
        <f aca="false">IF(OR(NOT(ISNUMBER($B204)),NOT(ISNUMBER($C204)),$C204=0),"",$B204/$C204)</f>
        <v/>
      </c>
      <c r="E204" s="7" t="str">
        <f aca="false">IF(NOT(ISNUMBER(Macro_Series!$H204)),"",Macro_Series!$H204)</f>
        <v/>
      </c>
      <c r="F204" s="7" t="str">
        <f aca="false">IF(OR(NOT(ISNUMBER($D204)),NOT(ISNUMBER($E204)),$E204=0),"",$D204/$E204)</f>
        <v/>
      </c>
      <c r="G204" s="8" t="str">
        <f aca="false">""</f>
        <v/>
      </c>
      <c r="H204" s="8" t="str">
        <f aca="false">""</f>
        <v/>
      </c>
      <c r="I204" s="8" t="str">
        <f aca="false">IF(OR(NOT(ISNUMBER($G204)),NOT(ISNUMBER($H204))),"",$G204-$H204)</f>
        <v/>
      </c>
    </row>
    <row r="205" customFormat="false" ht="15" hidden="false" customHeight="false" outlineLevel="0" collapsed="false">
      <c r="A205" s="5" t="str">
        <f aca="false">IF(NOT(ISNUMBER(Macro_Series!$A205)),"",Macro_Series!$A205)</f>
        <v/>
      </c>
      <c r="B205" s="6" t="str">
        <f aca="false">IF(NOT(ISNUMBER(Macro_Series!$C205)),"",Macro_Series!$C205)</f>
        <v/>
      </c>
      <c r="C205" s="6" t="str">
        <f aca="false">IF(NOT(ISNUMBER(Macro_Series!$E205)),"",Macro_Series!$E205)</f>
        <v/>
      </c>
      <c r="D205" s="7" t="str">
        <f aca="false">IF(OR(NOT(ISNUMBER($B205)),NOT(ISNUMBER($C205)),$C205=0),"",$B205/$C205)</f>
        <v/>
      </c>
      <c r="E205" s="7" t="str">
        <f aca="false">IF(NOT(ISNUMBER(Macro_Series!$H205)),"",Macro_Series!$H205)</f>
        <v/>
      </c>
      <c r="F205" s="7" t="str">
        <f aca="false">IF(OR(NOT(ISNUMBER($D205)),NOT(ISNUMBER($E205)),$E205=0),"",$D205/$E205)</f>
        <v/>
      </c>
      <c r="G205" s="8" t="str">
        <f aca="false">""</f>
        <v/>
      </c>
      <c r="H205" s="8" t="str">
        <f aca="false">""</f>
        <v/>
      </c>
      <c r="I205" s="8" t="str">
        <f aca="false">IF(OR(NOT(ISNUMBER($G205)),NOT(ISNUMBER($H205))),"",$G205-$H205)</f>
        <v/>
      </c>
    </row>
    <row r="206" customFormat="false" ht="15" hidden="false" customHeight="false" outlineLevel="0" collapsed="false">
      <c r="A206" s="5" t="str">
        <f aca="false">IF(NOT(ISNUMBER(Macro_Series!$A206)),"",Macro_Series!$A206)</f>
        <v/>
      </c>
      <c r="B206" s="6" t="str">
        <f aca="false">IF(NOT(ISNUMBER(Macro_Series!$C206)),"",Macro_Series!$C206)</f>
        <v/>
      </c>
      <c r="C206" s="6" t="str">
        <f aca="false">IF(NOT(ISNUMBER(Macro_Series!$E206)),"",Macro_Series!$E206)</f>
        <v/>
      </c>
      <c r="D206" s="7" t="str">
        <f aca="false">IF(OR(NOT(ISNUMBER($B206)),NOT(ISNUMBER($C206)),$C206=0),"",$B206/$C206)</f>
        <v/>
      </c>
      <c r="E206" s="7" t="str">
        <f aca="false">IF(NOT(ISNUMBER(Macro_Series!$H206)),"",Macro_Series!$H206)</f>
        <v/>
      </c>
      <c r="F206" s="7" t="str">
        <f aca="false">IF(OR(NOT(ISNUMBER($D206)),NOT(ISNUMBER($E206)),$E206=0),"",$D206/$E206)</f>
        <v/>
      </c>
      <c r="G206" s="8" t="str">
        <f aca="false">""</f>
        <v/>
      </c>
      <c r="H206" s="8" t="str">
        <f aca="false">""</f>
        <v/>
      </c>
      <c r="I206" s="8" t="str">
        <f aca="false">IF(OR(NOT(ISNUMBER($G206)),NOT(ISNUMBER($H206))),"",$G206-$H206)</f>
        <v/>
      </c>
    </row>
    <row r="207" customFormat="false" ht="15" hidden="false" customHeight="false" outlineLevel="0" collapsed="false">
      <c r="A207" s="5" t="str">
        <f aca="false">IF(NOT(ISNUMBER(Macro_Series!$A207)),"",Macro_Series!$A207)</f>
        <v/>
      </c>
      <c r="B207" s="6" t="str">
        <f aca="false">IF(NOT(ISNUMBER(Macro_Series!$C207)),"",Macro_Series!$C207)</f>
        <v/>
      </c>
      <c r="C207" s="6" t="str">
        <f aca="false">IF(NOT(ISNUMBER(Macro_Series!$E207)),"",Macro_Series!$E207)</f>
        <v/>
      </c>
      <c r="D207" s="7" t="str">
        <f aca="false">IF(OR(NOT(ISNUMBER($B207)),NOT(ISNUMBER($C207)),$C207=0),"",$B207/$C207)</f>
        <v/>
      </c>
      <c r="E207" s="7" t="str">
        <f aca="false">IF(NOT(ISNUMBER(Macro_Series!$H207)),"",Macro_Series!$H207)</f>
        <v/>
      </c>
      <c r="F207" s="7" t="str">
        <f aca="false">IF(OR(NOT(ISNUMBER($D207)),NOT(ISNUMBER($E207)),$E207=0),"",$D207/$E207)</f>
        <v/>
      </c>
      <c r="G207" s="8" t="str">
        <f aca="false">""</f>
        <v/>
      </c>
      <c r="H207" s="8" t="str">
        <f aca="false">""</f>
        <v/>
      </c>
      <c r="I207" s="8" t="str">
        <f aca="false">IF(OR(NOT(ISNUMBER($G207)),NOT(ISNUMBER($H207))),"",$G207-$H207)</f>
        <v/>
      </c>
    </row>
    <row r="208" customFormat="false" ht="15" hidden="false" customHeight="false" outlineLevel="0" collapsed="false">
      <c r="A208" s="5" t="str">
        <f aca="false">IF(NOT(ISNUMBER(Macro_Series!$A208)),"",Macro_Series!$A208)</f>
        <v/>
      </c>
      <c r="B208" s="6" t="str">
        <f aca="false">IF(NOT(ISNUMBER(Macro_Series!$C208)),"",Macro_Series!$C208)</f>
        <v/>
      </c>
      <c r="C208" s="6" t="str">
        <f aca="false">IF(NOT(ISNUMBER(Macro_Series!$E208)),"",Macro_Series!$E208)</f>
        <v/>
      </c>
      <c r="D208" s="7" t="str">
        <f aca="false">IF(OR(NOT(ISNUMBER($B208)),NOT(ISNUMBER($C208)),$C208=0),"",$B208/$C208)</f>
        <v/>
      </c>
      <c r="E208" s="7" t="str">
        <f aca="false">IF(NOT(ISNUMBER(Macro_Series!$H208)),"",Macro_Series!$H208)</f>
        <v/>
      </c>
      <c r="F208" s="7" t="str">
        <f aca="false">IF(OR(NOT(ISNUMBER($D208)),NOT(ISNUMBER($E208)),$E208=0),"",$D208/$E208)</f>
        <v/>
      </c>
      <c r="G208" s="8" t="str">
        <f aca="false">""</f>
        <v/>
      </c>
      <c r="H208" s="8" t="str">
        <f aca="false">""</f>
        <v/>
      </c>
      <c r="I208" s="8" t="str">
        <f aca="false">IF(OR(NOT(ISNUMBER($G208)),NOT(ISNUMBER($H208))),"",$G208-$H208)</f>
        <v/>
      </c>
    </row>
    <row r="209" customFormat="false" ht="15" hidden="false" customHeight="false" outlineLevel="0" collapsed="false">
      <c r="A209" s="5" t="str">
        <f aca="false">IF(NOT(ISNUMBER(Macro_Series!$A209)),"",Macro_Series!$A209)</f>
        <v/>
      </c>
      <c r="B209" s="6" t="str">
        <f aca="false">IF(NOT(ISNUMBER(Macro_Series!$C209)),"",Macro_Series!$C209)</f>
        <v/>
      </c>
      <c r="C209" s="6" t="str">
        <f aca="false">IF(NOT(ISNUMBER(Macro_Series!$E209)),"",Macro_Series!$E209)</f>
        <v/>
      </c>
      <c r="D209" s="7" t="str">
        <f aca="false">IF(OR(NOT(ISNUMBER($B209)),NOT(ISNUMBER($C209)),$C209=0),"",$B209/$C209)</f>
        <v/>
      </c>
      <c r="E209" s="7" t="str">
        <f aca="false">IF(NOT(ISNUMBER(Macro_Series!$H209)),"",Macro_Series!$H209)</f>
        <v/>
      </c>
      <c r="F209" s="7" t="str">
        <f aca="false">IF(OR(NOT(ISNUMBER($D209)),NOT(ISNUMBER($E209)),$E209=0),"",$D209/$E209)</f>
        <v/>
      </c>
      <c r="G209" s="8" t="str">
        <f aca="false">""</f>
        <v/>
      </c>
      <c r="H209" s="8" t="str">
        <f aca="false">""</f>
        <v/>
      </c>
      <c r="I209" s="8" t="str">
        <f aca="false">IF(OR(NOT(ISNUMBER($G209)),NOT(ISNUMBER($H209))),"",$G209-$H209)</f>
        <v/>
      </c>
    </row>
    <row r="210" customFormat="false" ht="15" hidden="false" customHeight="false" outlineLevel="0" collapsed="false">
      <c r="A210" s="5" t="str">
        <f aca="false">IF(NOT(ISNUMBER(Macro_Series!$A210)),"",Macro_Series!$A210)</f>
        <v/>
      </c>
      <c r="B210" s="6" t="str">
        <f aca="false">IF(NOT(ISNUMBER(Macro_Series!$C210)),"",Macro_Series!$C210)</f>
        <v/>
      </c>
      <c r="C210" s="6" t="str">
        <f aca="false">IF(NOT(ISNUMBER(Macro_Series!$E210)),"",Macro_Series!$E210)</f>
        <v/>
      </c>
      <c r="D210" s="7" t="str">
        <f aca="false">IF(OR(NOT(ISNUMBER($B210)),NOT(ISNUMBER($C210)),$C210=0),"",$B210/$C210)</f>
        <v/>
      </c>
      <c r="E210" s="7" t="str">
        <f aca="false">IF(NOT(ISNUMBER(Macro_Series!$H210)),"",Macro_Series!$H210)</f>
        <v/>
      </c>
      <c r="F210" s="7" t="str">
        <f aca="false">IF(OR(NOT(ISNUMBER($D210)),NOT(ISNUMBER($E210)),$E210=0),"",$D210/$E210)</f>
        <v/>
      </c>
      <c r="G210" s="8" t="str">
        <f aca="false">""</f>
        <v/>
      </c>
      <c r="H210" s="8" t="str">
        <f aca="false">""</f>
        <v/>
      </c>
      <c r="I210" s="8" t="str">
        <f aca="false">IF(OR(NOT(ISNUMBER($G210)),NOT(ISNUMBER($H210))),"",$G210-$H210)</f>
        <v/>
      </c>
    </row>
    <row r="211" customFormat="false" ht="15" hidden="false" customHeight="false" outlineLevel="0" collapsed="false">
      <c r="A211" s="5" t="str">
        <f aca="false">IF(NOT(ISNUMBER(Macro_Series!$A211)),"",Macro_Series!$A211)</f>
        <v/>
      </c>
      <c r="B211" s="6" t="str">
        <f aca="false">IF(NOT(ISNUMBER(Macro_Series!$C211)),"",Macro_Series!$C211)</f>
        <v/>
      </c>
      <c r="C211" s="6" t="str">
        <f aca="false">IF(NOT(ISNUMBER(Macro_Series!$E211)),"",Macro_Series!$E211)</f>
        <v/>
      </c>
      <c r="D211" s="7" t="str">
        <f aca="false">IF(OR(NOT(ISNUMBER($B211)),NOT(ISNUMBER($C211)),$C211=0),"",$B211/$C211)</f>
        <v/>
      </c>
      <c r="E211" s="7" t="str">
        <f aca="false">IF(NOT(ISNUMBER(Macro_Series!$H211)),"",Macro_Series!$H211)</f>
        <v/>
      </c>
      <c r="F211" s="7" t="str">
        <f aca="false">IF(OR(NOT(ISNUMBER($D211)),NOT(ISNUMBER($E211)),$E211=0),"",$D211/$E211)</f>
        <v/>
      </c>
      <c r="G211" s="8" t="str">
        <f aca="false">""</f>
        <v/>
      </c>
      <c r="H211" s="8" t="str">
        <f aca="false">""</f>
        <v/>
      </c>
      <c r="I211" s="8" t="str">
        <f aca="false">IF(OR(NOT(ISNUMBER($G211)),NOT(ISNUMBER($H211))),"",$G211-$H211)</f>
        <v/>
      </c>
    </row>
    <row r="212" customFormat="false" ht="15" hidden="false" customHeight="false" outlineLevel="0" collapsed="false">
      <c r="A212" s="5" t="str">
        <f aca="false">IF(NOT(ISNUMBER(Macro_Series!$A212)),"",Macro_Series!$A212)</f>
        <v/>
      </c>
      <c r="B212" s="6" t="str">
        <f aca="false">IF(NOT(ISNUMBER(Macro_Series!$C212)),"",Macro_Series!$C212)</f>
        <v/>
      </c>
      <c r="C212" s="6" t="str">
        <f aca="false">IF(NOT(ISNUMBER(Macro_Series!$E212)),"",Macro_Series!$E212)</f>
        <v/>
      </c>
      <c r="D212" s="7" t="str">
        <f aca="false">IF(OR(NOT(ISNUMBER($B212)),NOT(ISNUMBER($C212)),$C212=0),"",$B212/$C212)</f>
        <v/>
      </c>
      <c r="E212" s="7" t="str">
        <f aca="false">IF(NOT(ISNUMBER(Macro_Series!$H212)),"",Macro_Series!$H212)</f>
        <v/>
      </c>
      <c r="F212" s="7" t="str">
        <f aca="false">IF(OR(NOT(ISNUMBER($D212)),NOT(ISNUMBER($E212)),$E212=0),"",$D212/$E212)</f>
        <v/>
      </c>
      <c r="G212" s="8" t="str">
        <f aca="false">""</f>
        <v/>
      </c>
      <c r="H212" s="8" t="str">
        <f aca="false">""</f>
        <v/>
      </c>
      <c r="I212" s="8" t="str">
        <f aca="false">IF(OR(NOT(ISNUMBER($G212)),NOT(ISNUMBER($H212))),"",$G212-$H212)</f>
        <v/>
      </c>
    </row>
    <row r="213" customFormat="false" ht="15" hidden="false" customHeight="false" outlineLevel="0" collapsed="false">
      <c r="A213" s="5" t="str">
        <f aca="false">IF(NOT(ISNUMBER(Macro_Series!$A213)),"",Macro_Series!$A213)</f>
        <v/>
      </c>
      <c r="B213" s="6" t="str">
        <f aca="false">IF(NOT(ISNUMBER(Macro_Series!$C213)),"",Macro_Series!$C213)</f>
        <v/>
      </c>
      <c r="C213" s="6" t="str">
        <f aca="false">IF(NOT(ISNUMBER(Macro_Series!$E213)),"",Macro_Series!$E213)</f>
        <v/>
      </c>
      <c r="D213" s="7" t="str">
        <f aca="false">IF(OR(NOT(ISNUMBER($B213)),NOT(ISNUMBER($C213)),$C213=0),"",$B213/$C213)</f>
        <v/>
      </c>
      <c r="E213" s="7" t="str">
        <f aca="false">IF(NOT(ISNUMBER(Macro_Series!$H213)),"",Macro_Series!$H213)</f>
        <v/>
      </c>
      <c r="F213" s="7" t="str">
        <f aca="false">IF(OR(NOT(ISNUMBER($D213)),NOT(ISNUMBER($E213)),$E213=0),"",$D213/$E213)</f>
        <v/>
      </c>
      <c r="G213" s="8" t="str">
        <f aca="false">""</f>
        <v/>
      </c>
      <c r="H213" s="8" t="str">
        <f aca="false">""</f>
        <v/>
      </c>
      <c r="I213" s="8" t="str">
        <f aca="false">IF(OR(NOT(ISNUMBER($G213)),NOT(ISNUMBER($H213))),"",$G213-$H213)</f>
        <v/>
      </c>
    </row>
    <row r="214" customFormat="false" ht="15" hidden="false" customHeight="false" outlineLevel="0" collapsed="false">
      <c r="A214" s="5" t="str">
        <f aca="false">IF(NOT(ISNUMBER(Macro_Series!$A214)),"",Macro_Series!$A214)</f>
        <v/>
      </c>
      <c r="B214" s="6" t="str">
        <f aca="false">IF(NOT(ISNUMBER(Macro_Series!$C214)),"",Macro_Series!$C214)</f>
        <v/>
      </c>
      <c r="C214" s="6" t="str">
        <f aca="false">IF(NOT(ISNUMBER(Macro_Series!$E214)),"",Macro_Series!$E214)</f>
        <v/>
      </c>
      <c r="D214" s="7" t="str">
        <f aca="false">IF(OR(NOT(ISNUMBER($B214)),NOT(ISNUMBER($C214)),$C214=0),"",$B214/$C214)</f>
        <v/>
      </c>
      <c r="E214" s="7" t="str">
        <f aca="false">IF(NOT(ISNUMBER(Macro_Series!$H214)),"",Macro_Series!$H214)</f>
        <v/>
      </c>
      <c r="F214" s="7" t="str">
        <f aca="false">IF(OR(NOT(ISNUMBER($D214)),NOT(ISNUMBER($E214)),$E214=0),"",$D214/$E214)</f>
        <v/>
      </c>
      <c r="G214" s="8" t="str">
        <f aca="false">""</f>
        <v/>
      </c>
      <c r="H214" s="8" t="str">
        <f aca="false">""</f>
        <v/>
      </c>
      <c r="I214" s="8" t="str">
        <f aca="false">IF(OR(NOT(ISNUMBER($G214)),NOT(ISNUMBER($H214))),"",$G214-$H214)</f>
        <v/>
      </c>
    </row>
    <row r="215" customFormat="false" ht="15" hidden="false" customHeight="false" outlineLevel="0" collapsed="false">
      <c r="A215" s="5" t="str">
        <f aca="false">IF(NOT(ISNUMBER(Macro_Series!$A215)),"",Macro_Series!$A215)</f>
        <v/>
      </c>
      <c r="B215" s="6" t="str">
        <f aca="false">IF(NOT(ISNUMBER(Macro_Series!$C215)),"",Macro_Series!$C215)</f>
        <v/>
      </c>
      <c r="C215" s="6" t="str">
        <f aca="false">IF(NOT(ISNUMBER(Macro_Series!$E215)),"",Macro_Series!$E215)</f>
        <v/>
      </c>
      <c r="D215" s="7" t="str">
        <f aca="false">IF(OR(NOT(ISNUMBER($B215)),NOT(ISNUMBER($C215)),$C215=0),"",$B215/$C215)</f>
        <v/>
      </c>
      <c r="E215" s="7" t="str">
        <f aca="false">IF(NOT(ISNUMBER(Macro_Series!$H215)),"",Macro_Series!$H215)</f>
        <v/>
      </c>
      <c r="F215" s="7" t="str">
        <f aca="false">IF(OR(NOT(ISNUMBER($D215)),NOT(ISNUMBER($E215)),$E215=0),"",$D215/$E215)</f>
        <v/>
      </c>
      <c r="G215" s="8" t="str">
        <f aca="false">""</f>
        <v/>
      </c>
      <c r="H215" s="8" t="str">
        <f aca="false">""</f>
        <v/>
      </c>
      <c r="I215" s="8" t="str">
        <f aca="false">IF(OR(NOT(ISNUMBER($G215)),NOT(ISNUMBER($H215))),"",$G215-$H215)</f>
        <v/>
      </c>
    </row>
    <row r="216" customFormat="false" ht="15" hidden="false" customHeight="false" outlineLevel="0" collapsed="false">
      <c r="A216" s="5" t="str">
        <f aca="false">IF(NOT(ISNUMBER(Macro_Series!$A216)),"",Macro_Series!$A216)</f>
        <v/>
      </c>
      <c r="B216" s="6" t="str">
        <f aca="false">IF(NOT(ISNUMBER(Macro_Series!$C216)),"",Macro_Series!$C216)</f>
        <v/>
      </c>
      <c r="C216" s="6" t="str">
        <f aca="false">IF(NOT(ISNUMBER(Macro_Series!$E216)),"",Macro_Series!$E216)</f>
        <v/>
      </c>
      <c r="D216" s="7" t="str">
        <f aca="false">IF(OR(NOT(ISNUMBER($B216)),NOT(ISNUMBER($C216)),$C216=0),"",$B216/$C216)</f>
        <v/>
      </c>
      <c r="E216" s="7" t="str">
        <f aca="false">IF(NOT(ISNUMBER(Macro_Series!$H216)),"",Macro_Series!$H216)</f>
        <v/>
      </c>
      <c r="F216" s="7" t="str">
        <f aca="false">IF(OR(NOT(ISNUMBER($D216)),NOT(ISNUMBER($E216)),$E216=0),"",$D216/$E216)</f>
        <v/>
      </c>
      <c r="G216" s="8" t="str">
        <f aca="false">""</f>
        <v/>
      </c>
      <c r="H216" s="8" t="str">
        <f aca="false">""</f>
        <v/>
      </c>
      <c r="I216" s="8" t="str">
        <f aca="false">IF(OR(NOT(ISNUMBER($G216)),NOT(ISNUMBER($H216))),"",$G216-$H216)</f>
        <v/>
      </c>
    </row>
    <row r="217" customFormat="false" ht="15" hidden="false" customHeight="false" outlineLevel="0" collapsed="false">
      <c r="A217" s="5" t="str">
        <f aca="false">IF(NOT(ISNUMBER(Macro_Series!$A217)),"",Macro_Series!$A217)</f>
        <v/>
      </c>
      <c r="B217" s="6" t="str">
        <f aca="false">IF(NOT(ISNUMBER(Macro_Series!$C217)),"",Macro_Series!$C217)</f>
        <v/>
      </c>
      <c r="C217" s="6" t="str">
        <f aca="false">IF(NOT(ISNUMBER(Macro_Series!$E217)),"",Macro_Series!$E217)</f>
        <v/>
      </c>
      <c r="D217" s="7" t="str">
        <f aca="false">IF(OR(NOT(ISNUMBER($B217)),NOT(ISNUMBER($C217)),$C217=0),"",$B217/$C217)</f>
        <v/>
      </c>
      <c r="E217" s="7" t="str">
        <f aca="false">IF(NOT(ISNUMBER(Macro_Series!$H217)),"",Macro_Series!$H217)</f>
        <v/>
      </c>
      <c r="F217" s="7" t="str">
        <f aca="false">IF(OR(NOT(ISNUMBER($D217)),NOT(ISNUMBER($E217)),$E217=0),"",$D217/$E217)</f>
        <v/>
      </c>
      <c r="G217" s="8" t="str">
        <f aca="false">""</f>
        <v/>
      </c>
      <c r="H217" s="8" t="str">
        <f aca="false">""</f>
        <v/>
      </c>
      <c r="I217" s="8" t="str">
        <f aca="false">IF(OR(NOT(ISNUMBER($G217)),NOT(ISNUMBER($H217))),"",$G217-$H217)</f>
        <v/>
      </c>
    </row>
    <row r="218" customFormat="false" ht="15" hidden="false" customHeight="false" outlineLevel="0" collapsed="false">
      <c r="A218" s="5" t="str">
        <f aca="false">IF(NOT(ISNUMBER(Macro_Series!$A218)),"",Macro_Series!$A218)</f>
        <v/>
      </c>
      <c r="B218" s="6" t="str">
        <f aca="false">IF(NOT(ISNUMBER(Macro_Series!$C218)),"",Macro_Series!$C218)</f>
        <v/>
      </c>
      <c r="C218" s="6" t="str">
        <f aca="false">IF(NOT(ISNUMBER(Macro_Series!$E218)),"",Macro_Series!$E218)</f>
        <v/>
      </c>
      <c r="D218" s="7" t="str">
        <f aca="false">IF(OR(NOT(ISNUMBER($B218)),NOT(ISNUMBER($C218)),$C218=0),"",$B218/$C218)</f>
        <v/>
      </c>
      <c r="E218" s="7" t="str">
        <f aca="false">IF(NOT(ISNUMBER(Macro_Series!$H218)),"",Macro_Series!$H218)</f>
        <v/>
      </c>
      <c r="F218" s="7" t="str">
        <f aca="false">IF(OR(NOT(ISNUMBER($D218)),NOT(ISNUMBER($E218)),$E218=0),"",$D218/$E218)</f>
        <v/>
      </c>
      <c r="G218" s="8" t="str">
        <f aca="false">""</f>
        <v/>
      </c>
      <c r="H218" s="8" t="str">
        <f aca="false">""</f>
        <v/>
      </c>
      <c r="I218" s="8" t="str">
        <f aca="false">IF(OR(NOT(ISNUMBER($G218)),NOT(ISNUMBER($H218))),"",$G218-$H218)</f>
        <v/>
      </c>
    </row>
    <row r="219" customFormat="false" ht="15" hidden="false" customHeight="false" outlineLevel="0" collapsed="false">
      <c r="A219" s="5" t="str">
        <f aca="false">IF(NOT(ISNUMBER(Macro_Series!$A219)),"",Macro_Series!$A219)</f>
        <v/>
      </c>
      <c r="B219" s="6" t="str">
        <f aca="false">IF(NOT(ISNUMBER(Macro_Series!$C219)),"",Macro_Series!$C219)</f>
        <v/>
      </c>
      <c r="C219" s="6" t="str">
        <f aca="false">IF(NOT(ISNUMBER(Macro_Series!$E219)),"",Macro_Series!$E219)</f>
        <v/>
      </c>
      <c r="D219" s="7" t="str">
        <f aca="false">IF(OR(NOT(ISNUMBER($B219)),NOT(ISNUMBER($C219)),$C219=0),"",$B219/$C219)</f>
        <v/>
      </c>
      <c r="E219" s="7" t="str">
        <f aca="false">IF(NOT(ISNUMBER(Macro_Series!$H219)),"",Macro_Series!$H219)</f>
        <v/>
      </c>
      <c r="F219" s="7" t="str">
        <f aca="false">IF(OR(NOT(ISNUMBER($D219)),NOT(ISNUMBER($E219)),$E219=0),"",$D219/$E219)</f>
        <v/>
      </c>
      <c r="G219" s="8" t="str">
        <f aca="false">""</f>
        <v/>
      </c>
      <c r="H219" s="8" t="str">
        <f aca="false">""</f>
        <v/>
      </c>
      <c r="I219" s="8" t="str">
        <f aca="false">IF(OR(NOT(ISNUMBER($G219)),NOT(ISNUMBER($H219))),"",$G219-$H219)</f>
        <v/>
      </c>
    </row>
    <row r="220" customFormat="false" ht="15" hidden="false" customHeight="false" outlineLevel="0" collapsed="false">
      <c r="A220" s="5" t="str">
        <f aca="false">IF(NOT(ISNUMBER(Macro_Series!$A220)),"",Macro_Series!$A220)</f>
        <v/>
      </c>
      <c r="B220" s="6" t="str">
        <f aca="false">IF(NOT(ISNUMBER(Macro_Series!$C220)),"",Macro_Series!$C220)</f>
        <v/>
      </c>
      <c r="C220" s="6" t="str">
        <f aca="false">IF(NOT(ISNUMBER(Macro_Series!$E220)),"",Macro_Series!$E220)</f>
        <v/>
      </c>
      <c r="D220" s="7" t="str">
        <f aca="false">IF(OR(NOT(ISNUMBER($B220)),NOT(ISNUMBER($C220)),$C220=0),"",$B220/$C220)</f>
        <v/>
      </c>
      <c r="E220" s="7" t="str">
        <f aca="false">IF(NOT(ISNUMBER(Macro_Series!$H220)),"",Macro_Series!$H220)</f>
        <v/>
      </c>
      <c r="F220" s="7" t="str">
        <f aca="false">IF(OR(NOT(ISNUMBER($D220)),NOT(ISNUMBER($E220)),$E220=0),"",$D220/$E220)</f>
        <v/>
      </c>
      <c r="G220" s="8" t="str">
        <f aca="false">""</f>
        <v/>
      </c>
      <c r="H220" s="8" t="str">
        <f aca="false">""</f>
        <v/>
      </c>
      <c r="I220" s="8" t="str">
        <f aca="false">IF(OR(NOT(ISNUMBER($G220)),NOT(ISNUMBER($H220))),"",$G220-$H220)</f>
        <v/>
      </c>
    </row>
    <row r="221" customFormat="false" ht="15" hidden="false" customHeight="false" outlineLevel="0" collapsed="false">
      <c r="A221" s="5" t="str">
        <f aca="false">IF(NOT(ISNUMBER(Macro_Series!$A221)),"",Macro_Series!$A221)</f>
        <v/>
      </c>
      <c r="B221" s="6" t="str">
        <f aca="false">IF(NOT(ISNUMBER(Macro_Series!$C221)),"",Macro_Series!$C221)</f>
        <v/>
      </c>
      <c r="C221" s="6" t="str">
        <f aca="false">IF(NOT(ISNUMBER(Macro_Series!$E221)),"",Macro_Series!$E221)</f>
        <v/>
      </c>
      <c r="D221" s="7" t="str">
        <f aca="false">IF(OR(NOT(ISNUMBER($B221)),NOT(ISNUMBER($C221)),$C221=0),"",$B221/$C221)</f>
        <v/>
      </c>
      <c r="E221" s="7" t="str">
        <f aca="false">IF(NOT(ISNUMBER(Macro_Series!$H221)),"",Macro_Series!$H221)</f>
        <v/>
      </c>
      <c r="F221" s="7" t="str">
        <f aca="false">IF(OR(NOT(ISNUMBER($D221)),NOT(ISNUMBER($E221)),$E221=0),"",$D221/$E221)</f>
        <v/>
      </c>
      <c r="G221" s="8" t="str">
        <f aca="false">""</f>
        <v/>
      </c>
      <c r="H221" s="8" t="str">
        <f aca="false">""</f>
        <v/>
      </c>
      <c r="I221" s="8" t="str">
        <f aca="false">IF(OR(NOT(ISNUMBER($G221)),NOT(ISNUMBER($H221))),"",$G221-$H221)</f>
        <v/>
      </c>
    </row>
    <row r="222" customFormat="false" ht="15" hidden="false" customHeight="false" outlineLevel="0" collapsed="false">
      <c r="A222" s="5" t="str">
        <f aca="false">IF(NOT(ISNUMBER(Macro_Series!$A222)),"",Macro_Series!$A222)</f>
        <v/>
      </c>
      <c r="B222" s="6" t="str">
        <f aca="false">IF(NOT(ISNUMBER(Macro_Series!$C222)),"",Macro_Series!$C222)</f>
        <v/>
      </c>
      <c r="C222" s="6" t="str">
        <f aca="false">IF(NOT(ISNUMBER(Macro_Series!$E222)),"",Macro_Series!$E222)</f>
        <v/>
      </c>
      <c r="D222" s="7" t="str">
        <f aca="false">IF(OR(NOT(ISNUMBER($B222)),NOT(ISNUMBER($C222)),$C222=0),"",$B222/$C222)</f>
        <v/>
      </c>
      <c r="E222" s="7" t="str">
        <f aca="false">IF(NOT(ISNUMBER(Macro_Series!$H222)),"",Macro_Series!$H222)</f>
        <v/>
      </c>
      <c r="F222" s="7" t="str">
        <f aca="false">IF(OR(NOT(ISNUMBER($D222)),NOT(ISNUMBER($E222)),$E222=0),"",$D222/$E222)</f>
        <v/>
      </c>
      <c r="G222" s="8" t="str">
        <f aca="false">""</f>
        <v/>
      </c>
      <c r="H222" s="8" t="str">
        <f aca="false">""</f>
        <v/>
      </c>
      <c r="I222" s="8" t="str">
        <f aca="false">IF(OR(NOT(ISNUMBER($G222)),NOT(ISNUMBER($H222))),"",$G222-$H222)</f>
        <v/>
      </c>
    </row>
    <row r="223" customFormat="false" ht="15" hidden="false" customHeight="false" outlineLevel="0" collapsed="false">
      <c r="A223" s="5" t="str">
        <f aca="false">IF(NOT(ISNUMBER(Macro_Series!$A223)),"",Macro_Series!$A223)</f>
        <v/>
      </c>
      <c r="B223" s="6" t="str">
        <f aca="false">IF(NOT(ISNUMBER(Macro_Series!$C223)),"",Macro_Series!$C223)</f>
        <v/>
      </c>
      <c r="C223" s="6" t="str">
        <f aca="false">IF(NOT(ISNUMBER(Macro_Series!$E223)),"",Macro_Series!$E223)</f>
        <v/>
      </c>
      <c r="D223" s="7" t="str">
        <f aca="false">IF(OR(NOT(ISNUMBER($B223)),NOT(ISNUMBER($C223)),$C223=0),"",$B223/$C223)</f>
        <v/>
      </c>
      <c r="E223" s="7" t="str">
        <f aca="false">IF(NOT(ISNUMBER(Macro_Series!$H223)),"",Macro_Series!$H223)</f>
        <v/>
      </c>
      <c r="F223" s="7" t="str">
        <f aca="false">IF(OR(NOT(ISNUMBER($D223)),NOT(ISNUMBER($E223)),$E223=0),"",$D223/$E223)</f>
        <v/>
      </c>
      <c r="G223" s="8" t="str">
        <f aca="false">""</f>
        <v/>
      </c>
      <c r="H223" s="8" t="str">
        <f aca="false">""</f>
        <v/>
      </c>
      <c r="I223" s="8" t="str">
        <f aca="false">IF(OR(NOT(ISNUMBER($G223)),NOT(ISNUMBER($H223))),"",$G223-$H223)</f>
        <v/>
      </c>
    </row>
    <row r="224" customFormat="false" ht="15" hidden="false" customHeight="false" outlineLevel="0" collapsed="false">
      <c r="A224" s="5" t="str">
        <f aca="false">IF(NOT(ISNUMBER(Macro_Series!$A224)),"",Macro_Series!$A224)</f>
        <v/>
      </c>
      <c r="B224" s="6" t="str">
        <f aca="false">IF(NOT(ISNUMBER(Macro_Series!$C224)),"",Macro_Series!$C224)</f>
        <v/>
      </c>
      <c r="C224" s="6" t="str">
        <f aca="false">IF(NOT(ISNUMBER(Macro_Series!$E224)),"",Macro_Series!$E224)</f>
        <v/>
      </c>
      <c r="D224" s="7" t="str">
        <f aca="false">IF(OR(NOT(ISNUMBER($B224)),NOT(ISNUMBER($C224)),$C224=0),"",$B224/$C224)</f>
        <v/>
      </c>
      <c r="E224" s="7" t="str">
        <f aca="false">IF(NOT(ISNUMBER(Macro_Series!$H224)),"",Macro_Series!$H224)</f>
        <v/>
      </c>
      <c r="F224" s="7" t="str">
        <f aca="false">IF(OR(NOT(ISNUMBER($D224)),NOT(ISNUMBER($E224)),$E224=0),"",$D224/$E224)</f>
        <v/>
      </c>
      <c r="G224" s="8" t="str">
        <f aca="false">""</f>
        <v/>
      </c>
      <c r="H224" s="8" t="str">
        <f aca="false">""</f>
        <v/>
      </c>
      <c r="I224" s="8" t="str">
        <f aca="false">IF(OR(NOT(ISNUMBER($G224)),NOT(ISNUMBER($H224))),"",$G224-$H224)</f>
        <v/>
      </c>
    </row>
    <row r="225" customFormat="false" ht="15" hidden="false" customHeight="false" outlineLevel="0" collapsed="false">
      <c r="A225" s="5" t="str">
        <f aca="false">IF(NOT(ISNUMBER(Macro_Series!$A225)),"",Macro_Series!$A225)</f>
        <v/>
      </c>
      <c r="B225" s="6" t="str">
        <f aca="false">IF(NOT(ISNUMBER(Macro_Series!$C225)),"",Macro_Series!$C225)</f>
        <v/>
      </c>
      <c r="C225" s="6" t="str">
        <f aca="false">IF(NOT(ISNUMBER(Macro_Series!$E225)),"",Macro_Series!$E225)</f>
        <v/>
      </c>
      <c r="D225" s="7" t="str">
        <f aca="false">IF(OR(NOT(ISNUMBER($B225)),NOT(ISNUMBER($C225)),$C225=0),"",$B225/$C225)</f>
        <v/>
      </c>
      <c r="E225" s="7" t="str">
        <f aca="false">IF(NOT(ISNUMBER(Macro_Series!$H225)),"",Macro_Series!$H225)</f>
        <v/>
      </c>
      <c r="F225" s="7" t="str">
        <f aca="false">IF(OR(NOT(ISNUMBER($D225)),NOT(ISNUMBER($E225)),$E225=0),"",$D225/$E225)</f>
        <v/>
      </c>
      <c r="G225" s="8" t="str">
        <f aca="false">""</f>
        <v/>
      </c>
      <c r="H225" s="8" t="str">
        <f aca="false">""</f>
        <v/>
      </c>
      <c r="I225" s="8" t="str">
        <f aca="false">IF(OR(NOT(ISNUMBER($G225)),NOT(ISNUMBER($H225))),"",$G225-$H225)</f>
        <v/>
      </c>
    </row>
    <row r="226" customFormat="false" ht="15" hidden="false" customHeight="false" outlineLevel="0" collapsed="false">
      <c r="A226" s="5" t="str">
        <f aca="false">IF(NOT(ISNUMBER(Macro_Series!$A226)),"",Macro_Series!$A226)</f>
        <v/>
      </c>
      <c r="B226" s="6" t="str">
        <f aca="false">IF(NOT(ISNUMBER(Macro_Series!$C226)),"",Macro_Series!$C226)</f>
        <v/>
      </c>
      <c r="C226" s="6" t="str">
        <f aca="false">IF(NOT(ISNUMBER(Macro_Series!$E226)),"",Macro_Series!$E226)</f>
        <v/>
      </c>
      <c r="D226" s="7" t="str">
        <f aca="false">IF(OR(NOT(ISNUMBER($B226)),NOT(ISNUMBER($C226)),$C226=0),"",$B226/$C226)</f>
        <v/>
      </c>
      <c r="E226" s="7" t="str">
        <f aca="false">IF(NOT(ISNUMBER(Macro_Series!$H226)),"",Macro_Series!$H226)</f>
        <v/>
      </c>
      <c r="F226" s="7" t="str">
        <f aca="false">IF(OR(NOT(ISNUMBER($D226)),NOT(ISNUMBER($E226)),$E226=0),"",$D226/$E226)</f>
        <v/>
      </c>
      <c r="G226" s="8" t="str">
        <f aca="false">""</f>
        <v/>
      </c>
      <c r="H226" s="8" t="str">
        <f aca="false">""</f>
        <v/>
      </c>
      <c r="I226" s="8" t="str">
        <f aca="false">IF(OR(NOT(ISNUMBER($G226)),NOT(ISNUMBER($H226))),"",$G226-$H226)</f>
        <v/>
      </c>
    </row>
    <row r="227" customFormat="false" ht="15" hidden="false" customHeight="false" outlineLevel="0" collapsed="false">
      <c r="A227" s="5" t="str">
        <f aca="false">IF(NOT(ISNUMBER(Macro_Series!$A227)),"",Macro_Series!$A227)</f>
        <v/>
      </c>
      <c r="B227" s="6" t="str">
        <f aca="false">IF(NOT(ISNUMBER(Macro_Series!$C227)),"",Macro_Series!$C227)</f>
        <v/>
      </c>
      <c r="C227" s="6" t="str">
        <f aca="false">IF(NOT(ISNUMBER(Macro_Series!$E227)),"",Macro_Series!$E227)</f>
        <v/>
      </c>
      <c r="D227" s="7" t="str">
        <f aca="false">IF(OR(NOT(ISNUMBER($B227)),NOT(ISNUMBER($C227)),$C227=0),"",$B227/$C227)</f>
        <v/>
      </c>
      <c r="E227" s="7" t="str">
        <f aca="false">IF(NOT(ISNUMBER(Macro_Series!$H227)),"",Macro_Series!$H227)</f>
        <v/>
      </c>
      <c r="F227" s="7" t="str">
        <f aca="false">IF(OR(NOT(ISNUMBER($D227)),NOT(ISNUMBER($E227)),$E227=0),"",$D227/$E227)</f>
        <v/>
      </c>
      <c r="G227" s="8" t="str">
        <f aca="false">""</f>
        <v/>
      </c>
      <c r="H227" s="8" t="str">
        <f aca="false">""</f>
        <v/>
      </c>
      <c r="I227" s="8" t="str">
        <f aca="false">IF(OR(NOT(ISNUMBER($G227)),NOT(ISNUMBER($H227))),"",$G227-$H227)</f>
        <v/>
      </c>
    </row>
    <row r="228" customFormat="false" ht="15" hidden="false" customHeight="false" outlineLevel="0" collapsed="false">
      <c r="A228" s="5" t="str">
        <f aca="false">IF(NOT(ISNUMBER(Macro_Series!$A228)),"",Macro_Series!$A228)</f>
        <v/>
      </c>
      <c r="B228" s="6" t="str">
        <f aca="false">IF(NOT(ISNUMBER(Macro_Series!$C228)),"",Macro_Series!$C228)</f>
        <v/>
      </c>
      <c r="C228" s="6" t="str">
        <f aca="false">IF(NOT(ISNUMBER(Macro_Series!$E228)),"",Macro_Series!$E228)</f>
        <v/>
      </c>
      <c r="D228" s="7" t="str">
        <f aca="false">IF(OR(NOT(ISNUMBER($B228)),NOT(ISNUMBER($C228)),$C228=0),"",$B228/$C228)</f>
        <v/>
      </c>
      <c r="E228" s="7" t="str">
        <f aca="false">IF(NOT(ISNUMBER(Macro_Series!$H228)),"",Macro_Series!$H228)</f>
        <v/>
      </c>
      <c r="F228" s="7" t="str">
        <f aca="false">IF(OR(NOT(ISNUMBER($D228)),NOT(ISNUMBER($E228)),$E228=0),"",$D228/$E228)</f>
        <v/>
      </c>
      <c r="G228" s="8" t="str">
        <f aca="false">""</f>
        <v/>
      </c>
      <c r="H228" s="8" t="str">
        <f aca="false">""</f>
        <v/>
      </c>
      <c r="I228" s="8" t="str">
        <f aca="false">IF(OR(NOT(ISNUMBER($G228)),NOT(ISNUMBER($H228))),"",$G228-$H228)</f>
        <v/>
      </c>
    </row>
    <row r="229" customFormat="false" ht="15" hidden="false" customHeight="false" outlineLevel="0" collapsed="false">
      <c r="A229" s="5" t="str">
        <f aca="false">IF(NOT(ISNUMBER(Macro_Series!$A229)),"",Macro_Series!$A229)</f>
        <v/>
      </c>
      <c r="B229" s="6" t="str">
        <f aca="false">IF(NOT(ISNUMBER(Macro_Series!$C229)),"",Macro_Series!$C229)</f>
        <v/>
      </c>
      <c r="C229" s="6" t="str">
        <f aca="false">IF(NOT(ISNUMBER(Macro_Series!$E229)),"",Macro_Series!$E229)</f>
        <v/>
      </c>
      <c r="D229" s="7" t="str">
        <f aca="false">IF(OR(NOT(ISNUMBER($B229)),NOT(ISNUMBER($C229)),$C229=0),"",$B229/$C229)</f>
        <v/>
      </c>
      <c r="E229" s="7" t="str">
        <f aca="false">IF(NOT(ISNUMBER(Macro_Series!$H229)),"",Macro_Series!$H229)</f>
        <v/>
      </c>
      <c r="F229" s="7" t="str">
        <f aca="false">IF(OR(NOT(ISNUMBER($D229)),NOT(ISNUMBER($E229)),$E229=0),"",$D229/$E229)</f>
        <v/>
      </c>
      <c r="G229" s="8" t="str">
        <f aca="false">""</f>
        <v/>
      </c>
      <c r="H229" s="8" t="str">
        <f aca="false">""</f>
        <v/>
      </c>
      <c r="I229" s="8" t="str">
        <f aca="false">IF(OR(NOT(ISNUMBER($G229)),NOT(ISNUMBER($H229))),"",$G229-$H229)</f>
        <v/>
      </c>
    </row>
    <row r="230" customFormat="false" ht="15" hidden="false" customHeight="false" outlineLevel="0" collapsed="false">
      <c r="A230" s="5" t="str">
        <f aca="false">IF(NOT(ISNUMBER(Macro_Series!$A230)),"",Macro_Series!$A230)</f>
        <v/>
      </c>
      <c r="B230" s="6" t="str">
        <f aca="false">IF(NOT(ISNUMBER(Macro_Series!$C230)),"",Macro_Series!$C230)</f>
        <v/>
      </c>
      <c r="C230" s="6" t="str">
        <f aca="false">IF(NOT(ISNUMBER(Macro_Series!$E230)),"",Macro_Series!$E230)</f>
        <v/>
      </c>
      <c r="D230" s="7" t="str">
        <f aca="false">IF(OR(NOT(ISNUMBER($B230)),NOT(ISNUMBER($C230)),$C230=0),"",$B230/$C230)</f>
        <v/>
      </c>
      <c r="E230" s="7" t="str">
        <f aca="false">IF(NOT(ISNUMBER(Macro_Series!$H230)),"",Macro_Series!$H230)</f>
        <v/>
      </c>
      <c r="F230" s="7" t="str">
        <f aca="false">IF(OR(NOT(ISNUMBER($D230)),NOT(ISNUMBER($E230)),$E230=0),"",$D230/$E230)</f>
        <v/>
      </c>
      <c r="G230" s="8" t="str">
        <f aca="false">""</f>
        <v/>
      </c>
      <c r="H230" s="8" t="str">
        <f aca="false">""</f>
        <v/>
      </c>
      <c r="I230" s="8" t="str">
        <f aca="false">IF(OR(NOT(ISNUMBER($G230)),NOT(ISNUMBER($H230))),"",$G230-$H230)</f>
        <v/>
      </c>
    </row>
    <row r="231" customFormat="false" ht="15" hidden="false" customHeight="false" outlineLevel="0" collapsed="false">
      <c r="A231" s="5" t="str">
        <f aca="false">IF(NOT(ISNUMBER(Macro_Series!$A231)),"",Macro_Series!$A231)</f>
        <v/>
      </c>
      <c r="B231" s="6" t="str">
        <f aca="false">IF(NOT(ISNUMBER(Macro_Series!$C231)),"",Macro_Series!$C231)</f>
        <v/>
      </c>
      <c r="C231" s="6" t="str">
        <f aca="false">IF(NOT(ISNUMBER(Macro_Series!$E231)),"",Macro_Series!$E231)</f>
        <v/>
      </c>
      <c r="D231" s="7" t="str">
        <f aca="false">IF(OR(NOT(ISNUMBER($B231)),NOT(ISNUMBER($C231)),$C231=0),"",$B231/$C231)</f>
        <v/>
      </c>
      <c r="E231" s="7" t="str">
        <f aca="false">IF(NOT(ISNUMBER(Macro_Series!$H231)),"",Macro_Series!$H231)</f>
        <v/>
      </c>
      <c r="F231" s="7" t="str">
        <f aca="false">IF(OR(NOT(ISNUMBER($D231)),NOT(ISNUMBER($E231)),$E231=0),"",$D231/$E231)</f>
        <v/>
      </c>
      <c r="G231" s="8" t="str">
        <f aca="false">""</f>
        <v/>
      </c>
      <c r="H231" s="8" t="str">
        <f aca="false">""</f>
        <v/>
      </c>
      <c r="I231" s="8" t="str">
        <f aca="false">IF(OR(NOT(ISNUMBER($G231)),NOT(ISNUMBER($H231))),"",$G231-$H231)</f>
        <v/>
      </c>
    </row>
    <row r="232" customFormat="false" ht="15" hidden="false" customHeight="false" outlineLevel="0" collapsed="false">
      <c r="A232" s="5" t="str">
        <f aca="false">IF(NOT(ISNUMBER(Macro_Series!$A232)),"",Macro_Series!$A232)</f>
        <v/>
      </c>
      <c r="B232" s="6" t="str">
        <f aca="false">IF(NOT(ISNUMBER(Macro_Series!$C232)),"",Macro_Series!$C232)</f>
        <v/>
      </c>
      <c r="C232" s="6" t="str">
        <f aca="false">IF(NOT(ISNUMBER(Macro_Series!$E232)),"",Macro_Series!$E232)</f>
        <v/>
      </c>
      <c r="D232" s="7" t="str">
        <f aca="false">IF(OR(NOT(ISNUMBER($B232)),NOT(ISNUMBER($C232)),$C232=0),"",$B232/$C232)</f>
        <v/>
      </c>
      <c r="E232" s="7" t="str">
        <f aca="false">IF(NOT(ISNUMBER(Macro_Series!$H232)),"",Macro_Series!$H232)</f>
        <v/>
      </c>
      <c r="F232" s="7" t="str">
        <f aca="false">IF(OR(NOT(ISNUMBER($D232)),NOT(ISNUMBER($E232)),$E232=0),"",$D232/$E232)</f>
        <v/>
      </c>
      <c r="G232" s="8" t="str">
        <f aca="false">""</f>
        <v/>
      </c>
      <c r="H232" s="8" t="str">
        <f aca="false">""</f>
        <v/>
      </c>
      <c r="I232" s="8" t="str">
        <f aca="false">IF(OR(NOT(ISNUMBER($G232)),NOT(ISNUMBER($H232))),"",$G232-$H232)</f>
        <v/>
      </c>
    </row>
    <row r="233" customFormat="false" ht="15" hidden="false" customHeight="false" outlineLevel="0" collapsed="false">
      <c r="A233" s="5" t="str">
        <f aca="false">IF(NOT(ISNUMBER(Macro_Series!$A233)),"",Macro_Series!$A233)</f>
        <v/>
      </c>
      <c r="B233" s="6" t="str">
        <f aca="false">IF(NOT(ISNUMBER(Macro_Series!$C233)),"",Macro_Series!$C233)</f>
        <v/>
      </c>
      <c r="C233" s="6" t="str">
        <f aca="false">IF(NOT(ISNUMBER(Macro_Series!$E233)),"",Macro_Series!$E233)</f>
        <v/>
      </c>
      <c r="D233" s="7" t="str">
        <f aca="false">IF(OR(NOT(ISNUMBER($B233)),NOT(ISNUMBER($C233)),$C233=0),"",$B233/$C233)</f>
        <v/>
      </c>
      <c r="E233" s="7" t="str">
        <f aca="false">IF(NOT(ISNUMBER(Macro_Series!$H233)),"",Macro_Series!$H233)</f>
        <v/>
      </c>
      <c r="F233" s="7" t="str">
        <f aca="false">IF(OR(NOT(ISNUMBER($D233)),NOT(ISNUMBER($E233)),$E233=0),"",$D233/$E233)</f>
        <v/>
      </c>
      <c r="G233" s="8" t="str">
        <f aca="false">""</f>
        <v/>
      </c>
      <c r="H233" s="8" t="str">
        <f aca="false">""</f>
        <v/>
      </c>
      <c r="I233" s="8" t="str">
        <f aca="false">IF(OR(NOT(ISNUMBER($G233)),NOT(ISNUMBER($H233))),"",$G233-$H233)</f>
        <v/>
      </c>
    </row>
    <row r="234" customFormat="false" ht="15" hidden="false" customHeight="false" outlineLevel="0" collapsed="false">
      <c r="A234" s="5" t="str">
        <f aca="false">IF(NOT(ISNUMBER(Macro_Series!$A234)),"",Macro_Series!$A234)</f>
        <v/>
      </c>
      <c r="B234" s="6" t="str">
        <f aca="false">IF(NOT(ISNUMBER(Macro_Series!$C234)),"",Macro_Series!$C234)</f>
        <v/>
      </c>
      <c r="C234" s="6" t="str">
        <f aca="false">IF(NOT(ISNUMBER(Macro_Series!$E234)),"",Macro_Series!$E234)</f>
        <v/>
      </c>
      <c r="D234" s="7" t="str">
        <f aca="false">IF(OR(NOT(ISNUMBER($B234)),NOT(ISNUMBER($C234)),$C234=0),"",$B234/$C234)</f>
        <v/>
      </c>
      <c r="E234" s="7" t="str">
        <f aca="false">IF(NOT(ISNUMBER(Macro_Series!$H234)),"",Macro_Series!$H234)</f>
        <v/>
      </c>
      <c r="F234" s="7" t="str">
        <f aca="false">IF(OR(NOT(ISNUMBER($D234)),NOT(ISNUMBER($E234)),$E234=0),"",$D234/$E234)</f>
        <v/>
      </c>
      <c r="G234" s="8" t="str">
        <f aca="false">""</f>
        <v/>
      </c>
      <c r="H234" s="8" t="str">
        <f aca="false">""</f>
        <v/>
      </c>
      <c r="I234" s="8" t="str">
        <f aca="false">IF(OR(NOT(ISNUMBER($G234)),NOT(ISNUMBER($H234))),"",$G234-$H234)</f>
        <v/>
      </c>
    </row>
    <row r="235" customFormat="false" ht="15" hidden="false" customHeight="false" outlineLevel="0" collapsed="false">
      <c r="A235" s="5" t="str">
        <f aca="false">IF(NOT(ISNUMBER(Macro_Series!$A235)),"",Macro_Series!$A235)</f>
        <v/>
      </c>
      <c r="B235" s="6" t="str">
        <f aca="false">IF(NOT(ISNUMBER(Macro_Series!$C235)),"",Macro_Series!$C235)</f>
        <v/>
      </c>
      <c r="C235" s="6" t="str">
        <f aca="false">IF(NOT(ISNUMBER(Macro_Series!$E235)),"",Macro_Series!$E235)</f>
        <v/>
      </c>
      <c r="D235" s="7" t="str">
        <f aca="false">IF(OR(NOT(ISNUMBER($B235)),NOT(ISNUMBER($C235)),$C235=0),"",$B235/$C235)</f>
        <v/>
      </c>
      <c r="E235" s="7" t="str">
        <f aca="false">IF(NOT(ISNUMBER(Macro_Series!$H235)),"",Macro_Series!$H235)</f>
        <v/>
      </c>
      <c r="F235" s="7" t="str">
        <f aca="false">IF(OR(NOT(ISNUMBER($D235)),NOT(ISNUMBER($E235)),$E235=0),"",$D235/$E235)</f>
        <v/>
      </c>
      <c r="G235" s="8" t="str">
        <f aca="false">""</f>
        <v/>
      </c>
      <c r="H235" s="8" t="str">
        <f aca="false">""</f>
        <v/>
      </c>
      <c r="I235" s="8" t="str">
        <f aca="false">IF(OR(NOT(ISNUMBER($G235)),NOT(ISNUMBER($H235))),"",$G235-$H235)</f>
        <v/>
      </c>
    </row>
    <row r="236" customFormat="false" ht="15" hidden="false" customHeight="false" outlineLevel="0" collapsed="false">
      <c r="A236" s="5" t="str">
        <f aca="false">IF(NOT(ISNUMBER(Macro_Series!$A236)),"",Macro_Series!$A236)</f>
        <v/>
      </c>
      <c r="B236" s="6" t="str">
        <f aca="false">IF(NOT(ISNUMBER(Macro_Series!$C236)),"",Macro_Series!$C236)</f>
        <v/>
      </c>
      <c r="C236" s="6" t="str">
        <f aca="false">IF(NOT(ISNUMBER(Macro_Series!$E236)),"",Macro_Series!$E236)</f>
        <v/>
      </c>
      <c r="D236" s="7" t="str">
        <f aca="false">IF(OR(NOT(ISNUMBER($B236)),NOT(ISNUMBER($C236)),$C236=0),"",$B236/$C236)</f>
        <v/>
      </c>
      <c r="E236" s="7" t="str">
        <f aca="false">IF(NOT(ISNUMBER(Macro_Series!$H236)),"",Macro_Series!$H236)</f>
        <v/>
      </c>
      <c r="F236" s="7" t="str">
        <f aca="false">IF(OR(NOT(ISNUMBER($D236)),NOT(ISNUMBER($E236)),$E236=0),"",$D236/$E236)</f>
        <v/>
      </c>
      <c r="G236" s="8" t="str">
        <f aca="false">""</f>
        <v/>
      </c>
      <c r="H236" s="8" t="str">
        <f aca="false">""</f>
        <v/>
      </c>
      <c r="I236" s="8" t="str">
        <f aca="false">IF(OR(NOT(ISNUMBER($G236)),NOT(ISNUMBER($H236))),"",$G236-$H236)</f>
        <v/>
      </c>
    </row>
    <row r="237" customFormat="false" ht="15" hidden="false" customHeight="false" outlineLevel="0" collapsed="false">
      <c r="A237" s="5" t="str">
        <f aca="false">IF(NOT(ISNUMBER(Macro_Series!$A237)),"",Macro_Series!$A237)</f>
        <v/>
      </c>
      <c r="B237" s="6" t="str">
        <f aca="false">IF(NOT(ISNUMBER(Macro_Series!$C237)),"",Macro_Series!$C237)</f>
        <v/>
      </c>
      <c r="C237" s="6" t="str">
        <f aca="false">IF(NOT(ISNUMBER(Macro_Series!$E237)),"",Macro_Series!$E237)</f>
        <v/>
      </c>
      <c r="D237" s="7" t="str">
        <f aca="false">IF(OR(NOT(ISNUMBER($B237)),NOT(ISNUMBER($C237)),$C237=0),"",$B237/$C237)</f>
        <v/>
      </c>
      <c r="E237" s="7" t="str">
        <f aca="false">IF(NOT(ISNUMBER(Macro_Series!$H237)),"",Macro_Series!$H237)</f>
        <v/>
      </c>
      <c r="F237" s="7" t="str">
        <f aca="false">IF(OR(NOT(ISNUMBER($D237)),NOT(ISNUMBER($E237)),$E237=0),"",$D237/$E237)</f>
        <v/>
      </c>
      <c r="G237" s="8" t="str">
        <f aca="false">""</f>
        <v/>
      </c>
      <c r="H237" s="8" t="str">
        <f aca="false">""</f>
        <v/>
      </c>
      <c r="I237" s="8" t="str">
        <f aca="false">IF(OR(NOT(ISNUMBER($G237)),NOT(ISNUMBER($H237))),"",$G237-$H237)</f>
        <v/>
      </c>
    </row>
    <row r="238" customFormat="false" ht="15" hidden="false" customHeight="false" outlineLevel="0" collapsed="false">
      <c r="A238" s="5" t="str">
        <f aca="false">IF(NOT(ISNUMBER(Macro_Series!$A238)),"",Macro_Series!$A238)</f>
        <v/>
      </c>
      <c r="B238" s="6" t="str">
        <f aca="false">IF(NOT(ISNUMBER(Macro_Series!$C238)),"",Macro_Series!$C238)</f>
        <v/>
      </c>
      <c r="C238" s="6" t="str">
        <f aca="false">IF(NOT(ISNUMBER(Macro_Series!$E238)),"",Macro_Series!$E238)</f>
        <v/>
      </c>
      <c r="D238" s="7" t="str">
        <f aca="false">IF(OR(NOT(ISNUMBER($B238)),NOT(ISNUMBER($C238)),$C238=0),"",$B238/$C238)</f>
        <v/>
      </c>
      <c r="E238" s="7" t="str">
        <f aca="false">IF(NOT(ISNUMBER(Macro_Series!$H238)),"",Macro_Series!$H238)</f>
        <v/>
      </c>
      <c r="F238" s="7" t="str">
        <f aca="false">IF(OR(NOT(ISNUMBER($D238)),NOT(ISNUMBER($E238)),$E238=0),"",$D238/$E238)</f>
        <v/>
      </c>
      <c r="G238" s="8" t="str">
        <f aca="false">""</f>
        <v/>
      </c>
      <c r="H238" s="8" t="str">
        <f aca="false">""</f>
        <v/>
      </c>
      <c r="I238" s="8" t="str">
        <f aca="false">IF(OR(NOT(ISNUMBER($G238)),NOT(ISNUMBER($H238))),"",$G238-$H238)</f>
        <v/>
      </c>
    </row>
    <row r="239" customFormat="false" ht="15" hidden="false" customHeight="false" outlineLevel="0" collapsed="false">
      <c r="A239" s="5" t="str">
        <f aca="false">IF(NOT(ISNUMBER(Macro_Series!$A239)),"",Macro_Series!$A239)</f>
        <v/>
      </c>
      <c r="B239" s="6" t="str">
        <f aca="false">IF(NOT(ISNUMBER(Macro_Series!$C239)),"",Macro_Series!$C239)</f>
        <v/>
      </c>
      <c r="C239" s="6" t="str">
        <f aca="false">IF(NOT(ISNUMBER(Macro_Series!$E239)),"",Macro_Series!$E239)</f>
        <v/>
      </c>
      <c r="D239" s="7" t="str">
        <f aca="false">IF(OR(NOT(ISNUMBER($B239)),NOT(ISNUMBER($C239)),$C239=0),"",$B239/$C239)</f>
        <v/>
      </c>
      <c r="E239" s="7" t="str">
        <f aca="false">IF(NOT(ISNUMBER(Macro_Series!$H239)),"",Macro_Series!$H239)</f>
        <v/>
      </c>
      <c r="F239" s="7" t="str">
        <f aca="false">IF(OR(NOT(ISNUMBER($D239)),NOT(ISNUMBER($E239)),$E239=0),"",$D239/$E239)</f>
        <v/>
      </c>
      <c r="G239" s="8" t="str">
        <f aca="false">""</f>
        <v/>
      </c>
      <c r="H239" s="8" t="str">
        <f aca="false">""</f>
        <v/>
      </c>
      <c r="I239" s="8" t="str">
        <f aca="false">IF(OR(NOT(ISNUMBER($G239)),NOT(ISNUMBER($H239))),"",$G239-$H239)</f>
        <v/>
      </c>
    </row>
    <row r="240" customFormat="false" ht="15" hidden="false" customHeight="false" outlineLevel="0" collapsed="false">
      <c r="A240" s="5" t="str">
        <f aca="false">IF(NOT(ISNUMBER(Macro_Series!$A240)),"",Macro_Series!$A240)</f>
        <v/>
      </c>
      <c r="B240" s="6" t="str">
        <f aca="false">IF(NOT(ISNUMBER(Macro_Series!$C240)),"",Macro_Series!$C240)</f>
        <v/>
      </c>
      <c r="C240" s="6" t="str">
        <f aca="false">IF(NOT(ISNUMBER(Macro_Series!$E240)),"",Macro_Series!$E240)</f>
        <v/>
      </c>
      <c r="D240" s="7" t="str">
        <f aca="false">IF(OR(NOT(ISNUMBER($B240)),NOT(ISNUMBER($C240)),$C240=0),"",$B240/$C240)</f>
        <v/>
      </c>
      <c r="E240" s="7" t="str">
        <f aca="false">IF(NOT(ISNUMBER(Macro_Series!$H240)),"",Macro_Series!$H240)</f>
        <v/>
      </c>
      <c r="F240" s="7" t="str">
        <f aca="false">IF(OR(NOT(ISNUMBER($D240)),NOT(ISNUMBER($E240)),$E240=0),"",$D240/$E240)</f>
        <v/>
      </c>
      <c r="G240" s="8" t="str">
        <f aca="false">""</f>
        <v/>
      </c>
      <c r="H240" s="8" t="str">
        <f aca="false">""</f>
        <v/>
      </c>
      <c r="I240" s="8" t="str">
        <f aca="false">IF(OR(NOT(ISNUMBER($G240)),NOT(ISNUMBER($H240))),"",$G240-$H240)</f>
        <v/>
      </c>
    </row>
    <row r="241" customFormat="false" ht="15" hidden="false" customHeight="false" outlineLevel="0" collapsed="false">
      <c r="A241" s="5" t="str">
        <f aca="false">IF(NOT(ISNUMBER(Macro_Series!$A241)),"",Macro_Series!$A241)</f>
        <v/>
      </c>
      <c r="B241" s="6" t="str">
        <f aca="false">IF(NOT(ISNUMBER(Macro_Series!$C241)),"",Macro_Series!$C241)</f>
        <v/>
      </c>
      <c r="C241" s="6" t="str">
        <f aca="false">IF(NOT(ISNUMBER(Macro_Series!$E241)),"",Macro_Series!$E241)</f>
        <v/>
      </c>
      <c r="D241" s="7" t="str">
        <f aca="false">IF(OR(NOT(ISNUMBER($B241)),NOT(ISNUMBER($C241)),$C241=0),"",$B241/$C241)</f>
        <v/>
      </c>
      <c r="E241" s="7" t="str">
        <f aca="false">IF(NOT(ISNUMBER(Macro_Series!$H241)),"",Macro_Series!$H241)</f>
        <v/>
      </c>
      <c r="F241" s="7" t="str">
        <f aca="false">IF(OR(NOT(ISNUMBER($D241)),NOT(ISNUMBER($E241)),$E241=0),"",$D241/$E241)</f>
        <v/>
      </c>
      <c r="G241" s="8" t="str">
        <f aca="false">""</f>
        <v/>
      </c>
      <c r="H241" s="8" t="str">
        <f aca="false">""</f>
        <v/>
      </c>
      <c r="I241" s="8" t="str">
        <f aca="false">IF(OR(NOT(ISNUMBER($G241)),NOT(ISNUMBER($H241))),"",$G241-$H241)</f>
        <v/>
      </c>
    </row>
    <row r="242" customFormat="false" ht="15" hidden="false" customHeight="false" outlineLevel="0" collapsed="false">
      <c r="A242" s="5" t="str">
        <f aca="false">IF(NOT(ISNUMBER(Macro_Series!$A242)),"",Macro_Series!$A242)</f>
        <v/>
      </c>
      <c r="B242" s="6" t="str">
        <f aca="false">IF(NOT(ISNUMBER(Macro_Series!$C242)),"",Macro_Series!$C242)</f>
        <v/>
      </c>
      <c r="C242" s="6" t="str">
        <f aca="false">IF(NOT(ISNUMBER(Macro_Series!$E242)),"",Macro_Series!$E242)</f>
        <v/>
      </c>
      <c r="D242" s="7" t="str">
        <f aca="false">IF(OR(NOT(ISNUMBER($B242)),NOT(ISNUMBER($C242)),$C242=0),"",$B242/$C242)</f>
        <v/>
      </c>
      <c r="E242" s="7" t="str">
        <f aca="false">IF(NOT(ISNUMBER(Macro_Series!$H242)),"",Macro_Series!$H242)</f>
        <v/>
      </c>
      <c r="F242" s="7" t="str">
        <f aca="false">IF(OR(NOT(ISNUMBER($D242)),NOT(ISNUMBER($E242)),$E242=0),"",$D242/$E242)</f>
        <v/>
      </c>
      <c r="G242" s="8" t="str">
        <f aca="false">""</f>
        <v/>
      </c>
      <c r="H242" s="8" t="str">
        <f aca="false">""</f>
        <v/>
      </c>
      <c r="I242" s="8" t="str">
        <f aca="false">IF(OR(NOT(ISNUMBER($G242)),NOT(ISNUMBER($H242))),"",$G242-$H242)</f>
        <v/>
      </c>
    </row>
    <row r="243" customFormat="false" ht="15" hidden="false" customHeight="false" outlineLevel="0" collapsed="false">
      <c r="A243" s="5" t="str">
        <f aca="false">IF(NOT(ISNUMBER(Macro_Series!$A243)),"",Macro_Series!$A243)</f>
        <v/>
      </c>
      <c r="B243" s="6" t="str">
        <f aca="false">IF(NOT(ISNUMBER(Macro_Series!$C243)),"",Macro_Series!$C243)</f>
        <v/>
      </c>
      <c r="C243" s="6" t="str">
        <f aca="false">IF(NOT(ISNUMBER(Macro_Series!$E243)),"",Macro_Series!$E243)</f>
        <v/>
      </c>
      <c r="D243" s="7" t="str">
        <f aca="false">IF(OR(NOT(ISNUMBER($B243)),NOT(ISNUMBER($C243)),$C243=0),"",$B243/$C243)</f>
        <v/>
      </c>
      <c r="E243" s="7" t="str">
        <f aca="false">IF(NOT(ISNUMBER(Macro_Series!$H243)),"",Macro_Series!$H243)</f>
        <v/>
      </c>
      <c r="F243" s="7" t="str">
        <f aca="false">IF(OR(NOT(ISNUMBER($D243)),NOT(ISNUMBER($E243)),$E243=0),"",$D243/$E243)</f>
        <v/>
      </c>
      <c r="G243" s="8" t="str">
        <f aca="false">""</f>
        <v/>
      </c>
      <c r="H243" s="8" t="str">
        <f aca="false">""</f>
        <v/>
      </c>
      <c r="I243" s="8" t="str">
        <f aca="false">IF(OR(NOT(ISNUMBER($G243)),NOT(ISNUMBER($H243))),"",$G243-$H243)</f>
        <v/>
      </c>
    </row>
    <row r="244" customFormat="false" ht="15" hidden="false" customHeight="false" outlineLevel="0" collapsed="false">
      <c r="A244" s="5" t="str">
        <f aca="false">IF(NOT(ISNUMBER(Macro_Series!$A244)),"",Macro_Series!$A244)</f>
        <v/>
      </c>
      <c r="B244" s="6" t="str">
        <f aca="false">IF(NOT(ISNUMBER(Macro_Series!$C244)),"",Macro_Series!$C244)</f>
        <v/>
      </c>
      <c r="C244" s="6" t="str">
        <f aca="false">IF(NOT(ISNUMBER(Macro_Series!$E244)),"",Macro_Series!$E244)</f>
        <v/>
      </c>
      <c r="D244" s="7" t="str">
        <f aca="false">IF(OR(NOT(ISNUMBER($B244)),NOT(ISNUMBER($C244)),$C244=0),"",$B244/$C244)</f>
        <v/>
      </c>
      <c r="E244" s="7" t="str">
        <f aca="false">IF(NOT(ISNUMBER(Macro_Series!$H244)),"",Macro_Series!$H244)</f>
        <v/>
      </c>
      <c r="F244" s="7" t="str">
        <f aca="false">IF(OR(NOT(ISNUMBER($D244)),NOT(ISNUMBER($E244)),$E244=0),"",$D244/$E244)</f>
        <v/>
      </c>
      <c r="G244" s="8" t="str">
        <f aca="false">""</f>
        <v/>
      </c>
      <c r="H244" s="8" t="str">
        <f aca="false">""</f>
        <v/>
      </c>
      <c r="I244" s="8" t="str">
        <f aca="false">IF(OR(NOT(ISNUMBER($G244)),NOT(ISNUMBER($H244))),"",$G244-$H244)</f>
        <v/>
      </c>
    </row>
    <row r="245" customFormat="false" ht="15" hidden="false" customHeight="false" outlineLevel="0" collapsed="false">
      <c r="A245" s="5" t="str">
        <f aca="false">IF(NOT(ISNUMBER(Macro_Series!$A245)),"",Macro_Series!$A245)</f>
        <v/>
      </c>
      <c r="B245" s="6" t="str">
        <f aca="false">IF(NOT(ISNUMBER(Macro_Series!$C245)),"",Macro_Series!$C245)</f>
        <v/>
      </c>
      <c r="C245" s="6" t="str">
        <f aca="false">IF(NOT(ISNUMBER(Macro_Series!$E245)),"",Macro_Series!$E245)</f>
        <v/>
      </c>
      <c r="D245" s="7" t="str">
        <f aca="false">IF(OR(NOT(ISNUMBER($B245)),NOT(ISNUMBER($C245)),$C245=0),"",$B245/$C245)</f>
        <v/>
      </c>
      <c r="E245" s="7" t="str">
        <f aca="false">IF(NOT(ISNUMBER(Macro_Series!$H245)),"",Macro_Series!$H245)</f>
        <v/>
      </c>
      <c r="F245" s="7" t="str">
        <f aca="false">IF(OR(NOT(ISNUMBER($D245)),NOT(ISNUMBER($E245)),$E245=0),"",$D245/$E245)</f>
        <v/>
      </c>
      <c r="G245" s="8" t="str">
        <f aca="false">""</f>
        <v/>
      </c>
      <c r="H245" s="8" t="str">
        <f aca="false">""</f>
        <v/>
      </c>
      <c r="I245" s="8" t="str">
        <f aca="false">IF(OR(NOT(ISNUMBER($G245)),NOT(ISNUMBER($H245))),"",$G245-$H245)</f>
        <v/>
      </c>
    </row>
    <row r="246" customFormat="false" ht="15" hidden="false" customHeight="false" outlineLevel="0" collapsed="false">
      <c r="A246" s="5" t="str">
        <f aca="false">IF(NOT(ISNUMBER(Macro_Series!$A246)),"",Macro_Series!$A246)</f>
        <v/>
      </c>
      <c r="B246" s="6" t="str">
        <f aca="false">IF(NOT(ISNUMBER(Macro_Series!$C246)),"",Macro_Series!$C246)</f>
        <v/>
      </c>
      <c r="C246" s="6" t="str">
        <f aca="false">IF(NOT(ISNUMBER(Macro_Series!$E246)),"",Macro_Series!$E246)</f>
        <v/>
      </c>
      <c r="D246" s="7" t="str">
        <f aca="false">IF(OR(NOT(ISNUMBER($B246)),NOT(ISNUMBER($C246)),$C246=0),"",$B246/$C246)</f>
        <v/>
      </c>
      <c r="E246" s="7" t="str">
        <f aca="false">IF(NOT(ISNUMBER(Macro_Series!$H246)),"",Macro_Series!$H246)</f>
        <v/>
      </c>
      <c r="F246" s="7" t="str">
        <f aca="false">IF(OR(NOT(ISNUMBER($D246)),NOT(ISNUMBER($E246)),$E246=0),"",$D246/$E246)</f>
        <v/>
      </c>
      <c r="G246" s="8" t="str">
        <f aca="false">""</f>
        <v/>
      </c>
      <c r="H246" s="8" t="str">
        <f aca="false">""</f>
        <v/>
      </c>
      <c r="I246" s="8" t="str">
        <f aca="false">IF(OR(NOT(ISNUMBER($G246)),NOT(ISNUMBER($H246))),"",$G246-$H246)</f>
        <v/>
      </c>
    </row>
    <row r="247" customFormat="false" ht="15" hidden="false" customHeight="false" outlineLevel="0" collapsed="false">
      <c r="A247" s="5" t="str">
        <f aca="false">IF(NOT(ISNUMBER(Macro_Series!$A247)),"",Macro_Series!$A247)</f>
        <v/>
      </c>
      <c r="B247" s="6" t="str">
        <f aca="false">IF(NOT(ISNUMBER(Macro_Series!$C247)),"",Macro_Series!$C247)</f>
        <v/>
      </c>
      <c r="C247" s="6" t="str">
        <f aca="false">IF(NOT(ISNUMBER(Macro_Series!$E247)),"",Macro_Series!$E247)</f>
        <v/>
      </c>
      <c r="D247" s="7" t="str">
        <f aca="false">IF(OR(NOT(ISNUMBER($B247)),NOT(ISNUMBER($C247)),$C247=0),"",$B247/$C247)</f>
        <v/>
      </c>
      <c r="E247" s="7" t="str">
        <f aca="false">IF(NOT(ISNUMBER(Macro_Series!$H247)),"",Macro_Series!$H247)</f>
        <v/>
      </c>
      <c r="F247" s="7" t="str">
        <f aca="false">IF(OR(NOT(ISNUMBER($D247)),NOT(ISNUMBER($E247)),$E247=0),"",$D247/$E247)</f>
        <v/>
      </c>
      <c r="G247" s="8" t="str">
        <f aca="false">""</f>
        <v/>
      </c>
      <c r="H247" s="8" t="str">
        <f aca="false">""</f>
        <v/>
      </c>
      <c r="I247" s="8" t="str">
        <f aca="false">IF(OR(NOT(ISNUMBER($G247)),NOT(ISNUMBER($H247))),"",$G247-$H247)</f>
        <v/>
      </c>
    </row>
    <row r="248" customFormat="false" ht="15" hidden="false" customHeight="false" outlineLevel="0" collapsed="false">
      <c r="A248" s="5" t="str">
        <f aca="false">IF(NOT(ISNUMBER(Macro_Series!$A248)),"",Macro_Series!$A248)</f>
        <v/>
      </c>
      <c r="B248" s="6" t="str">
        <f aca="false">IF(NOT(ISNUMBER(Macro_Series!$C248)),"",Macro_Series!$C248)</f>
        <v/>
      </c>
      <c r="C248" s="6" t="str">
        <f aca="false">IF(NOT(ISNUMBER(Macro_Series!$E248)),"",Macro_Series!$E248)</f>
        <v/>
      </c>
      <c r="D248" s="7" t="str">
        <f aca="false">IF(OR(NOT(ISNUMBER($B248)),NOT(ISNUMBER($C248)),$C248=0),"",$B248/$C248)</f>
        <v/>
      </c>
      <c r="E248" s="7" t="str">
        <f aca="false">IF(NOT(ISNUMBER(Macro_Series!$H248)),"",Macro_Series!$H248)</f>
        <v/>
      </c>
      <c r="F248" s="7" t="str">
        <f aca="false">IF(OR(NOT(ISNUMBER($D248)),NOT(ISNUMBER($E248)),$E248=0),"",$D248/$E248)</f>
        <v/>
      </c>
      <c r="G248" s="8" t="str">
        <f aca="false">""</f>
        <v/>
      </c>
      <c r="H248" s="8" t="str">
        <f aca="false">""</f>
        <v/>
      </c>
      <c r="I248" s="8" t="str">
        <f aca="false">IF(OR(NOT(ISNUMBER($G248)),NOT(ISNUMBER($H248))),"",$G248-$H248)</f>
        <v/>
      </c>
    </row>
    <row r="249" customFormat="false" ht="15" hidden="false" customHeight="false" outlineLevel="0" collapsed="false">
      <c r="A249" s="5" t="str">
        <f aca="false">IF(NOT(ISNUMBER(Macro_Series!$A249)),"",Macro_Series!$A249)</f>
        <v/>
      </c>
      <c r="B249" s="6" t="str">
        <f aca="false">IF(NOT(ISNUMBER(Macro_Series!$C249)),"",Macro_Series!$C249)</f>
        <v/>
      </c>
      <c r="C249" s="6" t="str">
        <f aca="false">IF(NOT(ISNUMBER(Macro_Series!$E249)),"",Macro_Series!$E249)</f>
        <v/>
      </c>
      <c r="D249" s="7" t="str">
        <f aca="false">IF(OR(NOT(ISNUMBER($B249)),NOT(ISNUMBER($C249)),$C249=0),"",$B249/$C249)</f>
        <v/>
      </c>
      <c r="E249" s="7" t="str">
        <f aca="false">IF(NOT(ISNUMBER(Macro_Series!$H249)),"",Macro_Series!$H249)</f>
        <v/>
      </c>
      <c r="F249" s="7" t="str">
        <f aca="false">IF(OR(NOT(ISNUMBER($D249)),NOT(ISNUMBER($E249)),$E249=0),"",$D249/$E249)</f>
        <v/>
      </c>
      <c r="G249" s="8" t="str">
        <f aca="false">""</f>
        <v/>
      </c>
      <c r="H249" s="8" t="str">
        <f aca="false">""</f>
        <v/>
      </c>
      <c r="I249" s="8" t="str">
        <f aca="false">IF(OR(NOT(ISNUMBER($G249)),NOT(ISNUMBER($H249))),"",$G249-$H249)</f>
        <v/>
      </c>
    </row>
    <row r="250" customFormat="false" ht="15" hidden="false" customHeight="false" outlineLevel="0" collapsed="false">
      <c r="A250" s="5" t="str">
        <f aca="false">IF(NOT(ISNUMBER(Macro_Series!$A250)),"",Macro_Series!$A250)</f>
        <v/>
      </c>
      <c r="B250" s="6" t="str">
        <f aca="false">IF(NOT(ISNUMBER(Macro_Series!$C250)),"",Macro_Series!$C250)</f>
        <v/>
      </c>
      <c r="C250" s="6" t="str">
        <f aca="false">IF(NOT(ISNUMBER(Macro_Series!$E250)),"",Macro_Series!$E250)</f>
        <v/>
      </c>
      <c r="D250" s="7" t="str">
        <f aca="false">IF(OR(NOT(ISNUMBER($B250)),NOT(ISNUMBER($C250)),$C250=0),"",$B250/$C250)</f>
        <v/>
      </c>
      <c r="E250" s="7" t="str">
        <f aca="false">IF(NOT(ISNUMBER(Macro_Series!$H250)),"",Macro_Series!$H250)</f>
        <v/>
      </c>
      <c r="F250" s="7" t="str">
        <f aca="false">IF(OR(NOT(ISNUMBER($D250)),NOT(ISNUMBER($E250)),$E250=0),"",$D250/$E250)</f>
        <v/>
      </c>
      <c r="G250" s="8" t="str">
        <f aca="false">IF(OR(NOT(ISNUMBER($B250)),NOT(ISNUMBER($B5)),$B5=0),"",$B250/$B5-1)</f>
        <v/>
      </c>
      <c r="H250" s="8" t="str">
        <f aca="false">IF(OR(NOT(ISNUMBER($D250)),NOT(ISNUMBER($D5)),$D5=0),"",$D250/$D5-1)</f>
        <v/>
      </c>
      <c r="I250" s="8" t="str">
        <f aca="false">IF(OR(NOT(ISNUMBER($G250)),NOT(ISNUMBER($H250))),"",$G250-$H250)</f>
        <v/>
      </c>
    </row>
    <row r="251" customFormat="false" ht="15" hidden="false" customHeight="false" outlineLevel="0" collapsed="false">
      <c r="A251" s="5" t="str">
        <f aca="false">IF(NOT(ISNUMBER(Macro_Series!$A251)),"",Macro_Series!$A251)</f>
        <v/>
      </c>
      <c r="B251" s="6" t="str">
        <f aca="false">IF(NOT(ISNUMBER(Macro_Series!$C251)),"",Macro_Series!$C251)</f>
        <v/>
      </c>
      <c r="C251" s="6" t="str">
        <f aca="false">IF(NOT(ISNUMBER(Macro_Series!$E251)),"",Macro_Series!$E251)</f>
        <v/>
      </c>
      <c r="D251" s="7" t="str">
        <f aca="false">IF(OR(NOT(ISNUMBER($B251)),NOT(ISNUMBER($C251)),$C251=0),"",$B251/$C251)</f>
        <v/>
      </c>
      <c r="E251" s="7" t="str">
        <f aca="false">IF(NOT(ISNUMBER(Macro_Series!$H251)),"",Macro_Series!$H251)</f>
        <v/>
      </c>
      <c r="F251" s="7" t="str">
        <f aca="false">IF(OR(NOT(ISNUMBER($D251)),NOT(ISNUMBER($E251)),$E251=0),"",$D251/$E251)</f>
        <v/>
      </c>
      <c r="G251" s="8" t="str">
        <f aca="false">IF(OR(NOT(ISNUMBER($B251)),NOT(ISNUMBER($B6)),$B6=0),"",$B251/$B6-1)</f>
        <v/>
      </c>
      <c r="H251" s="8" t="str">
        <f aca="false">IF(OR(NOT(ISNUMBER($D251)),NOT(ISNUMBER($D6)),$D6=0),"",$D251/$D6-1)</f>
        <v/>
      </c>
      <c r="I251" s="8" t="str">
        <f aca="false">IF(OR(NOT(ISNUMBER($G251)),NOT(ISNUMBER($H251))),"",$G251-$H251)</f>
        <v/>
      </c>
    </row>
    <row r="252" customFormat="false" ht="15" hidden="false" customHeight="false" outlineLevel="0" collapsed="false">
      <c r="A252" s="5" t="str">
        <f aca="false">IF(NOT(ISNUMBER(Macro_Series!$A252)),"",Macro_Series!$A252)</f>
        <v/>
      </c>
      <c r="B252" s="6" t="str">
        <f aca="false">IF(NOT(ISNUMBER(Macro_Series!$C252)),"",Macro_Series!$C252)</f>
        <v/>
      </c>
      <c r="C252" s="6" t="str">
        <f aca="false">IF(NOT(ISNUMBER(Macro_Series!$E252)),"",Macro_Series!$E252)</f>
        <v/>
      </c>
      <c r="D252" s="7" t="str">
        <f aca="false">IF(OR(NOT(ISNUMBER($B252)),NOT(ISNUMBER($C252)),$C252=0),"",$B252/$C252)</f>
        <v/>
      </c>
      <c r="E252" s="7" t="str">
        <f aca="false">IF(NOT(ISNUMBER(Macro_Series!$H252)),"",Macro_Series!$H252)</f>
        <v/>
      </c>
      <c r="F252" s="7" t="str">
        <f aca="false">IF(OR(NOT(ISNUMBER($D252)),NOT(ISNUMBER($E252)),$E252=0),"",$D252/$E252)</f>
        <v/>
      </c>
      <c r="G252" s="8" t="str">
        <f aca="false">IF(OR(NOT(ISNUMBER($B252)),NOT(ISNUMBER($B7)),$B7=0),"",$B252/$B7-1)</f>
        <v/>
      </c>
      <c r="H252" s="8" t="str">
        <f aca="false">IF(OR(NOT(ISNUMBER($D252)),NOT(ISNUMBER($D7)),$D7=0),"",$D252/$D7-1)</f>
        <v/>
      </c>
      <c r="I252" s="8" t="str">
        <f aca="false">IF(OR(NOT(ISNUMBER($G252)),NOT(ISNUMBER($H252))),"",$G252-$H252)</f>
        <v/>
      </c>
    </row>
    <row r="253" customFormat="false" ht="15" hidden="false" customHeight="false" outlineLevel="0" collapsed="false">
      <c r="A253" s="5" t="str">
        <f aca="false">IF(NOT(ISNUMBER(Macro_Series!$A253)),"",Macro_Series!$A253)</f>
        <v/>
      </c>
      <c r="B253" s="6" t="str">
        <f aca="false">IF(NOT(ISNUMBER(Macro_Series!$C253)),"",Macro_Series!$C253)</f>
        <v/>
      </c>
      <c r="C253" s="6" t="str">
        <f aca="false">IF(NOT(ISNUMBER(Macro_Series!$E253)),"",Macro_Series!$E253)</f>
        <v/>
      </c>
      <c r="D253" s="7" t="str">
        <f aca="false">IF(OR(NOT(ISNUMBER($B253)),NOT(ISNUMBER($C253)),$C253=0),"",$B253/$C253)</f>
        <v/>
      </c>
      <c r="E253" s="7" t="str">
        <f aca="false">IF(NOT(ISNUMBER(Macro_Series!$H253)),"",Macro_Series!$H253)</f>
        <v/>
      </c>
      <c r="F253" s="7" t="str">
        <f aca="false">IF(OR(NOT(ISNUMBER($D253)),NOT(ISNUMBER($E253)),$E253=0),"",$D253/$E253)</f>
        <v/>
      </c>
      <c r="G253" s="8" t="str">
        <f aca="false">IF(OR(NOT(ISNUMBER($B253)),NOT(ISNUMBER($B8)),$B8=0),"",$B253/$B8-1)</f>
        <v/>
      </c>
      <c r="H253" s="8" t="str">
        <f aca="false">IF(OR(NOT(ISNUMBER($D253)),NOT(ISNUMBER($D8)),$D8=0),"",$D253/$D8-1)</f>
        <v/>
      </c>
      <c r="I253" s="8" t="str">
        <f aca="false">IF(OR(NOT(ISNUMBER($G253)),NOT(ISNUMBER($H253))),"",$G253-$H253)</f>
        <v/>
      </c>
    </row>
    <row r="254" customFormat="false" ht="15" hidden="false" customHeight="false" outlineLevel="0" collapsed="false">
      <c r="A254" s="5" t="str">
        <f aca="false">IF(NOT(ISNUMBER(Macro_Series!$A254)),"",Macro_Series!$A254)</f>
        <v/>
      </c>
      <c r="B254" s="6" t="str">
        <f aca="false">IF(NOT(ISNUMBER(Macro_Series!$C254)),"",Macro_Series!$C254)</f>
        <v/>
      </c>
      <c r="C254" s="6" t="str">
        <f aca="false">IF(NOT(ISNUMBER(Macro_Series!$E254)),"",Macro_Series!$E254)</f>
        <v/>
      </c>
      <c r="D254" s="7" t="str">
        <f aca="false">IF(OR(NOT(ISNUMBER($B254)),NOT(ISNUMBER($C254)),$C254=0),"",$B254/$C254)</f>
        <v/>
      </c>
      <c r="E254" s="7" t="str">
        <f aca="false">IF(NOT(ISNUMBER(Macro_Series!$H254)),"",Macro_Series!$H254)</f>
        <v/>
      </c>
      <c r="F254" s="7" t="str">
        <f aca="false">IF(OR(NOT(ISNUMBER($D254)),NOT(ISNUMBER($E254)),$E254=0),"",$D254/$E254)</f>
        <v/>
      </c>
      <c r="G254" s="8" t="str">
        <f aca="false">IF(OR(NOT(ISNUMBER($B254)),NOT(ISNUMBER($B9)),$B9=0),"",$B254/$B9-1)</f>
        <v/>
      </c>
      <c r="H254" s="8" t="str">
        <f aca="false">IF(OR(NOT(ISNUMBER($D254)),NOT(ISNUMBER($D9)),$D9=0),"",$D254/$D9-1)</f>
        <v/>
      </c>
      <c r="I254" s="8" t="str">
        <f aca="false">IF(OR(NOT(ISNUMBER($G254)),NOT(ISNUMBER($H254))),"",$G254-$H254)</f>
        <v/>
      </c>
    </row>
    <row r="255" customFormat="false" ht="15" hidden="false" customHeight="false" outlineLevel="0" collapsed="false">
      <c r="A255" s="5" t="str">
        <f aca="false">IF(NOT(ISNUMBER(Macro_Series!$A255)),"",Macro_Series!$A255)</f>
        <v/>
      </c>
      <c r="B255" s="6" t="str">
        <f aca="false">IF(NOT(ISNUMBER(Macro_Series!$C255)),"",Macro_Series!$C255)</f>
        <v/>
      </c>
      <c r="C255" s="6" t="str">
        <f aca="false">IF(NOT(ISNUMBER(Macro_Series!$E255)),"",Macro_Series!$E255)</f>
        <v/>
      </c>
      <c r="D255" s="7" t="str">
        <f aca="false">IF(OR(NOT(ISNUMBER($B255)),NOT(ISNUMBER($C255)),$C255=0),"",$B255/$C255)</f>
        <v/>
      </c>
      <c r="E255" s="7" t="str">
        <f aca="false">IF(NOT(ISNUMBER(Macro_Series!$H255)),"",Macro_Series!$H255)</f>
        <v/>
      </c>
      <c r="F255" s="7" t="str">
        <f aca="false">IF(OR(NOT(ISNUMBER($D255)),NOT(ISNUMBER($E255)),$E255=0),"",$D255/$E255)</f>
        <v/>
      </c>
      <c r="G255" s="8" t="str">
        <f aca="false">IF(OR(NOT(ISNUMBER($B255)),NOT(ISNUMBER($B10)),$B10=0),"",$B255/$B10-1)</f>
        <v/>
      </c>
      <c r="H255" s="8" t="str">
        <f aca="false">IF(OR(NOT(ISNUMBER($D255)),NOT(ISNUMBER($D10)),$D10=0),"",$D255/$D10-1)</f>
        <v/>
      </c>
      <c r="I255" s="8" t="str">
        <f aca="false">IF(OR(NOT(ISNUMBER($G255)),NOT(ISNUMBER($H255))),"",$G255-$H255)</f>
        <v/>
      </c>
    </row>
    <row r="256" customFormat="false" ht="15" hidden="false" customHeight="false" outlineLevel="0" collapsed="false">
      <c r="A256" s="5" t="str">
        <f aca="false">IF(NOT(ISNUMBER(Macro_Series!$A256)),"",Macro_Series!$A256)</f>
        <v/>
      </c>
      <c r="B256" s="6" t="str">
        <f aca="false">IF(NOT(ISNUMBER(Macro_Series!$C256)),"",Macro_Series!$C256)</f>
        <v/>
      </c>
      <c r="C256" s="6" t="str">
        <f aca="false">IF(NOT(ISNUMBER(Macro_Series!$E256)),"",Macro_Series!$E256)</f>
        <v/>
      </c>
      <c r="D256" s="7" t="str">
        <f aca="false">IF(OR(NOT(ISNUMBER($B256)),NOT(ISNUMBER($C256)),$C256=0),"",$B256/$C256)</f>
        <v/>
      </c>
      <c r="E256" s="7" t="str">
        <f aca="false">IF(NOT(ISNUMBER(Macro_Series!$H256)),"",Macro_Series!$H256)</f>
        <v/>
      </c>
      <c r="F256" s="7" t="str">
        <f aca="false">IF(OR(NOT(ISNUMBER($D256)),NOT(ISNUMBER($E256)),$E256=0),"",$D256/$E256)</f>
        <v/>
      </c>
      <c r="G256" s="8" t="str">
        <f aca="false">IF(OR(NOT(ISNUMBER($B256)),NOT(ISNUMBER($B11)),$B11=0),"",$B256/$B11-1)</f>
        <v/>
      </c>
      <c r="H256" s="8" t="str">
        <f aca="false">IF(OR(NOT(ISNUMBER($D256)),NOT(ISNUMBER($D11)),$D11=0),"",$D256/$D11-1)</f>
        <v/>
      </c>
      <c r="I256" s="8" t="str">
        <f aca="false">IF(OR(NOT(ISNUMBER($G256)),NOT(ISNUMBER($H256))),"",$G256-$H256)</f>
        <v/>
      </c>
    </row>
    <row r="257" customFormat="false" ht="15" hidden="false" customHeight="false" outlineLevel="0" collapsed="false">
      <c r="A257" s="5" t="str">
        <f aca="false">IF(NOT(ISNUMBER(Macro_Series!$A257)),"",Macro_Series!$A257)</f>
        <v/>
      </c>
      <c r="B257" s="6" t="str">
        <f aca="false">IF(NOT(ISNUMBER(Macro_Series!$C257)),"",Macro_Series!$C257)</f>
        <v/>
      </c>
      <c r="C257" s="6" t="str">
        <f aca="false">IF(NOT(ISNUMBER(Macro_Series!$E257)),"",Macro_Series!$E257)</f>
        <v/>
      </c>
      <c r="D257" s="7" t="str">
        <f aca="false">IF(OR(NOT(ISNUMBER($B257)),NOT(ISNUMBER($C257)),$C257=0),"",$B257/$C257)</f>
        <v/>
      </c>
      <c r="E257" s="7" t="str">
        <f aca="false">IF(NOT(ISNUMBER(Macro_Series!$H257)),"",Macro_Series!$H257)</f>
        <v/>
      </c>
      <c r="F257" s="7" t="str">
        <f aca="false">IF(OR(NOT(ISNUMBER($D257)),NOT(ISNUMBER($E257)),$E257=0),"",$D257/$E257)</f>
        <v/>
      </c>
      <c r="G257" s="8" t="str">
        <f aca="false">IF(OR(NOT(ISNUMBER($B257)),NOT(ISNUMBER($B12)),$B12=0),"",$B257/$B12-1)</f>
        <v/>
      </c>
      <c r="H257" s="8" t="str">
        <f aca="false">IF(OR(NOT(ISNUMBER($D257)),NOT(ISNUMBER($D12)),$D12=0),"",$D257/$D12-1)</f>
        <v/>
      </c>
      <c r="I257" s="8" t="str">
        <f aca="false">IF(OR(NOT(ISNUMBER($G257)),NOT(ISNUMBER($H257))),"",$G257-$H257)</f>
        <v/>
      </c>
    </row>
    <row r="258" customFormat="false" ht="15" hidden="false" customHeight="false" outlineLevel="0" collapsed="false">
      <c r="A258" s="5" t="str">
        <f aca="false">IF(NOT(ISNUMBER(Macro_Series!$A258)),"",Macro_Series!$A258)</f>
        <v/>
      </c>
      <c r="B258" s="6" t="str">
        <f aca="false">IF(NOT(ISNUMBER(Macro_Series!$C258)),"",Macro_Series!$C258)</f>
        <v/>
      </c>
      <c r="C258" s="6" t="str">
        <f aca="false">IF(NOT(ISNUMBER(Macro_Series!$E258)),"",Macro_Series!$E258)</f>
        <v/>
      </c>
      <c r="D258" s="7" t="str">
        <f aca="false">IF(OR(NOT(ISNUMBER($B258)),NOT(ISNUMBER($C258)),$C258=0),"",$B258/$C258)</f>
        <v/>
      </c>
      <c r="E258" s="7" t="str">
        <f aca="false">IF(NOT(ISNUMBER(Macro_Series!$H258)),"",Macro_Series!$H258)</f>
        <v/>
      </c>
      <c r="F258" s="7" t="str">
        <f aca="false">IF(OR(NOT(ISNUMBER($D258)),NOT(ISNUMBER($E258)),$E258=0),"",$D258/$E258)</f>
        <v/>
      </c>
      <c r="G258" s="8" t="str">
        <f aca="false">IF(OR(NOT(ISNUMBER($B258)),NOT(ISNUMBER($B13)),$B13=0),"",$B258/$B13-1)</f>
        <v/>
      </c>
      <c r="H258" s="8" t="str">
        <f aca="false">IF(OR(NOT(ISNUMBER($D258)),NOT(ISNUMBER($D13)),$D13=0),"",$D258/$D13-1)</f>
        <v/>
      </c>
      <c r="I258" s="8" t="str">
        <f aca="false">IF(OR(NOT(ISNUMBER($G258)),NOT(ISNUMBER($H258))),"",$G258-$H258)</f>
        <v/>
      </c>
    </row>
    <row r="259" customFormat="false" ht="15" hidden="false" customHeight="false" outlineLevel="0" collapsed="false">
      <c r="A259" s="5" t="str">
        <f aca="false">IF(NOT(ISNUMBER(Macro_Series!$A259)),"",Macro_Series!$A259)</f>
        <v/>
      </c>
      <c r="B259" s="6" t="str">
        <f aca="false">IF(NOT(ISNUMBER(Macro_Series!$C259)),"",Macro_Series!$C259)</f>
        <v/>
      </c>
      <c r="C259" s="6" t="str">
        <f aca="false">IF(NOT(ISNUMBER(Macro_Series!$E259)),"",Macro_Series!$E259)</f>
        <v/>
      </c>
      <c r="D259" s="7" t="str">
        <f aca="false">IF(OR(NOT(ISNUMBER($B259)),NOT(ISNUMBER($C259)),$C259=0),"",$B259/$C259)</f>
        <v/>
      </c>
      <c r="E259" s="7" t="str">
        <f aca="false">IF(NOT(ISNUMBER(Macro_Series!$H259)),"",Macro_Series!$H259)</f>
        <v/>
      </c>
      <c r="F259" s="7" t="str">
        <f aca="false">IF(OR(NOT(ISNUMBER($D259)),NOT(ISNUMBER($E259)),$E259=0),"",$D259/$E259)</f>
        <v/>
      </c>
      <c r="G259" s="8" t="str">
        <f aca="false">IF(OR(NOT(ISNUMBER($B259)),NOT(ISNUMBER($B14)),$B14=0),"",$B259/$B14-1)</f>
        <v/>
      </c>
      <c r="H259" s="8" t="str">
        <f aca="false">IF(OR(NOT(ISNUMBER($D259)),NOT(ISNUMBER($D14)),$D14=0),"",$D259/$D14-1)</f>
        <v/>
      </c>
      <c r="I259" s="8" t="str">
        <f aca="false">IF(OR(NOT(ISNUMBER($G259)),NOT(ISNUMBER($H259))),"",$G259-$H259)</f>
        <v/>
      </c>
    </row>
    <row r="260" customFormat="false" ht="15" hidden="false" customHeight="false" outlineLevel="0" collapsed="false">
      <c r="A260" s="5" t="str">
        <f aca="false">IF(NOT(ISNUMBER(Macro_Series!$A260)),"",Macro_Series!$A260)</f>
        <v/>
      </c>
      <c r="B260" s="6" t="str">
        <f aca="false">IF(NOT(ISNUMBER(Macro_Series!$C260)),"",Macro_Series!$C260)</f>
        <v/>
      </c>
      <c r="C260" s="6" t="str">
        <f aca="false">IF(NOT(ISNUMBER(Macro_Series!$E260)),"",Macro_Series!$E260)</f>
        <v/>
      </c>
      <c r="D260" s="7" t="str">
        <f aca="false">IF(OR(NOT(ISNUMBER($B260)),NOT(ISNUMBER($C260)),$C260=0),"",$B260/$C260)</f>
        <v/>
      </c>
      <c r="E260" s="7" t="str">
        <f aca="false">IF(NOT(ISNUMBER(Macro_Series!$H260)),"",Macro_Series!$H260)</f>
        <v/>
      </c>
      <c r="F260" s="7" t="str">
        <f aca="false">IF(OR(NOT(ISNUMBER($D260)),NOT(ISNUMBER($E260)),$E260=0),"",$D260/$E260)</f>
        <v/>
      </c>
      <c r="G260" s="8" t="str">
        <f aca="false">IF(OR(NOT(ISNUMBER($B260)),NOT(ISNUMBER($B15)),$B15=0),"",$B260/$B15-1)</f>
        <v/>
      </c>
      <c r="H260" s="8" t="str">
        <f aca="false">IF(OR(NOT(ISNUMBER($D260)),NOT(ISNUMBER($D15)),$D15=0),"",$D260/$D15-1)</f>
        <v/>
      </c>
      <c r="I260" s="8" t="str">
        <f aca="false">IF(OR(NOT(ISNUMBER($G260)),NOT(ISNUMBER($H260))),"",$G260-$H260)</f>
        <v/>
      </c>
    </row>
    <row r="261" customFormat="false" ht="15" hidden="false" customHeight="false" outlineLevel="0" collapsed="false">
      <c r="A261" s="5" t="str">
        <f aca="false">IF(NOT(ISNUMBER(Macro_Series!$A261)),"",Macro_Series!$A261)</f>
        <v/>
      </c>
      <c r="B261" s="6" t="str">
        <f aca="false">IF(NOT(ISNUMBER(Macro_Series!$C261)),"",Macro_Series!$C261)</f>
        <v/>
      </c>
      <c r="C261" s="6" t="str">
        <f aca="false">IF(NOT(ISNUMBER(Macro_Series!$E261)),"",Macro_Series!$E261)</f>
        <v/>
      </c>
      <c r="D261" s="7" t="str">
        <f aca="false">IF(OR(NOT(ISNUMBER($B261)),NOT(ISNUMBER($C261)),$C261=0),"",$B261/$C261)</f>
        <v/>
      </c>
      <c r="E261" s="7" t="str">
        <f aca="false">IF(NOT(ISNUMBER(Macro_Series!$H261)),"",Macro_Series!$H261)</f>
        <v/>
      </c>
      <c r="F261" s="7" t="str">
        <f aca="false">IF(OR(NOT(ISNUMBER($D261)),NOT(ISNUMBER($E261)),$E261=0),"",$D261/$E261)</f>
        <v/>
      </c>
      <c r="G261" s="8" t="str">
        <f aca="false">IF(OR(NOT(ISNUMBER($B261)),NOT(ISNUMBER($B16)),$B16=0),"",$B261/$B16-1)</f>
        <v/>
      </c>
      <c r="H261" s="8" t="str">
        <f aca="false">IF(OR(NOT(ISNUMBER($D261)),NOT(ISNUMBER($D16)),$D16=0),"",$D261/$D16-1)</f>
        <v/>
      </c>
      <c r="I261" s="8" t="str">
        <f aca="false">IF(OR(NOT(ISNUMBER($G261)),NOT(ISNUMBER($H261))),"",$G261-$H261)</f>
        <v/>
      </c>
    </row>
    <row r="262" customFormat="false" ht="15" hidden="false" customHeight="false" outlineLevel="0" collapsed="false">
      <c r="A262" s="5" t="str">
        <f aca="false">IF(NOT(ISNUMBER(Macro_Series!$A262)),"",Macro_Series!$A262)</f>
        <v/>
      </c>
      <c r="B262" s="6" t="str">
        <f aca="false">IF(NOT(ISNUMBER(Macro_Series!$C262)),"",Macro_Series!$C262)</f>
        <v/>
      </c>
      <c r="C262" s="6" t="str">
        <f aca="false">IF(NOT(ISNUMBER(Macro_Series!$E262)),"",Macro_Series!$E262)</f>
        <v/>
      </c>
      <c r="D262" s="7" t="str">
        <f aca="false">IF(OR(NOT(ISNUMBER($B262)),NOT(ISNUMBER($C262)),$C262=0),"",$B262/$C262)</f>
        <v/>
      </c>
      <c r="E262" s="7" t="str">
        <f aca="false">IF(NOT(ISNUMBER(Macro_Series!$H262)),"",Macro_Series!$H262)</f>
        <v/>
      </c>
      <c r="F262" s="7" t="str">
        <f aca="false">IF(OR(NOT(ISNUMBER($D262)),NOT(ISNUMBER($E262)),$E262=0),"",$D262/$E262)</f>
        <v/>
      </c>
      <c r="G262" s="8" t="str">
        <f aca="false">IF(OR(NOT(ISNUMBER($B262)),NOT(ISNUMBER($B17)),$B17=0),"",$B262/$B17-1)</f>
        <v/>
      </c>
      <c r="H262" s="8" t="str">
        <f aca="false">IF(OR(NOT(ISNUMBER($D262)),NOT(ISNUMBER($D17)),$D17=0),"",$D262/$D17-1)</f>
        <v/>
      </c>
      <c r="I262" s="8" t="str">
        <f aca="false">IF(OR(NOT(ISNUMBER($G262)),NOT(ISNUMBER($H262))),"",$G262-$H262)</f>
        <v/>
      </c>
    </row>
    <row r="263" customFormat="false" ht="15" hidden="false" customHeight="false" outlineLevel="0" collapsed="false">
      <c r="A263" s="5" t="str">
        <f aca="false">IF(NOT(ISNUMBER(Macro_Series!$A263)),"",Macro_Series!$A263)</f>
        <v/>
      </c>
      <c r="B263" s="6" t="str">
        <f aca="false">IF(NOT(ISNUMBER(Macro_Series!$C263)),"",Macro_Series!$C263)</f>
        <v/>
      </c>
      <c r="C263" s="6" t="str">
        <f aca="false">IF(NOT(ISNUMBER(Macro_Series!$E263)),"",Macro_Series!$E263)</f>
        <v/>
      </c>
      <c r="D263" s="7" t="str">
        <f aca="false">IF(OR(NOT(ISNUMBER($B263)),NOT(ISNUMBER($C263)),$C263=0),"",$B263/$C263)</f>
        <v/>
      </c>
      <c r="E263" s="7" t="str">
        <f aca="false">IF(NOT(ISNUMBER(Macro_Series!$H263)),"",Macro_Series!$H263)</f>
        <v/>
      </c>
      <c r="F263" s="7" t="str">
        <f aca="false">IF(OR(NOT(ISNUMBER($D263)),NOT(ISNUMBER($E263)),$E263=0),"",$D263/$E263)</f>
        <v/>
      </c>
      <c r="G263" s="8" t="str">
        <f aca="false">IF(OR(NOT(ISNUMBER($B263)),NOT(ISNUMBER($B18)),$B18=0),"",$B263/$B18-1)</f>
        <v/>
      </c>
      <c r="H263" s="8" t="str">
        <f aca="false">IF(OR(NOT(ISNUMBER($D263)),NOT(ISNUMBER($D18)),$D18=0),"",$D263/$D18-1)</f>
        <v/>
      </c>
      <c r="I263" s="8" t="str">
        <f aca="false">IF(OR(NOT(ISNUMBER($G263)),NOT(ISNUMBER($H263))),"",$G263-$H263)</f>
        <v/>
      </c>
    </row>
    <row r="264" customFormat="false" ht="15" hidden="false" customHeight="false" outlineLevel="0" collapsed="false">
      <c r="A264" s="5" t="str">
        <f aca="false">IF(NOT(ISNUMBER(Macro_Series!$A264)),"",Macro_Series!$A264)</f>
        <v/>
      </c>
      <c r="B264" s="6" t="str">
        <f aca="false">IF(NOT(ISNUMBER(Macro_Series!$C264)),"",Macro_Series!$C264)</f>
        <v/>
      </c>
      <c r="C264" s="6" t="str">
        <f aca="false">IF(NOT(ISNUMBER(Macro_Series!$E264)),"",Macro_Series!$E264)</f>
        <v/>
      </c>
      <c r="D264" s="7" t="str">
        <f aca="false">IF(OR(NOT(ISNUMBER($B264)),NOT(ISNUMBER($C264)),$C264=0),"",$B264/$C264)</f>
        <v/>
      </c>
      <c r="E264" s="7" t="str">
        <f aca="false">IF(NOT(ISNUMBER(Macro_Series!$H264)),"",Macro_Series!$H264)</f>
        <v/>
      </c>
      <c r="F264" s="7" t="str">
        <f aca="false">IF(OR(NOT(ISNUMBER($D264)),NOT(ISNUMBER($E264)),$E264=0),"",$D264/$E264)</f>
        <v/>
      </c>
      <c r="G264" s="8" t="str">
        <f aca="false">IF(OR(NOT(ISNUMBER($B264)),NOT(ISNUMBER($B19)),$B19=0),"",$B264/$B19-1)</f>
        <v/>
      </c>
      <c r="H264" s="8" t="str">
        <f aca="false">IF(OR(NOT(ISNUMBER($D264)),NOT(ISNUMBER($D19)),$D19=0),"",$D264/$D19-1)</f>
        <v/>
      </c>
      <c r="I264" s="8" t="str">
        <f aca="false">IF(OR(NOT(ISNUMBER($G264)),NOT(ISNUMBER($H264))),"",$G264-$H264)</f>
        <v/>
      </c>
    </row>
    <row r="265" customFormat="false" ht="15" hidden="false" customHeight="false" outlineLevel="0" collapsed="false">
      <c r="A265" s="5" t="str">
        <f aca="false">IF(NOT(ISNUMBER(Macro_Series!$A265)),"",Macro_Series!$A265)</f>
        <v/>
      </c>
      <c r="B265" s="6" t="str">
        <f aca="false">IF(NOT(ISNUMBER(Macro_Series!$C265)),"",Macro_Series!$C265)</f>
        <v/>
      </c>
      <c r="C265" s="6" t="str">
        <f aca="false">IF(NOT(ISNUMBER(Macro_Series!$E265)),"",Macro_Series!$E265)</f>
        <v/>
      </c>
      <c r="D265" s="7" t="str">
        <f aca="false">IF(OR(NOT(ISNUMBER($B265)),NOT(ISNUMBER($C265)),$C265=0),"",$B265/$C265)</f>
        <v/>
      </c>
      <c r="E265" s="7" t="str">
        <f aca="false">IF(NOT(ISNUMBER(Macro_Series!$H265)),"",Macro_Series!$H265)</f>
        <v/>
      </c>
      <c r="F265" s="7" t="str">
        <f aca="false">IF(OR(NOT(ISNUMBER($D265)),NOT(ISNUMBER($E265)),$E265=0),"",$D265/$E265)</f>
        <v/>
      </c>
      <c r="G265" s="8" t="str">
        <f aca="false">IF(OR(NOT(ISNUMBER($B265)),NOT(ISNUMBER($B20)),$B20=0),"",$B265/$B20-1)</f>
        <v/>
      </c>
      <c r="H265" s="8" t="str">
        <f aca="false">IF(OR(NOT(ISNUMBER($D265)),NOT(ISNUMBER($D20)),$D20=0),"",$D265/$D20-1)</f>
        <v/>
      </c>
      <c r="I265" s="8" t="str">
        <f aca="false">IF(OR(NOT(ISNUMBER($G265)),NOT(ISNUMBER($H265))),"",$G265-$H265)</f>
        <v/>
      </c>
    </row>
    <row r="266" customFormat="false" ht="15" hidden="false" customHeight="false" outlineLevel="0" collapsed="false">
      <c r="A266" s="5" t="str">
        <f aca="false">IF(NOT(ISNUMBER(Macro_Series!$A266)),"",Macro_Series!$A266)</f>
        <v/>
      </c>
      <c r="B266" s="6" t="str">
        <f aca="false">IF(NOT(ISNUMBER(Macro_Series!$C266)),"",Macro_Series!$C266)</f>
        <v/>
      </c>
      <c r="C266" s="6" t="str">
        <f aca="false">IF(NOT(ISNUMBER(Macro_Series!$E266)),"",Macro_Series!$E266)</f>
        <v/>
      </c>
      <c r="D266" s="7" t="str">
        <f aca="false">IF(OR(NOT(ISNUMBER($B266)),NOT(ISNUMBER($C266)),$C266=0),"",$B266/$C266)</f>
        <v/>
      </c>
      <c r="E266" s="7" t="str">
        <f aca="false">IF(NOT(ISNUMBER(Macro_Series!$H266)),"",Macro_Series!$H266)</f>
        <v/>
      </c>
      <c r="F266" s="7" t="str">
        <f aca="false">IF(OR(NOT(ISNUMBER($D266)),NOT(ISNUMBER($E266)),$E266=0),"",$D266/$E266)</f>
        <v/>
      </c>
      <c r="G266" s="8" t="str">
        <f aca="false">IF(OR(NOT(ISNUMBER($B266)),NOT(ISNUMBER($B21)),$B21=0),"",$B266/$B21-1)</f>
        <v/>
      </c>
      <c r="H266" s="8" t="str">
        <f aca="false">IF(OR(NOT(ISNUMBER($D266)),NOT(ISNUMBER($D21)),$D21=0),"",$D266/$D21-1)</f>
        <v/>
      </c>
      <c r="I266" s="8" t="str">
        <f aca="false">IF(OR(NOT(ISNUMBER($G266)),NOT(ISNUMBER($H266))),"",$G266-$H266)</f>
        <v/>
      </c>
    </row>
    <row r="267" customFormat="false" ht="15" hidden="false" customHeight="false" outlineLevel="0" collapsed="false">
      <c r="A267" s="5" t="str">
        <f aca="false">IF(NOT(ISNUMBER(Macro_Series!$A267)),"",Macro_Series!$A267)</f>
        <v/>
      </c>
      <c r="B267" s="6" t="str">
        <f aca="false">IF(NOT(ISNUMBER(Macro_Series!$C267)),"",Macro_Series!$C267)</f>
        <v/>
      </c>
      <c r="C267" s="6" t="str">
        <f aca="false">IF(NOT(ISNUMBER(Macro_Series!$E267)),"",Macro_Series!$E267)</f>
        <v/>
      </c>
      <c r="D267" s="7" t="str">
        <f aca="false">IF(OR(NOT(ISNUMBER($B267)),NOT(ISNUMBER($C267)),$C267=0),"",$B267/$C267)</f>
        <v/>
      </c>
      <c r="E267" s="7" t="str">
        <f aca="false">IF(NOT(ISNUMBER(Macro_Series!$H267)),"",Macro_Series!$H267)</f>
        <v/>
      </c>
      <c r="F267" s="7" t="str">
        <f aca="false">IF(OR(NOT(ISNUMBER($D267)),NOT(ISNUMBER($E267)),$E267=0),"",$D267/$E267)</f>
        <v/>
      </c>
      <c r="G267" s="8" t="str">
        <f aca="false">IF(OR(NOT(ISNUMBER($B267)),NOT(ISNUMBER($B22)),$B22=0),"",$B267/$B22-1)</f>
        <v/>
      </c>
      <c r="H267" s="8" t="str">
        <f aca="false">IF(OR(NOT(ISNUMBER($D267)),NOT(ISNUMBER($D22)),$D22=0),"",$D267/$D22-1)</f>
        <v/>
      </c>
      <c r="I267" s="8" t="str">
        <f aca="false">IF(OR(NOT(ISNUMBER($G267)),NOT(ISNUMBER($H267))),"",$G267-$H267)</f>
        <v/>
      </c>
    </row>
    <row r="268" customFormat="false" ht="15" hidden="false" customHeight="false" outlineLevel="0" collapsed="false">
      <c r="A268" s="5" t="str">
        <f aca="false">IF(NOT(ISNUMBER(Macro_Series!$A268)),"",Macro_Series!$A268)</f>
        <v/>
      </c>
      <c r="B268" s="6" t="str">
        <f aca="false">IF(NOT(ISNUMBER(Macro_Series!$C268)),"",Macro_Series!$C268)</f>
        <v/>
      </c>
      <c r="C268" s="6" t="str">
        <f aca="false">IF(NOT(ISNUMBER(Macro_Series!$E268)),"",Macro_Series!$E268)</f>
        <v/>
      </c>
      <c r="D268" s="7" t="str">
        <f aca="false">IF(OR(NOT(ISNUMBER($B268)),NOT(ISNUMBER($C268)),$C268=0),"",$B268/$C268)</f>
        <v/>
      </c>
      <c r="E268" s="7" t="str">
        <f aca="false">IF(NOT(ISNUMBER(Macro_Series!$H268)),"",Macro_Series!$H268)</f>
        <v/>
      </c>
      <c r="F268" s="7" t="str">
        <f aca="false">IF(OR(NOT(ISNUMBER($D268)),NOT(ISNUMBER($E268)),$E268=0),"",$D268/$E268)</f>
        <v/>
      </c>
      <c r="G268" s="8" t="str">
        <f aca="false">IF(OR(NOT(ISNUMBER($B268)),NOT(ISNUMBER($B23)),$B23=0),"",$B268/$B23-1)</f>
        <v/>
      </c>
      <c r="H268" s="8" t="str">
        <f aca="false">IF(OR(NOT(ISNUMBER($D268)),NOT(ISNUMBER($D23)),$D23=0),"",$D268/$D23-1)</f>
        <v/>
      </c>
      <c r="I268" s="8" t="str">
        <f aca="false">IF(OR(NOT(ISNUMBER($G268)),NOT(ISNUMBER($H268))),"",$G268-$H268)</f>
        <v/>
      </c>
    </row>
    <row r="269" customFormat="false" ht="15" hidden="false" customHeight="false" outlineLevel="0" collapsed="false">
      <c r="A269" s="5" t="str">
        <f aca="false">IF(NOT(ISNUMBER(Macro_Series!$A269)),"",Macro_Series!$A269)</f>
        <v/>
      </c>
      <c r="B269" s="6" t="str">
        <f aca="false">IF(NOT(ISNUMBER(Macro_Series!$C269)),"",Macro_Series!$C269)</f>
        <v/>
      </c>
      <c r="C269" s="6" t="str">
        <f aca="false">IF(NOT(ISNUMBER(Macro_Series!$E269)),"",Macro_Series!$E269)</f>
        <v/>
      </c>
      <c r="D269" s="7" t="str">
        <f aca="false">IF(OR(NOT(ISNUMBER($B269)),NOT(ISNUMBER($C269)),$C269=0),"",$B269/$C269)</f>
        <v/>
      </c>
      <c r="E269" s="7" t="str">
        <f aca="false">IF(NOT(ISNUMBER(Macro_Series!$H269)),"",Macro_Series!$H269)</f>
        <v/>
      </c>
      <c r="F269" s="7" t="str">
        <f aca="false">IF(OR(NOT(ISNUMBER($D269)),NOT(ISNUMBER($E269)),$E269=0),"",$D269/$E269)</f>
        <v/>
      </c>
      <c r="G269" s="8" t="str">
        <f aca="false">IF(OR(NOT(ISNUMBER($B269)),NOT(ISNUMBER($B24)),$B24=0),"",$B269/$B24-1)</f>
        <v/>
      </c>
      <c r="H269" s="8" t="str">
        <f aca="false">IF(OR(NOT(ISNUMBER($D269)),NOT(ISNUMBER($D24)),$D24=0),"",$D269/$D24-1)</f>
        <v/>
      </c>
      <c r="I269" s="8" t="str">
        <f aca="false">IF(OR(NOT(ISNUMBER($G269)),NOT(ISNUMBER($H269))),"",$G269-$H269)</f>
        <v/>
      </c>
    </row>
    <row r="270" customFormat="false" ht="15" hidden="false" customHeight="false" outlineLevel="0" collapsed="false">
      <c r="A270" s="5" t="str">
        <f aca="false">IF(NOT(ISNUMBER(Macro_Series!$A270)),"",Macro_Series!$A270)</f>
        <v/>
      </c>
      <c r="B270" s="6" t="str">
        <f aca="false">IF(NOT(ISNUMBER(Macro_Series!$C270)),"",Macro_Series!$C270)</f>
        <v/>
      </c>
      <c r="C270" s="6" t="str">
        <f aca="false">IF(NOT(ISNUMBER(Macro_Series!$E270)),"",Macro_Series!$E270)</f>
        <v/>
      </c>
      <c r="D270" s="7" t="str">
        <f aca="false">IF(OR(NOT(ISNUMBER($B270)),NOT(ISNUMBER($C270)),$C270=0),"",$B270/$C270)</f>
        <v/>
      </c>
      <c r="E270" s="7" t="str">
        <f aca="false">IF(NOT(ISNUMBER(Macro_Series!$H270)),"",Macro_Series!$H270)</f>
        <v/>
      </c>
      <c r="F270" s="7" t="str">
        <f aca="false">IF(OR(NOT(ISNUMBER($D270)),NOT(ISNUMBER($E270)),$E270=0),"",$D270/$E270)</f>
        <v/>
      </c>
      <c r="G270" s="8" t="str">
        <f aca="false">IF(OR(NOT(ISNUMBER($B270)),NOT(ISNUMBER($B25)),$B25=0),"",$B270/$B25-1)</f>
        <v/>
      </c>
      <c r="H270" s="8" t="str">
        <f aca="false">IF(OR(NOT(ISNUMBER($D270)),NOT(ISNUMBER($D25)),$D25=0),"",$D270/$D25-1)</f>
        <v/>
      </c>
      <c r="I270" s="8" t="str">
        <f aca="false">IF(OR(NOT(ISNUMBER($G270)),NOT(ISNUMBER($H270))),"",$G270-$H270)</f>
        <v/>
      </c>
    </row>
    <row r="271" customFormat="false" ht="15" hidden="false" customHeight="false" outlineLevel="0" collapsed="false">
      <c r="A271" s="5" t="str">
        <f aca="false">IF(NOT(ISNUMBER(Macro_Series!$A271)),"",Macro_Series!$A271)</f>
        <v/>
      </c>
      <c r="B271" s="6" t="str">
        <f aca="false">IF(NOT(ISNUMBER(Macro_Series!$C271)),"",Macro_Series!$C271)</f>
        <v/>
      </c>
      <c r="C271" s="6" t="str">
        <f aca="false">IF(NOT(ISNUMBER(Macro_Series!$E271)),"",Macro_Series!$E271)</f>
        <v/>
      </c>
      <c r="D271" s="7" t="str">
        <f aca="false">IF(OR(NOT(ISNUMBER($B271)),NOT(ISNUMBER($C271)),$C271=0),"",$B271/$C271)</f>
        <v/>
      </c>
      <c r="E271" s="7" t="str">
        <f aca="false">IF(NOT(ISNUMBER(Macro_Series!$H271)),"",Macro_Series!$H271)</f>
        <v/>
      </c>
      <c r="F271" s="7" t="str">
        <f aca="false">IF(OR(NOT(ISNUMBER($D271)),NOT(ISNUMBER($E271)),$E271=0),"",$D271/$E271)</f>
        <v/>
      </c>
      <c r="G271" s="8" t="str">
        <f aca="false">IF(OR(NOT(ISNUMBER($B271)),NOT(ISNUMBER($B26)),$B26=0),"",$B271/$B26-1)</f>
        <v/>
      </c>
      <c r="H271" s="8" t="str">
        <f aca="false">IF(OR(NOT(ISNUMBER($D271)),NOT(ISNUMBER($D26)),$D26=0),"",$D271/$D26-1)</f>
        <v/>
      </c>
      <c r="I271" s="8" t="str">
        <f aca="false">IF(OR(NOT(ISNUMBER($G271)),NOT(ISNUMBER($H271))),"",$G271-$H271)</f>
        <v/>
      </c>
    </row>
    <row r="272" customFormat="false" ht="15" hidden="false" customHeight="false" outlineLevel="0" collapsed="false">
      <c r="A272" s="5" t="str">
        <f aca="false">IF(NOT(ISNUMBER(Macro_Series!$A272)),"",Macro_Series!$A272)</f>
        <v/>
      </c>
      <c r="B272" s="6" t="str">
        <f aca="false">IF(NOT(ISNUMBER(Macro_Series!$C272)),"",Macro_Series!$C272)</f>
        <v/>
      </c>
      <c r="C272" s="6" t="str">
        <f aca="false">IF(NOT(ISNUMBER(Macro_Series!$E272)),"",Macro_Series!$E272)</f>
        <v/>
      </c>
      <c r="D272" s="7" t="str">
        <f aca="false">IF(OR(NOT(ISNUMBER($B272)),NOT(ISNUMBER($C272)),$C272=0),"",$B272/$C272)</f>
        <v/>
      </c>
      <c r="E272" s="7" t="str">
        <f aca="false">IF(NOT(ISNUMBER(Macro_Series!$H272)),"",Macro_Series!$H272)</f>
        <v/>
      </c>
      <c r="F272" s="7" t="str">
        <f aca="false">IF(OR(NOT(ISNUMBER($D272)),NOT(ISNUMBER($E272)),$E272=0),"",$D272/$E272)</f>
        <v/>
      </c>
      <c r="G272" s="8" t="str">
        <f aca="false">IF(OR(NOT(ISNUMBER($B272)),NOT(ISNUMBER($B27)),$B27=0),"",$B272/$B27-1)</f>
        <v/>
      </c>
      <c r="H272" s="8" t="str">
        <f aca="false">IF(OR(NOT(ISNUMBER($D272)),NOT(ISNUMBER($D27)),$D27=0),"",$D272/$D27-1)</f>
        <v/>
      </c>
      <c r="I272" s="8" t="str">
        <f aca="false">IF(OR(NOT(ISNUMBER($G272)),NOT(ISNUMBER($H272))),"",$G272-$H272)</f>
        <v/>
      </c>
    </row>
    <row r="273" customFormat="false" ht="15" hidden="false" customHeight="false" outlineLevel="0" collapsed="false">
      <c r="A273" s="5" t="str">
        <f aca="false">IF(NOT(ISNUMBER(Macro_Series!$A273)),"",Macro_Series!$A273)</f>
        <v/>
      </c>
      <c r="B273" s="6" t="str">
        <f aca="false">IF(NOT(ISNUMBER(Macro_Series!$C273)),"",Macro_Series!$C273)</f>
        <v/>
      </c>
      <c r="C273" s="6" t="str">
        <f aca="false">IF(NOT(ISNUMBER(Macro_Series!$E273)),"",Macro_Series!$E273)</f>
        <v/>
      </c>
      <c r="D273" s="7" t="str">
        <f aca="false">IF(OR(NOT(ISNUMBER($B273)),NOT(ISNUMBER($C273)),$C273=0),"",$B273/$C273)</f>
        <v/>
      </c>
      <c r="E273" s="7" t="str">
        <f aca="false">IF(NOT(ISNUMBER(Macro_Series!$H273)),"",Macro_Series!$H273)</f>
        <v/>
      </c>
      <c r="F273" s="7" t="str">
        <f aca="false">IF(OR(NOT(ISNUMBER($D273)),NOT(ISNUMBER($E273)),$E273=0),"",$D273/$E273)</f>
        <v/>
      </c>
      <c r="G273" s="8" t="str">
        <f aca="false">IF(OR(NOT(ISNUMBER($B273)),NOT(ISNUMBER($B28)),$B28=0),"",$B273/$B28-1)</f>
        <v/>
      </c>
      <c r="H273" s="8" t="str">
        <f aca="false">IF(OR(NOT(ISNUMBER($D273)),NOT(ISNUMBER($D28)),$D28=0),"",$D273/$D28-1)</f>
        <v/>
      </c>
      <c r="I273" s="8" t="str">
        <f aca="false">IF(OR(NOT(ISNUMBER($G273)),NOT(ISNUMBER($H273))),"",$G273-$H273)</f>
        <v/>
      </c>
    </row>
    <row r="274" customFormat="false" ht="15" hidden="false" customHeight="false" outlineLevel="0" collapsed="false">
      <c r="A274" s="5" t="str">
        <f aca="false">IF(NOT(ISNUMBER(Macro_Series!$A274)),"",Macro_Series!$A274)</f>
        <v/>
      </c>
      <c r="B274" s="6" t="str">
        <f aca="false">IF(NOT(ISNUMBER(Macro_Series!$C274)),"",Macro_Series!$C274)</f>
        <v/>
      </c>
      <c r="C274" s="6" t="str">
        <f aca="false">IF(NOT(ISNUMBER(Macro_Series!$E274)),"",Macro_Series!$E274)</f>
        <v/>
      </c>
      <c r="D274" s="7" t="str">
        <f aca="false">IF(OR(NOT(ISNUMBER($B274)),NOT(ISNUMBER($C274)),$C274=0),"",$B274/$C274)</f>
        <v/>
      </c>
      <c r="E274" s="7" t="str">
        <f aca="false">IF(NOT(ISNUMBER(Macro_Series!$H274)),"",Macro_Series!$H274)</f>
        <v/>
      </c>
      <c r="F274" s="7" t="str">
        <f aca="false">IF(OR(NOT(ISNUMBER($D274)),NOT(ISNUMBER($E274)),$E274=0),"",$D274/$E274)</f>
        <v/>
      </c>
      <c r="G274" s="8" t="str">
        <f aca="false">IF(OR(NOT(ISNUMBER($B274)),NOT(ISNUMBER($B29)),$B29=0),"",$B274/$B29-1)</f>
        <v/>
      </c>
      <c r="H274" s="8" t="str">
        <f aca="false">IF(OR(NOT(ISNUMBER($D274)),NOT(ISNUMBER($D29)),$D29=0),"",$D274/$D29-1)</f>
        <v/>
      </c>
      <c r="I274" s="8" t="str">
        <f aca="false">IF(OR(NOT(ISNUMBER($G274)),NOT(ISNUMBER($H274))),"",$G274-$H274)</f>
        <v/>
      </c>
    </row>
    <row r="275" customFormat="false" ht="15" hidden="false" customHeight="false" outlineLevel="0" collapsed="false">
      <c r="A275" s="5" t="str">
        <f aca="false">IF(NOT(ISNUMBER(Macro_Series!$A275)),"",Macro_Series!$A275)</f>
        <v/>
      </c>
      <c r="B275" s="6" t="str">
        <f aca="false">IF(NOT(ISNUMBER(Macro_Series!$C275)),"",Macro_Series!$C275)</f>
        <v/>
      </c>
      <c r="C275" s="6" t="str">
        <f aca="false">IF(NOT(ISNUMBER(Macro_Series!$E275)),"",Macro_Series!$E275)</f>
        <v/>
      </c>
      <c r="D275" s="7" t="str">
        <f aca="false">IF(OR(NOT(ISNUMBER($B275)),NOT(ISNUMBER($C275)),$C275=0),"",$B275/$C275)</f>
        <v/>
      </c>
      <c r="E275" s="7" t="str">
        <f aca="false">IF(NOT(ISNUMBER(Macro_Series!$H275)),"",Macro_Series!$H275)</f>
        <v/>
      </c>
      <c r="F275" s="7" t="str">
        <f aca="false">IF(OR(NOT(ISNUMBER($D275)),NOT(ISNUMBER($E275)),$E275=0),"",$D275/$E275)</f>
        <v/>
      </c>
      <c r="G275" s="8" t="str">
        <f aca="false">IF(OR(NOT(ISNUMBER($B275)),NOT(ISNUMBER($B30)),$B30=0),"",$B275/$B30-1)</f>
        <v/>
      </c>
      <c r="H275" s="8" t="str">
        <f aca="false">IF(OR(NOT(ISNUMBER($D275)),NOT(ISNUMBER($D30)),$D30=0),"",$D275/$D30-1)</f>
        <v/>
      </c>
      <c r="I275" s="8" t="str">
        <f aca="false">IF(OR(NOT(ISNUMBER($G275)),NOT(ISNUMBER($H275))),"",$G275-$H275)</f>
        <v/>
      </c>
    </row>
    <row r="276" customFormat="false" ht="15" hidden="false" customHeight="false" outlineLevel="0" collapsed="false">
      <c r="A276" s="5" t="str">
        <f aca="false">IF(NOT(ISNUMBER(Macro_Series!$A276)),"",Macro_Series!$A276)</f>
        <v/>
      </c>
      <c r="B276" s="6" t="str">
        <f aca="false">IF(NOT(ISNUMBER(Macro_Series!$C276)),"",Macro_Series!$C276)</f>
        <v/>
      </c>
      <c r="C276" s="6" t="str">
        <f aca="false">IF(NOT(ISNUMBER(Macro_Series!$E276)),"",Macro_Series!$E276)</f>
        <v/>
      </c>
      <c r="D276" s="7" t="str">
        <f aca="false">IF(OR(NOT(ISNUMBER($B276)),NOT(ISNUMBER($C276)),$C276=0),"",$B276/$C276)</f>
        <v/>
      </c>
      <c r="E276" s="7" t="str">
        <f aca="false">IF(NOT(ISNUMBER(Macro_Series!$H276)),"",Macro_Series!$H276)</f>
        <v/>
      </c>
      <c r="F276" s="7" t="str">
        <f aca="false">IF(OR(NOT(ISNUMBER($D276)),NOT(ISNUMBER($E276)),$E276=0),"",$D276/$E276)</f>
        <v/>
      </c>
      <c r="G276" s="8" t="str">
        <f aca="false">IF(OR(NOT(ISNUMBER($B276)),NOT(ISNUMBER($B31)),$B31=0),"",$B276/$B31-1)</f>
        <v/>
      </c>
      <c r="H276" s="8" t="str">
        <f aca="false">IF(OR(NOT(ISNUMBER($D276)),NOT(ISNUMBER($D31)),$D31=0),"",$D276/$D31-1)</f>
        <v/>
      </c>
      <c r="I276" s="8" t="str">
        <f aca="false">IF(OR(NOT(ISNUMBER($G276)),NOT(ISNUMBER($H276))),"",$G276-$H276)</f>
        <v/>
      </c>
    </row>
    <row r="277" customFormat="false" ht="15" hidden="false" customHeight="false" outlineLevel="0" collapsed="false">
      <c r="A277" s="5" t="str">
        <f aca="false">IF(NOT(ISNUMBER(Macro_Series!$A277)),"",Macro_Series!$A277)</f>
        <v/>
      </c>
      <c r="B277" s="6" t="str">
        <f aca="false">IF(NOT(ISNUMBER(Macro_Series!$C277)),"",Macro_Series!$C277)</f>
        <v/>
      </c>
      <c r="C277" s="6" t="str">
        <f aca="false">IF(NOT(ISNUMBER(Macro_Series!$E277)),"",Macro_Series!$E277)</f>
        <v/>
      </c>
      <c r="D277" s="7" t="str">
        <f aca="false">IF(OR(NOT(ISNUMBER($B277)),NOT(ISNUMBER($C277)),$C277=0),"",$B277/$C277)</f>
        <v/>
      </c>
      <c r="E277" s="7" t="str">
        <f aca="false">IF(NOT(ISNUMBER(Macro_Series!$H277)),"",Macro_Series!$H277)</f>
        <v/>
      </c>
      <c r="F277" s="7" t="str">
        <f aca="false">IF(OR(NOT(ISNUMBER($D277)),NOT(ISNUMBER($E277)),$E277=0),"",$D277/$E277)</f>
        <v/>
      </c>
      <c r="G277" s="8" t="str">
        <f aca="false">IF(OR(NOT(ISNUMBER($B277)),NOT(ISNUMBER($B32)),$B32=0),"",$B277/$B32-1)</f>
        <v/>
      </c>
      <c r="H277" s="8" t="str">
        <f aca="false">IF(OR(NOT(ISNUMBER($D277)),NOT(ISNUMBER($D32)),$D32=0),"",$D277/$D32-1)</f>
        <v/>
      </c>
      <c r="I277" s="8" t="str">
        <f aca="false">IF(OR(NOT(ISNUMBER($G277)),NOT(ISNUMBER($H277))),"",$G277-$H277)</f>
        <v/>
      </c>
    </row>
    <row r="278" customFormat="false" ht="15" hidden="false" customHeight="false" outlineLevel="0" collapsed="false">
      <c r="A278" s="5" t="str">
        <f aca="false">IF(NOT(ISNUMBER(Macro_Series!$A278)),"",Macro_Series!$A278)</f>
        <v/>
      </c>
      <c r="B278" s="6" t="str">
        <f aca="false">IF(NOT(ISNUMBER(Macro_Series!$C278)),"",Macro_Series!$C278)</f>
        <v/>
      </c>
      <c r="C278" s="6" t="str">
        <f aca="false">IF(NOT(ISNUMBER(Macro_Series!$E278)),"",Macro_Series!$E278)</f>
        <v/>
      </c>
      <c r="D278" s="7" t="str">
        <f aca="false">IF(OR(NOT(ISNUMBER($B278)),NOT(ISNUMBER($C278)),$C278=0),"",$B278/$C278)</f>
        <v/>
      </c>
      <c r="E278" s="7" t="str">
        <f aca="false">IF(NOT(ISNUMBER(Macro_Series!$H278)),"",Macro_Series!$H278)</f>
        <v/>
      </c>
      <c r="F278" s="7" t="str">
        <f aca="false">IF(OR(NOT(ISNUMBER($D278)),NOT(ISNUMBER($E278)),$E278=0),"",$D278/$E278)</f>
        <v/>
      </c>
      <c r="G278" s="8" t="str">
        <f aca="false">IF(OR(NOT(ISNUMBER($B278)),NOT(ISNUMBER($B33)),$B33=0),"",$B278/$B33-1)</f>
        <v/>
      </c>
      <c r="H278" s="8" t="str">
        <f aca="false">IF(OR(NOT(ISNUMBER($D278)),NOT(ISNUMBER($D33)),$D33=0),"",$D278/$D33-1)</f>
        <v/>
      </c>
      <c r="I278" s="8" t="str">
        <f aca="false">IF(OR(NOT(ISNUMBER($G278)),NOT(ISNUMBER($H278))),"",$G278-$H278)</f>
        <v/>
      </c>
    </row>
    <row r="279" customFormat="false" ht="15" hidden="false" customHeight="false" outlineLevel="0" collapsed="false">
      <c r="A279" s="5" t="str">
        <f aca="false">IF(NOT(ISNUMBER(Macro_Series!$A279)),"",Macro_Series!$A279)</f>
        <v/>
      </c>
      <c r="B279" s="6" t="str">
        <f aca="false">IF(NOT(ISNUMBER(Macro_Series!$C279)),"",Macro_Series!$C279)</f>
        <v/>
      </c>
      <c r="C279" s="6" t="str">
        <f aca="false">IF(NOT(ISNUMBER(Macro_Series!$E279)),"",Macro_Series!$E279)</f>
        <v/>
      </c>
      <c r="D279" s="7" t="str">
        <f aca="false">IF(OR(NOT(ISNUMBER($B279)),NOT(ISNUMBER($C279)),$C279=0),"",$B279/$C279)</f>
        <v/>
      </c>
      <c r="E279" s="7" t="str">
        <f aca="false">IF(NOT(ISNUMBER(Macro_Series!$H279)),"",Macro_Series!$H279)</f>
        <v/>
      </c>
      <c r="F279" s="7" t="str">
        <f aca="false">IF(OR(NOT(ISNUMBER($D279)),NOT(ISNUMBER($E279)),$E279=0),"",$D279/$E279)</f>
        <v/>
      </c>
      <c r="G279" s="8" t="str">
        <f aca="false">IF(OR(NOT(ISNUMBER($B279)),NOT(ISNUMBER($B34)),$B34=0),"",$B279/$B34-1)</f>
        <v/>
      </c>
      <c r="H279" s="8" t="str">
        <f aca="false">IF(OR(NOT(ISNUMBER($D279)),NOT(ISNUMBER($D34)),$D34=0),"",$D279/$D34-1)</f>
        <v/>
      </c>
      <c r="I279" s="8" t="str">
        <f aca="false">IF(OR(NOT(ISNUMBER($G279)),NOT(ISNUMBER($H279))),"",$G279-$H279)</f>
        <v/>
      </c>
    </row>
    <row r="280" customFormat="false" ht="15" hidden="false" customHeight="false" outlineLevel="0" collapsed="false">
      <c r="A280" s="5" t="str">
        <f aca="false">IF(NOT(ISNUMBER(Macro_Series!$A280)),"",Macro_Series!$A280)</f>
        <v/>
      </c>
      <c r="B280" s="6" t="str">
        <f aca="false">IF(NOT(ISNUMBER(Macro_Series!$C280)),"",Macro_Series!$C280)</f>
        <v/>
      </c>
      <c r="C280" s="6" t="str">
        <f aca="false">IF(NOT(ISNUMBER(Macro_Series!$E280)),"",Macro_Series!$E280)</f>
        <v/>
      </c>
      <c r="D280" s="7" t="str">
        <f aca="false">IF(OR(NOT(ISNUMBER($B280)),NOT(ISNUMBER($C280)),$C280=0),"",$B280/$C280)</f>
        <v/>
      </c>
      <c r="E280" s="7" t="str">
        <f aca="false">IF(NOT(ISNUMBER(Macro_Series!$H280)),"",Macro_Series!$H280)</f>
        <v/>
      </c>
      <c r="F280" s="7" t="str">
        <f aca="false">IF(OR(NOT(ISNUMBER($D280)),NOT(ISNUMBER($E280)),$E280=0),"",$D280/$E280)</f>
        <v/>
      </c>
      <c r="G280" s="8" t="str">
        <f aca="false">IF(OR(NOT(ISNUMBER($B280)),NOT(ISNUMBER($B35)),$B35=0),"",$B280/$B35-1)</f>
        <v/>
      </c>
      <c r="H280" s="8" t="str">
        <f aca="false">IF(OR(NOT(ISNUMBER($D280)),NOT(ISNUMBER($D35)),$D35=0),"",$D280/$D35-1)</f>
        <v/>
      </c>
      <c r="I280" s="8" t="str">
        <f aca="false">IF(OR(NOT(ISNUMBER($G280)),NOT(ISNUMBER($H280))),"",$G280-$H280)</f>
        <v/>
      </c>
    </row>
    <row r="281" customFormat="false" ht="15" hidden="false" customHeight="false" outlineLevel="0" collapsed="false">
      <c r="A281" s="5" t="str">
        <f aca="false">IF(NOT(ISNUMBER(Macro_Series!$A281)),"",Macro_Series!$A281)</f>
        <v/>
      </c>
      <c r="B281" s="6" t="str">
        <f aca="false">IF(NOT(ISNUMBER(Macro_Series!$C281)),"",Macro_Series!$C281)</f>
        <v/>
      </c>
      <c r="C281" s="6" t="str">
        <f aca="false">IF(NOT(ISNUMBER(Macro_Series!$E281)),"",Macro_Series!$E281)</f>
        <v/>
      </c>
      <c r="D281" s="7" t="str">
        <f aca="false">IF(OR(NOT(ISNUMBER($B281)),NOT(ISNUMBER($C281)),$C281=0),"",$B281/$C281)</f>
        <v/>
      </c>
      <c r="E281" s="7" t="str">
        <f aca="false">IF(NOT(ISNUMBER(Macro_Series!$H281)),"",Macro_Series!$H281)</f>
        <v/>
      </c>
      <c r="F281" s="7" t="str">
        <f aca="false">IF(OR(NOT(ISNUMBER($D281)),NOT(ISNUMBER($E281)),$E281=0),"",$D281/$E281)</f>
        <v/>
      </c>
      <c r="G281" s="8" t="str">
        <f aca="false">IF(OR(NOT(ISNUMBER($B281)),NOT(ISNUMBER($B36)),$B36=0),"",$B281/$B36-1)</f>
        <v/>
      </c>
      <c r="H281" s="8" t="str">
        <f aca="false">IF(OR(NOT(ISNUMBER($D281)),NOT(ISNUMBER($D36)),$D36=0),"",$D281/$D36-1)</f>
        <v/>
      </c>
      <c r="I281" s="8" t="str">
        <f aca="false">IF(OR(NOT(ISNUMBER($G281)),NOT(ISNUMBER($H281))),"",$G281-$H281)</f>
        <v/>
      </c>
    </row>
    <row r="282" customFormat="false" ht="15" hidden="false" customHeight="false" outlineLevel="0" collapsed="false">
      <c r="A282" s="5" t="str">
        <f aca="false">IF(NOT(ISNUMBER(Macro_Series!$A282)),"",Macro_Series!$A282)</f>
        <v/>
      </c>
      <c r="B282" s="6" t="str">
        <f aca="false">IF(NOT(ISNUMBER(Macro_Series!$C282)),"",Macro_Series!$C282)</f>
        <v/>
      </c>
      <c r="C282" s="6" t="str">
        <f aca="false">IF(NOT(ISNUMBER(Macro_Series!$E282)),"",Macro_Series!$E282)</f>
        <v/>
      </c>
      <c r="D282" s="7" t="str">
        <f aca="false">IF(OR(NOT(ISNUMBER($B282)),NOT(ISNUMBER($C282)),$C282=0),"",$B282/$C282)</f>
        <v/>
      </c>
      <c r="E282" s="7" t="str">
        <f aca="false">IF(NOT(ISNUMBER(Macro_Series!$H282)),"",Macro_Series!$H282)</f>
        <v/>
      </c>
      <c r="F282" s="7" t="str">
        <f aca="false">IF(OR(NOT(ISNUMBER($D282)),NOT(ISNUMBER($E282)),$E282=0),"",$D282/$E282)</f>
        <v/>
      </c>
      <c r="G282" s="8" t="str">
        <f aca="false">IF(OR(NOT(ISNUMBER($B282)),NOT(ISNUMBER($B37)),$B37=0),"",$B282/$B37-1)</f>
        <v/>
      </c>
      <c r="H282" s="8" t="str">
        <f aca="false">IF(OR(NOT(ISNUMBER($D282)),NOT(ISNUMBER($D37)),$D37=0),"",$D282/$D37-1)</f>
        <v/>
      </c>
      <c r="I282" s="8" t="str">
        <f aca="false">IF(OR(NOT(ISNUMBER($G282)),NOT(ISNUMBER($H282))),"",$G282-$H282)</f>
        <v/>
      </c>
    </row>
    <row r="283" customFormat="false" ht="15" hidden="false" customHeight="false" outlineLevel="0" collapsed="false">
      <c r="A283" s="5" t="str">
        <f aca="false">IF(NOT(ISNUMBER(Macro_Series!$A283)),"",Macro_Series!$A283)</f>
        <v/>
      </c>
      <c r="B283" s="6" t="str">
        <f aca="false">IF(NOT(ISNUMBER(Macro_Series!$C283)),"",Macro_Series!$C283)</f>
        <v/>
      </c>
      <c r="C283" s="6" t="str">
        <f aca="false">IF(NOT(ISNUMBER(Macro_Series!$E283)),"",Macro_Series!$E283)</f>
        <v/>
      </c>
      <c r="D283" s="7" t="str">
        <f aca="false">IF(OR(NOT(ISNUMBER($B283)),NOT(ISNUMBER($C283)),$C283=0),"",$B283/$C283)</f>
        <v/>
      </c>
      <c r="E283" s="7" t="str">
        <f aca="false">IF(NOT(ISNUMBER(Macro_Series!$H283)),"",Macro_Series!$H283)</f>
        <v/>
      </c>
      <c r="F283" s="7" t="str">
        <f aca="false">IF(OR(NOT(ISNUMBER($D283)),NOT(ISNUMBER($E283)),$E283=0),"",$D283/$E283)</f>
        <v/>
      </c>
      <c r="G283" s="8" t="str">
        <f aca="false">IF(OR(NOT(ISNUMBER($B283)),NOT(ISNUMBER($B38)),$B38=0),"",$B283/$B38-1)</f>
        <v/>
      </c>
      <c r="H283" s="8" t="str">
        <f aca="false">IF(OR(NOT(ISNUMBER($D283)),NOT(ISNUMBER($D38)),$D38=0),"",$D283/$D38-1)</f>
        <v/>
      </c>
      <c r="I283" s="8" t="str">
        <f aca="false">IF(OR(NOT(ISNUMBER($G283)),NOT(ISNUMBER($H283))),"",$G283-$H283)</f>
        <v/>
      </c>
    </row>
    <row r="284" customFormat="false" ht="15" hidden="false" customHeight="false" outlineLevel="0" collapsed="false">
      <c r="A284" s="5" t="str">
        <f aca="false">IF(NOT(ISNUMBER(Macro_Series!$A284)),"",Macro_Series!$A284)</f>
        <v/>
      </c>
      <c r="B284" s="6" t="str">
        <f aca="false">IF(NOT(ISNUMBER(Macro_Series!$C284)),"",Macro_Series!$C284)</f>
        <v/>
      </c>
      <c r="C284" s="6" t="str">
        <f aca="false">IF(NOT(ISNUMBER(Macro_Series!$E284)),"",Macro_Series!$E284)</f>
        <v/>
      </c>
      <c r="D284" s="7" t="str">
        <f aca="false">IF(OR(NOT(ISNUMBER($B284)),NOT(ISNUMBER($C284)),$C284=0),"",$B284/$C284)</f>
        <v/>
      </c>
      <c r="E284" s="7" t="str">
        <f aca="false">IF(NOT(ISNUMBER(Macro_Series!$H284)),"",Macro_Series!$H284)</f>
        <v/>
      </c>
      <c r="F284" s="7" t="str">
        <f aca="false">IF(OR(NOT(ISNUMBER($D284)),NOT(ISNUMBER($E284)),$E284=0),"",$D284/$E284)</f>
        <v/>
      </c>
      <c r="G284" s="8" t="str">
        <f aca="false">IF(OR(NOT(ISNUMBER($B284)),NOT(ISNUMBER($B39)),$B39=0),"",$B284/$B39-1)</f>
        <v/>
      </c>
      <c r="H284" s="8" t="str">
        <f aca="false">IF(OR(NOT(ISNUMBER($D284)),NOT(ISNUMBER($D39)),$D39=0),"",$D284/$D39-1)</f>
        <v/>
      </c>
      <c r="I284" s="8" t="str">
        <f aca="false">IF(OR(NOT(ISNUMBER($G284)),NOT(ISNUMBER($H284))),"",$G284-$H284)</f>
        <v/>
      </c>
    </row>
    <row r="285" customFormat="false" ht="15" hidden="false" customHeight="false" outlineLevel="0" collapsed="false">
      <c r="A285" s="5" t="str">
        <f aca="false">IF(NOT(ISNUMBER(Macro_Series!$A285)),"",Macro_Series!$A285)</f>
        <v/>
      </c>
      <c r="B285" s="6" t="str">
        <f aca="false">IF(NOT(ISNUMBER(Macro_Series!$C285)),"",Macro_Series!$C285)</f>
        <v/>
      </c>
      <c r="C285" s="6" t="str">
        <f aca="false">IF(NOT(ISNUMBER(Macro_Series!$E285)),"",Macro_Series!$E285)</f>
        <v/>
      </c>
      <c r="D285" s="7" t="str">
        <f aca="false">IF(OR(NOT(ISNUMBER($B285)),NOT(ISNUMBER($C285)),$C285=0),"",$B285/$C285)</f>
        <v/>
      </c>
      <c r="E285" s="7" t="str">
        <f aca="false">IF(NOT(ISNUMBER(Macro_Series!$H285)),"",Macro_Series!$H285)</f>
        <v/>
      </c>
      <c r="F285" s="7" t="str">
        <f aca="false">IF(OR(NOT(ISNUMBER($D285)),NOT(ISNUMBER($E285)),$E285=0),"",$D285/$E285)</f>
        <v/>
      </c>
      <c r="G285" s="8" t="str">
        <f aca="false">IF(OR(NOT(ISNUMBER($B285)),NOT(ISNUMBER($B40)),$B40=0),"",$B285/$B40-1)</f>
        <v/>
      </c>
      <c r="H285" s="8" t="str">
        <f aca="false">IF(OR(NOT(ISNUMBER($D285)),NOT(ISNUMBER($D40)),$D40=0),"",$D285/$D40-1)</f>
        <v/>
      </c>
      <c r="I285" s="8" t="str">
        <f aca="false">IF(OR(NOT(ISNUMBER($G285)),NOT(ISNUMBER($H285))),"",$G285-$H285)</f>
        <v/>
      </c>
    </row>
    <row r="286" customFormat="false" ht="15" hidden="false" customHeight="false" outlineLevel="0" collapsed="false">
      <c r="A286" s="5" t="str">
        <f aca="false">IF(NOT(ISNUMBER(Macro_Series!$A286)),"",Macro_Series!$A286)</f>
        <v/>
      </c>
      <c r="B286" s="6" t="str">
        <f aca="false">IF(NOT(ISNUMBER(Macro_Series!$C286)),"",Macro_Series!$C286)</f>
        <v/>
      </c>
      <c r="C286" s="6" t="str">
        <f aca="false">IF(NOT(ISNUMBER(Macro_Series!$E286)),"",Macro_Series!$E286)</f>
        <v/>
      </c>
      <c r="D286" s="7" t="str">
        <f aca="false">IF(OR(NOT(ISNUMBER($B286)),NOT(ISNUMBER($C286)),$C286=0),"",$B286/$C286)</f>
        <v/>
      </c>
      <c r="E286" s="7" t="str">
        <f aca="false">IF(NOT(ISNUMBER(Macro_Series!$H286)),"",Macro_Series!$H286)</f>
        <v/>
      </c>
      <c r="F286" s="7" t="str">
        <f aca="false">IF(OR(NOT(ISNUMBER($D286)),NOT(ISNUMBER($E286)),$E286=0),"",$D286/$E286)</f>
        <v/>
      </c>
      <c r="G286" s="8" t="str">
        <f aca="false">IF(OR(NOT(ISNUMBER($B286)),NOT(ISNUMBER($B41)),$B41=0),"",$B286/$B41-1)</f>
        <v/>
      </c>
      <c r="H286" s="8" t="str">
        <f aca="false">IF(OR(NOT(ISNUMBER($D286)),NOT(ISNUMBER($D41)),$D41=0),"",$D286/$D41-1)</f>
        <v/>
      </c>
      <c r="I286" s="8" t="str">
        <f aca="false">IF(OR(NOT(ISNUMBER($G286)),NOT(ISNUMBER($H286))),"",$G286-$H286)</f>
        <v/>
      </c>
    </row>
    <row r="287" customFormat="false" ht="15" hidden="false" customHeight="false" outlineLevel="0" collapsed="false">
      <c r="A287" s="5" t="str">
        <f aca="false">IF(NOT(ISNUMBER(Macro_Series!$A287)),"",Macro_Series!$A287)</f>
        <v/>
      </c>
      <c r="B287" s="6" t="str">
        <f aca="false">IF(NOT(ISNUMBER(Macro_Series!$C287)),"",Macro_Series!$C287)</f>
        <v/>
      </c>
      <c r="C287" s="6" t="str">
        <f aca="false">IF(NOT(ISNUMBER(Macro_Series!$E287)),"",Macro_Series!$E287)</f>
        <v/>
      </c>
      <c r="D287" s="7" t="str">
        <f aca="false">IF(OR(NOT(ISNUMBER($B287)),NOT(ISNUMBER($C287)),$C287=0),"",$B287/$C287)</f>
        <v/>
      </c>
      <c r="E287" s="7" t="str">
        <f aca="false">IF(NOT(ISNUMBER(Macro_Series!$H287)),"",Macro_Series!$H287)</f>
        <v/>
      </c>
      <c r="F287" s="7" t="str">
        <f aca="false">IF(OR(NOT(ISNUMBER($D287)),NOT(ISNUMBER($E287)),$E287=0),"",$D287/$E287)</f>
        <v/>
      </c>
      <c r="G287" s="8" t="str">
        <f aca="false">IF(OR(NOT(ISNUMBER($B287)),NOT(ISNUMBER($B42)),$B42=0),"",$B287/$B42-1)</f>
        <v/>
      </c>
      <c r="H287" s="8" t="str">
        <f aca="false">IF(OR(NOT(ISNUMBER($D287)),NOT(ISNUMBER($D42)),$D42=0),"",$D287/$D42-1)</f>
        <v/>
      </c>
      <c r="I287" s="8" t="str">
        <f aca="false">IF(OR(NOT(ISNUMBER($G287)),NOT(ISNUMBER($H287))),"",$G287-$H287)</f>
        <v/>
      </c>
    </row>
    <row r="288" customFormat="false" ht="15" hidden="false" customHeight="false" outlineLevel="0" collapsed="false">
      <c r="A288" s="5" t="str">
        <f aca="false">IF(NOT(ISNUMBER(Macro_Series!$A288)),"",Macro_Series!$A288)</f>
        <v/>
      </c>
      <c r="B288" s="6" t="str">
        <f aca="false">IF(NOT(ISNUMBER(Macro_Series!$C288)),"",Macro_Series!$C288)</f>
        <v/>
      </c>
      <c r="C288" s="6" t="str">
        <f aca="false">IF(NOT(ISNUMBER(Macro_Series!$E288)),"",Macro_Series!$E288)</f>
        <v/>
      </c>
      <c r="D288" s="7" t="str">
        <f aca="false">IF(OR(NOT(ISNUMBER($B288)),NOT(ISNUMBER($C288)),$C288=0),"",$B288/$C288)</f>
        <v/>
      </c>
      <c r="E288" s="7" t="str">
        <f aca="false">IF(NOT(ISNUMBER(Macro_Series!$H288)),"",Macro_Series!$H288)</f>
        <v/>
      </c>
      <c r="F288" s="7" t="str">
        <f aca="false">IF(OR(NOT(ISNUMBER($D288)),NOT(ISNUMBER($E288)),$E288=0),"",$D288/$E288)</f>
        <v/>
      </c>
      <c r="G288" s="8" t="str">
        <f aca="false">IF(OR(NOT(ISNUMBER($B288)),NOT(ISNUMBER($B43)),$B43=0),"",$B288/$B43-1)</f>
        <v/>
      </c>
      <c r="H288" s="8" t="str">
        <f aca="false">IF(OR(NOT(ISNUMBER($D288)),NOT(ISNUMBER($D43)),$D43=0),"",$D288/$D43-1)</f>
        <v/>
      </c>
      <c r="I288" s="8" t="str">
        <f aca="false">IF(OR(NOT(ISNUMBER($G288)),NOT(ISNUMBER($H288))),"",$G288-$H288)</f>
        <v/>
      </c>
    </row>
    <row r="289" customFormat="false" ht="15" hidden="false" customHeight="false" outlineLevel="0" collapsed="false">
      <c r="A289" s="5" t="str">
        <f aca="false">IF(NOT(ISNUMBER(Macro_Series!$A289)),"",Macro_Series!$A289)</f>
        <v/>
      </c>
      <c r="B289" s="6" t="str">
        <f aca="false">IF(NOT(ISNUMBER(Macro_Series!$C289)),"",Macro_Series!$C289)</f>
        <v/>
      </c>
      <c r="C289" s="6" t="str">
        <f aca="false">IF(NOT(ISNUMBER(Macro_Series!$E289)),"",Macro_Series!$E289)</f>
        <v/>
      </c>
      <c r="D289" s="7" t="str">
        <f aca="false">IF(OR(NOT(ISNUMBER($B289)),NOT(ISNUMBER($C289)),$C289=0),"",$B289/$C289)</f>
        <v/>
      </c>
      <c r="E289" s="7" t="str">
        <f aca="false">IF(NOT(ISNUMBER(Macro_Series!$H289)),"",Macro_Series!$H289)</f>
        <v/>
      </c>
      <c r="F289" s="7" t="str">
        <f aca="false">IF(OR(NOT(ISNUMBER($D289)),NOT(ISNUMBER($E289)),$E289=0),"",$D289/$E289)</f>
        <v/>
      </c>
      <c r="G289" s="8" t="str">
        <f aca="false">IF(OR(NOT(ISNUMBER($B289)),NOT(ISNUMBER($B44)),$B44=0),"",$B289/$B44-1)</f>
        <v/>
      </c>
      <c r="H289" s="8" t="str">
        <f aca="false">IF(OR(NOT(ISNUMBER($D289)),NOT(ISNUMBER($D44)),$D44=0),"",$D289/$D44-1)</f>
        <v/>
      </c>
      <c r="I289" s="8" t="str">
        <f aca="false">IF(OR(NOT(ISNUMBER($G289)),NOT(ISNUMBER($H289))),"",$G289-$H289)</f>
        <v/>
      </c>
    </row>
    <row r="290" customFormat="false" ht="15" hidden="false" customHeight="false" outlineLevel="0" collapsed="false">
      <c r="A290" s="5" t="str">
        <f aca="false">IF(NOT(ISNUMBER(Macro_Series!$A290)),"",Macro_Series!$A290)</f>
        <v/>
      </c>
      <c r="B290" s="6" t="str">
        <f aca="false">IF(NOT(ISNUMBER(Macro_Series!$C290)),"",Macro_Series!$C290)</f>
        <v/>
      </c>
      <c r="C290" s="6" t="str">
        <f aca="false">IF(NOT(ISNUMBER(Macro_Series!$E290)),"",Macro_Series!$E290)</f>
        <v/>
      </c>
      <c r="D290" s="7" t="str">
        <f aca="false">IF(OR(NOT(ISNUMBER($B290)),NOT(ISNUMBER($C290)),$C290=0),"",$B290/$C290)</f>
        <v/>
      </c>
      <c r="E290" s="7" t="str">
        <f aca="false">IF(NOT(ISNUMBER(Macro_Series!$H290)),"",Macro_Series!$H290)</f>
        <v/>
      </c>
      <c r="F290" s="7" t="str">
        <f aca="false">IF(OR(NOT(ISNUMBER($D290)),NOT(ISNUMBER($E290)),$E290=0),"",$D290/$E290)</f>
        <v/>
      </c>
      <c r="G290" s="8" t="str">
        <f aca="false">IF(OR(NOT(ISNUMBER($B290)),NOT(ISNUMBER($B45)),$B45=0),"",$B290/$B45-1)</f>
        <v/>
      </c>
      <c r="H290" s="8" t="str">
        <f aca="false">IF(OR(NOT(ISNUMBER($D290)),NOT(ISNUMBER($D45)),$D45=0),"",$D290/$D45-1)</f>
        <v/>
      </c>
      <c r="I290" s="8" t="str">
        <f aca="false">IF(OR(NOT(ISNUMBER($G290)),NOT(ISNUMBER($H290))),"",$G290-$H290)</f>
        <v/>
      </c>
    </row>
    <row r="291" customFormat="false" ht="15" hidden="false" customHeight="false" outlineLevel="0" collapsed="false">
      <c r="A291" s="5" t="str">
        <f aca="false">IF(NOT(ISNUMBER(Macro_Series!$A291)),"",Macro_Series!$A291)</f>
        <v/>
      </c>
      <c r="B291" s="6" t="str">
        <f aca="false">IF(NOT(ISNUMBER(Macro_Series!$C291)),"",Macro_Series!$C291)</f>
        <v/>
      </c>
      <c r="C291" s="6" t="str">
        <f aca="false">IF(NOT(ISNUMBER(Macro_Series!$E291)),"",Macro_Series!$E291)</f>
        <v/>
      </c>
      <c r="D291" s="7" t="str">
        <f aca="false">IF(OR(NOT(ISNUMBER($B291)),NOT(ISNUMBER($C291)),$C291=0),"",$B291/$C291)</f>
        <v/>
      </c>
      <c r="E291" s="7" t="str">
        <f aca="false">IF(NOT(ISNUMBER(Macro_Series!$H291)),"",Macro_Series!$H291)</f>
        <v/>
      </c>
      <c r="F291" s="7" t="str">
        <f aca="false">IF(OR(NOT(ISNUMBER($D291)),NOT(ISNUMBER($E291)),$E291=0),"",$D291/$E291)</f>
        <v/>
      </c>
      <c r="G291" s="8" t="str">
        <f aca="false">IF(OR(NOT(ISNUMBER($B291)),NOT(ISNUMBER($B46)),$B46=0),"",$B291/$B46-1)</f>
        <v/>
      </c>
      <c r="H291" s="8" t="str">
        <f aca="false">IF(OR(NOT(ISNUMBER($D291)),NOT(ISNUMBER($D46)),$D46=0),"",$D291/$D46-1)</f>
        <v/>
      </c>
      <c r="I291" s="8" t="str">
        <f aca="false">IF(OR(NOT(ISNUMBER($G291)),NOT(ISNUMBER($H291))),"",$G291-$H291)</f>
        <v/>
      </c>
    </row>
    <row r="292" customFormat="false" ht="15" hidden="false" customHeight="false" outlineLevel="0" collapsed="false">
      <c r="A292" s="5" t="str">
        <f aca="false">IF(NOT(ISNUMBER(Macro_Series!$A292)),"",Macro_Series!$A292)</f>
        <v/>
      </c>
      <c r="B292" s="6" t="str">
        <f aca="false">IF(NOT(ISNUMBER(Macro_Series!$C292)),"",Macro_Series!$C292)</f>
        <v/>
      </c>
      <c r="C292" s="6" t="str">
        <f aca="false">IF(NOT(ISNUMBER(Macro_Series!$E292)),"",Macro_Series!$E292)</f>
        <v/>
      </c>
      <c r="D292" s="7" t="str">
        <f aca="false">IF(OR(NOT(ISNUMBER($B292)),NOT(ISNUMBER($C292)),$C292=0),"",$B292/$C292)</f>
        <v/>
      </c>
      <c r="E292" s="7" t="str">
        <f aca="false">IF(NOT(ISNUMBER(Macro_Series!$H292)),"",Macro_Series!$H292)</f>
        <v/>
      </c>
      <c r="F292" s="7" t="str">
        <f aca="false">IF(OR(NOT(ISNUMBER($D292)),NOT(ISNUMBER($E292)),$E292=0),"",$D292/$E292)</f>
        <v/>
      </c>
      <c r="G292" s="8" t="str">
        <f aca="false">IF(OR(NOT(ISNUMBER($B292)),NOT(ISNUMBER($B47)),$B47=0),"",$B292/$B47-1)</f>
        <v/>
      </c>
      <c r="H292" s="8" t="str">
        <f aca="false">IF(OR(NOT(ISNUMBER($D292)),NOT(ISNUMBER($D47)),$D47=0),"",$D292/$D47-1)</f>
        <v/>
      </c>
      <c r="I292" s="8" t="str">
        <f aca="false">IF(OR(NOT(ISNUMBER($G292)),NOT(ISNUMBER($H292))),"",$G292-$H292)</f>
        <v/>
      </c>
    </row>
    <row r="293" customFormat="false" ht="15" hidden="false" customHeight="false" outlineLevel="0" collapsed="false">
      <c r="A293" s="5" t="str">
        <f aca="false">IF(NOT(ISNUMBER(Macro_Series!$A293)),"",Macro_Series!$A293)</f>
        <v/>
      </c>
      <c r="B293" s="6" t="str">
        <f aca="false">IF(NOT(ISNUMBER(Macro_Series!$C293)),"",Macro_Series!$C293)</f>
        <v/>
      </c>
      <c r="C293" s="6" t="str">
        <f aca="false">IF(NOT(ISNUMBER(Macro_Series!$E293)),"",Macro_Series!$E293)</f>
        <v/>
      </c>
      <c r="D293" s="7" t="str">
        <f aca="false">IF(OR(NOT(ISNUMBER($B293)),NOT(ISNUMBER($C293)),$C293=0),"",$B293/$C293)</f>
        <v/>
      </c>
      <c r="E293" s="7" t="str">
        <f aca="false">IF(NOT(ISNUMBER(Macro_Series!$H293)),"",Macro_Series!$H293)</f>
        <v/>
      </c>
      <c r="F293" s="7" t="str">
        <f aca="false">IF(OR(NOT(ISNUMBER($D293)),NOT(ISNUMBER($E293)),$E293=0),"",$D293/$E293)</f>
        <v/>
      </c>
      <c r="G293" s="8" t="str">
        <f aca="false">IF(OR(NOT(ISNUMBER($B293)),NOT(ISNUMBER($B48)),$B48=0),"",$B293/$B48-1)</f>
        <v/>
      </c>
      <c r="H293" s="8" t="str">
        <f aca="false">IF(OR(NOT(ISNUMBER($D293)),NOT(ISNUMBER($D48)),$D48=0),"",$D293/$D48-1)</f>
        <v/>
      </c>
      <c r="I293" s="8" t="str">
        <f aca="false">IF(OR(NOT(ISNUMBER($G293)),NOT(ISNUMBER($H293))),"",$G293-$H293)</f>
        <v/>
      </c>
    </row>
    <row r="294" customFormat="false" ht="15" hidden="false" customHeight="false" outlineLevel="0" collapsed="false">
      <c r="A294" s="5" t="str">
        <f aca="false">IF(NOT(ISNUMBER(Macro_Series!$A294)),"",Macro_Series!$A294)</f>
        <v/>
      </c>
      <c r="B294" s="6" t="str">
        <f aca="false">IF(NOT(ISNUMBER(Macro_Series!$C294)),"",Macro_Series!$C294)</f>
        <v/>
      </c>
      <c r="C294" s="6" t="str">
        <f aca="false">IF(NOT(ISNUMBER(Macro_Series!$E294)),"",Macro_Series!$E294)</f>
        <v/>
      </c>
      <c r="D294" s="7" t="str">
        <f aca="false">IF(OR(NOT(ISNUMBER($B294)),NOT(ISNUMBER($C294)),$C294=0),"",$B294/$C294)</f>
        <v/>
      </c>
      <c r="E294" s="7" t="str">
        <f aca="false">IF(NOT(ISNUMBER(Macro_Series!$H294)),"",Macro_Series!$H294)</f>
        <v/>
      </c>
      <c r="F294" s="7" t="str">
        <f aca="false">IF(OR(NOT(ISNUMBER($D294)),NOT(ISNUMBER($E294)),$E294=0),"",$D294/$E294)</f>
        <v/>
      </c>
      <c r="G294" s="8" t="str">
        <f aca="false">IF(OR(NOT(ISNUMBER($B294)),NOT(ISNUMBER($B49)),$B49=0),"",$B294/$B49-1)</f>
        <v/>
      </c>
      <c r="H294" s="8" t="str">
        <f aca="false">IF(OR(NOT(ISNUMBER($D294)),NOT(ISNUMBER($D49)),$D49=0),"",$D294/$D49-1)</f>
        <v/>
      </c>
      <c r="I294" s="8" t="str">
        <f aca="false">IF(OR(NOT(ISNUMBER($G294)),NOT(ISNUMBER($H294))),"",$G294-$H294)</f>
        <v/>
      </c>
    </row>
    <row r="295" customFormat="false" ht="15" hidden="false" customHeight="false" outlineLevel="0" collapsed="false">
      <c r="A295" s="5" t="str">
        <f aca="false">IF(NOT(ISNUMBER(Macro_Series!$A295)),"",Macro_Series!$A295)</f>
        <v/>
      </c>
      <c r="B295" s="6" t="str">
        <f aca="false">IF(NOT(ISNUMBER(Macro_Series!$C295)),"",Macro_Series!$C295)</f>
        <v/>
      </c>
      <c r="C295" s="6" t="str">
        <f aca="false">IF(NOT(ISNUMBER(Macro_Series!$E295)),"",Macro_Series!$E295)</f>
        <v/>
      </c>
      <c r="D295" s="7" t="str">
        <f aca="false">IF(OR(NOT(ISNUMBER($B295)),NOT(ISNUMBER($C295)),$C295=0),"",$B295/$C295)</f>
        <v/>
      </c>
      <c r="E295" s="7" t="str">
        <f aca="false">IF(NOT(ISNUMBER(Macro_Series!$H295)),"",Macro_Series!$H295)</f>
        <v/>
      </c>
      <c r="F295" s="7" t="str">
        <f aca="false">IF(OR(NOT(ISNUMBER($D295)),NOT(ISNUMBER($E295)),$E295=0),"",$D295/$E295)</f>
        <v/>
      </c>
      <c r="G295" s="8" t="str">
        <f aca="false">IF(OR(NOT(ISNUMBER($B295)),NOT(ISNUMBER($B50)),$B50=0),"",$B295/$B50-1)</f>
        <v/>
      </c>
      <c r="H295" s="8" t="str">
        <f aca="false">IF(OR(NOT(ISNUMBER($D295)),NOT(ISNUMBER($D50)),$D50=0),"",$D295/$D50-1)</f>
        <v/>
      </c>
      <c r="I295" s="8" t="str">
        <f aca="false">IF(OR(NOT(ISNUMBER($G295)),NOT(ISNUMBER($H295))),"",$G295-$H295)</f>
        <v/>
      </c>
    </row>
    <row r="296" customFormat="false" ht="15" hidden="false" customHeight="false" outlineLevel="0" collapsed="false">
      <c r="A296" s="5" t="str">
        <f aca="false">IF(NOT(ISNUMBER(Macro_Series!$A296)),"",Macro_Series!$A296)</f>
        <v/>
      </c>
      <c r="B296" s="6" t="str">
        <f aca="false">IF(NOT(ISNUMBER(Macro_Series!$C296)),"",Macro_Series!$C296)</f>
        <v/>
      </c>
      <c r="C296" s="6" t="str">
        <f aca="false">IF(NOT(ISNUMBER(Macro_Series!$E296)),"",Macro_Series!$E296)</f>
        <v/>
      </c>
      <c r="D296" s="7" t="str">
        <f aca="false">IF(OR(NOT(ISNUMBER($B296)),NOT(ISNUMBER($C296)),$C296=0),"",$B296/$C296)</f>
        <v/>
      </c>
      <c r="E296" s="7" t="str">
        <f aca="false">IF(NOT(ISNUMBER(Macro_Series!$H296)),"",Macro_Series!$H296)</f>
        <v/>
      </c>
      <c r="F296" s="7" t="str">
        <f aca="false">IF(OR(NOT(ISNUMBER($D296)),NOT(ISNUMBER($E296)),$E296=0),"",$D296/$E296)</f>
        <v/>
      </c>
      <c r="G296" s="8" t="str">
        <f aca="false">IF(OR(NOT(ISNUMBER($B296)),NOT(ISNUMBER($B51)),$B51=0),"",$B296/$B51-1)</f>
        <v/>
      </c>
      <c r="H296" s="8" t="str">
        <f aca="false">IF(OR(NOT(ISNUMBER($D296)),NOT(ISNUMBER($D51)),$D51=0),"",$D296/$D51-1)</f>
        <v/>
      </c>
      <c r="I296" s="8" t="str">
        <f aca="false">IF(OR(NOT(ISNUMBER($G296)),NOT(ISNUMBER($H296))),"",$G296-$H296)</f>
        <v/>
      </c>
    </row>
    <row r="297" customFormat="false" ht="15" hidden="false" customHeight="false" outlineLevel="0" collapsed="false">
      <c r="A297" s="5" t="str">
        <f aca="false">IF(NOT(ISNUMBER(Macro_Series!$A297)),"",Macro_Series!$A297)</f>
        <v/>
      </c>
      <c r="B297" s="6" t="str">
        <f aca="false">IF(NOT(ISNUMBER(Macro_Series!$C297)),"",Macro_Series!$C297)</f>
        <v/>
      </c>
      <c r="C297" s="6" t="str">
        <f aca="false">IF(NOT(ISNUMBER(Macro_Series!$E297)),"",Macro_Series!$E297)</f>
        <v/>
      </c>
      <c r="D297" s="7" t="str">
        <f aca="false">IF(OR(NOT(ISNUMBER($B297)),NOT(ISNUMBER($C297)),$C297=0),"",$B297/$C297)</f>
        <v/>
      </c>
      <c r="E297" s="7" t="str">
        <f aca="false">IF(NOT(ISNUMBER(Macro_Series!$H297)),"",Macro_Series!$H297)</f>
        <v/>
      </c>
      <c r="F297" s="7" t="str">
        <f aca="false">IF(OR(NOT(ISNUMBER($D297)),NOT(ISNUMBER($E297)),$E297=0),"",$D297/$E297)</f>
        <v/>
      </c>
      <c r="G297" s="8" t="str">
        <f aca="false">IF(OR(NOT(ISNUMBER($B297)),NOT(ISNUMBER($B52)),$B52=0),"",$B297/$B52-1)</f>
        <v/>
      </c>
      <c r="H297" s="8" t="str">
        <f aca="false">IF(OR(NOT(ISNUMBER($D297)),NOT(ISNUMBER($D52)),$D52=0),"",$D297/$D52-1)</f>
        <v/>
      </c>
      <c r="I297" s="8" t="str">
        <f aca="false">IF(OR(NOT(ISNUMBER($G297)),NOT(ISNUMBER($H297))),"",$G297-$H297)</f>
        <v/>
      </c>
    </row>
    <row r="298" customFormat="false" ht="15" hidden="false" customHeight="false" outlineLevel="0" collapsed="false">
      <c r="A298" s="5" t="str">
        <f aca="false">IF(NOT(ISNUMBER(Macro_Series!$A298)),"",Macro_Series!$A298)</f>
        <v/>
      </c>
      <c r="B298" s="6" t="str">
        <f aca="false">IF(NOT(ISNUMBER(Macro_Series!$C298)),"",Macro_Series!$C298)</f>
        <v/>
      </c>
      <c r="C298" s="6" t="str">
        <f aca="false">IF(NOT(ISNUMBER(Macro_Series!$E298)),"",Macro_Series!$E298)</f>
        <v/>
      </c>
      <c r="D298" s="7" t="str">
        <f aca="false">IF(OR(NOT(ISNUMBER($B298)),NOT(ISNUMBER($C298)),$C298=0),"",$B298/$C298)</f>
        <v/>
      </c>
      <c r="E298" s="7" t="str">
        <f aca="false">IF(NOT(ISNUMBER(Macro_Series!$H298)),"",Macro_Series!$H298)</f>
        <v/>
      </c>
      <c r="F298" s="7" t="str">
        <f aca="false">IF(OR(NOT(ISNUMBER($D298)),NOT(ISNUMBER($E298)),$E298=0),"",$D298/$E298)</f>
        <v/>
      </c>
      <c r="G298" s="8" t="str">
        <f aca="false">IF(OR(NOT(ISNUMBER($B298)),NOT(ISNUMBER($B53)),$B53=0),"",$B298/$B53-1)</f>
        <v/>
      </c>
      <c r="H298" s="8" t="str">
        <f aca="false">IF(OR(NOT(ISNUMBER($D298)),NOT(ISNUMBER($D53)),$D53=0),"",$D298/$D53-1)</f>
        <v/>
      </c>
      <c r="I298" s="8" t="str">
        <f aca="false">IF(OR(NOT(ISNUMBER($G298)),NOT(ISNUMBER($H298))),"",$G298-$H298)</f>
        <v/>
      </c>
    </row>
    <row r="299" customFormat="false" ht="15" hidden="false" customHeight="false" outlineLevel="0" collapsed="false">
      <c r="A299" s="5" t="str">
        <f aca="false">IF(NOT(ISNUMBER(Macro_Series!$A299)),"",Macro_Series!$A299)</f>
        <v/>
      </c>
      <c r="B299" s="6" t="str">
        <f aca="false">IF(NOT(ISNUMBER(Macro_Series!$C299)),"",Macro_Series!$C299)</f>
        <v/>
      </c>
      <c r="C299" s="6" t="str">
        <f aca="false">IF(NOT(ISNUMBER(Macro_Series!$E299)),"",Macro_Series!$E299)</f>
        <v/>
      </c>
      <c r="D299" s="7" t="str">
        <f aca="false">IF(OR(NOT(ISNUMBER($B299)),NOT(ISNUMBER($C299)),$C299=0),"",$B299/$C299)</f>
        <v/>
      </c>
      <c r="E299" s="7" t="str">
        <f aca="false">IF(NOT(ISNUMBER(Macro_Series!$H299)),"",Macro_Series!$H299)</f>
        <v/>
      </c>
      <c r="F299" s="7" t="str">
        <f aca="false">IF(OR(NOT(ISNUMBER($D299)),NOT(ISNUMBER($E299)),$E299=0),"",$D299/$E299)</f>
        <v/>
      </c>
      <c r="G299" s="8" t="str">
        <f aca="false">IF(OR(NOT(ISNUMBER($B299)),NOT(ISNUMBER($B54)),$B54=0),"",$B299/$B54-1)</f>
        <v/>
      </c>
      <c r="H299" s="8" t="str">
        <f aca="false">IF(OR(NOT(ISNUMBER($D299)),NOT(ISNUMBER($D54)),$D54=0),"",$D299/$D54-1)</f>
        <v/>
      </c>
      <c r="I299" s="8" t="str">
        <f aca="false">IF(OR(NOT(ISNUMBER($G299)),NOT(ISNUMBER($H299))),"",$G299-$H299)</f>
        <v/>
      </c>
    </row>
    <row r="300" customFormat="false" ht="15" hidden="false" customHeight="false" outlineLevel="0" collapsed="false">
      <c r="A300" s="5" t="str">
        <f aca="false">IF(NOT(ISNUMBER(Macro_Series!$A300)),"",Macro_Series!$A300)</f>
        <v/>
      </c>
      <c r="B300" s="6" t="str">
        <f aca="false">IF(NOT(ISNUMBER(Macro_Series!$C300)),"",Macro_Series!$C300)</f>
        <v/>
      </c>
      <c r="C300" s="6" t="str">
        <f aca="false">IF(NOT(ISNUMBER(Macro_Series!$E300)),"",Macro_Series!$E300)</f>
        <v/>
      </c>
      <c r="D300" s="7" t="str">
        <f aca="false">IF(OR(NOT(ISNUMBER($B300)),NOT(ISNUMBER($C300)),$C300=0),"",$B300/$C300)</f>
        <v/>
      </c>
      <c r="E300" s="7" t="str">
        <f aca="false">IF(NOT(ISNUMBER(Macro_Series!$H300)),"",Macro_Series!$H300)</f>
        <v/>
      </c>
      <c r="F300" s="7" t="str">
        <f aca="false">IF(OR(NOT(ISNUMBER($D300)),NOT(ISNUMBER($E300)),$E300=0),"",$D300/$E300)</f>
        <v/>
      </c>
      <c r="G300" s="8" t="str">
        <f aca="false">IF(OR(NOT(ISNUMBER($B300)),NOT(ISNUMBER($B55)),$B55=0),"",$B300/$B55-1)</f>
        <v/>
      </c>
      <c r="H300" s="8" t="str">
        <f aca="false">IF(OR(NOT(ISNUMBER($D300)),NOT(ISNUMBER($D55)),$D55=0),"",$D300/$D55-1)</f>
        <v/>
      </c>
      <c r="I300" s="8" t="str">
        <f aca="false">IF(OR(NOT(ISNUMBER($G300)),NOT(ISNUMBER($H300))),"",$G300-$H300)</f>
        <v/>
      </c>
    </row>
    <row r="301" customFormat="false" ht="15" hidden="false" customHeight="false" outlineLevel="0" collapsed="false">
      <c r="A301" s="5" t="str">
        <f aca="false">IF(NOT(ISNUMBER(Macro_Series!$A301)),"",Macro_Series!$A301)</f>
        <v/>
      </c>
      <c r="B301" s="6" t="str">
        <f aca="false">IF(NOT(ISNUMBER(Macro_Series!$C301)),"",Macro_Series!$C301)</f>
        <v/>
      </c>
      <c r="C301" s="6" t="str">
        <f aca="false">IF(NOT(ISNUMBER(Macro_Series!$E301)),"",Macro_Series!$E301)</f>
        <v/>
      </c>
      <c r="D301" s="7" t="str">
        <f aca="false">IF(OR(NOT(ISNUMBER($B301)),NOT(ISNUMBER($C301)),$C301=0),"",$B301/$C301)</f>
        <v/>
      </c>
      <c r="E301" s="7" t="str">
        <f aca="false">IF(NOT(ISNUMBER(Macro_Series!$H301)),"",Macro_Series!$H301)</f>
        <v/>
      </c>
      <c r="F301" s="7" t="str">
        <f aca="false">IF(OR(NOT(ISNUMBER($D301)),NOT(ISNUMBER($E301)),$E301=0),"",$D301/$E301)</f>
        <v/>
      </c>
      <c r="G301" s="8" t="str">
        <f aca="false">IF(OR(NOT(ISNUMBER($B301)),NOT(ISNUMBER($B56)),$B56=0),"",$B301/$B56-1)</f>
        <v/>
      </c>
      <c r="H301" s="8" t="str">
        <f aca="false">IF(OR(NOT(ISNUMBER($D301)),NOT(ISNUMBER($D56)),$D56=0),"",$D301/$D56-1)</f>
        <v/>
      </c>
      <c r="I301" s="8" t="str">
        <f aca="false">IF(OR(NOT(ISNUMBER($G301)),NOT(ISNUMBER($H301))),"",$G301-$H301)</f>
        <v/>
      </c>
    </row>
    <row r="302" customFormat="false" ht="15" hidden="false" customHeight="false" outlineLevel="0" collapsed="false">
      <c r="A302" s="5" t="str">
        <f aca="false">IF(NOT(ISNUMBER(Macro_Series!$A302)),"",Macro_Series!$A302)</f>
        <v/>
      </c>
      <c r="B302" s="6" t="str">
        <f aca="false">IF(NOT(ISNUMBER(Macro_Series!$C302)),"",Macro_Series!$C302)</f>
        <v/>
      </c>
      <c r="C302" s="6" t="str">
        <f aca="false">IF(NOT(ISNUMBER(Macro_Series!$E302)),"",Macro_Series!$E302)</f>
        <v/>
      </c>
      <c r="D302" s="7" t="str">
        <f aca="false">IF(OR(NOT(ISNUMBER($B302)),NOT(ISNUMBER($C302)),$C302=0),"",$B302/$C302)</f>
        <v/>
      </c>
      <c r="E302" s="7" t="str">
        <f aca="false">IF(NOT(ISNUMBER(Macro_Series!$H302)),"",Macro_Series!$H302)</f>
        <v/>
      </c>
      <c r="F302" s="7" t="str">
        <f aca="false">IF(OR(NOT(ISNUMBER($D302)),NOT(ISNUMBER($E302)),$E302=0),"",$D302/$E302)</f>
        <v/>
      </c>
      <c r="G302" s="8" t="str">
        <f aca="false">IF(OR(NOT(ISNUMBER($B302)),NOT(ISNUMBER($B57)),$B57=0),"",$B302/$B57-1)</f>
        <v/>
      </c>
      <c r="H302" s="8" t="str">
        <f aca="false">IF(OR(NOT(ISNUMBER($D302)),NOT(ISNUMBER($D57)),$D57=0),"",$D302/$D57-1)</f>
        <v/>
      </c>
      <c r="I302" s="8" t="str">
        <f aca="false">IF(OR(NOT(ISNUMBER($G302)),NOT(ISNUMBER($H302))),"",$G302-$H302)</f>
        <v/>
      </c>
    </row>
    <row r="303" customFormat="false" ht="15" hidden="false" customHeight="false" outlineLevel="0" collapsed="false">
      <c r="A303" s="5" t="str">
        <f aca="false">IF(NOT(ISNUMBER(Macro_Series!$A303)),"",Macro_Series!$A303)</f>
        <v/>
      </c>
      <c r="B303" s="6" t="str">
        <f aca="false">IF(NOT(ISNUMBER(Macro_Series!$C303)),"",Macro_Series!$C303)</f>
        <v/>
      </c>
      <c r="C303" s="6" t="str">
        <f aca="false">IF(NOT(ISNUMBER(Macro_Series!$E303)),"",Macro_Series!$E303)</f>
        <v/>
      </c>
      <c r="D303" s="7" t="str">
        <f aca="false">IF(OR(NOT(ISNUMBER($B303)),NOT(ISNUMBER($C303)),$C303=0),"",$B303/$C303)</f>
        <v/>
      </c>
      <c r="E303" s="7" t="str">
        <f aca="false">IF(NOT(ISNUMBER(Macro_Series!$H303)),"",Macro_Series!$H303)</f>
        <v/>
      </c>
      <c r="F303" s="7" t="str">
        <f aca="false">IF(OR(NOT(ISNUMBER($D303)),NOT(ISNUMBER($E303)),$E303=0),"",$D303/$E303)</f>
        <v/>
      </c>
      <c r="G303" s="8" t="str">
        <f aca="false">IF(OR(NOT(ISNUMBER($B303)),NOT(ISNUMBER($B58)),$B58=0),"",$B303/$B58-1)</f>
        <v/>
      </c>
      <c r="H303" s="8" t="str">
        <f aca="false">IF(OR(NOT(ISNUMBER($D303)),NOT(ISNUMBER($D58)),$D58=0),"",$D303/$D58-1)</f>
        <v/>
      </c>
      <c r="I303" s="8" t="str">
        <f aca="false">IF(OR(NOT(ISNUMBER($G303)),NOT(ISNUMBER($H303))),"",$G303-$H303)</f>
        <v/>
      </c>
    </row>
    <row r="304" customFormat="false" ht="15" hidden="false" customHeight="false" outlineLevel="0" collapsed="false">
      <c r="A304" s="5" t="str">
        <f aca="false">IF(NOT(ISNUMBER(Macro_Series!$A304)),"",Macro_Series!$A304)</f>
        <v/>
      </c>
      <c r="B304" s="6" t="str">
        <f aca="false">IF(NOT(ISNUMBER(Macro_Series!$C304)),"",Macro_Series!$C304)</f>
        <v/>
      </c>
      <c r="C304" s="6" t="str">
        <f aca="false">IF(NOT(ISNUMBER(Macro_Series!$E304)),"",Macro_Series!$E304)</f>
        <v/>
      </c>
      <c r="D304" s="7" t="str">
        <f aca="false">IF(OR(NOT(ISNUMBER($B304)),NOT(ISNUMBER($C304)),$C304=0),"",$B304/$C304)</f>
        <v/>
      </c>
      <c r="E304" s="7" t="str">
        <f aca="false">IF(NOT(ISNUMBER(Macro_Series!$H304)),"",Macro_Series!$H304)</f>
        <v/>
      </c>
      <c r="F304" s="7" t="str">
        <f aca="false">IF(OR(NOT(ISNUMBER($D304)),NOT(ISNUMBER($E304)),$E304=0),"",$D304/$E304)</f>
        <v/>
      </c>
      <c r="G304" s="8" t="str">
        <f aca="false">IF(OR(NOT(ISNUMBER($B304)),NOT(ISNUMBER($B59)),$B59=0),"",$B304/$B59-1)</f>
        <v/>
      </c>
      <c r="H304" s="8" t="str">
        <f aca="false">IF(OR(NOT(ISNUMBER($D304)),NOT(ISNUMBER($D59)),$D59=0),"",$D304/$D59-1)</f>
        <v/>
      </c>
      <c r="I304" s="8" t="str">
        <f aca="false">IF(OR(NOT(ISNUMBER($G304)),NOT(ISNUMBER($H304))),"",$G304-$H304)</f>
        <v/>
      </c>
    </row>
    <row r="305" customFormat="false" ht="15" hidden="false" customHeight="false" outlineLevel="0" collapsed="false">
      <c r="A305" s="5" t="str">
        <f aca="false">IF(NOT(ISNUMBER(Macro_Series!$A305)),"",Macro_Series!$A305)</f>
        <v/>
      </c>
      <c r="B305" s="6" t="str">
        <f aca="false">IF(NOT(ISNUMBER(Macro_Series!$C305)),"",Macro_Series!$C305)</f>
        <v/>
      </c>
      <c r="C305" s="6" t="str">
        <f aca="false">IF(NOT(ISNUMBER(Macro_Series!$E305)),"",Macro_Series!$E305)</f>
        <v/>
      </c>
      <c r="D305" s="7" t="str">
        <f aca="false">IF(OR(NOT(ISNUMBER($B305)),NOT(ISNUMBER($C305)),$C305=0),"",$B305/$C305)</f>
        <v/>
      </c>
      <c r="E305" s="7" t="str">
        <f aca="false">IF(NOT(ISNUMBER(Macro_Series!$H305)),"",Macro_Series!$H305)</f>
        <v/>
      </c>
      <c r="F305" s="7" t="str">
        <f aca="false">IF(OR(NOT(ISNUMBER($D305)),NOT(ISNUMBER($E305)),$E305=0),"",$D305/$E305)</f>
        <v/>
      </c>
      <c r="G305" s="8" t="str">
        <f aca="false">IF(OR(NOT(ISNUMBER($B305)),NOT(ISNUMBER($B60)),$B60=0),"",$B305/$B60-1)</f>
        <v/>
      </c>
      <c r="H305" s="8" t="str">
        <f aca="false">IF(OR(NOT(ISNUMBER($D305)),NOT(ISNUMBER($D60)),$D60=0),"",$D305/$D60-1)</f>
        <v/>
      </c>
      <c r="I305" s="8" t="str">
        <f aca="false">IF(OR(NOT(ISNUMBER($G305)),NOT(ISNUMBER($H305))),"",$G305-$H305)</f>
        <v/>
      </c>
    </row>
    <row r="306" customFormat="false" ht="15" hidden="false" customHeight="false" outlineLevel="0" collapsed="false">
      <c r="A306" s="5" t="str">
        <f aca="false">IF(NOT(ISNUMBER(Macro_Series!$A306)),"",Macro_Series!$A306)</f>
        <v/>
      </c>
      <c r="B306" s="6" t="str">
        <f aca="false">IF(NOT(ISNUMBER(Macro_Series!$C306)),"",Macro_Series!$C306)</f>
        <v/>
      </c>
      <c r="C306" s="6" t="str">
        <f aca="false">IF(NOT(ISNUMBER(Macro_Series!$E306)),"",Macro_Series!$E306)</f>
        <v/>
      </c>
      <c r="D306" s="7" t="str">
        <f aca="false">IF(OR(NOT(ISNUMBER($B306)),NOT(ISNUMBER($C306)),$C306=0),"",$B306/$C306)</f>
        <v/>
      </c>
      <c r="E306" s="7" t="str">
        <f aca="false">IF(NOT(ISNUMBER(Macro_Series!$H306)),"",Macro_Series!$H306)</f>
        <v/>
      </c>
      <c r="F306" s="7" t="str">
        <f aca="false">IF(OR(NOT(ISNUMBER($D306)),NOT(ISNUMBER($E306)),$E306=0),"",$D306/$E306)</f>
        <v/>
      </c>
      <c r="G306" s="8" t="str">
        <f aca="false">IF(OR(NOT(ISNUMBER($B306)),NOT(ISNUMBER($B61)),$B61=0),"",$B306/$B61-1)</f>
        <v/>
      </c>
      <c r="H306" s="8" t="str">
        <f aca="false">IF(OR(NOT(ISNUMBER($D306)),NOT(ISNUMBER($D61)),$D61=0),"",$D306/$D61-1)</f>
        <v/>
      </c>
      <c r="I306" s="8" t="str">
        <f aca="false">IF(OR(NOT(ISNUMBER($G306)),NOT(ISNUMBER($H306))),"",$G306-$H306)</f>
        <v/>
      </c>
    </row>
    <row r="307" customFormat="false" ht="15" hidden="false" customHeight="false" outlineLevel="0" collapsed="false">
      <c r="A307" s="5" t="str">
        <f aca="false">IF(NOT(ISNUMBER(Macro_Series!$A307)),"",Macro_Series!$A307)</f>
        <v/>
      </c>
      <c r="B307" s="6" t="str">
        <f aca="false">IF(NOT(ISNUMBER(Macro_Series!$C307)),"",Macro_Series!$C307)</f>
        <v/>
      </c>
      <c r="C307" s="6" t="str">
        <f aca="false">IF(NOT(ISNUMBER(Macro_Series!$E307)),"",Macro_Series!$E307)</f>
        <v/>
      </c>
      <c r="D307" s="7" t="str">
        <f aca="false">IF(OR(NOT(ISNUMBER($B307)),NOT(ISNUMBER($C307)),$C307=0),"",$B307/$C307)</f>
        <v/>
      </c>
      <c r="E307" s="7" t="str">
        <f aca="false">IF(NOT(ISNUMBER(Macro_Series!$H307)),"",Macro_Series!$H307)</f>
        <v/>
      </c>
      <c r="F307" s="7" t="str">
        <f aca="false">IF(OR(NOT(ISNUMBER($D307)),NOT(ISNUMBER($E307)),$E307=0),"",$D307/$E307)</f>
        <v/>
      </c>
      <c r="G307" s="8" t="str">
        <f aca="false">IF(OR(NOT(ISNUMBER($B307)),NOT(ISNUMBER($B62)),$B62=0),"",$B307/$B62-1)</f>
        <v/>
      </c>
      <c r="H307" s="8" t="str">
        <f aca="false">IF(OR(NOT(ISNUMBER($D307)),NOT(ISNUMBER($D62)),$D62=0),"",$D307/$D62-1)</f>
        <v/>
      </c>
      <c r="I307" s="8" t="str">
        <f aca="false">IF(OR(NOT(ISNUMBER($G307)),NOT(ISNUMBER($H307))),"",$G307-$H307)</f>
        <v/>
      </c>
    </row>
    <row r="308" customFormat="false" ht="15" hidden="false" customHeight="false" outlineLevel="0" collapsed="false">
      <c r="A308" s="5" t="str">
        <f aca="false">IF(NOT(ISNUMBER(Macro_Series!$A308)),"",Macro_Series!$A308)</f>
        <v/>
      </c>
      <c r="B308" s="6" t="str">
        <f aca="false">IF(NOT(ISNUMBER(Macro_Series!$C308)),"",Macro_Series!$C308)</f>
        <v/>
      </c>
      <c r="C308" s="6" t="str">
        <f aca="false">IF(NOT(ISNUMBER(Macro_Series!$E308)),"",Macro_Series!$E308)</f>
        <v/>
      </c>
      <c r="D308" s="7" t="str">
        <f aca="false">IF(OR(NOT(ISNUMBER($B308)),NOT(ISNUMBER($C308)),$C308=0),"",$B308/$C308)</f>
        <v/>
      </c>
      <c r="E308" s="7" t="str">
        <f aca="false">IF(NOT(ISNUMBER(Macro_Series!$H308)),"",Macro_Series!$H308)</f>
        <v/>
      </c>
      <c r="F308" s="7" t="str">
        <f aca="false">IF(OR(NOT(ISNUMBER($D308)),NOT(ISNUMBER($E308)),$E308=0),"",$D308/$E308)</f>
        <v/>
      </c>
      <c r="G308" s="8" t="str">
        <f aca="false">IF(OR(NOT(ISNUMBER($B308)),NOT(ISNUMBER($B63)),$B63=0),"",$B308/$B63-1)</f>
        <v/>
      </c>
      <c r="H308" s="8" t="str">
        <f aca="false">IF(OR(NOT(ISNUMBER($D308)),NOT(ISNUMBER($D63)),$D63=0),"",$D308/$D63-1)</f>
        <v/>
      </c>
      <c r="I308" s="8" t="str">
        <f aca="false">IF(OR(NOT(ISNUMBER($G308)),NOT(ISNUMBER($H308))),"",$G308-$H308)</f>
        <v/>
      </c>
    </row>
    <row r="309" customFormat="false" ht="15" hidden="false" customHeight="false" outlineLevel="0" collapsed="false">
      <c r="A309" s="5" t="str">
        <f aca="false">IF(NOT(ISNUMBER(Macro_Series!$A309)),"",Macro_Series!$A309)</f>
        <v/>
      </c>
      <c r="B309" s="6" t="str">
        <f aca="false">IF(NOT(ISNUMBER(Macro_Series!$C309)),"",Macro_Series!$C309)</f>
        <v/>
      </c>
      <c r="C309" s="6" t="str">
        <f aca="false">IF(NOT(ISNUMBER(Macro_Series!$E309)),"",Macro_Series!$E309)</f>
        <v/>
      </c>
      <c r="D309" s="7" t="str">
        <f aca="false">IF(OR(NOT(ISNUMBER($B309)),NOT(ISNUMBER($C309)),$C309=0),"",$B309/$C309)</f>
        <v/>
      </c>
      <c r="E309" s="7" t="str">
        <f aca="false">IF(NOT(ISNUMBER(Macro_Series!$H309)),"",Macro_Series!$H309)</f>
        <v/>
      </c>
      <c r="F309" s="7" t="str">
        <f aca="false">IF(OR(NOT(ISNUMBER($D309)),NOT(ISNUMBER($E309)),$E309=0),"",$D309/$E309)</f>
        <v/>
      </c>
      <c r="G309" s="8" t="str">
        <f aca="false">IF(OR(NOT(ISNUMBER($B309)),NOT(ISNUMBER($B64)),$B64=0),"",$B309/$B64-1)</f>
        <v/>
      </c>
      <c r="H309" s="8" t="str">
        <f aca="false">IF(OR(NOT(ISNUMBER($D309)),NOT(ISNUMBER($D64)),$D64=0),"",$D309/$D64-1)</f>
        <v/>
      </c>
      <c r="I309" s="8" t="str">
        <f aca="false">IF(OR(NOT(ISNUMBER($G309)),NOT(ISNUMBER($H309))),"",$G309-$H309)</f>
        <v/>
      </c>
    </row>
    <row r="310" customFormat="false" ht="15" hidden="false" customHeight="false" outlineLevel="0" collapsed="false">
      <c r="A310" s="5" t="str">
        <f aca="false">IF(NOT(ISNUMBER(Macro_Series!$A310)),"",Macro_Series!$A310)</f>
        <v/>
      </c>
      <c r="B310" s="6" t="str">
        <f aca="false">IF(NOT(ISNUMBER(Macro_Series!$C310)),"",Macro_Series!$C310)</f>
        <v/>
      </c>
      <c r="C310" s="6" t="str">
        <f aca="false">IF(NOT(ISNUMBER(Macro_Series!$E310)),"",Macro_Series!$E310)</f>
        <v/>
      </c>
      <c r="D310" s="7" t="str">
        <f aca="false">IF(OR(NOT(ISNUMBER($B310)),NOT(ISNUMBER($C310)),$C310=0),"",$B310/$C310)</f>
        <v/>
      </c>
      <c r="E310" s="7" t="str">
        <f aca="false">IF(NOT(ISNUMBER(Macro_Series!$H310)),"",Macro_Series!$H310)</f>
        <v/>
      </c>
      <c r="F310" s="7" t="str">
        <f aca="false">IF(OR(NOT(ISNUMBER($D310)),NOT(ISNUMBER($E310)),$E310=0),"",$D310/$E310)</f>
        <v/>
      </c>
      <c r="G310" s="8" t="str">
        <f aca="false">IF(OR(NOT(ISNUMBER($B310)),NOT(ISNUMBER($B65)),$B65=0),"",$B310/$B65-1)</f>
        <v/>
      </c>
      <c r="H310" s="8" t="str">
        <f aca="false">IF(OR(NOT(ISNUMBER($D310)),NOT(ISNUMBER($D65)),$D65=0),"",$D310/$D65-1)</f>
        <v/>
      </c>
      <c r="I310" s="8" t="str">
        <f aca="false">IF(OR(NOT(ISNUMBER($G310)),NOT(ISNUMBER($H310))),"",$G310-$H310)</f>
        <v/>
      </c>
    </row>
    <row r="311" customFormat="false" ht="15" hidden="false" customHeight="false" outlineLevel="0" collapsed="false">
      <c r="A311" s="5" t="str">
        <f aca="false">IF(NOT(ISNUMBER(Macro_Series!$A311)),"",Macro_Series!$A311)</f>
        <v/>
      </c>
      <c r="B311" s="6" t="str">
        <f aca="false">IF(NOT(ISNUMBER(Macro_Series!$C311)),"",Macro_Series!$C311)</f>
        <v/>
      </c>
      <c r="C311" s="6" t="str">
        <f aca="false">IF(NOT(ISNUMBER(Macro_Series!$E311)),"",Macro_Series!$E311)</f>
        <v/>
      </c>
      <c r="D311" s="7" t="str">
        <f aca="false">IF(OR(NOT(ISNUMBER($B311)),NOT(ISNUMBER($C311)),$C311=0),"",$B311/$C311)</f>
        <v/>
      </c>
      <c r="E311" s="7" t="str">
        <f aca="false">IF(NOT(ISNUMBER(Macro_Series!$H311)),"",Macro_Series!$H311)</f>
        <v/>
      </c>
      <c r="F311" s="7" t="str">
        <f aca="false">IF(OR(NOT(ISNUMBER($D311)),NOT(ISNUMBER($E311)),$E311=0),"",$D311/$E311)</f>
        <v/>
      </c>
      <c r="G311" s="8" t="str">
        <f aca="false">IF(OR(NOT(ISNUMBER($B311)),NOT(ISNUMBER($B66)),$B66=0),"",$B311/$B66-1)</f>
        <v/>
      </c>
      <c r="H311" s="8" t="str">
        <f aca="false">IF(OR(NOT(ISNUMBER($D311)),NOT(ISNUMBER($D66)),$D66=0),"",$D311/$D66-1)</f>
        <v/>
      </c>
      <c r="I311" s="8" t="str">
        <f aca="false">IF(OR(NOT(ISNUMBER($G311)),NOT(ISNUMBER($H311))),"",$G311-$H311)</f>
        <v/>
      </c>
    </row>
    <row r="312" customFormat="false" ht="15" hidden="false" customHeight="false" outlineLevel="0" collapsed="false">
      <c r="A312" s="5" t="str">
        <f aca="false">IF(NOT(ISNUMBER(Macro_Series!$A312)),"",Macro_Series!$A312)</f>
        <v/>
      </c>
      <c r="B312" s="6" t="str">
        <f aca="false">IF(NOT(ISNUMBER(Macro_Series!$C312)),"",Macro_Series!$C312)</f>
        <v/>
      </c>
      <c r="C312" s="6" t="str">
        <f aca="false">IF(NOT(ISNUMBER(Macro_Series!$E312)),"",Macro_Series!$E312)</f>
        <v/>
      </c>
      <c r="D312" s="7" t="str">
        <f aca="false">IF(OR(NOT(ISNUMBER($B312)),NOT(ISNUMBER($C312)),$C312=0),"",$B312/$C312)</f>
        <v/>
      </c>
      <c r="E312" s="7" t="str">
        <f aca="false">IF(NOT(ISNUMBER(Macro_Series!$H312)),"",Macro_Series!$H312)</f>
        <v/>
      </c>
      <c r="F312" s="7" t="str">
        <f aca="false">IF(OR(NOT(ISNUMBER($D312)),NOT(ISNUMBER($E312)),$E312=0),"",$D312/$E312)</f>
        <v/>
      </c>
      <c r="G312" s="8" t="str">
        <f aca="false">IF(OR(NOT(ISNUMBER($B312)),NOT(ISNUMBER($B67)),$B67=0),"",$B312/$B67-1)</f>
        <v/>
      </c>
      <c r="H312" s="8" t="str">
        <f aca="false">IF(OR(NOT(ISNUMBER($D312)),NOT(ISNUMBER($D67)),$D67=0),"",$D312/$D67-1)</f>
        <v/>
      </c>
      <c r="I312" s="8" t="str">
        <f aca="false">IF(OR(NOT(ISNUMBER($G312)),NOT(ISNUMBER($H312))),"",$G312-$H312)</f>
        <v/>
      </c>
    </row>
    <row r="313" customFormat="false" ht="15" hidden="false" customHeight="false" outlineLevel="0" collapsed="false">
      <c r="A313" s="5" t="str">
        <f aca="false">IF(NOT(ISNUMBER(Macro_Series!$A313)),"",Macro_Series!$A313)</f>
        <v/>
      </c>
      <c r="B313" s="6" t="str">
        <f aca="false">IF(NOT(ISNUMBER(Macro_Series!$C313)),"",Macro_Series!$C313)</f>
        <v/>
      </c>
      <c r="C313" s="6" t="str">
        <f aca="false">IF(NOT(ISNUMBER(Macro_Series!$E313)),"",Macro_Series!$E313)</f>
        <v/>
      </c>
      <c r="D313" s="7" t="str">
        <f aca="false">IF(OR(NOT(ISNUMBER($B313)),NOT(ISNUMBER($C313)),$C313=0),"",$B313/$C313)</f>
        <v/>
      </c>
      <c r="E313" s="7" t="str">
        <f aca="false">IF(NOT(ISNUMBER(Macro_Series!$H313)),"",Macro_Series!$H313)</f>
        <v/>
      </c>
      <c r="F313" s="7" t="str">
        <f aca="false">IF(OR(NOT(ISNUMBER($D313)),NOT(ISNUMBER($E313)),$E313=0),"",$D313/$E313)</f>
        <v/>
      </c>
      <c r="G313" s="8" t="str">
        <f aca="false">IF(OR(NOT(ISNUMBER($B313)),NOT(ISNUMBER($B68)),$B68=0),"",$B313/$B68-1)</f>
        <v/>
      </c>
      <c r="H313" s="8" t="str">
        <f aca="false">IF(OR(NOT(ISNUMBER($D313)),NOT(ISNUMBER($D68)),$D68=0),"",$D313/$D68-1)</f>
        <v/>
      </c>
      <c r="I313" s="8" t="str">
        <f aca="false">IF(OR(NOT(ISNUMBER($G313)),NOT(ISNUMBER($H313))),"",$G313-$H313)</f>
        <v/>
      </c>
    </row>
    <row r="314" customFormat="false" ht="15" hidden="false" customHeight="false" outlineLevel="0" collapsed="false">
      <c r="A314" s="5" t="str">
        <f aca="false">IF(NOT(ISNUMBER(Macro_Series!$A314)),"",Macro_Series!$A314)</f>
        <v/>
      </c>
      <c r="B314" s="6" t="str">
        <f aca="false">IF(NOT(ISNUMBER(Macro_Series!$C314)),"",Macro_Series!$C314)</f>
        <v/>
      </c>
      <c r="C314" s="6" t="str">
        <f aca="false">IF(NOT(ISNUMBER(Macro_Series!$E314)),"",Macro_Series!$E314)</f>
        <v/>
      </c>
      <c r="D314" s="7" t="str">
        <f aca="false">IF(OR(NOT(ISNUMBER($B314)),NOT(ISNUMBER($C314)),$C314=0),"",$B314/$C314)</f>
        <v/>
      </c>
      <c r="E314" s="7" t="str">
        <f aca="false">IF(NOT(ISNUMBER(Macro_Series!$H314)),"",Macro_Series!$H314)</f>
        <v/>
      </c>
      <c r="F314" s="7" t="str">
        <f aca="false">IF(OR(NOT(ISNUMBER($D314)),NOT(ISNUMBER($E314)),$E314=0),"",$D314/$E314)</f>
        <v/>
      </c>
      <c r="G314" s="8" t="str">
        <f aca="false">IF(OR(NOT(ISNUMBER($B314)),NOT(ISNUMBER($B69)),$B69=0),"",$B314/$B69-1)</f>
        <v/>
      </c>
      <c r="H314" s="8" t="str">
        <f aca="false">IF(OR(NOT(ISNUMBER($D314)),NOT(ISNUMBER($D69)),$D69=0),"",$D314/$D69-1)</f>
        <v/>
      </c>
      <c r="I314" s="8" t="str">
        <f aca="false">IF(OR(NOT(ISNUMBER($G314)),NOT(ISNUMBER($H314))),"",$G314-$H314)</f>
        <v/>
      </c>
    </row>
    <row r="315" customFormat="false" ht="15" hidden="false" customHeight="false" outlineLevel="0" collapsed="false">
      <c r="A315" s="5" t="str">
        <f aca="false">IF(NOT(ISNUMBER(Macro_Series!$A315)),"",Macro_Series!$A315)</f>
        <v/>
      </c>
      <c r="B315" s="6" t="str">
        <f aca="false">IF(NOT(ISNUMBER(Macro_Series!$C315)),"",Macro_Series!$C315)</f>
        <v/>
      </c>
      <c r="C315" s="6" t="str">
        <f aca="false">IF(NOT(ISNUMBER(Macro_Series!$E315)),"",Macro_Series!$E315)</f>
        <v/>
      </c>
      <c r="D315" s="7" t="str">
        <f aca="false">IF(OR(NOT(ISNUMBER($B315)),NOT(ISNUMBER($C315)),$C315=0),"",$B315/$C315)</f>
        <v/>
      </c>
      <c r="E315" s="7" t="str">
        <f aca="false">IF(NOT(ISNUMBER(Macro_Series!$H315)),"",Macro_Series!$H315)</f>
        <v/>
      </c>
      <c r="F315" s="7" t="str">
        <f aca="false">IF(OR(NOT(ISNUMBER($D315)),NOT(ISNUMBER($E315)),$E315=0),"",$D315/$E315)</f>
        <v/>
      </c>
      <c r="G315" s="8" t="str">
        <f aca="false">IF(OR(NOT(ISNUMBER($B315)),NOT(ISNUMBER($B70)),$B70=0),"",$B315/$B70-1)</f>
        <v/>
      </c>
      <c r="H315" s="8" t="str">
        <f aca="false">IF(OR(NOT(ISNUMBER($D315)),NOT(ISNUMBER($D70)),$D70=0),"",$D315/$D70-1)</f>
        <v/>
      </c>
      <c r="I315" s="8" t="str">
        <f aca="false">IF(OR(NOT(ISNUMBER($G315)),NOT(ISNUMBER($H315))),"",$G315-$H315)</f>
        <v/>
      </c>
    </row>
    <row r="316" customFormat="false" ht="15" hidden="false" customHeight="false" outlineLevel="0" collapsed="false">
      <c r="A316" s="5" t="str">
        <f aca="false">IF(NOT(ISNUMBER(Macro_Series!$A316)),"",Macro_Series!$A316)</f>
        <v/>
      </c>
      <c r="B316" s="6" t="str">
        <f aca="false">IF(NOT(ISNUMBER(Macro_Series!$C316)),"",Macro_Series!$C316)</f>
        <v/>
      </c>
      <c r="C316" s="6" t="str">
        <f aca="false">IF(NOT(ISNUMBER(Macro_Series!$E316)),"",Macro_Series!$E316)</f>
        <v/>
      </c>
      <c r="D316" s="7" t="str">
        <f aca="false">IF(OR(NOT(ISNUMBER($B316)),NOT(ISNUMBER($C316)),$C316=0),"",$B316/$C316)</f>
        <v/>
      </c>
      <c r="E316" s="7" t="str">
        <f aca="false">IF(NOT(ISNUMBER(Macro_Series!$H316)),"",Macro_Series!$H316)</f>
        <v/>
      </c>
      <c r="F316" s="7" t="str">
        <f aca="false">IF(OR(NOT(ISNUMBER($D316)),NOT(ISNUMBER($E316)),$E316=0),"",$D316/$E316)</f>
        <v/>
      </c>
      <c r="G316" s="8" t="str">
        <f aca="false">IF(OR(NOT(ISNUMBER($B316)),NOT(ISNUMBER($B71)),$B71=0),"",$B316/$B71-1)</f>
        <v/>
      </c>
      <c r="H316" s="8" t="str">
        <f aca="false">IF(OR(NOT(ISNUMBER($D316)),NOT(ISNUMBER($D71)),$D71=0),"",$D316/$D71-1)</f>
        <v/>
      </c>
      <c r="I316" s="8" t="str">
        <f aca="false">IF(OR(NOT(ISNUMBER($G316)),NOT(ISNUMBER($H316))),"",$G316-$H316)</f>
        <v/>
      </c>
    </row>
    <row r="317" customFormat="false" ht="15" hidden="false" customHeight="false" outlineLevel="0" collapsed="false">
      <c r="A317" s="5" t="str">
        <f aca="false">IF(NOT(ISNUMBER(Macro_Series!$A317)),"",Macro_Series!$A317)</f>
        <v/>
      </c>
      <c r="B317" s="6" t="str">
        <f aca="false">IF(NOT(ISNUMBER(Macro_Series!$C317)),"",Macro_Series!$C317)</f>
        <v/>
      </c>
      <c r="C317" s="6" t="str">
        <f aca="false">IF(NOT(ISNUMBER(Macro_Series!$E317)),"",Macro_Series!$E317)</f>
        <v/>
      </c>
      <c r="D317" s="7" t="str">
        <f aca="false">IF(OR(NOT(ISNUMBER($B317)),NOT(ISNUMBER($C317)),$C317=0),"",$B317/$C317)</f>
        <v/>
      </c>
      <c r="E317" s="7" t="str">
        <f aca="false">IF(NOT(ISNUMBER(Macro_Series!$H317)),"",Macro_Series!$H317)</f>
        <v/>
      </c>
      <c r="F317" s="7" t="str">
        <f aca="false">IF(OR(NOT(ISNUMBER($D317)),NOT(ISNUMBER($E317)),$E317=0),"",$D317/$E317)</f>
        <v/>
      </c>
      <c r="G317" s="8" t="str">
        <f aca="false">IF(OR(NOT(ISNUMBER($B317)),NOT(ISNUMBER($B72)),$B72=0),"",$B317/$B72-1)</f>
        <v/>
      </c>
      <c r="H317" s="8" t="str">
        <f aca="false">IF(OR(NOT(ISNUMBER($D317)),NOT(ISNUMBER($D72)),$D72=0),"",$D317/$D72-1)</f>
        <v/>
      </c>
      <c r="I317" s="8" t="str">
        <f aca="false">IF(OR(NOT(ISNUMBER($G317)),NOT(ISNUMBER($H317))),"",$G317-$H317)</f>
        <v/>
      </c>
    </row>
    <row r="318" customFormat="false" ht="15" hidden="false" customHeight="false" outlineLevel="0" collapsed="false">
      <c r="A318" s="5" t="str">
        <f aca="false">IF(NOT(ISNUMBER(Macro_Series!$A318)),"",Macro_Series!$A318)</f>
        <v/>
      </c>
      <c r="B318" s="6" t="str">
        <f aca="false">IF(NOT(ISNUMBER(Macro_Series!$C318)),"",Macro_Series!$C318)</f>
        <v/>
      </c>
      <c r="C318" s="6" t="str">
        <f aca="false">IF(NOT(ISNUMBER(Macro_Series!$E318)),"",Macro_Series!$E318)</f>
        <v/>
      </c>
      <c r="D318" s="7" t="str">
        <f aca="false">IF(OR(NOT(ISNUMBER($B318)),NOT(ISNUMBER($C318)),$C318=0),"",$B318/$C318)</f>
        <v/>
      </c>
      <c r="E318" s="7" t="str">
        <f aca="false">IF(NOT(ISNUMBER(Macro_Series!$H318)),"",Macro_Series!$H318)</f>
        <v/>
      </c>
      <c r="F318" s="7" t="str">
        <f aca="false">IF(OR(NOT(ISNUMBER($D318)),NOT(ISNUMBER($E318)),$E318=0),"",$D318/$E318)</f>
        <v/>
      </c>
      <c r="G318" s="8" t="str">
        <f aca="false">IF(OR(NOT(ISNUMBER($B318)),NOT(ISNUMBER($B73)),$B73=0),"",$B318/$B73-1)</f>
        <v/>
      </c>
      <c r="H318" s="8" t="str">
        <f aca="false">IF(OR(NOT(ISNUMBER($D318)),NOT(ISNUMBER($D73)),$D73=0),"",$D318/$D73-1)</f>
        <v/>
      </c>
      <c r="I318" s="8" t="str">
        <f aca="false">IF(OR(NOT(ISNUMBER($G318)),NOT(ISNUMBER($H318))),"",$G318-$H318)</f>
        <v/>
      </c>
    </row>
    <row r="319" customFormat="false" ht="15" hidden="false" customHeight="false" outlineLevel="0" collapsed="false">
      <c r="A319" s="5" t="str">
        <f aca="false">IF(NOT(ISNUMBER(Macro_Series!$A319)),"",Macro_Series!$A319)</f>
        <v/>
      </c>
      <c r="B319" s="6" t="str">
        <f aca="false">IF(NOT(ISNUMBER(Macro_Series!$C319)),"",Macro_Series!$C319)</f>
        <v/>
      </c>
      <c r="C319" s="6" t="str">
        <f aca="false">IF(NOT(ISNUMBER(Macro_Series!$E319)),"",Macro_Series!$E319)</f>
        <v/>
      </c>
      <c r="D319" s="7" t="str">
        <f aca="false">IF(OR(NOT(ISNUMBER($B319)),NOT(ISNUMBER($C319)),$C319=0),"",$B319/$C319)</f>
        <v/>
      </c>
      <c r="E319" s="7" t="str">
        <f aca="false">IF(NOT(ISNUMBER(Macro_Series!$H319)),"",Macro_Series!$H319)</f>
        <v/>
      </c>
      <c r="F319" s="7" t="str">
        <f aca="false">IF(OR(NOT(ISNUMBER($D319)),NOT(ISNUMBER($E319)),$E319=0),"",$D319/$E319)</f>
        <v/>
      </c>
      <c r="G319" s="8" t="str">
        <f aca="false">IF(OR(NOT(ISNUMBER($B319)),NOT(ISNUMBER($B74)),$B74=0),"",$B319/$B74-1)</f>
        <v/>
      </c>
      <c r="H319" s="8" t="str">
        <f aca="false">IF(OR(NOT(ISNUMBER($D319)),NOT(ISNUMBER($D74)),$D74=0),"",$D319/$D74-1)</f>
        <v/>
      </c>
      <c r="I319" s="8" t="str">
        <f aca="false">IF(OR(NOT(ISNUMBER($G319)),NOT(ISNUMBER($H319))),"",$G319-$H319)</f>
        <v/>
      </c>
    </row>
    <row r="320" customFormat="false" ht="15" hidden="false" customHeight="false" outlineLevel="0" collapsed="false">
      <c r="A320" s="5" t="str">
        <f aca="false">IF(NOT(ISNUMBER(Macro_Series!$A320)),"",Macro_Series!$A320)</f>
        <v/>
      </c>
      <c r="B320" s="6" t="str">
        <f aca="false">IF(NOT(ISNUMBER(Macro_Series!$C320)),"",Macro_Series!$C320)</f>
        <v/>
      </c>
      <c r="C320" s="6" t="str">
        <f aca="false">IF(NOT(ISNUMBER(Macro_Series!$E320)),"",Macro_Series!$E320)</f>
        <v/>
      </c>
      <c r="D320" s="7" t="str">
        <f aca="false">IF(OR(NOT(ISNUMBER($B320)),NOT(ISNUMBER($C320)),$C320=0),"",$B320/$C320)</f>
        <v/>
      </c>
      <c r="E320" s="7" t="str">
        <f aca="false">IF(NOT(ISNUMBER(Macro_Series!$H320)),"",Macro_Series!$H320)</f>
        <v/>
      </c>
      <c r="F320" s="7" t="str">
        <f aca="false">IF(OR(NOT(ISNUMBER($D320)),NOT(ISNUMBER($E320)),$E320=0),"",$D320/$E320)</f>
        <v/>
      </c>
      <c r="G320" s="8" t="str">
        <f aca="false">IF(OR(NOT(ISNUMBER($B320)),NOT(ISNUMBER($B75)),$B75=0),"",$B320/$B75-1)</f>
        <v/>
      </c>
      <c r="H320" s="8" t="str">
        <f aca="false">IF(OR(NOT(ISNUMBER($D320)),NOT(ISNUMBER($D75)),$D75=0),"",$D320/$D75-1)</f>
        <v/>
      </c>
      <c r="I320" s="8" t="str">
        <f aca="false">IF(OR(NOT(ISNUMBER($G320)),NOT(ISNUMBER($H320))),"",$G320-$H320)</f>
        <v/>
      </c>
    </row>
    <row r="321" customFormat="false" ht="15" hidden="false" customHeight="false" outlineLevel="0" collapsed="false">
      <c r="A321" s="5" t="str">
        <f aca="false">IF(NOT(ISNUMBER(Macro_Series!$A321)),"",Macro_Series!$A321)</f>
        <v/>
      </c>
      <c r="B321" s="6" t="str">
        <f aca="false">IF(NOT(ISNUMBER(Macro_Series!$C321)),"",Macro_Series!$C321)</f>
        <v/>
      </c>
      <c r="C321" s="6" t="str">
        <f aca="false">IF(NOT(ISNUMBER(Macro_Series!$E321)),"",Macro_Series!$E321)</f>
        <v/>
      </c>
      <c r="D321" s="7" t="str">
        <f aca="false">IF(OR(NOT(ISNUMBER($B321)),NOT(ISNUMBER($C321)),$C321=0),"",$B321/$C321)</f>
        <v/>
      </c>
      <c r="E321" s="7" t="str">
        <f aca="false">IF(NOT(ISNUMBER(Macro_Series!$H321)),"",Macro_Series!$H321)</f>
        <v/>
      </c>
      <c r="F321" s="7" t="str">
        <f aca="false">IF(OR(NOT(ISNUMBER($D321)),NOT(ISNUMBER($E321)),$E321=0),"",$D321/$E321)</f>
        <v/>
      </c>
      <c r="G321" s="8" t="str">
        <f aca="false">IF(OR(NOT(ISNUMBER($B321)),NOT(ISNUMBER($B76)),$B76=0),"",$B321/$B76-1)</f>
        <v/>
      </c>
      <c r="H321" s="8" t="str">
        <f aca="false">IF(OR(NOT(ISNUMBER($D321)),NOT(ISNUMBER($D76)),$D76=0),"",$D321/$D76-1)</f>
        <v/>
      </c>
      <c r="I321" s="8" t="str">
        <f aca="false">IF(OR(NOT(ISNUMBER($G321)),NOT(ISNUMBER($H321))),"",$G321-$H321)</f>
        <v/>
      </c>
    </row>
    <row r="322" customFormat="false" ht="15" hidden="false" customHeight="false" outlineLevel="0" collapsed="false">
      <c r="A322" s="5" t="str">
        <f aca="false">IF(NOT(ISNUMBER(Macro_Series!$A322)),"",Macro_Series!$A322)</f>
        <v/>
      </c>
      <c r="B322" s="6" t="str">
        <f aca="false">IF(NOT(ISNUMBER(Macro_Series!$C322)),"",Macro_Series!$C322)</f>
        <v/>
      </c>
      <c r="C322" s="6" t="str">
        <f aca="false">IF(NOT(ISNUMBER(Macro_Series!$E322)),"",Macro_Series!$E322)</f>
        <v/>
      </c>
      <c r="D322" s="7" t="str">
        <f aca="false">IF(OR(NOT(ISNUMBER($B322)),NOT(ISNUMBER($C322)),$C322=0),"",$B322/$C322)</f>
        <v/>
      </c>
      <c r="E322" s="7" t="str">
        <f aca="false">IF(NOT(ISNUMBER(Macro_Series!$H322)),"",Macro_Series!$H322)</f>
        <v/>
      </c>
      <c r="F322" s="7" t="str">
        <f aca="false">IF(OR(NOT(ISNUMBER($D322)),NOT(ISNUMBER($E322)),$E322=0),"",$D322/$E322)</f>
        <v/>
      </c>
      <c r="G322" s="8" t="str">
        <f aca="false">IF(OR(NOT(ISNUMBER($B322)),NOT(ISNUMBER($B77)),$B77=0),"",$B322/$B77-1)</f>
        <v/>
      </c>
      <c r="H322" s="8" t="str">
        <f aca="false">IF(OR(NOT(ISNUMBER($D322)),NOT(ISNUMBER($D77)),$D77=0),"",$D322/$D77-1)</f>
        <v/>
      </c>
      <c r="I322" s="8" t="str">
        <f aca="false">IF(OR(NOT(ISNUMBER($G322)),NOT(ISNUMBER($H322))),"",$G322-$H322)</f>
        <v/>
      </c>
    </row>
    <row r="323" customFormat="false" ht="15" hidden="false" customHeight="false" outlineLevel="0" collapsed="false">
      <c r="A323" s="5" t="str">
        <f aca="false">IF(NOT(ISNUMBER(Macro_Series!$A323)),"",Macro_Series!$A323)</f>
        <v/>
      </c>
      <c r="B323" s="6" t="str">
        <f aca="false">IF(NOT(ISNUMBER(Macro_Series!$C323)),"",Macro_Series!$C323)</f>
        <v/>
      </c>
      <c r="C323" s="6" t="str">
        <f aca="false">IF(NOT(ISNUMBER(Macro_Series!$E323)),"",Macro_Series!$E323)</f>
        <v/>
      </c>
      <c r="D323" s="7" t="str">
        <f aca="false">IF(OR(NOT(ISNUMBER($B323)),NOT(ISNUMBER($C323)),$C323=0),"",$B323/$C323)</f>
        <v/>
      </c>
      <c r="E323" s="7" t="str">
        <f aca="false">IF(NOT(ISNUMBER(Macro_Series!$H323)),"",Macro_Series!$H323)</f>
        <v/>
      </c>
      <c r="F323" s="7" t="str">
        <f aca="false">IF(OR(NOT(ISNUMBER($D323)),NOT(ISNUMBER($E323)),$E323=0),"",$D323/$E323)</f>
        <v/>
      </c>
      <c r="G323" s="8" t="str">
        <f aca="false">IF(OR(NOT(ISNUMBER($B323)),NOT(ISNUMBER($B78)),$B78=0),"",$B323/$B78-1)</f>
        <v/>
      </c>
      <c r="H323" s="8" t="str">
        <f aca="false">IF(OR(NOT(ISNUMBER($D323)),NOT(ISNUMBER($D78)),$D78=0),"",$D323/$D78-1)</f>
        <v/>
      </c>
      <c r="I323" s="8" t="str">
        <f aca="false">IF(OR(NOT(ISNUMBER($G323)),NOT(ISNUMBER($H323))),"",$G323-$H323)</f>
        <v/>
      </c>
    </row>
    <row r="324" customFormat="false" ht="15" hidden="false" customHeight="false" outlineLevel="0" collapsed="false">
      <c r="A324" s="5" t="str">
        <f aca="false">IF(NOT(ISNUMBER(Macro_Series!$A324)),"",Macro_Series!$A324)</f>
        <v/>
      </c>
      <c r="B324" s="6" t="str">
        <f aca="false">IF(NOT(ISNUMBER(Macro_Series!$C324)),"",Macro_Series!$C324)</f>
        <v/>
      </c>
      <c r="C324" s="6" t="str">
        <f aca="false">IF(NOT(ISNUMBER(Macro_Series!$E324)),"",Macro_Series!$E324)</f>
        <v/>
      </c>
      <c r="D324" s="7" t="str">
        <f aca="false">IF(OR(NOT(ISNUMBER($B324)),NOT(ISNUMBER($C324)),$C324=0),"",$B324/$C324)</f>
        <v/>
      </c>
      <c r="E324" s="7" t="str">
        <f aca="false">IF(NOT(ISNUMBER(Macro_Series!$H324)),"",Macro_Series!$H324)</f>
        <v/>
      </c>
      <c r="F324" s="7" t="str">
        <f aca="false">IF(OR(NOT(ISNUMBER($D324)),NOT(ISNUMBER($E324)),$E324=0),"",$D324/$E324)</f>
        <v/>
      </c>
      <c r="G324" s="8" t="str">
        <f aca="false">IF(OR(NOT(ISNUMBER($B324)),NOT(ISNUMBER($B79)),$B79=0),"",$B324/$B79-1)</f>
        <v/>
      </c>
      <c r="H324" s="8" t="str">
        <f aca="false">IF(OR(NOT(ISNUMBER($D324)),NOT(ISNUMBER($D79)),$D79=0),"",$D324/$D79-1)</f>
        <v/>
      </c>
      <c r="I324" s="8" t="str">
        <f aca="false">IF(OR(NOT(ISNUMBER($G324)),NOT(ISNUMBER($H324))),"",$G324-$H324)</f>
        <v/>
      </c>
    </row>
    <row r="325" customFormat="false" ht="15" hidden="false" customHeight="false" outlineLevel="0" collapsed="false">
      <c r="A325" s="5" t="str">
        <f aca="false">IF(NOT(ISNUMBER(Macro_Series!$A325)),"",Macro_Series!$A325)</f>
        <v/>
      </c>
      <c r="B325" s="6" t="str">
        <f aca="false">IF(NOT(ISNUMBER(Macro_Series!$C325)),"",Macro_Series!$C325)</f>
        <v/>
      </c>
      <c r="C325" s="6" t="str">
        <f aca="false">IF(NOT(ISNUMBER(Macro_Series!$E325)),"",Macro_Series!$E325)</f>
        <v/>
      </c>
      <c r="D325" s="7" t="str">
        <f aca="false">IF(OR(NOT(ISNUMBER($B325)),NOT(ISNUMBER($C325)),$C325=0),"",$B325/$C325)</f>
        <v/>
      </c>
      <c r="E325" s="7" t="str">
        <f aca="false">IF(NOT(ISNUMBER(Macro_Series!$H325)),"",Macro_Series!$H325)</f>
        <v/>
      </c>
      <c r="F325" s="7" t="str">
        <f aca="false">IF(OR(NOT(ISNUMBER($D325)),NOT(ISNUMBER($E325)),$E325=0),"",$D325/$E325)</f>
        <v/>
      </c>
      <c r="G325" s="8" t="str">
        <f aca="false">IF(OR(NOT(ISNUMBER($B325)),NOT(ISNUMBER($B80)),$B80=0),"",$B325/$B80-1)</f>
        <v/>
      </c>
      <c r="H325" s="8" t="str">
        <f aca="false">IF(OR(NOT(ISNUMBER($D325)),NOT(ISNUMBER($D80)),$D80=0),"",$D325/$D80-1)</f>
        <v/>
      </c>
      <c r="I325" s="8" t="str">
        <f aca="false">IF(OR(NOT(ISNUMBER($G325)),NOT(ISNUMBER($H325))),"",$G325-$H325)</f>
        <v/>
      </c>
    </row>
    <row r="326" customFormat="false" ht="15" hidden="false" customHeight="false" outlineLevel="0" collapsed="false">
      <c r="A326" s="5" t="str">
        <f aca="false">IF(NOT(ISNUMBER(Macro_Series!$A326)),"",Macro_Series!$A326)</f>
        <v/>
      </c>
      <c r="B326" s="6" t="str">
        <f aca="false">IF(NOT(ISNUMBER(Macro_Series!$C326)),"",Macro_Series!$C326)</f>
        <v/>
      </c>
      <c r="C326" s="6" t="str">
        <f aca="false">IF(NOT(ISNUMBER(Macro_Series!$E326)),"",Macro_Series!$E326)</f>
        <v/>
      </c>
      <c r="D326" s="7" t="str">
        <f aca="false">IF(OR(NOT(ISNUMBER($B326)),NOT(ISNUMBER($C326)),$C326=0),"",$B326/$C326)</f>
        <v/>
      </c>
      <c r="E326" s="7" t="str">
        <f aca="false">IF(NOT(ISNUMBER(Macro_Series!$H326)),"",Macro_Series!$H326)</f>
        <v/>
      </c>
      <c r="F326" s="7" t="str">
        <f aca="false">IF(OR(NOT(ISNUMBER($D326)),NOT(ISNUMBER($E326)),$E326=0),"",$D326/$E326)</f>
        <v/>
      </c>
      <c r="G326" s="8" t="str">
        <f aca="false">IF(OR(NOT(ISNUMBER($B326)),NOT(ISNUMBER($B81)),$B81=0),"",$B326/$B81-1)</f>
        <v/>
      </c>
      <c r="H326" s="8" t="str">
        <f aca="false">IF(OR(NOT(ISNUMBER($D326)),NOT(ISNUMBER($D81)),$D81=0),"",$D326/$D81-1)</f>
        <v/>
      </c>
      <c r="I326" s="8" t="str">
        <f aca="false">IF(OR(NOT(ISNUMBER($G326)),NOT(ISNUMBER($H326))),"",$G326-$H326)</f>
        <v/>
      </c>
    </row>
    <row r="327" customFormat="false" ht="15" hidden="false" customHeight="false" outlineLevel="0" collapsed="false">
      <c r="A327" s="5" t="str">
        <f aca="false">IF(NOT(ISNUMBER(Macro_Series!$A327)),"",Macro_Series!$A327)</f>
        <v/>
      </c>
      <c r="B327" s="6" t="str">
        <f aca="false">IF(NOT(ISNUMBER(Macro_Series!$C327)),"",Macro_Series!$C327)</f>
        <v/>
      </c>
      <c r="C327" s="6" t="str">
        <f aca="false">IF(NOT(ISNUMBER(Macro_Series!$E327)),"",Macro_Series!$E327)</f>
        <v/>
      </c>
      <c r="D327" s="7" t="str">
        <f aca="false">IF(OR(NOT(ISNUMBER($B327)),NOT(ISNUMBER($C327)),$C327=0),"",$B327/$C327)</f>
        <v/>
      </c>
      <c r="E327" s="7" t="str">
        <f aca="false">IF(NOT(ISNUMBER(Macro_Series!$H327)),"",Macro_Series!$H327)</f>
        <v/>
      </c>
      <c r="F327" s="7" t="str">
        <f aca="false">IF(OR(NOT(ISNUMBER($D327)),NOT(ISNUMBER($E327)),$E327=0),"",$D327/$E327)</f>
        <v/>
      </c>
      <c r="G327" s="8" t="str">
        <f aca="false">IF(OR(NOT(ISNUMBER($B327)),NOT(ISNUMBER($B82)),$B82=0),"",$B327/$B82-1)</f>
        <v/>
      </c>
      <c r="H327" s="8" t="str">
        <f aca="false">IF(OR(NOT(ISNUMBER($D327)),NOT(ISNUMBER($D82)),$D82=0),"",$D327/$D82-1)</f>
        <v/>
      </c>
      <c r="I327" s="8" t="str">
        <f aca="false">IF(OR(NOT(ISNUMBER($G327)),NOT(ISNUMBER($H327))),"",$G327-$H327)</f>
        <v/>
      </c>
    </row>
    <row r="328" customFormat="false" ht="15" hidden="false" customHeight="false" outlineLevel="0" collapsed="false">
      <c r="A328" s="5" t="str">
        <f aca="false">IF(NOT(ISNUMBER(Macro_Series!$A328)),"",Macro_Series!$A328)</f>
        <v/>
      </c>
      <c r="B328" s="6" t="str">
        <f aca="false">IF(NOT(ISNUMBER(Macro_Series!$C328)),"",Macro_Series!$C328)</f>
        <v/>
      </c>
      <c r="C328" s="6" t="str">
        <f aca="false">IF(NOT(ISNUMBER(Macro_Series!$E328)),"",Macro_Series!$E328)</f>
        <v/>
      </c>
      <c r="D328" s="7" t="str">
        <f aca="false">IF(OR(NOT(ISNUMBER($B328)),NOT(ISNUMBER($C328)),$C328=0),"",$B328/$C328)</f>
        <v/>
      </c>
      <c r="E328" s="7" t="str">
        <f aca="false">IF(NOT(ISNUMBER(Macro_Series!$H328)),"",Macro_Series!$H328)</f>
        <v/>
      </c>
      <c r="F328" s="7" t="str">
        <f aca="false">IF(OR(NOT(ISNUMBER($D328)),NOT(ISNUMBER($E328)),$E328=0),"",$D328/$E328)</f>
        <v/>
      </c>
      <c r="G328" s="8" t="str">
        <f aca="false">IF(OR(NOT(ISNUMBER($B328)),NOT(ISNUMBER($B83)),$B83=0),"",$B328/$B83-1)</f>
        <v/>
      </c>
      <c r="H328" s="8" t="str">
        <f aca="false">IF(OR(NOT(ISNUMBER($D328)),NOT(ISNUMBER($D83)),$D83=0),"",$D328/$D83-1)</f>
        <v/>
      </c>
      <c r="I328" s="8" t="str">
        <f aca="false">IF(OR(NOT(ISNUMBER($G328)),NOT(ISNUMBER($H328))),"",$G328-$H328)</f>
        <v/>
      </c>
    </row>
    <row r="329" customFormat="false" ht="15" hidden="false" customHeight="false" outlineLevel="0" collapsed="false">
      <c r="A329" s="5" t="str">
        <f aca="false">IF(NOT(ISNUMBER(Macro_Series!$A329)),"",Macro_Series!$A329)</f>
        <v/>
      </c>
      <c r="B329" s="6" t="str">
        <f aca="false">IF(NOT(ISNUMBER(Macro_Series!$C329)),"",Macro_Series!$C329)</f>
        <v/>
      </c>
      <c r="C329" s="6" t="str">
        <f aca="false">IF(NOT(ISNUMBER(Macro_Series!$E329)),"",Macro_Series!$E329)</f>
        <v/>
      </c>
      <c r="D329" s="7" t="str">
        <f aca="false">IF(OR(NOT(ISNUMBER($B329)),NOT(ISNUMBER($C329)),$C329=0),"",$B329/$C329)</f>
        <v/>
      </c>
      <c r="E329" s="7" t="str">
        <f aca="false">IF(NOT(ISNUMBER(Macro_Series!$H329)),"",Macro_Series!$H329)</f>
        <v/>
      </c>
      <c r="F329" s="7" t="str">
        <f aca="false">IF(OR(NOT(ISNUMBER($D329)),NOT(ISNUMBER($E329)),$E329=0),"",$D329/$E329)</f>
        <v/>
      </c>
      <c r="G329" s="8" t="str">
        <f aca="false">IF(OR(NOT(ISNUMBER($B329)),NOT(ISNUMBER($B84)),$B84=0),"",$B329/$B84-1)</f>
        <v/>
      </c>
      <c r="H329" s="8" t="str">
        <f aca="false">IF(OR(NOT(ISNUMBER($D329)),NOT(ISNUMBER($D84)),$D84=0),"",$D329/$D84-1)</f>
        <v/>
      </c>
      <c r="I329" s="8" t="str">
        <f aca="false">IF(OR(NOT(ISNUMBER($G329)),NOT(ISNUMBER($H329))),"",$G329-$H329)</f>
        <v/>
      </c>
    </row>
    <row r="330" customFormat="false" ht="15" hidden="false" customHeight="false" outlineLevel="0" collapsed="false">
      <c r="A330" s="5" t="str">
        <f aca="false">IF(NOT(ISNUMBER(Macro_Series!$A330)),"",Macro_Series!$A330)</f>
        <v/>
      </c>
      <c r="B330" s="6" t="str">
        <f aca="false">IF(NOT(ISNUMBER(Macro_Series!$C330)),"",Macro_Series!$C330)</f>
        <v/>
      </c>
      <c r="C330" s="6" t="str">
        <f aca="false">IF(NOT(ISNUMBER(Macro_Series!$E330)),"",Macro_Series!$E330)</f>
        <v/>
      </c>
      <c r="D330" s="7" t="str">
        <f aca="false">IF(OR(NOT(ISNUMBER($B330)),NOT(ISNUMBER($C330)),$C330=0),"",$B330/$C330)</f>
        <v/>
      </c>
      <c r="E330" s="7" t="str">
        <f aca="false">IF(NOT(ISNUMBER(Macro_Series!$H330)),"",Macro_Series!$H330)</f>
        <v/>
      </c>
      <c r="F330" s="7" t="str">
        <f aca="false">IF(OR(NOT(ISNUMBER($D330)),NOT(ISNUMBER($E330)),$E330=0),"",$D330/$E330)</f>
        <v/>
      </c>
      <c r="G330" s="8" t="str">
        <f aca="false">IF(OR(NOT(ISNUMBER($B330)),NOT(ISNUMBER($B85)),$B85=0),"",$B330/$B85-1)</f>
        <v/>
      </c>
      <c r="H330" s="8" t="str">
        <f aca="false">IF(OR(NOT(ISNUMBER($D330)),NOT(ISNUMBER($D85)),$D85=0),"",$D330/$D85-1)</f>
        <v/>
      </c>
      <c r="I330" s="8" t="str">
        <f aca="false">IF(OR(NOT(ISNUMBER($G330)),NOT(ISNUMBER($H330))),"",$G330-$H330)</f>
        <v/>
      </c>
    </row>
    <row r="331" customFormat="false" ht="15" hidden="false" customHeight="false" outlineLevel="0" collapsed="false">
      <c r="A331" s="5" t="str">
        <f aca="false">IF(NOT(ISNUMBER(Macro_Series!$A331)),"",Macro_Series!$A331)</f>
        <v/>
      </c>
      <c r="B331" s="6" t="str">
        <f aca="false">IF(NOT(ISNUMBER(Macro_Series!$C331)),"",Macro_Series!$C331)</f>
        <v/>
      </c>
      <c r="C331" s="6" t="str">
        <f aca="false">IF(NOT(ISNUMBER(Macro_Series!$E331)),"",Macro_Series!$E331)</f>
        <v/>
      </c>
      <c r="D331" s="7" t="str">
        <f aca="false">IF(OR(NOT(ISNUMBER($B331)),NOT(ISNUMBER($C331)),$C331=0),"",$B331/$C331)</f>
        <v/>
      </c>
      <c r="E331" s="7" t="str">
        <f aca="false">IF(NOT(ISNUMBER(Macro_Series!$H331)),"",Macro_Series!$H331)</f>
        <v/>
      </c>
      <c r="F331" s="7" t="str">
        <f aca="false">IF(OR(NOT(ISNUMBER($D331)),NOT(ISNUMBER($E331)),$E331=0),"",$D331/$E331)</f>
        <v/>
      </c>
      <c r="G331" s="8" t="str">
        <f aca="false">IF(OR(NOT(ISNUMBER($B331)),NOT(ISNUMBER($B86)),$B86=0),"",$B331/$B86-1)</f>
        <v/>
      </c>
      <c r="H331" s="8" t="str">
        <f aca="false">IF(OR(NOT(ISNUMBER($D331)),NOT(ISNUMBER($D86)),$D86=0),"",$D331/$D86-1)</f>
        <v/>
      </c>
      <c r="I331" s="8" t="str">
        <f aca="false">IF(OR(NOT(ISNUMBER($G331)),NOT(ISNUMBER($H331))),"",$G331-$H331)</f>
        <v/>
      </c>
    </row>
    <row r="332" customFormat="false" ht="15" hidden="false" customHeight="false" outlineLevel="0" collapsed="false">
      <c r="A332" s="5" t="str">
        <f aca="false">IF(NOT(ISNUMBER(Macro_Series!$A332)),"",Macro_Series!$A332)</f>
        <v/>
      </c>
      <c r="B332" s="6" t="str">
        <f aca="false">IF(NOT(ISNUMBER(Macro_Series!$C332)),"",Macro_Series!$C332)</f>
        <v/>
      </c>
      <c r="C332" s="6" t="str">
        <f aca="false">IF(NOT(ISNUMBER(Macro_Series!$E332)),"",Macro_Series!$E332)</f>
        <v/>
      </c>
      <c r="D332" s="7" t="str">
        <f aca="false">IF(OR(NOT(ISNUMBER($B332)),NOT(ISNUMBER($C332)),$C332=0),"",$B332/$C332)</f>
        <v/>
      </c>
      <c r="E332" s="7" t="str">
        <f aca="false">IF(NOT(ISNUMBER(Macro_Series!$H332)),"",Macro_Series!$H332)</f>
        <v/>
      </c>
      <c r="F332" s="7" t="str">
        <f aca="false">IF(OR(NOT(ISNUMBER($D332)),NOT(ISNUMBER($E332)),$E332=0),"",$D332/$E332)</f>
        <v/>
      </c>
      <c r="G332" s="8" t="str">
        <f aca="false">IF(OR(NOT(ISNUMBER($B332)),NOT(ISNUMBER($B87)),$B87=0),"",$B332/$B87-1)</f>
        <v/>
      </c>
      <c r="H332" s="8" t="str">
        <f aca="false">IF(OR(NOT(ISNUMBER($D332)),NOT(ISNUMBER($D87)),$D87=0),"",$D332/$D87-1)</f>
        <v/>
      </c>
      <c r="I332" s="8" t="str">
        <f aca="false">IF(OR(NOT(ISNUMBER($G332)),NOT(ISNUMBER($H332))),"",$G332-$H332)</f>
        <v/>
      </c>
    </row>
    <row r="333" customFormat="false" ht="15" hidden="false" customHeight="false" outlineLevel="0" collapsed="false">
      <c r="A333" s="5" t="str">
        <f aca="false">IF(NOT(ISNUMBER(Macro_Series!$A333)),"",Macro_Series!$A333)</f>
        <v/>
      </c>
      <c r="B333" s="6" t="str">
        <f aca="false">IF(NOT(ISNUMBER(Macro_Series!$C333)),"",Macro_Series!$C333)</f>
        <v/>
      </c>
      <c r="C333" s="6" t="str">
        <f aca="false">IF(NOT(ISNUMBER(Macro_Series!$E333)),"",Macro_Series!$E333)</f>
        <v/>
      </c>
      <c r="D333" s="7" t="str">
        <f aca="false">IF(OR(NOT(ISNUMBER($B333)),NOT(ISNUMBER($C333)),$C333=0),"",$B333/$C333)</f>
        <v/>
      </c>
      <c r="E333" s="7" t="str">
        <f aca="false">IF(NOT(ISNUMBER(Macro_Series!$H333)),"",Macro_Series!$H333)</f>
        <v/>
      </c>
      <c r="F333" s="7" t="str">
        <f aca="false">IF(OR(NOT(ISNUMBER($D333)),NOT(ISNUMBER($E333)),$E333=0),"",$D333/$E333)</f>
        <v/>
      </c>
      <c r="G333" s="8" t="str">
        <f aca="false">IF(OR(NOT(ISNUMBER($B333)),NOT(ISNUMBER($B88)),$B88=0),"",$B333/$B88-1)</f>
        <v/>
      </c>
      <c r="H333" s="8" t="str">
        <f aca="false">IF(OR(NOT(ISNUMBER($D333)),NOT(ISNUMBER($D88)),$D88=0),"",$D333/$D88-1)</f>
        <v/>
      </c>
      <c r="I333" s="8" t="str">
        <f aca="false">IF(OR(NOT(ISNUMBER($G333)),NOT(ISNUMBER($H333))),"",$G333-$H333)</f>
        <v/>
      </c>
    </row>
    <row r="334" customFormat="false" ht="15" hidden="false" customHeight="false" outlineLevel="0" collapsed="false">
      <c r="A334" s="5" t="str">
        <f aca="false">IF(NOT(ISNUMBER(Macro_Series!$A334)),"",Macro_Series!$A334)</f>
        <v/>
      </c>
      <c r="B334" s="6" t="str">
        <f aca="false">IF(NOT(ISNUMBER(Macro_Series!$C334)),"",Macro_Series!$C334)</f>
        <v/>
      </c>
      <c r="C334" s="6" t="str">
        <f aca="false">IF(NOT(ISNUMBER(Macro_Series!$E334)),"",Macro_Series!$E334)</f>
        <v/>
      </c>
      <c r="D334" s="7" t="str">
        <f aca="false">IF(OR(NOT(ISNUMBER($B334)),NOT(ISNUMBER($C334)),$C334=0),"",$B334/$C334)</f>
        <v/>
      </c>
      <c r="E334" s="7" t="str">
        <f aca="false">IF(NOT(ISNUMBER(Macro_Series!$H334)),"",Macro_Series!$H334)</f>
        <v/>
      </c>
      <c r="F334" s="7" t="str">
        <f aca="false">IF(OR(NOT(ISNUMBER($D334)),NOT(ISNUMBER($E334)),$E334=0),"",$D334/$E334)</f>
        <v/>
      </c>
      <c r="G334" s="8" t="str">
        <f aca="false">IF(OR(NOT(ISNUMBER($B334)),NOT(ISNUMBER($B89)),$B89=0),"",$B334/$B89-1)</f>
        <v/>
      </c>
      <c r="H334" s="8" t="str">
        <f aca="false">IF(OR(NOT(ISNUMBER($D334)),NOT(ISNUMBER($D89)),$D89=0),"",$D334/$D89-1)</f>
        <v/>
      </c>
      <c r="I334" s="8" t="str">
        <f aca="false">IF(OR(NOT(ISNUMBER($G334)),NOT(ISNUMBER($H334))),"",$G334-$H334)</f>
        <v/>
      </c>
    </row>
    <row r="335" customFormat="false" ht="15" hidden="false" customHeight="false" outlineLevel="0" collapsed="false">
      <c r="A335" s="5" t="str">
        <f aca="false">IF(NOT(ISNUMBER(Macro_Series!$A335)),"",Macro_Series!$A335)</f>
        <v/>
      </c>
      <c r="B335" s="6" t="str">
        <f aca="false">IF(NOT(ISNUMBER(Macro_Series!$C335)),"",Macro_Series!$C335)</f>
        <v/>
      </c>
      <c r="C335" s="6" t="str">
        <f aca="false">IF(NOT(ISNUMBER(Macro_Series!$E335)),"",Macro_Series!$E335)</f>
        <v/>
      </c>
      <c r="D335" s="7" t="str">
        <f aca="false">IF(OR(NOT(ISNUMBER($B335)),NOT(ISNUMBER($C335)),$C335=0),"",$B335/$C335)</f>
        <v/>
      </c>
      <c r="E335" s="7" t="str">
        <f aca="false">IF(NOT(ISNUMBER(Macro_Series!$H335)),"",Macro_Series!$H335)</f>
        <v/>
      </c>
      <c r="F335" s="7" t="str">
        <f aca="false">IF(OR(NOT(ISNUMBER($D335)),NOT(ISNUMBER($E335)),$E335=0),"",$D335/$E335)</f>
        <v/>
      </c>
      <c r="G335" s="8" t="str">
        <f aca="false">IF(OR(NOT(ISNUMBER($B335)),NOT(ISNUMBER($B90)),$B90=0),"",$B335/$B90-1)</f>
        <v/>
      </c>
      <c r="H335" s="8" t="str">
        <f aca="false">IF(OR(NOT(ISNUMBER($D335)),NOT(ISNUMBER($D90)),$D90=0),"",$D335/$D90-1)</f>
        <v/>
      </c>
      <c r="I335" s="8" t="str">
        <f aca="false">IF(OR(NOT(ISNUMBER($G335)),NOT(ISNUMBER($H335))),"",$G335-$H335)</f>
        <v/>
      </c>
    </row>
    <row r="336" customFormat="false" ht="15" hidden="false" customHeight="false" outlineLevel="0" collapsed="false">
      <c r="A336" s="5" t="str">
        <f aca="false">IF(NOT(ISNUMBER(Macro_Series!$A336)),"",Macro_Series!$A336)</f>
        <v/>
      </c>
      <c r="B336" s="6" t="str">
        <f aca="false">IF(NOT(ISNUMBER(Macro_Series!$C336)),"",Macro_Series!$C336)</f>
        <v/>
      </c>
      <c r="C336" s="6" t="str">
        <f aca="false">IF(NOT(ISNUMBER(Macro_Series!$E336)),"",Macro_Series!$E336)</f>
        <v/>
      </c>
      <c r="D336" s="7" t="str">
        <f aca="false">IF(OR(NOT(ISNUMBER($B336)),NOT(ISNUMBER($C336)),$C336=0),"",$B336/$C336)</f>
        <v/>
      </c>
      <c r="E336" s="7" t="str">
        <f aca="false">IF(NOT(ISNUMBER(Macro_Series!$H336)),"",Macro_Series!$H336)</f>
        <v/>
      </c>
      <c r="F336" s="7" t="str">
        <f aca="false">IF(OR(NOT(ISNUMBER($D336)),NOT(ISNUMBER($E336)),$E336=0),"",$D336/$E336)</f>
        <v/>
      </c>
      <c r="G336" s="8" t="str">
        <f aca="false">IF(OR(NOT(ISNUMBER($B336)),NOT(ISNUMBER($B91)),$B91=0),"",$B336/$B91-1)</f>
        <v/>
      </c>
      <c r="H336" s="8" t="str">
        <f aca="false">IF(OR(NOT(ISNUMBER($D336)),NOT(ISNUMBER($D91)),$D91=0),"",$D336/$D91-1)</f>
        <v/>
      </c>
      <c r="I336" s="8" t="str">
        <f aca="false">IF(OR(NOT(ISNUMBER($G336)),NOT(ISNUMBER($H336))),"",$G336-$H336)</f>
        <v/>
      </c>
    </row>
    <row r="337" customFormat="false" ht="15" hidden="false" customHeight="false" outlineLevel="0" collapsed="false">
      <c r="A337" s="5" t="str">
        <f aca="false">IF(NOT(ISNUMBER(Macro_Series!$A337)),"",Macro_Series!$A337)</f>
        <v/>
      </c>
      <c r="B337" s="6" t="str">
        <f aca="false">IF(NOT(ISNUMBER(Macro_Series!$C337)),"",Macro_Series!$C337)</f>
        <v/>
      </c>
      <c r="C337" s="6" t="str">
        <f aca="false">IF(NOT(ISNUMBER(Macro_Series!$E337)),"",Macro_Series!$E337)</f>
        <v/>
      </c>
      <c r="D337" s="7" t="str">
        <f aca="false">IF(OR(NOT(ISNUMBER($B337)),NOT(ISNUMBER($C337)),$C337=0),"",$B337/$C337)</f>
        <v/>
      </c>
      <c r="E337" s="7" t="str">
        <f aca="false">IF(NOT(ISNUMBER(Macro_Series!$H337)),"",Macro_Series!$H337)</f>
        <v/>
      </c>
      <c r="F337" s="7" t="str">
        <f aca="false">IF(OR(NOT(ISNUMBER($D337)),NOT(ISNUMBER($E337)),$E337=0),"",$D337/$E337)</f>
        <v/>
      </c>
      <c r="G337" s="8" t="str">
        <f aca="false">IF(OR(NOT(ISNUMBER($B337)),NOT(ISNUMBER($B92)),$B92=0),"",$B337/$B92-1)</f>
        <v/>
      </c>
      <c r="H337" s="8" t="str">
        <f aca="false">IF(OR(NOT(ISNUMBER($D337)),NOT(ISNUMBER($D92)),$D92=0),"",$D337/$D92-1)</f>
        <v/>
      </c>
      <c r="I337" s="8" t="str">
        <f aca="false">IF(OR(NOT(ISNUMBER($G337)),NOT(ISNUMBER($H337))),"",$G337-$H337)</f>
        <v/>
      </c>
    </row>
    <row r="338" customFormat="false" ht="15" hidden="false" customHeight="false" outlineLevel="0" collapsed="false">
      <c r="A338" s="5" t="str">
        <f aca="false">IF(NOT(ISNUMBER(Macro_Series!$A338)),"",Macro_Series!$A338)</f>
        <v/>
      </c>
      <c r="B338" s="6" t="str">
        <f aca="false">IF(NOT(ISNUMBER(Macro_Series!$C338)),"",Macro_Series!$C338)</f>
        <v/>
      </c>
      <c r="C338" s="6" t="str">
        <f aca="false">IF(NOT(ISNUMBER(Macro_Series!$E338)),"",Macro_Series!$E338)</f>
        <v/>
      </c>
      <c r="D338" s="7" t="str">
        <f aca="false">IF(OR(NOT(ISNUMBER($B338)),NOT(ISNUMBER($C338)),$C338=0),"",$B338/$C338)</f>
        <v/>
      </c>
      <c r="E338" s="7" t="str">
        <f aca="false">IF(NOT(ISNUMBER(Macro_Series!$H338)),"",Macro_Series!$H338)</f>
        <v/>
      </c>
      <c r="F338" s="7" t="str">
        <f aca="false">IF(OR(NOT(ISNUMBER($D338)),NOT(ISNUMBER($E338)),$E338=0),"",$D338/$E338)</f>
        <v/>
      </c>
      <c r="G338" s="8" t="str">
        <f aca="false">IF(OR(NOT(ISNUMBER($B338)),NOT(ISNUMBER($B93)),$B93=0),"",$B338/$B93-1)</f>
        <v/>
      </c>
      <c r="H338" s="8" t="str">
        <f aca="false">IF(OR(NOT(ISNUMBER($D338)),NOT(ISNUMBER($D93)),$D93=0),"",$D338/$D93-1)</f>
        <v/>
      </c>
      <c r="I338" s="8" t="str">
        <f aca="false">IF(OR(NOT(ISNUMBER($G338)),NOT(ISNUMBER($H338))),"",$G338-$H338)</f>
        <v/>
      </c>
    </row>
    <row r="339" customFormat="false" ht="15" hidden="false" customHeight="false" outlineLevel="0" collapsed="false">
      <c r="A339" s="5" t="str">
        <f aca="false">IF(NOT(ISNUMBER(Macro_Series!$A339)),"",Macro_Series!$A339)</f>
        <v/>
      </c>
      <c r="B339" s="6" t="str">
        <f aca="false">IF(NOT(ISNUMBER(Macro_Series!$C339)),"",Macro_Series!$C339)</f>
        <v/>
      </c>
      <c r="C339" s="6" t="str">
        <f aca="false">IF(NOT(ISNUMBER(Macro_Series!$E339)),"",Macro_Series!$E339)</f>
        <v/>
      </c>
      <c r="D339" s="7" t="str">
        <f aca="false">IF(OR(NOT(ISNUMBER($B339)),NOT(ISNUMBER($C339)),$C339=0),"",$B339/$C339)</f>
        <v/>
      </c>
      <c r="E339" s="7" t="str">
        <f aca="false">IF(NOT(ISNUMBER(Macro_Series!$H339)),"",Macro_Series!$H339)</f>
        <v/>
      </c>
      <c r="F339" s="7" t="str">
        <f aca="false">IF(OR(NOT(ISNUMBER($D339)),NOT(ISNUMBER($E339)),$E339=0),"",$D339/$E339)</f>
        <v/>
      </c>
      <c r="G339" s="8" t="str">
        <f aca="false">IF(OR(NOT(ISNUMBER($B339)),NOT(ISNUMBER($B94)),$B94=0),"",$B339/$B94-1)</f>
        <v/>
      </c>
      <c r="H339" s="8" t="str">
        <f aca="false">IF(OR(NOT(ISNUMBER($D339)),NOT(ISNUMBER($D94)),$D94=0),"",$D339/$D94-1)</f>
        <v/>
      </c>
      <c r="I339" s="8" t="str">
        <f aca="false">IF(OR(NOT(ISNUMBER($G339)),NOT(ISNUMBER($H339))),"",$G339-$H339)</f>
        <v/>
      </c>
    </row>
    <row r="340" customFormat="false" ht="15" hidden="false" customHeight="false" outlineLevel="0" collapsed="false">
      <c r="A340" s="5" t="str">
        <f aca="false">IF(NOT(ISNUMBER(Macro_Series!$A340)),"",Macro_Series!$A340)</f>
        <v/>
      </c>
      <c r="B340" s="6" t="str">
        <f aca="false">IF(NOT(ISNUMBER(Macro_Series!$C340)),"",Macro_Series!$C340)</f>
        <v/>
      </c>
      <c r="C340" s="6" t="str">
        <f aca="false">IF(NOT(ISNUMBER(Macro_Series!$E340)),"",Macro_Series!$E340)</f>
        <v/>
      </c>
      <c r="D340" s="7" t="str">
        <f aca="false">IF(OR(NOT(ISNUMBER($B340)),NOT(ISNUMBER($C340)),$C340=0),"",$B340/$C340)</f>
        <v/>
      </c>
      <c r="E340" s="7" t="str">
        <f aca="false">IF(NOT(ISNUMBER(Macro_Series!$H340)),"",Macro_Series!$H340)</f>
        <v/>
      </c>
      <c r="F340" s="7" t="str">
        <f aca="false">IF(OR(NOT(ISNUMBER($D340)),NOT(ISNUMBER($E340)),$E340=0),"",$D340/$E340)</f>
        <v/>
      </c>
      <c r="G340" s="8" t="str">
        <f aca="false">IF(OR(NOT(ISNUMBER($B340)),NOT(ISNUMBER($B95)),$B95=0),"",$B340/$B95-1)</f>
        <v/>
      </c>
      <c r="H340" s="8" t="str">
        <f aca="false">IF(OR(NOT(ISNUMBER($D340)),NOT(ISNUMBER($D95)),$D95=0),"",$D340/$D95-1)</f>
        <v/>
      </c>
      <c r="I340" s="8" t="str">
        <f aca="false">IF(OR(NOT(ISNUMBER($G340)),NOT(ISNUMBER($H340))),"",$G340-$H340)</f>
        <v/>
      </c>
    </row>
    <row r="341" customFormat="false" ht="15" hidden="false" customHeight="false" outlineLevel="0" collapsed="false">
      <c r="A341" s="5" t="str">
        <f aca="false">IF(NOT(ISNUMBER(Macro_Series!$A341)),"",Macro_Series!$A341)</f>
        <v/>
      </c>
      <c r="B341" s="6" t="str">
        <f aca="false">IF(NOT(ISNUMBER(Macro_Series!$C341)),"",Macro_Series!$C341)</f>
        <v/>
      </c>
      <c r="C341" s="6" t="str">
        <f aca="false">IF(NOT(ISNUMBER(Macro_Series!$E341)),"",Macro_Series!$E341)</f>
        <v/>
      </c>
      <c r="D341" s="7" t="str">
        <f aca="false">IF(OR(NOT(ISNUMBER($B341)),NOT(ISNUMBER($C341)),$C341=0),"",$B341/$C341)</f>
        <v/>
      </c>
      <c r="E341" s="7" t="str">
        <f aca="false">IF(NOT(ISNUMBER(Macro_Series!$H341)),"",Macro_Series!$H341)</f>
        <v/>
      </c>
      <c r="F341" s="7" t="str">
        <f aca="false">IF(OR(NOT(ISNUMBER($D341)),NOT(ISNUMBER($E341)),$E341=0),"",$D341/$E341)</f>
        <v/>
      </c>
      <c r="G341" s="8" t="str">
        <f aca="false">IF(OR(NOT(ISNUMBER($B341)),NOT(ISNUMBER($B96)),$B96=0),"",$B341/$B96-1)</f>
        <v/>
      </c>
      <c r="H341" s="8" t="str">
        <f aca="false">IF(OR(NOT(ISNUMBER($D341)),NOT(ISNUMBER($D96)),$D96=0),"",$D341/$D96-1)</f>
        <v/>
      </c>
      <c r="I341" s="8" t="str">
        <f aca="false">IF(OR(NOT(ISNUMBER($G341)),NOT(ISNUMBER($H341))),"",$G341-$H341)</f>
        <v/>
      </c>
    </row>
    <row r="342" customFormat="false" ht="15" hidden="false" customHeight="false" outlineLevel="0" collapsed="false">
      <c r="A342" s="5" t="str">
        <f aca="false">IF(NOT(ISNUMBER(Macro_Series!$A342)),"",Macro_Series!$A342)</f>
        <v/>
      </c>
      <c r="B342" s="6" t="str">
        <f aca="false">IF(NOT(ISNUMBER(Macro_Series!$C342)),"",Macro_Series!$C342)</f>
        <v/>
      </c>
      <c r="C342" s="6" t="str">
        <f aca="false">IF(NOT(ISNUMBER(Macro_Series!$E342)),"",Macro_Series!$E342)</f>
        <v/>
      </c>
      <c r="D342" s="7" t="str">
        <f aca="false">IF(OR(NOT(ISNUMBER($B342)),NOT(ISNUMBER($C342)),$C342=0),"",$B342/$C342)</f>
        <v/>
      </c>
      <c r="E342" s="7" t="str">
        <f aca="false">IF(NOT(ISNUMBER(Macro_Series!$H342)),"",Macro_Series!$H342)</f>
        <v/>
      </c>
      <c r="F342" s="7" t="str">
        <f aca="false">IF(OR(NOT(ISNUMBER($D342)),NOT(ISNUMBER($E342)),$E342=0),"",$D342/$E342)</f>
        <v/>
      </c>
      <c r="G342" s="8" t="str">
        <f aca="false">IF(OR(NOT(ISNUMBER($B342)),NOT(ISNUMBER($B97)),$B97=0),"",$B342/$B97-1)</f>
        <v/>
      </c>
      <c r="H342" s="8" t="str">
        <f aca="false">IF(OR(NOT(ISNUMBER($D342)),NOT(ISNUMBER($D97)),$D97=0),"",$D342/$D97-1)</f>
        <v/>
      </c>
      <c r="I342" s="8" t="str">
        <f aca="false">IF(OR(NOT(ISNUMBER($G342)),NOT(ISNUMBER($H342))),"",$G342-$H342)</f>
        <v/>
      </c>
    </row>
    <row r="343" customFormat="false" ht="15" hidden="false" customHeight="false" outlineLevel="0" collapsed="false">
      <c r="A343" s="5" t="str">
        <f aca="false">IF(NOT(ISNUMBER(Macro_Series!$A343)),"",Macro_Series!$A343)</f>
        <v/>
      </c>
      <c r="B343" s="6" t="str">
        <f aca="false">IF(NOT(ISNUMBER(Macro_Series!$C343)),"",Macro_Series!$C343)</f>
        <v/>
      </c>
      <c r="C343" s="6" t="str">
        <f aca="false">IF(NOT(ISNUMBER(Macro_Series!$E343)),"",Macro_Series!$E343)</f>
        <v/>
      </c>
      <c r="D343" s="7" t="str">
        <f aca="false">IF(OR(NOT(ISNUMBER($B343)),NOT(ISNUMBER($C343)),$C343=0),"",$B343/$C343)</f>
        <v/>
      </c>
      <c r="E343" s="7" t="str">
        <f aca="false">IF(NOT(ISNUMBER(Macro_Series!$H343)),"",Macro_Series!$H343)</f>
        <v/>
      </c>
      <c r="F343" s="7" t="str">
        <f aca="false">IF(OR(NOT(ISNUMBER($D343)),NOT(ISNUMBER($E343)),$E343=0),"",$D343/$E343)</f>
        <v/>
      </c>
      <c r="G343" s="8" t="str">
        <f aca="false">IF(OR(NOT(ISNUMBER($B343)),NOT(ISNUMBER($B98)),$B98=0),"",$B343/$B98-1)</f>
        <v/>
      </c>
      <c r="H343" s="8" t="str">
        <f aca="false">IF(OR(NOT(ISNUMBER($D343)),NOT(ISNUMBER($D98)),$D98=0),"",$D343/$D98-1)</f>
        <v/>
      </c>
      <c r="I343" s="8" t="str">
        <f aca="false">IF(OR(NOT(ISNUMBER($G343)),NOT(ISNUMBER($H343))),"",$G343-$H343)</f>
        <v/>
      </c>
    </row>
    <row r="344" customFormat="false" ht="15" hidden="false" customHeight="false" outlineLevel="0" collapsed="false">
      <c r="A344" s="5" t="str">
        <f aca="false">IF(NOT(ISNUMBER(Macro_Series!$A344)),"",Macro_Series!$A344)</f>
        <v/>
      </c>
      <c r="B344" s="6" t="str">
        <f aca="false">IF(NOT(ISNUMBER(Macro_Series!$C344)),"",Macro_Series!$C344)</f>
        <v/>
      </c>
      <c r="C344" s="6" t="str">
        <f aca="false">IF(NOT(ISNUMBER(Macro_Series!$E344)),"",Macro_Series!$E344)</f>
        <v/>
      </c>
      <c r="D344" s="7" t="str">
        <f aca="false">IF(OR(NOT(ISNUMBER($B344)),NOT(ISNUMBER($C344)),$C344=0),"",$B344/$C344)</f>
        <v/>
      </c>
      <c r="E344" s="7" t="str">
        <f aca="false">IF(NOT(ISNUMBER(Macro_Series!$H344)),"",Macro_Series!$H344)</f>
        <v/>
      </c>
      <c r="F344" s="7" t="str">
        <f aca="false">IF(OR(NOT(ISNUMBER($D344)),NOT(ISNUMBER($E344)),$E344=0),"",$D344/$E344)</f>
        <v/>
      </c>
      <c r="G344" s="8" t="str">
        <f aca="false">IF(OR(NOT(ISNUMBER($B344)),NOT(ISNUMBER($B99)),$B99=0),"",$B344/$B99-1)</f>
        <v/>
      </c>
      <c r="H344" s="8" t="str">
        <f aca="false">IF(OR(NOT(ISNUMBER($D344)),NOT(ISNUMBER($D99)),$D99=0),"",$D344/$D99-1)</f>
        <v/>
      </c>
      <c r="I344" s="8" t="str">
        <f aca="false">IF(OR(NOT(ISNUMBER($G344)),NOT(ISNUMBER($H344))),"",$G344-$H344)</f>
        <v/>
      </c>
    </row>
    <row r="345" customFormat="false" ht="15" hidden="false" customHeight="false" outlineLevel="0" collapsed="false">
      <c r="A345" s="5" t="str">
        <f aca="false">IF(NOT(ISNUMBER(Macro_Series!$A345)),"",Macro_Series!$A345)</f>
        <v/>
      </c>
      <c r="B345" s="6" t="str">
        <f aca="false">IF(NOT(ISNUMBER(Macro_Series!$C345)),"",Macro_Series!$C345)</f>
        <v/>
      </c>
      <c r="C345" s="6" t="str">
        <f aca="false">IF(NOT(ISNUMBER(Macro_Series!$E345)),"",Macro_Series!$E345)</f>
        <v/>
      </c>
      <c r="D345" s="7" t="str">
        <f aca="false">IF(OR(NOT(ISNUMBER($B345)),NOT(ISNUMBER($C345)),$C345=0),"",$B345/$C345)</f>
        <v/>
      </c>
      <c r="E345" s="7" t="str">
        <f aca="false">IF(NOT(ISNUMBER(Macro_Series!$H345)),"",Macro_Series!$H345)</f>
        <v/>
      </c>
      <c r="F345" s="7" t="str">
        <f aca="false">IF(OR(NOT(ISNUMBER($D345)),NOT(ISNUMBER($E345)),$E345=0),"",$D345/$E345)</f>
        <v/>
      </c>
      <c r="G345" s="8" t="str">
        <f aca="false">IF(OR(NOT(ISNUMBER($B345)),NOT(ISNUMBER($B100)),$B100=0),"",$B345/$B100-1)</f>
        <v/>
      </c>
      <c r="H345" s="8" t="str">
        <f aca="false">IF(OR(NOT(ISNUMBER($D345)),NOT(ISNUMBER($D100)),$D100=0),"",$D345/$D100-1)</f>
        <v/>
      </c>
      <c r="I345" s="8" t="str">
        <f aca="false">IF(OR(NOT(ISNUMBER($G345)),NOT(ISNUMBER($H345))),"",$G345-$H345)</f>
        <v/>
      </c>
    </row>
    <row r="346" customFormat="false" ht="15" hidden="false" customHeight="false" outlineLevel="0" collapsed="false">
      <c r="A346" s="5" t="str">
        <f aca="false">IF(NOT(ISNUMBER(Macro_Series!$A346)),"",Macro_Series!$A346)</f>
        <v/>
      </c>
      <c r="B346" s="6" t="str">
        <f aca="false">IF(NOT(ISNUMBER(Macro_Series!$C346)),"",Macro_Series!$C346)</f>
        <v/>
      </c>
      <c r="C346" s="6" t="str">
        <f aca="false">IF(NOT(ISNUMBER(Macro_Series!$E346)),"",Macro_Series!$E346)</f>
        <v/>
      </c>
      <c r="D346" s="7" t="str">
        <f aca="false">IF(OR(NOT(ISNUMBER($B346)),NOT(ISNUMBER($C346)),$C346=0),"",$B346/$C346)</f>
        <v/>
      </c>
      <c r="E346" s="7" t="str">
        <f aca="false">IF(NOT(ISNUMBER(Macro_Series!$H346)),"",Macro_Series!$H346)</f>
        <v/>
      </c>
      <c r="F346" s="7" t="str">
        <f aca="false">IF(OR(NOT(ISNUMBER($D346)),NOT(ISNUMBER($E346)),$E346=0),"",$D346/$E346)</f>
        <v/>
      </c>
      <c r="G346" s="8" t="str">
        <f aca="false">IF(OR(NOT(ISNUMBER($B346)),NOT(ISNUMBER($B101)),$B101=0),"",$B346/$B101-1)</f>
        <v/>
      </c>
      <c r="H346" s="8" t="str">
        <f aca="false">IF(OR(NOT(ISNUMBER($D346)),NOT(ISNUMBER($D101)),$D101=0),"",$D346/$D101-1)</f>
        <v/>
      </c>
      <c r="I346" s="8" t="str">
        <f aca="false">IF(OR(NOT(ISNUMBER($G346)),NOT(ISNUMBER($H346))),"",$G346-$H346)</f>
        <v/>
      </c>
    </row>
    <row r="347" customFormat="false" ht="15" hidden="false" customHeight="false" outlineLevel="0" collapsed="false">
      <c r="A347" s="5" t="str">
        <f aca="false">IF(NOT(ISNUMBER(Macro_Series!$A347)),"",Macro_Series!$A347)</f>
        <v/>
      </c>
      <c r="B347" s="6" t="str">
        <f aca="false">IF(NOT(ISNUMBER(Macro_Series!$C347)),"",Macro_Series!$C347)</f>
        <v/>
      </c>
      <c r="C347" s="6" t="str">
        <f aca="false">IF(NOT(ISNUMBER(Macro_Series!$E347)),"",Macro_Series!$E347)</f>
        <v/>
      </c>
      <c r="D347" s="7" t="str">
        <f aca="false">IF(OR(NOT(ISNUMBER($B347)),NOT(ISNUMBER($C347)),$C347=0),"",$B347/$C347)</f>
        <v/>
      </c>
      <c r="E347" s="7" t="str">
        <f aca="false">IF(NOT(ISNUMBER(Macro_Series!$H347)),"",Macro_Series!$H347)</f>
        <v/>
      </c>
      <c r="F347" s="7" t="str">
        <f aca="false">IF(OR(NOT(ISNUMBER($D347)),NOT(ISNUMBER($E347)),$E347=0),"",$D347/$E347)</f>
        <v/>
      </c>
      <c r="G347" s="8" t="str">
        <f aca="false">IF(OR(NOT(ISNUMBER($B347)),NOT(ISNUMBER($B102)),$B102=0),"",$B347/$B102-1)</f>
        <v/>
      </c>
      <c r="H347" s="8" t="str">
        <f aca="false">IF(OR(NOT(ISNUMBER($D347)),NOT(ISNUMBER($D102)),$D102=0),"",$D347/$D102-1)</f>
        <v/>
      </c>
      <c r="I347" s="8" t="str">
        <f aca="false">IF(OR(NOT(ISNUMBER($G347)),NOT(ISNUMBER($H347))),"",$G347-$H347)</f>
        <v/>
      </c>
    </row>
    <row r="348" customFormat="false" ht="15" hidden="false" customHeight="false" outlineLevel="0" collapsed="false">
      <c r="A348" s="5" t="str">
        <f aca="false">IF(NOT(ISNUMBER(Macro_Series!$A348)),"",Macro_Series!$A348)</f>
        <v/>
      </c>
      <c r="B348" s="6" t="str">
        <f aca="false">IF(NOT(ISNUMBER(Macro_Series!$C348)),"",Macro_Series!$C348)</f>
        <v/>
      </c>
      <c r="C348" s="6" t="str">
        <f aca="false">IF(NOT(ISNUMBER(Macro_Series!$E348)),"",Macro_Series!$E348)</f>
        <v/>
      </c>
      <c r="D348" s="7" t="str">
        <f aca="false">IF(OR(NOT(ISNUMBER($B348)),NOT(ISNUMBER($C348)),$C348=0),"",$B348/$C348)</f>
        <v/>
      </c>
      <c r="E348" s="7" t="str">
        <f aca="false">IF(NOT(ISNUMBER(Macro_Series!$H348)),"",Macro_Series!$H348)</f>
        <v/>
      </c>
      <c r="F348" s="7" t="str">
        <f aca="false">IF(OR(NOT(ISNUMBER($D348)),NOT(ISNUMBER($E348)),$E348=0),"",$D348/$E348)</f>
        <v/>
      </c>
      <c r="G348" s="8" t="str">
        <f aca="false">IF(OR(NOT(ISNUMBER($B348)),NOT(ISNUMBER($B103)),$B103=0),"",$B348/$B103-1)</f>
        <v/>
      </c>
      <c r="H348" s="8" t="str">
        <f aca="false">IF(OR(NOT(ISNUMBER($D348)),NOT(ISNUMBER($D103)),$D103=0),"",$D348/$D103-1)</f>
        <v/>
      </c>
      <c r="I348" s="8" t="str">
        <f aca="false">IF(OR(NOT(ISNUMBER($G348)),NOT(ISNUMBER($H348))),"",$G348-$H348)</f>
        <v/>
      </c>
    </row>
    <row r="349" customFormat="false" ht="15" hidden="false" customHeight="false" outlineLevel="0" collapsed="false">
      <c r="A349" s="5" t="str">
        <f aca="false">IF(NOT(ISNUMBER(Macro_Series!$A349)),"",Macro_Series!$A349)</f>
        <v/>
      </c>
      <c r="B349" s="6" t="str">
        <f aca="false">IF(NOT(ISNUMBER(Macro_Series!$C349)),"",Macro_Series!$C349)</f>
        <v/>
      </c>
      <c r="C349" s="6" t="str">
        <f aca="false">IF(NOT(ISNUMBER(Macro_Series!$E349)),"",Macro_Series!$E349)</f>
        <v/>
      </c>
      <c r="D349" s="7" t="str">
        <f aca="false">IF(OR(NOT(ISNUMBER($B349)),NOT(ISNUMBER($C349)),$C349=0),"",$B349/$C349)</f>
        <v/>
      </c>
      <c r="E349" s="7" t="str">
        <f aca="false">IF(NOT(ISNUMBER(Macro_Series!$H349)),"",Macro_Series!$H349)</f>
        <v/>
      </c>
      <c r="F349" s="7" t="str">
        <f aca="false">IF(OR(NOT(ISNUMBER($D349)),NOT(ISNUMBER($E349)),$E349=0),"",$D349/$E349)</f>
        <v/>
      </c>
      <c r="G349" s="8" t="str">
        <f aca="false">IF(OR(NOT(ISNUMBER($B349)),NOT(ISNUMBER($B104)),$B104=0),"",$B349/$B104-1)</f>
        <v/>
      </c>
      <c r="H349" s="8" t="str">
        <f aca="false">IF(OR(NOT(ISNUMBER($D349)),NOT(ISNUMBER($D104)),$D104=0),"",$D349/$D104-1)</f>
        <v/>
      </c>
      <c r="I349" s="8" t="str">
        <f aca="false">IF(OR(NOT(ISNUMBER($G349)),NOT(ISNUMBER($H349))),"",$G349-$H349)</f>
        <v/>
      </c>
    </row>
    <row r="350" customFormat="false" ht="15" hidden="false" customHeight="false" outlineLevel="0" collapsed="false">
      <c r="A350" s="5" t="str">
        <f aca="false">IF(NOT(ISNUMBER(Macro_Series!$A350)),"",Macro_Series!$A350)</f>
        <v/>
      </c>
      <c r="B350" s="6" t="str">
        <f aca="false">IF(NOT(ISNUMBER(Macro_Series!$C350)),"",Macro_Series!$C350)</f>
        <v/>
      </c>
      <c r="C350" s="6" t="str">
        <f aca="false">IF(NOT(ISNUMBER(Macro_Series!$E350)),"",Macro_Series!$E350)</f>
        <v/>
      </c>
      <c r="D350" s="7" t="str">
        <f aca="false">IF(OR(NOT(ISNUMBER($B350)),NOT(ISNUMBER($C350)),$C350=0),"",$B350/$C350)</f>
        <v/>
      </c>
      <c r="E350" s="7" t="str">
        <f aca="false">IF(NOT(ISNUMBER(Macro_Series!$H350)),"",Macro_Series!$H350)</f>
        <v/>
      </c>
      <c r="F350" s="7" t="str">
        <f aca="false">IF(OR(NOT(ISNUMBER($D350)),NOT(ISNUMBER($E350)),$E350=0),"",$D350/$E350)</f>
        <v/>
      </c>
      <c r="G350" s="8" t="str">
        <f aca="false">IF(OR(NOT(ISNUMBER($B350)),NOT(ISNUMBER($B105)),$B105=0),"",$B350/$B105-1)</f>
        <v/>
      </c>
      <c r="H350" s="8" t="str">
        <f aca="false">IF(OR(NOT(ISNUMBER($D350)),NOT(ISNUMBER($D105)),$D105=0),"",$D350/$D105-1)</f>
        <v/>
      </c>
      <c r="I350" s="8" t="str">
        <f aca="false">IF(OR(NOT(ISNUMBER($G350)),NOT(ISNUMBER($H350))),"",$G350-$H350)</f>
        <v/>
      </c>
    </row>
    <row r="351" customFormat="false" ht="15" hidden="false" customHeight="false" outlineLevel="0" collapsed="false">
      <c r="A351" s="5" t="str">
        <f aca="false">IF(NOT(ISNUMBER(Macro_Series!$A351)),"",Macro_Series!$A351)</f>
        <v/>
      </c>
      <c r="B351" s="6" t="str">
        <f aca="false">IF(NOT(ISNUMBER(Macro_Series!$C351)),"",Macro_Series!$C351)</f>
        <v/>
      </c>
      <c r="C351" s="6" t="str">
        <f aca="false">IF(NOT(ISNUMBER(Macro_Series!$E351)),"",Macro_Series!$E351)</f>
        <v/>
      </c>
      <c r="D351" s="7" t="str">
        <f aca="false">IF(OR(NOT(ISNUMBER($B351)),NOT(ISNUMBER($C351)),$C351=0),"",$B351/$C351)</f>
        <v/>
      </c>
      <c r="E351" s="7" t="str">
        <f aca="false">IF(NOT(ISNUMBER(Macro_Series!$H351)),"",Macro_Series!$H351)</f>
        <v/>
      </c>
      <c r="F351" s="7" t="str">
        <f aca="false">IF(OR(NOT(ISNUMBER($D351)),NOT(ISNUMBER($E351)),$E351=0),"",$D351/$E351)</f>
        <v/>
      </c>
      <c r="G351" s="8" t="str">
        <f aca="false">IF(OR(NOT(ISNUMBER($B351)),NOT(ISNUMBER($B106)),$B106=0),"",$B351/$B106-1)</f>
        <v/>
      </c>
      <c r="H351" s="8" t="str">
        <f aca="false">IF(OR(NOT(ISNUMBER($D351)),NOT(ISNUMBER($D106)),$D106=0),"",$D351/$D106-1)</f>
        <v/>
      </c>
      <c r="I351" s="8" t="str">
        <f aca="false">IF(OR(NOT(ISNUMBER($G351)),NOT(ISNUMBER($H351))),"",$G351-$H351)</f>
        <v/>
      </c>
    </row>
    <row r="352" customFormat="false" ht="15" hidden="false" customHeight="false" outlineLevel="0" collapsed="false">
      <c r="A352" s="5" t="str">
        <f aca="false">IF(NOT(ISNUMBER(Macro_Series!$A352)),"",Macro_Series!$A352)</f>
        <v/>
      </c>
      <c r="B352" s="6" t="str">
        <f aca="false">IF(NOT(ISNUMBER(Macro_Series!$C352)),"",Macro_Series!$C352)</f>
        <v/>
      </c>
      <c r="C352" s="6" t="str">
        <f aca="false">IF(NOT(ISNUMBER(Macro_Series!$E352)),"",Macro_Series!$E352)</f>
        <v/>
      </c>
      <c r="D352" s="7" t="str">
        <f aca="false">IF(OR(NOT(ISNUMBER($B352)),NOT(ISNUMBER($C352)),$C352=0),"",$B352/$C352)</f>
        <v/>
      </c>
      <c r="E352" s="7" t="str">
        <f aca="false">IF(NOT(ISNUMBER(Macro_Series!$H352)),"",Macro_Series!$H352)</f>
        <v/>
      </c>
      <c r="F352" s="7" t="str">
        <f aca="false">IF(OR(NOT(ISNUMBER($D352)),NOT(ISNUMBER($E352)),$E352=0),"",$D352/$E352)</f>
        <v/>
      </c>
      <c r="G352" s="8" t="str">
        <f aca="false">IF(OR(NOT(ISNUMBER($B352)),NOT(ISNUMBER($B107)),$B107=0),"",$B352/$B107-1)</f>
        <v/>
      </c>
      <c r="H352" s="8" t="str">
        <f aca="false">IF(OR(NOT(ISNUMBER($D352)),NOT(ISNUMBER($D107)),$D107=0),"",$D352/$D107-1)</f>
        <v/>
      </c>
      <c r="I352" s="8" t="str">
        <f aca="false">IF(OR(NOT(ISNUMBER($G352)),NOT(ISNUMBER($H352))),"",$G352-$H352)</f>
        <v/>
      </c>
    </row>
    <row r="353" customFormat="false" ht="15" hidden="false" customHeight="false" outlineLevel="0" collapsed="false">
      <c r="A353" s="5" t="str">
        <f aca="false">IF(NOT(ISNUMBER(Macro_Series!$A353)),"",Macro_Series!$A353)</f>
        <v/>
      </c>
      <c r="B353" s="6" t="str">
        <f aca="false">IF(NOT(ISNUMBER(Macro_Series!$C353)),"",Macro_Series!$C353)</f>
        <v/>
      </c>
      <c r="C353" s="6" t="str">
        <f aca="false">IF(NOT(ISNUMBER(Macro_Series!$E353)),"",Macro_Series!$E353)</f>
        <v/>
      </c>
      <c r="D353" s="7" t="str">
        <f aca="false">IF(OR(NOT(ISNUMBER($B353)),NOT(ISNUMBER($C353)),$C353=0),"",$B353/$C353)</f>
        <v/>
      </c>
      <c r="E353" s="7" t="str">
        <f aca="false">IF(NOT(ISNUMBER(Macro_Series!$H353)),"",Macro_Series!$H353)</f>
        <v/>
      </c>
      <c r="F353" s="7" t="str">
        <f aca="false">IF(OR(NOT(ISNUMBER($D353)),NOT(ISNUMBER($E353)),$E353=0),"",$D353/$E353)</f>
        <v/>
      </c>
      <c r="G353" s="8" t="str">
        <f aca="false">IF(OR(NOT(ISNUMBER($B353)),NOT(ISNUMBER($B108)),$B108=0),"",$B353/$B108-1)</f>
        <v/>
      </c>
      <c r="H353" s="8" t="str">
        <f aca="false">IF(OR(NOT(ISNUMBER($D353)),NOT(ISNUMBER($D108)),$D108=0),"",$D353/$D108-1)</f>
        <v/>
      </c>
      <c r="I353" s="8" t="str">
        <f aca="false">IF(OR(NOT(ISNUMBER($G353)),NOT(ISNUMBER($H353))),"",$G353-$H353)</f>
        <v/>
      </c>
    </row>
    <row r="354" customFormat="false" ht="15" hidden="false" customHeight="false" outlineLevel="0" collapsed="false">
      <c r="A354" s="5" t="str">
        <f aca="false">IF(NOT(ISNUMBER(Macro_Series!$A354)),"",Macro_Series!$A354)</f>
        <v/>
      </c>
      <c r="B354" s="6" t="str">
        <f aca="false">IF(NOT(ISNUMBER(Macro_Series!$C354)),"",Macro_Series!$C354)</f>
        <v/>
      </c>
      <c r="C354" s="6" t="str">
        <f aca="false">IF(NOT(ISNUMBER(Macro_Series!$E354)),"",Macro_Series!$E354)</f>
        <v/>
      </c>
      <c r="D354" s="7" t="str">
        <f aca="false">IF(OR(NOT(ISNUMBER($B354)),NOT(ISNUMBER($C354)),$C354=0),"",$B354/$C354)</f>
        <v/>
      </c>
      <c r="E354" s="7" t="str">
        <f aca="false">IF(NOT(ISNUMBER(Macro_Series!$H354)),"",Macro_Series!$H354)</f>
        <v/>
      </c>
      <c r="F354" s="7" t="str">
        <f aca="false">IF(OR(NOT(ISNUMBER($D354)),NOT(ISNUMBER($E354)),$E354=0),"",$D354/$E354)</f>
        <v/>
      </c>
      <c r="G354" s="8" t="str">
        <f aca="false">IF(OR(NOT(ISNUMBER($B354)),NOT(ISNUMBER($B109)),$B109=0),"",$B354/$B109-1)</f>
        <v/>
      </c>
      <c r="H354" s="8" t="str">
        <f aca="false">IF(OR(NOT(ISNUMBER($D354)),NOT(ISNUMBER($D109)),$D109=0),"",$D354/$D109-1)</f>
        <v/>
      </c>
      <c r="I354" s="8" t="str">
        <f aca="false">IF(OR(NOT(ISNUMBER($G354)),NOT(ISNUMBER($H354))),"",$G354-$H354)</f>
        <v/>
      </c>
    </row>
    <row r="355" customFormat="false" ht="15" hidden="false" customHeight="false" outlineLevel="0" collapsed="false">
      <c r="A355" s="5" t="str">
        <f aca="false">IF(NOT(ISNUMBER(Macro_Series!$A355)),"",Macro_Series!$A355)</f>
        <v/>
      </c>
      <c r="B355" s="6" t="str">
        <f aca="false">IF(NOT(ISNUMBER(Macro_Series!$C355)),"",Macro_Series!$C355)</f>
        <v/>
      </c>
      <c r="C355" s="6" t="str">
        <f aca="false">IF(NOT(ISNUMBER(Macro_Series!$E355)),"",Macro_Series!$E355)</f>
        <v/>
      </c>
      <c r="D355" s="7" t="str">
        <f aca="false">IF(OR(NOT(ISNUMBER($B355)),NOT(ISNUMBER($C355)),$C355=0),"",$B355/$C355)</f>
        <v/>
      </c>
      <c r="E355" s="7" t="str">
        <f aca="false">IF(NOT(ISNUMBER(Macro_Series!$H355)),"",Macro_Series!$H355)</f>
        <v/>
      </c>
      <c r="F355" s="7" t="str">
        <f aca="false">IF(OR(NOT(ISNUMBER($D355)),NOT(ISNUMBER($E355)),$E355=0),"",$D355/$E355)</f>
        <v/>
      </c>
      <c r="G355" s="8" t="str">
        <f aca="false">IF(OR(NOT(ISNUMBER($B355)),NOT(ISNUMBER($B110)),$B110=0),"",$B355/$B110-1)</f>
        <v/>
      </c>
      <c r="H355" s="8" t="str">
        <f aca="false">IF(OR(NOT(ISNUMBER($D355)),NOT(ISNUMBER($D110)),$D110=0),"",$D355/$D110-1)</f>
        <v/>
      </c>
      <c r="I355" s="8" t="str">
        <f aca="false">IF(OR(NOT(ISNUMBER($G355)),NOT(ISNUMBER($H355))),"",$G355-$H355)</f>
        <v/>
      </c>
    </row>
    <row r="356" customFormat="false" ht="15" hidden="false" customHeight="false" outlineLevel="0" collapsed="false">
      <c r="A356" s="5" t="str">
        <f aca="false">IF(NOT(ISNUMBER(Macro_Series!$A356)),"",Macro_Series!$A356)</f>
        <v/>
      </c>
      <c r="B356" s="6" t="str">
        <f aca="false">IF(NOT(ISNUMBER(Macro_Series!$C356)),"",Macro_Series!$C356)</f>
        <v/>
      </c>
      <c r="C356" s="6" t="str">
        <f aca="false">IF(NOT(ISNUMBER(Macro_Series!$E356)),"",Macro_Series!$E356)</f>
        <v/>
      </c>
      <c r="D356" s="7" t="str">
        <f aca="false">IF(OR(NOT(ISNUMBER($B356)),NOT(ISNUMBER($C356)),$C356=0),"",$B356/$C356)</f>
        <v/>
      </c>
      <c r="E356" s="7" t="str">
        <f aca="false">IF(NOT(ISNUMBER(Macro_Series!$H356)),"",Macro_Series!$H356)</f>
        <v/>
      </c>
      <c r="F356" s="7" t="str">
        <f aca="false">IF(OR(NOT(ISNUMBER($D356)),NOT(ISNUMBER($E356)),$E356=0),"",$D356/$E356)</f>
        <v/>
      </c>
      <c r="G356" s="8" t="str">
        <f aca="false">IF(OR(NOT(ISNUMBER($B356)),NOT(ISNUMBER($B111)),$B111=0),"",$B356/$B111-1)</f>
        <v/>
      </c>
      <c r="H356" s="8" t="str">
        <f aca="false">IF(OR(NOT(ISNUMBER($D356)),NOT(ISNUMBER($D111)),$D111=0),"",$D356/$D111-1)</f>
        <v/>
      </c>
      <c r="I356" s="8" t="str">
        <f aca="false">IF(OR(NOT(ISNUMBER($G356)),NOT(ISNUMBER($H356))),"",$G356-$H356)</f>
        <v/>
      </c>
    </row>
    <row r="357" customFormat="false" ht="15" hidden="false" customHeight="false" outlineLevel="0" collapsed="false">
      <c r="A357" s="5" t="str">
        <f aca="false">IF(NOT(ISNUMBER(Macro_Series!$A357)),"",Macro_Series!$A357)</f>
        <v/>
      </c>
      <c r="B357" s="6" t="str">
        <f aca="false">IF(NOT(ISNUMBER(Macro_Series!$C357)),"",Macro_Series!$C357)</f>
        <v/>
      </c>
      <c r="C357" s="6" t="str">
        <f aca="false">IF(NOT(ISNUMBER(Macro_Series!$E357)),"",Macro_Series!$E357)</f>
        <v/>
      </c>
      <c r="D357" s="7" t="str">
        <f aca="false">IF(OR(NOT(ISNUMBER($B357)),NOT(ISNUMBER($C357)),$C357=0),"",$B357/$C357)</f>
        <v/>
      </c>
      <c r="E357" s="7" t="str">
        <f aca="false">IF(NOT(ISNUMBER(Macro_Series!$H357)),"",Macro_Series!$H357)</f>
        <v/>
      </c>
      <c r="F357" s="7" t="str">
        <f aca="false">IF(OR(NOT(ISNUMBER($D357)),NOT(ISNUMBER($E357)),$E357=0),"",$D357/$E357)</f>
        <v/>
      </c>
      <c r="G357" s="8" t="str">
        <f aca="false">IF(OR(NOT(ISNUMBER($B357)),NOT(ISNUMBER($B112)),$B112=0),"",$B357/$B112-1)</f>
        <v/>
      </c>
      <c r="H357" s="8" t="str">
        <f aca="false">IF(OR(NOT(ISNUMBER($D357)),NOT(ISNUMBER($D112)),$D112=0),"",$D357/$D112-1)</f>
        <v/>
      </c>
      <c r="I357" s="8" t="str">
        <f aca="false">IF(OR(NOT(ISNUMBER($G357)),NOT(ISNUMBER($H357))),"",$G357-$H357)</f>
        <v/>
      </c>
    </row>
    <row r="358" customFormat="false" ht="15" hidden="false" customHeight="false" outlineLevel="0" collapsed="false">
      <c r="A358" s="5" t="str">
        <f aca="false">IF(NOT(ISNUMBER(Macro_Series!$A358)),"",Macro_Series!$A358)</f>
        <v/>
      </c>
      <c r="B358" s="6" t="str">
        <f aca="false">IF(NOT(ISNUMBER(Macro_Series!$C358)),"",Macro_Series!$C358)</f>
        <v/>
      </c>
      <c r="C358" s="6" t="str">
        <f aca="false">IF(NOT(ISNUMBER(Macro_Series!$E358)),"",Macro_Series!$E358)</f>
        <v/>
      </c>
      <c r="D358" s="7" t="str">
        <f aca="false">IF(OR(NOT(ISNUMBER($B358)),NOT(ISNUMBER($C358)),$C358=0),"",$B358/$C358)</f>
        <v/>
      </c>
      <c r="E358" s="7" t="str">
        <f aca="false">IF(NOT(ISNUMBER(Macro_Series!$H358)),"",Macro_Series!$H358)</f>
        <v/>
      </c>
      <c r="F358" s="7" t="str">
        <f aca="false">IF(OR(NOT(ISNUMBER($D358)),NOT(ISNUMBER($E358)),$E358=0),"",$D358/$E358)</f>
        <v/>
      </c>
      <c r="G358" s="8" t="str">
        <f aca="false">IF(OR(NOT(ISNUMBER($B358)),NOT(ISNUMBER($B113)),$B113=0),"",$B358/$B113-1)</f>
        <v/>
      </c>
      <c r="H358" s="8" t="str">
        <f aca="false">IF(OR(NOT(ISNUMBER($D358)),NOT(ISNUMBER($D113)),$D113=0),"",$D358/$D113-1)</f>
        <v/>
      </c>
      <c r="I358" s="8" t="str">
        <f aca="false">IF(OR(NOT(ISNUMBER($G358)),NOT(ISNUMBER($H358))),"",$G358-$H358)</f>
        <v/>
      </c>
    </row>
    <row r="359" customFormat="false" ht="15" hidden="false" customHeight="false" outlineLevel="0" collapsed="false">
      <c r="A359" s="5" t="str">
        <f aca="false">IF(NOT(ISNUMBER(Macro_Series!$A359)),"",Macro_Series!$A359)</f>
        <v/>
      </c>
      <c r="B359" s="6" t="str">
        <f aca="false">IF(NOT(ISNUMBER(Macro_Series!$C359)),"",Macro_Series!$C359)</f>
        <v/>
      </c>
      <c r="C359" s="6" t="str">
        <f aca="false">IF(NOT(ISNUMBER(Macro_Series!$E359)),"",Macro_Series!$E359)</f>
        <v/>
      </c>
      <c r="D359" s="7" t="str">
        <f aca="false">IF(OR(NOT(ISNUMBER($B359)),NOT(ISNUMBER($C359)),$C359=0),"",$B359/$C359)</f>
        <v/>
      </c>
      <c r="E359" s="7" t="str">
        <f aca="false">IF(NOT(ISNUMBER(Macro_Series!$H359)),"",Macro_Series!$H359)</f>
        <v/>
      </c>
      <c r="F359" s="7" t="str">
        <f aca="false">IF(OR(NOT(ISNUMBER($D359)),NOT(ISNUMBER($E359)),$E359=0),"",$D359/$E359)</f>
        <v/>
      </c>
      <c r="G359" s="8" t="str">
        <f aca="false">IF(OR(NOT(ISNUMBER($B359)),NOT(ISNUMBER($B114)),$B114=0),"",$B359/$B114-1)</f>
        <v/>
      </c>
      <c r="H359" s="8" t="str">
        <f aca="false">IF(OR(NOT(ISNUMBER($D359)),NOT(ISNUMBER($D114)),$D114=0),"",$D359/$D114-1)</f>
        <v/>
      </c>
      <c r="I359" s="8" t="str">
        <f aca="false">IF(OR(NOT(ISNUMBER($G359)),NOT(ISNUMBER($H359))),"",$G359-$H359)</f>
        <v/>
      </c>
    </row>
    <row r="360" customFormat="false" ht="15" hidden="false" customHeight="false" outlineLevel="0" collapsed="false">
      <c r="A360" s="5" t="str">
        <f aca="false">IF(NOT(ISNUMBER(Macro_Series!$A360)),"",Macro_Series!$A360)</f>
        <v/>
      </c>
      <c r="B360" s="6" t="str">
        <f aca="false">IF(NOT(ISNUMBER(Macro_Series!$C360)),"",Macro_Series!$C360)</f>
        <v/>
      </c>
      <c r="C360" s="6" t="str">
        <f aca="false">IF(NOT(ISNUMBER(Macro_Series!$E360)),"",Macro_Series!$E360)</f>
        <v/>
      </c>
      <c r="D360" s="7" t="str">
        <f aca="false">IF(OR(NOT(ISNUMBER($B360)),NOT(ISNUMBER($C360)),$C360=0),"",$B360/$C360)</f>
        <v/>
      </c>
      <c r="E360" s="7" t="str">
        <f aca="false">IF(NOT(ISNUMBER(Macro_Series!$H360)),"",Macro_Series!$H360)</f>
        <v/>
      </c>
      <c r="F360" s="7" t="str">
        <f aca="false">IF(OR(NOT(ISNUMBER($D360)),NOT(ISNUMBER($E360)),$E360=0),"",$D360/$E360)</f>
        <v/>
      </c>
      <c r="G360" s="8" t="str">
        <f aca="false">IF(OR(NOT(ISNUMBER($B360)),NOT(ISNUMBER($B115)),$B115=0),"",$B360/$B115-1)</f>
        <v/>
      </c>
      <c r="H360" s="8" t="str">
        <f aca="false">IF(OR(NOT(ISNUMBER($D360)),NOT(ISNUMBER($D115)),$D115=0),"",$D360/$D115-1)</f>
        <v/>
      </c>
      <c r="I360" s="8" t="str">
        <f aca="false">IF(OR(NOT(ISNUMBER($G360)),NOT(ISNUMBER($H360))),"",$G360-$H360)</f>
        <v/>
      </c>
    </row>
    <row r="361" customFormat="false" ht="15" hidden="false" customHeight="false" outlineLevel="0" collapsed="false">
      <c r="A361" s="5" t="str">
        <f aca="false">IF(NOT(ISNUMBER(Macro_Series!$A361)),"",Macro_Series!$A361)</f>
        <v/>
      </c>
      <c r="B361" s="6" t="str">
        <f aca="false">IF(NOT(ISNUMBER(Macro_Series!$C361)),"",Macro_Series!$C361)</f>
        <v/>
      </c>
      <c r="C361" s="6" t="str">
        <f aca="false">IF(NOT(ISNUMBER(Macro_Series!$E361)),"",Macro_Series!$E361)</f>
        <v/>
      </c>
      <c r="D361" s="7" t="str">
        <f aca="false">IF(OR(NOT(ISNUMBER($B361)),NOT(ISNUMBER($C361)),$C361=0),"",$B361/$C361)</f>
        <v/>
      </c>
      <c r="E361" s="7" t="str">
        <f aca="false">IF(NOT(ISNUMBER(Macro_Series!$H361)),"",Macro_Series!$H361)</f>
        <v/>
      </c>
      <c r="F361" s="7" t="str">
        <f aca="false">IF(OR(NOT(ISNUMBER($D361)),NOT(ISNUMBER($E361)),$E361=0),"",$D361/$E361)</f>
        <v/>
      </c>
      <c r="G361" s="8" t="str">
        <f aca="false">IF(OR(NOT(ISNUMBER($B361)),NOT(ISNUMBER($B116)),$B116=0),"",$B361/$B116-1)</f>
        <v/>
      </c>
      <c r="H361" s="8" t="str">
        <f aca="false">IF(OR(NOT(ISNUMBER($D361)),NOT(ISNUMBER($D116)),$D116=0),"",$D361/$D116-1)</f>
        <v/>
      </c>
      <c r="I361" s="8" t="str">
        <f aca="false">IF(OR(NOT(ISNUMBER($G361)),NOT(ISNUMBER($H361))),"",$G361-$H361)</f>
        <v/>
      </c>
    </row>
    <row r="362" customFormat="false" ht="15" hidden="false" customHeight="false" outlineLevel="0" collapsed="false">
      <c r="A362" s="5" t="str">
        <f aca="false">IF(NOT(ISNUMBER(Macro_Series!$A362)),"",Macro_Series!$A362)</f>
        <v/>
      </c>
      <c r="B362" s="6" t="str">
        <f aca="false">IF(NOT(ISNUMBER(Macro_Series!$C362)),"",Macro_Series!$C362)</f>
        <v/>
      </c>
      <c r="C362" s="6" t="str">
        <f aca="false">IF(NOT(ISNUMBER(Macro_Series!$E362)),"",Macro_Series!$E362)</f>
        <v/>
      </c>
      <c r="D362" s="7" t="str">
        <f aca="false">IF(OR(NOT(ISNUMBER($B362)),NOT(ISNUMBER($C362)),$C362=0),"",$B362/$C362)</f>
        <v/>
      </c>
      <c r="E362" s="7" t="str">
        <f aca="false">IF(NOT(ISNUMBER(Macro_Series!$H362)),"",Macro_Series!$H362)</f>
        <v/>
      </c>
      <c r="F362" s="7" t="str">
        <f aca="false">IF(OR(NOT(ISNUMBER($D362)),NOT(ISNUMBER($E362)),$E362=0),"",$D362/$E362)</f>
        <v/>
      </c>
      <c r="G362" s="8" t="str">
        <f aca="false">IF(OR(NOT(ISNUMBER($B362)),NOT(ISNUMBER($B117)),$B117=0),"",$B362/$B117-1)</f>
        <v/>
      </c>
      <c r="H362" s="8" t="str">
        <f aca="false">IF(OR(NOT(ISNUMBER($D362)),NOT(ISNUMBER($D117)),$D117=0),"",$D362/$D117-1)</f>
        <v/>
      </c>
      <c r="I362" s="8" t="str">
        <f aca="false">IF(OR(NOT(ISNUMBER($G362)),NOT(ISNUMBER($H362))),"",$G362-$H362)</f>
        <v/>
      </c>
    </row>
    <row r="363" customFormat="false" ht="15" hidden="false" customHeight="false" outlineLevel="0" collapsed="false">
      <c r="A363" s="5" t="str">
        <f aca="false">IF(NOT(ISNUMBER(Macro_Series!$A363)),"",Macro_Series!$A363)</f>
        <v/>
      </c>
      <c r="B363" s="6" t="str">
        <f aca="false">IF(NOT(ISNUMBER(Macro_Series!$C363)),"",Macro_Series!$C363)</f>
        <v/>
      </c>
      <c r="C363" s="6" t="str">
        <f aca="false">IF(NOT(ISNUMBER(Macro_Series!$E363)),"",Macro_Series!$E363)</f>
        <v/>
      </c>
      <c r="D363" s="7" t="str">
        <f aca="false">IF(OR(NOT(ISNUMBER($B363)),NOT(ISNUMBER($C363)),$C363=0),"",$B363/$C363)</f>
        <v/>
      </c>
      <c r="E363" s="7" t="str">
        <f aca="false">IF(NOT(ISNUMBER(Macro_Series!$H363)),"",Macro_Series!$H363)</f>
        <v/>
      </c>
      <c r="F363" s="7" t="str">
        <f aca="false">IF(OR(NOT(ISNUMBER($D363)),NOT(ISNUMBER($E363)),$E363=0),"",$D363/$E363)</f>
        <v/>
      </c>
      <c r="G363" s="8" t="str">
        <f aca="false">IF(OR(NOT(ISNUMBER($B363)),NOT(ISNUMBER($B118)),$B118=0),"",$B363/$B118-1)</f>
        <v/>
      </c>
      <c r="H363" s="8" t="str">
        <f aca="false">IF(OR(NOT(ISNUMBER($D363)),NOT(ISNUMBER($D118)),$D118=0),"",$D363/$D118-1)</f>
        <v/>
      </c>
      <c r="I363" s="8" t="str">
        <f aca="false">IF(OR(NOT(ISNUMBER($G363)),NOT(ISNUMBER($H363))),"",$G363-$H363)</f>
        <v/>
      </c>
    </row>
    <row r="364" customFormat="false" ht="15" hidden="false" customHeight="false" outlineLevel="0" collapsed="false">
      <c r="A364" s="5" t="str">
        <f aca="false">IF(NOT(ISNUMBER(Macro_Series!$A364)),"",Macro_Series!$A364)</f>
        <v/>
      </c>
      <c r="B364" s="6" t="str">
        <f aca="false">IF(NOT(ISNUMBER(Macro_Series!$C364)),"",Macro_Series!$C364)</f>
        <v/>
      </c>
      <c r="C364" s="6" t="str">
        <f aca="false">IF(NOT(ISNUMBER(Macro_Series!$E364)),"",Macro_Series!$E364)</f>
        <v/>
      </c>
      <c r="D364" s="7" t="str">
        <f aca="false">IF(OR(NOT(ISNUMBER($B364)),NOT(ISNUMBER($C364)),$C364=0),"",$B364/$C364)</f>
        <v/>
      </c>
      <c r="E364" s="7" t="str">
        <f aca="false">IF(NOT(ISNUMBER(Macro_Series!$H364)),"",Macro_Series!$H364)</f>
        <v/>
      </c>
      <c r="F364" s="7" t="str">
        <f aca="false">IF(OR(NOT(ISNUMBER($D364)),NOT(ISNUMBER($E364)),$E364=0),"",$D364/$E364)</f>
        <v/>
      </c>
      <c r="G364" s="8" t="str">
        <f aca="false">IF(OR(NOT(ISNUMBER($B364)),NOT(ISNUMBER($B119)),$B119=0),"",$B364/$B119-1)</f>
        <v/>
      </c>
      <c r="H364" s="8" t="str">
        <f aca="false">IF(OR(NOT(ISNUMBER($D364)),NOT(ISNUMBER($D119)),$D119=0),"",$D364/$D119-1)</f>
        <v/>
      </c>
      <c r="I364" s="8" t="str">
        <f aca="false">IF(OR(NOT(ISNUMBER($G364)),NOT(ISNUMBER($H364))),"",$G364-$H364)</f>
        <v/>
      </c>
    </row>
    <row r="365" customFormat="false" ht="15" hidden="false" customHeight="false" outlineLevel="0" collapsed="false">
      <c r="A365" s="5" t="str">
        <f aca="false">IF(NOT(ISNUMBER(Macro_Series!$A365)),"",Macro_Series!$A365)</f>
        <v/>
      </c>
      <c r="B365" s="6" t="str">
        <f aca="false">IF(NOT(ISNUMBER(Macro_Series!$C365)),"",Macro_Series!$C365)</f>
        <v/>
      </c>
      <c r="C365" s="6" t="str">
        <f aca="false">IF(NOT(ISNUMBER(Macro_Series!$E365)),"",Macro_Series!$E365)</f>
        <v/>
      </c>
      <c r="D365" s="7" t="str">
        <f aca="false">IF(OR(NOT(ISNUMBER($B365)),NOT(ISNUMBER($C365)),$C365=0),"",$B365/$C365)</f>
        <v/>
      </c>
      <c r="E365" s="7" t="str">
        <f aca="false">IF(NOT(ISNUMBER(Macro_Series!$H365)),"",Macro_Series!$H365)</f>
        <v/>
      </c>
      <c r="F365" s="7" t="str">
        <f aca="false">IF(OR(NOT(ISNUMBER($D365)),NOT(ISNUMBER($E365)),$E365=0),"",$D365/$E365)</f>
        <v/>
      </c>
      <c r="G365" s="8" t="str">
        <f aca="false">IF(OR(NOT(ISNUMBER($B365)),NOT(ISNUMBER($B120)),$B120=0),"",$B365/$B120-1)</f>
        <v/>
      </c>
      <c r="H365" s="8" t="str">
        <f aca="false">IF(OR(NOT(ISNUMBER($D365)),NOT(ISNUMBER($D120)),$D120=0),"",$D365/$D120-1)</f>
        <v/>
      </c>
      <c r="I365" s="8" t="str">
        <f aca="false">IF(OR(NOT(ISNUMBER($G365)),NOT(ISNUMBER($H365))),"",$G365-$H365)</f>
        <v/>
      </c>
    </row>
    <row r="366" customFormat="false" ht="15" hidden="false" customHeight="false" outlineLevel="0" collapsed="false">
      <c r="A366" s="5" t="str">
        <f aca="false">IF(NOT(ISNUMBER(Macro_Series!$A366)),"",Macro_Series!$A366)</f>
        <v/>
      </c>
      <c r="B366" s="6" t="str">
        <f aca="false">IF(NOT(ISNUMBER(Macro_Series!$C366)),"",Macro_Series!$C366)</f>
        <v/>
      </c>
      <c r="C366" s="6" t="str">
        <f aca="false">IF(NOT(ISNUMBER(Macro_Series!$E366)),"",Macro_Series!$E366)</f>
        <v/>
      </c>
      <c r="D366" s="7" t="str">
        <f aca="false">IF(OR(NOT(ISNUMBER($B366)),NOT(ISNUMBER($C366)),$C366=0),"",$B366/$C366)</f>
        <v/>
      </c>
      <c r="E366" s="7" t="str">
        <f aca="false">IF(NOT(ISNUMBER(Macro_Series!$H366)),"",Macro_Series!$H366)</f>
        <v/>
      </c>
      <c r="F366" s="7" t="str">
        <f aca="false">IF(OR(NOT(ISNUMBER($D366)),NOT(ISNUMBER($E366)),$E366=0),"",$D366/$E366)</f>
        <v/>
      </c>
      <c r="G366" s="8" t="str">
        <f aca="false">IF(OR(NOT(ISNUMBER($B366)),NOT(ISNUMBER($B121)),$B121=0),"",$B366/$B121-1)</f>
        <v/>
      </c>
      <c r="H366" s="8" t="str">
        <f aca="false">IF(OR(NOT(ISNUMBER($D366)),NOT(ISNUMBER($D121)),$D121=0),"",$D366/$D121-1)</f>
        <v/>
      </c>
      <c r="I366" s="8" t="str">
        <f aca="false">IF(OR(NOT(ISNUMBER($G366)),NOT(ISNUMBER($H366))),"",$G366-$H366)</f>
        <v/>
      </c>
    </row>
    <row r="367" customFormat="false" ht="15" hidden="false" customHeight="false" outlineLevel="0" collapsed="false">
      <c r="A367" s="5" t="str">
        <f aca="false">IF(NOT(ISNUMBER(Macro_Series!$A367)),"",Macro_Series!$A367)</f>
        <v/>
      </c>
      <c r="B367" s="6" t="str">
        <f aca="false">IF(NOT(ISNUMBER(Macro_Series!$C367)),"",Macro_Series!$C367)</f>
        <v/>
      </c>
      <c r="C367" s="6" t="str">
        <f aca="false">IF(NOT(ISNUMBER(Macro_Series!$E367)),"",Macro_Series!$E367)</f>
        <v/>
      </c>
      <c r="D367" s="7" t="str">
        <f aca="false">IF(OR(NOT(ISNUMBER($B367)),NOT(ISNUMBER($C367)),$C367=0),"",$B367/$C367)</f>
        <v/>
      </c>
      <c r="E367" s="7" t="str">
        <f aca="false">IF(NOT(ISNUMBER(Macro_Series!$H367)),"",Macro_Series!$H367)</f>
        <v/>
      </c>
      <c r="F367" s="7" t="str">
        <f aca="false">IF(OR(NOT(ISNUMBER($D367)),NOT(ISNUMBER($E367)),$E367=0),"",$D367/$E367)</f>
        <v/>
      </c>
      <c r="G367" s="8" t="str">
        <f aca="false">IF(OR(NOT(ISNUMBER($B367)),NOT(ISNUMBER($B122)),$B122=0),"",$B367/$B122-1)</f>
        <v/>
      </c>
      <c r="H367" s="8" t="str">
        <f aca="false">IF(OR(NOT(ISNUMBER($D367)),NOT(ISNUMBER($D122)),$D122=0),"",$D367/$D122-1)</f>
        <v/>
      </c>
      <c r="I367" s="8" t="str">
        <f aca="false">IF(OR(NOT(ISNUMBER($G367)),NOT(ISNUMBER($H367))),"",$G367-$H367)</f>
        <v/>
      </c>
    </row>
    <row r="368" customFormat="false" ht="15" hidden="false" customHeight="false" outlineLevel="0" collapsed="false">
      <c r="A368" s="5" t="str">
        <f aca="false">IF(NOT(ISNUMBER(Macro_Series!$A368)),"",Macro_Series!$A368)</f>
        <v/>
      </c>
      <c r="B368" s="6" t="str">
        <f aca="false">IF(NOT(ISNUMBER(Macro_Series!$C368)),"",Macro_Series!$C368)</f>
        <v/>
      </c>
      <c r="C368" s="6" t="str">
        <f aca="false">IF(NOT(ISNUMBER(Macro_Series!$E368)),"",Macro_Series!$E368)</f>
        <v/>
      </c>
      <c r="D368" s="7" t="str">
        <f aca="false">IF(OR(NOT(ISNUMBER($B368)),NOT(ISNUMBER($C368)),$C368=0),"",$B368/$C368)</f>
        <v/>
      </c>
      <c r="E368" s="7" t="str">
        <f aca="false">IF(NOT(ISNUMBER(Macro_Series!$H368)),"",Macro_Series!$H368)</f>
        <v/>
      </c>
      <c r="F368" s="7" t="str">
        <f aca="false">IF(OR(NOT(ISNUMBER($D368)),NOT(ISNUMBER($E368)),$E368=0),"",$D368/$E368)</f>
        <v/>
      </c>
      <c r="G368" s="8" t="str">
        <f aca="false">IF(OR(NOT(ISNUMBER($B368)),NOT(ISNUMBER($B123)),$B123=0),"",$B368/$B123-1)</f>
        <v/>
      </c>
      <c r="H368" s="8" t="str">
        <f aca="false">IF(OR(NOT(ISNUMBER($D368)),NOT(ISNUMBER($D123)),$D123=0),"",$D368/$D123-1)</f>
        <v/>
      </c>
      <c r="I368" s="8" t="str">
        <f aca="false">IF(OR(NOT(ISNUMBER($G368)),NOT(ISNUMBER($H368))),"",$G368-$H368)</f>
        <v/>
      </c>
    </row>
    <row r="369" customFormat="false" ht="15" hidden="false" customHeight="false" outlineLevel="0" collapsed="false">
      <c r="A369" s="5" t="str">
        <f aca="false">IF(NOT(ISNUMBER(Macro_Series!$A369)),"",Macro_Series!$A369)</f>
        <v/>
      </c>
      <c r="B369" s="6" t="str">
        <f aca="false">IF(NOT(ISNUMBER(Macro_Series!$C369)),"",Macro_Series!$C369)</f>
        <v/>
      </c>
      <c r="C369" s="6" t="str">
        <f aca="false">IF(NOT(ISNUMBER(Macro_Series!$E369)),"",Macro_Series!$E369)</f>
        <v/>
      </c>
      <c r="D369" s="7" t="str">
        <f aca="false">IF(OR(NOT(ISNUMBER($B369)),NOT(ISNUMBER($C369)),$C369=0),"",$B369/$C369)</f>
        <v/>
      </c>
      <c r="E369" s="7" t="str">
        <f aca="false">IF(NOT(ISNUMBER(Macro_Series!$H369)),"",Macro_Series!$H369)</f>
        <v/>
      </c>
      <c r="F369" s="7" t="str">
        <f aca="false">IF(OR(NOT(ISNUMBER($D369)),NOT(ISNUMBER($E369)),$E369=0),"",$D369/$E369)</f>
        <v/>
      </c>
      <c r="G369" s="8" t="str">
        <f aca="false">IF(OR(NOT(ISNUMBER($B369)),NOT(ISNUMBER($B124)),$B124=0),"",$B369/$B124-1)</f>
        <v/>
      </c>
      <c r="H369" s="8" t="str">
        <f aca="false">IF(OR(NOT(ISNUMBER($D369)),NOT(ISNUMBER($D124)),$D124=0),"",$D369/$D124-1)</f>
        <v/>
      </c>
      <c r="I369" s="8" t="str">
        <f aca="false">IF(OR(NOT(ISNUMBER($G369)),NOT(ISNUMBER($H369))),"",$G369-$H369)</f>
        <v/>
      </c>
    </row>
    <row r="370" customFormat="false" ht="15" hidden="false" customHeight="false" outlineLevel="0" collapsed="false">
      <c r="A370" s="5" t="str">
        <f aca="false">IF(NOT(ISNUMBER(Macro_Series!$A370)),"",Macro_Series!$A370)</f>
        <v/>
      </c>
      <c r="B370" s="6" t="str">
        <f aca="false">IF(NOT(ISNUMBER(Macro_Series!$C370)),"",Macro_Series!$C370)</f>
        <v/>
      </c>
      <c r="C370" s="6" t="str">
        <f aca="false">IF(NOT(ISNUMBER(Macro_Series!$E370)),"",Macro_Series!$E370)</f>
        <v/>
      </c>
      <c r="D370" s="7" t="str">
        <f aca="false">IF(OR(NOT(ISNUMBER($B370)),NOT(ISNUMBER($C370)),$C370=0),"",$B370/$C370)</f>
        <v/>
      </c>
      <c r="E370" s="7" t="str">
        <f aca="false">IF(NOT(ISNUMBER(Macro_Series!$H370)),"",Macro_Series!$H370)</f>
        <v/>
      </c>
      <c r="F370" s="7" t="str">
        <f aca="false">IF(OR(NOT(ISNUMBER($D370)),NOT(ISNUMBER($E370)),$E370=0),"",$D370/$E370)</f>
        <v/>
      </c>
      <c r="G370" s="8" t="str">
        <f aca="false">IF(OR(NOT(ISNUMBER($B370)),NOT(ISNUMBER($B125)),$B125=0),"",$B370/$B125-1)</f>
        <v/>
      </c>
      <c r="H370" s="8" t="str">
        <f aca="false">IF(OR(NOT(ISNUMBER($D370)),NOT(ISNUMBER($D125)),$D125=0),"",$D370/$D125-1)</f>
        <v/>
      </c>
      <c r="I370" s="8" t="str">
        <f aca="false">IF(OR(NOT(ISNUMBER($G370)),NOT(ISNUMBER($H370))),"",$G370-$H370)</f>
        <v/>
      </c>
    </row>
    <row r="371" customFormat="false" ht="15" hidden="false" customHeight="false" outlineLevel="0" collapsed="false">
      <c r="A371" s="5" t="str">
        <f aca="false">IF(NOT(ISNUMBER(Macro_Series!$A371)),"",Macro_Series!$A371)</f>
        <v/>
      </c>
      <c r="B371" s="6" t="str">
        <f aca="false">IF(NOT(ISNUMBER(Macro_Series!$C371)),"",Macro_Series!$C371)</f>
        <v/>
      </c>
      <c r="C371" s="6" t="str">
        <f aca="false">IF(NOT(ISNUMBER(Macro_Series!$E371)),"",Macro_Series!$E371)</f>
        <v/>
      </c>
      <c r="D371" s="7" t="str">
        <f aca="false">IF(OR(NOT(ISNUMBER($B371)),NOT(ISNUMBER($C371)),$C371=0),"",$B371/$C371)</f>
        <v/>
      </c>
      <c r="E371" s="7" t="str">
        <f aca="false">IF(NOT(ISNUMBER(Macro_Series!$H371)),"",Macro_Series!$H371)</f>
        <v/>
      </c>
      <c r="F371" s="7" t="str">
        <f aca="false">IF(OR(NOT(ISNUMBER($D371)),NOT(ISNUMBER($E371)),$E371=0),"",$D371/$E371)</f>
        <v/>
      </c>
      <c r="G371" s="8" t="str">
        <f aca="false">IF(OR(NOT(ISNUMBER($B371)),NOT(ISNUMBER($B126)),$B126=0),"",$B371/$B126-1)</f>
        <v/>
      </c>
      <c r="H371" s="8" t="str">
        <f aca="false">IF(OR(NOT(ISNUMBER($D371)),NOT(ISNUMBER($D126)),$D126=0),"",$D371/$D126-1)</f>
        <v/>
      </c>
      <c r="I371" s="8" t="str">
        <f aca="false">IF(OR(NOT(ISNUMBER($G371)),NOT(ISNUMBER($H371))),"",$G371-$H371)</f>
        <v/>
      </c>
    </row>
    <row r="372" customFormat="false" ht="15" hidden="false" customHeight="false" outlineLevel="0" collapsed="false">
      <c r="A372" s="5" t="str">
        <f aca="false">IF(NOT(ISNUMBER(Macro_Series!$A372)),"",Macro_Series!$A372)</f>
        <v/>
      </c>
      <c r="B372" s="6" t="str">
        <f aca="false">IF(NOT(ISNUMBER(Macro_Series!$C372)),"",Macro_Series!$C372)</f>
        <v/>
      </c>
      <c r="C372" s="6" t="str">
        <f aca="false">IF(NOT(ISNUMBER(Macro_Series!$E372)),"",Macro_Series!$E372)</f>
        <v/>
      </c>
      <c r="D372" s="7" t="str">
        <f aca="false">IF(OR(NOT(ISNUMBER($B372)),NOT(ISNUMBER($C372)),$C372=0),"",$B372/$C372)</f>
        <v/>
      </c>
      <c r="E372" s="7" t="str">
        <f aca="false">IF(NOT(ISNUMBER(Macro_Series!$H372)),"",Macro_Series!$H372)</f>
        <v/>
      </c>
      <c r="F372" s="7" t="str">
        <f aca="false">IF(OR(NOT(ISNUMBER($D372)),NOT(ISNUMBER($E372)),$E372=0),"",$D372/$E372)</f>
        <v/>
      </c>
      <c r="G372" s="8" t="str">
        <f aca="false">IF(OR(NOT(ISNUMBER($B372)),NOT(ISNUMBER($B127)),$B127=0),"",$B372/$B127-1)</f>
        <v/>
      </c>
      <c r="H372" s="8" t="str">
        <f aca="false">IF(OR(NOT(ISNUMBER($D372)),NOT(ISNUMBER($D127)),$D127=0),"",$D372/$D127-1)</f>
        <v/>
      </c>
      <c r="I372" s="8" t="str">
        <f aca="false">IF(OR(NOT(ISNUMBER($G372)),NOT(ISNUMBER($H372))),"",$G372-$H372)</f>
        <v/>
      </c>
    </row>
    <row r="373" customFormat="false" ht="15" hidden="false" customHeight="false" outlineLevel="0" collapsed="false">
      <c r="A373" s="5" t="str">
        <f aca="false">IF(NOT(ISNUMBER(Macro_Series!$A373)),"",Macro_Series!$A373)</f>
        <v/>
      </c>
      <c r="B373" s="6" t="str">
        <f aca="false">IF(NOT(ISNUMBER(Macro_Series!$C373)),"",Macro_Series!$C373)</f>
        <v/>
      </c>
      <c r="C373" s="6" t="str">
        <f aca="false">IF(NOT(ISNUMBER(Macro_Series!$E373)),"",Macro_Series!$E373)</f>
        <v/>
      </c>
      <c r="D373" s="7" t="str">
        <f aca="false">IF(OR(NOT(ISNUMBER($B373)),NOT(ISNUMBER($C373)),$C373=0),"",$B373/$C373)</f>
        <v/>
      </c>
      <c r="E373" s="7" t="str">
        <f aca="false">IF(NOT(ISNUMBER(Macro_Series!$H373)),"",Macro_Series!$H373)</f>
        <v/>
      </c>
      <c r="F373" s="7" t="str">
        <f aca="false">IF(OR(NOT(ISNUMBER($D373)),NOT(ISNUMBER($E373)),$E373=0),"",$D373/$E373)</f>
        <v/>
      </c>
      <c r="G373" s="8" t="str">
        <f aca="false">IF(OR(NOT(ISNUMBER($B373)),NOT(ISNUMBER($B128)),$B128=0),"",$B373/$B128-1)</f>
        <v/>
      </c>
      <c r="H373" s="8" t="str">
        <f aca="false">IF(OR(NOT(ISNUMBER($D373)),NOT(ISNUMBER($D128)),$D128=0),"",$D373/$D128-1)</f>
        <v/>
      </c>
      <c r="I373" s="8" t="str">
        <f aca="false">IF(OR(NOT(ISNUMBER($G373)),NOT(ISNUMBER($H373))),"",$G373-$H373)</f>
        <v/>
      </c>
    </row>
    <row r="374" customFormat="false" ht="15" hidden="false" customHeight="false" outlineLevel="0" collapsed="false">
      <c r="A374" s="5" t="str">
        <f aca="false">IF(NOT(ISNUMBER(Macro_Series!$A374)),"",Macro_Series!$A374)</f>
        <v/>
      </c>
      <c r="B374" s="6" t="str">
        <f aca="false">IF(NOT(ISNUMBER(Macro_Series!$C374)),"",Macro_Series!$C374)</f>
        <v/>
      </c>
      <c r="C374" s="6" t="str">
        <f aca="false">IF(NOT(ISNUMBER(Macro_Series!$E374)),"",Macro_Series!$E374)</f>
        <v/>
      </c>
      <c r="D374" s="7" t="str">
        <f aca="false">IF(OR(NOT(ISNUMBER($B374)),NOT(ISNUMBER($C374)),$C374=0),"",$B374/$C374)</f>
        <v/>
      </c>
      <c r="E374" s="7" t="str">
        <f aca="false">IF(NOT(ISNUMBER(Macro_Series!$H374)),"",Macro_Series!$H374)</f>
        <v/>
      </c>
      <c r="F374" s="7" t="str">
        <f aca="false">IF(OR(NOT(ISNUMBER($D374)),NOT(ISNUMBER($E374)),$E374=0),"",$D374/$E374)</f>
        <v/>
      </c>
      <c r="G374" s="8" t="str">
        <f aca="false">IF(OR(NOT(ISNUMBER($B374)),NOT(ISNUMBER($B129)),$B129=0),"",$B374/$B129-1)</f>
        <v/>
      </c>
      <c r="H374" s="8" t="str">
        <f aca="false">IF(OR(NOT(ISNUMBER($D374)),NOT(ISNUMBER($D129)),$D129=0),"",$D374/$D129-1)</f>
        <v/>
      </c>
      <c r="I374" s="8" t="str">
        <f aca="false">IF(OR(NOT(ISNUMBER($G374)),NOT(ISNUMBER($H374))),"",$G374-$H374)</f>
        <v/>
      </c>
    </row>
    <row r="375" customFormat="false" ht="15" hidden="false" customHeight="false" outlineLevel="0" collapsed="false">
      <c r="A375" s="5" t="str">
        <f aca="false">IF(NOT(ISNUMBER(Macro_Series!$A375)),"",Macro_Series!$A375)</f>
        <v/>
      </c>
      <c r="B375" s="6" t="str">
        <f aca="false">IF(NOT(ISNUMBER(Macro_Series!$C375)),"",Macro_Series!$C375)</f>
        <v/>
      </c>
      <c r="C375" s="6" t="str">
        <f aca="false">IF(NOT(ISNUMBER(Macro_Series!$E375)),"",Macro_Series!$E375)</f>
        <v/>
      </c>
      <c r="D375" s="7" t="str">
        <f aca="false">IF(OR(NOT(ISNUMBER($B375)),NOT(ISNUMBER($C375)),$C375=0),"",$B375/$C375)</f>
        <v/>
      </c>
      <c r="E375" s="7" t="str">
        <f aca="false">IF(NOT(ISNUMBER(Macro_Series!$H375)),"",Macro_Series!$H375)</f>
        <v/>
      </c>
      <c r="F375" s="7" t="str">
        <f aca="false">IF(OR(NOT(ISNUMBER($D375)),NOT(ISNUMBER($E375)),$E375=0),"",$D375/$E375)</f>
        <v/>
      </c>
      <c r="G375" s="8" t="str">
        <f aca="false">IF(OR(NOT(ISNUMBER($B375)),NOT(ISNUMBER($B130)),$B130=0),"",$B375/$B130-1)</f>
        <v/>
      </c>
      <c r="H375" s="8" t="str">
        <f aca="false">IF(OR(NOT(ISNUMBER($D375)),NOT(ISNUMBER($D130)),$D130=0),"",$D375/$D130-1)</f>
        <v/>
      </c>
      <c r="I375" s="8" t="str">
        <f aca="false">IF(OR(NOT(ISNUMBER($G375)),NOT(ISNUMBER($H375))),"",$G375-$H375)</f>
        <v/>
      </c>
    </row>
    <row r="376" customFormat="false" ht="15" hidden="false" customHeight="false" outlineLevel="0" collapsed="false">
      <c r="A376" s="5" t="str">
        <f aca="false">IF(NOT(ISNUMBER(Macro_Series!$A376)),"",Macro_Series!$A376)</f>
        <v/>
      </c>
      <c r="B376" s="6" t="str">
        <f aca="false">IF(NOT(ISNUMBER(Macro_Series!$C376)),"",Macro_Series!$C376)</f>
        <v/>
      </c>
      <c r="C376" s="6" t="str">
        <f aca="false">IF(NOT(ISNUMBER(Macro_Series!$E376)),"",Macro_Series!$E376)</f>
        <v/>
      </c>
      <c r="D376" s="7" t="str">
        <f aca="false">IF(OR(NOT(ISNUMBER($B376)),NOT(ISNUMBER($C376)),$C376=0),"",$B376/$C376)</f>
        <v/>
      </c>
      <c r="E376" s="7" t="str">
        <f aca="false">IF(NOT(ISNUMBER(Macro_Series!$H376)),"",Macro_Series!$H376)</f>
        <v/>
      </c>
      <c r="F376" s="7" t="str">
        <f aca="false">IF(OR(NOT(ISNUMBER($D376)),NOT(ISNUMBER($E376)),$E376=0),"",$D376/$E376)</f>
        <v/>
      </c>
      <c r="G376" s="8" t="str">
        <f aca="false">IF(OR(NOT(ISNUMBER($B376)),NOT(ISNUMBER($B131)),$B131=0),"",$B376/$B131-1)</f>
        <v/>
      </c>
      <c r="H376" s="8" t="str">
        <f aca="false">IF(OR(NOT(ISNUMBER($D376)),NOT(ISNUMBER($D131)),$D131=0),"",$D376/$D131-1)</f>
        <v/>
      </c>
      <c r="I376" s="8" t="str">
        <f aca="false">IF(OR(NOT(ISNUMBER($G376)),NOT(ISNUMBER($H376))),"",$G376-$H376)</f>
        <v/>
      </c>
    </row>
    <row r="377" customFormat="false" ht="15" hidden="false" customHeight="false" outlineLevel="0" collapsed="false">
      <c r="A377" s="5" t="str">
        <f aca="false">IF(NOT(ISNUMBER(Macro_Series!$A377)),"",Macro_Series!$A377)</f>
        <v/>
      </c>
      <c r="B377" s="6" t="str">
        <f aca="false">IF(NOT(ISNUMBER(Macro_Series!$C377)),"",Macro_Series!$C377)</f>
        <v/>
      </c>
      <c r="C377" s="6" t="str">
        <f aca="false">IF(NOT(ISNUMBER(Macro_Series!$E377)),"",Macro_Series!$E377)</f>
        <v/>
      </c>
      <c r="D377" s="7" t="str">
        <f aca="false">IF(OR(NOT(ISNUMBER($B377)),NOT(ISNUMBER($C377)),$C377=0),"",$B377/$C377)</f>
        <v/>
      </c>
      <c r="E377" s="7" t="str">
        <f aca="false">IF(NOT(ISNUMBER(Macro_Series!$H377)),"",Macro_Series!$H377)</f>
        <v/>
      </c>
      <c r="F377" s="7" t="str">
        <f aca="false">IF(OR(NOT(ISNUMBER($D377)),NOT(ISNUMBER($E377)),$E377=0),"",$D377/$E377)</f>
        <v/>
      </c>
      <c r="G377" s="8" t="str">
        <f aca="false">IF(OR(NOT(ISNUMBER($B377)),NOT(ISNUMBER($B132)),$B132=0),"",$B377/$B132-1)</f>
        <v/>
      </c>
      <c r="H377" s="8" t="str">
        <f aca="false">IF(OR(NOT(ISNUMBER($D377)),NOT(ISNUMBER($D132)),$D132=0),"",$D377/$D132-1)</f>
        <v/>
      </c>
      <c r="I377" s="8" t="str">
        <f aca="false">IF(OR(NOT(ISNUMBER($G377)),NOT(ISNUMBER($H377))),"",$G377-$H377)</f>
        <v/>
      </c>
    </row>
    <row r="378" customFormat="false" ht="15" hidden="false" customHeight="false" outlineLevel="0" collapsed="false">
      <c r="A378" s="5" t="str">
        <f aca="false">IF(NOT(ISNUMBER(Macro_Series!$A378)),"",Macro_Series!$A378)</f>
        <v/>
      </c>
      <c r="B378" s="6" t="str">
        <f aca="false">IF(NOT(ISNUMBER(Macro_Series!$C378)),"",Macro_Series!$C378)</f>
        <v/>
      </c>
      <c r="C378" s="6" t="str">
        <f aca="false">IF(NOT(ISNUMBER(Macro_Series!$E378)),"",Macro_Series!$E378)</f>
        <v/>
      </c>
      <c r="D378" s="7" t="str">
        <f aca="false">IF(OR(NOT(ISNUMBER($B378)),NOT(ISNUMBER($C378)),$C378=0),"",$B378/$C378)</f>
        <v/>
      </c>
      <c r="E378" s="7" t="str">
        <f aca="false">IF(NOT(ISNUMBER(Macro_Series!$H378)),"",Macro_Series!$H378)</f>
        <v/>
      </c>
      <c r="F378" s="7" t="str">
        <f aca="false">IF(OR(NOT(ISNUMBER($D378)),NOT(ISNUMBER($E378)),$E378=0),"",$D378/$E378)</f>
        <v/>
      </c>
      <c r="G378" s="8" t="str">
        <f aca="false">IF(OR(NOT(ISNUMBER($B378)),NOT(ISNUMBER($B133)),$B133=0),"",$B378/$B133-1)</f>
        <v/>
      </c>
      <c r="H378" s="8" t="str">
        <f aca="false">IF(OR(NOT(ISNUMBER($D378)),NOT(ISNUMBER($D133)),$D133=0),"",$D378/$D133-1)</f>
        <v/>
      </c>
      <c r="I378" s="8" t="str">
        <f aca="false">IF(OR(NOT(ISNUMBER($G378)),NOT(ISNUMBER($H378))),"",$G378-$H378)</f>
        <v/>
      </c>
    </row>
    <row r="379" customFormat="false" ht="15" hidden="false" customHeight="false" outlineLevel="0" collapsed="false">
      <c r="A379" s="5" t="str">
        <f aca="false">IF(NOT(ISNUMBER(Macro_Series!$A379)),"",Macro_Series!$A379)</f>
        <v/>
      </c>
      <c r="B379" s="6" t="str">
        <f aca="false">IF(NOT(ISNUMBER(Macro_Series!$C379)),"",Macro_Series!$C379)</f>
        <v/>
      </c>
      <c r="C379" s="6" t="str">
        <f aca="false">IF(NOT(ISNUMBER(Macro_Series!$E379)),"",Macro_Series!$E379)</f>
        <v/>
      </c>
      <c r="D379" s="7" t="str">
        <f aca="false">IF(OR(NOT(ISNUMBER($B379)),NOT(ISNUMBER($C379)),$C379=0),"",$B379/$C379)</f>
        <v/>
      </c>
      <c r="E379" s="7" t="str">
        <f aca="false">IF(NOT(ISNUMBER(Macro_Series!$H379)),"",Macro_Series!$H379)</f>
        <v/>
      </c>
      <c r="F379" s="7" t="str">
        <f aca="false">IF(OR(NOT(ISNUMBER($D379)),NOT(ISNUMBER($E379)),$E379=0),"",$D379/$E379)</f>
        <v/>
      </c>
      <c r="G379" s="8" t="str">
        <f aca="false">IF(OR(NOT(ISNUMBER($B379)),NOT(ISNUMBER($B134)),$B134=0),"",$B379/$B134-1)</f>
        <v/>
      </c>
      <c r="H379" s="8" t="str">
        <f aca="false">IF(OR(NOT(ISNUMBER($D379)),NOT(ISNUMBER($D134)),$D134=0),"",$D379/$D134-1)</f>
        <v/>
      </c>
      <c r="I379" s="8" t="str">
        <f aca="false">IF(OR(NOT(ISNUMBER($G379)),NOT(ISNUMBER($H379))),"",$G379-$H379)</f>
        <v/>
      </c>
    </row>
    <row r="380" customFormat="false" ht="15" hidden="false" customHeight="false" outlineLevel="0" collapsed="false">
      <c r="A380" s="5" t="str">
        <f aca="false">IF(NOT(ISNUMBER(Macro_Series!$A380)),"",Macro_Series!$A380)</f>
        <v/>
      </c>
      <c r="B380" s="6" t="str">
        <f aca="false">IF(NOT(ISNUMBER(Macro_Series!$C380)),"",Macro_Series!$C380)</f>
        <v/>
      </c>
      <c r="C380" s="6" t="str">
        <f aca="false">IF(NOT(ISNUMBER(Macro_Series!$E380)),"",Macro_Series!$E380)</f>
        <v/>
      </c>
      <c r="D380" s="7" t="str">
        <f aca="false">IF(OR(NOT(ISNUMBER($B380)),NOT(ISNUMBER($C380)),$C380=0),"",$B380/$C380)</f>
        <v/>
      </c>
      <c r="E380" s="7" t="str">
        <f aca="false">IF(NOT(ISNUMBER(Macro_Series!$H380)),"",Macro_Series!$H380)</f>
        <v/>
      </c>
      <c r="F380" s="7" t="str">
        <f aca="false">IF(OR(NOT(ISNUMBER($D380)),NOT(ISNUMBER($E380)),$E380=0),"",$D380/$E380)</f>
        <v/>
      </c>
      <c r="G380" s="8" t="str">
        <f aca="false">IF(OR(NOT(ISNUMBER($B380)),NOT(ISNUMBER($B135)),$B135=0),"",$B380/$B135-1)</f>
        <v/>
      </c>
      <c r="H380" s="8" t="str">
        <f aca="false">IF(OR(NOT(ISNUMBER($D380)),NOT(ISNUMBER($D135)),$D135=0),"",$D380/$D135-1)</f>
        <v/>
      </c>
      <c r="I380" s="8" t="str">
        <f aca="false">IF(OR(NOT(ISNUMBER($G380)),NOT(ISNUMBER($H380))),"",$G380-$H380)</f>
        <v/>
      </c>
    </row>
    <row r="381" customFormat="false" ht="15" hidden="false" customHeight="false" outlineLevel="0" collapsed="false">
      <c r="A381" s="5" t="str">
        <f aca="false">IF(NOT(ISNUMBER(Macro_Series!$A381)),"",Macro_Series!$A381)</f>
        <v/>
      </c>
      <c r="B381" s="6" t="str">
        <f aca="false">IF(NOT(ISNUMBER(Macro_Series!$C381)),"",Macro_Series!$C381)</f>
        <v/>
      </c>
      <c r="C381" s="6" t="str">
        <f aca="false">IF(NOT(ISNUMBER(Macro_Series!$E381)),"",Macro_Series!$E381)</f>
        <v/>
      </c>
      <c r="D381" s="7" t="str">
        <f aca="false">IF(OR(NOT(ISNUMBER($B381)),NOT(ISNUMBER($C381)),$C381=0),"",$B381/$C381)</f>
        <v/>
      </c>
      <c r="E381" s="7" t="str">
        <f aca="false">IF(NOT(ISNUMBER(Macro_Series!$H381)),"",Macro_Series!$H381)</f>
        <v/>
      </c>
      <c r="F381" s="7" t="str">
        <f aca="false">IF(OR(NOT(ISNUMBER($D381)),NOT(ISNUMBER($E381)),$E381=0),"",$D381/$E381)</f>
        <v/>
      </c>
      <c r="G381" s="8" t="str">
        <f aca="false">IF(OR(NOT(ISNUMBER($B381)),NOT(ISNUMBER($B136)),$B136=0),"",$B381/$B136-1)</f>
        <v/>
      </c>
      <c r="H381" s="8" t="str">
        <f aca="false">IF(OR(NOT(ISNUMBER($D381)),NOT(ISNUMBER($D136)),$D136=0),"",$D381/$D136-1)</f>
        <v/>
      </c>
      <c r="I381" s="8" t="str">
        <f aca="false">IF(OR(NOT(ISNUMBER($G381)),NOT(ISNUMBER($H381))),"",$G381-$H381)</f>
        <v/>
      </c>
    </row>
    <row r="382" customFormat="false" ht="15" hidden="false" customHeight="false" outlineLevel="0" collapsed="false">
      <c r="A382" s="5" t="str">
        <f aca="false">IF(NOT(ISNUMBER(Macro_Series!$A382)),"",Macro_Series!$A382)</f>
        <v/>
      </c>
      <c r="B382" s="6" t="str">
        <f aca="false">IF(NOT(ISNUMBER(Macro_Series!$C382)),"",Macro_Series!$C382)</f>
        <v/>
      </c>
      <c r="C382" s="6" t="str">
        <f aca="false">IF(NOT(ISNUMBER(Macro_Series!$E382)),"",Macro_Series!$E382)</f>
        <v/>
      </c>
      <c r="D382" s="7" t="str">
        <f aca="false">IF(OR(NOT(ISNUMBER($B382)),NOT(ISNUMBER($C382)),$C382=0),"",$B382/$C382)</f>
        <v/>
      </c>
      <c r="E382" s="7" t="str">
        <f aca="false">IF(NOT(ISNUMBER(Macro_Series!$H382)),"",Macro_Series!$H382)</f>
        <v/>
      </c>
      <c r="F382" s="7" t="str">
        <f aca="false">IF(OR(NOT(ISNUMBER($D382)),NOT(ISNUMBER($E382)),$E382=0),"",$D382/$E382)</f>
        <v/>
      </c>
      <c r="G382" s="8" t="str">
        <f aca="false">IF(OR(NOT(ISNUMBER($B382)),NOT(ISNUMBER($B137)),$B137=0),"",$B382/$B137-1)</f>
        <v/>
      </c>
      <c r="H382" s="8" t="str">
        <f aca="false">IF(OR(NOT(ISNUMBER($D382)),NOT(ISNUMBER($D137)),$D137=0),"",$D382/$D137-1)</f>
        <v/>
      </c>
      <c r="I382" s="8" t="str">
        <f aca="false">IF(OR(NOT(ISNUMBER($G382)),NOT(ISNUMBER($H382))),"",$G382-$H382)</f>
        <v/>
      </c>
    </row>
    <row r="383" customFormat="false" ht="15" hidden="false" customHeight="false" outlineLevel="0" collapsed="false">
      <c r="A383" s="5" t="str">
        <f aca="false">IF(NOT(ISNUMBER(Macro_Series!$A383)),"",Macro_Series!$A383)</f>
        <v/>
      </c>
      <c r="B383" s="6" t="str">
        <f aca="false">IF(NOT(ISNUMBER(Macro_Series!$C383)),"",Macro_Series!$C383)</f>
        <v/>
      </c>
      <c r="C383" s="6" t="str">
        <f aca="false">IF(NOT(ISNUMBER(Macro_Series!$E383)),"",Macro_Series!$E383)</f>
        <v/>
      </c>
      <c r="D383" s="7" t="str">
        <f aca="false">IF(OR(NOT(ISNUMBER($B383)),NOT(ISNUMBER($C383)),$C383=0),"",$B383/$C383)</f>
        <v/>
      </c>
      <c r="E383" s="7" t="str">
        <f aca="false">IF(NOT(ISNUMBER(Macro_Series!$H383)),"",Macro_Series!$H383)</f>
        <v/>
      </c>
      <c r="F383" s="7" t="str">
        <f aca="false">IF(OR(NOT(ISNUMBER($D383)),NOT(ISNUMBER($E383)),$E383=0),"",$D383/$E383)</f>
        <v/>
      </c>
      <c r="G383" s="8" t="str">
        <f aca="false">IF(OR(NOT(ISNUMBER($B383)),NOT(ISNUMBER($B138)),$B138=0),"",$B383/$B138-1)</f>
        <v/>
      </c>
      <c r="H383" s="8" t="str">
        <f aca="false">IF(OR(NOT(ISNUMBER($D383)),NOT(ISNUMBER($D138)),$D138=0),"",$D383/$D138-1)</f>
        <v/>
      </c>
      <c r="I383" s="8" t="str">
        <f aca="false">IF(OR(NOT(ISNUMBER($G383)),NOT(ISNUMBER($H383))),"",$G383-$H383)</f>
        <v/>
      </c>
    </row>
    <row r="384" customFormat="false" ht="15" hidden="false" customHeight="false" outlineLevel="0" collapsed="false">
      <c r="A384" s="5" t="str">
        <f aca="false">IF(NOT(ISNUMBER(Macro_Series!$A384)),"",Macro_Series!$A384)</f>
        <v/>
      </c>
      <c r="B384" s="6" t="str">
        <f aca="false">IF(NOT(ISNUMBER(Macro_Series!$C384)),"",Macro_Series!$C384)</f>
        <v/>
      </c>
      <c r="C384" s="6" t="str">
        <f aca="false">IF(NOT(ISNUMBER(Macro_Series!$E384)),"",Macro_Series!$E384)</f>
        <v/>
      </c>
      <c r="D384" s="7" t="str">
        <f aca="false">IF(OR(NOT(ISNUMBER($B384)),NOT(ISNUMBER($C384)),$C384=0),"",$B384/$C384)</f>
        <v/>
      </c>
      <c r="E384" s="7" t="str">
        <f aca="false">IF(NOT(ISNUMBER(Macro_Series!$H384)),"",Macro_Series!$H384)</f>
        <v/>
      </c>
      <c r="F384" s="7" t="str">
        <f aca="false">IF(OR(NOT(ISNUMBER($D384)),NOT(ISNUMBER($E384)),$E384=0),"",$D384/$E384)</f>
        <v/>
      </c>
      <c r="G384" s="8" t="str">
        <f aca="false">IF(OR(NOT(ISNUMBER($B384)),NOT(ISNUMBER($B139)),$B139=0),"",$B384/$B139-1)</f>
        <v/>
      </c>
      <c r="H384" s="8" t="str">
        <f aca="false">IF(OR(NOT(ISNUMBER($D384)),NOT(ISNUMBER($D139)),$D139=0),"",$D384/$D139-1)</f>
        <v/>
      </c>
      <c r="I384" s="8" t="str">
        <f aca="false">IF(OR(NOT(ISNUMBER($G384)),NOT(ISNUMBER($H384))),"",$G384-$H384)</f>
        <v/>
      </c>
    </row>
    <row r="385" customFormat="false" ht="15" hidden="false" customHeight="false" outlineLevel="0" collapsed="false">
      <c r="A385" s="5" t="str">
        <f aca="false">IF(NOT(ISNUMBER(Macro_Series!$A385)),"",Macro_Series!$A385)</f>
        <v/>
      </c>
      <c r="B385" s="6" t="str">
        <f aca="false">IF(NOT(ISNUMBER(Macro_Series!$C385)),"",Macro_Series!$C385)</f>
        <v/>
      </c>
      <c r="C385" s="6" t="str">
        <f aca="false">IF(NOT(ISNUMBER(Macro_Series!$E385)),"",Macro_Series!$E385)</f>
        <v/>
      </c>
      <c r="D385" s="7" t="str">
        <f aca="false">IF(OR(NOT(ISNUMBER($B385)),NOT(ISNUMBER($C385)),$C385=0),"",$B385/$C385)</f>
        <v/>
      </c>
      <c r="E385" s="7" t="str">
        <f aca="false">IF(NOT(ISNUMBER(Macro_Series!$H385)),"",Macro_Series!$H385)</f>
        <v/>
      </c>
      <c r="F385" s="7" t="str">
        <f aca="false">IF(OR(NOT(ISNUMBER($D385)),NOT(ISNUMBER($E385)),$E385=0),"",$D385/$E385)</f>
        <v/>
      </c>
      <c r="G385" s="8" t="str">
        <f aca="false">IF(OR(NOT(ISNUMBER($B385)),NOT(ISNUMBER($B140)),$B140=0),"",$B385/$B140-1)</f>
        <v/>
      </c>
      <c r="H385" s="8" t="str">
        <f aca="false">IF(OR(NOT(ISNUMBER($D385)),NOT(ISNUMBER($D140)),$D140=0),"",$D385/$D140-1)</f>
        <v/>
      </c>
      <c r="I385" s="8" t="str">
        <f aca="false">IF(OR(NOT(ISNUMBER($G385)),NOT(ISNUMBER($H385))),"",$G385-$H385)</f>
        <v/>
      </c>
    </row>
    <row r="386" customFormat="false" ht="15" hidden="false" customHeight="false" outlineLevel="0" collapsed="false">
      <c r="A386" s="5" t="str">
        <f aca="false">IF(NOT(ISNUMBER(Macro_Series!$A386)),"",Macro_Series!$A386)</f>
        <v/>
      </c>
      <c r="B386" s="6" t="str">
        <f aca="false">IF(NOT(ISNUMBER(Macro_Series!$C386)),"",Macro_Series!$C386)</f>
        <v/>
      </c>
      <c r="C386" s="6" t="str">
        <f aca="false">IF(NOT(ISNUMBER(Macro_Series!$E386)),"",Macro_Series!$E386)</f>
        <v/>
      </c>
      <c r="D386" s="7" t="str">
        <f aca="false">IF(OR(NOT(ISNUMBER($B386)),NOT(ISNUMBER($C386)),$C386=0),"",$B386/$C386)</f>
        <v/>
      </c>
      <c r="E386" s="7" t="str">
        <f aca="false">IF(NOT(ISNUMBER(Macro_Series!$H386)),"",Macro_Series!$H386)</f>
        <v/>
      </c>
      <c r="F386" s="7" t="str">
        <f aca="false">IF(OR(NOT(ISNUMBER($D386)),NOT(ISNUMBER($E386)),$E386=0),"",$D386/$E386)</f>
        <v/>
      </c>
      <c r="G386" s="8" t="str">
        <f aca="false">IF(OR(NOT(ISNUMBER($B386)),NOT(ISNUMBER($B141)),$B141=0),"",$B386/$B141-1)</f>
        <v/>
      </c>
      <c r="H386" s="8" t="str">
        <f aca="false">IF(OR(NOT(ISNUMBER($D386)),NOT(ISNUMBER($D141)),$D141=0),"",$D386/$D141-1)</f>
        <v/>
      </c>
      <c r="I386" s="8" t="str">
        <f aca="false">IF(OR(NOT(ISNUMBER($G386)),NOT(ISNUMBER($H386))),"",$G386-$H386)</f>
        <v/>
      </c>
    </row>
    <row r="387" customFormat="false" ht="15" hidden="false" customHeight="false" outlineLevel="0" collapsed="false">
      <c r="A387" s="5" t="str">
        <f aca="false">IF(NOT(ISNUMBER(Macro_Series!$A387)),"",Macro_Series!$A387)</f>
        <v/>
      </c>
      <c r="B387" s="6" t="str">
        <f aca="false">IF(NOT(ISNUMBER(Macro_Series!$C387)),"",Macro_Series!$C387)</f>
        <v/>
      </c>
      <c r="C387" s="6" t="str">
        <f aca="false">IF(NOT(ISNUMBER(Macro_Series!$E387)),"",Macro_Series!$E387)</f>
        <v/>
      </c>
      <c r="D387" s="7" t="str">
        <f aca="false">IF(OR(NOT(ISNUMBER($B387)),NOT(ISNUMBER($C387)),$C387=0),"",$B387/$C387)</f>
        <v/>
      </c>
      <c r="E387" s="7" t="str">
        <f aca="false">IF(NOT(ISNUMBER(Macro_Series!$H387)),"",Macro_Series!$H387)</f>
        <v/>
      </c>
      <c r="F387" s="7" t="str">
        <f aca="false">IF(OR(NOT(ISNUMBER($D387)),NOT(ISNUMBER($E387)),$E387=0),"",$D387/$E387)</f>
        <v/>
      </c>
      <c r="G387" s="8" t="str">
        <f aca="false">IF(OR(NOT(ISNUMBER($B387)),NOT(ISNUMBER($B142)),$B142=0),"",$B387/$B142-1)</f>
        <v/>
      </c>
      <c r="H387" s="8" t="str">
        <f aca="false">IF(OR(NOT(ISNUMBER($D387)),NOT(ISNUMBER($D142)),$D142=0),"",$D387/$D142-1)</f>
        <v/>
      </c>
      <c r="I387" s="8" t="str">
        <f aca="false">IF(OR(NOT(ISNUMBER($G387)),NOT(ISNUMBER($H387))),"",$G387-$H387)</f>
        <v/>
      </c>
    </row>
    <row r="388" customFormat="false" ht="15" hidden="false" customHeight="false" outlineLevel="0" collapsed="false">
      <c r="A388" s="5" t="str">
        <f aca="false">IF(NOT(ISNUMBER(Macro_Series!$A388)),"",Macro_Series!$A388)</f>
        <v/>
      </c>
      <c r="B388" s="6" t="str">
        <f aca="false">IF(NOT(ISNUMBER(Macro_Series!$C388)),"",Macro_Series!$C388)</f>
        <v/>
      </c>
      <c r="C388" s="6" t="str">
        <f aca="false">IF(NOT(ISNUMBER(Macro_Series!$E388)),"",Macro_Series!$E388)</f>
        <v/>
      </c>
      <c r="D388" s="7" t="str">
        <f aca="false">IF(OR(NOT(ISNUMBER($B388)),NOT(ISNUMBER($C388)),$C388=0),"",$B388/$C388)</f>
        <v/>
      </c>
      <c r="E388" s="7" t="str">
        <f aca="false">IF(NOT(ISNUMBER(Macro_Series!$H388)),"",Macro_Series!$H388)</f>
        <v/>
      </c>
      <c r="F388" s="7" t="str">
        <f aca="false">IF(OR(NOT(ISNUMBER($D388)),NOT(ISNUMBER($E388)),$E388=0),"",$D388/$E388)</f>
        <v/>
      </c>
      <c r="G388" s="8" t="str">
        <f aca="false">IF(OR(NOT(ISNUMBER($B388)),NOT(ISNUMBER($B143)),$B143=0),"",$B388/$B143-1)</f>
        <v/>
      </c>
      <c r="H388" s="8" t="str">
        <f aca="false">IF(OR(NOT(ISNUMBER($D388)),NOT(ISNUMBER($D143)),$D143=0),"",$D388/$D143-1)</f>
        <v/>
      </c>
      <c r="I388" s="8" t="str">
        <f aca="false">IF(OR(NOT(ISNUMBER($G388)),NOT(ISNUMBER($H388))),"",$G388-$H388)</f>
        <v/>
      </c>
    </row>
    <row r="389" customFormat="false" ht="15" hidden="false" customHeight="false" outlineLevel="0" collapsed="false">
      <c r="A389" s="5" t="str">
        <f aca="false">IF(NOT(ISNUMBER(Macro_Series!$A389)),"",Macro_Series!$A389)</f>
        <v/>
      </c>
      <c r="B389" s="6" t="str">
        <f aca="false">IF(NOT(ISNUMBER(Macro_Series!$C389)),"",Macro_Series!$C389)</f>
        <v/>
      </c>
      <c r="C389" s="6" t="str">
        <f aca="false">IF(NOT(ISNUMBER(Macro_Series!$E389)),"",Macro_Series!$E389)</f>
        <v/>
      </c>
      <c r="D389" s="7" t="str">
        <f aca="false">IF(OR(NOT(ISNUMBER($B389)),NOT(ISNUMBER($C389)),$C389=0),"",$B389/$C389)</f>
        <v/>
      </c>
      <c r="E389" s="7" t="str">
        <f aca="false">IF(NOT(ISNUMBER(Macro_Series!$H389)),"",Macro_Series!$H389)</f>
        <v/>
      </c>
      <c r="F389" s="7" t="str">
        <f aca="false">IF(OR(NOT(ISNUMBER($D389)),NOT(ISNUMBER($E389)),$E389=0),"",$D389/$E389)</f>
        <v/>
      </c>
      <c r="G389" s="8" t="str">
        <f aca="false">IF(OR(NOT(ISNUMBER($B389)),NOT(ISNUMBER($B144)),$B144=0),"",$B389/$B144-1)</f>
        <v/>
      </c>
      <c r="H389" s="8" t="str">
        <f aca="false">IF(OR(NOT(ISNUMBER($D389)),NOT(ISNUMBER($D144)),$D144=0),"",$D389/$D144-1)</f>
        <v/>
      </c>
      <c r="I389" s="8" t="str">
        <f aca="false">IF(OR(NOT(ISNUMBER($G389)),NOT(ISNUMBER($H389))),"",$G389-$H389)</f>
        <v/>
      </c>
    </row>
    <row r="390" customFormat="false" ht="15" hidden="false" customHeight="false" outlineLevel="0" collapsed="false">
      <c r="A390" s="5" t="str">
        <f aca="false">IF(NOT(ISNUMBER(Macro_Series!$A390)),"",Macro_Series!$A390)</f>
        <v/>
      </c>
      <c r="B390" s="6" t="str">
        <f aca="false">IF(NOT(ISNUMBER(Macro_Series!$C390)),"",Macro_Series!$C390)</f>
        <v/>
      </c>
      <c r="C390" s="6" t="str">
        <f aca="false">IF(NOT(ISNUMBER(Macro_Series!$E390)),"",Macro_Series!$E390)</f>
        <v/>
      </c>
      <c r="D390" s="7" t="str">
        <f aca="false">IF(OR(NOT(ISNUMBER($B390)),NOT(ISNUMBER($C390)),$C390=0),"",$B390/$C390)</f>
        <v/>
      </c>
      <c r="E390" s="7" t="str">
        <f aca="false">IF(NOT(ISNUMBER(Macro_Series!$H390)),"",Macro_Series!$H390)</f>
        <v/>
      </c>
      <c r="F390" s="7" t="str">
        <f aca="false">IF(OR(NOT(ISNUMBER($D390)),NOT(ISNUMBER($E390)),$E390=0),"",$D390/$E390)</f>
        <v/>
      </c>
      <c r="G390" s="8" t="str">
        <f aca="false">IF(OR(NOT(ISNUMBER($B390)),NOT(ISNUMBER($B145)),$B145=0),"",$B390/$B145-1)</f>
        <v/>
      </c>
      <c r="H390" s="8" t="str">
        <f aca="false">IF(OR(NOT(ISNUMBER($D390)),NOT(ISNUMBER($D145)),$D145=0),"",$D390/$D145-1)</f>
        <v/>
      </c>
      <c r="I390" s="8" t="str">
        <f aca="false">IF(OR(NOT(ISNUMBER($G390)),NOT(ISNUMBER($H390))),"",$G390-$H390)</f>
        <v/>
      </c>
    </row>
    <row r="391" customFormat="false" ht="15" hidden="false" customHeight="false" outlineLevel="0" collapsed="false">
      <c r="A391" s="5" t="str">
        <f aca="false">IF(NOT(ISNUMBER(Macro_Series!$A391)),"",Macro_Series!$A391)</f>
        <v/>
      </c>
      <c r="B391" s="6" t="str">
        <f aca="false">IF(NOT(ISNUMBER(Macro_Series!$C391)),"",Macro_Series!$C391)</f>
        <v/>
      </c>
      <c r="C391" s="6" t="str">
        <f aca="false">IF(NOT(ISNUMBER(Macro_Series!$E391)),"",Macro_Series!$E391)</f>
        <v/>
      </c>
      <c r="D391" s="7" t="str">
        <f aca="false">IF(OR(NOT(ISNUMBER($B391)),NOT(ISNUMBER($C391)),$C391=0),"",$B391/$C391)</f>
        <v/>
      </c>
      <c r="E391" s="7" t="str">
        <f aca="false">IF(NOT(ISNUMBER(Macro_Series!$H391)),"",Macro_Series!$H391)</f>
        <v/>
      </c>
      <c r="F391" s="7" t="str">
        <f aca="false">IF(OR(NOT(ISNUMBER($D391)),NOT(ISNUMBER($E391)),$E391=0),"",$D391/$E391)</f>
        <v/>
      </c>
      <c r="G391" s="8" t="str">
        <f aca="false">IF(OR(NOT(ISNUMBER($B391)),NOT(ISNUMBER($B146)),$B146=0),"",$B391/$B146-1)</f>
        <v/>
      </c>
      <c r="H391" s="8" t="str">
        <f aca="false">IF(OR(NOT(ISNUMBER($D391)),NOT(ISNUMBER($D146)),$D146=0),"",$D391/$D146-1)</f>
        <v/>
      </c>
      <c r="I391" s="8" t="str">
        <f aca="false">IF(OR(NOT(ISNUMBER($G391)),NOT(ISNUMBER($H391))),"",$G391-$H391)</f>
        <v/>
      </c>
    </row>
    <row r="392" customFormat="false" ht="15" hidden="false" customHeight="false" outlineLevel="0" collapsed="false">
      <c r="A392" s="5" t="str">
        <f aca="false">IF(NOT(ISNUMBER(Macro_Series!$A392)),"",Macro_Series!$A392)</f>
        <v/>
      </c>
      <c r="B392" s="6" t="str">
        <f aca="false">IF(NOT(ISNUMBER(Macro_Series!$C392)),"",Macro_Series!$C392)</f>
        <v/>
      </c>
      <c r="C392" s="6" t="str">
        <f aca="false">IF(NOT(ISNUMBER(Macro_Series!$E392)),"",Macro_Series!$E392)</f>
        <v/>
      </c>
      <c r="D392" s="7" t="str">
        <f aca="false">IF(OR(NOT(ISNUMBER($B392)),NOT(ISNUMBER($C392)),$C392=0),"",$B392/$C392)</f>
        <v/>
      </c>
      <c r="E392" s="7" t="str">
        <f aca="false">IF(NOT(ISNUMBER(Macro_Series!$H392)),"",Macro_Series!$H392)</f>
        <v/>
      </c>
      <c r="F392" s="7" t="str">
        <f aca="false">IF(OR(NOT(ISNUMBER($D392)),NOT(ISNUMBER($E392)),$E392=0),"",$D392/$E392)</f>
        <v/>
      </c>
      <c r="G392" s="8" t="str">
        <f aca="false">IF(OR(NOT(ISNUMBER($B392)),NOT(ISNUMBER($B147)),$B147=0),"",$B392/$B147-1)</f>
        <v/>
      </c>
      <c r="H392" s="8" t="str">
        <f aca="false">IF(OR(NOT(ISNUMBER($D392)),NOT(ISNUMBER($D147)),$D147=0),"",$D392/$D147-1)</f>
        <v/>
      </c>
      <c r="I392" s="8" t="str">
        <f aca="false">IF(OR(NOT(ISNUMBER($G392)),NOT(ISNUMBER($H392))),"",$G392-$H392)</f>
        <v/>
      </c>
    </row>
    <row r="393" customFormat="false" ht="15" hidden="false" customHeight="false" outlineLevel="0" collapsed="false">
      <c r="A393" s="5" t="str">
        <f aca="false">IF(NOT(ISNUMBER(Macro_Series!$A393)),"",Macro_Series!$A393)</f>
        <v/>
      </c>
      <c r="B393" s="6" t="str">
        <f aca="false">IF(NOT(ISNUMBER(Macro_Series!$C393)),"",Macro_Series!$C393)</f>
        <v/>
      </c>
      <c r="C393" s="6" t="str">
        <f aca="false">IF(NOT(ISNUMBER(Macro_Series!$E393)),"",Macro_Series!$E393)</f>
        <v/>
      </c>
      <c r="D393" s="7" t="str">
        <f aca="false">IF(OR(NOT(ISNUMBER($B393)),NOT(ISNUMBER($C393)),$C393=0),"",$B393/$C393)</f>
        <v/>
      </c>
      <c r="E393" s="7" t="str">
        <f aca="false">IF(NOT(ISNUMBER(Macro_Series!$H393)),"",Macro_Series!$H393)</f>
        <v/>
      </c>
      <c r="F393" s="7" t="str">
        <f aca="false">IF(OR(NOT(ISNUMBER($D393)),NOT(ISNUMBER($E393)),$E393=0),"",$D393/$E393)</f>
        <v/>
      </c>
      <c r="G393" s="8" t="str">
        <f aca="false">IF(OR(NOT(ISNUMBER($B393)),NOT(ISNUMBER($B148)),$B148=0),"",$B393/$B148-1)</f>
        <v/>
      </c>
      <c r="H393" s="8" t="str">
        <f aca="false">IF(OR(NOT(ISNUMBER($D393)),NOT(ISNUMBER($D148)),$D148=0),"",$D393/$D148-1)</f>
        <v/>
      </c>
      <c r="I393" s="8" t="str">
        <f aca="false">IF(OR(NOT(ISNUMBER($G393)),NOT(ISNUMBER($H393))),"",$G393-$H393)</f>
        <v/>
      </c>
    </row>
    <row r="394" customFormat="false" ht="15" hidden="false" customHeight="false" outlineLevel="0" collapsed="false">
      <c r="A394" s="5" t="str">
        <f aca="false">IF(NOT(ISNUMBER(Macro_Series!$A394)),"",Macro_Series!$A394)</f>
        <v/>
      </c>
      <c r="B394" s="6" t="str">
        <f aca="false">IF(NOT(ISNUMBER(Macro_Series!$C394)),"",Macro_Series!$C394)</f>
        <v/>
      </c>
      <c r="C394" s="6" t="str">
        <f aca="false">IF(NOT(ISNUMBER(Macro_Series!$E394)),"",Macro_Series!$E394)</f>
        <v/>
      </c>
      <c r="D394" s="7" t="str">
        <f aca="false">IF(OR(NOT(ISNUMBER($B394)),NOT(ISNUMBER($C394)),$C394=0),"",$B394/$C394)</f>
        <v/>
      </c>
      <c r="E394" s="7" t="str">
        <f aca="false">IF(NOT(ISNUMBER(Macro_Series!$H394)),"",Macro_Series!$H394)</f>
        <v/>
      </c>
      <c r="F394" s="7" t="str">
        <f aca="false">IF(OR(NOT(ISNUMBER($D394)),NOT(ISNUMBER($E394)),$E394=0),"",$D394/$E394)</f>
        <v/>
      </c>
      <c r="G394" s="8" t="str">
        <f aca="false">IF(OR(NOT(ISNUMBER($B394)),NOT(ISNUMBER($B149)),$B149=0),"",$B394/$B149-1)</f>
        <v/>
      </c>
      <c r="H394" s="8" t="str">
        <f aca="false">IF(OR(NOT(ISNUMBER($D394)),NOT(ISNUMBER($D149)),$D149=0),"",$D394/$D149-1)</f>
        <v/>
      </c>
      <c r="I394" s="8" t="str">
        <f aca="false">IF(OR(NOT(ISNUMBER($G394)),NOT(ISNUMBER($H394))),"",$G394-$H394)</f>
        <v/>
      </c>
    </row>
    <row r="395" customFormat="false" ht="15" hidden="false" customHeight="false" outlineLevel="0" collapsed="false">
      <c r="A395" s="5" t="str">
        <f aca="false">IF(NOT(ISNUMBER(Macro_Series!$A395)),"",Macro_Series!$A395)</f>
        <v/>
      </c>
      <c r="B395" s="6" t="str">
        <f aca="false">IF(NOT(ISNUMBER(Macro_Series!$C395)),"",Macro_Series!$C395)</f>
        <v/>
      </c>
      <c r="C395" s="6" t="str">
        <f aca="false">IF(NOT(ISNUMBER(Macro_Series!$E395)),"",Macro_Series!$E395)</f>
        <v/>
      </c>
      <c r="D395" s="7" t="str">
        <f aca="false">IF(OR(NOT(ISNUMBER($B395)),NOT(ISNUMBER($C395)),$C395=0),"",$B395/$C395)</f>
        <v/>
      </c>
      <c r="E395" s="7" t="str">
        <f aca="false">IF(NOT(ISNUMBER(Macro_Series!$H395)),"",Macro_Series!$H395)</f>
        <v/>
      </c>
      <c r="F395" s="7" t="str">
        <f aca="false">IF(OR(NOT(ISNUMBER($D395)),NOT(ISNUMBER($E395)),$E395=0),"",$D395/$E395)</f>
        <v/>
      </c>
      <c r="G395" s="8" t="str">
        <f aca="false">IF(OR(NOT(ISNUMBER($B395)),NOT(ISNUMBER($B150)),$B150=0),"",$B395/$B150-1)</f>
        <v/>
      </c>
      <c r="H395" s="8" t="str">
        <f aca="false">IF(OR(NOT(ISNUMBER($D395)),NOT(ISNUMBER($D150)),$D150=0),"",$D395/$D150-1)</f>
        <v/>
      </c>
      <c r="I395" s="8" t="str">
        <f aca="false">IF(OR(NOT(ISNUMBER($G395)),NOT(ISNUMBER($H395))),"",$G395-$H395)</f>
        <v/>
      </c>
    </row>
    <row r="396" customFormat="false" ht="15" hidden="false" customHeight="false" outlineLevel="0" collapsed="false">
      <c r="A396" s="5" t="str">
        <f aca="false">IF(NOT(ISNUMBER(Macro_Series!$A396)),"",Macro_Series!$A396)</f>
        <v/>
      </c>
      <c r="B396" s="6" t="str">
        <f aca="false">IF(NOT(ISNUMBER(Macro_Series!$C396)),"",Macro_Series!$C396)</f>
        <v/>
      </c>
      <c r="C396" s="6" t="str">
        <f aca="false">IF(NOT(ISNUMBER(Macro_Series!$E396)),"",Macro_Series!$E396)</f>
        <v/>
      </c>
      <c r="D396" s="7" t="str">
        <f aca="false">IF(OR(NOT(ISNUMBER($B396)),NOT(ISNUMBER($C396)),$C396=0),"",$B396/$C396)</f>
        <v/>
      </c>
      <c r="E396" s="7" t="str">
        <f aca="false">IF(NOT(ISNUMBER(Macro_Series!$H396)),"",Macro_Series!$H396)</f>
        <v/>
      </c>
      <c r="F396" s="7" t="str">
        <f aca="false">IF(OR(NOT(ISNUMBER($D396)),NOT(ISNUMBER($E396)),$E396=0),"",$D396/$E396)</f>
        <v/>
      </c>
      <c r="G396" s="8" t="str">
        <f aca="false">IF(OR(NOT(ISNUMBER($B396)),NOT(ISNUMBER($B151)),$B151=0),"",$B396/$B151-1)</f>
        <v/>
      </c>
      <c r="H396" s="8" t="str">
        <f aca="false">IF(OR(NOT(ISNUMBER($D396)),NOT(ISNUMBER($D151)),$D151=0),"",$D396/$D151-1)</f>
        <v/>
      </c>
      <c r="I396" s="8" t="str">
        <f aca="false">IF(OR(NOT(ISNUMBER($G396)),NOT(ISNUMBER($H396))),"",$G396-$H396)</f>
        <v/>
      </c>
    </row>
    <row r="397" customFormat="false" ht="15" hidden="false" customHeight="false" outlineLevel="0" collapsed="false">
      <c r="A397" s="5" t="str">
        <f aca="false">IF(NOT(ISNUMBER(Macro_Series!$A397)),"",Macro_Series!$A397)</f>
        <v/>
      </c>
      <c r="B397" s="6" t="str">
        <f aca="false">IF(NOT(ISNUMBER(Macro_Series!$C397)),"",Macro_Series!$C397)</f>
        <v/>
      </c>
      <c r="C397" s="6" t="str">
        <f aca="false">IF(NOT(ISNUMBER(Macro_Series!$E397)),"",Macro_Series!$E397)</f>
        <v/>
      </c>
      <c r="D397" s="7" t="str">
        <f aca="false">IF(OR(NOT(ISNUMBER($B397)),NOT(ISNUMBER($C397)),$C397=0),"",$B397/$C397)</f>
        <v/>
      </c>
      <c r="E397" s="7" t="str">
        <f aca="false">IF(NOT(ISNUMBER(Macro_Series!$H397)),"",Macro_Series!$H397)</f>
        <v/>
      </c>
      <c r="F397" s="7" t="str">
        <f aca="false">IF(OR(NOT(ISNUMBER($D397)),NOT(ISNUMBER($E397)),$E397=0),"",$D397/$E397)</f>
        <v/>
      </c>
      <c r="G397" s="8" t="str">
        <f aca="false">IF(OR(NOT(ISNUMBER($B397)),NOT(ISNUMBER($B152)),$B152=0),"",$B397/$B152-1)</f>
        <v/>
      </c>
      <c r="H397" s="8" t="str">
        <f aca="false">IF(OR(NOT(ISNUMBER($D397)),NOT(ISNUMBER($D152)),$D152=0),"",$D397/$D152-1)</f>
        <v/>
      </c>
      <c r="I397" s="8" t="str">
        <f aca="false">IF(OR(NOT(ISNUMBER($G397)),NOT(ISNUMBER($H397))),"",$G397-$H397)</f>
        <v/>
      </c>
    </row>
    <row r="398" customFormat="false" ht="15" hidden="false" customHeight="false" outlineLevel="0" collapsed="false">
      <c r="A398" s="5" t="str">
        <f aca="false">IF(NOT(ISNUMBER(Macro_Series!$A398)),"",Macro_Series!$A398)</f>
        <v/>
      </c>
      <c r="B398" s="6" t="str">
        <f aca="false">IF(NOT(ISNUMBER(Macro_Series!$C398)),"",Macro_Series!$C398)</f>
        <v/>
      </c>
      <c r="C398" s="6" t="str">
        <f aca="false">IF(NOT(ISNUMBER(Macro_Series!$E398)),"",Macro_Series!$E398)</f>
        <v/>
      </c>
      <c r="D398" s="7" t="str">
        <f aca="false">IF(OR(NOT(ISNUMBER($B398)),NOT(ISNUMBER($C398)),$C398=0),"",$B398/$C398)</f>
        <v/>
      </c>
      <c r="E398" s="7" t="str">
        <f aca="false">IF(NOT(ISNUMBER(Macro_Series!$H398)),"",Macro_Series!$H398)</f>
        <v/>
      </c>
      <c r="F398" s="7" t="str">
        <f aca="false">IF(OR(NOT(ISNUMBER($D398)),NOT(ISNUMBER($E398)),$E398=0),"",$D398/$E398)</f>
        <v/>
      </c>
      <c r="G398" s="8" t="str">
        <f aca="false">IF(OR(NOT(ISNUMBER($B398)),NOT(ISNUMBER($B153)),$B153=0),"",$B398/$B153-1)</f>
        <v/>
      </c>
      <c r="H398" s="8" t="str">
        <f aca="false">IF(OR(NOT(ISNUMBER($D398)),NOT(ISNUMBER($D153)),$D153=0),"",$D398/$D153-1)</f>
        <v/>
      </c>
      <c r="I398" s="8" t="str">
        <f aca="false">IF(OR(NOT(ISNUMBER($G398)),NOT(ISNUMBER($H398))),"",$G398-$H398)</f>
        <v/>
      </c>
    </row>
    <row r="399" customFormat="false" ht="15" hidden="false" customHeight="false" outlineLevel="0" collapsed="false">
      <c r="A399" s="5" t="str">
        <f aca="false">IF(NOT(ISNUMBER(Macro_Series!$A399)),"",Macro_Series!$A399)</f>
        <v/>
      </c>
      <c r="B399" s="6" t="str">
        <f aca="false">IF(NOT(ISNUMBER(Macro_Series!$C399)),"",Macro_Series!$C399)</f>
        <v/>
      </c>
      <c r="C399" s="6" t="str">
        <f aca="false">IF(NOT(ISNUMBER(Macro_Series!$E399)),"",Macro_Series!$E399)</f>
        <v/>
      </c>
      <c r="D399" s="7" t="str">
        <f aca="false">IF(OR(NOT(ISNUMBER($B399)),NOT(ISNUMBER($C399)),$C399=0),"",$B399/$C399)</f>
        <v/>
      </c>
      <c r="E399" s="7" t="str">
        <f aca="false">IF(NOT(ISNUMBER(Macro_Series!$H399)),"",Macro_Series!$H399)</f>
        <v/>
      </c>
      <c r="F399" s="7" t="str">
        <f aca="false">IF(OR(NOT(ISNUMBER($D399)),NOT(ISNUMBER($E399)),$E399=0),"",$D399/$E399)</f>
        <v/>
      </c>
      <c r="G399" s="8" t="str">
        <f aca="false">IF(OR(NOT(ISNUMBER($B399)),NOT(ISNUMBER($B154)),$B154=0),"",$B399/$B154-1)</f>
        <v/>
      </c>
      <c r="H399" s="8" t="str">
        <f aca="false">IF(OR(NOT(ISNUMBER($D399)),NOT(ISNUMBER($D154)),$D154=0),"",$D399/$D154-1)</f>
        <v/>
      </c>
      <c r="I399" s="8" t="str">
        <f aca="false">IF(OR(NOT(ISNUMBER($G399)),NOT(ISNUMBER($H399))),"",$G399-$H399)</f>
        <v/>
      </c>
    </row>
    <row r="400" customFormat="false" ht="15" hidden="false" customHeight="false" outlineLevel="0" collapsed="false">
      <c r="A400" s="5" t="str">
        <f aca="false">IF(NOT(ISNUMBER(Macro_Series!$A400)),"",Macro_Series!$A400)</f>
        <v/>
      </c>
      <c r="B400" s="6" t="str">
        <f aca="false">IF(NOT(ISNUMBER(Macro_Series!$C400)),"",Macro_Series!$C400)</f>
        <v/>
      </c>
      <c r="C400" s="6" t="str">
        <f aca="false">IF(NOT(ISNUMBER(Macro_Series!$E400)),"",Macro_Series!$E400)</f>
        <v/>
      </c>
      <c r="D400" s="7" t="str">
        <f aca="false">IF(OR(NOT(ISNUMBER($B400)),NOT(ISNUMBER($C400)),$C400=0),"",$B400/$C400)</f>
        <v/>
      </c>
      <c r="E400" s="7" t="str">
        <f aca="false">IF(NOT(ISNUMBER(Macro_Series!$H400)),"",Macro_Series!$H400)</f>
        <v/>
      </c>
      <c r="F400" s="7" t="str">
        <f aca="false">IF(OR(NOT(ISNUMBER($D400)),NOT(ISNUMBER($E400)),$E400=0),"",$D400/$E400)</f>
        <v/>
      </c>
      <c r="G400" s="8" t="str">
        <f aca="false">IF(OR(NOT(ISNUMBER($B400)),NOT(ISNUMBER($B155)),$B155=0),"",$B400/$B155-1)</f>
        <v/>
      </c>
      <c r="H400" s="8" t="str">
        <f aca="false">IF(OR(NOT(ISNUMBER($D400)),NOT(ISNUMBER($D155)),$D155=0),"",$D400/$D155-1)</f>
        <v/>
      </c>
      <c r="I400" s="8" t="str">
        <f aca="false">IF(OR(NOT(ISNUMBER($G400)),NOT(ISNUMBER($H400))),"",$G400-$H400)</f>
        <v/>
      </c>
    </row>
    <row r="401" customFormat="false" ht="15" hidden="false" customHeight="false" outlineLevel="0" collapsed="false">
      <c r="A401" s="5" t="str">
        <f aca="false">IF(NOT(ISNUMBER(Macro_Series!$A401)),"",Macro_Series!$A401)</f>
        <v/>
      </c>
      <c r="B401" s="6" t="str">
        <f aca="false">IF(NOT(ISNUMBER(Macro_Series!$C401)),"",Macro_Series!$C401)</f>
        <v/>
      </c>
      <c r="C401" s="6" t="str">
        <f aca="false">IF(NOT(ISNUMBER(Macro_Series!$E401)),"",Macro_Series!$E401)</f>
        <v/>
      </c>
      <c r="D401" s="7" t="str">
        <f aca="false">IF(OR(NOT(ISNUMBER($B401)),NOT(ISNUMBER($C401)),$C401=0),"",$B401/$C401)</f>
        <v/>
      </c>
      <c r="E401" s="7" t="str">
        <f aca="false">IF(NOT(ISNUMBER(Macro_Series!$H401)),"",Macro_Series!$H401)</f>
        <v/>
      </c>
      <c r="F401" s="7" t="str">
        <f aca="false">IF(OR(NOT(ISNUMBER($D401)),NOT(ISNUMBER($E401)),$E401=0),"",$D401/$E401)</f>
        <v/>
      </c>
      <c r="G401" s="8" t="str">
        <f aca="false">IF(OR(NOT(ISNUMBER($B401)),NOT(ISNUMBER($B156)),$B156=0),"",$B401/$B156-1)</f>
        <v/>
      </c>
      <c r="H401" s="8" t="str">
        <f aca="false">IF(OR(NOT(ISNUMBER($D401)),NOT(ISNUMBER($D156)),$D156=0),"",$D401/$D156-1)</f>
        <v/>
      </c>
      <c r="I401" s="8" t="str">
        <f aca="false">IF(OR(NOT(ISNUMBER($G401)),NOT(ISNUMBER($H401))),"",$G401-$H401)</f>
        <v/>
      </c>
    </row>
    <row r="402" customFormat="false" ht="15" hidden="false" customHeight="false" outlineLevel="0" collapsed="false">
      <c r="A402" s="5" t="str">
        <f aca="false">IF(NOT(ISNUMBER(Macro_Series!$A402)),"",Macro_Series!$A402)</f>
        <v/>
      </c>
      <c r="B402" s="6" t="str">
        <f aca="false">IF(NOT(ISNUMBER(Macro_Series!$C402)),"",Macro_Series!$C402)</f>
        <v/>
      </c>
      <c r="C402" s="6" t="str">
        <f aca="false">IF(NOT(ISNUMBER(Macro_Series!$E402)),"",Macro_Series!$E402)</f>
        <v/>
      </c>
      <c r="D402" s="7" t="str">
        <f aca="false">IF(OR(NOT(ISNUMBER($B402)),NOT(ISNUMBER($C402)),$C402=0),"",$B402/$C402)</f>
        <v/>
      </c>
      <c r="E402" s="7" t="str">
        <f aca="false">IF(NOT(ISNUMBER(Macro_Series!$H402)),"",Macro_Series!$H402)</f>
        <v/>
      </c>
      <c r="F402" s="7" t="str">
        <f aca="false">IF(OR(NOT(ISNUMBER($D402)),NOT(ISNUMBER($E402)),$E402=0),"",$D402/$E402)</f>
        <v/>
      </c>
      <c r="G402" s="8" t="str">
        <f aca="false">IF(OR(NOT(ISNUMBER($B402)),NOT(ISNUMBER($B157)),$B157=0),"",$B402/$B157-1)</f>
        <v/>
      </c>
      <c r="H402" s="8" t="str">
        <f aca="false">IF(OR(NOT(ISNUMBER($D402)),NOT(ISNUMBER($D157)),$D157=0),"",$D402/$D157-1)</f>
        <v/>
      </c>
      <c r="I402" s="8" t="str">
        <f aca="false">IF(OR(NOT(ISNUMBER($G402)),NOT(ISNUMBER($H402))),"",$G402-$H402)</f>
        <v/>
      </c>
    </row>
    <row r="403" customFormat="false" ht="15" hidden="false" customHeight="false" outlineLevel="0" collapsed="false">
      <c r="A403" s="5" t="str">
        <f aca="false">IF(NOT(ISNUMBER(Macro_Series!$A403)),"",Macro_Series!$A403)</f>
        <v/>
      </c>
      <c r="B403" s="6" t="str">
        <f aca="false">IF(NOT(ISNUMBER(Macro_Series!$C403)),"",Macro_Series!$C403)</f>
        <v/>
      </c>
      <c r="C403" s="6" t="str">
        <f aca="false">IF(NOT(ISNUMBER(Macro_Series!$E403)),"",Macro_Series!$E403)</f>
        <v/>
      </c>
      <c r="D403" s="7" t="str">
        <f aca="false">IF(OR(NOT(ISNUMBER($B403)),NOT(ISNUMBER($C403)),$C403=0),"",$B403/$C403)</f>
        <v/>
      </c>
      <c r="E403" s="7" t="str">
        <f aca="false">IF(NOT(ISNUMBER(Macro_Series!$H403)),"",Macro_Series!$H403)</f>
        <v/>
      </c>
      <c r="F403" s="7" t="str">
        <f aca="false">IF(OR(NOT(ISNUMBER($D403)),NOT(ISNUMBER($E403)),$E403=0),"",$D403/$E403)</f>
        <v/>
      </c>
      <c r="G403" s="8" t="str">
        <f aca="false">IF(OR(NOT(ISNUMBER($B403)),NOT(ISNUMBER($B158)),$B158=0),"",$B403/$B158-1)</f>
        <v/>
      </c>
      <c r="H403" s="8" t="str">
        <f aca="false">IF(OR(NOT(ISNUMBER($D403)),NOT(ISNUMBER($D158)),$D158=0),"",$D403/$D158-1)</f>
        <v/>
      </c>
      <c r="I403" s="8" t="str">
        <f aca="false">IF(OR(NOT(ISNUMBER($G403)),NOT(ISNUMBER($H403))),"",$G403-$H403)</f>
        <v/>
      </c>
    </row>
    <row r="404" customFormat="false" ht="15" hidden="false" customHeight="false" outlineLevel="0" collapsed="false">
      <c r="A404" s="5" t="str">
        <f aca="false">IF(NOT(ISNUMBER(Macro_Series!$A404)),"",Macro_Series!$A404)</f>
        <v/>
      </c>
      <c r="B404" s="6" t="str">
        <f aca="false">IF(NOT(ISNUMBER(Macro_Series!$C404)),"",Macro_Series!$C404)</f>
        <v/>
      </c>
      <c r="C404" s="6" t="str">
        <f aca="false">IF(NOT(ISNUMBER(Macro_Series!$E404)),"",Macro_Series!$E404)</f>
        <v/>
      </c>
      <c r="D404" s="7" t="str">
        <f aca="false">IF(OR(NOT(ISNUMBER($B404)),NOT(ISNUMBER($C404)),$C404=0),"",$B404/$C404)</f>
        <v/>
      </c>
      <c r="E404" s="7" t="str">
        <f aca="false">IF(NOT(ISNUMBER(Macro_Series!$H404)),"",Macro_Series!$H404)</f>
        <v/>
      </c>
      <c r="F404" s="7" t="str">
        <f aca="false">IF(OR(NOT(ISNUMBER($D404)),NOT(ISNUMBER($E404)),$E404=0),"",$D404/$E404)</f>
        <v/>
      </c>
      <c r="G404" s="8" t="str">
        <f aca="false">IF(OR(NOT(ISNUMBER($B404)),NOT(ISNUMBER($B159)),$B159=0),"",$B404/$B159-1)</f>
        <v/>
      </c>
      <c r="H404" s="8" t="str">
        <f aca="false">IF(OR(NOT(ISNUMBER($D404)),NOT(ISNUMBER($D159)),$D159=0),"",$D404/$D159-1)</f>
        <v/>
      </c>
      <c r="I404" s="8" t="str">
        <f aca="false">IF(OR(NOT(ISNUMBER($G404)),NOT(ISNUMBER($H404))),"",$G404-$H404)</f>
        <v/>
      </c>
    </row>
    <row r="405" customFormat="false" ht="15" hidden="false" customHeight="false" outlineLevel="0" collapsed="false">
      <c r="A405" s="5" t="str">
        <f aca="false">IF(NOT(ISNUMBER(Macro_Series!$A405)),"",Macro_Series!$A405)</f>
        <v/>
      </c>
      <c r="B405" s="6" t="str">
        <f aca="false">IF(NOT(ISNUMBER(Macro_Series!$C405)),"",Macro_Series!$C405)</f>
        <v/>
      </c>
      <c r="C405" s="6" t="str">
        <f aca="false">IF(NOT(ISNUMBER(Macro_Series!$E405)),"",Macro_Series!$E405)</f>
        <v/>
      </c>
      <c r="D405" s="7" t="str">
        <f aca="false">IF(OR(NOT(ISNUMBER($B405)),NOT(ISNUMBER($C405)),$C405=0),"",$B405/$C405)</f>
        <v/>
      </c>
      <c r="E405" s="7" t="str">
        <f aca="false">IF(NOT(ISNUMBER(Macro_Series!$H405)),"",Macro_Series!$H405)</f>
        <v/>
      </c>
      <c r="F405" s="7" t="str">
        <f aca="false">IF(OR(NOT(ISNUMBER($D405)),NOT(ISNUMBER($E405)),$E405=0),"",$D405/$E405)</f>
        <v/>
      </c>
      <c r="G405" s="8" t="str">
        <f aca="false">IF(OR(NOT(ISNUMBER($B405)),NOT(ISNUMBER($B160)),$B160=0),"",$B405/$B160-1)</f>
        <v/>
      </c>
      <c r="H405" s="8" t="str">
        <f aca="false">IF(OR(NOT(ISNUMBER($D405)),NOT(ISNUMBER($D160)),$D160=0),"",$D405/$D160-1)</f>
        <v/>
      </c>
      <c r="I405" s="8" t="str">
        <f aca="false">IF(OR(NOT(ISNUMBER($G405)),NOT(ISNUMBER($H405))),"",$G405-$H405)</f>
        <v/>
      </c>
    </row>
    <row r="406" customFormat="false" ht="15" hidden="false" customHeight="false" outlineLevel="0" collapsed="false">
      <c r="A406" s="5" t="str">
        <f aca="false">IF(NOT(ISNUMBER(Macro_Series!$A406)),"",Macro_Series!$A406)</f>
        <v/>
      </c>
      <c r="B406" s="6" t="str">
        <f aca="false">IF(NOT(ISNUMBER(Macro_Series!$C406)),"",Macro_Series!$C406)</f>
        <v/>
      </c>
      <c r="C406" s="6" t="str">
        <f aca="false">IF(NOT(ISNUMBER(Macro_Series!$E406)),"",Macro_Series!$E406)</f>
        <v/>
      </c>
      <c r="D406" s="7" t="str">
        <f aca="false">IF(OR(NOT(ISNUMBER($B406)),NOT(ISNUMBER($C406)),$C406=0),"",$B406/$C406)</f>
        <v/>
      </c>
      <c r="E406" s="7" t="str">
        <f aca="false">IF(NOT(ISNUMBER(Macro_Series!$H406)),"",Macro_Series!$H406)</f>
        <v/>
      </c>
      <c r="F406" s="7" t="str">
        <f aca="false">IF(OR(NOT(ISNUMBER($D406)),NOT(ISNUMBER($E406)),$E406=0),"",$D406/$E406)</f>
        <v/>
      </c>
      <c r="G406" s="8" t="str">
        <f aca="false">IF(OR(NOT(ISNUMBER($B406)),NOT(ISNUMBER($B161)),$B161=0),"",$B406/$B161-1)</f>
        <v/>
      </c>
      <c r="H406" s="8" t="str">
        <f aca="false">IF(OR(NOT(ISNUMBER($D406)),NOT(ISNUMBER($D161)),$D161=0),"",$D406/$D161-1)</f>
        <v/>
      </c>
      <c r="I406" s="8" t="str">
        <f aca="false">IF(OR(NOT(ISNUMBER($G406)),NOT(ISNUMBER($H406))),"",$G406-$H406)</f>
        <v/>
      </c>
    </row>
    <row r="407" customFormat="false" ht="15" hidden="false" customHeight="false" outlineLevel="0" collapsed="false">
      <c r="A407" s="5" t="str">
        <f aca="false">IF(NOT(ISNUMBER(Macro_Series!$A407)),"",Macro_Series!$A407)</f>
        <v/>
      </c>
      <c r="B407" s="6" t="str">
        <f aca="false">IF(NOT(ISNUMBER(Macro_Series!$C407)),"",Macro_Series!$C407)</f>
        <v/>
      </c>
      <c r="C407" s="6" t="str">
        <f aca="false">IF(NOT(ISNUMBER(Macro_Series!$E407)),"",Macro_Series!$E407)</f>
        <v/>
      </c>
      <c r="D407" s="7" t="str">
        <f aca="false">IF(OR(NOT(ISNUMBER($B407)),NOT(ISNUMBER($C407)),$C407=0),"",$B407/$C407)</f>
        <v/>
      </c>
      <c r="E407" s="7" t="str">
        <f aca="false">IF(NOT(ISNUMBER(Macro_Series!$H407)),"",Macro_Series!$H407)</f>
        <v/>
      </c>
      <c r="F407" s="7" t="str">
        <f aca="false">IF(OR(NOT(ISNUMBER($D407)),NOT(ISNUMBER($E407)),$E407=0),"",$D407/$E407)</f>
        <v/>
      </c>
      <c r="G407" s="8" t="str">
        <f aca="false">IF(OR(NOT(ISNUMBER($B407)),NOT(ISNUMBER($B162)),$B162=0),"",$B407/$B162-1)</f>
        <v/>
      </c>
      <c r="H407" s="8" t="str">
        <f aca="false">IF(OR(NOT(ISNUMBER($D407)),NOT(ISNUMBER($D162)),$D162=0),"",$D407/$D162-1)</f>
        <v/>
      </c>
      <c r="I407" s="8" t="str">
        <f aca="false">IF(OR(NOT(ISNUMBER($G407)),NOT(ISNUMBER($H407))),"",$G407-$H407)</f>
        <v/>
      </c>
    </row>
    <row r="408" customFormat="false" ht="15" hidden="false" customHeight="false" outlineLevel="0" collapsed="false">
      <c r="A408" s="5" t="str">
        <f aca="false">IF(NOT(ISNUMBER(Macro_Series!$A408)),"",Macro_Series!$A408)</f>
        <v/>
      </c>
      <c r="B408" s="6" t="str">
        <f aca="false">IF(NOT(ISNUMBER(Macro_Series!$C408)),"",Macro_Series!$C408)</f>
        <v/>
      </c>
      <c r="C408" s="6" t="str">
        <f aca="false">IF(NOT(ISNUMBER(Macro_Series!$E408)),"",Macro_Series!$E408)</f>
        <v/>
      </c>
      <c r="D408" s="7" t="str">
        <f aca="false">IF(OR(NOT(ISNUMBER($B408)),NOT(ISNUMBER($C408)),$C408=0),"",$B408/$C408)</f>
        <v/>
      </c>
      <c r="E408" s="7" t="str">
        <f aca="false">IF(NOT(ISNUMBER(Macro_Series!$H408)),"",Macro_Series!$H408)</f>
        <v/>
      </c>
      <c r="F408" s="7" t="str">
        <f aca="false">IF(OR(NOT(ISNUMBER($D408)),NOT(ISNUMBER($E408)),$E408=0),"",$D408/$E408)</f>
        <v/>
      </c>
      <c r="G408" s="8" t="str">
        <f aca="false">IF(OR(NOT(ISNUMBER($B408)),NOT(ISNUMBER($B163)),$B163=0),"",$B408/$B163-1)</f>
        <v/>
      </c>
      <c r="H408" s="8" t="str">
        <f aca="false">IF(OR(NOT(ISNUMBER($D408)),NOT(ISNUMBER($D163)),$D163=0),"",$D408/$D163-1)</f>
        <v/>
      </c>
      <c r="I408" s="8" t="str">
        <f aca="false">IF(OR(NOT(ISNUMBER($G408)),NOT(ISNUMBER($H408))),"",$G408-$H408)</f>
        <v/>
      </c>
    </row>
    <row r="409" customFormat="false" ht="15" hidden="false" customHeight="false" outlineLevel="0" collapsed="false">
      <c r="A409" s="5" t="str">
        <f aca="false">IF(NOT(ISNUMBER(Macro_Series!$A409)),"",Macro_Series!$A409)</f>
        <v/>
      </c>
      <c r="B409" s="6" t="str">
        <f aca="false">IF(NOT(ISNUMBER(Macro_Series!$C409)),"",Macro_Series!$C409)</f>
        <v/>
      </c>
      <c r="C409" s="6" t="str">
        <f aca="false">IF(NOT(ISNUMBER(Macro_Series!$E409)),"",Macro_Series!$E409)</f>
        <v/>
      </c>
      <c r="D409" s="7" t="str">
        <f aca="false">IF(OR(NOT(ISNUMBER($B409)),NOT(ISNUMBER($C409)),$C409=0),"",$B409/$C409)</f>
        <v/>
      </c>
      <c r="E409" s="7" t="str">
        <f aca="false">IF(NOT(ISNUMBER(Macro_Series!$H409)),"",Macro_Series!$H409)</f>
        <v/>
      </c>
      <c r="F409" s="7" t="str">
        <f aca="false">IF(OR(NOT(ISNUMBER($D409)),NOT(ISNUMBER($E409)),$E409=0),"",$D409/$E409)</f>
        <v/>
      </c>
      <c r="G409" s="8" t="str">
        <f aca="false">IF(OR(NOT(ISNUMBER($B409)),NOT(ISNUMBER($B164)),$B164=0),"",$B409/$B164-1)</f>
        <v/>
      </c>
      <c r="H409" s="8" t="str">
        <f aca="false">IF(OR(NOT(ISNUMBER($D409)),NOT(ISNUMBER($D164)),$D164=0),"",$D409/$D164-1)</f>
        <v/>
      </c>
      <c r="I409" s="8" t="str">
        <f aca="false">IF(OR(NOT(ISNUMBER($G409)),NOT(ISNUMBER($H409))),"",$G409-$H409)</f>
        <v/>
      </c>
    </row>
    <row r="410" customFormat="false" ht="15" hidden="false" customHeight="false" outlineLevel="0" collapsed="false">
      <c r="A410" s="5" t="str">
        <f aca="false">IF(NOT(ISNUMBER(Macro_Series!$A410)),"",Macro_Series!$A410)</f>
        <v/>
      </c>
      <c r="B410" s="6" t="str">
        <f aca="false">IF(NOT(ISNUMBER(Macro_Series!$C410)),"",Macro_Series!$C410)</f>
        <v/>
      </c>
      <c r="C410" s="6" t="str">
        <f aca="false">IF(NOT(ISNUMBER(Macro_Series!$E410)),"",Macro_Series!$E410)</f>
        <v/>
      </c>
      <c r="D410" s="7" t="str">
        <f aca="false">IF(OR(NOT(ISNUMBER($B410)),NOT(ISNUMBER($C410)),$C410=0),"",$B410/$C410)</f>
        <v/>
      </c>
      <c r="E410" s="7" t="str">
        <f aca="false">IF(NOT(ISNUMBER(Macro_Series!$H410)),"",Macro_Series!$H410)</f>
        <v/>
      </c>
      <c r="F410" s="7" t="str">
        <f aca="false">IF(OR(NOT(ISNUMBER($D410)),NOT(ISNUMBER($E410)),$E410=0),"",$D410/$E410)</f>
        <v/>
      </c>
      <c r="G410" s="8" t="str">
        <f aca="false">IF(OR(NOT(ISNUMBER($B410)),NOT(ISNUMBER($B165)),$B165=0),"",$B410/$B165-1)</f>
        <v/>
      </c>
      <c r="H410" s="8" t="str">
        <f aca="false">IF(OR(NOT(ISNUMBER($D410)),NOT(ISNUMBER($D165)),$D165=0),"",$D410/$D165-1)</f>
        <v/>
      </c>
      <c r="I410" s="8" t="str">
        <f aca="false">IF(OR(NOT(ISNUMBER($G410)),NOT(ISNUMBER($H410))),"",$G410-$H410)</f>
        <v/>
      </c>
    </row>
    <row r="411" customFormat="false" ht="15" hidden="false" customHeight="false" outlineLevel="0" collapsed="false">
      <c r="A411" s="5" t="str">
        <f aca="false">IF(NOT(ISNUMBER(Macro_Series!$A411)),"",Macro_Series!$A411)</f>
        <v/>
      </c>
      <c r="B411" s="6" t="str">
        <f aca="false">IF(NOT(ISNUMBER(Macro_Series!$C411)),"",Macro_Series!$C411)</f>
        <v/>
      </c>
      <c r="C411" s="6" t="str">
        <f aca="false">IF(NOT(ISNUMBER(Macro_Series!$E411)),"",Macro_Series!$E411)</f>
        <v/>
      </c>
      <c r="D411" s="7" t="str">
        <f aca="false">IF(OR(NOT(ISNUMBER($B411)),NOT(ISNUMBER($C411)),$C411=0),"",$B411/$C411)</f>
        <v/>
      </c>
      <c r="E411" s="7" t="str">
        <f aca="false">IF(NOT(ISNUMBER(Macro_Series!$H411)),"",Macro_Series!$H411)</f>
        <v/>
      </c>
      <c r="F411" s="7" t="str">
        <f aca="false">IF(OR(NOT(ISNUMBER($D411)),NOT(ISNUMBER($E411)),$E411=0),"",$D411/$E411)</f>
        <v/>
      </c>
      <c r="G411" s="8" t="str">
        <f aca="false">IF(OR(NOT(ISNUMBER($B411)),NOT(ISNUMBER($B166)),$B166=0),"",$B411/$B166-1)</f>
        <v/>
      </c>
      <c r="H411" s="8" t="str">
        <f aca="false">IF(OR(NOT(ISNUMBER($D411)),NOT(ISNUMBER($D166)),$D166=0),"",$D411/$D166-1)</f>
        <v/>
      </c>
      <c r="I411" s="8" t="str">
        <f aca="false">IF(OR(NOT(ISNUMBER($G411)),NOT(ISNUMBER($H411))),"",$G411-$H411)</f>
        <v/>
      </c>
    </row>
    <row r="412" customFormat="false" ht="15" hidden="false" customHeight="false" outlineLevel="0" collapsed="false">
      <c r="A412" s="5" t="str">
        <f aca="false">IF(NOT(ISNUMBER(Macro_Series!$A412)),"",Macro_Series!$A412)</f>
        <v/>
      </c>
      <c r="B412" s="6" t="str">
        <f aca="false">IF(NOT(ISNUMBER(Macro_Series!$C412)),"",Macro_Series!$C412)</f>
        <v/>
      </c>
      <c r="C412" s="6" t="str">
        <f aca="false">IF(NOT(ISNUMBER(Macro_Series!$E412)),"",Macro_Series!$E412)</f>
        <v/>
      </c>
      <c r="D412" s="7" t="str">
        <f aca="false">IF(OR(NOT(ISNUMBER($B412)),NOT(ISNUMBER($C412)),$C412=0),"",$B412/$C412)</f>
        <v/>
      </c>
      <c r="E412" s="7" t="str">
        <f aca="false">IF(NOT(ISNUMBER(Macro_Series!$H412)),"",Macro_Series!$H412)</f>
        <v/>
      </c>
      <c r="F412" s="7" t="str">
        <f aca="false">IF(OR(NOT(ISNUMBER($D412)),NOT(ISNUMBER($E412)),$E412=0),"",$D412/$E412)</f>
        <v/>
      </c>
      <c r="G412" s="8" t="str">
        <f aca="false">IF(OR(NOT(ISNUMBER($B412)),NOT(ISNUMBER($B167)),$B167=0),"",$B412/$B167-1)</f>
        <v/>
      </c>
      <c r="H412" s="8" t="str">
        <f aca="false">IF(OR(NOT(ISNUMBER($D412)),NOT(ISNUMBER($D167)),$D167=0),"",$D412/$D167-1)</f>
        <v/>
      </c>
      <c r="I412" s="8" t="str">
        <f aca="false">IF(OR(NOT(ISNUMBER($G412)),NOT(ISNUMBER($H412))),"",$G412-$H412)</f>
        <v/>
      </c>
    </row>
    <row r="413" customFormat="false" ht="15" hidden="false" customHeight="false" outlineLevel="0" collapsed="false">
      <c r="A413" s="5" t="str">
        <f aca="false">IF(NOT(ISNUMBER(Macro_Series!$A413)),"",Macro_Series!$A413)</f>
        <v/>
      </c>
      <c r="B413" s="6" t="str">
        <f aca="false">IF(NOT(ISNUMBER(Macro_Series!$C413)),"",Macro_Series!$C413)</f>
        <v/>
      </c>
      <c r="C413" s="6" t="str">
        <f aca="false">IF(NOT(ISNUMBER(Macro_Series!$E413)),"",Macro_Series!$E413)</f>
        <v/>
      </c>
      <c r="D413" s="7" t="str">
        <f aca="false">IF(OR(NOT(ISNUMBER($B413)),NOT(ISNUMBER($C413)),$C413=0),"",$B413/$C413)</f>
        <v/>
      </c>
      <c r="E413" s="7" t="str">
        <f aca="false">IF(NOT(ISNUMBER(Macro_Series!$H413)),"",Macro_Series!$H413)</f>
        <v/>
      </c>
      <c r="F413" s="7" t="str">
        <f aca="false">IF(OR(NOT(ISNUMBER($D413)),NOT(ISNUMBER($E413)),$E413=0),"",$D413/$E413)</f>
        <v/>
      </c>
      <c r="G413" s="8" t="str">
        <f aca="false">IF(OR(NOT(ISNUMBER($B413)),NOT(ISNUMBER($B168)),$B168=0),"",$B413/$B168-1)</f>
        <v/>
      </c>
      <c r="H413" s="8" t="str">
        <f aca="false">IF(OR(NOT(ISNUMBER($D413)),NOT(ISNUMBER($D168)),$D168=0),"",$D413/$D168-1)</f>
        <v/>
      </c>
      <c r="I413" s="8" t="str">
        <f aca="false">IF(OR(NOT(ISNUMBER($G413)),NOT(ISNUMBER($H413))),"",$G413-$H413)</f>
        <v/>
      </c>
    </row>
    <row r="414" customFormat="false" ht="15" hidden="false" customHeight="false" outlineLevel="0" collapsed="false">
      <c r="A414" s="5" t="str">
        <f aca="false">IF(NOT(ISNUMBER(Macro_Series!$A414)),"",Macro_Series!$A414)</f>
        <v/>
      </c>
      <c r="B414" s="6" t="str">
        <f aca="false">IF(NOT(ISNUMBER(Macro_Series!$C414)),"",Macro_Series!$C414)</f>
        <v/>
      </c>
      <c r="C414" s="6" t="str">
        <f aca="false">IF(NOT(ISNUMBER(Macro_Series!$E414)),"",Macro_Series!$E414)</f>
        <v/>
      </c>
      <c r="D414" s="7" t="str">
        <f aca="false">IF(OR(NOT(ISNUMBER($B414)),NOT(ISNUMBER($C414)),$C414=0),"",$B414/$C414)</f>
        <v/>
      </c>
      <c r="E414" s="7" t="str">
        <f aca="false">IF(NOT(ISNUMBER(Macro_Series!$H414)),"",Macro_Series!$H414)</f>
        <v/>
      </c>
      <c r="F414" s="7" t="str">
        <f aca="false">IF(OR(NOT(ISNUMBER($D414)),NOT(ISNUMBER($E414)),$E414=0),"",$D414/$E414)</f>
        <v/>
      </c>
      <c r="G414" s="8" t="str">
        <f aca="false">IF(OR(NOT(ISNUMBER($B414)),NOT(ISNUMBER($B169)),$B169=0),"",$B414/$B169-1)</f>
        <v/>
      </c>
      <c r="H414" s="8" t="str">
        <f aca="false">IF(OR(NOT(ISNUMBER($D414)),NOT(ISNUMBER($D169)),$D169=0),"",$D414/$D169-1)</f>
        <v/>
      </c>
      <c r="I414" s="8" t="str">
        <f aca="false">IF(OR(NOT(ISNUMBER($G414)),NOT(ISNUMBER($H414))),"",$G414-$H414)</f>
        <v/>
      </c>
    </row>
    <row r="415" customFormat="false" ht="15" hidden="false" customHeight="false" outlineLevel="0" collapsed="false">
      <c r="A415" s="5" t="str">
        <f aca="false">IF(NOT(ISNUMBER(Macro_Series!$A415)),"",Macro_Series!$A415)</f>
        <v/>
      </c>
      <c r="B415" s="6" t="str">
        <f aca="false">IF(NOT(ISNUMBER(Macro_Series!$C415)),"",Macro_Series!$C415)</f>
        <v/>
      </c>
      <c r="C415" s="6" t="str">
        <f aca="false">IF(NOT(ISNUMBER(Macro_Series!$E415)),"",Macro_Series!$E415)</f>
        <v/>
      </c>
      <c r="D415" s="7" t="str">
        <f aca="false">IF(OR(NOT(ISNUMBER($B415)),NOT(ISNUMBER($C415)),$C415=0),"",$B415/$C415)</f>
        <v/>
      </c>
      <c r="E415" s="7" t="str">
        <f aca="false">IF(NOT(ISNUMBER(Macro_Series!$H415)),"",Macro_Series!$H415)</f>
        <v/>
      </c>
      <c r="F415" s="7" t="str">
        <f aca="false">IF(OR(NOT(ISNUMBER($D415)),NOT(ISNUMBER($E415)),$E415=0),"",$D415/$E415)</f>
        <v/>
      </c>
      <c r="G415" s="8" t="str">
        <f aca="false">IF(OR(NOT(ISNUMBER($B415)),NOT(ISNUMBER($B170)),$B170=0),"",$B415/$B170-1)</f>
        <v/>
      </c>
      <c r="H415" s="8" t="str">
        <f aca="false">IF(OR(NOT(ISNUMBER($D415)),NOT(ISNUMBER($D170)),$D170=0),"",$D415/$D170-1)</f>
        <v/>
      </c>
      <c r="I415" s="8" t="str">
        <f aca="false">IF(OR(NOT(ISNUMBER($G415)),NOT(ISNUMBER($H415))),"",$G415-$H415)</f>
        <v/>
      </c>
    </row>
    <row r="416" customFormat="false" ht="15" hidden="false" customHeight="false" outlineLevel="0" collapsed="false">
      <c r="A416" s="5" t="str">
        <f aca="false">IF(NOT(ISNUMBER(Macro_Series!$A416)),"",Macro_Series!$A416)</f>
        <v/>
      </c>
      <c r="B416" s="6" t="str">
        <f aca="false">IF(NOT(ISNUMBER(Macro_Series!$C416)),"",Macro_Series!$C416)</f>
        <v/>
      </c>
      <c r="C416" s="6" t="str">
        <f aca="false">IF(NOT(ISNUMBER(Macro_Series!$E416)),"",Macro_Series!$E416)</f>
        <v/>
      </c>
      <c r="D416" s="7" t="str">
        <f aca="false">IF(OR(NOT(ISNUMBER($B416)),NOT(ISNUMBER($C416)),$C416=0),"",$B416/$C416)</f>
        <v/>
      </c>
      <c r="E416" s="7" t="str">
        <f aca="false">IF(NOT(ISNUMBER(Macro_Series!$H416)),"",Macro_Series!$H416)</f>
        <v/>
      </c>
      <c r="F416" s="7" t="str">
        <f aca="false">IF(OR(NOT(ISNUMBER($D416)),NOT(ISNUMBER($E416)),$E416=0),"",$D416/$E416)</f>
        <v/>
      </c>
      <c r="G416" s="8" t="str">
        <f aca="false">IF(OR(NOT(ISNUMBER($B416)),NOT(ISNUMBER($B171)),$B171=0),"",$B416/$B171-1)</f>
        <v/>
      </c>
      <c r="H416" s="8" t="str">
        <f aca="false">IF(OR(NOT(ISNUMBER($D416)),NOT(ISNUMBER($D171)),$D171=0),"",$D416/$D171-1)</f>
        <v/>
      </c>
      <c r="I416" s="8" t="str">
        <f aca="false">IF(OR(NOT(ISNUMBER($G416)),NOT(ISNUMBER($H416))),"",$G416-$H416)</f>
        <v/>
      </c>
    </row>
    <row r="417" customFormat="false" ht="15" hidden="false" customHeight="false" outlineLevel="0" collapsed="false">
      <c r="A417" s="5" t="str">
        <f aca="false">IF(NOT(ISNUMBER(Macro_Series!$A417)),"",Macro_Series!$A417)</f>
        <v/>
      </c>
      <c r="B417" s="6" t="str">
        <f aca="false">IF(NOT(ISNUMBER(Macro_Series!$C417)),"",Macro_Series!$C417)</f>
        <v/>
      </c>
      <c r="C417" s="6" t="str">
        <f aca="false">IF(NOT(ISNUMBER(Macro_Series!$E417)),"",Macro_Series!$E417)</f>
        <v/>
      </c>
      <c r="D417" s="7" t="str">
        <f aca="false">IF(OR(NOT(ISNUMBER($B417)),NOT(ISNUMBER($C417)),$C417=0),"",$B417/$C417)</f>
        <v/>
      </c>
      <c r="E417" s="7" t="str">
        <f aca="false">IF(NOT(ISNUMBER(Macro_Series!$H417)),"",Macro_Series!$H417)</f>
        <v/>
      </c>
      <c r="F417" s="7" t="str">
        <f aca="false">IF(OR(NOT(ISNUMBER($D417)),NOT(ISNUMBER($E417)),$E417=0),"",$D417/$E417)</f>
        <v/>
      </c>
      <c r="G417" s="8" t="str">
        <f aca="false">IF(OR(NOT(ISNUMBER($B417)),NOT(ISNUMBER($B172)),$B172=0),"",$B417/$B172-1)</f>
        <v/>
      </c>
      <c r="H417" s="8" t="str">
        <f aca="false">IF(OR(NOT(ISNUMBER($D417)),NOT(ISNUMBER($D172)),$D172=0),"",$D417/$D172-1)</f>
        <v/>
      </c>
      <c r="I417" s="8" t="str">
        <f aca="false">IF(OR(NOT(ISNUMBER($G417)),NOT(ISNUMBER($H417))),"",$G417-$H417)</f>
        <v/>
      </c>
    </row>
    <row r="418" customFormat="false" ht="15" hidden="false" customHeight="false" outlineLevel="0" collapsed="false">
      <c r="A418" s="5" t="str">
        <f aca="false">IF(NOT(ISNUMBER(Macro_Series!$A418)),"",Macro_Series!$A418)</f>
        <v/>
      </c>
      <c r="B418" s="6" t="str">
        <f aca="false">IF(NOT(ISNUMBER(Macro_Series!$C418)),"",Macro_Series!$C418)</f>
        <v/>
      </c>
      <c r="C418" s="6" t="str">
        <f aca="false">IF(NOT(ISNUMBER(Macro_Series!$E418)),"",Macro_Series!$E418)</f>
        <v/>
      </c>
      <c r="D418" s="7" t="str">
        <f aca="false">IF(OR(NOT(ISNUMBER($B418)),NOT(ISNUMBER($C418)),$C418=0),"",$B418/$C418)</f>
        <v/>
      </c>
      <c r="E418" s="7" t="str">
        <f aca="false">IF(NOT(ISNUMBER(Macro_Series!$H418)),"",Macro_Series!$H418)</f>
        <v/>
      </c>
      <c r="F418" s="7" t="str">
        <f aca="false">IF(OR(NOT(ISNUMBER($D418)),NOT(ISNUMBER($E418)),$E418=0),"",$D418/$E418)</f>
        <v/>
      </c>
      <c r="G418" s="8" t="str">
        <f aca="false">IF(OR(NOT(ISNUMBER($B418)),NOT(ISNUMBER($B173)),$B173=0),"",$B418/$B173-1)</f>
        <v/>
      </c>
      <c r="H418" s="8" t="str">
        <f aca="false">IF(OR(NOT(ISNUMBER($D418)),NOT(ISNUMBER($D173)),$D173=0),"",$D418/$D173-1)</f>
        <v/>
      </c>
      <c r="I418" s="8" t="str">
        <f aca="false">IF(OR(NOT(ISNUMBER($G418)),NOT(ISNUMBER($H418))),"",$G418-$H418)</f>
        <v/>
      </c>
    </row>
    <row r="419" customFormat="false" ht="15" hidden="false" customHeight="false" outlineLevel="0" collapsed="false">
      <c r="A419" s="5" t="str">
        <f aca="false">IF(NOT(ISNUMBER(Macro_Series!$A419)),"",Macro_Series!$A419)</f>
        <v/>
      </c>
      <c r="B419" s="6" t="str">
        <f aca="false">IF(NOT(ISNUMBER(Macro_Series!$C419)),"",Macro_Series!$C419)</f>
        <v/>
      </c>
      <c r="C419" s="6" t="str">
        <f aca="false">IF(NOT(ISNUMBER(Macro_Series!$E419)),"",Macro_Series!$E419)</f>
        <v/>
      </c>
      <c r="D419" s="7" t="str">
        <f aca="false">IF(OR(NOT(ISNUMBER($B419)),NOT(ISNUMBER($C419)),$C419=0),"",$B419/$C419)</f>
        <v/>
      </c>
      <c r="E419" s="7" t="str">
        <f aca="false">IF(NOT(ISNUMBER(Macro_Series!$H419)),"",Macro_Series!$H419)</f>
        <v/>
      </c>
      <c r="F419" s="7" t="str">
        <f aca="false">IF(OR(NOT(ISNUMBER($D419)),NOT(ISNUMBER($E419)),$E419=0),"",$D419/$E419)</f>
        <v/>
      </c>
      <c r="G419" s="8" t="str">
        <f aca="false">IF(OR(NOT(ISNUMBER($B419)),NOT(ISNUMBER($B174)),$B174=0),"",$B419/$B174-1)</f>
        <v/>
      </c>
      <c r="H419" s="8" t="str">
        <f aca="false">IF(OR(NOT(ISNUMBER($D419)),NOT(ISNUMBER($D174)),$D174=0),"",$D419/$D174-1)</f>
        <v/>
      </c>
      <c r="I419" s="8" t="str">
        <f aca="false">IF(OR(NOT(ISNUMBER($G419)),NOT(ISNUMBER($H419))),"",$G419-$H419)</f>
        <v/>
      </c>
    </row>
    <row r="420" customFormat="false" ht="15" hidden="false" customHeight="false" outlineLevel="0" collapsed="false">
      <c r="A420" s="5" t="str">
        <f aca="false">IF(NOT(ISNUMBER(Macro_Series!$A420)),"",Macro_Series!$A420)</f>
        <v/>
      </c>
      <c r="B420" s="6" t="str">
        <f aca="false">IF(NOT(ISNUMBER(Macro_Series!$C420)),"",Macro_Series!$C420)</f>
        <v/>
      </c>
      <c r="C420" s="6" t="str">
        <f aca="false">IF(NOT(ISNUMBER(Macro_Series!$E420)),"",Macro_Series!$E420)</f>
        <v/>
      </c>
      <c r="D420" s="7" t="str">
        <f aca="false">IF(OR(NOT(ISNUMBER($B420)),NOT(ISNUMBER($C420)),$C420=0),"",$B420/$C420)</f>
        <v/>
      </c>
      <c r="E420" s="7" t="str">
        <f aca="false">IF(NOT(ISNUMBER(Macro_Series!$H420)),"",Macro_Series!$H420)</f>
        <v/>
      </c>
      <c r="F420" s="7" t="str">
        <f aca="false">IF(OR(NOT(ISNUMBER($D420)),NOT(ISNUMBER($E420)),$E420=0),"",$D420/$E420)</f>
        <v/>
      </c>
      <c r="G420" s="8" t="str">
        <f aca="false">IF(OR(NOT(ISNUMBER($B420)),NOT(ISNUMBER($B175)),$B175=0),"",$B420/$B175-1)</f>
        <v/>
      </c>
      <c r="H420" s="8" t="str">
        <f aca="false">IF(OR(NOT(ISNUMBER($D420)),NOT(ISNUMBER($D175)),$D175=0),"",$D420/$D175-1)</f>
        <v/>
      </c>
      <c r="I420" s="8" t="str">
        <f aca="false">IF(OR(NOT(ISNUMBER($G420)),NOT(ISNUMBER($H420))),"",$G420-$H420)</f>
        <v/>
      </c>
    </row>
    <row r="421" customFormat="false" ht="15" hidden="false" customHeight="false" outlineLevel="0" collapsed="false">
      <c r="A421" s="5" t="str">
        <f aca="false">IF(NOT(ISNUMBER(Macro_Series!$A421)),"",Macro_Series!$A421)</f>
        <v/>
      </c>
      <c r="B421" s="6" t="str">
        <f aca="false">IF(NOT(ISNUMBER(Macro_Series!$C421)),"",Macro_Series!$C421)</f>
        <v/>
      </c>
      <c r="C421" s="6" t="str">
        <f aca="false">IF(NOT(ISNUMBER(Macro_Series!$E421)),"",Macro_Series!$E421)</f>
        <v/>
      </c>
      <c r="D421" s="7" t="str">
        <f aca="false">IF(OR(NOT(ISNUMBER($B421)),NOT(ISNUMBER($C421)),$C421=0),"",$B421/$C421)</f>
        <v/>
      </c>
      <c r="E421" s="7" t="str">
        <f aca="false">IF(NOT(ISNUMBER(Macro_Series!$H421)),"",Macro_Series!$H421)</f>
        <v/>
      </c>
      <c r="F421" s="7" t="str">
        <f aca="false">IF(OR(NOT(ISNUMBER($D421)),NOT(ISNUMBER($E421)),$E421=0),"",$D421/$E421)</f>
        <v/>
      </c>
      <c r="G421" s="8" t="str">
        <f aca="false">IF(OR(NOT(ISNUMBER($B421)),NOT(ISNUMBER($B176)),$B176=0),"",$B421/$B176-1)</f>
        <v/>
      </c>
      <c r="H421" s="8" t="str">
        <f aca="false">IF(OR(NOT(ISNUMBER($D421)),NOT(ISNUMBER($D176)),$D176=0),"",$D421/$D176-1)</f>
        <v/>
      </c>
      <c r="I421" s="8" t="str">
        <f aca="false">IF(OR(NOT(ISNUMBER($G421)),NOT(ISNUMBER($H421))),"",$G421-$H421)</f>
        <v/>
      </c>
    </row>
    <row r="422" customFormat="false" ht="15" hidden="false" customHeight="false" outlineLevel="0" collapsed="false">
      <c r="A422" s="5" t="str">
        <f aca="false">IF(NOT(ISNUMBER(Macro_Series!$A422)),"",Macro_Series!$A422)</f>
        <v/>
      </c>
      <c r="B422" s="6" t="str">
        <f aca="false">IF(NOT(ISNUMBER(Macro_Series!$C422)),"",Macro_Series!$C422)</f>
        <v/>
      </c>
      <c r="C422" s="6" t="str">
        <f aca="false">IF(NOT(ISNUMBER(Macro_Series!$E422)),"",Macro_Series!$E422)</f>
        <v/>
      </c>
      <c r="D422" s="7" t="str">
        <f aca="false">IF(OR(NOT(ISNUMBER($B422)),NOT(ISNUMBER($C422)),$C422=0),"",$B422/$C422)</f>
        <v/>
      </c>
      <c r="E422" s="7" t="str">
        <f aca="false">IF(NOT(ISNUMBER(Macro_Series!$H422)),"",Macro_Series!$H422)</f>
        <v/>
      </c>
      <c r="F422" s="7" t="str">
        <f aca="false">IF(OR(NOT(ISNUMBER($D422)),NOT(ISNUMBER($E422)),$E422=0),"",$D422/$E422)</f>
        <v/>
      </c>
      <c r="G422" s="8" t="str">
        <f aca="false">IF(OR(NOT(ISNUMBER($B422)),NOT(ISNUMBER($B177)),$B177=0),"",$B422/$B177-1)</f>
        <v/>
      </c>
      <c r="H422" s="8" t="str">
        <f aca="false">IF(OR(NOT(ISNUMBER($D422)),NOT(ISNUMBER($D177)),$D177=0),"",$D422/$D177-1)</f>
        <v/>
      </c>
      <c r="I422" s="8" t="str">
        <f aca="false">IF(OR(NOT(ISNUMBER($G422)),NOT(ISNUMBER($H422))),"",$G422-$H422)</f>
        <v/>
      </c>
    </row>
    <row r="423" customFormat="false" ht="15" hidden="false" customHeight="false" outlineLevel="0" collapsed="false">
      <c r="A423" s="5" t="str">
        <f aca="false">IF(NOT(ISNUMBER(Macro_Series!$A423)),"",Macro_Series!$A423)</f>
        <v/>
      </c>
      <c r="B423" s="6" t="str">
        <f aca="false">IF(NOT(ISNUMBER(Macro_Series!$C423)),"",Macro_Series!$C423)</f>
        <v/>
      </c>
      <c r="C423" s="6" t="str">
        <f aca="false">IF(NOT(ISNUMBER(Macro_Series!$E423)),"",Macro_Series!$E423)</f>
        <v/>
      </c>
      <c r="D423" s="7" t="str">
        <f aca="false">IF(OR(NOT(ISNUMBER($B423)),NOT(ISNUMBER($C423)),$C423=0),"",$B423/$C423)</f>
        <v/>
      </c>
      <c r="E423" s="7" t="str">
        <f aca="false">IF(NOT(ISNUMBER(Macro_Series!$H423)),"",Macro_Series!$H423)</f>
        <v/>
      </c>
      <c r="F423" s="7" t="str">
        <f aca="false">IF(OR(NOT(ISNUMBER($D423)),NOT(ISNUMBER($E423)),$E423=0),"",$D423/$E423)</f>
        <v/>
      </c>
      <c r="G423" s="8" t="str">
        <f aca="false">IF(OR(NOT(ISNUMBER($B423)),NOT(ISNUMBER($B178)),$B178=0),"",$B423/$B178-1)</f>
        <v/>
      </c>
      <c r="H423" s="8" t="str">
        <f aca="false">IF(OR(NOT(ISNUMBER($D423)),NOT(ISNUMBER($D178)),$D178=0),"",$D423/$D178-1)</f>
        <v/>
      </c>
      <c r="I423" s="8" t="str">
        <f aca="false">IF(OR(NOT(ISNUMBER($G423)),NOT(ISNUMBER($H423))),"",$G423-$H423)</f>
        <v/>
      </c>
    </row>
    <row r="424" customFormat="false" ht="15" hidden="false" customHeight="false" outlineLevel="0" collapsed="false">
      <c r="A424" s="5" t="str">
        <f aca="false">IF(NOT(ISNUMBER(Macro_Series!$A424)),"",Macro_Series!$A424)</f>
        <v/>
      </c>
      <c r="B424" s="6" t="str">
        <f aca="false">IF(NOT(ISNUMBER(Macro_Series!$C424)),"",Macro_Series!$C424)</f>
        <v/>
      </c>
      <c r="C424" s="6" t="str">
        <f aca="false">IF(NOT(ISNUMBER(Macro_Series!$E424)),"",Macro_Series!$E424)</f>
        <v/>
      </c>
      <c r="D424" s="7" t="str">
        <f aca="false">IF(OR(NOT(ISNUMBER($B424)),NOT(ISNUMBER($C424)),$C424=0),"",$B424/$C424)</f>
        <v/>
      </c>
      <c r="E424" s="7" t="str">
        <f aca="false">IF(NOT(ISNUMBER(Macro_Series!$H424)),"",Macro_Series!$H424)</f>
        <v/>
      </c>
      <c r="F424" s="7" t="str">
        <f aca="false">IF(OR(NOT(ISNUMBER($D424)),NOT(ISNUMBER($E424)),$E424=0),"",$D424/$E424)</f>
        <v/>
      </c>
      <c r="G424" s="8" t="str">
        <f aca="false">IF(OR(NOT(ISNUMBER($B424)),NOT(ISNUMBER($B179)),$B179=0),"",$B424/$B179-1)</f>
        <v/>
      </c>
      <c r="H424" s="8" t="str">
        <f aca="false">IF(OR(NOT(ISNUMBER($D424)),NOT(ISNUMBER($D179)),$D179=0),"",$D424/$D179-1)</f>
        <v/>
      </c>
      <c r="I424" s="8" t="str">
        <f aca="false">IF(OR(NOT(ISNUMBER($G424)),NOT(ISNUMBER($H424))),"",$G424-$H424)</f>
        <v/>
      </c>
    </row>
    <row r="425" customFormat="false" ht="15" hidden="false" customHeight="false" outlineLevel="0" collapsed="false">
      <c r="A425" s="5" t="str">
        <f aca="false">IF(NOT(ISNUMBER(Macro_Series!$A425)),"",Macro_Series!$A425)</f>
        <v/>
      </c>
      <c r="B425" s="6" t="str">
        <f aca="false">IF(NOT(ISNUMBER(Macro_Series!$C425)),"",Macro_Series!$C425)</f>
        <v/>
      </c>
      <c r="C425" s="6" t="str">
        <f aca="false">IF(NOT(ISNUMBER(Macro_Series!$E425)),"",Macro_Series!$E425)</f>
        <v/>
      </c>
      <c r="D425" s="7" t="str">
        <f aca="false">IF(OR(NOT(ISNUMBER($B425)),NOT(ISNUMBER($C425)),$C425=0),"",$B425/$C425)</f>
        <v/>
      </c>
      <c r="E425" s="7" t="str">
        <f aca="false">IF(NOT(ISNUMBER(Macro_Series!$H425)),"",Macro_Series!$H425)</f>
        <v/>
      </c>
      <c r="F425" s="7" t="str">
        <f aca="false">IF(OR(NOT(ISNUMBER($D425)),NOT(ISNUMBER($E425)),$E425=0),"",$D425/$E425)</f>
        <v/>
      </c>
      <c r="G425" s="8" t="str">
        <f aca="false">IF(OR(NOT(ISNUMBER($B425)),NOT(ISNUMBER($B180)),$B180=0),"",$B425/$B180-1)</f>
        <v/>
      </c>
      <c r="H425" s="8" t="str">
        <f aca="false">IF(OR(NOT(ISNUMBER($D425)),NOT(ISNUMBER($D180)),$D180=0),"",$D425/$D180-1)</f>
        <v/>
      </c>
      <c r="I425" s="8" t="str">
        <f aca="false">IF(OR(NOT(ISNUMBER($G425)),NOT(ISNUMBER($H425))),"",$G425-$H425)</f>
        <v/>
      </c>
    </row>
    <row r="426" customFormat="false" ht="15" hidden="false" customHeight="false" outlineLevel="0" collapsed="false">
      <c r="A426" s="5" t="str">
        <f aca="false">IF(NOT(ISNUMBER(Macro_Series!$A426)),"",Macro_Series!$A426)</f>
        <v/>
      </c>
      <c r="B426" s="6" t="str">
        <f aca="false">IF(NOT(ISNUMBER(Macro_Series!$C426)),"",Macro_Series!$C426)</f>
        <v/>
      </c>
      <c r="C426" s="6" t="str">
        <f aca="false">IF(NOT(ISNUMBER(Macro_Series!$E426)),"",Macro_Series!$E426)</f>
        <v/>
      </c>
      <c r="D426" s="7" t="str">
        <f aca="false">IF(OR(NOT(ISNUMBER($B426)),NOT(ISNUMBER($C426)),$C426=0),"",$B426/$C426)</f>
        <v/>
      </c>
      <c r="E426" s="7" t="str">
        <f aca="false">IF(NOT(ISNUMBER(Macro_Series!$H426)),"",Macro_Series!$H426)</f>
        <v/>
      </c>
      <c r="F426" s="7" t="str">
        <f aca="false">IF(OR(NOT(ISNUMBER($D426)),NOT(ISNUMBER($E426)),$E426=0),"",$D426/$E426)</f>
        <v/>
      </c>
      <c r="G426" s="8" t="str">
        <f aca="false">IF(OR(NOT(ISNUMBER($B426)),NOT(ISNUMBER($B181)),$B181=0),"",$B426/$B181-1)</f>
        <v/>
      </c>
      <c r="H426" s="8" t="str">
        <f aca="false">IF(OR(NOT(ISNUMBER($D426)),NOT(ISNUMBER($D181)),$D181=0),"",$D426/$D181-1)</f>
        <v/>
      </c>
      <c r="I426" s="8" t="str">
        <f aca="false">IF(OR(NOT(ISNUMBER($G426)),NOT(ISNUMBER($H426))),"",$G426-$H426)</f>
        <v/>
      </c>
    </row>
    <row r="427" customFormat="false" ht="15" hidden="false" customHeight="false" outlineLevel="0" collapsed="false">
      <c r="A427" s="5" t="str">
        <f aca="false">IF(NOT(ISNUMBER(Macro_Series!$A427)),"",Macro_Series!$A427)</f>
        <v/>
      </c>
      <c r="B427" s="6" t="str">
        <f aca="false">IF(NOT(ISNUMBER(Macro_Series!$C427)),"",Macro_Series!$C427)</f>
        <v/>
      </c>
      <c r="C427" s="6" t="str">
        <f aca="false">IF(NOT(ISNUMBER(Macro_Series!$E427)),"",Macro_Series!$E427)</f>
        <v/>
      </c>
      <c r="D427" s="7" t="str">
        <f aca="false">IF(OR(NOT(ISNUMBER($B427)),NOT(ISNUMBER($C427)),$C427=0),"",$B427/$C427)</f>
        <v/>
      </c>
      <c r="E427" s="7" t="str">
        <f aca="false">IF(NOT(ISNUMBER(Macro_Series!$H427)),"",Macro_Series!$H427)</f>
        <v/>
      </c>
      <c r="F427" s="7" t="str">
        <f aca="false">IF(OR(NOT(ISNUMBER($D427)),NOT(ISNUMBER($E427)),$E427=0),"",$D427/$E427)</f>
        <v/>
      </c>
      <c r="G427" s="8" t="str">
        <f aca="false">IF(OR(NOT(ISNUMBER($B427)),NOT(ISNUMBER($B182)),$B182=0),"",$B427/$B182-1)</f>
        <v/>
      </c>
      <c r="H427" s="8" t="str">
        <f aca="false">IF(OR(NOT(ISNUMBER($D427)),NOT(ISNUMBER($D182)),$D182=0),"",$D427/$D182-1)</f>
        <v/>
      </c>
      <c r="I427" s="8" t="str">
        <f aca="false">IF(OR(NOT(ISNUMBER($G427)),NOT(ISNUMBER($H427))),"",$G427-$H427)</f>
        <v/>
      </c>
    </row>
    <row r="428" customFormat="false" ht="15" hidden="false" customHeight="false" outlineLevel="0" collapsed="false">
      <c r="A428" s="5" t="str">
        <f aca="false">IF(NOT(ISNUMBER(Macro_Series!$A428)),"",Macro_Series!$A428)</f>
        <v/>
      </c>
      <c r="B428" s="6" t="str">
        <f aca="false">IF(NOT(ISNUMBER(Macro_Series!$C428)),"",Macro_Series!$C428)</f>
        <v/>
      </c>
      <c r="C428" s="6" t="str">
        <f aca="false">IF(NOT(ISNUMBER(Macro_Series!$E428)),"",Macro_Series!$E428)</f>
        <v/>
      </c>
      <c r="D428" s="7" t="str">
        <f aca="false">IF(OR(NOT(ISNUMBER($B428)),NOT(ISNUMBER($C428)),$C428=0),"",$B428/$C428)</f>
        <v/>
      </c>
      <c r="E428" s="7" t="str">
        <f aca="false">IF(NOT(ISNUMBER(Macro_Series!$H428)),"",Macro_Series!$H428)</f>
        <v/>
      </c>
      <c r="F428" s="7" t="str">
        <f aca="false">IF(OR(NOT(ISNUMBER($D428)),NOT(ISNUMBER($E428)),$E428=0),"",$D428/$E428)</f>
        <v/>
      </c>
      <c r="G428" s="8" t="str">
        <f aca="false">IF(OR(NOT(ISNUMBER($B428)),NOT(ISNUMBER($B183)),$B183=0),"",$B428/$B183-1)</f>
        <v/>
      </c>
      <c r="H428" s="8" t="str">
        <f aca="false">IF(OR(NOT(ISNUMBER($D428)),NOT(ISNUMBER($D183)),$D183=0),"",$D428/$D183-1)</f>
        <v/>
      </c>
      <c r="I428" s="8" t="str">
        <f aca="false">IF(OR(NOT(ISNUMBER($G428)),NOT(ISNUMBER($H428))),"",$G428-$H428)</f>
        <v/>
      </c>
    </row>
    <row r="429" customFormat="false" ht="15" hidden="false" customHeight="false" outlineLevel="0" collapsed="false">
      <c r="A429" s="5" t="str">
        <f aca="false">IF(NOT(ISNUMBER(Macro_Series!$A429)),"",Macro_Series!$A429)</f>
        <v/>
      </c>
      <c r="B429" s="6" t="str">
        <f aca="false">IF(NOT(ISNUMBER(Macro_Series!$C429)),"",Macro_Series!$C429)</f>
        <v/>
      </c>
      <c r="C429" s="6" t="str">
        <f aca="false">IF(NOT(ISNUMBER(Macro_Series!$E429)),"",Macro_Series!$E429)</f>
        <v/>
      </c>
      <c r="D429" s="7" t="str">
        <f aca="false">IF(OR(NOT(ISNUMBER($B429)),NOT(ISNUMBER($C429)),$C429=0),"",$B429/$C429)</f>
        <v/>
      </c>
      <c r="E429" s="7" t="str">
        <f aca="false">IF(NOT(ISNUMBER(Macro_Series!$H429)),"",Macro_Series!$H429)</f>
        <v/>
      </c>
      <c r="F429" s="7" t="str">
        <f aca="false">IF(OR(NOT(ISNUMBER($D429)),NOT(ISNUMBER($E429)),$E429=0),"",$D429/$E429)</f>
        <v/>
      </c>
      <c r="G429" s="8" t="str">
        <f aca="false">IF(OR(NOT(ISNUMBER($B429)),NOT(ISNUMBER($B184)),$B184=0),"",$B429/$B184-1)</f>
        <v/>
      </c>
      <c r="H429" s="8" t="str">
        <f aca="false">IF(OR(NOT(ISNUMBER($D429)),NOT(ISNUMBER($D184)),$D184=0),"",$D429/$D184-1)</f>
        <v/>
      </c>
      <c r="I429" s="8" t="str">
        <f aca="false">IF(OR(NOT(ISNUMBER($G429)),NOT(ISNUMBER($H429))),"",$G429-$H429)</f>
        <v/>
      </c>
    </row>
    <row r="430" customFormat="false" ht="15" hidden="false" customHeight="false" outlineLevel="0" collapsed="false">
      <c r="A430" s="5" t="str">
        <f aca="false">IF(NOT(ISNUMBER(Macro_Series!$A430)),"",Macro_Series!$A430)</f>
        <v/>
      </c>
      <c r="B430" s="6" t="str">
        <f aca="false">IF(NOT(ISNUMBER(Macro_Series!$C430)),"",Macro_Series!$C430)</f>
        <v/>
      </c>
      <c r="C430" s="6" t="str">
        <f aca="false">IF(NOT(ISNUMBER(Macro_Series!$E430)),"",Macro_Series!$E430)</f>
        <v/>
      </c>
      <c r="D430" s="7" t="str">
        <f aca="false">IF(OR(NOT(ISNUMBER($B430)),NOT(ISNUMBER($C430)),$C430=0),"",$B430/$C430)</f>
        <v/>
      </c>
      <c r="E430" s="7" t="str">
        <f aca="false">IF(NOT(ISNUMBER(Macro_Series!$H430)),"",Macro_Series!$H430)</f>
        <v/>
      </c>
      <c r="F430" s="7" t="str">
        <f aca="false">IF(OR(NOT(ISNUMBER($D430)),NOT(ISNUMBER($E430)),$E430=0),"",$D430/$E430)</f>
        <v/>
      </c>
      <c r="G430" s="8" t="str">
        <f aca="false">IF(OR(NOT(ISNUMBER($B430)),NOT(ISNUMBER($B185)),$B185=0),"",$B430/$B185-1)</f>
        <v/>
      </c>
      <c r="H430" s="8" t="str">
        <f aca="false">IF(OR(NOT(ISNUMBER($D430)),NOT(ISNUMBER($D185)),$D185=0),"",$D430/$D185-1)</f>
        <v/>
      </c>
      <c r="I430" s="8" t="str">
        <f aca="false">IF(OR(NOT(ISNUMBER($G430)),NOT(ISNUMBER($H430))),"",$G430-$H430)</f>
        <v/>
      </c>
    </row>
    <row r="431" customFormat="false" ht="15" hidden="false" customHeight="false" outlineLevel="0" collapsed="false">
      <c r="A431" s="5" t="str">
        <f aca="false">IF(NOT(ISNUMBER(Macro_Series!$A431)),"",Macro_Series!$A431)</f>
        <v/>
      </c>
      <c r="B431" s="6" t="str">
        <f aca="false">IF(NOT(ISNUMBER(Macro_Series!$C431)),"",Macro_Series!$C431)</f>
        <v/>
      </c>
      <c r="C431" s="6" t="str">
        <f aca="false">IF(NOT(ISNUMBER(Macro_Series!$E431)),"",Macro_Series!$E431)</f>
        <v/>
      </c>
      <c r="D431" s="7" t="str">
        <f aca="false">IF(OR(NOT(ISNUMBER($B431)),NOT(ISNUMBER($C431)),$C431=0),"",$B431/$C431)</f>
        <v/>
      </c>
      <c r="E431" s="7" t="str">
        <f aca="false">IF(NOT(ISNUMBER(Macro_Series!$H431)),"",Macro_Series!$H431)</f>
        <v/>
      </c>
      <c r="F431" s="7" t="str">
        <f aca="false">IF(OR(NOT(ISNUMBER($D431)),NOT(ISNUMBER($E431)),$E431=0),"",$D431/$E431)</f>
        <v/>
      </c>
      <c r="G431" s="8" t="str">
        <f aca="false">IF(OR(NOT(ISNUMBER($B431)),NOT(ISNUMBER($B186)),$B186=0),"",$B431/$B186-1)</f>
        <v/>
      </c>
      <c r="H431" s="8" t="str">
        <f aca="false">IF(OR(NOT(ISNUMBER($D431)),NOT(ISNUMBER($D186)),$D186=0),"",$D431/$D186-1)</f>
        <v/>
      </c>
      <c r="I431" s="8" t="str">
        <f aca="false">IF(OR(NOT(ISNUMBER($G431)),NOT(ISNUMBER($H431))),"",$G431-$H431)</f>
        <v/>
      </c>
    </row>
    <row r="432" customFormat="false" ht="15" hidden="false" customHeight="false" outlineLevel="0" collapsed="false">
      <c r="A432" s="5" t="str">
        <f aca="false">IF(NOT(ISNUMBER(Macro_Series!$A432)),"",Macro_Series!$A432)</f>
        <v/>
      </c>
      <c r="B432" s="6" t="str">
        <f aca="false">IF(NOT(ISNUMBER(Macro_Series!$C432)),"",Macro_Series!$C432)</f>
        <v/>
      </c>
      <c r="C432" s="6" t="str">
        <f aca="false">IF(NOT(ISNUMBER(Macro_Series!$E432)),"",Macro_Series!$E432)</f>
        <v/>
      </c>
      <c r="D432" s="7" t="str">
        <f aca="false">IF(OR(NOT(ISNUMBER($B432)),NOT(ISNUMBER($C432)),$C432=0),"",$B432/$C432)</f>
        <v/>
      </c>
      <c r="E432" s="7" t="str">
        <f aca="false">IF(NOT(ISNUMBER(Macro_Series!$H432)),"",Macro_Series!$H432)</f>
        <v/>
      </c>
      <c r="F432" s="7" t="str">
        <f aca="false">IF(OR(NOT(ISNUMBER($D432)),NOT(ISNUMBER($E432)),$E432=0),"",$D432/$E432)</f>
        <v/>
      </c>
      <c r="G432" s="8" t="str">
        <f aca="false">IF(OR(NOT(ISNUMBER($B432)),NOT(ISNUMBER($B187)),$B187=0),"",$B432/$B187-1)</f>
        <v/>
      </c>
      <c r="H432" s="8" t="str">
        <f aca="false">IF(OR(NOT(ISNUMBER($D432)),NOT(ISNUMBER($D187)),$D187=0),"",$D432/$D187-1)</f>
        <v/>
      </c>
      <c r="I432" s="8" t="str">
        <f aca="false">IF(OR(NOT(ISNUMBER($G432)),NOT(ISNUMBER($H432))),"",$G432-$H432)</f>
        <v/>
      </c>
    </row>
    <row r="433" customFormat="false" ht="15" hidden="false" customHeight="false" outlineLevel="0" collapsed="false">
      <c r="A433" s="5" t="str">
        <f aca="false">IF(NOT(ISNUMBER(Macro_Series!$A433)),"",Macro_Series!$A433)</f>
        <v/>
      </c>
      <c r="B433" s="6" t="str">
        <f aca="false">IF(NOT(ISNUMBER(Macro_Series!$C433)),"",Macro_Series!$C433)</f>
        <v/>
      </c>
      <c r="C433" s="6" t="str">
        <f aca="false">IF(NOT(ISNUMBER(Macro_Series!$E433)),"",Macro_Series!$E433)</f>
        <v/>
      </c>
      <c r="D433" s="7" t="str">
        <f aca="false">IF(OR(NOT(ISNUMBER($B433)),NOT(ISNUMBER($C433)),$C433=0),"",$B433/$C433)</f>
        <v/>
      </c>
      <c r="E433" s="7" t="str">
        <f aca="false">IF(NOT(ISNUMBER(Macro_Series!$H433)),"",Macro_Series!$H433)</f>
        <v/>
      </c>
      <c r="F433" s="7" t="str">
        <f aca="false">IF(OR(NOT(ISNUMBER($D433)),NOT(ISNUMBER($E433)),$E433=0),"",$D433/$E433)</f>
        <v/>
      </c>
      <c r="G433" s="8" t="str">
        <f aca="false">IF(OR(NOT(ISNUMBER($B433)),NOT(ISNUMBER($B188)),$B188=0),"",$B433/$B188-1)</f>
        <v/>
      </c>
      <c r="H433" s="8" t="str">
        <f aca="false">IF(OR(NOT(ISNUMBER($D433)),NOT(ISNUMBER($D188)),$D188=0),"",$D433/$D188-1)</f>
        <v/>
      </c>
      <c r="I433" s="8" t="str">
        <f aca="false">IF(OR(NOT(ISNUMBER($G433)),NOT(ISNUMBER($H433))),"",$G433-$H433)</f>
        <v/>
      </c>
    </row>
    <row r="434" customFormat="false" ht="15" hidden="false" customHeight="false" outlineLevel="0" collapsed="false">
      <c r="A434" s="5" t="str">
        <f aca="false">IF(NOT(ISNUMBER(Macro_Series!$A434)),"",Macro_Series!$A434)</f>
        <v/>
      </c>
      <c r="B434" s="6" t="str">
        <f aca="false">IF(NOT(ISNUMBER(Macro_Series!$C434)),"",Macro_Series!$C434)</f>
        <v/>
      </c>
      <c r="C434" s="6" t="str">
        <f aca="false">IF(NOT(ISNUMBER(Macro_Series!$E434)),"",Macro_Series!$E434)</f>
        <v/>
      </c>
      <c r="D434" s="7" t="str">
        <f aca="false">IF(OR(NOT(ISNUMBER($B434)),NOT(ISNUMBER($C434)),$C434=0),"",$B434/$C434)</f>
        <v/>
      </c>
      <c r="E434" s="7" t="str">
        <f aca="false">IF(NOT(ISNUMBER(Macro_Series!$H434)),"",Macro_Series!$H434)</f>
        <v/>
      </c>
      <c r="F434" s="7" t="str">
        <f aca="false">IF(OR(NOT(ISNUMBER($D434)),NOT(ISNUMBER($E434)),$E434=0),"",$D434/$E434)</f>
        <v/>
      </c>
      <c r="G434" s="8" t="str">
        <f aca="false">IF(OR(NOT(ISNUMBER($B434)),NOT(ISNUMBER($B189)),$B189=0),"",$B434/$B189-1)</f>
        <v/>
      </c>
      <c r="H434" s="8" t="str">
        <f aca="false">IF(OR(NOT(ISNUMBER($D434)),NOT(ISNUMBER($D189)),$D189=0),"",$D434/$D189-1)</f>
        <v/>
      </c>
      <c r="I434" s="8" t="str">
        <f aca="false">IF(OR(NOT(ISNUMBER($G434)),NOT(ISNUMBER($H434))),"",$G434-$H434)</f>
        <v/>
      </c>
    </row>
    <row r="435" customFormat="false" ht="15" hidden="false" customHeight="false" outlineLevel="0" collapsed="false">
      <c r="A435" s="5" t="str">
        <f aca="false">IF(NOT(ISNUMBER(Macro_Series!$A435)),"",Macro_Series!$A435)</f>
        <v/>
      </c>
      <c r="B435" s="6" t="str">
        <f aca="false">IF(NOT(ISNUMBER(Macro_Series!$C435)),"",Macro_Series!$C435)</f>
        <v/>
      </c>
      <c r="C435" s="6" t="str">
        <f aca="false">IF(NOT(ISNUMBER(Macro_Series!$E435)),"",Macro_Series!$E435)</f>
        <v/>
      </c>
      <c r="D435" s="7" t="str">
        <f aca="false">IF(OR(NOT(ISNUMBER($B435)),NOT(ISNUMBER($C435)),$C435=0),"",$B435/$C435)</f>
        <v/>
      </c>
      <c r="E435" s="7" t="str">
        <f aca="false">IF(NOT(ISNUMBER(Macro_Series!$H435)),"",Macro_Series!$H435)</f>
        <v/>
      </c>
      <c r="F435" s="7" t="str">
        <f aca="false">IF(OR(NOT(ISNUMBER($D435)),NOT(ISNUMBER($E435)),$E435=0),"",$D435/$E435)</f>
        <v/>
      </c>
      <c r="G435" s="8" t="str">
        <f aca="false">IF(OR(NOT(ISNUMBER($B435)),NOT(ISNUMBER($B190)),$B190=0),"",$B435/$B190-1)</f>
        <v/>
      </c>
      <c r="H435" s="8" t="str">
        <f aca="false">IF(OR(NOT(ISNUMBER($D435)),NOT(ISNUMBER($D190)),$D190=0),"",$D435/$D190-1)</f>
        <v/>
      </c>
      <c r="I435" s="8" t="str">
        <f aca="false">IF(OR(NOT(ISNUMBER($G435)),NOT(ISNUMBER($H435))),"",$G435-$H435)</f>
        <v/>
      </c>
    </row>
    <row r="436" customFormat="false" ht="15" hidden="false" customHeight="false" outlineLevel="0" collapsed="false">
      <c r="A436" s="5" t="str">
        <f aca="false">IF(NOT(ISNUMBER(Macro_Series!$A436)),"",Macro_Series!$A436)</f>
        <v/>
      </c>
      <c r="B436" s="6" t="str">
        <f aca="false">IF(NOT(ISNUMBER(Macro_Series!$C436)),"",Macro_Series!$C436)</f>
        <v/>
      </c>
      <c r="C436" s="6" t="str">
        <f aca="false">IF(NOT(ISNUMBER(Macro_Series!$E436)),"",Macro_Series!$E436)</f>
        <v/>
      </c>
      <c r="D436" s="7" t="str">
        <f aca="false">IF(OR(NOT(ISNUMBER($B436)),NOT(ISNUMBER($C436)),$C436=0),"",$B436/$C436)</f>
        <v/>
      </c>
      <c r="E436" s="7" t="str">
        <f aca="false">IF(NOT(ISNUMBER(Macro_Series!$H436)),"",Macro_Series!$H436)</f>
        <v/>
      </c>
      <c r="F436" s="7" t="str">
        <f aca="false">IF(OR(NOT(ISNUMBER($D436)),NOT(ISNUMBER($E436)),$E436=0),"",$D436/$E436)</f>
        <v/>
      </c>
      <c r="G436" s="8" t="str">
        <f aca="false">IF(OR(NOT(ISNUMBER($B436)),NOT(ISNUMBER($B191)),$B191=0),"",$B436/$B191-1)</f>
        <v/>
      </c>
      <c r="H436" s="8" t="str">
        <f aca="false">IF(OR(NOT(ISNUMBER($D436)),NOT(ISNUMBER($D191)),$D191=0),"",$D436/$D191-1)</f>
        <v/>
      </c>
      <c r="I436" s="8" t="str">
        <f aca="false">IF(OR(NOT(ISNUMBER($G436)),NOT(ISNUMBER($H436))),"",$G436-$H436)</f>
        <v/>
      </c>
    </row>
    <row r="437" customFormat="false" ht="15" hidden="false" customHeight="false" outlineLevel="0" collapsed="false">
      <c r="A437" s="5" t="str">
        <f aca="false">IF(NOT(ISNUMBER(Macro_Series!$A437)),"",Macro_Series!$A437)</f>
        <v/>
      </c>
      <c r="B437" s="6" t="str">
        <f aca="false">IF(NOT(ISNUMBER(Macro_Series!$C437)),"",Macro_Series!$C437)</f>
        <v/>
      </c>
      <c r="C437" s="6" t="str">
        <f aca="false">IF(NOT(ISNUMBER(Macro_Series!$E437)),"",Macro_Series!$E437)</f>
        <v/>
      </c>
      <c r="D437" s="7" t="str">
        <f aca="false">IF(OR(NOT(ISNUMBER($B437)),NOT(ISNUMBER($C437)),$C437=0),"",$B437/$C437)</f>
        <v/>
      </c>
      <c r="E437" s="7" t="str">
        <f aca="false">IF(NOT(ISNUMBER(Macro_Series!$H437)),"",Macro_Series!$H437)</f>
        <v/>
      </c>
      <c r="F437" s="7" t="str">
        <f aca="false">IF(OR(NOT(ISNUMBER($D437)),NOT(ISNUMBER($E437)),$E437=0),"",$D437/$E437)</f>
        <v/>
      </c>
      <c r="G437" s="8" t="str">
        <f aca="false">IF(OR(NOT(ISNUMBER($B437)),NOT(ISNUMBER($B192)),$B192=0),"",$B437/$B192-1)</f>
        <v/>
      </c>
      <c r="H437" s="8" t="str">
        <f aca="false">IF(OR(NOT(ISNUMBER($D437)),NOT(ISNUMBER($D192)),$D192=0),"",$D437/$D192-1)</f>
        <v/>
      </c>
      <c r="I437" s="8" t="str">
        <f aca="false">IF(OR(NOT(ISNUMBER($G437)),NOT(ISNUMBER($H437))),"",$G437-$H437)</f>
        <v/>
      </c>
    </row>
    <row r="438" customFormat="false" ht="15" hidden="false" customHeight="false" outlineLevel="0" collapsed="false">
      <c r="A438" s="5" t="str">
        <f aca="false">IF(NOT(ISNUMBER(Macro_Series!$A438)),"",Macro_Series!$A438)</f>
        <v/>
      </c>
      <c r="B438" s="6" t="str">
        <f aca="false">IF(NOT(ISNUMBER(Macro_Series!$C438)),"",Macro_Series!$C438)</f>
        <v/>
      </c>
      <c r="C438" s="6" t="str">
        <f aca="false">IF(NOT(ISNUMBER(Macro_Series!$E438)),"",Macro_Series!$E438)</f>
        <v/>
      </c>
      <c r="D438" s="7" t="str">
        <f aca="false">IF(OR(NOT(ISNUMBER($B438)),NOT(ISNUMBER($C438)),$C438=0),"",$B438/$C438)</f>
        <v/>
      </c>
      <c r="E438" s="7" t="str">
        <f aca="false">IF(NOT(ISNUMBER(Macro_Series!$H438)),"",Macro_Series!$H438)</f>
        <v/>
      </c>
      <c r="F438" s="7" t="str">
        <f aca="false">IF(OR(NOT(ISNUMBER($D438)),NOT(ISNUMBER($E438)),$E438=0),"",$D438/$E438)</f>
        <v/>
      </c>
      <c r="G438" s="8" t="str">
        <f aca="false">IF(OR(NOT(ISNUMBER($B438)),NOT(ISNUMBER($B193)),$B193=0),"",$B438/$B193-1)</f>
        <v/>
      </c>
      <c r="H438" s="8" t="str">
        <f aca="false">IF(OR(NOT(ISNUMBER($D438)),NOT(ISNUMBER($D193)),$D193=0),"",$D438/$D193-1)</f>
        <v/>
      </c>
      <c r="I438" s="8" t="str">
        <f aca="false">IF(OR(NOT(ISNUMBER($G438)),NOT(ISNUMBER($H438))),"",$G438-$H438)</f>
        <v/>
      </c>
    </row>
    <row r="439" customFormat="false" ht="15" hidden="false" customHeight="false" outlineLevel="0" collapsed="false">
      <c r="A439" s="5" t="str">
        <f aca="false">IF(NOT(ISNUMBER(Macro_Series!$A439)),"",Macro_Series!$A439)</f>
        <v/>
      </c>
      <c r="B439" s="6" t="str">
        <f aca="false">IF(NOT(ISNUMBER(Macro_Series!$C439)),"",Macro_Series!$C439)</f>
        <v/>
      </c>
      <c r="C439" s="6" t="str">
        <f aca="false">IF(NOT(ISNUMBER(Macro_Series!$E439)),"",Macro_Series!$E439)</f>
        <v/>
      </c>
      <c r="D439" s="7" t="str">
        <f aca="false">IF(OR(NOT(ISNUMBER($B439)),NOT(ISNUMBER($C439)),$C439=0),"",$B439/$C439)</f>
        <v/>
      </c>
      <c r="E439" s="7" t="str">
        <f aca="false">IF(NOT(ISNUMBER(Macro_Series!$H439)),"",Macro_Series!$H439)</f>
        <v/>
      </c>
      <c r="F439" s="7" t="str">
        <f aca="false">IF(OR(NOT(ISNUMBER($D439)),NOT(ISNUMBER($E439)),$E439=0),"",$D439/$E439)</f>
        <v/>
      </c>
      <c r="G439" s="8" t="str">
        <f aca="false">IF(OR(NOT(ISNUMBER($B439)),NOT(ISNUMBER($B194)),$B194=0),"",$B439/$B194-1)</f>
        <v/>
      </c>
      <c r="H439" s="8" t="str">
        <f aca="false">IF(OR(NOT(ISNUMBER($D439)),NOT(ISNUMBER($D194)),$D194=0),"",$D439/$D194-1)</f>
        <v/>
      </c>
      <c r="I439" s="8" t="str">
        <f aca="false">IF(OR(NOT(ISNUMBER($G439)),NOT(ISNUMBER($H439))),"",$G439-$H439)</f>
        <v/>
      </c>
    </row>
    <row r="440" customFormat="false" ht="15" hidden="false" customHeight="false" outlineLevel="0" collapsed="false">
      <c r="A440" s="5" t="str">
        <f aca="false">IF(NOT(ISNUMBER(Macro_Series!$A440)),"",Macro_Series!$A440)</f>
        <v/>
      </c>
      <c r="B440" s="6" t="str">
        <f aca="false">IF(NOT(ISNUMBER(Macro_Series!$C440)),"",Macro_Series!$C440)</f>
        <v/>
      </c>
      <c r="C440" s="6" t="str">
        <f aca="false">IF(NOT(ISNUMBER(Macro_Series!$E440)),"",Macro_Series!$E440)</f>
        <v/>
      </c>
      <c r="D440" s="7" t="str">
        <f aca="false">IF(OR(NOT(ISNUMBER($B440)),NOT(ISNUMBER($C440)),$C440=0),"",$B440/$C440)</f>
        <v/>
      </c>
      <c r="E440" s="7" t="str">
        <f aca="false">IF(NOT(ISNUMBER(Macro_Series!$H440)),"",Macro_Series!$H440)</f>
        <v/>
      </c>
      <c r="F440" s="7" t="str">
        <f aca="false">IF(OR(NOT(ISNUMBER($D440)),NOT(ISNUMBER($E440)),$E440=0),"",$D440/$E440)</f>
        <v/>
      </c>
      <c r="G440" s="8" t="str">
        <f aca="false">IF(OR(NOT(ISNUMBER($B440)),NOT(ISNUMBER($B195)),$B195=0),"",$B440/$B195-1)</f>
        <v/>
      </c>
      <c r="H440" s="8" t="str">
        <f aca="false">IF(OR(NOT(ISNUMBER($D440)),NOT(ISNUMBER($D195)),$D195=0),"",$D440/$D195-1)</f>
        <v/>
      </c>
      <c r="I440" s="8" t="str">
        <f aca="false">IF(OR(NOT(ISNUMBER($G440)),NOT(ISNUMBER($H440))),"",$G440-$H440)</f>
        <v/>
      </c>
    </row>
    <row r="441" customFormat="false" ht="15" hidden="false" customHeight="false" outlineLevel="0" collapsed="false">
      <c r="A441" s="5" t="str">
        <f aca="false">IF(NOT(ISNUMBER(Macro_Series!$A441)),"",Macro_Series!$A441)</f>
        <v/>
      </c>
      <c r="B441" s="6" t="str">
        <f aca="false">IF(NOT(ISNUMBER(Macro_Series!$C441)),"",Macro_Series!$C441)</f>
        <v/>
      </c>
      <c r="C441" s="6" t="str">
        <f aca="false">IF(NOT(ISNUMBER(Macro_Series!$E441)),"",Macro_Series!$E441)</f>
        <v/>
      </c>
      <c r="D441" s="7" t="str">
        <f aca="false">IF(OR(NOT(ISNUMBER($B441)),NOT(ISNUMBER($C441)),$C441=0),"",$B441/$C441)</f>
        <v/>
      </c>
      <c r="E441" s="7" t="str">
        <f aca="false">IF(NOT(ISNUMBER(Macro_Series!$H441)),"",Macro_Series!$H441)</f>
        <v/>
      </c>
      <c r="F441" s="7" t="str">
        <f aca="false">IF(OR(NOT(ISNUMBER($D441)),NOT(ISNUMBER($E441)),$E441=0),"",$D441/$E441)</f>
        <v/>
      </c>
      <c r="G441" s="8" t="str">
        <f aca="false">IF(OR(NOT(ISNUMBER($B441)),NOT(ISNUMBER($B196)),$B196=0),"",$B441/$B196-1)</f>
        <v/>
      </c>
      <c r="H441" s="8" t="str">
        <f aca="false">IF(OR(NOT(ISNUMBER($D441)),NOT(ISNUMBER($D196)),$D196=0),"",$D441/$D196-1)</f>
        <v/>
      </c>
      <c r="I441" s="8" t="str">
        <f aca="false">IF(OR(NOT(ISNUMBER($G441)),NOT(ISNUMBER($H441))),"",$G441-$H441)</f>
        <v/>
      </c>
    </row>
    <row r="442" customFormat="false" ht="15" hidden="false" customHeight="false" outlineLevel="0" collapsed="false">
      <c r="A442" s="5" t="str">
        <f aca="false">IF(NOT(ISNUMBER(Macro_Series!$A442)),"",Macro_Series!$A442)</f>
        <v/>
      </c>
      <c r="B442" s="6" t="str">
        <f aca="false">IF(NOT(ISNUMBER(Macro_Series!$C442)),"",Macro_Series!$C442)</f>
        <v/>
      </c>
      <c r="C442" s="6" t="str">
        <f aca="false">IF(NOT(ISNUMBER(Macro_Series!$E442)),"",Macro_Series!$E442)</f>
        <v/>
      </c>
      <c r="D442" s="7" t="str">
        <f aca="false">IF(OR(NOT(ISNUMBER($B442)),NOT(ISNUMBER($C442)),$C442=0),"",$B442/$C442)</f>
        <v/>
      </c>
      <c r="E442" s="7" t="str">
        <f aca="false">IF(NOT(ISNUMBER(Macro_Series!$H442)),"",Macro_Series!$H442)</f>
        <v/>
      </c>
      <c r="F442" s="7" t="str">
        <f aca="false">IF(OR(NOT(ISNUMBER($D442)),NOT(ISNUMBER($E442)),$E442=0),"",$D442/$E442)</f>
        <v/>
      </c>
      <c r="G442" s="8" t="str">
        <f aca="false">IF(OR(NOT(ISNUMBER($B442)),NOT(ISNUMBER($B197)),$B197=0),"",$B442/$B197-1)</f>
        <v/>
      </c>
      <c r="H442" s="8" t="str">
        <f aca="false">IF(OR(NOT(ISNUMBER($D442)),NOT(ISNUMBER($D197)),$D197=0),"",$D442/$D197-1)</f>
        <v/>
      </c>
      <c r="I442" s="8" t="str">
        <f aca="false">IF(OR(NOT(ISNUMBER($G442)),NOT(ISNUMBER($H442))),"",$G442-$H442)</f>
        <v/>
      </c>
    </row>
    <row r="443" customFormat="false" ht="15" hidden="false" customHeight="false" outlineLevel="0" collapsed="false">
      <c r="A443" s="5" t="str">
        <f aca="false">IF(NOT(ISNUMBER(Macro_Series!$A443)),"",Macro_Series!$A443)</f>
        <v/>
      </c>
      <c r="B443" s="6" t="str">
        <f aca="false">IF(NOT(ISNUMBER(Macro_Series!$C443)),"",Macro_Series!$C443)</f>
        <v/>
      </c>
      <c r="C443" s="6" t="str">
        <f aca="false">IF(NOT(ISNUMBER(Macro_Series!$E443)),"",Macro_Series!$E443)</f>
        <v/>
      </c>
      <c r="D443" s="7" t="str">
        <f aca="false">IF(OR(NOT(ISNUMBER($B443)),NOT(ISNUMBER($C443)),$C443=0),"",$B443/$C443)</f>
        <v/>
      </c>
      <c r="E443" s="7" t="str">
        <f aca="false">IF(NOT(ISNUMBER(Macro_Series!$H443)),"",Macro_Series!$H443)</f>
        <v/>
      </c>
      <c r="F443" s="7" t="str">
        <f aca="false">IF(OR(NOT(ISNUMBER($D443)),NOT(ISNUMBER($E443)),$E443=0),"",$D443/$E443)</f>
        <v/>
      </c>
      <c r="G443" s="8" t="str">
        <f aca="false">IF(OR(NOT(ISNUMBER($B443)),NOT(ISNUMBER($B198)),$B198=0),"",$B443/$B198-1)</f>
        <v/>
      </c>
      <c r="H443" s="8" t="str">
        <f aca="false">IF(OR(NOT(ISNUMBER($D443)),NOT(ISNUMBER($D198)),$D198=0),"",$D443/$D198-1)</f>
        <v/>
      </c>
      <c r="I443" s="8" t="str">
        <f aca="false">IF(OR(NOT(ISNUMBER($G443)),NOT(ISNUMBER($H443))),"",$G443-$H443)</f>
        <v/>
      </c>
    </row>
    <row r="444" customFormat="false" ht="15" hidden="false" customHeight="false" outlineLevel="0" collapsed="false">
      <c r="A444" s="5" t="str">
        <f aca="false">IF(NOT(ISNUMBER(Macro_Series!$A444)),"",Macro_Series!$A444)</f>
        <v/>
      </c>
      <c r="B444" s="6" t="str">
        <f aca="false">IF(NOT(ISNUMBER(Macro_Series!$C444)),"",Macro_Series!$C444)</f>
        <v/>
      </c>
      <c r="C444" s="6" t="str">
        <f aca="false">IF(NOT(ISNUMBER(Macro_Series!$E444)),"",Macro_Series!$E444)</f>
        <v/>
      </c>
      <c r="D444" s="7" t="str">
        <f aca="false">IF(OR(NOT(ISNUMBER($B444)),NOT(ISNUMBER($C444)),$C444=0),"",$B444/$C444)</f>
        <v/>
      </c>
      <c r="E444" s="7" t="str">
        <f aca="false">IF(NOT(ISNUMBER(Macro_Series!$H444)),"",Macro_Series!$H444)</f>
        <v/>
      </c>
      <c r="F444" s="7" t="str">
        <f aca="false">IF(OR(NOT(ISNUMBER($D444)),NOT(ISNUMBER($E444)),$E444=0),"",$D444/$E444)</f>
        <v/>
      </c>
      <c r="G444" s="8" t="str">
        <f aca="false">IF(OR(NOT(ISNUMBER($B444)),NOT(ISNUMBER($B199)),$B199=0),"",$B444/$B199-1)</f>
        <v/>
      </c>
      <c r="H444" s="8" t="str">
        <f aca="false">IF(OR(NOT(ISNUMBER($D444)),NOT(ISNUMBER($D199)),$D199=0),"",$D444/$D199-1)</f>
        <v/>
      </c>
      <c r="I444" s="8" t="str">
        <f aca="false">IF(OR(NOT(ISNUMBER($G444)),NOT(ISNUMBER($H444))),"",$G444-$H444)</f>
        <v/>
      </c>
    </row>
    <row r="445" customFormat="false" ht="15" hidden="false" customHeight="false" outlineLevel="0" collapsed="false">
      <c r="A445" s="5" t="str">
        <f aca="false">IF(NOT(ISNUMBER(Macro_Series!$A445)),"",Macro_Series!$A445)</f>
        <v/>
      </c>
      <c r="B445" s="6" t="str">
        <f aca="false">IF(NOT(ISNUMBER(Macro_Series!$C445)),"",Macro_Series!$C445)</f>
        <v/>
      </c>
      <c r="C445" s="6" t="str">
        <f aca="false">IF(NOT(ISNUMBER(Macro_Series!$E445)),"",Macro_Series!$E445)</f>
        <v/>
      </c>
      <c r="D445" s="7" t="str">
        <f aca="false">IF(OR(NOT(ISNUMBER($B445)),NOT(ISNUMBER($C445)),$C445=0),"",$B445/$C445)</f>
        <v/>
      </c>
      <c r="E445" s="7" t="str">
        <f aca="false">IF(NOT(ISNUMBER(Macro_Series!$H445)),"",Macro_Series!$H445)</f>
        <v/>
      </c>
      <c r="F445" s="7" t="str">
        <f aca="false">IF(OR(NOT(ISNUMBER($D445)),NOT(ISNUMBER($E445)),$E445=0),"",$D445/$E445)</f>
        <v/>
      </c>
      <c r="G445" s="8" t="str">
        <f aca="false">IF(OR(NOT(ISNUMBER($B445)),NOT(ISNUMBER($B200)),$B200=0),"",$B445/$B200-1)</f>
        <v/>
      </c>
      <c r="H445" s="8" t="str">
        <f aca="false">IF(OR(NOT(ISNUMBER($D445)),NOT(ISNUMBER($D200)),$D200=0),"",$D445/$D200-1)</f>
        <v/>
      </c>
      <c r="I445" s="8" t="str">
        <f aca="false">IF(OR(NOT(ISNUMBER($G445)),NOT(ISNUMBER($H445))),"",$G445-$H445)</f>
        <v/>
      </c>
    </row>
    <row r="446" customFormat="false" ht="15" hidden="false" customHeight="false" outlineLevel="0" collapsed="false">
      <c r="A446" s="5" t="str">
        <f aca="false">IF(NOT(ISNUMBER(Macro_Series!$A446)),"",Macro_Series!$A446)</f>
        <v/>
      </c>
      <c r="B446" s="6" t="str">
        <f aca="false">IF(NOT(ISNUMBER(Macro_Series!$C446)),"",Macro_Series!$C446)</f>
        <v/>
      </c>
      <c r="C446" s="6" t="str">
        <f aca="false">IF(NOT(ISNUMBER(Macro_Series!$E446)),"",Macro_Series!$E446)</f>
        <v/>
      </c>
      <c r="D446" s="7" t="str">
        <f aca="false">IF(OR(NOT(ISNUMBER($B446)),NOT(ISNUMBER($C446)),$C446=0),"",$B446/$C446)</f>
        <v/>
      </c>
      <c r="E446" s="7" t="str">
        <f aca="false">IF(NOT(ISNUMBER(Macro_Series!$H446)),"",Macro_Series!$H446)</f>
        <v/>
      </c>
      <c r="F446" s="7" t="str">
        <f aca="false">IF(OR(NOT(ISNUMBER($D446)),NOT(ISNUMBER($E446)),$E446=0),"",$D446/$E446)</f>
        <v/>
      </c>
      <c r="G446" s="8" t="str">
        <f aca="false">IF(OR(NOT(ISNUMBER($B446)),NOT(ISNUMBER($B201)),$B201=0),"",$B446/$B201-1)</f>
        <v/>
      </c>
      <c r="H446" s="8" t="str">
        <f aca="false">IF(OR(NOT(ISNUMBER($D446)),NOT(ISNUMBER($D201)),$D201=0),"",$D446/$D201-1)</f>
        <v/>
      </c>
      <c r="I446" s="8" t="str">
        <f aca="false">IF(OR(NOT(ISNUMBER($G446)),NOT(ISNUMBER($H446))),"",$G446-$H446)</f>
        <v/>
      </c>
    </row>
    <row r="447" customFormat="false" ht="15" hidden="false" customHeight="false" outlineLevel="0" collapsed="false">
      <c r="A447" s="5" t="str">
        <f aca="false">IF(NOT(ISNUMBER(Macro_Series!$A447)),"",Macro_Series!$A447)</f>
        <v/>
      </c>
      <c r="B447" s="6" t="str">
        <f aca="false">IF(NOT(ISNUMBER(Macro_Series!$C447)),"",Macro_Series!$C447)</f>
        <v/>
      </c>
      <c r="C447" s="6" t="str">
        <f aca="false">IF(NOT(ISNUMBER(Macro_Series!$E447)),"",Macro_Series!$E447)</f>
        <v/>
      </c>
      <c r="D447" s="7" t="str">
        <f aca="false">IF(OR(NOT(ISNUMBER($B447)),NOT(ISNUMBER($C447)),$C447=0),"",$B447/$C447)</f>
        <v/>
      </c>
      <c r="E447" s="7" t="str">
        <f aca="false">IF(NOT(ISNUMBER(Macro_Series!$H447)),"",Macro_Series!$H447)</f>
        <v/>
      </c>
      <c r="F447" s="7" t="str">
        <f aca="false">IF(OR(NOT(ISNUMBER($D447)),NOT(ISNUMBER($E447)),$E447=0),"",$D447/$E447)</f>
        <v/>
      </c>
      <c r="G447" s="8" t="str">
        <f aca="false">IF(OR(NOT(ISNUMBER($B447)),NOT(ISNUMBER($B202)),$B202=0),"",$B447/$B202-1)</f>
        <v/>
      </c>
      <c r="H447" s="8" t="str">
        <f aca="false">IF(OR(NOT(ISNUMBER($D447)),NOT(ISNUMBER($D202)),$D202=0),"",$D447/$D202-1)</f>
        <v/>
      </c>
      <c r="I447" s="8" t="str">
        <f aca="false">IF(OR(NOT(ISNUMBER($G447)),NOT(ISNUMBER($H447))),"",$G447-$H447)</f>
        <v/>
      </c>
    </row>
    <row r="448" customFormat="false" ht="15" hidden="false" customHeight="false" outlineLevel="0" collapsed="false">
      <c r="A448" s="5" t="str">
        <f aca="false">IF(NOT(ISNUMBER(Macro_Series!$A448)),"",Macro_Series!$A448)</f>
        <v/>
      </c>
      <c r="B448" s="6" t="str">
        <f aca="false">IF(NOT(ISNUMBER(Macro_Series!$C448)),"",Macro_Series!$C448)</f>
        <v/>
      </c>
      <c r="C448" s="6" t="str">
        <f aca="false">IF(NOT(ISNUMBER(Macro_Series!$E448)),"",Macro_Series!$E448)</f>
        <v/>
      </c>
      <c r="D448" s="7" t="str">
        <f aca="false">IF(OR(NOT(ISNUMBER($B448)),NOT(ISNUMBER($C448)),$C448=0),"",$B448/$C448)</f>
        <v/>
      </c>
      <c r="E448" s="7" t="str">
        <f aca="false">IF(NOT(ISNUMBER(Macro_Series!$H448)),"",Macro_Series!$H448)</f>
        <v/>
      </c>
      <c r="F448" s="7" t="str">
        <f aca="false">IF(OR(NOT(ISNUMBER($D448)),NOT(ISNUMBER($E448)),$E448=0),"",$D448/$E448)</f>
        <v/>
      </c>
      <c r="G448" s="8" t="str">
        <f aca="false">IF(OR(NOT(ISNUMBER($B448)),NOT(ISNUMBER($B203)),$B203=0),"",$B448/$B203-1)</f>
        <v/>
      </c>
      <c r="H448" s="8" t="str">
        <f aca="false">IF(OR(NOT(ISNUMBER($D448)),NOT(ISNUMBER($D203)),$D203=0),"",$D448/$D203-1)</f>
        <v/>
      </c>
      <c r="I448" s="8" t="str">
        <f aca="false">IF(OR(NOT(ISNUMBER($G448)),NOT(ISNUMBER($H448))),"",$G448-$H448)</f>
        <v/>
      </c>
    </row>
    <row r="449" customFormat="false" ht="15" hidden="false" customHeight="false" outlineLevel="0" collapsed="false">
      <c r="A449" s="5" t="str">
        <f aca="false">IF(NOT(ISNUMBER(Macro_Series!$A449)),"",Macro_Series!$A449)</f>
        <v/>
      </c>
      <c r="B449" s="6" t="str">
        <f aca="false">IF(NOT(ISNUMBER(Macro_Series!$C449)),"",Macro_Series!$C449)</f>
        <v/>
      </c>
      <c r="C449" s="6" t="str">
        <f aca="false">IF(NOT(ISNUMBER(Macro_Series!$E449)),"",Macro_Series!$E449)</f>
        <v/>
      </c>
      <c r="D449" s="7" t="str">
        <f aca="false">IF(OR(NOT(ISNUMBER($B449)),NOT(ISNUMBER($C449)),$C449=0),"",$B449/$C449)</f>
        <v/>
      </c>
      <c r="E449" s="7" t="str">
        <f aca="false">IF(NOT(ISNUMBER(Macro_Series!$H449)),"",Macro_Series!$H449)</f>
        <v/>
      </c>
      <c r="F449" s="7" t="str">
        <f aca="false">IF(OR(NOT(ISNUMBER($D449)),NOT(ISNUMBER($E449)),$E449=0),"",$D449/$E449)</f>
        <v/>
      </c>
      <c r="G449" s="8" t="str">
        <f aca="false">IF(OR(NOT(ISNUMBER($B449)),NOT(ISNUMBER($B204)),$B204=0),"",$B449/$B204-1)</f>
        <v/>
      </c>
      <c r="H449" s="8" t="str">
        <f aca="false">IF(OR(NOT(ISNUMBER($D449)),NOT(ISNUMBER($D204)),$D204=0),"",$D449/$D204-1)</f>
        <v/>
      </c>
      <c r="I449" s="8" t="str">
        <f aca="false">IF(OR(NOT(ISNUMBER($G449)),NOT(ISNUMBER($H449))),"",$G449-$H449)</f>
        <v/>
      </c>
    </row>
    <row r="450" customFormat="false" ht="15" hidden="false" customHeight="false" outlineLevel="0" collapsed="false">
      <c r="A450" s="5" t="str">
        <f aca="false">IF(NOT(ISNUMBER(Macro_Series!$A450)),"",Macro_Series!$A450)</f>
        <v/>
      </c>
      <c r="B450" s="6" t="str">
        <f aca="false">IF(NOT(ISNUMBER(Macro_Series!$C450)),"",Macro_Series!$C450)</f>
        <v/>
      </c>
      <c r="C450" s="6" t="str">
        <f aca="false">IF(NOT(ISNUMBER(Macro_Series!$E450)),"",Macro_Series!$E450)</f>
        <v/>
      </c>
      <c r="D450" s="7" t="str">
        <f aca="false">IF(OR(NOT(ISNUMBER($B450)),NOT(ISNUMBER($C450)),$C450=0),"",$B450/$C450)</f>
        <v/>
      </c>
      <c r="E450" s="7" t="str">
        <f aca="false">IF(NOT(ISNUMBER(Macro_Series!$H450)),"",Macro_Series!$H450)</f>
        <v/>
      </c>
      <c r="F450" s="7" t="str">
        <f aca="false">IF(OR(NOT(ISNUMBER($D450)),NOT(ISNUMBER($E450)),$E450=0),"",$D450/$E450)</f>
        <v/>
      </c>
      <c r="G450" s="8" t="str">
        <f aca="false">IF(OR(NOT(ISNUMBER($B450)),NOT(ISNUMBER($B205)),$B205=0),"",$B450/$B205-1)</f>
        <v/>
      </c>
      <c r="H450" s="8" t="str">
        <f aca="false">IF(OR(NOT(ISNUMBER($D450)),NOT(ISNUMBER($D205)),$D205=0),"",$D450/$D205-1)</f>
        <v/>
      </c>
      <c r="I450" s="8" t="str">
        <f aca="false">IF(OR(NOT(ISNUMBER($G450)),NOT(ISNUMBER($H450))),"",$G450-$H450)</f>
        <v/>
      </c>
    </row>
    <row r="451" customFormat="false" ht="15" hidden="false" customHeight="false" outlineLevel="0" collapsed="false">
      <c r="A451" s="5" t="str">
        <f aca="false">IF(NOT(ISNUMBER(Macro_Series!$A451)),"",Macro_Series!$A451)</f>
        <v/>
      </c>
      <c r="B451" s="6" t="str">
        <f aca="false">IF(NOT(ISNUMBER(Macro_Series!$C451)),"",Macro_Series!$C451)</f>
        <v/>
      </c>
      <c r="C451" s="6" t="str">
        <f aca="false">IF(NOT(ISNUMBER(Macro_Series!$E451)),"",Macro_Series!$E451)</f>
        <v/>
      </c>
      <c r="D451" s="7" t="str">
        <f aca="false">IF(OR(NOT(ISNUMBER($B451)),NOT(ISNUMBER($C451)),$C451=0),"",$B451/$C451)</f>
        <v/>
      </c>
      <c r="E451" s="7" t="str">
        <f aca="false">IF(NOT(ISNUMBER(Macro_Series!$H451)),"",Macro_Series!$H451)</f>
        <v/>
      </c>
      <c r="F451" s="7" t="str">
        <f aca="false">IF(OR(NOT(ISNUMBER($D451)),NOT(ISNUMBER($E451)),$E451=0),"",$D451/$E451)</f>
        <v/>
      </c>
      <c r="G451" s="8" t="str">
        <f aca="false">IF(OR(NOT(ISNUMBER($B451)),NOT(ISNUMBER($B206)),$B206=0),"",$B451/$B206-1)</f>
        <v/>
      </c>
      <c r="H451" s="8" t="str">
        <f aca="false">IF(OR(NOT(ISNUMBER($D451)),NOT(ISNUMBER($D206)),$D206=0),"",$D451/$D206-1)</f>
        <v/>
      </c>
      <c r="I451" s="8" t="str">
        <f aca="false">IF(OR(NOT(ISNUMBER($G451)),NOT(ISNUMBER($H451))),"",$G451-$H451)</f>
        <v/>
      </c>
    </row>
    <row r="452" customFormat="false" ht="15" hidden="false" customHeight="false" outlineLevel="0" collapsed="false">
      <c r="A452" s="5" t="str">
        <f aca="false">IF(NOT(ISNUMBER(Macro_Series!$A452)),"",Macro_Series!$A452)</f>
        <v/>
      </c>
      <c r="B452" s="6" t="str">
        <f aca="false">IF(NOT(ISNUMBER(Macro_Series!$C452)),"",Macro_Series!$C452)</f>
        <v/>
      </c>
      <c r="C452" s="6" t="str">
        <f aca="false">IF(NOT(ISNUMBER(Macro_Series!$E452)),"",Macro_Series!$E452)</f>
        <v/>
      </c>
      <c r="D452" s="7" t="str">
        <f aca="false">IF(OR(NOT(ISNUMBER($B452)),NOT(ISNUMBER($C452)),$C452=0),"",$B452/$C452)</f>
        <v/>
      </c>
      <c r="E452" s="7" t="str">
        <f aca="false">IF(NOT(ISNUMBER(Macro_Series!$H452)),"",Macro_Series!$H452)</f>
        <v/>
      </c>
      <c r="F452" s="7" t="str">
        <f aca="false">IF(OR(NOT(ISNUMBER($D452)),NOT(ISNUMBER($E452)),$E452=0),"",$D452/$E452)</f>
        <v/>
      </c>
      <c r="G452" s="8" t="str">
        <f aca="false">IF(OR(NOT(ISNUMBER($B452)),NOT(ISNUMBER($B207)),$B207=0),"",$B452/$B207-1)</f>
        <v/>
      </c>
      <c r="H452" s="8" t="str">
        <f aca="false">IF(OR(NOT(ISNUMBER($D452)),NOT(ISNUMBER($D207)),$D207=0),"",$D452/$D207-1)</f>
        <v/>
      </c>
      <c r="I452" s="8" t="str">
        <f aca="false">IF(OR(NOT(ISNUMBER($G452)),NOT(ISNUMBER($H452))),"",$G452-$H452)</f>
        <v/>
      </c>
    </row>
    <row r="453" customFormat="false" ht="15" hidden="false" customHeight="false" outlineLevel="0" collapsed="false">
      <c r="A453" s="5" t="str">
        <f aca="false">IF(NOT(ISNUMBER(Macro_Series!$A453)),"",Macro_Series!$A453)</f>
        <v/>
      </c>
      <c r="B453" s="6" t="str">
        <f aca="false">IF(NOT(ISNUMBER(Macro_Series!$C453)),"",Macro_Series!$C453)</f>
        <v/>
      </c>
      <c r="C453" s="6" t="str">
        <f aca="false">IF(NOT(ISNUMBER(Macro_Series!$E453)),"",Macro_Series!$E453)</f>
        <v/>
      </c>
      <c r="D453" s="7" t="str">
        <f aca="false">IF(OR(NOT(ISNUMBER($B453)),NOT(ISNUMBER($C453)),$C453=0),"",$B453/$C453)</f>
        <v/>
      </c>
      <c r="E453" s="7" t="str">
        <f aca="false">IF(NOT(ISNUMBER(Macro_Series!$H453)),"",Macro_Series!$H453)</f>
        <v/>
      </c>
      <c r="F453" s="7" t="str">
        <f aca="false">IF(OR(NOT(ISNUMBER($D453)),NOT(ISNUMBER($E453)),$E453=0),"",$D453/$E453)</f>
        <v/>
      </c>
      <c r="G453" s="8" t="str">
        <f aca="false">IF(OR(NOT(ISNUMBER($B453)),NOT(ISNUMBER($B208)),$B208=0),"",$B453/$B208-1)</f>
        <v/>
      </c>
      <c r="H453" s="8" t="str">
        <f aca="false">IF(OR(NOT(ISNUMBER($D453)),NOT(ISNUMBER($D208)),$D208=0),"",$D453/$D208-1)</f>
        <v/>
      </c>
      <c r="I453" s="8" t="str">
        <f aca="false">IF(OR(NOT(ISNUMBER($G453)),NOT(ISNUMBER($H453))),"",$G453-$H453)</f>
        <v/>
      </c>
    </row>
    <row r="454" customFormat="false" ht="15" hidden="false" customHeight="false" outlineLevel="0" collapsed="false">
      <c r="A454" s="5" t="str">
        <f aca="false">IF(NOT(ISNUMBER(Macro_Series!$A454)),"",Macro_Series!$A454)</f>
        <v/>
      </c>
      <c r="B454" s="6" t="str">
        <f aca="false">IF(NOT(ISNUMBER(Macro_Series!$C454)),"",Macro_Series!$C454)</f>
        <v/>
      </c>
      <c r="C454" s="6" t="str">
        <f aca="false">IF(NOT(ISNUMBER(Macro_Series!$E454)),"",Macro_Series!$E454)</f>
        <v/>
      </c>
      <c r="D454" s="7" t="str">
        <f aca="false">IF(OR(NOT(ISNUMBER($B454)),NOT(ISNUMBER($C454)),$C454=0),"",$B454/$C454)</f>
        <v/>
      </c>
      <c r="E454" s="7" t="str">
        <f aca="false">IF(NOT(ISNUMBER(Macro_Series!$H454)),"",Macro_Series!$H454)</f>
        <v/>
      </c>
      <c r="F454" s="7" t="str">
        <f aca="false">IF(OR(NOT(ISNUMBER($D454)),NOT(ISNUMBER($E454)),$E454=0),"",$D454/$E454)</f>
        <v/>
      </c>
      <c r="G454" s="8" t="str">
        <f aca="false">IF(OR(NOT(ISNUMBER($B454)),NOT(ISNUMBER($B209)),$B209=0),"",$B454/$B209-1)</f>
        <v/>
      </c>
      <c r="H454" s="8" t="str">
        <f aca="false">IF(OR(NOT(ISNUMBER($D454)),NOT(ISNUMBER($D209)),$D209=0),"",$D454/$D209-1)</f>
        <v/>
      </c>
      <c r="I454" s="8" t="str">
        <f aca="false">IF(OR(NOT(ISNUMBER($G454)),NOT(ISNUMBER($H454))),"",$G454-$H454)</f>
        <v/>
      </c>
    </row>
    <row r="455" customFormat="false" ht="15" hidden="false" customHeight="false" outlineLevel="0" collapsed="false">
      <c r="A455" s="5" t="str">
        <f aca="false">IF(NOT(ISNUMBER(Macro_Series!$A455)),"",Macro_Series!$A455)</f>
        <v/>
      </c>
      <c r="B455" s="6" t="str">
        <f aca="false">IF(NOT(ISNUMBER(Macro_Series!$C455)),"",Macro_Series!$C455)</f>
        <v/>
      </c>
      <c r="C455" s="6" t="str">
        <f aca="false">IF(NOT(ISNUMBER(Macro_Series!$E455)),"",Macro_Series!$E455)</f>
        <v/>
      </c>
      <c r="D455" s="7" t="str">
        <f aca="false">IF(OR(NOT(ISNUMBER($B455)),NOT(ISNUMBER($C455)),$C455=0),"",$B455/$C455)</f>
        <v/>
      </c>
      <c r="E455" s="7" t="str">
        <f aca="false">IF(NOT(ISNUMBER(Macro_Series!$H455)),"",Macro_Series!$H455)</f>
        <v/>
      </c>
      <c r="F455" s="7" t="str">
        <f aca="false">IF(OR(NOT(ISNUMBER($D455)),NOT(ISNUMBER($E455)),$E455=0),"",$D455/$E455)</f>
        <v/>
      </c>
      <c r="G455" s="8" t="str">
        <f aca="false">IF(OR(NOT(ISNUMBER($B455)),NOT(ISNUMBER($B210)),$B210=0),"",$B455/$B210-1)</f>
        <v/>
      </c>
      <c r="H455" s="8" t="str">
        <f aca="false">IF(OR(NOT(ISNUMBER($D455)),NOT(ISNUMBER($D210)),$D210=0),"",$D455/$D210-1)</f>
        <v/>
      </c>
      <c r="I455" s="8" t="str">
        <f aca="false">IF(OR(NOT(ISNUMBER($G455)),NOT(ISNUMBER($H455))),"",$G455-$H455)</f>
        <v/>
      </c>
    </row>
    <row r="456" customFormat="false" ht="15" hidden="false" customHeight="false" outlineLevel="0" collapsed="false">
      <c r="A456" s="5" t="str">
        <f aca="false">IF(NOT(ISNUMBER(Macro_Series!$A456)),"",Macro_Series!$A456)</f>
        <v/>
      </c>
      <c r="B456" s="6" t="str">
        <f aca="false">IF(NOT(ISNUMBER(Macro_Series!$C456)),"",Macro_Series!$C456)</f>
        <v/>
      </c>
      <c r="C456" s="6" t="str">
        <f aca="false">IF(NOT(ISNUMBER(Macro_Series!$E456)),"",Macro_Series!$E456)</f>
        <v/>
      </c>
      <c r="D456" s="7" t="str">
        <f aca="false">IF(OR(NOT(ISNUMBER($B456)),NOT(ISNUMBER($C456)),$C456=0),"",$B456/$C456)</f>
        <v/>
      </c>
      <c r="E456" s="7" t="str">
        <f aca="false">IF(NOT(ISNUMBER(Macro_Series!$H456)),"",Macro_Series!$H456)</f>
        <v/>
      </c>
      <c r="F456" s="7" t="str">
        <f aca="false">IF(OR(NOT(ISNUMBER($D456)),NOT(ISNUMBER($E456)),$E456=0),"",$D456/$E456)</f>
        <v/>
      </c>
      <c r="G456" s="8" t="str">
        <f aca="false">IF(OR(NOT(ISNUMBER($B456)),NOT(ISNUMBER($B211)),$B211=0),"",$B456/$B211-1)</f>
        <v/>
      </c>
      <c r="H456" s="8" t="str">
        <f aca="false">IF(OR(NOT(ISNUMBER($D456)),NOT(ISNUMBER($D211)),$D211=0),"",$D456/$D211-1)</f>
        <v/>
      </c>
      <c r="I456" s="8" t="str">
        <f aca="false">IF(OR(NOT(ISNUMBER($G456)),NOT(ISNUMBER($H456))),"",$G456-$H456)</f>
        <v/>
      </c>
    </row>
    <row r="457" customFormat="false" ht="15" hidden="false" customHeight="false" outlineLevel="0" collapsed="false">
      <c r="A457" s="5" t="str">
        <f aca="false">IF(NOT(ISNUMBER(Macro_Series!$A457)),"",Macro_Series!$A457)</f>
        <v/>
      </c>
      <c r="B457" s="6" t="str">
        <f aca="false">IF(NOT(ISNUMBER(Macro_Series!$C457)),"",Macro_Series!$C457)</f>
        <v/>
      </c>
      <c r="C457" s="6" t="str">
        <f aca="false">IF(NOT(ISNUMBER(Macro_Series!$E457)),"",Macro_Series!$E457)</f>
        <v/>
      </c>
      <c r="D457" s="7" t="str">
        <f aca="false">IF(OR(NOT(ISNUMBER($B457)),NOT(ISNUMBER($C457)),$C457=0),"",$B457/$C457)</f>
        <v/>
      </c>
      <c r="E457" s="7" t="str">
        <f aca="false">IF(NOT(ISNUMBER(Macro_Series!$H457)),"",Macro_Series!$H457)</f>
        <v/>
      </c>
      <c r="F457" s="7" t="str">
        <f aca="false">IF(OR(NOT(ISNUMBER($D457)),NOT(ISNUMBER($E457)),$E457=0),"",$D457/$E457)</f>
        <v/>
      </c>
      <c r="G457" s="8" t="str">
        <f aca="false">IF(OR(NOT(ISNUMBER($B457)),NOT(ISNUMBER($B212)),$B212=0),"",$B457/$B212-1)</f>
        <v/>
      </c>
      <c r="H457" s="8" t="str">
        <f aca="false">IF(OR(NOT(ISNUMBER($D457)),NOT(ISNUMBER($D212)),$D212=0),"",$D457/$D212-1)</f>
        <v/>
      </c>
      <c r="I457" s="8" t="str">
        <f aca="false">IF(OR(NOT(ISNUMBER($G457)),NOT(ISNUMBER($H457))),"",$G457-$H457)</f>
        <v/>
      </c>
    </row>
    <row r="458" customFormat="false" ht="15" hidden="false" customHeight="false" outlineLevel="0" collapsed="false">
      <c r="A458" s="5" t="str">
        <f aca="false">IF(NOT(ISNUMBER(Macro_Series!$A458)),"",Macro_Series!$A458)</f>
        <v/>
      </c>
      <c r="B458" s="6" t="str">
        <f aca="false">IF(NOT(ISNUMBER(Macro_Series!$C458)),"",Macro_Series!$C458)</f>
        <v/>
      </c>
      <c r="C458" s="6" t="str">
        <f aca="false">IF(NOT(ISNUMBER(Macro_Series!$E458)),"",Macro_Series!$E458)</f>
        <v/>
      </c>
      <c r="D458" s="7" t="str">
        <f aca="false">IF(OR(NOT(ISNUMBER($B458)),NOT(ISNUMBER($C458)),$C458=0),"",$B458/$C458)</f>
        <v/>
      </c>
      <c r="E458" s="7" t="str">
        <f aca="false">IF(NOT(ISNUMBER(Macro_Series!$H458)),"",Macro_Series!$H458)</f>
        <v/>
      </c>
      <c r="F458" s="7" t="str">
        <f aca="false">IF(OR(NOT(ISNUMBER($D458)),NOT(ISNUMBER($E458)),$E458=0),"",$D458/$E458)</f>
        <v/>
      </c>
      <c r="G458" s="8" t="str">
        <f aca="false">IF(OR(NOT(ISNUMBER($B458)),NOT(ISNUMBER($B213)),$B213=0),"",$B458/$B213-1)</f>
        <v/>
      </c>
      <c r="H458" s="8" t="str">
        <f aca="false">IF(OR(NOT(ISNUMBER($D458)),NOT(ISNUMBER($D213)),$D213=0),"",$D458/$D213-1)</f>
        <v/>
      </c>
      <c r="I458" s="8" t="str">
        <f aca="false">IF(OR(NOT(ISNUMBER($G458)),NOT(ISNUMBER($H458))),"",$G458-$H458)</f>
        <v/>
      </c>
    </row>
    <row r="459" customFormat="false" ht="15" hidden="false" customHeight="false" outlineLevel="0" collapsed="false">
      <c r="A459" s="5" t="str">
        <f aca="false">IF(NOT(ISNUMBER(Macro_Series!$A459)),"",Macro_Series!$A459)</f>
        <v/>
      </c>
      <c r="B459" s="6" t="str">
        <f aca="false">IF(NOT(ISNUMBER(Macro_Series!$C459)),"",Macro_Series!$C459)</f>
        <v/>
      </c>
      <c r="C459" s="6" t="str">
        <f aca="false">IF(NOT(ISNUMBER(Macro_Series!$E459)),"",Macro_Series!$E459)</f>
        <v/>
      </c>
      <c r="D459" s="7" t="str">
        <f aca="false">IF(OR(NOT(ISNUMBER($B459)),NOT(ISNUMBER($C459)),$C459=0),"",$B459/$C459)</f>
        <v/>
      </c>
      <c r="E459" s="7" t="str">
        <f aca="false">IF(NOT(ISNUMBER(Macro_Series!$H459)),"",Macro_Series!$H459)</f>
        <v/>
      </c>
      <c r="F459" s="7" t="str">
        <f aca="false">IF(OR(NOT(ISNUMBER($D459)),NOT(ISNUMBER($E459)),$E459=0),"",$D459/$E459)</f>
        <v/>
      </c>
      <c r="G459" s="8" t="str">
        <f aca="false">IF(OR(NOT(ISNUMBER($B459)),NOT(ISNUMBER($B214)),$B214=0),"",$B459/$B214-1)</f>
        <v/>
      </c>
      <c r="H459" s="8" t="str">
        <f aca="false">IF(OR(NOT(ISNUMBER($D459)),NOT(ISNUMBER($D214)),$D214=0),"",$D459/$D214-1)</f>
        <v/>
      </c>
      <c r="I459" s="8" t="str">
        <f aca="false">IF(OR(NOT(ISNUMBER($G459)),NOT(ISNUMBER($H459))),"",$G459-$H459)</f>
        <v/>
      </c>
    </row>
    <row r="460" customFormat="false" ht="15" hidden="false" customHeight="false" outlineLevel="0" collapsed="false">
      <c r="A460" s="5" t="str">
        <f aca="false">IF(NOT(ISNUMBER(Macro_Series!$A460)),"",Macro_Series!$A460)</f>
        <v/>
      </c>
      <c r="B460" s="6" t="str">
        <f aca="false">IF(NOT(ISNUMBER(Macro_Series!$C460)),"",Macro_Series!$C460)</f>
        <v/>
      </c>
      <c r="C460" s="6" t="str">
        <f aca="false">IF(NOT(ISNUMBER(Macro_Series!$E460)),"",Macro_Series!$E460)</f>
        <v/>
      </c>
      <c r="D460" s="7" t="str">
        <f aca="false">IF(OR(NOT(ISNUMBER($B460)),NOT(ISNUMBER($C460)),$C460=0),"",$B460/$C460)</f>
        <v/>
      </c>
      <c r="E460" s="7" t="str">
        <f aca="false">IF(NOT(ISNUMBER(Macro_Series!$H460)),"",Macro_Series!$H460)</f>
        <v/>
      </c>
      <c r="F460" s="7" t="str">
        <f aca="false">IF(OR(NOT(ISNUMBER($D460)),NOT(ISNUMBER($E460)),$E460=0),"",$D460/$E460)</f>
        <v/>
      </c>
      <c r="G460" s="8" t="str">
        <f aca="false">IF(OR(NOT(ISNUMBER($B460)),NOT(ISNUMBER($B215)),$B215=0),"",$B460/$B215-1)</f>
        <v/>
      </c>
      <c r="H460" s="8" t="str">
        <f aca="false">IF(OR(NOT(ISNUMBER($D460)),NOT(ISNUMBER($D215)),$D215=0),"",$D460/$D215-1)</f>
        <v/>
      </c>
      <c r="I460" s="8" t="str">
        <f aca="false">IF(OR(NOT(ISNUMBER($G460)),NOT(ISNUMBER($H460))),"",$G460-$H460)</f>
        <v/>
      </c>
    </row>
    <row r="461" customFormat="false" ht="15" hidden="false" customHeight="false" outlineLevel="0" collapsed="false">
      <c r="A461" s="5" t="str">
        <f aca="false">IF(NOT(ISNUMBER(Macro_Series!$A461)),"",Macro_Series!$A461)</f>
        <v/>
      </c>
      <c r="B461" s="6" t="str">
        <f aca="false">IF(NOT(ISNUMBER(Macro_Series!$C461)),"",Macro_Series!$C461)</f>
        <v/>
      </c>
      <c r="C461" s="6" t="str">
        <f aca="false">IF(NOT(ISNUMBER(Macro_Series!$E461)),"",Macro_Series!$E461)</f>
        <v/>
      </c>
      <c r="D461" s="7" t="str">
        <f aca="false">IF(OR(NOT(ISNUMBER($B461)),NOT(ISNUMBER($C461)),$C461=0),"",$B461/$C461)</f>
        <v/>
      </c>
      <c r="E461" s="7" t="str">
        <f aca="false">IF(NOT(ISNUMBER(Macro_Series!$H461)),"",Macro_Series!$H461)</f>
        <v/>
      </c>
      <c r="F461" s="7" t="str">
        <f aca="false">IF(OR(NOT(ISNUMBER($D461)),NOT(ISNUMBER($E461)),$E461=0),"",$D461/$E461)</f>
        <v/>
      </c>
      <c r="G461" s="8" t="str">
        <f aca="false">IF(OR(NOT(ISNUMBER($B461)),NOT(ISNUMBER($B216)),$B216=0),"",$B461/$B216-1)</f>
        <v/>
      </c>
      <c r="H461" s="8" t="str">
        <f aca="false">IF(OR(NOT(ISNUMBER($D461)),NOT(ISNUMBER($D216)),$D216=0),"",$D461/$D216-1)</f>
        <v/>
      </c>
      <c r="I461" s="8" t="str">
        <f aca="false">IF(OR(NOT(ISNUMBER($G461)),NOT(ISNUMBER($H461))),"",$G461-$H461)</f>
        <v/>
      </c>
    </row>
    <row r="462" customFormat="false" ht="15" hidden="false" customHeight="false" outlineLevel="0" collapsed="false">
      <c r="A462" s="5" t="str">
        <f aca="false">IF(NOT(ISNUMBER(Macro_Series!$A462)),"",Macro_Series!$A462)</f>
        <v/>
      </c>
      <c r="B462" s="6" t="str">
        <f aca="false">IF(NOT(ISNUMBER(Macro_Series!$C462)),"",Macro_Series!$C462)</f>
        <v/>
      </c>
      <c r="C462" s="6" t="str">
        <f aca="false">IF(NOT(ISNUMBER(Macro_Series!$E462)),"",Macro_Series!$E462)</f>
        <v/>
      </c>
      <c r="D462" s="7" t="str">
        <f aca="false">IF(OR(NOT(ISNUMBER($B462)),NOT(ISNUMBER($C462)),$C462=0),"",$B462/$C462)</f>
        <v/>
      </c>
      <c r="E462" s="7" t="str">
        <f aca="false">IF(NOT(ISNUMBER(Macro_Series!$H462)),"",Macro_Series!$H462)</f>
        <v/>
      </c>
      <c r="F462" s="7" t="str">
        <f aca="false">IF(OR(NOT(ISNUMBER($D462)),NOT(ISNUMBER($E462)),$E462=0),"",$D462/$E462)</f>
        <v/>
      </c>
      <c r="G462" s="8" t="str">
        <f aca="false">IF(OR(NOT(ISNUMBER($B462)),NOT(ISNUMBER($B217)),$B217=0),"",$B462/$B217-1)</f>
        <v/>
      </c>
      <c r="H462" s="8" t="str">
        <f aca="false">IF(OR(NOT(ISNUMBER($D462)),NOT(ISNUMBER($D217)),$D217=0),"",$D462/$D217-1)</f>
        <v/>
      </c>
      <c r="I462" s="8" t="str">
        <f aca="false">IF(OR(NOT(ISNUMBER($G462)),NOT(ISNUMBER($H462))),"",$G462-$H462)</f>
        <v/>
      </c>
    </row>
    <row r="463" customFormat="false" ht="15" hidden="false" customHeight="false" outlineLevel="0" collapsed="false">
      <c r="A463" s="5" t="str">
        <f aca="false">IF(NOT(ISNUMBER(Macro_Series!$A463)),"",Macro_Series!$A463)</f>
        <v/>
      </c>
      <c r="B463" s="6" t="str">
        <f aca="false">IF(NOT(ISNUMBER(Macro_Series!$C463)),"",Macro_Series!$C463)</f>
        <v/>
      </c>
      <c r="C463" s="6" t="str">
        <f aca="false">IF(NOT(ISNUMBER(Macro_Series!$E463)),"",Macro_Series!$E463)</f>
        <v/>
      </c>
      <c r="D463" s="7" t="str">
        <f aca="false">IF(OR(NOT(ISNUMBER($B463)),NOT(ISNUMBER($C463)),$C463=0),"",$B463/$C463)</f>
        <v/>
      </c>
      <c r="E463" s="7" t="str">
        <f aca="false">IF(NOT(ISNUMBER(Macro_Series!$H463)),"",Macro_Series!$H463)</f>
        <v/>
      </c>
      <c r="F463" s="7" t="str">
        <f aca="false">IF(OR(NOT(ISNUMBER($D463)),NOT(ISNUMBER($E463)),$E463=0),"",$D463/$E463)</f>
        <v/>
      </c>
      <c r="G463" s="8" t="str">
        <f aca="false">IF(OR(NOT(ISNUMBER($B463)),NOT(ISNUMBER($B218)),$B218=0),"",$B463/$B218-1)</f>
        <v/>
      </c>
      <c r="H463" s="8" t="str">
        <f aca="false">IF(OR(NOT(ISNUMBER($D463)),NOT(ISNUMBER($D218)),$D218=0),"",$D463/$D218-1)</f>
        <v/>
      </c>
      <c r="I463" s="8" t="str">
        <f aca="false">IF(OR(NOT(ISNUMBER($G463)),NOT(ISNUMBER($H463))),"",$G463-$H463)</f>
        <v/>
      </c>
    </row>
    <row r="464" customFormat="false" ht="15" hidden="false" customHeight="false" outlineLevel="0" collapsed="false">
      <c r="A464" s="5" t="str">
        <f aca="false">IF(NOT(ISNUMBER(Macro_Series!$A464)),"",Macro_Series!$A464)</f>
        <v/>
      </c>
      <c r="B464" s="6" t="str">
        <f aca="false">IF(NOT(ISNUMBER(Macro_Series!$C464)),"",Macro_Series!$C464)</f>
        <v/>
      </c>
      <c r="C464" s="6" t="str">
        <f aca="false">IF(NOT(ISNUMBER(Macro_Series!$E464)),"",Macro_Series!$E464)</f>
        <v/>
      </c>
      <c r="D464" s="7" t="str">
        <f aca="false">IF(OR(NOT(ISNUMBER($B464)),NOT(ISNUMBER($C464)),$C464=0),"",$B464/$C464)</f>
        <v/>
      </c>
      <c r="E464" s="7" t="str">
        <f aca="false">IF(NOT(ISNUMBER(Macro_Series!$H464)),"",Macro_Series!$H464)</f>
        <v/>
      </c>
      <c r="F464" s="7" t="str">
        <f aca="false">IF(OR(NOT(ISNUMBER($D464)),NOT(ISNUMBER($E464)),$E464=0),"",$D464/$E464)</f>
        <v/>
      </c>
      <c r="G464" s="8" t="str">
        <f aca="false">IF(OR(NOT(ISNUMBER($B464)),NOT(ISNUMBER($B219)),$B219=0),"",$B464/$B219-1)</f>
        <v/>
      </c>
      <c r="H464" s="8" t="str">
        <f aca="false">IF(OR(NOT(ISNUMBER($D464)),NOT(ISNUMBER($D219)),$D219=0),"",$D464/$D219-1)</f>
        <v/>
      </c>
      <c r="I464" s="8" t="str">
        <f aca="false">IF(OR(NOT(ISNUMBER($G464)),NOT(ISNUMBER($H464))),"",$G464-$H464)</f>
        <v/>
      </c>
    </row>
    <row r="465" customFormat="false" ht="15" hidden="false" customHeight="false" outlineLevel="0" collapsed="false">
      <c r="A465" s="5" t="str">
        <f aca="false">IF(NOT(ISNUMBER(Macro_Series!$A465)),"",Macro_Series!$A465)</f>
        <v/>
      </c>
      <c r="B465" s="6" t="str">
        <f aca="false">IF(NOT(ISNUMBER(Macro_Series!$C465)),"",Macro_Series!$C465)</f>
        <v/>
      </c>
      <c r="C465" s="6" t="str">
        <f aca="false">IF(NOT(ISNUMBER(Macro_Series!$E465)),"",Macro_Series!$E465)</f>
        <v/>
      </c>
      <c r="D465" s="7" t="str">
        <f aca="false">IF(OR(NOT(ISNUMBER($B465)),NOT(ISNUMBER($C465)),$C465=0),"",$B465/$C465)</f>
        <v/>
      </c>
      <c r="E465" s="7" t="str">
        <f aca="false">IF(NOT(ISNUMBER(Macro_Series!$H465)),"",Macro_Series!$H465)</f>
        <v/>
      </c>
      <c r="F465" s="7" t="str">
        <f aca="false">IF(OR(NOT(ISNUMBER($D465)),NOT(ISNUMBER($E465)),$E465=0),"",$D465/$E465)</f>
        <v/>
      </c>
      <c r="G465" s="8" t="str">
        <f aca="false">IF(OR(NOT(ISNUMBER($B465)),NOT(ISNUMBER($B220)),$B220=0),"",$B465/$B220-1)</f>
        <v/>
      </c>
      <c r="H465" s="8" t="str">
        <f aca="false">IF(OR(NOT(ISNUMBER($D465)),NOT(ISNUMBER($D220)),$D220=0),"",$D465/$D220-1)</f>
        <v/>
      </c>
      <c r="I465" s="8" t="str">
        <f aca="false">IF(OR(NOT(ISNUMBER($G465)),NOT(ISNUMBER($H465))),"",$G465-$H465)</f>
        <v/>
      </c>
    </row>
    <row r="466" customFormat="false" ht="15" hidden="false" customHeight="false" outlineLevel="0" collapsed="false">
      <c r="A466" s="5" t="str">
        <f aca="false">IF(NOT(ISNUMBER(Macro_Series!$A466)),"",Macro_Series!$A466)</f>
        <v/>
      </c>
      <c r="B466" s="6" t="str">
        <f aca="false">IF(NOT(ISNUMBER(Macro_Series!$C466)),"",Macro_Series!$C466)</f>
        <v/>
      </c>
      <c r="C466" s="6" t="str">
        <f aca="false">IF(NOT(ISNUMBER(Macro_Series!$E466)),"",Macro_Series!$E466)</f>
        <v/>
      </c>
      <c r="D466" s="7" t="str">
        <f aca="false">IF(OR(NOT(ISNUMBER($B466)),NOT(ISNUMBER($C466)),$C466=0),"",$B466/$C466)</f>
        <v/>
      </c>
      <c r="E466" s="7" t="str">
        <f aca="false">IF(NOT(ISNUMBER(Macro_Series!$H466)),"",Macro_Series!$H466)</f>
        <v/>
      </c>
      <c r="F466" s="7" t="str">
        <f aca="false">IF(OR(NOT(ISNUMBER($D466)),NOT(ISNUMBER($E466)),$E466=0),"",$D466/$E466)</f>
        <v/>
      </c>
      <c r="G466" s="8" t="str">
        <f aca="false">IF(OR(NOT(ISNUMBER($B466)),NOT(ISNUMBER($B221)),$B221=0),"",$B466/$B221-1)</f>
        <v/>
      </c>
      <c r="H466" s="8" t="str">
        <f aca="false">IF(OR(NOT(ISNUMBER($D466)),NOT(ISNUMBER($D221)),$D221=0),"",$D466/$D221-1)</f>
        <v/>
      </c>
      <c r="I466" s="8" t="str">
        <f aca="false">IF(OR(NOT(ISNUMBER($G466)),NOT(ISNUMBER($H466))),"",$G466-$H466)</f>
        <v/>
      </c>
    </row>
    <row r="467" customFormat="false" ht="15" hidden="false" customHeight="false" outlineLevel="0" collapsed="false">
      <c r="A467" s="5" t="str">
        <f aca="false">IF(NOT(ISNUMBER(Macro_Series!$A467)),"",Macro_Series!$A467)</f>
        <v/>
      </c>
      <c r="B467" s="6" t="str">
        <f aca="false">IF(NOT(ISNUMBER(Macro_Series!$C467)),"",Macro_Series!$C467)</f>
        <v/>
      </c>
      <c r="C467" s="6" t="str">
        <f aca="false">IF(NOT(ISNUMBER(Macro_Series!$E467)),"",Macro_Series!$E467)</f>
        <v/>
      </c>
      <c r="D467" s="7" t="str">
        <f aca="false">IF(OR(NOT(ISNUMBER($B467)),NOT(ISNUMBER($C467)),$C467=0),"",$B467/$C467)</f>
        <v/>
      </c>
      <c r="E467" s="7" t="str">
        <f aca="false">IF(NOT(ISNUMBER(Macro_Series!$H467)),"",Macro_Series!$H467)</f>
        <v/>
      </c>
      <c r="F467" s="7" t="str">
        <f aca="false">IF(OR(NOT(ISNUMBER($D467)),NOT(ISNUMBER($E467)),$E467=0),"",$D467/$E467)</f>
        <v/>
      </c>
      <c r="G467" s="8" t="str">
        <f aca="false">IF(OR(NOT(ISNUMBER($B467)),NOT(ISNUMBER($B222)),$B222=0),"",$B467/$B222-1)</f>
        <v/>
      </c>
      <c r="H467" s="8" t="str">
        <f aca="false">IF(OR(NOT(ISNUMBER($D467)),NOT(ISNUMBER($D222)),$D222=0),"",$D467/$D222-1)</f>
        <v/>
      </c>
      <c r="I467" s="8" t="str">
        <f aca="false">IF(OR(NOT(ISNUMBER($G467)),NOT(ISNUMBER($H467))),"",$G467-$H467)</f>
        <v/>
      </c>
    </row>
    <row r="468" customFormat="false" ht="15" hidden="false" customHeight="false" outlineLevel="0" collapsed="false">
      <c r="A468" s="5" t="str">
        <f aca="false">IF(NOT(ISNUMBER(Macro_Series!$A468)),"",Macro_Series!$A468)</f>
        <v/>
      </c>
      <c r="B468" s="6" t="str">
        <f aca="false">IF(NOT(ISNUMBER(Macro_Series!$C468)),"",Macro_Series!$C468)</f>
        <v/>
      </c>
      <c r="C468" s="6" t="str">
        <f aca="false">IF(NOT(ISNUMBER(Macro_Series!$E468)),"",Macro_Series!$E468)</f>
        <v/>
      </c>
      <c r="D468" s="7" t="str">
        <f aca="false">IF(OR(NOT(ISNUMBER($B468)),NOT(ISNUMBER($C468)),$C468=0),"",$B468/$C468)</f>
        <v/>
      </c>
      <c r="E468" s="7" t="str">
        <f aca="false">IF(NOT(ISNUMBER(Macro_Series!$H468)),"",Macro_Series!$H468)</f>
        <v/>
      </c>
      <c r="F468" s="7" t="str">
        <f aca="false">IF(OR(NOT(ISNUMBER($D468)),NOT(ISNUMBER($E468)),$E468=0),"",$D468/$E468)</f>
        <v/>
      </c>
      <c r="G468" s="8" t="str">
        <f aca="false">IF(OR(NOT(ISNUMBER($B468)),NOT(ISNUMBER($B223)),$B223=0),"",$B468/$B223-1)</f>
        <v/>
      </c>
      <c r="H468" s="8" t="str">
        <f aca="false">IF(OR(NOT(ISNUMBER($D468)),NOT(ISNUMBER($D223)),$D223=0),"",$D468/$D223-1)</f>
        <v/>
      </c>
      <c r="I468" s="8" t="str">
        <f aca="false">IF(OR(NOT(ISNUMBER($G468)),NOT(ISNUMBER($H468))),"",$G468-$H468)</f>
        <v/>
      </c>
    </row>
    <row r="469" customFormat="false" ht="15" hidden="false" customHeight="false" outlineLevel="0" collapsed="false">
      <c r="A469" s="5" t="str">
        <f aca="false">IF(NOT(ISNUMBER(Macro_Series!$A469)),"",Macro_Series!$A469)</f>
        <v/>
      </c>
      <c r="B469" s="6" t="str">
        <f aca="false">IF(NOT(ISNUMBER(Macro_Series!$C469)),"",Macro_Series!$C469)</f>
        <v/>
      </c>
      <c r="C469" s="6" t="str">
        <f aca="false">IF(NOT(ISNUMBER(Macro_Series!$E469)),"",Macro_Series!$E469)</f>
        <v/>
      </c>
      <c r="D469" s="7" t="str">
        <f aca="false">IF(OR(NOT(ISNUMBER($B469)),NOT(ISNUMBER($C469)),$C469=0),"",$B469/$C469)</f>
        <v/>
      </c>
      <c r="E469" s="7" t="str">
        <f aca="false">IF(NOT(ISNUMBER(Macro_Series!$H469)),"",Macro_Series!$H469)</f>
        <v/>
      </c>
      <c r="F469" s="7" t="str">
        <f aca="false">IF(OR(NOT(ISNUMBER($D469)),NOT(ISNUMBER($E469)),$E469=0),"",$D469/$E469)</f>
        <v/>
      </c>
      <c r="G469" s="8" t="str">
        <f aca="false">IF(OR(NOT(ISNUMBER($B469)),NOT(ISNUMBER($B224)),$B224=0),"",$B469/$B224-1)</f>
        <v/>
      </c>
      <c r="H469" s="8" t="str">
        <f aca="false">IF(OR(NOT(ISNUMBER($D469)),NOT(ISNUMBER($D224)),$D224=0),"",$D469/$D224-1)</f>
        <v/>
      </c>
      <c r="I469" s="8" t="str">
        <f aca="false">IF(OR(NOT(ISNUMBER($G469)),NOT(ISNUMBER($H469))),"",$G469-$H469)</f>
        <v/>
      </c>
    </row>
    <row r="470" customFormat="false" ht="15" hidden="false" customHeight="false" outlineLevel="0" collapsed="false">
      <c r="A470" s="5" t="str">
        <f aca="false">IF(NOT(ISNUMBER(Macro_Series!$A470)),"",Macro_Series!$A470)</f>
        <v/>
      </c>
      <c r="B470" s="6" t="str">
        <f aca="false">IF(NOT(ISNUMBER(Macro_Series!$C470)),"",Macro_Series!$C470)</f>
        <v/>
      </c>
      <c r="C470" s="6" t="str">
        <f aca="false">IF(NOT(ISNUMBER(Macro_Series!$E470)),"",Macro_Series!$E470)</f>
        <v/>
      </c>
      <c r="D470" s="7" t="str">
        <f aca="false">IF(OR(NOT(ISNUMBER($B470)),NOT(ISNUMBER($C470)),$C470=0),"",$B470/$C470)</f>
        <v/>
      </c>
      <c r="E470" s="7" t="str">
        <f aca="false">IF(NOT(ISNUMBER(Macro_Series!$H470)),"",Macro_Series!$H470)</f>
        <v/>
      </c>
      <c r="F470" s="7" t="str">
        <f aca="false">IF(OR(NOT(ISNUMBER($D470)),NOT(ISNUMBER($E470)),$E470=0),"",$D470/$E470)</f>
        <v/>
      </c>
      <c r="G470" s="8" t="str">
        <f aca="false">IF(OR(NOT(ISNUMBER($B470)),NOT(ISNUMBER($B225)),$B225=0),"",$B470/$B225-1)</f>
        <v/>
      </c>
      <c r="H470" s="8" t="str">
        <f aca="false">IF(OR(NOT(ISNUMBER($D470)),NOT(ISNUMBER($D225)),$D225=0),"",$D470/$D225-1)</f>
        <v/>
      </c>
      <c r="I470" s="8" t="str">
        <f aca="false">IF(OR(NOT(ISNUMBER($G470)),NOT(ISNUMBER($H470))),"",$G470-$H470)</f>
        <v/>
      </c>
    </row>
    <row r="471" customFormat="false" ht="15" hidden="false" customHeight="false" outlineLevel="0" collapsed="false">
      <c r="A471" s="5" t="str">
        <f aca="false">IF(NOT(ISNUMBER(Macro_Series!$A471)),"",Macro_Series!$A471)</f>
        <v/>
      </c>
      <c r="B471" s="6" t="str">
        <f aca="false">IF(NOT(ISNUMBER(Macro_Series!$C471)),"",Macro_Series!$C471)</f>
        <v/>
      </c>
      <c r="C471" s="6" t="str">
        <f aca="false">IF(NOT(ISNUMBER(Macro_Series!$E471)),"",Macro_Series!$E471)</f>
        <v/>
      </c>
      <c r="D471" s="7" t="str">
        <f aca="false">IF(OR(NOT(ISNUMBER($B471)),NOT(ISNUMBER($C471)),$C471=0),"",$B471/$C471)</f>
        <v/>
      </c>
      <c r="E471" s="7" t="str">
        <f aca="false">IF(NOT(ISNUMBER(Macro_Series!$H471)),"",Macro_Series!$H471)</f>
        <v/>
      </c>
      <c r="F471" s="7" t="str">
        <f aca="false">IF(OR(NOT(ISNUMBER($D471)),NOT(ISNUMBER($E471)),$E471=0),"",$D471/$E471)</f>
        <v/>
      </c>
      <c r="G471" s="8" t="str">
        <f aca="false">IF(OR(NOT(ISNUMBER($B471)),NOT(ISNUMBER($B226)),$B226=0),"",$B471/$B226-1)</f>
        <v/>
      </c>
      <c r="H471" s="8" t="str">
        <f aca="false">IF(OR(NOT(ISNUMBER($D471)),NOT(ISNUMBER($D226)),$D226=0),"",$D471/$D226-1)</f>
        <v/>
      </c>
      <c r="I471" s="8" t="str">
        <f aca="false">IF(OR(NOT(ISNUMBER($G471)),NOT(ISNUMBER($H471))),"",$G471-$H471)</f>
        <v/>
      </c>
    </row>
    <row r="472" customFormat="false" ht="15" hidden="false" customHeight="false" outlineLevel="0" collapsed="false">
      <c r="A472" s="5" t="str">
        <f aca="false">IF(NOT(ISNUMBER(Macro_Series!$A472)),"",Macro_Series!$A472)</f>
        <v/>
      </c>
      <c r="B472" s="6" t="str">
        <f aca="false">IF(NOT(ISNUMBER(Macro_Series!$C472)),"",Macro_Series!$C472)</f>
        <v/>
      </c>
      <c r="C472" s="6" t="str">
        <f aca="false">IF(NOT(ISNUMBER(Macro_Series!$E472)),"",Macro_Series!$E472)</f>
        <v/>
      </c>
      <c r="D472" s="7" t="str">
        <f aca="false">IF(OR(NOT(ISNUMBER($B472)),NOT(ISNUMBER($C472)),$C472=0),"",$B472/$C472)</f>
        <v/>
      </c>
      <c r="E472" s="7" t="str">
        <f aca="false">IF(NOT(ISNUMBER(Macro_Series!$H472)),"",Macro_Series!$H472)</f>
        <v/>
      </c>
      <c r="F472" s="7" t="str">
        <f aca="false">IF(OR(NOT(ISNUMBER($D472)),NOT(ISNUMBER($E472)),$E472=0),"",$D472/$E472)</f>
        <v/>
      </c>
      <c r="G472" s="8" t="str">
        <f aca="false">IF(OR(NOT(ISNUMBER($B472)),NOT(ISNUMBER($B227)),$B227=0),"",$B472/$B227-1)</f>
        <v/>
      </c>
      <c r="H472" s="8" t="str">
        <f aca="false">IF(OR(NOT(ISNUMBER($D472)),NOT(ISNUMBER($D227)),$D227=0),"",$D472/$D227-1)</f>
        <v/>
      </c>
      <c r="I472" s="8" t="str">
        <f aca="false">IF(OR(NOT(ISNUMBER($G472)),NOT(ISNUMBER($H472))),"",$G472-$H472)</f>
        <v/>
      </c>
    </row>
    <row r="473" customFormat="false" ht="15" hidden="false" customHeight="false" outlineLevel="0" collapsed="false">
      <c r="A473" s="5" t="str">
        <f aca="false">IF(NOT(ISNUMBER(Macro_Series!$A473)),"",Macro_Series!$A473)</f>
        <v/>
      </c>
      <c r="B473" s="6" t="str">
        <f aca="false">IF(NOT(ISNUMBER(Macro_Series!$C473)),"",Macro_Series!$C473)</f>
        <v/>
      </c>
      <c r="C473" s="6" t="str">
        <f aca="false">IF(NOT(ISNUMBER(Macro_Series!$E473)),"",Macro_Series!$E473)</f>
        <v/>
      </c>
      <c r="D473" s="7" t="str">
        <f aca="false">IF(OR(NOT(ISNUMBER($B473)),NOT(ISNUMBER($C473)),$C473=0),"",$B473/$C473)</f>
        <v/>
      </c>
      <c r="E473" s="7" t="str">
        <f aca="false">IF(NOT(ISNUMBER(Macro_Series!$H473)),"",Macro_Series!$H473)</f>
        <v/>
      </c>
      <c r="F473" s="7" t="str">
        <f aca="false">IF(OR(NOT(ISNUMBER($D473)),NOT(ISNUMBER($E473)),$E473=0),"",$D473/$E473)</f>
        <v/>
      </c>
      <c r="G473" s="8" t="str">
        <f aca="false">IF(OR(NOT(ISNUMBER($B473)),NOT(ISNUMBER($B228)),$B228=0),"",$B473/$B228-1)</f>
        <v/>
      </c>
      <c r="H473" s="8" t="str">
        <f aca="false">IF(OR(NOT(ISNUMBER($D473)),NOT(ISNUMBER($D228)),$D228=0),"",$D473/$D228-1)</f>
        <v/>
      </c>
      <c r="I473" s="8" t="str">
        <f aca="false">IF(OR(NOT(ISNUMBER($G473)),NOT(ISNUMBER($H473))),"",$G473-$H473)</f>
        <v/>
      </c>
    </row>
    <row r="474" customFormat="false" ht="15" hidden="false" customHeight="false" outlineLevel="0" collapsed="false">
      <c r="A474" s="5" t="str">
        <f aca="false">IF(NOT(ISNUMBER(Macro_Series!$A474)),"",Macro_Series!$A474)</f>
        <v/>
      </c>
      <c r="B474" s="6" t="str">
        <f aca="false">IF(NOT(ISNUMBER(Macro_Series!$C474)),"",Macro_Series!$C474)</f>
        <v/>
      </c>
      <c r="C474" s="6" t="str">
        <f aca="false">IF(NOT(ISNUMBER(Macro_Series!$E474)),"",Macro_Series!$E474)</f>
        <v/>
      </c>
      <c r="D474" s="7" t="str">
        <f aca="false">IF(OR(NOT(ISNUMBER($B474)),NOT(ISNUMBER($C474)),$C474=0),"",$B474/$C474)</f>
        <v/>
      </c>
      <c r="E474" s="7" t="str">
        <f aca="false">IF(NOT(ISNUMBER(Macro_Series!$H474)),"",Macro_Series!$H474)</f>
        <v/>
      </c>
      <c r="F474" s="7" t="str">
        <f aca="false">IF(OR(NOT(ISNUMBER($D474)),NOT(ISNUMBER($E474)),$E474=0),"",$D474/$E474)</f>
        <v/>
      </c>
      <c r="G474" s="8" t="str">
        <f aca="false">IF(OR(NOT(ISNUMBER($B474)),NOT(ISNUMBER($B229)),$B229=0),"",$B474/$B229-1)</f>
        <v/>
      </c>
      <c r="H474" s="8" t="str">
        <f aca="false">IF(OR(NOT(ISNUMBER($D474)),NOT(ISNUMBER($D229)),$D229=0),"",$D474/$D229-1)</f>
        <v/>
      </c>
      <c r="I474" s="8" t="str">
        <f aca="false">IF(OR(NOT(ISNUMBER($G474)),NOT(ISNUMBER($H474))),"",$G474-$H474)</f>
        <v/>
      </c>
    </row>
    <row r="475" customFormat="false" ht="15" hidden="false" customHeight="false" outlineLevel="0" collapsed="false">
      <c r="A475" s="5" t="str">
        <f aca="false">IF(NOT(ISNUMBER(Macro_Series!$A475)),"",Macro_Series!$A475)</f>
        <v/>
      </c>
      <c r="B475" s="6" t="str">
        <f aca="false">IF(NOT(ISNUMBER(Macro_Series!$C475)),"",Macro_Series!$C475)</f>
        <v/>
      </c>
      <c r="C475" s="6" t="str">
        <f aca="false">IF(NOT(ISNUMBER(Macro_Series!$E475)),"",Macro_Series!$E475)</f>
        <v/>
      </c>
      <c r="D475" s="7" t="str">
        <f aca="false">IF(OR(NOT(ISNUMBER($B475)),NOT(ISNUMBER($C475)),$C475=0),"",$B475/$C475)</f>
        <v/>
      </c>
      <c r="E475" s="7" t="str">
        <f aca="false">IF(NOT(ISNUMBER(Macro_Series!$H475)),"",Macro_Series!$H475)</f>
        <v/>
      </c>
      <c r="F475" s="7" t="str">
        <f aca="false">IF(OR(NOT(ISNUMBER($D475)),NOT(ISNUMBER($E475)),$E475=0),"",$D475/$E475)</f>
        <v/>
      </c>
      <c r="G475" s="8" t="str">
        <f aca="false">IF(OR(NOT(ISNUMBER($B475)),NOT(ISNUMBER($B230)),$B230=0),"",$B475/$B230-1)</f>
        <v/>
      </c>
      <c r="H475" s="8" t="str">
        <f aca="false">IF(OR(NOT(ISNUMBER($D475)),NOT(ISNUMBER($D230)),$D230=0),"",$D475/$D230-1)</f>
        <v/>
      </c>
      <c r="I475" s="8" t="str">
        <f aca="false">IF(OR(NOT(ISNUMBER($G475)),NOT(ISNUMBER($H475))),"",$G475-$H475)</f>
        <v/>
      </c>
    </row>
    <row r="476" customFormat="false" ht="15" hidden="false" customHeight="false" outlineLevel="0" collapsed="false">
      <c r="A476" s="5" t="str">
        <f aca="false">IF(NOT(ISNUMBER(Macro_Series!$A476)),"",Macro_Series!$A476)</f>
        <v/>
      </c>
      <c r="B476" s="6" t="str">
        <f aca="false">IF(NOT(ISNUMBER(Macro_Series!$C476)),"",Macro_Series!$C476)</f>
        <v/>
      </c>
      <c r="C476" s="6" t="str">
        <f aca="false">IF(NOT(ISNUMBER(Macro_Series!$E476)),"",Macro_Series!$E476)</f>
        <v/>
      </c>
      <c r="D476" s="7" t="str">
        <f aca="false">IF(OR(NOT(ISNUMBER($B476)),NOT(ISNUMBER($C476)),$C476=0),"",$B476/$C476)</f>
        <v/>
      </c>
      <c r="E476" s="7" t="str">
        <f aca="false">IF(NOT(ISNUMBER(Macro_Series!$H476)),"",Macro_Series!$H476)</f>
        <v/>
      </c>
      <c r="F476" s="7" t="str">
        <f aca="false">IF(OR(NOT(ISNUMBER($D476)),NOT(ISNUMBER($E476)),$E476=0),"",$D476/$E476)</f>
        <v/>
      </c>
      <c r="G476" s="8" t="str">
        <f aca="false">IF(OR(NOT(ISNUMBER($B476)),NOT(ISNUMBER($B231)),$B231=0),"",$B476/$B231-1)</f>
        <v/>
      </c>
      <c r="H476" s="8" t="str">
        <f aca="false">IF(OR(NOT(ISNUMBER($D476)),NOT(ISNUMBER($D231)),$D231=0),"",$D476/$D231-1)</f>
        <v/>
      </c>
      <c r="I476" s="8" t="str">
        <f aca="false">IF(OR(NOT(ISNUMBER($G476)),NOT(ISNUMBER($H476))),"",$G476-$H476)</f>
        <v/>
      </c>
    </row>
    <row r="477" customFormat="false" ht="15" hidden="false" customHeight="false" outlineLevel="0" collapsed="false">
      <c r="A477" s="5" t="str">
        <f aca="false">IF(NOT(ISNUMBER(Macro_Series!$A477)),"",Macro_Series!$A477)</f>
        <v/>
      </c>
      <c r="B477" s="6" t="str">
        <f aca="false">IF(NOT(ISNUMBER(Macro_Series!$C477)),"",Macro_Series!$C477)</f>
        <v/>
      </c>
      <c r="C477" s="6" t="str">
        <f aca="false">IF(NOT(ISNUMBER(Macro_Series!$E477)),"",Macro_Series!$E477)</f>
        <v/>
      </c>
      <c r="D477" s="7" t="str">
        <f aca="false">IF(OR(NOT(ISNUMBER($B477)),NOT(ISNUMBER($C477)),$C477=0),"",$B477/$C477)</f>
        <v/>
      </c>
      <c r="E477" s="7" t="str">
        <f aca="false">IF(NOT(ISNUMBER(Macro_Series!$H477)),"",Macro_Series!$H477)</f>
        <v/>
      </c>
      <c r="F477" s="7" t="str">
        <f aca="false">IF(OR(NOT(ISNUMBER($D477)),NOT(ISNUMBER($E477)),$E477=0),"",$D477/$E477)</f>
        <v/>
      </c>
      <c r="G477" s="8" t="str">
        <f aca="false">IF(OR(NOT(ISNUMBER($B477)),NOT(ISNUMBER($B232)),$B232=0),"",$B477/$B232-1)</f>
        <v/>
      </c>
      <c r="H477" s="8" t="str">
        <f aca="false">IF(OR(NOT(ISNUMBER($D477)),NOT(ISNUMBER($D232)),$D232=0),"",$D477/$D232-1)</f>
        <v/>
      </c>
      <c r="I477" s="8" t="str">
        <f aca="false">IF(OR(NOT(ISNUMBER($G477)),NOT(ISNUMBER($H477))),"",$G477-$H477)</f>
        <v/>
      </c>
    </row>
    <row r="478" customFormat="false" ht="15" hidden="false" customHeight="false" outlineLevel="0" collapsed="false">
      <c r="A478" s="5" t="str">
        <f aca="false">IF(NOT(ISNUMBER(Macro_Series!$A478)),"",Macro_Series!$A478)</f>
        <v/>
      </c>
      <c r="B478" s="6" t="str">
        <f aca="false">IF(NOT(ISNUMBER(Macro_Series!$C478)),"",Macro_Series!$C478)</f>
        <v/>
      </c>
      <c r="C478" s="6" t="str">
        <f aca="false">IF(NOT(ISNUMBER(Macro_Series!$E478)),"",Macro_Series!$E478)</f>
        <v/>
      </c>
      <c r="D478" s="7" t="str">
        <f aca="false">IF(OR(NOT(ISNUMBER($B478)),NOT(ISNUMBER($C478)),$C478=0),"",$B478/$C478)</f>
        <v/>
      </c>
      <c r="E478" s="7" t="str">
        <f aca="false">IF(NOT(ISNUMBER(Macro_Series!$H478)),"",Macro_Series!$H478)</f>
        <v/>
      </c>
      <c r="F478" s="7" t="str">
        <f aca="false">IF(OR(NOT(ISNUMBER($D478)),NOT(ISNUMBER($E478)),$E478=0),"",$D478/$E478)</f>
        <v/>
      </c>
      <c r="G478" s="8" t="str">
        <f aca="false">IF(OR(NOT(ISNUMBER($B478)),NOT(ISNUMBER($B233)),$B233=0),"",$B478/$B233-1)</f>
        <v/>
      </c>
      <c r="H478" s="8" t="str">
        <f aca="false">IF(OR(NOT(ISNUMBER($D478)),NOT(ISNUMBER($D233)),$D233=0),"",$D478/$D233-1)</f>
        <v/>
      </c>
      <c r="I478" s="8" t="str">
        <f aca="false">IF(OR(NOT(ISNUMBER($G478)),NOT(ISNUMBER($H478))),"",$G478-$H478)</f>
        <v/>
      </c>
    </row>
    <row r="479" customFormat="false" ht="15" hidden="false" customHeight="false" outlineLevel="0" collapsed="false">
      <c r="A479" s="5" t="str">
        <f aca="false">IF(NOT(ISNUMBER(Macro_Series!$A479)),"",Macro_Series!$A479)</f>
        <v/>
      </c>
      <c r="B479" s="6" t="str">
        <f aca="false">IF(NOT(ISNUMBER(Macro_Series!$C479)),"",Macro_Series!$C479)</f>
        <v/>
      </c>
      <c r="C479" s="6" t="str">
        <f aca="false">IF(NOT(ISNUMBER(Macro_Series!$E479)),"",Macro_Series!$E479)</f>
        <v/>
      </c>
      <c r="D479" s="7" t="str">
        <f aca="false">IF(OR(NOT(ISNUMBER($B479)),NOT(ISNUMBER($C479)),$C479=0),"",$B479/$C479)</f>
        <v/>
      </c>
      <c r="E479" s="7" t="str">
        <f aca="false">IF(NOT(ISNUMBER(Macro_Series!$H479)),"",Macro_Series!$H479)</f>
        <v/>
      </c>
      <c r="F479" s="7" t="str">
        <f aca="false">IF(OR(NOT(ISNUMBER($D479)),NOT(ISNUMBER($E479)),$E479=0),"",$D479/$E479)</f>
        <v/>
      </c>
      <c r="G479" s="8" t="str">
        <f aca="false">IF(OR(NOT(ISNUMBER($B479)),NOT(ISNUMBER($B234)),$B234=0),"",$B479/$B234-1)</f>
        <v/>
      </c>
      <c r="H479" s="8" t="str">
        <f aca="false">IF(OR(NOT(ISNUMBER($D479)),NOT(ISNUMBER($D234)),$D234=0),"",$D479/$D234-1)</f>
        <v/>
      </c>
      <c r="I479" s="8" t="str">
        <f aca="false">IF(OR(NOT(ISNUMBER($G479)),NOT(ISNUMBER($H479))),"",$G479-$H479)</f>
        <v/>
      </c>
    </row>
    <row r="480" customFormat="false" ht="15" hidden="false" customHeight="false" outlineLevel="0" collapsed="false">
      <c r="A480" s="5" t="str">
        <f aca="false">IF(NOT(ISNUMBER(Macro_Series!$A480)),"",Macro_Series!$A480)</f>
        <v/>
      </c>
      <c r="B480" s="6" t="str">
        <f aca="false">IF(NOT(ISNUMBER(Macro_Series!$C480)),"",Macro_Series!$C480)</f>
        <v/>
      </c>
      <c r="C480" s="6" t="str">
        <f aca="false">IF(NOT(ISNUMBER(Macro_Series!$E480)),"",Macro_Series!$E480)</f>
        <v/>
      </c>
      <c r="D480" s="7" t="str">
        <f aca="false">IF(OR(NOT(ISNUMBER($B480)),NOT(ISNUMBER($C480)),$C480=0),"",$B480/$C480)</f>
        <v/>
      </c>
      <c r="E480" s="7" t="str">
        <f aca="false">IF(NOT(ISNUMBER(Macro_Series!$H480)),"",Macro_Series!$H480)</f>
        <v/>
      </c>
      <c r="F480" s="7" t="str">
        <f aca="false">IF(OR(NOT(ISNUMBER($D480)),NOT(ISNUMBER($E480)),$E480=0),"",$D480/$E480)</f>
        <v/>
      </c>
      <c r="G480" s="8" t="str">
        <f aca="false">IF(OR(NOT(ISNUMBER($B480)),NOT(ISNUMBER($B235)),$B235=0),"",$B480/$B235-1)</f>
        <v/>
      </c>
      <c r="H480" s="8" t="str">
        <f aca="false">IF(OR(NOT(ISNUMBER($D480)),NOT(ISNUMBER($D235)),$D235=0),"",$D480/$D235-1)</f>
        <v/>
      </c>
      <c r="I480" s="8" t="str">
        <f aca="false">IF(OR(NOT(ISNUMBER($G480)),NOT(ISNUMBER($H480))),"",$G480-$H480)</f>
        <v/>
      </c>
    </row>
    <row r="481" customFormat="false" ht="15" hidden="false" customHeight="false" outlineLevel="0" collapsed="false">
      <c r="A481" s="5" t="str">
        <f aca="false">IF(NOT(ISNUMBER(Macro_Series!$A481)),"",Macro_Series!$A481)</f>
        <v/>
      </c>
      <c r="B481" s="6" t="str">
        <f aca="false">IF(NOT(ISNUMBER(Macro_Series!$C481)),"",Macro_Series!$C481)</f>
        <v/>
      </c>
      <c r="C481" s="6" t="str">
        <f aca="false">IF(NOT(ISNUMBER(Macro_Series!$E481)),"",Macro_Series!$E481)</f>
        <v/>
      </c>
      <c r="D481" s="7" t="str">
        <f aca="false">IF(OR(NOT(ISNUMBER($B481)),NOT(ISNUMBER($C481)),$C481=0),"",$B481/$C481)</f>
        <v/>
      </c>
      <c r="E481" s="7" t="str">
        <f aca="false">IF(NOT(ISNUMBER(Macro_Series!$H481)),"",Macro_Series!$H481)</f>
        <v/>
      </c>
      <c r="F481" s="7" t="str">
        <f aca="false">IF(OR(NOT(ISNUMBER($D481)),NOT(ISNUMBER($E481)),$E481=0),"",$D481/$E481)</f>
        <v/>
      </c>
      <c r="G481" s="8" t="str">
        <f aca="false">IF(OR(NOT(ISNUMBER($B481)),NOT(ISNUMBER($B236)),$B236=0),"",$B481/$B236-1)</f>
        <v/>
      </c>
      <c r="H481" s="8" t="str">
        <f aca="false">IF(OR(NOT(ISNUMBER($D481)),NOT(ISNUMBER($D236)),$D236=0),"",$D481/$D236-1)</f>
        <v/>
      </c>
      <c r="I481" s="8" t="str">
        <f aca="false">IF(OR(NOT(ISNUMBER($G481)),NOT(ISNUMBER($H481))),"",$G481-$H481)</f>
        <v/>
      </c>
    </row>
    <row r="482" customFormat="false" ht="15" hidden="false" customHeight="false" outlineLevel="0" collapsed="false">
      <c r="A482" s="5" t="str">
        <f aca="false">IF(NOT(ISNUMBER(Macro_Series!$A482)),"",Macro_Series!$A482)</f>
        <v/>
      </c>
      <c r="B482" s="6" t="str">
        <f aca="false">IF(NOT(ISNUMBER(Macro_Series!$C482)),"",Macro_Series!$C482)</f>
        <v/>
      </c>
      <c r="C482" s="6" t="str">
        <f aca="false">IF(NOT(ISNUMBER(Macro_Series!$E482)),"",Macro_Series!$E482)</f>
        <v/>
      </c>
      <c r="D482" s="7" t="str">
        <f aca="false">IF(OR(NOT(ISNUMBER($B482)),NOT(ISNUMBER($C482)),$C482=0),"",$B482/$C482)</f>
        <v/>
      </c>
      <c r="E482" s="7" t="str">
        <f aca="false">IF(NOT(ISNUMBER(Macro_Series!$H482)),"",Macro_Series!$H482)</f>
        <v/>
      </c>
      <c r="F482" s="7" t="str">
        <f aca="false">IF(OR(NOT(ISNUMBER($D482)),NOT(ISNUMBER($E482)),$E482=0),"",$D482/$E482)</f>
        <v/>
      </c>
      <c r="G482" s="8" t="str">
        <f aca="false">IF(OR(NOT(ISNUMBER($B482)),NOT(ISNUMBER($B237)),$B237=0),"",$B482/$B237-1)</f>
        <v/>
      </c>
      <c r="H482" s="8" t="str">
        <f aca="false">IF(OR(NOT(ISNUMBER($D482)),NOT(ISNUMBER($D237)),$D237=0),"",$D482/$D237-1)</f>
        <v/>
      </c>
      <c r="I482" s="8" t="str">
        <f aca="false">IF(OR(NOT(ISNUMBER($G482)),NOT(ISNUMBER($H482))),"",$G482-$H482)</f>
        <v/>
      </c>
    </row>
    <row r="483" customFormat="false" ht="15" hidden="false" customHeight="false" outlineLevel="0" collapsed="false">
      <c r="A483" s="5" t="str">
        <f aca="false">IF(NOT(ISNUMBER(Macro_Series!$A483)),"",Macro_Series!$A483)</f>
        <v/>
      </c>
      <c r="B483" s="6" t="str">
        <f aca="false">IF(NOT(ISNUMBER(Macro_Series!$C483)),"",Macro_Series!$C483)</f>
        <v/>
      </c>
      <c r="C483" s="6" t="str">
        <f aca="false">IF(NOT(ISNUMBER(Macro_Series!$E483)),"",Macro_Series!$E483)</f>
        <v/>
      </c>
      <c r="D483" s="7" t="str">
        <f aca="false">IF(OR(NOT(ISNUMBER($B483)),NOT(ISNUMBER($C483)),$C483=0),"",$B483/$C483)</f>
        <v/>
      </c>
      <c r="E483" s="7" t="str">
        <f aca="false">IF(NOT(ISNUMBER(Macro_Series!$H483)),"",Macro_Series!$H483)</f>
        <v/>
      </c>
      <c r="F483" s="7" t="str">
        <f aca="false">IF(OR(NOT(ISNUMBER($D483)),NOT(ISNUMBER($E483)),$E483=0),"",$D483/$E483)</f>
        <v/>
      </c>
      <c r="G483" s="8" t="str">
        <f aca="false">IF(OR(NOT(ISNUMBER($B483)),NOT(ISNUMBER($B238)),$B238=0),"",$B483/$B238-1)</f>
        <v/>
      </c>
      <c r="H483" s="8" t="str">
        <f aca="false">IF(OR(NOT(ISNUMBER($D483)),NOT(ISNUMBER($D238)),$D238=0),"",$D483/$D238-1)</f>
        <v/>
      </c>
      <c r="I483" s="8" t="str">
        <f aca="false">IF(OR(NOT(ISNUMBER($G483)),NOT(ISNUMBER($H483))),"",$G483-$H483)</f>
        <v/>
      </c>
    </row>
    <row r="484" customFormat="false" ht="15" hidden="false" customHeight="false" outlineLevel="0" collapsed="false">
      <c r="A484" s="5" t="str">
        <f aca="false">IF(NOT(ISNUMBER(Macro_Series!$A484)),"",Macro_Series!$A484)</f>
        <v/>
      </c>
      <c r="B484" s="6" t="str">
        <f aca="false">IF(NOT(ISNUMBER(Macro_Series!$C484)),"",Macro_Series!$C484)</f>
        <v/>
      </c>
      <c r="C484" s="6" t="str">
        <f aca="false">IF(NOT(ISNUMBER(Macro_Series!$E484)),"",Macro_Series!$E484)</f>
        <v/>
      </c>
      <c r="D484" s="7" t="str">
        <f aca="false">IF(OR(NOT(ISNUMBER($B484)),NOT(ISNUMBER($C484)),$C484=0),"",$B484/$C484)</f>
        <v/>
      </c>
      <c r="E484" s="7" t="str">
        <f aca="false">IF(NOT(ISNUMBER(Macro_Series!$H484)),"",Macro_Series!$H484)</f>
        <v/>
      </c>
      <c r="F484" s="7" t="str">
        <f aca="false">IF(OR(NOT(ISNUMBER($D484)),NOT(ISNUMBER($E484)),$E484=0),"",$D484/$E484)</f>
        <v/>
      </c>
      <c r="G484" s="8" t="str">
        <f aca="false">IF(OR(NOT(ISNUMBER($B484)),NOT(ISNUMBER($B239)),$B239=0),"",$B484/$B239-1)</f>
        <v/>
      </c>
      <c r="H484" s="8" t="str">
        <f aca="false">IF(OR(NOT(ISNUMBER($D484)),NOT(ISNUMBER($D239)),$D239=0),"",$D484/$D239-1)</f>
        <v/>
      </c>
      <c r="I484" s="8" t="str">
        <f aca="false">IF(OR(NOT(ISNUMBER($G484)),NOT(ISNUMBER($H484))),"",$G484-$H484)</f>
        <v/>
      </c>
    </row>
    <row r="485" customFormat="false" ht="15" hidden="false" customHeight="false" outlineLevel="0" collapsed="false">
      <c r="A485" s="5" t="str">
        <f aca="false">IF(NOT(ISNUMBER(Macro_Series!$A485)),"",Macro_Series!$A485)</f>
        <v/>
      </c>
      <c r="B485" s="6" t="str">
        <f aca="false">IF(NOT(ISNUMBER(Macro_Series!$C485)),"",Macro_Series!$C485)</f>
        <v/>
      </c>
      <c r="C485" s="6" t="str">
        <f aca="false">IF(NOT(ISNUMBER(Macro_Series!$E485)),"",Macro_Series!$E485)</f>
        <v/>
      </c>
      <c r="D485" s="7" t="str">
        <f aca="false">IF(OR(NOT(ISNUMBER($B485)),NOT(ISNUMBER($C485)),$C485=0),"",$B485/$C485)</f>
        <v/>
      </c>
      <c r="E485" s="7" t="str">
        <f aca="false">IF(NOT(ISNUMBER(Macro_Series!$H485)),"",Macro_Series!$H485)</f>
        <v/>
      </c>
      <c r="F485" s="7" t="str">
        <f aca="false">IF(OR(NOT(ISNUMBER($D485)),NOT(ISNUMBER($E485)),$E485=0),"",$D485/$E485)</f>
        <v/>
      </c>
      <c r="G485" s="8" t="str">
        <f aca="false">IF(OR(NOT(ISNUMBER($B485)),NOT(ISNUMBER($B240)),$B240=0),"",$B485/$B240-1)</f>
        <v/>
      </c>
      <c r="H485" s="8" t="str">
        <f aca="false">IF(OR(NOT(ISNUMBER($D485)),NOT(ISNUMBER($D240)),$D240=0),"",$D485/$D240-1)</f>
        <v/>
      </c>
      <c r="I485" s="8" t="str">
        <f aca="false">IF(OR(NOT(ISNUMBER($G485)),NOT(ISNUMBER($H485))),"",$G485-$H485)</f>
        <v/>
      </c>
    </row>
    <row r="486" customFormat="false" ht="15" hidden="false" customHeight="false" outlineLevel="0" collapsed="false">
      <c r="A486" s="5" t="str">
        <f aca="false">IF(NOT(ISNUMBER(Macro_Series!$A486)),"",Macro_Series!$A486)</f>
        <v/>
      </c>
      <c r="B486" s="6" t="str">
        <f aca="false">IF(NOT(ISNUMBER(Macro_Series!$C486)),"",Macro_Series!$C486)</f>
        <v/>
      </c>
      <c r="C486" s="6" t="str">
        <f aca="false">IF(NOT(ISNUMBER(Macro_Series!$E486)),"",Macro_Series!$E486)</f>
        <v/>
      </c>
      <c r="D486" s="7" t="str">
        <f aca="false">IF(OR(NOT(ISNUMBER($B486)),NOT(ISNUMBER($C486)),$C486=0),"",$B486/$C486)</f>
        <v/>
      </c>
      <c r="E486" s="7" t="str">
        <f aca="false">IF(NOT(ISNUMBER(Macro_Series!$H486)),"",Macro_Series!$H486)</f>
        <v/>
      </c>
      <c r="F486" s="7" t="str">
        <f aca="false">IF(OR(NOT(ISNUMBER($D486)),NOT(ISNUMBER($E486)),$E486=0),"",$D486/$E486)</f>
        <v/>
      </c>
      <c r="G486" s="8" t="str">
        <f aca="false">IF(OR(NOT(ISNUMBER($B486)),NOT(ISNUMBER($B241)),$B241=0),"",$B486/$B241-1)</f>
        <v/>
      </c>
      <c r="H486" s="8" t="str">
        <f aca="false">IF(OR(NOT(ISNUMBER($D486)),NOT(ISNUMBER($D241)),$D241=0),"",$D486/$D241-1)</f>
        <v/>
      </c>
      <c r="I486" s="8" t="str">
        <f aca="false">IF(OR(NOT(ISNUMBER($G486)),NOT(ISNUMBER($H486))),"",$G486-$H486)</f>
        <v/>
      </c>
    </row>
    <row r="487" customFormat="false" ht="15" hidden="false" customHeight="false" outlineLevel="0" collapsed="false">
      <c r="A487" s="5" t="str">
        <f aca="false">IF(NOT(ISNUMBER(Macro_Series!$A487)),"",Macro_Series!$A487)</f>
        <v/>
      </c>
      <c r="B487" s="6" t="str">
        <f aca="false">IF(NOT(ISNUMBER(Macro_Series!$C487)),"",Macro_Series!$C487)</f>
        <v/>
      </c>
      <c r="C487" s="6" t="str">
        <f aca="false">IF(NOT(ISNUMBER(Macro_Series!$E487)),"",Macro_Series!$E487)</f>
        <v/>
      </c>
      <c r="D487" s="7" t="str">
        <f aca="false">IF(OR(NOT(ISNUMBER($B487)),NOT(ISNUMBER($C487)),$C487=0),"",$B487/$C487)</f>
        <v/>
      </c>
      <c r="E487" s="7" t="str">
        <f aca="false">IF(NOT(ISNUMBER(Macro_Series!$H487)),"",Macro_Series!$H487)</f>
        <v/>
      </c>
      <c r="F487" s="7" t="str">
        <f aca="false">IF(OR(NOT(ISNUMBER($D487)),NOT(ISNUMBER($E487)),$E487=0),"",$D487/$E487)</f>
        <v/>
      </c>
      <c r="G487" s="8" t="str">
        <f aca="false">IF(OR(NOT(ISNUMBER($B487)),NOT(ISNUMBER($B242)),$B242=0),"",$B487/$B242-1)</f>
        <v/>
      </c>
      <c r="H487" s="8" t="str">
        <f aca="false">IF(OR(NOT(ISNUMBER($D487)),NOT(ISNUMBER($D242)),$D242=0),"",$D487/$D242-1)</f>
        <v/>
      </c>
      <c r="I487" s="8" t="str">
        <f aca="false">IF(OR(NOT(ISNUMBER($G487)),NOT(ISNUMBER($H487))),"",$G487-$H487)</f>
        <v/>
      </c>
    </row>
    <row r="488" customFormat="false" ht="15" hidden="false" customHeight="false" outlineLevel="0" collapsed="false">
      <c r="A488" s="5" t="str">
        <f aca="false">IF(NOT(ISNUMBER(Macro_Series!$A488)),"",Macro_Series!$A488)</f>
        <v/>
      </c>
      <c r="B488" s="6" t="str">
        <f aca="false">IF(NOT(ISNUMBER(Macro_Series!$C488)),"",Macro_Series!$C488)</f>
        <v/>
      </c>
      <c r="C488" s="6" t="str">
        <f aca="false">IF(NOT(ISNUMBER(Macro_Series!$E488)),"",Macro_Series!$E488)</f>
        <v/>
      </c>
      <c r="D488" s="7" t="str">
        <f aca="false">IF(OR(NOT(ISNUMBER($B488)),NOT(ISNUMBER($C488)),$C488=0),"",$B488/$C488)</f>
        <v/>
      </c>
      <c r="E488" s="7" t="str">
        <f aca="false">IF(NOT(ISNUMBER(Macro_Series!$H488)),"",Macro_Series!$H488)</f>
        <v/>
      </c>
      <c r="F488" s="7" t="str">
        <f aca="false">IF(OR(NOT(ISNUMBER($D488)),NOT(ISNUMBER($E488)),$E488=0),"",$D488/$E488)</f>
        <v/>
      </c>
      <c r="G488" s="8" t="str">
        <f aca="false">IF(OR(NOT(ISNUMBER($B488)),NOT(ISNUMBER($B243)),$B243=0),"",$B488/$B243-1)</f>
        <v/>
      </c>
      <c r="H488" s="8" t="str">
        <f aca="false">IF(OR(NOT(ISNUMBER($D488)),NOT(ISNUMBER($D243)),$D243=0),"",$D488/$D243-1)</f>
        <v/>
      </c>
      <c r="I488" s="8" t="str">
        <f aca="false">IF(OR(NOT(ISNUMBER($G488)),NOT(ISNUMBER($H488))),"",$G488-$H488)</f>
        <v/>
      </c>
    </row>
    <row r="489" customFormat="false" ht="15" hidden="false" customHeight="false" outlineLevel="0" collapsed="false">
      <c r="A489" s="5" t="str">
        <f aca="false">IF(NOT(ISNUMBER(Macro_Series!$A489)),"",Macro_Series!$A489)</f>
        <v/>
      </c>
      <c r="B489" s="6" t="str">
        <f aca="false">IF(NOT(ISNUMBER(Macro_Series!$C489)),"",Macro_Series!$C489)</f>
        <v/>
      </c>
      <c r="C489" s="6" t="str">
        <f aca="false">IF(NOT(ISNUMBER(Macro_Series!$E489)),"",Macro_Series!$E489)</f>
        <v/>
      </c>
      <c r="D489" s="7" t="str">
        <f aca="false">IF(OR(NOT(ISNUMBER($B489)),NOT(ISNUMBER($C489)),$C489=0),"",$B489/$C489)</f>
        <v/>
      </c>
      <c r="E489" s="7" t="str">
        <f aca="false">IF(NOT(ISNUMBER(Macro_Series!$H489)),"",Macro_Series!$H489)</f>
        <v/>
      </c>
      <c r="F489" s="7" t="str">
        <f aca="false">IF(OR(NOT(ISNUMBER($D489)),NOT(ISNUMBER($E489)),$E489=0),"",$D489/$E489)</f>
        <v/>
      </c>
      <c r="G489" s="8" t="str">
        <f aca="false">IF(OR(NOT(ISNUMBER($B489)),NOT(ISNUMBER($B244)),$B244=0),"",$B489/$B244-1)</f>
        <v/>
      </c>
      <c r="H489" s="8" t="str">
        <f aca="false">IF(OR(NOT(ISNUMBER($D489)),NOT(ISNUMBER($D244)),$D244=0),"",$D489/$D244-1)</f>
        <v/>
      </c>
      <c r="I489" s="8" t="str">
        <f aca="false">IF(OR(NOT(ISNUMBER($G489)),NOT(ISNUMBER($H489))),"",$G489-$H489)</f>
        <v/>
      </c>
    </row>
    <row r="490" customFormat="false" ht="15" hidden="false" customHeight="false" outlineLevel="0" collapsed="false">
      <c r="A490" s="5" t="str">
        <f aca="false">IF(NOT(ISNUMBER(Macro_Series!$A490)),"",Macro_Series!$A490)</f>
        <v/>
      </c>
      <c r="B490" s="6" t="str">
        <f aca="false">IF(NOT(ISNUMBER(Macro_Series!$C490)),"",Macro_Series!$C490)</f>
        <v/>
      </c>
      <c r="C490" s="6" t="str">
        <f aca="false">IF(NOT(ISNUMBER(Macro_Series!$E490)),"",Macro_Series!$E490)</f>
        <v/>
      </c>
      <c r="D490" s="7" t="str">
        <f aca="false">IF(OR(NOT(ISNUMBER($B490)),NOT(ISNUMBER($C490)),$C490=0),"",$B490/$C490)</f>
        <v/>
      </c>
      <c r="E490" s="7" t="str">
        <f aca="false">IF(NOT(ISNUMBER(Macro_Series!$H490)),"",Macro_Series!$H490)</f>
        <v/>
      </c>
      <c r="F490" s="7" t="str">
        <f aca="false">IF(OR(NOT(ISNUMBER($D490)),NOT(ISNUMBER($E490)),$E490=0),"",$D490/$E490)</f>
        <v/>
      </c>
      <c r="G490" s="8" t="str">
        <f aca="false">IF(OR(NOT(ISNUMBER($B490)),NOT(ISNUMBER($B245)),$B245=0),"",$B490/$B245-1)</f>
        <v/>
      </c>
      <c r="H490" s="8" t="str">
        <f aca="false">IF(OR(NOT(ISNUMBER($D490)),NOT(ISNUMBER($D245)),$D245=0),"",$D490/$D245-1)</f>
        <v/>
      </c>
      <c r="I490" s="8" t="str">
        <f aca="false">IF(OR(NOT(ISNUMBER($G490)),NOT(ISNUMBER($H490))),"",$G490-$H490)</f>
        <v/>
      </c>
    </row>
    <row r="491" customFormat="false" ht="15" hidden="false" customHeight="false" outlineLevel="0" collapsed="false">
      <c r="A491" s="5" t="str">
        <f aca="false">IF(NOT(ISNUMBER(Macro_Series!$A491)),"",Macro_Series!$A491)</f>
        <v/>
      </c>
      <c r="B491" s="6" t="str">
        <f aca="false">IF(NOT(ISNUMBER(Macro_Series!$C491)),"",Macro_Series!$C491)</f>
        <v/>
      </c>
      <c r="C491" s="6" t="str">
        <f aca="false">IF(NOT(ISNUMBER(Macro_Series!$E491)),"",Macro_Series!$E491)</f>
        <v/>
      </c>
      <c r="D491" s="7" t="str">
        <f aca="false">IF(OR(NOT(ISNUMBER($B491)),NOT(ISNUMBER($C491)),$C491=0),"",$B491/$C491)</f>
        <v/>
      </c>
      <c r="E491" s="7" t="str">
        <f aca="false">IF(NOT(ISNUMBER(Macro_Series!$H491)),"",Macro_Series!$H491)</f>
        <v/>
      </c>
      <c r="F491" s="7" t="str">
        <f aca="false">IF(OR(NOT(ISNUMBER($D491)),NOT(ISNUMBER($E491)),$E491=0),"",$D491/$E491)</f>
        <v/>
      </c>
      <c r="G491" s="8" t="str">
        <f aca="false">IF(OR(NOT(ISNUMBER($B491)),NOT(ISNUMBER($B246)),$B246=0),"",$B491/$B246-1)</f>
        <v/>
      </c>
      <c r="H491" s="8" t="str">
        <f aca="false">IF(OR(NOT(ISNUMBER($D491)),NOT(ISNUMBER($D246)),$D246=0),"",$D491/$D246-1)</f>
        <v/>
      </c>
      <c r="I491" s="8" t="str">
        <f aca="false">IF(OR(NOT(ISNUMBER($G491)),NOT(ISNUMBER($H491))),"",$G491-$H491)</f>
        <v/>
      </c>
    </row>
    <row r="492" customFormat="false" ht="15" hidden="false" customHeight="false" outlineLevel="0" collapsed="false">
      <c r="A492" s="5" t="str">
        <f aca="false">IF(NOT(ISNUMBER(Macro_Series!$A492)),"",Macro_Series!$A492)</f>
        <v/>
      </c>
      <c r="B492" s="6" t="str">
        <f aca="false">IF(NOT(ISNUMBER(Macro_Series!$C492)),"",Macro_Series!$C492)</f>
        <v/>
      </c>
      <c r="C492" s="6" t="str">
        <f aca="false">IF(NOT(ISNUMBER(Macro_Series!$E492)),"",Macro_Series!$E492)</f>
        <v/>
      </c>
      <c r="D492" s="7" t="str">
        <f aca="false">IF(OR(NOT(ISNUMBER($B492)),NOT(ISNUMBER($C492)),$C492=0),"",$B492/$C492)</f>
        <v/>
      </c>
      <c r="E492" s="7" t="str">
        <f aca="false">IF(NOT(ISNUMBER(Macro_Series!$H492)),"",Macro_Series!$H492)</f>
        <v/>
      </c>
      <c r="F492" s="7" t="str">
        <f aca="false">IF(OR(NOT(ISNUMBER($D492)),NOT(ISNUMBER($E492)),$E492=0),"",$D492/$E492)</f>
        <v/>
      </c>
      <c r="G492" s="8" t="str">
        <f aca="false">IF(OR(NOT(ISNUMBER($B492)),NOT(ISNUMBER($B247)),$B247=0),"",$B492/$B247-1)</f>
        <v/>
      </c>
      <c r="H492" s="8" t="str">
        <f aca="false">IF(OR(NOT(ISNUMBER($D492)),NOT(ISNUMBER($D247)),$D247=0),"",$D492/$D247-1)</f>
        <v/>
      </c>
      <c r="I492" s="8" t="str">
        <f aca="false">IF(OR(NOT(ISNUMBER($G492)),NOT(ISNUMBER($H492))),"",$G492-$H492)</f>
        <v/>
      </c>
    </row>
    <row r="493" customFormat="false" ht="15" hidden="false" customHeight="false" outlineLevel="0" collapsed="false">
      <c r="A493" s="5" t="str">
        <f aca="false">IF(NOT(ISNUMBER(Macro_Series!$A493)),"",Macro_Series!$A493)</f>
        <v/>
      </c>
      <c r="B493" s="6" t="str">
        <f aca="false">IF(NOT(ISNUMBER(Macro_Series!$C493)),"",Macro_Series!$C493)</f>
        <v/>
      </c>
      <c r="C493" s="6" t="str">
        <f aca="false">IF(NOT(ISNUMBER(Macro_Series!$E493)),"",Macro_Series!$E493)</f>
        <v/>
      </c>
      <c r="D493" s="7" t="str">
        <f aca="false">IF(OR(NOT(ISNUMBER($B493)),NOT(ISNUMBER($C493)),$C493=0),"",$B493/$C493)</f>
        <v/>
      </c>
      <c r="E493" s="7" t="str">
        <f aca="false">IF(NOT(ISNUMBER(Macro_Series!$H493)),"",Macro_Series!$H493)</f>
        <v/>
      </c>
      <c r="F493" s="7" t="str">
        <f aca="false">IF(OR(NOT(ISNUMBER($D493)),NOT(ISNUMBER($E493)),$E493=0),"",$D493/$E493)</f>
        <v/>
      </c>
      <c r="G493" s="8" t="str">
        <f aca="false">IF(OR(NOT(ISNUMBER($B493)),NOT(ISNUMBER($B248)),$B248=0),"",$B493/$B248-1)</f>
        <v/>
      </c>
      <c r="H493" s="8" t="str">
        <f aca="false">IF(OR(NOT(ISNUMBER($D493)),NOT(ISNUMBER($D248)),$D248=0),"",$D493/$D248-1)</f>
        <v/>
      </c>
      <c r="I493" s="8" t="str">
        <f aca="false">IF(OR(NOT(ISNUMBER($G493)),NOT(ISNUMBER($H493))),"",$G493-$H493)</f>
        <v/>
      </c>
    </row>
    <row r="494" customFormat="false" ht="15" hidden="false" customHeight="false" outlineLevel="0" collapsed="false">
      <c r="A494" s="5" t="str">
        <f aca="false">IF(NOT(ISNUMBER(Macro_Series!$A494)),"",Macro_Series!$A494)</f>
        <v/>
      </c>
      <c r="B494" s="6" t="str">
        <f aca="false">IF(NOT(ISNUMBER(Macro_Series!$C494)),"",Macro_Series!$C494)</f>
        <v/>
      </c>
      <c r="C494" s="6" t="str">
        <f aca="false">IF(NOT(ISNUMBER(Macro_Series!$E494)),"",Macro_Series!$E494)</f>
        <v/>
      </c>
      <c r="D494" s="7" t="str">
        <f aca="false">IF(OR(NOT(ISNUMBER($B494)),NOT(ISNUMBER($C494)),$C494=0),"",$B494/$C494)</f>
        <v/>
      </c>
      <c r="E494" s="7" t="str">
        <f aca="false">IF(NOT(ISNUMBER(Macro_Series!$H494)),"",Macro_Series!$H494)</f>
        <v/>
      </c>
      <c r="F494" s="7" t="str">
        <f aca="false">IF(OR(NOT(ISNUMBER($D494)),NOT(ISNUMBER($E494)),$E494=0),"",$D494/$E494)</f>
        <v/>
      </c>
      <c r="G494" s="8" t="str">
        <f aca="false">IF(OR(NOT(ISNUMBER($B494)),NOT(ISNUMBER($B249)),$B249=0),"",$B494/$B249-1)</f>
        <v/>
      </c>
      <c r="H494" s="8" t="str">
        <f aca="false">IF(OR(NOT(ISNUMBER($D494)),NOT(ISNUMBER($D249)),$D249=0),"",$D494/$D249-1)</f>
        <v/>
      </c>
      <c r="I494" s="8" t="str">
        <f aca="false">IF(OR(NOT(ISNUMBER($G494)),NOT(ISNUMBER($H494))),"",$G494-$H494)</f>
        <v/>
      </c>
    </row>
    <row r="495" customFormat="false" ht="15" hidden="false" customHeight="false" outlineLevel="0" collapsed="false">
      <c r="A495" s="5" t="str">
        <f aca="false">IF(NOT(ISNUMBER(Macro_Series!$A495)),"",Macro_Series!$A495)</f>
        <v/>
      </c>
      <c r="B495" s="6" t="str">
        <f aca="false">IF(NOT(ISNUMBER(Macro_Series!$C495)),"",Macro_Series!$C495)</f>
        <v/>
      </c>
      <c r="C495" s="6" t="str">
        <f aca="false">IF(NOT(ISNUMBER(Macro_Series!$E495)),"",Macro_Series!$E495)</f>
        <v/>
      </c>
      <c r="D495" s="7" t="str">
        <f aca="false">IF(OR(NOT(ISNUMBER($B495)),NOT(ISNUMBER($C495)),$C495=0),"",$B495/$C495)</f>
        <v/>
      </c>
      <c r="E495" s="7" t="str">
        <f aca="false">IF(NOT(ISNUMBER(Macro_Series!$H495)),"",Macro_Series!$H495)</f>
        <v/>
      </c>
      <c r="F495" s="7" t="str">
        <f aca="false">IF(OR(NOT(ISNUMBER($D495)),NOT(ISNUMBER($E495)),$E495=0),"",$D495/$E495)</f>
        <v/>
      </c>
      <c r="G495" s="8" t="str">
        <f aca="false">IF(OR(NOT(ISNUMBER($B495)),NOT(ISNUMBER($B250)),$B250=0),"",$B495/$B250-1)</f>
        <v/>
      </c>
      <c r="H495" s="8" t="str">
        <f aca="false">IF(OR(NOT(ISNUMBER($D495)),NOT(ISNUMBER($D250)),$D250=0),"",$D495/$D250-1)</f>
        <v/>
      </c>
      <c r="I495" s="8" t="str">
        <f aca="false">IF(OR(NOT(ISNUMBER($G495)),NOT(ISNUMBER($H495))),"",$G495-$H495)</f>
        <v/>
      </c>
    </row>
    <row r="496" customFormat="false" ht="15" hidden="false" customHeight="false" outlineLevel="0" collapsed="false">
      <c r="A496" s="5" t="str">
        <f aca="false">IF(NOT(ISNUMBER(Macro_Series!$A496)),"",Macro_Series!$A496)</f>
        <v/>
      </c>
      <c r="B496" s="6" t="str">
        <f aca="false">IF(NOT(ISNUMBER(Macro_Series!$C496)),"",Macro_Series!$C496)</f>
        <v/>
      </c>
      <c r="C496" s="6" t="str">
        <f aca="false">IF(NOT(ISNUMBER(Macro_Series!$E496)),"",Macro_Series!$E496)</f>
        <v/>
      </c>
      <c r="D496" s="7" t="str">
        <f aca="false">IF(OR(NOT(ISNUMBER($B496)),NOT(ISNUMBER($C496)),$C496=0),"",$B496/$C496)</f>
        <v/>
      </c>
      <c r="E496" s="7" t="str">
        <f aca="false">IF(NOT(ISNUMBER(Macro_Series!$H496)),"",Macro_Series!$H496)</f>
        <v/>
      </c>
      <c r="F496" s="7" t="str">
        <f aca="false">IF(OR(NOT(ISNUMBER($D496)),NOT(ISNUMBER($E496)),$E496=0),"",$D496/$E496)</f>
        <v/>
      </c>
      <c r="G496" s="8" t="str">
        <f aca="false">IF(OR(NOT(ISNUMBER($B496)),NOT(ISNUMBER($B251)),$B251=0),"",$B496/$B251-1)</f>
        <v/>
      </c>
      <c r="H496" s="8" t="str">
        <f aca="false">IF(OR(NOT(ISNUMBER($D496)),NOT(ISNUMBER($D251)),$D251=0),"",$D496/$D251-1)</f>
        <v/>
      </c>
      <c r="I496" s="8" t="str">
        <f aca="false">IF(OR(NOT(ISNUMBER($G496)),NOT(ISNUMBER($H496))),"",$G496-$H496)</f>
        <v/>
      </c>
    </row>
    <row r="497" customFormat="false" ht="15" hidden="false" customHeight="false" outlineLevel="0" collapsed="false">
      <c r="A497" s="5" t="str">
        <f aca="false">IF(NOT(ISNUMBER(Macro_Series!$A497)),"",Macro_Series!$A497)</f>
        <v/>
      </c>
      <c r="B497" s="6" t="str">
        <f aca="false">IF(NOT(ISNUMBER(Macro_Series!$C497)),"",Macro_Series!$C497)</f>
        <v/>
      </c>
      <c r="C497" s="6" t="str">
        <f aca="false">IF(NOT(ISNUMBER(Macro_Series!$E497)),"",Macro_Series!$E497)</f>
        <v/>
      </c>
      <c r="D497" s="7" t="str">
        <f aca="false">IF(OR(NOT(ISNUMBER($B497)),NOT(ISNUMBER($C497)),$C497=0),"",$B497/$C497)</f>
        <v/>
      </c>
      <c r="E497" s="7" t="str">
        <f aca="false">IF(NOT(ISNUMBER(Macro_Series!$H497)),"",Macro_Series!$H497)</f>
        <v/>
      </c>
      <c r="F497" s="7" t="str">
        <f aca="false">IF(OR(NOT(ISNUMBER($D497)),NOT(ISNUMBER($E497)),$E497=0),"",$D497/$E497)</f>
        <v/>
      </c>
      <c r="G497" s="8" t="str">
        <f aca="false">IF(OR(NOT(ISNUMBER($B497)),NOT(ISNUMBER($B252)),$B252=0),"",$B497/$B252-1)</f>
        <v/>
      </c>
      <c r="H497" s="8" t="str">
        <f aca="false">IF(OR(NOT(ISNUMBER($D497)),NOT(ISNUMBER($D252)),$D252=0),"",$D497/$D252-1)</f>
        <v/>
      </c>
      <c r="I497" s="8" t="str">
        <f aca="false">IF(OR(NOT(ISNUMBER($G497)),NOT(ISNUMBER($H497))),"",$G497-$H497)</f>
        <v/>
      </c>
    </row>
    <row r="498" customFormat="false" ht="15" hidden="false" customHeight="false" outlineLevel="0" collapsed="false">
      <c r="A498" s="5" t="str">
        <f aca="false">IF(NOT(ISNUMBER(Macro_Series!$A498)),"",Macro_Series!$A498)</f>
        <v/>
      </c>
      <c r="B498" s="6" t="str">
        <f aca="false">IF(NOT(ISNUMBER(Macro_Series!$C498)),"",Macro_Series!$C498)</f>
        <v/>
      </c>
      <c r="C498" s="6" t="str">
        <f aca="false">IF(NOT(ISNUMBER(Macro_Series!$E498)),"",Macro_Series!$E498)</f>
        <v/>
      </c>
      <c r="D498" s="7" t="str">
        <f aca="false">IF(OR(NOT(ISNUMBER($B498)),NOT(ISNUMBER($C498)),$C498=0),"",$B498/$C498)</f>
        <v/>
      </c>
      <c r="E498" s="7" t="str">
        <f aca="false">IF(NOT(ISNUMBER(Macro_Series!$H498)),"",Macro_Series!$H498)</f>
        <v/>
      </c>
      <c r="F498" s="7" t="str">
        <f aca="false">IF(OR(NOT(ISNUMBER($D498)),NOT(ISNUMBER($E498)),$E498=0),"",$D498/$E498)</f>
        <v/>
      </c>
      <c r="G498" s="8" t="str">
        <f aca="false">IF(OR(NOT(ISNUMBER($B498)),NOT(ISNUMBER($B253)),$B253=0),"",$B498/$B253-1)</f>
        <v/>
      </c>
      <c r="H498" s="8" t="str">
        <f aca="false">IF(OR(NOT(ISNUMBER($D498)),NOT(ISNUMBER($D253)),$D253=0),"",$D498/$D253-1)</f>
        <v/>
      </c>
      <c r="I498" s="8" t="str">
        <f aca="false">IF(OR(NOT(ISNUMBER($G498)),NOT(ISNUMBER($H498))),"",$G498-$H498)</f>
        <v/>
      </c>
    </row>
    <row r="499" customFormat="false" ht="15" hidden="false" customHeight="false" outlineLevel="0" collapsed="false">
      <c r="A499" s="5" t="str">
        <f aca="false">IF(NOT(ISNUMBER(Macro_Series!$A499)),"",Macro_Series!$A499)</f>
        <v/>
      </c>
      <c r="B499" s="6" t="str">
        <f aca="false">IF(NOT(ISNUMBER(Macro_Series!$C499)),"",Macro_Series!$C499)</f>
        <v/>
      </c>
      <c r="C499" s="6" t="str">
        <f aca="false">IF(NOT(ISNUMBER(Macro_Series!$E499)),"",Macro_Series!$E499)</f>
        <v/>
      </c>
      <c r="D499" s="7" t="str">
        <f aca="false">IF(OR(NOT(ISNUMBER($B499)),NOT(ISNUMBER($C499)),$C499=0),"",$B499/$C499)</f>
        <v/>
      </c>
      <c r="E499" s="7" t="str">
        <f aca="false">IF(NOT(ISNUMBER(Macro_Series!$H499)),"",Macro_Series!$H499)</f>
        <v/>
      </c>
      <c r="F499" s="7" t="str">
        <f aca="false">IF(OR(NOT(ISNUMBER($D499)),NOT(ISNUMBER($E499)),$E499=0),"",$D499/$E499)</f>
        <v/>
      </c>
      <c r="G499" s="8" t="str">
        <f aca="false">IF(OR(NOT(ISNUMBER($B499)),NOT(ISNUMBER($B254)),$B254=0),"",$B499/$B254-1)</f>
        <v/>
      </c>
      <c r="H499" s="8" t="str">
        <f aca="false">IF(OR(NOT(ISNUMBER($D499)),NOT(ISNUMBER($D254)),$D254=0),"",$D499/$D254-1)</f>
        <v/>
      </c>
      <c r="I499" s="8" t="str">
        <f aca="false">IF(OR(NOT(ISNUMBER($G499)),NOT(ISNUMBER($H499))),"",$G499-$H499)</f>
        <v/>
      </c>
    </row>
    <row r="500" customFormat="false" ht="15" hidden="false" customHeight="false" outlineLevel="0" collapsed="false">
      <c r="A500" s="5" t="str">
        <f aca="false">IF(NOT(ISNUMBER(Macro_Series!$A500)),"",Macro_Series!$A500)</f>
        <v/>
      </c>
      <c r="B500" s="6" t="str">
        <f aca="false">IF(NOT(ISNUMBER(Macro_Series!$C500)),"",Macro_Series!$C500)</f>
        <v/>
      </c>
      <c r="C500" s="6" t="str">
        <f aca="false">IF(NOT(ISNUMBER(Macro_Series!$E500)),"",Macro_Series!$E500)</f>
        <v/>
      </c>
      <c r="D500" s="7" t="str">
        <f aca="false">IF(OR(NOT(ISNUMBER($B500)),NOT(ISNUMBER($C500)),$C500=0),"",$B500/$C500)</f>
        <v/>
      </c>
      <c r="E500" s="7" t="str">
        <f aca="false">IF(NOT(ISNUMBER(Macro_Series!$H500)),"",Macro_Series!$H500)</f>
        <v/>
      </c>
      <c r="F500" s="7" t="str">
        <f aca="false">IF(OR(NOT(ISNUMBER($D500)),NOT(ISNUMBER($E500)),$E500=0),"",$D500/$E500)</f>
        <v/>
      </c>
      <c r="G500" s="8" t="str">
        <f aca="false">IF(OR(NOT(ISNUMBER($B500)),NOT(ISNUMBER($B255)),$B255=0),"",$B500/$B255-1)</f>
        <v/>
      </c>
      <c r="H500" s="8" t="str">
        <f aca="false">IF(OR(NOT(ISNUMBER($D500)),NOT(ISNUMBER($D255)),$D255=0),"",$D500/$D255-1)</f>
        <v/>
      </c>
      <c r="I500" s="8" t="str">
        <f aca="false">IF(OR(NOT(ISNUMBER($G500)),NOT(ISNUMBER($H500))),"",$G500-$H500)</f>
        <v/>
      </c>
    </row>
    <row r="501" customFormat="false" ht="15" hidden="false" customHeight="false" outlineLevel="0" collapsed="false">
      <c r="A501" s="5" t="str">
        <f aca="false">IF(NOT(ISNUMBER(Macro_Series!$A501)),"",Macro_Series!$A501)</f>
        <v/>
      </c>
      <c r="B501" s="6" t="str">
        <f aca="false">IF(NOT(ISNUMBER(Macro_Series!$C501)),"",Macro_Series!$C501)</f>
        <v/>
      </c>
      <c r="C501" s="6" t="str">
        <f aca="false">IF(NOT(ISNUMBER(Macro_Series!$E501)),"",Macro_Series!$E501)</f>
        <v/>
      </c>
      <c r="D501" s="7" t="str">
        <f aca="false">IF(OR(NOT(ISNUMBER($B501)),NOT(ISNUMBER($C501)),$C501=0),"",$B501/$C501)</f>
        <v/>
      </c>
      <c r="E501" s="7" t="str">
        <f aca="false">IF(NOT(ISNUMBER(Macro_Series!$H501)),"",Macro_Series!$H501)</f>
        <v/>
      </c>
      <c r="F501" s="7" t="str">
        <f aca="false">IF(OR(NOT(ISNUMBER($D501)),NOT(ISNUMBER($E501)),$E501=0),"",$D501/$E501)</f>
        <v/>
      </c>
      <c r="G501" s="8" t="str">
        <f aca="false">IF(OR(NOT(ISNUMBER($B501)),NOT(ISNUMBER($B256)),$B256=0),"",$B501/$B256-1)</f>
        <v/>
      </c>
      <c r="H501" s="8" t="str">
        <f aca="false">IF(OR(NOT(ISNUMBER($D501)),NOT(ISNUMBER($D256)),$D256=0),"",$D501/$D256-1)</f>
        <v/>
      </c>
      <c r="I501" s="8" t="str">
        <f aca="false">IF(OR(NOT(ISNUMBER($G501)),NOT(ISNUMBER($H501))),"",$G501-$H501)</f>
        <v/>
      </c>
    </row>
    <row r="502" customFormat="false" ht="15" hidden="false" customHeight="false" outlineLevel="0" collapsed="false">
      <c r="A502" s="5" t="str">
        <f aca="false">IF(NOT(ISNUMBER(Macro_Series!$A502)),"",Macro_Series!$A502)</f>
        <v/>
      </c>
      <c r="B502" s="6" t="str">
        <f aca="false">IF(NOT(ISNUMBER(Macro_Series!$C502)),"",Macro_Series!$C502)</f>
        <v/>
      </c>
      <c r="C502" s="6" t="str">
        <f aca="false">IF(NOT(ISNUMBER(Macro_Series!$E502)),"",Macro_Series!$E502)</f>
        <v/>
      </c>
      <c r="D502" s="7" t="str">
        <f aca="false">IF(OR(NOT(ISNUMBER($B502)),NOT(ISNUMBER($C502)),$C502=0),"",$B502/$C502)</f>
        <v/>
      </c>
      <c r="E502" s="7" t="str">
        <f aca="false">IF(NOT(ISNUMBER(Macro_Series!$H502)),"",Macro_Series!$H502)</f>
        <v/>
      </c>
      <c r="F502" s="7" t="str">
        <f aca="false">IF(OR(NOT(ISNUMBER($D502)),NOT(ISNUMBER($E502)),$E502=0),"",$D502/$E502)</f>
        <v/>
      </c>
      <c r="G502" s="8" t="str">
        <f aca="false">IF(OR(NOT(ISNUMBER($B502)),NOT(ISNUMBER($B257)),$B257=0),"",$B502/$B257-1)</f>
        <v/>
      </c>
      <c r="H502" s="8" t="str">
        <f aca="false">IF(OR(NOT(ISNUMBER($D502)),NOT(ISNUMBER($D257)),$D257=0),"",$D502/$D257-1)</f>
        <v/>
      </c>
      <c r="I502" s="8" t="str">
        <f aca="false">IF(OR(NOT(ISNUMBER($G502)),NOT(ISNUMBER($H502))),"",$G502-$H502)</f>
        <v/>
      </c>
    </row>
    <row r="503" customFormat="false" ht="15" hidden="false" customHeight="false" outlineLevel="0" collapsed="false">
      <c r="A503" s="5" t="str">
        <f aca="false">IF(NOT(ISNUMBER(Macro_Series!$A503)),"",Macro_Series!$A503)</f>
        <v/>
      </c>
      <c r="B503" s="6" t="str">
        <f aca="false">IF(NOT(ISNUMBER(Macro_Series!$C503)),"",Macro_Series!$C503)</f>
        <v/>
      </c>
      <c r="C503" s="6" t="str">
        <f aca="false">IF(NOT(ISNUMBER(Macro_Series!$E503)),"",Macro_Series!$E503)</f>
        <v/>
      </c>
      <c r="D503" s="7" t="str">
        <f aca="false">IF(OR(NOT(ISNUMBER($B503)),NOT(ISNUMBER($C503)),$C503=0),"",$B503/$C503)</f>
        <v/>
      </c>
      <c r="E503" s="7" t="str">
        <f aca="false">IF(NOT(ISNUMBER(Macro_Series!$H503)),"",Macro_Series!$H503)</f>
        <v/>
      </c>
      <c r="F503" s="7" t="str">
        <f aca="false">IF(OR(NOT(ISNUMBER($D503)),NOT(ISNUMBER($E503)),$E503=0),"",$D503/$E503)</f>
        <v/>
      </c>
      <c r="G503" s="8" t="str">
        <f aca="false">IF(OR(NOT(ISNUMBER($B503)),NOT(ISNUMBER($B258)),$B258=0),"",$B503/$B258-1)</f>
        <v/>
      </c>
      <c r="H503" s="8" t="str">
        <f aca="false">IF(OR(NOT(ISNUMBER($D503)),NOT(ISNUMBER($D258)),$D258=0),"",$D503/$D258-1)</f>
        <v/>
      </c>
      <c r="I503" s="8" t="str">
        <f aca="false">IF(OR(NOT(ISNUMBER($G503)),NOT(ISNUMBER($H503))),"",$G503-$H503)</f>
        <v/>
      </c>
    </row>
    <row r="504" customFormat="false" ht="15" hidden="false" customHeight="false" outlineLevel="0" collapsed="false">
      <c r="A504" s="5" t="str">
        <f aca="false">IF(NOT(ISNUMBER(Macro_Series!$A504)),"",Macro_Series!$A504)</f>
        <v/>
      </c>
      <c r="B504" s="6" t="str">
        <f aca="false">IF(NOT(ISNUMBER(Macro_Series!$C504)),"",Macro_Series!$C504)</f>
        <v/>
      </c>
      <c r="C504" s="6" t="str">
        <f aca="false">IF(NOT(ISNUMBER(Macro_Series!$E504)),"",Macro_Series!$E504)</f>
        <v/>
      </c>
      <c r="D504" s="7" t="str">
        <f aca="false">IF(OR(NOT(ISNUMBER($B504)),NOT(ISNUMBER($C504)),$C504=0),"",$B504/$C504)</f>
        <v/>
      </c>
      <c r="E504" s="7" t="str">
        <f aca="false">IF(NOT(ISNUMBER(Macro_Series!$H504)),"",Macro_Series!$H504)</f>
        <v/>
      </c>
      <c r="F504" s="7" t="str">
        <f aca="false">IF(OR(NOT(ISNUMBER($D504)),NOT(ISNUMBER($E504)),$E504=0),"",$D504/$E504)</f>
        <v/>
      </c>
      <c r="G504" s="8" t="str">
        <f aca="false">IF(OR(NOT(ISNUMBER($B504)),NOT(ISNUMBER($B259)),$B259=0),"",$B504/$B259-1)</f>
        <v/>
      </c>
      <c r="H504" s="8" t="str">
        <f aca="false">IF(OR(NOT(ISNUMBER($D504)),NOT(ISNUMBER($D259)),$D259=0),"",$D504/$D259-1)</f>
        <v/>
      </c>
      <c r="I504" s="8" t="str">
        <f aca="false">IF(OR(NOT(ISNUMBER($G504)),NOT(ISNUMBER($H504))),"",$G504-$H504)</f>
        <v/>
      </c>
    </row>
    <row r="505" customFormat="false" ht="15" hidden="false" customHeight="false" outlineLevel="0" collapsed="false">
      <c r="A505" s="5" t="str">
        <f aca="false">IF(NOT(ISNUMBER(Macro_Series!$A505)),"",Macro_Series!$A505)</f>
        <v/>
      </c>
      <c r="B505" s="6" t="str">
        <f aca="false">IF(NOT(ISNUMBER(Macro_Series!$C505)),"",Macro_Series!$C505)</f>
        <v/>
      </c>
      <c r="C505" s="6" t="str">
        <f aca="false">IF(NOT(ISNUMBER(Macro_Series!$E505)),"",Macro_Series!$E505)</f>
        <v/>
      </c>
      <c r="D505" s="7" t="str">
        <f aca="false">IF(OR(NOT(ISNUMBER($B505)),NOT(ISNUMBER($C505)),$C505=0),"",$B505/$C505)</f>
        <v/>
      </c>
      <c r="E505" s="7" t="str">
        <f aca="false">IF(NOT(ISNUMBER(Macro_Series!$H505)),"",Macro_Series!$H505)</f>
        <v/>
      </c>
      <c r="F505" s="7" t="str">
        <f aca="false">IF(OR(NOT(ISNUMBER($D505)),NOT(ISNUMBER($E505)),$E505=0),"",$D505/$E505)</f>
        <v/>
      </c>
      <c r="G505" s="8" t="str">
        <f aca="false">IF(OR(NOT(ISNUMBER($B505)),NOT(ISNUMBER($B260)),$B260=0),"",$B505/$B260-1)</f>
        <v/>
      </c>
      <c r="H505" s="8" t="str">
        <f aca="false">IF(OR(NOT(ISNUMBER($D505)),NOT(ISNUMBER($D260)),$D260=0),"",$D505/$D260-1)</f>
        <v/>
      </c>
      <c r="I505" s="8" t="str">
        <f aca="false">IF(OR(NOT(ISNUMBER($G505)),NOT(ISNUMBER($H505))),"",$G505-$H505)</f>
        <v/>
      </c>
    </row>
    <row r="506" customFormat="false" ht="15" hidden="false" customHeight="false" outlineLevel="0" collapsed="false">
      <c r="A506" s="5" t="str">
        <f aca="false">IF(NOT(ISNUMBER(Macro_Series!$A506)),"",Macro_Series!$A506)</f>
        <v/>
      </c>
      <c r="B506" s="6" t="str">
        <f aca="false">IF(NOT(ISNUMBER(Macro_Series!$C506)),"",Macro_Series!$C506)</f>
        <v/>
      </c>
      <c r="C506" s="6" t="str">
        <f aca="false">IF(NOT(ISNUMBER(Macro_Series!$E506)),"",Macro_Series!$E506)</f>
        <v/>
      </c>
      <c r="D506" s="7" t="str">
        <f aca="false">IF(OR(NOT(ISNUMBER($B506)),NOT(ISNUMBER($C506)),$C506=0),"",$B506/$C506)</f>
        <v/>
      </c>
      <c r="E506" s="7" t="str">
        <f aca="false">IF(NOT(ISNUMBER(Macro_Series!$H506)),"",Macro_Series!$H506)</f>
        <v/>
      </c>
      <c r="F506" s="7" t="str">
        <f aca="false">IF(OR(NOT(ISNUMBER($D506)),NOT(ISNUMBER($E506)),$E506=0),"",$D506/$E506)</f>
        <v/>
      </c>
      <c r="G506" s="8" t="str">
        <f aca="false">IF(OR(NOT(ISNUMBER($B506)),NOT(ISNUMBER($B261)),$B261=0),"",$B506/$B261-1)</f>
        <v/>
      </c>
      <c r="H506" s="8" t="str">
        <f aca="false">IF(OR(NOT(ISNUMBER($D506)),NOT(ISNUMBER($D261)),$D261=0),"",$D506/$D261-1)</f>
        <v/>
      </c>
      <c r="I506" s="8" t="str">
        <f aca="false">IF(OR(NOT(ISNUMBER($G506)),NOT(ISNUMBER($H506))),"",$G506-$H506)</f>
        <v/>
      </c>
    </row>
    <row r="507" customFormat="false" ht="15" hidden="false" customHeight="false" outlineLevel="0" collapsed="false">
      <c r="A507" s="5" t="str">
        <f aca="false">IF(NOT(ISNUMBER(Macro_Series!$A507)),"",Macro_Series!$A507)</f>
        <v/>
      </c>
      <c r="B507" s="6" t="str">
        <f aca="false">IF(NOT(ISNUMBER(Macro_Series!$C507)),"",Macro_Series!$C507)</f>
        <v/>
      </c>
      <c r="C507" s="6" t="str">
        <f aca="false">IF(NOT(ISNUMBER(Macro_Series!$E507)),"",Macro_Series!$E507)</f>
        <v/>
      </c>
      <c r="D507" s="7" t="str">
        <f aca="false">IF(OR(NOT(ISNUMBER($B507)),NOT(ISNUMBER($C507)),$C507=0),"",$B507/$C507)</f>
        <v/>
      </c>
      <c r="E507" s="7" t="str">
        <f aca="false">IF(NOT(ISNUMBER(Macro_Series!$H507)),"",Macro_Series!$H507)</f>
        <v/>
      </c>
      <c r="F507" s="7" t="str">
        <f aca="false">IF(OR(NOT(ISNUMBER($D507)),NOT(ISNUMBER($E507)),$E507=0),"",$D507/$E507)</f>
        <v/>
      </c>
      <c r="G507" s="8" t="str">
        <f aca="false">IF(OR(NOT(ISNUMBER($B507)),NOT(ISNUMBER($B262)),$B262=0),"",$B507/$B262-1)</f>
        <v/>
      </c>
      <c r="H507" s="8" t="str">
        <f aca="false">IF(OR(NOT(ISNUMBER($D507)),NOT(ISNUMBER($D262)),$D262=0),"",$D507/$D262-1)</f>
        <v/>
      </c>
      <c r="I507" s="8" t="str">
        <f aca="false">IF(OR(NOT(ISNUMBER($G507)),NOT(ISNUMBER($H507))),"",$G507-$H507)</f>
        <v/>
      </c>
    </row>
    <row r="508" customFormat="false" ht="15" hidden="false" customHeight="false" outlineLevel="0" collapsed="false">
      <c r="A508" s="5" t="str">
        <f aca="false">IF(NOT(ISNUMBER(Macro_Series!$A508)),"",Macro_Series!$A508)</f>
        <v/>
      </c>
      <c r="B508" s="6" t="str">
        <f aca="false">IF(NOT(ISNUMBER(Macro_Series!$C508)),"",Macro_Series!$C508)</f>
        <v/>
      </c>
      <c r="C508" s="6" t="str">
        <f aca="false">IF(NOT(ISNUMBER(Macro_Series!$E508)),"",Macro_Series!$E508)</f>
        <v/>
      </c>
      <c r="D508" s="7" t="str">
        <f aca="false">IF(OR(NOT(ISNUMBER($B508)),NOT(ISNUMBER($C508)),$C508=0),"",$B508/$C508)</f>
        <v/>
      </c>
      <c r="E508" s="7" t="str">
        <f aca="false">IF(NOT(ISNUMBER(Macro_Series!$H508)),"",Macro_Series!$H508)</f>
        <v/>
      </c>
      <c r="F508" s="7" t="str">
        <f aca="false">IF(OR(NOT(ISNUMBER($D508)),NOT(ISNUMBER($E508)),$E508=0),"",$D508/$E508)</f>
        <v/>
      </c>
      <c r="G508" s="8" t="str">
        <f aca="false">IF(OR(NOT(ISNUMBER($B508)),NOT(ISNUMBER($B263)),$B263=0),"",$B508/$B263-1)</f>
        <v/>
      </c>
      <c r="H508" s="8" t="str">
        <f aca="false">IF(OR(NOT(ISNUMBER($D508)),NOT(ISNUMBER($D263)),$D263=0),"",$D508/$D263-1)</f>
        <v/>
      </c>
      <c r="I508" s="8" t="str">
        <f aca="false">IF(OR(NOT(ISNUMBER($G508)),NOT(ISNUMBER($H508))),"",$G508-$H508)</f>
        <v/>
      </c>
    </row>
    <row r="509" customFormat="false" ht="15" hidden="false" customHeight="false" outlineLevel="0" collapsed="false">
      <c r="A509" s="5" t="str">
        <f aca="false">IF(NOT(ISNUMBER(Macro_Series!$A509)),"",Macro_Series!$A509)</f>
        <v/>
      </c>
      <c r="B509" s="6" t="str">
        <f aca="false">IF(NOT(ISNUMBER(Macro_Series!$C509)),"",Macro_Series!$C509)</f>
        <v/>
      </c>
      <c r="C509" s="6" t="str">
        <f aca="false">IF(NOT(ISNUMBER(Macro_Series!$E509)),"",Macro_Series!$E509)</f>
        <v/>
      </c>
      <c r="D509" s="7" t="str">
        <f aca="false">IF(OR(NOT(ISNUMBER($B509)),NOT(ISNUMBER($C509)),$C509=0),"",$B509/$C509)</f>
        <v/>
      </c>
      <c r="E509" s="7" t="str">
        <f aca="false">IF(NOT(ISNUMBER(Macro_Series!$H509)),"",Macro_Series!$H509)</f>
        <v/>
      </c>
      <c r="F509" s="7" t="str">
        <f aca="false">IF(OR(NOT(ISNUMBER($D509)),NOT(ISNUMBER($E509)),$E509=0),"",$D509/$E509)</f>
        <v/>
      </c>
      <c r="G509" s="8" t="str">
        <f aca="false">IF(OR(NOT(ISNUMBER($B509)),NOT(ISNUMBER($B264)),$B264=0),"",$B509/$B264-1)</f>
        <v/>
      </c>
      <c r="H509" s="8" t="str">
        <f aca="false">IF(OR(NOT(ISNUMBER($D509)),NOT(ISNUMBER($D264)),$D264=0),"",$D509/$D264-1)</f>
        <v/>
      </c>
      <c r="I509" s="8" t="str">
        <f aca="false">IF(OR(NOT(ISNUMBER($G509)),NOT(ISNUMBER($H509))),"",$G509-$H509)</f>
        <v/>
      </c>
    </row>
    <row r="510" customFormat="false" ht="15" hidden="false" customHeight="false" outlineLevel="0" collapsed="false">
      <c r="A510" s="5" t="str">
        <f aca="false">IF(NOT(ISNUMBER(Macro_Series!$A510)),"",Macro_Series!$A510)</f>
        <v/>
      </c>
      <c r="B510" s="6" t="str">
        <f aca="false">IF(NOT(ISNUMBER(Macro_Series!$C510)),"",Macro_Series!$C510)</f>
        <v/>
      </c>
      <c r="C510" s="6" t="str">
        <f aca="false">IF(NOT(ISNUMBER(Macro_Series!$E510)),"",Macro_Series!$E510)</f>
        <v/>
      </c>
      <c r="D510" s="7" t="str">
        <f aca="false">IF(OR(NOT(ISNUMBER($B510)),NOT(ISNUMBER($C510)),$C510=0),"",$B510/$C510)</f>
        <v/>
      </c>
      <c r="E510" s="7" t="str">
        <f aca="false">IF(NOT(ISNUMBER(Macro_Series!$H510)),"",Macro_Series!$H510)</f>
        <v/>
      </c>
      <c r="F510" s="7" t="str">
        <f aca="false">IF(OR(NOT(ISNUMBER($D510)),NOT(ISNUMBER($E510)),$E510=0),"",$D510/$E510)</f>
        <v/>
      </c>
      <c r="G510" s="8" t="str">
        <f aca="false">IF(OR(NOT(ISNUMBER($B510)),NOT(ISNUMBER($B265)),$B265=0),"",$B510/$B265-1)</f>
        <v/>
      </c>
      <c r="H510" s="8" t="str">
        <f aca="false">IF(OR(NOT(ISNUMBER($D510)),NOT(ISNUMBER($D265)),$D265=0),"",$D510/$D265-1)</f>
        <v/>
      </c>
      <c r="I510" s="8" t="str">
        <f aca="false">IF(OR(NOT(ISNUMBER($G510)),NOT(ISNUMBER($H510))),"",$G510-$H510)</f>
        <v/>
      </c>
    </row>
    <row r="511" customFormat="false" ht="15" hidden="false" customHeight="false" outlineLevel="0" collapsed="false">
      <c r="A511" s="5" t="str">
        <f aca="false">IF(NOT(ISNUMBER(Macro_Series!$A511)),"",Macro_Series!$A511)</f>
        <v/>
      </c>
      <c r="B511" s="6" t="str">
        <f aca="false">IF(NOT(ISNUMBER(Macro_Series!$C511)),"",Macro_Series!$C511)</f>
        <v/>
      </c>
      <c r="C511" s="6" t="str">
        <f aca="false">IF(NOT(ISNUMBER(Macro_Series!$E511)),"",Macro_Series!$E511)</f>
        <v/>
      </c>
      <c r="D511" s="7" t="str">
        <f aca="false">IF(OR(NOT(ISNUMBER($B511)),NOT(ISNUMBER($C511)),$C511=0),"",$B511/$C511)</f>
        <v/>
      </c>
      <c r="E511" s="7" t="str">
        <f aca="false">IF(NOT(ISNUMBER(Macro_Series!$H511)),"",Macro_Series!$H511)</f>
        <v/>
      </c>
      <c r="F511" s="7" t="str">
        <f aca="false">IF(OR(NOT(ISNUMBER($D511)),NOT(ISNUMBER($E511)),$E511=0),"",$D511/$E511)</f>
        <v/>
      </c>
      <c r="G511" s="8" t="str">
        <f aca="false">IF(OR(NOT(ISNUMBER($B511)),NOT(ISNUMBER($B266)),$B266=0),"",$B511/$B266-1)</f>
        <v/>
      </c>
      <c r="H511" s="8" t="str">
        <f aca="false">IF(OR(NOT(ISNUMBER($D511)),NOT(ISNUMBER($D266)),$D266=0),"",$D511/$D266-1)</f>
        <v/>
      </c>
      <c r="I511" s="8" t="str">
        <f aca="false">IF(OR(NOT(ISNUMBER($G511)),NOT(ISNUMBER($H511))),"",$G511-$H511)</f>
        <v/>
      </c>
    </row>
    <row r="512" customFormat="false" ht="15" hidden="false" customHeight="false" outlineLevel="0" collapsed="false">
      <c r="A512" s="5" t="str">
        <f aca="false">IF(NOT(ISNUMBER(Macro_Series!$A512)),"",Macro_Series!$A512)</f>
        <v/>
      </c>
      <c r="B512" s="6" t="str">
        <f aca="false">IF(NOT(ISNUMBER(Macro_Series!$C512)),"",Macro_Series!$C512)</f>
        <v/>
      </c>
      <c r="C512" s="6" t="str">
        <f aca="false">IF(NOT(ISNUMBER(Macro_Series!$E512)),"",Macro_Series!$E512)</f>
        <v/>
      </c>
      <c r="D512" s="7" t="str">
        <f aca="false">IF(OR(NOT(ISNUMBER($B512)),NOT(ISNUMBER($C512)),$C512=0),"",$B512/$C512)</f>
        <v/>
      </c>
      <c r="E512" s="7" t="str">
        <f aca="false">IF(NOT(ISNUMBER(Macro_Series!$H512)),"",Macro_Series!$H512)</f>
        <v/>
      </c>
      <c r="F512" s="7" t="str">
        <f aca="false">IF(OR(NOT(ISNUMBER($D512)),NOT(ISNUMBER($E512)),$E512=0),"",$D512/$E512)</f>
        <v/>
      </c>
      <c r="G512" s="8" t="str">
        <f aca="false">IF(OR(NOT(ISNUMBER($B512)),NOT(ISNUMBER($B267)),$B267=0),"",$B512/$B267-1)</f>
        <v/>
      </c>
      <c r="H512" s="8" t="str">
        <f aca="false">IF(OR(NOT(ISNUMBER($D512)),NOT(ISNUMBER($D267)),$D267=0),"",$D512/$D267-1)</f>
        <v/>
      </c>
      <c r="I512" s="8" t="str">
        <f aca="false">IF(OR(NOT(ISNUMBER($G512)),NOT(ISNUMBER($H512))),"",$G512-$H512)</f>
        <v/>
      </c>
    </row>
    <row r="513" customFormat="false" ht="15" hidden="false" customHeight="false" outlineLevel="0" collapsed="false">
      <c r="A513" s="5" t="str">
        <f aca="false">IF(NOT(ISNUMBER(Macro_Series!$A513)),"",Macro_Series!$A513)</f>
        <v/>
      </c>
      <c r="B513" s="6" t="str">
        <f aca="false">IF(NOT(ISNUMBER(Macro_Series!$C513)),"",Macro_Series!$C513)</f>
        <v/>
      </c>
      <c r="C513" s="6" t="str">
        <f aca="false">IF(NOT(ISNUMBER(Macro_Series!$E513)),"",Macro_Series!$E513)</f>
        <v/>
      </c>
      <c r="D513" s="7" t="str">
        <f aca="false">IF(OR(NOT(ISNUMBER($B513)),NOT(ISNUMBER($C513)),$C513=0),"",$B513/$C513)</f>
        <v/>
      </c>
      <c r="E513" s="7" t="str">
        <f aca="false">IF(NOT(ISNUMBER(Macro_Series!$H513)),"",Macro_Series!$H513)</f>
        <v/>
      </c>
      <c r="F513" s="7" t="str">
        <f aca="false">IF(OR(NOT(ISNUMBER($D513)),NOT(ISNUMBER($E513)),$E513=0),"",$D513/$E513)</f>
        <v/>
      </c>
      <c r="G513" s="8" t="str">
        <f aca="false">IF(OR(NOT(ISNUMBER($B513)),NOT(ISNUMBER($B268)),$B268=0),"",$B513/$B268-1)</f>
        <v/>
      </c>
      <c r="H513" s="8" t="str">
        <f aca="false">IF(OR(NOT(ISNUMBER($D513)),NOT(ISNUMBER($D268)),$D268=0),"",$D513/$D268-1)</f>
        <v/>
      </c>
      <c r="I513" s="8" t="str">
        <f aca="false">IF(OR(NOT(ISNUMBER($G513)),NOT(ISNUMBER($H513))),"",$G513-$H513)</f>
        <v/>
      </c>
    </row>
    <row r="514" customFormat="false" ht="15" hidden="false" customHeight="false" outlineLevel="0" collapsed="false">
      <c r="A514" s="5" t="str">
        <f aca="false">IF(NOT(ISNUMBER(Macro_Series!$A514)),"",Macro_Series!$A514)</f>
        <v/>
      </c>
      <c r="B514" s="6" t="str">
        <f aca="false">IF(NOT(ISNUMBER(Macro_Series!$C514)),"",Macro_Series!$C514)</f>
        <v/>
      </c>
      <c r="C514" s="6" t="str">
        <f aca="false">IF(NOT(ISNUMBER(Macro_Series!$E514)),"",Macro_Series!$E514)</f>
        <v/>
      </c>
      <c r="D514" s="7" t="str">
        <f aca="false">IF(OR(NOT(ISNUMBER($B514)),NOT(ISNUMBER($C514)),$C514=0),"",$B514/$C514)</f>
        <v/>
      </c>
      <c r="E514" s="7" t="str">
        <f aca="false">IF(NOT(ISNUMBER(Macro_Series!$H514)),"",Macro_Series!$H514)</f>
        <v/>
      </c>
      <c r="F514" s="7" t="str">
        <f aca="false">IF(OR(NOT(ISNUMBER($D514)),NOT(ISNUMBER($E514)),$E514=0),"",$D514/$E514)</f>
        <v/>
      </c>
      <c r="G514" s="8" t="str">
        <f aca="false">IF(OR(NOT(ISNUMBER($B514)),NOT(ISNUMBER($B269)),$B269=0),"",$B514/$B269-1)</f>
        <v/>
      </c>
      <c r="H514" s="8" t="str">
        <f aca="false">IF(OR(NOT(ISNUMBER($D514)),NOT(ISNUMBER($D269)),$D269=0),"",$D514/$D269-1)</f>
        <v/>
      </c>
      <c r="I514" s="8" t="str">
        <f aca="false">IF(OR(NOT(ISNUMBER($G514)),NOT(ISNUMBER($H514))),"",$G514-$H514)</f>
        <v/>
      </c>
    </row>
    <row r="515" customFormat="false" ht="15" hidden="false" customHeight="false" outlineLevel="0" collapsed="false">
      <c r="A515" s="5" t="str">
        <f aca="false">IF(NOT(ISNUMBER(Macro_Series!$A515)),"",Macro_Series!$A515)</f>
        <v/>
      </c>
      <c r="B515" s="6" t="str">
        <f aca="false">IF(NOT(ISNUMBER(Macro_Series!$C515)),"",Macro_Series!$C515)</f>
        <v/>
      </c>
      <c r="C515" s="6" t="str">
        <f aca="false">IF(NOT(ISNUMBER(Macro_Series!$E515)),"",Macro_Series!$E515)</f>
        <v/>
      </c>
      <c r="D515" s="7" t="str">
        <f aca="false">IF(OR(NOT(ISNUMBER($B515)),NOT(ISNUMBER($C515)),$C515=0),"",$B515/$C515)</f>
        <v/>
      </c>
      <c r="E515" s="7" t="str">
        <f aca="false">IF(NOT(ISNUMBER(Macro_Series!$H515)),"",Macro_Series!$H515)</f>
        <v/>
      </c>
      <c r="F515" s="7" t="str">
        <f aca="false">IF(OR(NOT(ISNUMBER($D515)),NOT(ISNUMBER($E515)),$E515=0),"",$D515/$E515)</f>
        <v/>
      </c>
      <c r="G515" s="8" t="str">
        <f aca="false">IF(OR(NOT(ISNUMBER($B515)),NOT(ISNUMBER($B270)),$B270=0),"",$B515/$B270-1)</f>
        <v/>
      </c>
      <c r="H515" s="8" t="str">
        <f aca="false">IF(OR(NOT(ISNUMBER($D515)),NOT(ISNUMBER($D270)),$D270=0),"",$D515/$D270-1)</f>
        <v/>
      </c>
      <c r="I515" s="8" t="str">
        <f aca="false">IF(OR(NOT(ISNUMBER($G515)),NOT(ISNUMBER($H515))),"",$G515-$H515)</f>
        <v/>
      </c>
    </row>
    <row r="516" customFormat="false" ht="15" hidden="false" customHeight="false" outlineLevel="0" collapsed="false">
      <c r="A516" s="5" t="str">
        <f aca="false">IF(NOT(ISNUMBER(Macro_Series!$A516)),"",Macro_Series!$A516)</f>
        <v/>
      </c>
      <c r="B516" s="6" t="str">
        <f aca="false">IF(NOT(ISNUMBER(Macro_Series!$C516)),"",Macro_Series!$C516)</f>
        <v/>
      </c>
      <c r="C516" s="6" t="str">
        <f aca="false">IF(NOT(ISNUMBER(Macro_Series!$E516)),"",Macro_Series!$E516)</f>
        <v/>
      </c>
      <c r="D516" s="7" t="str">
        <f aca="false">IF(OR(NOT(ISNUMBER($B516)),NOT(ISNUMBER($C516)),$C516=0),"",$B516/$C516)</f>
        <v/>
      </c>
      <c r="E516" s="7" t="str">
        <f aca="false">IF(NOT(ISNUMBER(Macro_Series!$H516)),"",Macro_Series!$H516)</f>
        <v/>
      </c>
      <c r="F516" s="7" t="str">
        <f aca="false">IF(OR(NOT(ISNUMBER($D516)),NOT(ISNUMBER($E516)),$E516=0),"",$D516/$E516)</f>
        <v/>
      </c>
      <c r="G516" s="8" t="str">
        <f aca="false">IF(OR(NOT(ISNUMBER($B516)),NOT(ISNUMBER($B271)),$B271=0),"",$B516/$B271-1)</f>
        <v/>
      </c>
      <c r="H516" s="8" t="str">
        <f aca="false">IF(OR(NOT(ISNUMBER($D516)),NOT(ISNUMBER($D271)),$D271=0),"",$D516/$D271-1)</f>
        <v/>
      </c>
      <c r="I516" s="8" t="str">
        <f aca="false">IF(OR(NOT(ISNUMBER($G516)),NOT(ISNUMBER($H516))),"",$G516-$H516)</f>
        <v/>
      </c>
    </row>
    <row r="517" customFormat="false" ht="15" hidden="false" customHeight="false" outlineLevel="0" collapsed="false">
      <c r="A517" s="5" t="str">
        <f aca="false">IF(NOT(ISNUMBER(Macro_Series!$A517)),"",Macro_Series!$A517)</f>
        <v/>
      </c>
      <c r="B517" s="6" t="str">
        <f aca="false">IF(NOT(ISNUMBER(Macro_Series!$C517)),"",Macro_Series!$C517)</f>
        <v/>
      </c>
      <c r="C517" s="6" t="str">
        <f aca="false">IF(NOT(ISNUMBER(Macro_Series!$E517)),"",Macro_Series!$E517)</f>
        <v/>
      </c>
      <c r="D517" s="7" t="str">
        <f aca="false">IF(OR(NOT(ISNUMBER($B517)),NOT(ISNUMBER($C517)),$C517=0),"",$B517/$C517)</f>
        <v/>
      </c>
      <c r="E517" s="7" t="str">
        <f aca="false">IF(NOT(ISNUMBER(Macro_Series!$H517)),"",Macro_Series!$H517)</f>
        <v/>
      </c>
      <c r="F517" s="7" t="str">
        <f aca="false">IF(OR(NOT(ISNUMBER($D517)),NOT(ISNUMBER($E517)),$E517=0),"",$D517/$E517)</f>
        <v/>
      </c>
      <c r="G517" s="8" t="str">
        <f aca="false">IF(OR(NOT(ISNUMBER($B517)),NOT(ISNUMBER($B272)),$B272=0),"",$B517/$B272-1)</f>
        <v/>
      </c>
      <c r="H517" s="8" t="str">
        <f aca="false">IF(OR(NOT(ISNUMBER($D517)),NOT(ISNUMBER($D272)),$D272=0),"",$D517/$D272-1)</f>
        <v/>
      </c>
      <c r="I517" s="8" t="str">
        <f aca="false">IF(OR(NOT(ISNUMBER($G517)),NOT(ISNUMBER($H517))),"",$G517-$H517)</f>
        <v/>
      </c>
    </row>
    <row r="518" customFormat="false" ht="15" hidden="false" customHeight="false" outlineLevel="0" collapsed="false">
      <c r="A518" s="5" t="str">
        <f aca="false">IF(NOT(ISNUMBER(Macro_Series!$A518)),"",Macro_Series!$A518)</f>
        <v/>
      </c>
      <c r="B518" s="6" t="str">
        <f aca="false">IF(NOT(ISNUMBER(Macro_Series!$C518)),"",Macro_Series!$C518)</f>
        <v/>
      </c>
      <c r="C518" s="6" t="str">
        <f aca="false">IF(NOT(ISNUMBER(Macro_Series!$E518)),"",Macro_Series!$E518)</f>
        <v/>
      </c>
      <c r="D518" s="7" t="str">
        <f aca="false">IF(OR(NOT(ISNUMBER($B518)),NOT(ISNUMBER($C518)),$C518=0),"",$B518/$C518)</f>
        <v/>
      </c>
      <c r="E518" s="7" t="str">
        <f aca="false">IF(NOT(ISNUMBER(Macro_Series!$H518)),"",Macro_Series!$H518)</f>
        <v/>
      </c>
      <c r="F518" s="7" t="str">
        <f aca="false">IF(OR(NOT(ISNUMBER($D518)),NOT(ISNUMBER($E518)),$E518=0),"",$D518/$E518)</f>
        <v/>
      </c>
      <c r="G518" s="8" t="str">
        <f aca="false">IF(OR(NOT(ISNUMBER($B518)),NOT(ISNUMBER($B273)),$B273=0),"",$B518/$B273-1)</f>
        <v/>
      </c>
      <c r="H518" s="8" t="str">
        <f aca="false">IF(OR(NOT(ISNUMBER($D518)),NOT(ISNUMBER($D273)),$D273=0),"",$D518/$D273-1)</f>
        <v/>
      </c>
      <c r="I518" s="8" t="str">
        <f aca="false">IF(OR(NOT(ISNUMBER($G518)),NOT(ISNUMBER($H518))),"",$G518-$H518)</f>
        <v/>
      </c>
    </row>
    <row r="519" customFormat="false" ht="15" hidden="false" customHeight="false" outlineLevel="0" collapsed="false">
      <c r="A519" s="5" t="str">
        <f aca="false">IF(NOT(ISNUMBER(Macro_Series!$A519)),"",Macro_Series!$A519)</f>
        <v/>
      </c>
      <c r="B519" s="6" t="str">
        <f aca="false">IF(NOT(ISNUMBER(Macro_Series!$C519)),"",Macro_Series!$C519)</f>
        <v/>
      </c>
      <c r="C519" s="6" t="str">
        <f aca="false">IF(NOT(ISNUMBER(Macro_Series!$E519)),"",Macro_Series!$E519)</f>
        <v/>
      </c>
      <c r="D519" s="7" t="str">
        <f aca="false">IF(OR(NOT(ISNUMBER($B519)),NOT(ISNUMBER($C519)),$C519=0),"",$B519/$C519)</f>
        <v/>
      </c>
      <c r="E519" s="7" t="str">
        <f aca="false">IF(NOT(ISNUMBER(Macro_Series!$H519)),"",Macro_Series!$H519)</f>
        <v/>
      </c>
      <c r="F519" s="7" t="str">
        <f aca="false">IF(OR(NOT(ISNUMBER($D519)),NOT(ISNUMBER($E519)),$E519=0),"",$D519/$E519)</f>
        <v/>
      </c>
      <c r="G519" s="8" t="str">
        <f aca="false">IF(OR(NOT(ISNUMBER($B519)),NOT(ISNUMBER($B274)),$B274=0),"",$B519/$B274-1)</f>
        <v/>
      </c>
      <c r="H519" s="8" t="str">
        <f aca="false">IF(OR(NOT(ISNUMBER($D519)),NOT(ISNUMBER($D274)),$D274=0),"",$D519/$D274-1)</f>
        <v/>
      </c>
      <c r="I519" s="8" t="str">
        <f aca="false">IF(OR(NOT(ISNUMBER($G519)),NOT(ISNUMBER($H519))),"",$G519-$H519)</f>
        <v/>
      </c>
    </row>
    <row r="520" customFormat="false" ht="15" hidden="false" customHeight="false" outlineLevel="0" collapsed="false">
      <c r="A520" s="5" t="str">
        <f aca="false">IF(NOT(ISNUMBER(Macro_Series!$A520)),"",Macro_Series!$A520)</f>
        <v/>
      </c>
      <c r="B520" s="6" t="str">
        <f aca="false">IF(NOT(ISNUMBER(Macro_Series!$C520)),"",Macro_Series!$C520)</f>
        <v/>
      </c>
      <c r="C520" s="6" t="str">
        <f aca="false">IF(NOT(ISNUMBER(Macro_Series!$E520)),"",Macro_Series!$E520)</f>
        <v/>
      </c>
      <c r="D520" s="7" t="str">
        <f aca="false">IF(OR(NOT(ISNUMBER($B520)),NOT(ISNUMBER($C520)),$C520=0),"",$B520/$C520)</f>
        <v/>
      </c>
      <c r="E520" s="7" t="str">
        <f aca="false">IF(NOT(ISNUMBER(Macro_Series!$H520)),"",Macro_Series!$H520)</f>
        <v/>
      </c>
      <c r="F520" s="7" t="str">
        <f aca="false">IF(OR(NOT(ISNUMBER($D520)),NOT(ISNUMBER($E520)),$E520=0),"",$D520/$E520)</f>
        <v/>
      </c>
      <c r="G520" s="8" t="str">
        <f aca="false">IF(OR(NOT(ISNUMBER($B520)),NOT(ISNUMBER($B275)),$B275=0),"",$B520/$B275-1)</f>
        <v/>
      </c>
      <c r="H520" s="8" t="str">
        <f aca="false">IF(OR(NOT(ISNUMBER($D520)),NOT(ISNUMBER($D275)),$D275=0),"",$D520/$D275-1)</f>
        <v/>
      </c>
      <c r="I520" s="8" t="str">
        <f aca="false">IF(OR(NOT(ISNUMBER($G520)),NOT(ISNUMBER($H520))),"",$G520-$H520)</f>
        <v/>
      </c>
    </row>
    <row r="521" customFormat="false" ht="15" hidden="false" customHeight="false" outlineLevel="0" collapsed="false">
      <c r="A521" s="5" t="str">
        <f aca="false">IF(NOT(ISNUMBER(Macro_Series!$A521)),"",Macro_Series!$A521)</f>
        <v/>
      </c>
      <c r="B521" s="6" t="str">
        <f aca="false">IF(NOT(ISNUMBER(Macro_Series!$C521)),"",Macro_Series!$C521)</f>
        <v/>
      </c>
      <c r="C521" s="6" t="str">
        <f aca="false">IF(NOT(ISNUMBER(Macro_Series!$E521)),"",Macro_Series!$E521)</f>
        <v/>
      </c>
      <c r="D521" s="7" t="str">
        <f aca="false">IF(OR(NOT(ISNUMBER($B521)),NOT(ISNUMBER($C521)),$C521=0),"",$B521/$C521)</f>
        <v/>
      </c>
      <c r="E521" s="7" t="str">
        <f aca="false">IF(NOT(ISNUMBER(Macro_Series!$H521)),"",Macro_Series!$H521)</f>
        <v/>
      </c>
      <c r="F521" s="7" t="str">
        <f aca="false">IF(OR(NOT(ISNUMBER($D521)),NOT(ISNUMBER($E521)),$E521=0),"",$D521/$E521)</f>
        <v/>
      </c>
      <c r="G521" s="8" t="str">
        <f aca="false">IF(OR(NOT(ISNUMBER($B521)),NOT(ISNUMBER($B276)),$B276=0),"",$B521/$B276-1)</f>
        <v/>
      </c>
      <c r="H521" s="8" t="str">
        <f aca="false">IF(OR(NOT(ISNUMBER($D521)),NOT(ISNUMBER($D276)),$D276=0),"",$D521/$D276-1)</f>
        <v/>
      </c>
      <c r="I521" s="8" t="str">
        <f aca="false">IF(OR(NOT(ISNUMBER($G521)),NOT(ISNUMBER($H521))),"",$G521-$H521)</f>
        <v/>
      </c>
    </row>
    <row r="522" customFormat="false" ht="15" hidden="false" customHeight="false" outlineLevel="0" collapsed="false">
      <c r="A522" s="5" t="str">
        <f aca="false">IF(NOT(ISNUMBER(Macro_Series!$A522)),"",Macro_Series!$A522)</f>
        <v/>
      </c>
      <c r="B522" s="6" t="str">
        <f aca="false">IF(NOT(ISNUMBER(Macro_Series!$C522)),"",Macro_Series!$C522)</f>
        <v/>
      </c>
      <c r="C522" s="6" t="str">
        <f aca="false">IF(NOT(ISNUMBER(Macro_Series!$E522)),"",Macro_Series!$E522)</f>
        <v/>
      </c>
      <c r="D522" s="7" t="str">
        <f aca="false">IF(OR(NOT(ISNUMBER($B522)),NOT(ISNUMBER($C522)),$C522=0),"",$B522/$C522)</f>
        <v/>
      </c>
      <c r="E522" s="7" t="str">
        <f aca="false">IF(NOT(ISNUMBER(Macro_Series!$H522)),"",Macro_Series!$H522)</f>
        <v/>
      </c>
      <c r="F522" s="7" t="str">
        <f aca="false">IF(OR(NOT(ISNUMBER($D522)),NOT(ISNUMBER($E522)),$E522=0),"",$D522/$E522)</f>
        <v/>
      </c>
      <c r="G522" s="8" t="str">
        <f aca="false">IF(OR(NOT(ISNUMBER($B522)),NOT(ISNUMBER($B277)),$B277=0),"",$B522/$B277-1)</f>
        <v/>
      </c>
      <c r="H522" s="8" t="str">
        <f aca="false">IF(OR(NOT(ISNUMBER($D522)),NOT(ISNUMBER($D277)),$D277=0),"",$D522/$D277-1)</f>
        <v/>
      </c>
      <c r="I522" s="8" t="str">
        <f aca="false">IF(OR(NOT(ISNUMBER($G522)),NOT(ISNUMBER($H522))),"",$G522-$H522)</f>
        <v/>
      </c>
    </row>
    <row r="523" customFormat="false" ht="15" hidden="false" customHeight="false" outlineLevel="0" collapsed="false">
      <c r="A523" s="5" t="str">
        <f aca="false">IF(NOT(ISNUMBER(Macro_Series!$A523)),"",Macro_Series!$A523)</f>
        <v/>
      </c>
      <c r="B523" s="6" t="str">
        <f aca="false">IF(NOT(ISNUMBER(Macro_Series!$C523)),"",Macro_Series!$C523)</f>
        <v/>
      </c>
      <c r="C523" s="6" t="str">
        <f aca="false">IF(NOT(ISNUMBER(Macro_Series!$E523)),"",Macro_Series!$E523)</f>
        <v/>
      </c>
      <c r="D523" s="7" t="str">
        <f aca="false">IF(OR(NOT(ISNUMBER($B523)),NOT(ISNUMBER($C523)),$C523=0),"",$B523/$C523)</f>
        <v/>
      </c>
      <c r="E523" s="7" t="str">
        <f aca="false">IF(NOT(ISNUMBER(Macro_Series!$H523)),"",Macro_Series!$H523)</f>
        <v/>
      </c>
      <c r="F523" s="7" t="str">
        <f aca="false">IF(OR(NOT(ISNUMBER($D523)),NOT(ISNUMBER($E523)),$E523=0),"",$D523/$E523)</f>
        <v/>
      </c>
      <c r="G523" s="8" t="str">
        <f aca="false">IF(OR(NOT(ISNUMBER($B523)),NOT(ISNUMBER($B278)),$B278=0),"",$B523/$B278-1)</f>
        <v/>
      </c>
      <c r="H523" s="8" t="str">
        <f aca="false">IF(OR(NOT(ISNUMBER($D523)),NOT(ISNUMBER($D278)),$D278=0),"",$D523/$D278-1)</f>
        <v/>
      </c>
      <c r="I523" s="8" t="str">
        <f aca="false">IF(OR(NOT(ISNUMBER($G523)),NOT(ISNUMBER($H523))),"",$G523-$H523)</f>
        <v/>
      </c>
    </row>
    <row r="524" customFormat="false" ht="15" hidden="false" customHeight="false" outlineLevel="0" collapsed="false">
      <c r="A524" s="5" t="str">
        <f aca="false">IF(NOT(ISNUMBER(Macro_Series!$A524)),"",Macro_Series!$A524)</f>
        <v/>
      </c>
      <c r="B524" s="6" t="str">
        <f aca="false">IF(NOT(ISNUMBER(Macro_Series!$C524)),"",Macro_Series!$C524)</f>
        <v/>
      </c>
      <c r="C524" s="6" t="str">
        <f aca="false">IF(NOT(ISNUMBER(Macro_Series!$E524)),"",Macro_Series!$E524)</f>
        <v/>
      </c>
      <c r="D524" s="7" t="str">
        <f aca="false">IF(OR(NOT(ISNUMBER($B524)),NOT(ISNUMBER($C524)),$C524=0),"",$B524/$C524)</f>
        <v/>
      </c>
      <c r="E524" s="7" t="str">
        <f aca="false">IF(NOT(ISNUMBER(Macro_Series!$H524)),"",Macro_Series!$H524)</f>
        <v/>
      </c>
      <c r="F524" s="7" t="str">
        <f aca="false">IF(OR(NOT(ISNUMBER($D524)),NOT(ISNUMBER($E524)),$E524=0),"",$D524/$E524)</f>
        <v/>
      </c>
      <c r="G524" s="8" t="str">
        <f aca="false">IF(OR(NOT(ISNUMBER($B524)),NOT(ISNUMBER($B279)),$B279=0),"",$B524/$B279-1)</f>
        <v/>
      </c>
      <c r="H524" s="8" t="str">
        <f aca="false">IF(OR(NOT(ISNUMBER($D524)),NOT(ISNUMBER($D279)),$D279=0),"",$D524/$D279-1)</f>
        <v/>
      </c>
      <c r="I524" s="8" t="str">
        <f aca="false">IF(OR(NOT(ISNUMBER($G524)),NOT(ISNUMBER($H524))),"",$G524-$H524)</f>
        <v/>
      </c>
    </row>
    <row r="525" customFormat="false" ht="15" hidden="false" customHeight="false" outlineLevel="0" collapsed="false">
      <c r="A525" s="5" t="str">
        <f aca="false">IF(NOT(ISNUMBER(Macro_Series!$A525)),"",Macro_Series!$A525)</f>
        <v/>
      </c>
      <c r="B525" s="6" t="str">
        <f aca="false">IF(NOT(ISNUMBER(Macro_Series!$C525)),"",Macro_Series!$C525)</f>
        <v/>
      </c>
      <c r="C525" s="6" t="str">
        <f aca="false">IF(NOT(ISNUMBER(Macro_Series!$E525)),"",Macro_Series!$E525)</f>
        <v/>
      </c>
      <c r="D525" s="7" t="str">
        <f aca="false">IF(OR(NOT(ISNUMBER($B525)),NOT(ISNUMBER($C525)),$C525=0),"",$B525/$C525)</f>
        <v/>
      </c>
      <c r="E525" s="7" t="str">
        <f aca="false">IF(NOT(ISNUMBER(Macro_Series!$H525)),"",Macro_Series!$H525)</f>
        <v/>
      </c>
      <c r="F525" s="7" t="str">
        <f aca="false">IF(OR(NOT(ISNUMBER($D525)),NOT(ISNUMBER($E525)),$E525=0),"",$D525/$E525)</f>
        <v/>
      </c>
      <c r="G525" s="8" t="str">
        <f aca="false">IF(OR(NOT(ISNUMBER($B525)),NOT(ISNUMBER($B280)),$B280=0),"",$B525/$B280-1)</f>
        <v/>
      </c>
      <c r="H525" s="8" t="str">
        <f aca="false">IF(OR(NOT(ISNUMBER($D525)),NOT(ISNUMBER($D280)),$D280=0),"",$D525/$D280-1)</f>
        <v/>
      </c>
      <c r="I525" s="8" t="str">
        <f aca="false">IF(OR(NOT(ISNUMBER($G525)),NOT(ISNUMBER($H525))),"",$G525-$H525)</f>
        <v/>
      </c>
    </row>
    <row r="526" customFormat="false" ht="15" hidden="false" customHeight="false" outlineLevel="0" collapsed="false">
      <c r="A526" s="5" t="str">
        <f aca="false">IF(NOT(ISNUMBER(Macro_Series!$A526)),"",Macro_Series!$A526)</f>
        <v/>
      </c>
      <c r="B526" s="6" t="str">
        <f aca="false">IF(NOT(ISNUMBER(Macro_Series!$C526)),"",Macro_Series!$C526)</f>
        <v/>
      </c>
      <c r="C526" s="6" t="str">
        <f aca="false">IF(NOT(ISNUMBER(Macro_Series!$E526)),"",Macro_Series!$E526)</f>
        <v/>
      </c>
      <c r="D526" s="7" t="str">
        <f aca="false">IF(OR(NOT(ISNUMBER($B526)),NOT(ISNUMBER($C526)),$C526=0),"",$B526/$C526)</f>
        <v/>
      </c>
      <c r="E526" s="7" t="str">
        <f aca="false">IF(NOT(ISNUMBER(Macro_Series!$H526)),"",Macro_Series!$H526)</f>
        <v/>
      </c>
      <c r="F526" s="7" t="str">
        <f aca="false">IF(OR(NOT(ISNUMBER($D526)),NOT(ISNUMBER($E526)),$E526=0),"",$D526/$E526)</f>
        <v/>
      </c>
      <c r="G526" s="8" t="str">
        <f aca="false">IF(OR(NOT(ISNUMBER($B526)),NOT(ISNUMBER($B281)),$B281=0),"",$B526/$B281-1)</f>
        <v/>
      </c>
      <c r="H526" s="8" t="str">
        <f aca="false">IF(OR(NOT(ISNUMBER($D526)),NOT(ISNUMBER($D281)),$D281=0),"",$D526/$D281-1)</f>
        <v/>
      </c>
      <c r="I526" s="8" t="str">
        <f aca="false">IF(OR(NOT(ISNUMBER($G526)),NOT(ISNUMBER($H526))),"",$G526-$H526)</f>
        <v/>
      </c>
    </row>
    <row r="527" customFormat="false" ht="15" hidden="false" customHeight="false" outlineLevel="0" collapsed="false">
      <c r="A527" s="5" t="str">
        <f aca="false">IF(NOT(ISNUMBER(Macro_Series!$A527)),"",Macro_Series!$A527)</f>
        <v/>
      </c>
      <c r="B527" s="6" t="str">
        <f aca="false">IF(NOT(ISNUMBER(Macro_Series!$C527)),"",Macro_Series!$C527)</f>
        <v/>
      </c>
      <c r="C527" s="6" t="str">
        <f aca="false">IF(NOT(ISNUMBER(Macro_Series!$E527)),"",Macro_Series!$E527)</f>
        <v/>
      </c>
      <c r="D527" s="7" t="str">
        <f aca="false">IF(OR(NOT(ISNUMBER($B527)),NOT(ISNUMBER($C527)),$C527=0),"",$B527/$C527)</f>
        <v/>
      </c>
      <c r="E527" s="7" t="str">
        <f aca="false">IF(NOT(ISNUMBER(Macro_Series!$H527)),"",Macro_Series!$H527)</f>
        <v/>
      </c>
      <c r="F527" s="7" t="str">
        <f aca="false">IF(OR(NOT(ISNUMBER($D527)),NOT(ISNUMBER($E527)),$E527=0),"",$D527/$E527)</f>
        <v/>
      </c>
      <c r="G527" s="8" t="str">
        <f aca="false">IF(OR(NOT(ISNUMBER($B527)),NOT(ISNUMBER($B282)),$B282=0),"",$B527/$B282-1)</f>
        <v/>
      </c>
      <c r="H527" s="8" t="str">
        <f aca="false">IF(OR(NOT(ISNUMBER($D527)),NOT(ISNUMBER($D282)),$D282=0),"",$D527/$D282-1)</f>
        <v/>
      </c>
      <c r="I527" s="8" t="str">
        <f aca="false">IF(OR(NOT(ISNUMBER($G527)),NOT(ISNUMBER($H527))),"",$G527-$H527)</f>
        <v/>
      </c>
    </row>
    <row r="528" customFormat="false" ht="15" hidden="false" customHeight="false" outlineLevel="0" collapsed="false">
      <c r="A528" s="5" t="str">
        <f aca="false">IF(NOT(ISNUMBER(Macro_Series!$A528)),"",Macro_Series!$A528)</f>
        <v/>
      </c>
      <c r="B528" s="6" t="str">
        <f aca="false">IF(NOT(ISNUMBER(Macro_Series!$C528)),"",Macro_Series!$C528)</f>
        <v/>
      </c>
      <c r="C528" s="6" t="str">
        <f aca="false">IF(NOT(ISNUMBER(Macro_Series!$E528)),"",Macro_Series!$E528)</f>
        <v/>
      </c>
      <c r="D528" s="7" t="str">
        <f aca="false">IF(OR(NOT(ISNUMBER($B528)),NOT(ISNUMBER($C528)),$C528=0),"",$B528/$C528)</f>
        <v/>
      </c>
      <c r="E528" s="7" t="str">
        <f aca="false">IF(NOT(ISNUMBER(Macro_Series!$H528)),"",Macro_Series!$H528)</f>
        <v/>
      </c>
      <c r="F528" s="7" t="str">
        <f aca="false">IF(OR(NOT(ISNUMBER($D528)),NOT(ISNUMBER($E528)),$E528=0),"",$D528/$E528)</f>
        <v/>
      </c>
      <c r="G528" s="8" t="str">
        <f aca="false">IF(OR(NOT(ISNUMBER($B528)),NOT(ISNUMBER($B283)),$B283=0),"",$B528/$B283-1)</f>
        <v/>
      </c>
      <c r="H528" s="8" t="str">
        <f aca="false">IF(OR(NOT(ISNUMBER($D528)),NOT(ISNUMBER($D283)),$D283=0),"",$D528/$D283-1)</f>
        <v/>
      </c>
      <c r="I528" s="8" t="str">
        <f aca="false">IF(OR(NOT(ISNUMBER($G528)),NOT(ISNUMBER($H528))),"",$G528-$H528)</f>
        <v/>
      </c>
    </row>
    <row r="529" customFormat="false" ht="15" hidden="false" customHeight="false" outlineLevel="0" collapsed="false">
      <c r="A529" s="5" t="str">
        <f aca="false">IF(NOT(ISNUMBER(Macro_Series!$A529)),"",Macro_Series!$A529)</f>
        <v/>
      </c>
      <c r="B529" s="6" t="str">
        <f aca="false">IF(NOT(ISNUMBER(Macro_Series!$C529)),"",Macro_Series!$C529)</f>
        <v/>
      </c>
      <c r="C529" s="6" t="str">
        <f aca="false">IF(NOT(ISNUMBER(Macro_Series!$E529)),"",Macro_Series!$E529)</f>
        <v/>
      </c>
      <c r="D529" s="7" t="str">
        <f aca="false">IF(OR(NOT(ISNUMBER($B529)),NOT(ISNUMBER($C529)),$C529=0),"",$B529/$C529)</f>
        <v/>
      </c>
      <c r="E529" s="7" t="str">
        <f aca="false">IF(NOT(ISNUMBER(Macro_Series!$H529)),"",Macro_Series!$H529)</f>
        <v/>
      </c>
      <c r="F529" s="7" t="str">
        <f aca="false">IF(OR(NOT(ISNUMBER($D529)),NOT(ISNUMBER($E529)),$E529=0),"",$D529/$E529)</f>
        <v/>
      </c>
      <c r="G529" s="8" t="str">
        <f aca="false">IF(OR(NOT(ISNUMBER($B529)),NOT(ISNUMBER($B284)),$B284=0),"",$B529/$B284-1)</f>
        <v/>
      </c>
      <c r="H529" s="8" t="str">
        <f aca="false">IF(OR(NOT(ISNUMBER($D529)),NOT(ISNUMBER($D284)),$D284=0),"",$D529/$D284-1)</f>
        <v/>
      </c>
      <c r="I529" s="8" t="str">
        <f aca="false">IF(OR(NOT(ISNUMBER($G529)),NOT(ISNUMBER($H529))),"",$G529-$H529)</f>
        <v/>
      </c>
    </row>
    <row r="530" customFormat="false" ht="15" hidden="false" customHeight="false" outlineLevel="0" collapsed="false">
      <c r="A530" s="5" t="str">
        <f aca="false">IF(NOT(ISNUMBER(Macro_Series!$A530)),"",Macro_Series!$A530)</f>
        <v/>
      </c>
      <c r="B530" s="6" t="str">
        <f aca="false">IF(NOT(ISNUMBER(Macro_Series!$C530)),"",Macro_Series!$C530)</f>
        <v/>
      </c>
      <c r="C530" s="6" t="str">
        <f aca="false">IF(NOT(ISNUMBER(Macro_Series!$E530)),"",Macro_Series!$E530)</f>
        <v/>
      </c>
      <c r="D530" s="7" t="str">
        <f aca="false">IF(OR(NOT(ISNUMBER($B530)),NOT(ISNUMBER($C530)),$C530=0),"",$B530/$C530)</f>
        <v/>
      </c>
      <c r="E530" s="7" t="str">
        <f aca="false">IF(NOT(ISNUMBER(Macro_Series!$H530)),"",Macro_Series!$H530)</f>
        <v/>
      </c>
      <c r="F530" s="7" t="str">
        <f aca="false">IF(OR(NOT(ISNUMBER($D530)),NOT(ISNUMBER($E530)),$E530=0),"",$D530/$E530)</f>
        <v/>
      </c>
      <c r="G530" s="8" t="str">
        <f aca="false">IF(OR(NOT(ISNUMBER($B530)),NOT(ISNUMBER($B285)),$B285=0),"",$B530/$B285-1)</f>
        <v/>
      </c>
      <c r="H530" s="8" t="str">
        <f aca="false">IF(OR(NOT(ISNUMBER($D530)),NOT(ISNUMBER($D285)),$D285=0),"",$D530/$D285-1)</f>
        <v/>
      </c>
      <c r="I530" s="8" t="str">
        <f aca="false">IF(OR(NOT(ISNUMBER($G530)),NOT(ISNUMBER($H530))),"",$G530-$H530)</f>
        <v/>
      </c>
    </row>
    <row r="531" customFormat="false" ht="15" hidden="false" customHeight="false" outlineLevel="0" collapsed="false">
      <c r="A531" s="5" t="str">
        <f aca="false">IF(NOT(ISNUMBER(Macro_Series!$A531)),"",Macro_Series!$A531)</f>
        <v/>
      </c>
      <c r="B531" s="6" t="str">
        <f aca="false">IF(NOT(ISNUMBER(Macro_Series!$C531)),"",Macro_Series!$C531)</f>
        <v/>
      </c>
      <c r="C531" s="6" t="str">
        <f aca="false">IF(NOT(ISNUMBER(Macro_Series!$E531)),"",Macro_Series!$E531)</f>
        <v/>
      </c>
      <c r="D531" s="7" t="str">
        <f aca="false">IF(OR(NOT(ISNUMBER($B531)),NOT(ISNUMBER($C531)),$C531=0),"",$B531/$C531)</f>
        <v/>
      </c>
      <c r="E531" s="7" t="str">
        <f aca="false">IF(NOT(ISNUMBER(Macro_Series!$H531)),"",Macro_Series!$H531)</f>
        <v/>
      </c>
      <c r="F531" s="7" t="str">
        <f aca="false">IF(OR(NOT(ISNUMBER($D531)),NOT(ISNUMBER($E531)),$E531=0),"",$D531/$E531)</f>
        <v/>
      </c>
      <c r="G531" s="8" t="str">
        <f aca="false">IF(OR(NOT(ISNUMBER($B531)),NOT(ISNUMBER($B286)),$B286=0),"",$B531/$B286-1)</f>
        <v/>
      </c>
      <c r="H531" s="8" t="str">
        <f aca="false">IF(OR(NOT(ISNUMBER($D531)),NOT(ISNUMBER($D286)),$D286=0),"",$D531/$D286-1)</f>
        <v/>
      </c>
      <c r="I531" s="8" t="str">
        <f aca="false">IF(OR(NOT(ISNUMBER($G531)),NOT(ISNUMBER($H531))),"",$G531-$H531)</f>
        <v/>
      </c>
    </row>
    <row r="532" customFormat="false" ht="15" hidden="false" customHeight="false" outlineLevel="0" collapsed="false">
      <c r="A532" s="5" t="str">
        <f aca="false">IF(NOT(ISNUMBER(Macro_Series!$A532)),"",Macro_Series!$A532)</f>
        <v/>
      </c>
      <c r="B532" s="6" t="str">
        <f aca="false">IF(NOT(ISNUMBER(Macro_Series!$C532)),"",Macro_Series!$C532)</f>
        <v/>
      </c>
      <c r="C532" s="6" t="str">
        <f aca="false">IF(NOT(ISNUMBER(Macro_Series!$E532)),"",Macro_Series!$E532)</f>
        <v/>
      </c>
      <c r="D532" s="7" t="str">
        <f aca="false">IF(OR(NOT(ISNUMBER($B532)),NOT(ISNUMBER($C532)),$C532=0),"",$B532/$C532)</f>
        <v/>
      </c>
      <c r="E532" s="7" t="str">
        <f aca="false">IF(NOT(ISNUMBER(Macro_Series!$H532)),"",Macro_Series!$H532)</f>
        <v/>
      </c>
      <c r="F532" s="7" t="str">
        <f aca="false">IF(OR(NOT(ISNUMBER($D532)),NOT(ISNUMBER($E532)),$E532=0),"",$D532/$E532)</f>
        <v/>
      </c>
      <c r="G532" s="8" t="str">
        <f aca="false">IF(OR(NOT(ISNUMBER($B532)),NOT(ISNUMBER($B287)),$B287=0),"",$B532/$B287-1)</f>
        <v/>
      </c>
      <c r="H532" s="8" t="str">
        <f aca="false">IF(OR(NOT(ISNUMBER($D532)),NOT(ISNUMBER($D287)),$D287=0),"",$D532/$D287-1)</f>
        <v/>
      </c>
      <c r="I532" s="8" t="str">
        <f aca="false">IF(OR(NOT(ISNUMBER($G532)),NOT(ISNUMBER($H532))),"",$G532-$H532)</f>
        <v/>
      </c>
    </row>
    <row r="533" customFormat="false" ht="15" hidden="false" customHeight="false" outlineLevel="0" collapsed="false">
      <c r="A533" s="5" t="str">
        <f aca="false">IF(NOT(ISNUMBER(Macro_Series!$A533)),"",Macro_Series!$A533)</f>
        <v/>
      </c>
      <c r="B533" s="6" t="str">
        <f aca="false">IF(NOT(ISNUMBER(Macro_Series!$C533)),"",Macro_Series!$C533)</f>
        <v/>
      </c>
      <c r="C533" s="6" t="str">
        <f aca="false">IF(NOT(ISNUMBER(Macro_Series!$E533)),"",Macro_Series!$E533)</f>
        <v/>
      </c>
      <c r="D533" s="7" t="str">
        <f aca="false">IF(OR(NOT(ISNUMBER($B533)),NOT(ISNUMBER($C533)),$C533=0),"",$B533/$C533)</f>
        <v/>
      </c>
      <c r="E533" s="7" t="str">
        <f aca="false">IF(NOT(ISNUMBER(Macro_Series!$H533)),"",Macro_Series!$H533)</f>
        <v/>
      </c>
      <c r="F533" s="7" t="str">
        <f aca="false">IF(OR(NOT(ISNUMBER($D533)),NOT(ISNUMBER($E533)),$E533=0),"",$D533/$E533)</f>
        <v/>
      </c>
      <c r="G533" s="8" t="str">
        <f aca="false">IF(OR(NOT(ISNUMBER($B533)),NOT(ISNUMBER($B288)),$B288=0),"",$B533/$B288-1)</f>
        <v/>
      </c>
      <c r="H533" s="8" t="str">
        <f aca="false">IF(OR(NOT(ISNUMBER($D533)),NOT(ISNUMBER($D288)),$D288=0),"",$D533/$D288-1)</f>
        <v/>
      </c>
      <c r="I533" s="8" t="str">
        <f aca="false">IF(OR(NOT(ISNUMBER($G533)),NOT(ISNUMBER($H533))),"",$G533-$H533)</f>
        <v/>
      </c>
    </row>
    <row r="534" customFormat="false" ht="15" hidden="false" customHeight="false" outlineLevel="0" collapsed="false">
      <c r="A534" s="5" t="str">
        <f aca="false">IF(NOT(ISNUMBER(Macro_Series!$A534)),"",Macro_Series!$A534)</f>
        <v/>
      </c>
      <c r="B534" s="6" t="str">
        <f aca="false">IF(NOT(ISNUMBER(Macro_Series!$C534)),"",Macro_Series!$C534)</f>
        <v/>
      </c>
      <c r="C534" s="6" t="str">
        <f aca="false">IF(NOT(ISNUMBER(Macro_Series!$E534)),"",Macro_Series!$E534)</f>
        <v/>
      </c>
      <c r="D534" s="7" t="str">
        <f aca="false">IF(OR(NOT(ISNUMBER($B534)),NOT(ISNUMBER($C534)),$C534=0),"",$B534/$C534)</f>
        <v/>
      </c>
      <c r="E534" s="7" t="str">
        <f aca="false">IF(NOT(ISNUMBER(Macro_Series!$H534)),"",Macro_Series!$H534)</f>
        <v/>
      </c>
      <c r="F534" s="7" t="str">
        <f aca="false">IF(OR(NOT(ISNUMBER($D534)),NOT(ISNUMBER($E534)),$E534=0),"",$D534/$E534)</f>
        <v/>
      </c>
      <c r="G534" s="8" t="str">
        <f aca="false">IF(OR(NOT(ISNUMBER($B534)),NOT(ISNUMBER($B289)),$B289=0),"",$B534/$B289-1)</f>
        <v/>
      </c>
      <c r="H534" s="8" t="str">
        <f aca="false">IF(OR(NOT(ISNUMBER($D534)),NOT(ISNUMBER($D289)),$D289=0),"",$D534/$D289-1)</f>
        <v/>
      </c>
      <c r="I534" s="8" t="str">
        <f aca="false">IF(OR(NOT(ISNUMBER($G534)),NOT(ISNUMBER($H534))),"",$G534-$H534)</f>
        <v/>
      </c>
    </row>
    <row r="535" customFormat="false" ht="15" hidden="false" customHeight="false" outlineLevel="0" collapsed="false">
      <c r="A535" s="5" t="str">
        <f aca="false">IF(NOT(ISNUMBER(Macro_Series!$A535)),"",Macro_Series!$A535)</f>
        <v/>
      </c>
      <c r="B535" s="6" t="str">
        <f aca="false">IF(NOT(ISNUMBER(Macro_Series!$C535)),"",Macro_Series!$C535)</f>
        <v/>
      </c>
      <c r="C535" s="6" t="str">
        <f aca="false">IF(NOT(ISNUMBER(Macro_Series!$E535)),"",Macro_Series!$E535)</f>
        <v/>
      </c>
      <c r="D535" s="7" t="str">
        <f aca="false">IF(OR(NOT(ISNUMBER($B535)),NOT(ISNUMBER($C535)),$C535=0),"",$B535/$C535)</f>
        <v/>
      </c>
      <c r="E535" s="7" t="str">
        <f aca="false">IF(NOT(ISNUMBER(Macro_Series!$H535)),"",Macro_Series!$H535)</f>
        <v/>
      </c>
      <c r="F535" s="7" t="str">
        <f aca="false">IF(OR(NOT(ISNUMBER($D535)),NOT(ISNUMBER($E535)),$E535=0),"",$D535/$E535)</f>
        <v/>
      </c>
      <c r="G535" s="8" t="str">
        <f aca="false">IF(OR(NOT(ISNUMBER($B535)),NOT(ISNUMBER($B290)),$B290=0),"",$B535/$B290-1)</f>
        <v/>
      </c>
      <c r="H535" s="8" t="str">
        <f aca="false">IF(OR(NOT(ISNUMBER($D535)),NOT(ISNUMBER($D290)),$D290=0),"",$D535/$D290-1)</f>
        <v/>
      </c>
      <c r="I535" s="8" t="str">
        <f aca="false">IF(OR(NOT(ISNUMBER($G535)),NOT(ISNUMBER($H535))),"",$G535-$H535)</f>
        <v/>
      </c>
    </row>
    <row r="536" customFormat="false" ht="15" hidden="false" customHeight="false" outlineLevel="0" collapsed="false">
      <c r="A536" s="5" t="str">
        <f aca="false">IF(NOT(ISNUMBER(Macro_Series!$A536)),"",Macro_Series!$A536)</f>
        <v/>
      </c>
      <c r="B536" s="6" t="str">
        <f aca="false">IF(NOT(ISNUMBER(Macro_Series!$C536)),"",Macro_Series!$C536)</f>
        <v/>
      </c>
      <c r="C536" s="6" t="str">
        <f aca="false">IF(NOT(ISNUMBER(Macro_Series!$E536)),"",Macro_Series!$E536)</f>
        <v/>
      </c>
      <c r="D536" s="7" t="str">
        <f aca="false">IF(OR(NOT(ISNUMBER($B536)),NOT(ISNUMBER($C536)),$C536=0),"",$B536/$C536)</f>
        <v/>
      </c>
      <c r="E536" s="7" t="str">
        <f aca="false">IF(NOT(ISNUMBER(Macro_Series!$H536)),"",Macro_Series!$H536)</f>
        <v/>
      </c>
      <c r="F536" s="7" t="str">
        <f aca="false">IF(OR(NOT(ISNUMBER($D536)),NOT(ISNUMBER($E536)),$E536=0),"",$D536/$E536)</f>
        <v/>
      </c>
      <c r="G536" s="8" t="str">
        <f aca="false">IF(OR(NOT(ISNUMBER($B536)),NOT(ISNUMBER($B291)),$B291=0),"",$B536/$B291-1)</f>
        <v/>
      </c>
      <c r="H536" s="8" t="str">
        <f aca="false">IF(OR(NOT(ISNUMBER($D536)),NOT(ISNUMBER($D291)),$D291=0),"",$D536/$D291-1)</f>
        <v/>
      </c>
      <c r="I536" s="8" t="str">
        <f aca="false">IF(OR(NOT(ISNUMBER($G536)),NOT(ISNUMBER($H536))),"",$G536-$H536)</f>
        <v/>
      </c>
    </row>
    <row r="537" customFormat="false" ht="15" hidden="false" customHeight="false" outlineLevel="0" collapsed="false">
      <c r="A537" s="5" t="str">
        <f aca="false">IF(NOT(ISNUMBER(Macro_Series!$A537)),"",Macro_Series!$A537)</f>
        <v/>
      </c>
      <c r="B537" s="6" t="str">
        <f aca="false">IF(NOT(ISNUMBER(Macro_Series!$C537)),"",Macro_Series!$C537)</f>
        <v/>
      </c>
      <c r="C537" s="6" t="str">
        <f aca="false">IF(NOT(ISNUMBER(Macro_Series!$E537)),"",Macro_Series!$E537)</f>
        <v/>
      </c>
      <c r="D537" s="7" t="str">
        <f aca="false">IF(OR(NOT(ISNUMBER($B537)),NOT(ISNUMBER($C537)),$C537=0),"",$B537/$C537)</f>
        <v/>
      </c>
      <c r="E537" s="7" t="str">
        <f aca="false">IF(NOT(ISNUMBER(Macro_Series!$H537)),"",Macro_Series!$H537)</f>
        <v/>
      </c>
      <c r="F537" s="7" t="str">
        <f aca="false">IF(OR(NOT(ISNUMBER($D537)),NOT(ISNUMBER($E537)),$E537=0),"",$D537/$E537)</f>
        <v/>
      </c>
      <c r="G537" s="8" t="str">
        <f aca="false">IF(OR(NOT(ISNUMBER($B537)),NOT(ISNUMBER($B292)),$B292=0),"",$B537/$B292-1)</f>
        <v/>
      </c>
      <c r="H537" s="8" t="str">
        <f aca="false">IF(OR(NOT(ISNUMBER($D537)),NOT(ISNUMBER($D292)),$D292=0),"",$D537/$D292-1)</f>
        <v/>
      </c>
      <c r="I537" s="8" t="str">
        <f aca="false">IF(OR(NOT(ISNUMBER($G537)),NOT(ISNUMBER($H537))),"",$G537-$H537)</f>
        <v/>
      </c>
    </row>
    <row r="538" customFormat="false" ht="15" hidden="false" customHeight="false" outlineLevel="0" collapsed="false">
      <c r="A538" s="5" t="str">
        <f aca="false">IF(NOT(ISNUMBER(Macro_Series!$A538)),"",Macro_Series!$A538)</f>
        <v/>
      </c>
      <c r="B538" s="6" t="str">
        <f aca="false">IF(NOT(ISNUMBER(Macro_Series!$C538)),"",Macro_Series!$C538)</f>
        <v/>
      </c>
      <c r="C538" s="6" t="str">
        <f aca="false">IF(NOT(ISNUMBER(Macro_Series!$E538)),"",Macro_Series!$E538)</f>
        <v/>
      </c>
      <c r="D538" s="7" t="str">
        <f aca="false">IF(OR(NOT(ISNUMBER($B538)),NOT(ISNUMBER($C538)),$C538=0),"",$B538/$C538)</f>
        <v/>
      </c>
      <c r="E538" s="7" t="str">
        <f aca="false">IF(NOT(ISNUMBER(Macro_Series!$H538)),"",Macro_Series!$H538)</f>
        <v/>
      </c>
      <c r="F538" s="7" t="str">
        <f aca="false">IF(OR(NOT(ISNUMBER($D538)),NOT(ISNUMBER($E538)),$E538=0),"",$D538/$E538)</f>
        <v/>
      </c>
      <c r="G538" s="8" t="str">
        <f aca="false">IF(OR(NOT(ISNUMBER($B538)),NOT(ISNUMBER($B293)),$B293=0),"",$B538/$B293-1)</f>
        <v/>
      </c>
      <c r="H538" s="8" t="str">
        <f aca="false">IF(OR(NOT(ISNUMBER($D538)),NOT(ISNUMBER($D293)),$D293=0),"",$D538/$D293-1)</f>
        <v/>
      </c>
      <c r="I538" s="8" t="str">
        <f aca="false">IF(OR(NOT(ISNUMBER($G538)),NOT(ISNUMBER($H538))),"",$G538-$H538)</f>
        <v/>
      </c>
    </row>
    <row r="539" customFormat="false" ht="15" hidden="false" customHeight="false" outlineLevel="0" collapsed="false">
      <c r="A539" s="5" t="str">
        <f aca="false">IF(NOT(ISNUMBER(Macro_Series!$A539)),"",Macro_Series!$A539)</f>
        <v/>
      </c>
      <c r="B539" s="6" t="str">
        <f aca="false">IF(NOT(ISNUMBER(Macro_Series!$C539)),"",Macro_Series!$C539)</f>
        <v/>
      </c>
      <c r="C539" s="6" t="str">
        <f aca="false">IF(NOT(ISNUMBER(Macro_Series!$E539)),"",Macro_Series!$E539)</f>
        <v/>
      </c>
      <c r="D539" s="7" t="str">
        <f aca="false">IF(OR(NOT(ISNUMBER($B539)),NOT(ISNUMBER($C539)),$C539=0),"",$B539/$C539)</f>
        <v/>
      </c>
      <c r="E539" s="7" t="str">
        <f aca="false">IF(NOT(ISNUMBER(Macro_Series!$H539)),"",Macro_Series!$H539)</f>
        <v/>
      </c>
      <c r="F539" s="7" t="str">
        <f aca="false">IF(OR(NOT(ISNUMBER($D539)),NOT(ISNUMBER($E539)),$E539=0),"",$D539/$E539)</f>
        <v/>
      </c>
      <c r="G539" s="8" t="str">
        <f aca="false">IF(OR(NOT(ISNUMBER($B539)),NOT(ISNUMBER($B294)),$B294=0),"",$B539/$B294-1)</f>
        <v/>
      </c>
      <c r="H539" s="8" t="str">
        <f aca="false">IF(OR(NOT(ISNUMBER($D539)),NOT(ISNUMBER($D294)),$D294=0),"",$D539/$D294-1)</f>
        <v/>
      </c>
      <c r="I539" s="8" t="str">
        <f aca="false">IF(OR(NOT(ISNUMBER($G539)),NOT(ISNUMBER($H539))),"",$G539-$H539)</f>
        <v/>
      </c>
    </row>
    <row r="540" customFormat="false" ht="15" hidden="false" customHeight="false" outlineLevel="0" collapsed="false">
      <c r="A540" s="5" t="str">
        <f aca="false">IF(NOT(ISNUMBER(Macro_Series!$A540)),"",Macro_Series!$A540)</f>
        <v/>
      </c>
      <c r="B540" s="6" t="str">
        <f aca="false">IF(NOT(ISNUMBER(Macro_Series!$C540)),"",Macro_Series!$C540)</f>
        <v/>
      </c>
      <c r="C540" s="6" t="str">
        <f aca="false">IF(NOT(ISNUMBER(Macro_Series!$E540)),"",Macro_Series!$E540)</f>
        <v/>
      </c>
      <c r="D540" s="7" t="str">
        <f aca="false">IF(OR(NOT(ISNUMBER($B540)),NOT(ISNUMBER($C540)),$C540=0),"",$B540/$C540)</f>
        <v/>
      </c>
      <c r="E540" s="7" t="str">
        <f aca="false">IF(NOT(ISNUMBER(Macro_Series!$H540)),"",Macro_Series!$H540)</f>
        <v/>
      </c>
      <c r="F540" s="7" t="str">
        <f aca="false">IF(OR(NOT(ISNUMBER($D540)),NOT(ISNUMBER($E540)),$E540=0),"",$D540/$E540)</f>
        <v/>
      </c>
      <c r="G540" s="8" t="str">
        <f aca="false">IF(OR(NOT(ISNUMBER($B540)),NOT(ISNUMBER($B295)),$B295=0),"",$B540/$B295-1)</f>
        <v/>
      </c>
      <c r="H540" s="8" t="str">
        <f aca="false">IF(OR(NOT(ISNUMBER($D540)),NOT(ISNUMBER($D295)),$D295=0),"",$D540/$D295-1)</f>
        <v/>
      </c>
      <c r="I540" s="8" t="str">
        <f aca="false">IF(OR(NOT(ISNUMBER($G540)),NOT(ISNUMBER($H540))),"",$G540-$H540)</f>
        <v/>
      </c>
    </row>
    <row r="541" customFormat="false" ht="15" hidden="false" customHeight="false" outlineLevel="0" collapsed="false">
      <c r="A541" s="5" t="str">
        <f aca="false">IF(NOT(ISNUMBER(Macro_Series!$A541)),"",Macro_Series!$A541)</f>
        <v/>
      </c>
      <c r="B541" s="6" t="str">
        <f aca="false">IF(NOT(ISNUMBER(Macro_Series!$C541)),"",Macro_Series!$C541)</f>
        <v/>
      </c>
      <c r="C541" s="6" t="str">
        <f aca="false">IF(NOT(ISNUMBER(Macro_Series!$E541)),"",Macro_Series!$E541)</f>
        <v/>
      </c>
      <c r="D541" s="7" t="str">
        <f aca="false">IF(OR(NOT(ISNUMBER($B541)),NOT(ISNUMBER($C541)),$C541=0),"",$B541/$C541)</f>
        <v/>
      </c>
      <c r="E541" s="7" t="str">
        <f aca="false">IF(NOT(ISNUMBER(Macro_Series!$H541)),"",Macro_Series!$H541)</f>
        <v/>
      </c>
      <c r="F541" s="7" t="str">
        <f aca="false">IF(OR(NOT(ISNUMBER($D541)),NOT(ISNUMBER($E541)),$E541=0),"",$D541/$E541)</f>
        <v/>
      </c>
      <c r="G541" s="8" t="str">
        <f aca="false">IF(OR(NOT(ISNUMBER($B541)),NOT(ISNUMBER($B296)),$B296=0),"",$B541/$B296-1)</f>
        <v/>
      </c>
      <c r="H541" s="8" t="str">
        <f aca="false">IF(OR(NOT(ISNUMBER($D541)),NOT(ISNUMBER($D296)),$D296=0),"",$D541/$D296-1)</f>
        <v/>
      </c>
      <c r="I541" s="8" t="str">
        <f aca="false">IF(OR(NOT(ISNUMBER($G541)),NOT(ISNUMBER($H541))),"",$G541-$H541)</f>
        <v/>
      </c>
    </row>
    <row r="542" customFormat="false" ht="15" hidden="false" customHeight="false" outlineLevel="0" collapsed="false">
      <c r="A542" s="5" t="str">
        <f aca="false">IF(NOT(ISNUMBER(Macro_Series!$A542)),"",Macro_Series!$A542)</f>
        <v/>
      </c>
      <c r="B542" s="6" t="str">
        <f aca="false">IF(NOT(ISNUMBER(Macro_Series!$C542)),"",Macro_Series!$C542)</f>
        <v/>
      </c>
      <c r="C542" s="6" t="str">
        <f aca="false">IF(NOT(ISNUMBER(Macro_Series!$E542)),"",Macro_Series!$E542)</f>
        <v/>
      </c>
      <c r="D542" s="7" t="str">
        <f aca="false">IF(OR(NOT(ISNUMBER($B542)),NOT(ISNUMBER($C542)),$C542=0),"",$B542/$C542)</f>
        <v/>
      </c>
      <c r="E542" s="7" t="str">
        <f aca="false">IF(NOT(ISNUMBER(Macro_Series!$H542)),"",Macro_Series!$H542)</f>
        <v/>
      </c>
      <c r="F542" s="7" t="str">
        <f aca="false">IF(OR(NOT(ISNUMBER($D542)),NOT(ISNUMBER($E542)),$E542=0),"",$D542/$E542)</f>
        <v/>
      </c>
      <c r="G542" s="8" t="str">
        <f aca="false">IF(OR(NOT(ISNUMBER($B542)),NOT(ISNUMBER($B297)),$B297=0),"",$B542/$B297-1)</f>
        <v/>
      </c>
      <c r="H542" s="8" t="str">
        <f aca="false">IF(OR(NOT(ISNUMBER($D542)),NOT(ISNUMBER($D297)),$D297=0),"",$D542/$D297-1)</f>
        <v/>
      </c>
      <c r="I542" s="8" t="str">
        <f aca="false">IF(OR(NOT(ISNUMBER($G542)),NOT(ISNUMBER($H542))),"",$G542-$H542)</f>
        <v/>
      </c>
    </row>
    <row r="543" customFormat="false" ht="15" hidden="false" customHeight="false" outlineLevel="0" collapsed="false">
      <c r="A543" s="5" t="str">
        <f aca="false">IF(NOT(ISNUMBER(Macro_Series!$A543)),"",Macro_Series!$A543)</f>
        <v/>
      </c>
      <c r="B543" s="6" t="str">
        <f aca="false">IF(NOT(ISNUMBER(Macro_Series!$C543)),"",Macro_Series!$C543)</f>
        <v/>
      </c>
      <c r="C543" s="6" t="str">
        <f aca="false">IF(NOT(ISNUMBER(Macro_Series!$E543)),"",Macro_Series!$E543)</f>
        <v/>
      </c>
      <c r="D543" s="7" t="str">
        <f aca="false">IF(OR(NOT(ISNUMBER($B543)),NOT(ISNUMBER($C543)),$C543=0),"",$B543/$C543)</f>
        <v/>
      </c>
      <c r="E543" s="7" t="str">
        <f aca="false">IF(NOT(ISNUMBER(Macro_Series!$H543)),"",Macro_Series!$H543)</f>
        <v/>
      </c>
      <c r="F543" s="7" t="str">
        <f aca="false">IF(OR(NOT(ISNUMBER($D543)),NOT(ISNUMBER($E543)),$E543=0),"",$D543/$E543)</f>
        <v/>
      </c>
      <c r="G543" s="8" t="str">
        <f aca="false">IF(OR(NOT(ISNUMBER($B543)),NOT(ISNUMBER($B298)),$B298=0),"",$B543/$B298-1)</f>
        <v/>
      </c>
      <c r="H543" s="8" t="str">
        <f aca="false">IF(OR(NOT(ISNUMBER($D543)),NOT(ISNUMBER($D298)),$D298=0),"",$D543/$D298-1)</f>
        <v/>
      </c>
      <c r="I543" s="8" t="str">
        <f aca="false">IF(OR(NOT(ISNUMBER($G543)),NOT(ISNUMBER($H543))),"",$G543-$H543)</f>
        <v/>
      </c>
    </row>
    <row r="544" customFormat="false" ht="15" hidden="false" customHeight="false" outlineLevel="0" collapsed="false">
      <c r="A544" s="5" t="str">
        <f aca="false">IF(NOT(ISNUMBER(Macro_Series!$A544)),"",Macro_Series!$A544)</f>
        <v/>
      </c>
      <c r="B544" s="6" t="str">
        <f aca="false">IF(NOT(ISNUMBER(Macro_Series!$C544)),"",Macro_Series!$C544)</f>
        <v/>
      </c>
      <c r="C544" s="6" t="str">
        <f aca="false">IF(NOT(ISNUMBER(Macro_Series!$E544)),"",Macro_Series!$E544)</f>
        <v/>
      </c>
      <c r="D544" s="7" t="str">
        <f aca="false">IF(OR(NOT(ISNUMBER($B544)),NOT(ISNUMBER($C544)),$C544=0),"",$B544/$C544)</f>
        <v/>
      </c>
      <c r="E544" s="7" t="str">
        <f aca="false">IF(NOT(ISNUMBER(Macro_Series!$H544)),"",Macro_Series!$H544)</f>
        <v/>
      </c>
      <c r="F544" s="7" t="str">
        <f aca="false">IF(OR(NOT(ISNUMBER($D544)),NOT(ISNUMBER($E544)),$E544=0),"",$D544/$E544)</f>
        <v/>
      </c>
      <c r="G544" s="8" t="str">
        <f aca="false">IF(OR(NOT(ISNUMBER($B544)),NOT(ISNUMBER($B299)),$B299=0),"",$B544/$B299-1)</f>
        <v/>
      </c>
      <c r="H544" s="8" t="str">
        <f aca="false">IF(OR(NOT(ISNUMBER($D544)),NOT(ISNUMBER($D299)),$D299=0),"",$D544/$D299-1)</f>
        <v/>
      </c>
      <c r="I544" s="8" t="str">
        <f aca="false">IF(OR(NOT(ISNUMBER($G544)),NOT(ISNUMBER($H544))),"",$G544-$H544)</f>
        <v/>
      </c>
    </row>
    <row r="545" customFormat="false" ht="15" hidden="false" customHeight="false" outlineLevel="0" collapsed="false">
      <c r="A545" s="5" t="str">
        <f aca="false">IF(NOT(ISNUMBER(Macro_Series!$A545)),"",Macro_Series!$A545)</f>
        <v/>
      </c>
      <c r="B545" s="6" t="str">
        <f aca="false">IF(NOT(ISNUMBER(Macro_Series!$C545)),"",Macro_Series!$C545)</f>
        <v/>
      </c>
      <c r="C545" s="6" t="str">
        <f aca="false">IF(NOT(ISNUMBER(Macro_Series!$E545)),"",Macro_Series!$E545)</f>
        <v/>
      </c>
      <c r="D545" s="7" t="str">
        <f aca="false">IF(OR(NOT(ISNUMBER($B545)),NOT(ISNUMBER($C545)),$C545=0),"",$B545/$C545)</f>
        <v/>
      </c>
      <c r="E545" s="7" t="str">
        <f aca="false">IF(NOT(ISNUMBER(Macro_Series!$H545)),"",Macro_Series!$H545)</f>
        <v/>
      </c>
      <c r="F545" s="7" t="str">
        <f aca="false">IF(OR(NOT(ISNUMBER($D545)),NOT(ISNUMBER($E545)),$E545=0),"",$D545/$E545)</f>
        <v/>
      </c>
      <c r="G545" s="8" t="str">
        <f aca="false">IF(OR(NOT(ISNUMBER($B545)),NOT(ISNUMBER($B300)),$B300=0),"",$B545/$B300-1)</f>
        <v/>
      </c>
      <c r="H545" s="8" t="str">
        <f aca="false">IF(OR(NOT(ISNUMBER($D545)),NOT(ISNUMBER($D300)),$D300=0),"",$D545/$D300-1)</f>
        <v/>
      </c>
      <c r="I545" s="8" t="str">
        <f aca="false">IF(OR(NOT(ISNUMBER($G545)),NOT(ISNUMBER($H545))),"",$G545-$H545)</f>
        <v/>
      </c>
    </row>
    <row r="546" customFormat="false" ht="15" hidden="false" customHeight="false" outlineLevel="0" collapsed="false">
      <c r="A546" s="5" t="str">
        <f aca="false">IF(NOT(ISNUMBER(Macro_Series!$A546)),"",Macro_Series!$A546)</f>
        <v/>
      </c>
      <c r="B546" s="6" t="str">
        <f aca="false">IF(NOT(ISNUMBER(Macro_Series!$C546)),"",Macro_Series!$C546)</f>
        <v/>
      </c>
      <c r="C546" s="6" t="str">
        <f aca="false">IF(NOT(ISNUMBER(Macro_Series!$E546)),"",Macro_Series!$E546)</f>
        <v/>
      </c>
      <c r="D546" s="7" t="str">
        <f aca="false">IF(OR(NOT(ISNUMBER($B546)),NOT(ISNUMBER($C546)),$C546=0),"",$B546/$C546)</f>
        <v/>
      </c>
      <c r="E546" s="7" t="str">
        <f aca="false">IF(NOT(ISNUMBER(Macro_Series!$H546)),"",Macro_Series!$H546)</f>
        <v/>
      </c>
      <c r="F546" s="7" t="str">
        <f aca="false">IF(OR(NOT(ISNUMBER($D546)),NOT(ISNUMBER($E546)),$E546=0),"",$D546/$E546)</f>
        <v/>
      </c>
      <c r="G546" s="8" t="str">
        <f aca="false">IF(OR(NOT(ISNUMBER($B546)),NOT(ISNUMBER($B301)),$B301=0),"",$B546/$B301-1)</f>
        <v/>
      </c>
      <c r="H546" s="8" t="str">
        <f aca="false">IF(OR(NOT(ISNUMBER($D546)),NOT(ISNUMBER($D301)),$D301=0),"",$D546/$D301-1)</f>
        <v/>
      </c>
      <c r="I546" s="8" t="str">
        <f aca="false">IF(OR(NOT(ISNUMBER($G546)),NOT(ISNUMBER($H546))),"",$G546-$H546)</f>
        <v/>
      </c>
    </row>
    <row r="547" customFormat="false" ht="15" hidden="false" customHeight="false" outlineLevel="0" collapsed="false">
      <c r="A547" s="5" t="str">
        <f aca="false">IF(NOT(ISNUMBER(Macro_Series!$A547)),"",Macro_Series!$A547)</f>
        <v/>
      </c>
      <c r="B547" s="6" t="str">
        <f aca="false">IF(NOT(ISNUMBER(Macro_Series!$C547)),"",Macro_Series!$C547)</f>
        <v/>
      </c>
      <c r="C547" s="6" t="str">
        <f aca="false">IF(NOT(ISNUMBER(Macro_Series!$E547)),"",Macro_Series!$E547)</f>
        <v/>
      </c>
      <c r="D547" s="7" t="str">
        <f aca="false">IF(OR(NOT(ISNUMBER($B547)),NOT(ISNUMBER($C547)),$C547=0),"",$B547/$C547)</f>
        <v/>
      </c>
      <c r="E547" s="7" t="str">
        <f aca="false">IF(NOT(ISNUMBER(Macro_Series!$H547)),"",Macro_Series!$H547)</f>
        <v/>
      </c>
      <c r="F547" s="7" t="str">
        <f aca="false">IF(OR(NOT(ISNUMBER($D547)),NOT(ISNUMBER($E547)),$E547=0),"",$D547/$E547)</f>
        <v/>
      </c>
      <c r="G547" s="8" t="str">
        <f aca="false">IF(OR(NOT(ISNUMBER($B547)),NOT(ISNUMBER($B302)),$B302=0),"",$B547/$B302-1)</f>
        <v/>
      </c>
      <c r="H547" s="8" t="str">
        <f aca="false">IF(OR(NOT(ISNUMBER($D547)),NOT(ISNUMBER($D302)),$D302=0),"",$D547/$D302-1)</f>
        <v/>
      </c>
      <c r="I547" s="8" t="str">
        <f aca="false">IF(OR(NOT(ISNUMBER($G547)),NOT(ISNUMBER($H547))),"",$G547-$H547)</f>
        <v/>
      </c>
    </row>
    <row r="548" customFormat="false" ht="15" hidden="false" customHeight="false" outlineLevel="0" collapsed="false">
      <c r="A548" s="5" t="str">
        <f aca="false">IF(NOT(ISNUMBER(Macro_Series!$A548)),"",Macro_Series!$A548)</f>
        <v/>
      </c>
      <c r="B548" s="6" t="str">
        <f aca="false">IF(NOT(ISNUMBER(Macro_Series!$C548)),"",Macro_Series!$C548)</f>
        <v/>
      </c>
      <c r="C548" s="6" t="str">
        <f aca="false">IF(NOT(ISNUMBER(Macro_Series!$E548)),"",Macro_Series!$E548)</f>
        <v/>
      </c>
      <c r="D548" s="7" t="str">
        <f aca="false">IF(OR(NOT(ISNUMBER($B548)),NOT(ISNUMBER($C548)),$C548=0),"",$B548/$C548)</f>
        <v/>
      </c>
      <c r="E548" s="7" t="str">
        <f aca="false">IF(NOT(ISNUMBER(Macro_Series!$H548)),"",Macro_Series!$H548)</f>
        <v/>
      </c>
      <c r="F548" s="7" t="str">
        <f aca="false">IF(OR(NOT(ISNUMBER($D548)),NOT(ISNUMBER($E548)),$E548=0),"",$D548/$E548)</f>
        <v/>
      </c>
      <c r="G548" s="8" t="str">
        <f aca="false">IF(OR(NOT(ISNUMBER($B548)),NOT(ISNUMBER($B303)),$B303=0),"",$B548/$B303-1)</f>
        <v/>
      </c>
      <c r="H548" s="8" t="str">
        <f aca="false">IF(OR(NOT(ISNUMBER($D548)),NOT(ISNUMBER($D303)),$D303=0),"",$D548/$D303-1)</f>
        <v/>
      </c>
      <c r="I548" s="8" t="str">
        <f aca="false">IF(OR(NOT(ISNUMBER($G548)),NOT(ISNUMBER($H548))),"",$G548-$H548)</f>
        <v/>
      </c>
    </row>
    <row r="549" customFormat="false" ht="15" hidden="false" customHeight="false" outlineLevel="0" collapsed="false">
      <c r="A549" s="5" t="str">
        <f aca="false">IF(NOT(ISNUMBER(Macro_Series!$A549)),"",Macro_Series!$A549)</f>
        <v/>
      </c>
      <c r="B549" s="6" t="str">
        <f aca="false">IF(NOT(ISNUMBER(Macro_Series!$C549)),"",Macro_Series!$C549)</f>
        <v/>
      </c>
      <c r="C549" s="6" t="str">
        <f aca="false">IF(NOT(ISNUMBER(Macro_Series!$E549)),"",Macro_Series!$E549)</f>
        <v/>
      </c>
      <c r="D549" s="7" t="str">
        <f aca="false">IF(OR(NOT(ISNUMBER($B549)),NOT(ISNUMBER($C549)),$C549=0),"",$B549/$C549)</f>
        <v/>
      </c>
      <c r="E549" s="7" t="str">
        <f aca="false">IF(NOT(ISNUMBER(Macro_Series!$H549)),"",Macro_Series!$H549)</f>
        <v/>
      </c>
      <c r="F549" s="7" t="str">
        <f aca="false">IF(OR(NOT(ISNUMBER($D549)),NOT(ISNUMBER($E549)),$E549=0),"",$D549/$E549)</f>
        <v/>
      </c>
      <c r="G549" s="8" t="str">
        <f aca="false">IF(OR(NOT(ISNUMBER($B549)),NOT(ISNUMBER($B304)),$B304=0),"",$B549/$B304-1)</f>
        <v/>
      </c>
      <c r="H549" s="8" t="str">
        <f aca="false">IF(OR(NOT(ISNUMBER($D549)),NOT(ISNUMBER($D304)),$D304=0),"",$D549/$D304-1)</f>
        <v/>
      </c>
      <c r="I549" s="8" t="str">
        <f aca="false">IF(OR(NOT(ISNUMBER($G549)),NOT(ISNUMBER($H549))),"",$G549-$H549)</f>
        <v/>
      </c>
    </row>
    <row r="550" customFormat="false" ht="15" hidden="false" customHeight="false" outlineLevel="0" collapsed="false">
      <c r="A550" s="5" t="str">
        <f aca="false">IF(NOT(ISNUMBER(Macro_Series!$A550)),"",Macro_Series!$A550)</f>
        <v/>
      </c>
      <c r="B550" s="6" t="str">
        <f aca="false">IF(NOT(ISNUMBER(Macro_Series!$C550)),"",Macro_Series!$C550)</f>
        <v/>
      </c>
      <c r="C550" s="6" t="str">
        <f aca="false">IF(NOT(ISNUMBER(Macro_Series!$E550)),"",Macro_Series!$E550)</f>
        <v/>
      </c>
      <c r="D550" s="7" t="str">
        <f aca="false">IF(OR(NOT(ISNUMBER($B550)),NOT(ISNUMBER($C550)),$C550=0),"",$B550/$C550)</f>
        <v/>
      </c>
      <c r="E550" s="7" t="str">
        <f aca="false">IF(NOT(ISNUMBER(Macro_Series!$H550)),"",Macro_Series!$H550)</f>
        <v/>
      </c>
      <c r="F550" s="7" t="str">
        <f aca="false">IF(OR(NOT(ISNUMBER($D550)),NOT(ISNUMBER($E550)),$E550=0),"",$D550/$E550)</f>
        <v/>
      </c>
      <c r="G550" s="8" t="str">
        <f aca="false">IF(OR(NOT(ISNUMBER($B550)),NOT(ISNUMBER($B305)),$B305=0),"",$B550/$B305-1)</f>
        <v/>
      </c>
      <c r="H550" s="8" t="str">
        <f aca="false">IF(OR(NOT(ISNUMBER($D550)),NOT(ISNUMBER($D305)),$D305=0),"",$D550/$D305-1)</f>
        <v/>
      </c>
      <c r="I550" s="8" t="str">
        <f aca="false">IF(OR(NOT(ISNUMBER($G550)),NOT(ISNUMBER($H550))),"",$G550-$H550)</f>
        <v/>
      </c>
    </row>
    <row r="551" customFormat="false" ht="15" hidden="false" customHeight="false" outlineLevel="0" collapsed="false">
      <c r="A551" s="5" t="str">
        <f aca="false">IF(NOT(ISNUMBER(Macro_Series!$A551)),"",Macro_Series!$A551)</f>
        <v/>
      </c>
      <c r="B551" s="6" t="str">
        <f aca="false">IF(NOT(ISNUMBER(Macro_Series!$C551)),"",Macro_Series!$C551)</f>
        <v/>
      </c>
      <c r="C551" s="6" t="str">
        <f aca="false">IF(NOT(ISNUMBER(Macro_Series!$E551)),"",Macro_Series!$E551)</f>
        <v/>
      </c>
      <c r="D551" s="7" t="str">
        <f aca="false">IF(OR(NOT(ISNUMBER($B551)),NOT(ISNUMBER($C551)),$C551=0),"",$B551/$C551)</f>
        <v/>
      </c>
      <c r="E551" s="7" t="str">
        <f aca="false">IF(NOT(ISNUMBER(Macro_Series!$H551)),"",Macro_Series!$H551)</f>
        <v/>
      </c>
      <c r="F551" s="7" t="str">
        <f aca="false">IF(OR(NOT(ISNUMBER($D551)),NOT(ISNUMBER($E551)),$E551=0),"",$D551/$E551)</f>
        <v/>
      </c>
      <c r="G551" s="8" t="str">
        <f aca="false">IF(OR(NOT(ISNUMBER($B551)),NOT(ISNUMBER($B306)),$B306=0),"",$B551/$B306-1)</f>
        <v/>
      </c>
      <c r="H551" s="8" t="str">
        <f aca="false">IF(OR(NOT(ISNUMBER($D551)),NOT(ISNUMBER($D306)),$D306=0),"",$D551/$D306-1)</f>
        <v/>
      </c>
      <c r="I551" s="8" t="str">
        <f aca="false">IF(OR(NOT(ISNUMBER($G551)),NOT(ISNUMBER($H551))),"",$G551-$H551)</f>
        <v/>
      </c>
    </row>
    <row r="552" customFormat="false" ht="15" hidden="false" customHeight="false" outlineLevel="0" collapsed="false">
      <c r="A552" s="5" t="str">
        <f aca="false">IF(NOT(ISNUMBER(Macro_Series!$A552)),"",Macro_Series!$A552)</f>
        <v/>
      </c>
      <c r="B552" s="6" t="str">
        <f aca="false">IF(NOT(ISNUMBER(Macro_Series!$C552)),"",Macro_Series!$C552)</f>
        <v/>
      </c>
      <c r="C552" s="6" t="str">
        <f aca="false">IF(NOT(ISNUMBER(Macro_Series!$E552)),"",Macro_Series!$E552)</f>
        <v/>
      </c>
      <c r="D552" s="7" t="str">
        <f aca="false">IF(OR(NOT(ISNUMBER($B552)),NOT(ISNUMBER($C552)),$C552=0),"",$B552/$C552)</f>
        <v/>
      </c>
      <c r="E552" s="7" t="str">
        <f aca="false">IF(NOT(ISNUMBER(Macro_Series!$H552)),"",Macro_Series!$H552)</f>
        <v/>
      </c>
      <c r="F552" s="7" t="str">
        <f aca="false">IF(OR(NOT(ISNUMBER($D552)),NOT(ISNUMBER($E552)),$E552=0),"",$D552/$E552)</f>
        <v/>
      </c>
      <c r="G552" s="8" t="str">
        <f aca="false">IF(OR(NOT(ISNUMBER($B552)),NOT(ISNUMBER($B307)),$B307=0),"",$B552/$B307-1)</f>
        <v/>
      </c>
      <c r="H552" s="8" t="str">
        <f aca="false">IF(OR(NOT(ISNUMBER($D552)),NOT(ISNUMBER($D307)),$D307=0),"",$D552/$D307-1)</f>
        <v/>
      </c>
      <c r="I552" s="8" t="str">
        <f aca="false">IF(OR(NOT(ISNUMBER($G552)),NOT(ISNUMBER($H552))),"",$G552-$H552)</f>
        <v/>
      </c>
    </row>
    <row r="553" customFormat="false" ht="15" hidden="false" customHeight="false" outlineLevel="0" collapsed="false">
      <c r="A553" s="5" t="str">
        <f aca="false">IF(NOT(ISNUMBER(Macro_Series!$A553)),"",Macro_Series!$A553)</f>
        <v/>
      </c>
      <c r="B553" s="6" t="str">
        <f aca="false">IF(NOT(ISNUMBER(Macro_Series!$C553)),"",Macro_Series!$C553)</f>
        <v/>
      </c>
      <c r="C553" s="6" t="str">
        <f aca="false">IF(NOT(ISNUMBER(Macro_Series!$E553)),"",Macro_Series!$E553)</f>
        <v/>
      </c>
      <c r="D553" s="7" t="str">
        <f aca="false">IF(OR(NOT(ISNUMBER($B553)),NOT(ISNUMBER($C553)),$C553=0),"",$B553/$C553)</f>
        <v/>
      </c>
      <c r="E553" s="7" t="str">
        <f aca="false">IF(NOT(ISNUMBER(Macro_Series!$H553)),"",Macro_Series!$H553)</f>
        <v/>
      </c>
      <c r="F553" s="7" t="str">
        <f aca="false">IF(OR(NOT(ISNUMBER($D553)),NOT(ISNUMBER($E553)),$E553=0),"",$D553/$E553)</f>
        <v/>
      </c>
      <c r="G553" s="8" t="str">
        <f aca="false">IF(OR(NOT(ISNUMBER($B553)),NOT(ISNUMBER($B308)),$B308=0),"",$B553/$B308-1)</f>
        <v/>
      </c>
      <c r="H553" s="8" t="str">
        <f aca="false">IF(OR(NOT(ISNUMBER($D553)),NOT(ISNUMBER($D308)),$D308=0),"",$D553/$D308-1)</f>
        <v/>
      </c>
      <c r="I553" s="8" t="str">
        <f aca="false">IF(OR(NOT(ISNUMBER($G553)),NOT(ISNUMBER($H553))),"",$G553-$H553)</f>
        <v/>
      </c>
    </row>
    <row r="554" customFormat="false" ht="15" hidden="false" customHeight="false" outlineLevel="0" collapsed="false">
      <c r="A554" s="5" t="str">
        <f aca="false">IF(NOT(ISNUMBER(Macro_Series!$A554)),"",Macro_Series!$A554)</f>
        <v/>
      </c>
      <c r="B554" s="6" t="str">
        <f aca="false">IF(NOT(ISNUMBER(Macro_Series!$C554)),"",Macro_Series!$C554)</f>
        <v/>
      </c>
      <c r="C554" s="6" t="str">
        <f aca="false">IF(NOT(ISNUMBER(Macro_Series!$E554)),"",Macro_Series!$E554)</f>
        <v/>
      </c>
      <c r="D554" s="7" t="str">
        <f aca="false">IF(OR(NOT(ISNUMBER($B554)),NOT(ISNUMBER($C554)),$C554=0),"",$B554/$C554)</f>
        <v/>
      </c>
      <c r="E554" s="7" t="str">
        <f aca="false">IF(NOT(ISNUMBER(Macro_Series!$H554)),"",Macro_Series!$H554)</f>
        <v/>
      </c>
      <c r="F554" s="7" t="str">
        <f aca="false">IF(OR(NOT(ISNUMBER($D554)),NOT(ISNUMBER($E554)),$E554=0),"",$D554/$E554)</f>
        <v/>
      </c>
      <c r="G554" s="8" t="str">
        <f aca="false">IF(OR(NOT(ISNUMBER($B554)),NOT(ISNUMBER($B309)),$B309=0),"",$B554/$B309-1)</f>
        <v/>
      </c>
      <c r="H554" s="8" t="str">
        <f aca="false">IF(OR(NOT(ISNUMBER($D554)),NOT(ISNUMBER($D309)),$D309=0),"",$D554/$D309-1)</f>
        <v/>
      </c>
      <c r="I554" s="8" t="str">
        <f aca="false">IF(OR(NOT(ISNUMBER($G554)),NOT(ISNUMBER($H554))),"",$G554-$H554)</f>
        <v/>
      </c>
    </row>
    <row r="555" customFormat="false" ht="15" hidden="false" customHeight="false" outlineLevel="0" collapsed="false">
      <c r="A555" s="5" t="str">
        <f aca="false">IF(NOT(ISNUMBER(Macro_Series!$A555)),"",Macro_Series!$A555)</f>
        <v/>
      </c>
      <c r="B555" s="6" t="str">
        <f aca="false">IF(NOT(ISNUMBER(Macro_Series!$C555)),"",Macro_Series!$C555)</f>
        <v/>
      </c>
      <c r="C555" s="6" t="str">
        <f aca="false">IF(NOT(ISNUMBER(Macro_Series!$E555)),"",Macro_Series!$E555)</f>
        <v/>
      </c>
      <c r="D555" s="7" t="str">
        <f aca="false">IF(OR(NOT(ISNUMBER($B555)),NOT(ISNUMBER($C555)),$C555=0),"",$B555/$C555)</f>
        <v/>
      </c>
      <c r="E555" s="7" t="str">
        <f aca="false">IF(NOT(ISNUMBER(Macro_Series!$H555)),"",Macro_Series!$H555)</f>
        <v/>
      </c>
      <c r="F555" s="7" t="str">
        <f aca="false">IF(OR(NOT(ISNUMBER($D555)),NOT(ISNUMBER($E555)),$E555=0),"",$D555/$E555)</f>
        <v/>
      </c>
      <c r="G555" s="8" t="str">
        <f aca="false">IF(OR(NOT(ISNUMBER($B555)),NOT(ISNUMBER($B310)),$B310=0),"",$B555/$B310-1)</f>
        <v/>
      </c>
      <c r="H555" s="8" t="str">
        <f aca="false">IF(OR(NOT(ISNUMBER($D555)),NOT(ISNUMBER($D310)),$D310=0),"",$D555/$D310-1)</f>
        <v/>
      </c>
      <c r="I555" s="8" t="str">
        <f aca="false">IF(OR(NOT(ISNUMBER($G555)),NOT(ISNUMBER($H555))),"",$G555-$H555)</f>
        <v/>
      </c>
    </row>
    <row r="556" customFormat="false" ht="15" hidden="false" customHeight="false" outlineLevel="0" collapsed="false">
      <c r="A556" s="5" t="str">
        <f aca="false">IF(NOT(ISNUMBER(Macro_Series!$A556)),"",Macro_Series!$A556)</f>
        <v/>
      </c>
      <c r="B556" s="6" t="str">
        <f aca="false">IF(NOT(ISNUMBER(Macro_Series!$C556)),"",Macro_Series!$C556)</f>
        <v/>
      </c>
      <c r="C556" s="6" t="str">
        <f aca="false">IF(NOT(ISNUMBER(Macro_Series!$E556)),"",Macro_Series!$E556)</f>
        <v/>
      </c>
      <c r="D556" s="7" t="str">
        <f aca="false">IF(OR(NOT(ISNUMBER($B556)),NOT(ISNUMBER($C556)),$C556=0),"",$B556/$C556)</f>
        <v/>
      </c>
      <c r="E556" s="7" t="str">
        <f aca="false">IF(NOT(ISNUMBER(Macro_Series!$H556)),"",Macro_Series!$H556)</f>
        <v/>
      </c>
      <c r="F556" s="7" t="str">
        <f aca="false">IF(OR(NOT(ISNUMBER($D556)),NOT(ISNUMBER($E556)),$E556=0),"",$D556/$E556)</f>
        <v/>
      </c>
      <c r="G556" s="8" t="str">
        <f aca="false">IF(OR(NOT(ISNUMBER($B556)),NOT(ISNUMBER($B311)),$B311=0),"",$B556/$B311-1)</f>
        <v/>
      </c>
      <c r="H556" s="8" t="str">
        <f aca="false">IF(OR(NOT(ISNUMBER($D556)),NOT(ISNUMBER($D311)),$D311=0),"",$D556/$D311-1)</f>
        <v/>
      </c>
      <c r="I556" s="8" t="str">
        <f aca="false">IF(OR(NOT(ISNUMBER($G556)),NOT(ISNUMBER($H556))),"",$G556-$H556)</f>
        <v/>
      </c>
    </row>
    <row r="557" customFormat="false" ht="15" hidden="false" customHeight="false" outlineLevel="0" collapsed="false">
      <c r="A557" s="5" t="str">
        <f aca="false">IF(NOT(ISNUMBER(Macro_Series!$A557)),"",Macro_Series!$A557)</f>
        <v/>
      </c>
      <c r="B557" s="6" t="str">
        <f aca="false">IF(NOT(ISNUMBER(Macro_Series!$C557)),"",Macro_Series!$C557)</f>
        <v/>
      </c>
      <c r="C557" s="6" t="str">
        <f aca="false">IF(NOT(ISNUMBER(Macro_Series!$E557)),"",Macro_Series!$E557)</f>
        <v/>
      </c>
      <c r="D557" s="7" t="str">
        <f aca="false">IF(OR(NOT(ISNUMBER($B557)),NOT(ISNUMBER($C557)),$C557=0),"",$B557/$C557)</f>
        <v/>
      </c>
      <c r="E557" s="7" t="str">
        <f aca="false">IF(NOT(ISNUMBER(Macro_Series!$H557)),"",Macro_Series!$H557)</f>
        <v/>
      </c>
      <c r="F557" s="7" t="str">
        <f aca="false">IF(OR(NOT(ISNUMBER($D557)),NOT(ISNUMBER($E557)),$E557=0),"",$D557/$E557)</f>
        <v/>
      </c>
      <c r="G557" s="8" t="str">
        <f aca="false">IF(OR(NOT(ISNUMBER($B557)),NOT(ISNUMBER($B312)),$B312=0),"",$B557/$B312-1)</f>
        <v/>
      </c>
      <c r="H557" s="8" t="str">
        <f aca="false">IF(OR(NOT(ISNUMBER($D557)),NOT(ISNUMBER($D312)),$D312=0),"",$D557/$D312-1)</f>
        <v/>
      </c>
      <c r="I557" s="8" t="str">
        <f aca="false">IF(OR(NOT(ISNUMBER($G557)),NOT(ISNUMBER($H557))),"",$G557-$H557)</f>
        <v/>
      </c>
    </row>
    <row r="558" customFormat="false" ht="15" hidden="false" customHeight="false" outlineLevel="0" collapsed="false">
      <c r="A558" s="5" t="str">
        <f aca="false">IF(NOT(ISNUMBER(Macro_Series!$A558)),"",Macro_Series!$A558)</f>
        <v/>
      </c>
      <c r="B558" s="6" t="str">
        <f aca="false">IF(NOT(ISNUMBER(Macro_Series!$C558)),"",Macro_Series!$C558)</f>
        <v/>
      </c>
      <c r="C558" s="6" t="str">
        <f aca="false">IF(NOT(ISNUMBER(Macro_Series!$E558)),"",Macro_Series!$E558)</f>
        <v/>
      </c>
      <c r="D558" s="7" t="str">
        <f aca="false">IF(OR(NOT(ISNUMBER($B558)),NOT(ISNUMBER($C558)),$C558=0),"",$B558/$C558)</f>
        <v/>
      </c>
      <c r="E558" s="7" t="str">
        <f aca="false">IF(NOT(ISNUMBER(Macro_Series!$H558)),"",Macro_Series!$H558)</f>
        <v/>
      </c>
      <c r="F558" s="7" t="str">
        <f aca="false">IF(OR(NOT(ISNUMBER($D558)),NOT(ISNUMBER($E558)),$E558=0),"",$D558/$E558)</f>
        <v/>
      </c>
      <c r="G558" s="8" t="str">
        <f aca="false">IF(OR(NOT(ISNUMBER($B558)),NOT(ISNUMBER($B313)),$B313=0),"",$B558/$B313-1)</f>
        <v/>
      </c>
      <c r="H558" s="8" t="str">
        <f aca="false">IF(OR(NOT(ISNUMBER($D558)),NOT(ISNUMBER($D313)),$D313=0),"",$D558/$D313-1)</f>
        <v/>
      </c>
      <c r="I558" s="8" t="str">
        <f aca="false">IF(OR(NOT(ISNUMBER($G558)),NOT(ISNUMBER($H558))),"",$G558-$H558)</f>
        <v/>
      </c>
    </row>
    <row r="559" customFormat="false" ht="15" hidden="false" customHeight="false" outlineLevel="0" collapsed="false">
      <c r="A559" s="5" t="str">
        <f aca="false">IF(NOT(ISNUMBER(Macro_Series!$A559)),"",Macro_Series!$A559)</f>
        <v/>
      </c>
      <c r="B559" s="6" t="str">
        <f aca="false">IF(NOT(ISNUMBER(Macro_Series!$C559)),"",Macro_Series!$C559)</f>
        <v/>
      </c>
      <c r="C559" s="6" t="str">
        <f aca="false">IF(NOT(ISNUMBER(Macro_Series!$E559)),"",Macro_Series!$E559)</f>
        <v/>
      </c>
      <c r="D559" s="7" t="str">
        <f aca="false">IF(OR(NOT(ISNUMBER($B559)),NOT(ISNUMBER($C559)),$C559=0),"",$B559/$C559)</f>
        <v/>
      </c>
      <c r="E559" s="7" t="str">
        <f aca="false">IF(NOT(ISNUMBER(Macro_Series!$H559)),"",Macro_Series!$H559)</f>
        <v/>
      </c>
      <c r="F559" s="7" t="str">
        <f aca="false">IF(OR(NOT(ISNUMBER($D559)),NOT(ISNUMBER($E559)),$E559=0),"",$D559/$E559)</f>
        <v/>
      </c>
      <c r="G559" s="8" t="str">
        <f aca="false">IF(OR(NOT(ISNUMBER($B559)),NOT(ISNUMBER($B314)),$B314=0),"",$B559/$B314-1)</f>
        <v/>
      </c>
      <c r="H559" s="8" t="str">
        <f aca="false">IF(OR(NOT(ISNUMBER($D559)),NOT(ISNUMBER($D314)),$D314=0),"",$D559/$D314-1)</f>
        <v/>
      </c>
      <c r="I559" s="8" t="str">
        <f aca="false">IF(OR(NOT(ISNUMBER($G559)),NOT(ISNUMBER($H559))),"",$G559-$H559)</f>
        <v/>
      </c>
    </row>
    <row r="560" customFormat="false" ht="15" hidden="false" customHeight="false" outlineLevel="0" collapsed="false">
      <c r="A560" s="5" t="str">
        <f aca="false">IF(NOT(ISNUMBER(Macro_Series!$A560)),"",Macro_Series!$A560)</f>
        <v/>
      </c>
      <c r="B560" s="6" t="str">
        <f aca="false">IF(NOT(ISNUMBER(Macro_Series!$C560)),"",Macro_Series!$C560)</f>
        <v/>
      </c>
      <c r="C560" s="6" t="str">
        <f aca="false">IF(NOT(ISNUMBER(Macro_Series!$E560)),"",Macro_Series!$E560)</f>
        <v/>
      </c>
      <c r="D560" s="7" t="str">
        <f aca="false">IF(OR(NOT(ISNUMBER($B560)),NOT(ISNUMBER($C560)),$C560=0),"",$B560/$C560)</f>
        <v/>
      </c>
      <c r="E560" s="7" t="str">
        <f aca="false">IF(NOT(ISNUMBER(Macro_Series!$H560)),"",Macro_Series!$H560)</f>
        <v/>
      </c>
      <c r="F560" s="7" t="str">
        <f aca="false">IF(OR(NOT(ISNUMBER($D560)),NOT(ISNUMBER($E560)),$E560=0),"",$D560/$E560)</f>
        <v/>
      </c>
      <c r="G560" s="8" t="str">
        <f aca="false">IF(OR(NOT(ISNUMBER($B560)),NOT(ISNUMBER($B315)),$B315=0),"",$B560/$B315-1)</f>
        <v/>
      </c>
      <c r="H560" s="8" t="str">
        <f aca="false">IF(OR(NOT(ISNUMBER($D560)),NOT(ISNUMBER($D315)),$D315=0),"",$D560/$D315-1)</f>
        <v/>
      </c>
      <c r="I560" s="8" t="str">
        <f aca="false">IF(OR(NOT(ISNUMBER($G560)),NOT(ISNUMBER($H560))),"",$G560-$H560)</f>
        <v/>
      </c>
    </row>
    <row r="561" customFormat="false" ht="15" hidden="false" customHeight="false" outlineLevel="0" collapsed="false">
      <c r="A561" s="5" t="str">
        <f aca="false">IF(NOT(ISNUMBER(Macro_Series!$A561)),"",Macro_Series!$A561)</f>
        <v/>
      </c>
      <c r="B561" s="6" t="str">
        <f aca="false">IF(NOT(ISNUMBER(Macro_Series!$C561)),"",Macro_Series!$C561)</f>
        <v/>
      </c>
      <c r="C561" s="6" t="str">
        <f aca="false">IF(NOT(ISNUMBER(Macro_Series!$E561)),"",Macro_Series!$E561)</f>
        <v/>
      </c>
      <c r="D561" s="7" t="str">
        <f aca="false">IF(OR(NOT(ISNUMBER($B561)),NOT(ISNUMBER($C561)),$C561=0),"",$B561/$C561)</f>
        <v/>
      </c>
      <c r="E561" s="7" t="str">
        <f aca="false">IF(NOT(ISNUMBER(Macro_Series!$H561)),"",Macro_Series!$H561)</f>
        <v/>
      </c>
      <c r="F561" s="7" t="str">
        <f aca="false">IF(OR(NOT(ISNUMBER($D561)),NOT(ISNUMBER($E561)),$E561=0),"",$D561/$E561)</f>
        <v/>
      </c>
      <c r="G561" s="8" t="str">
        <f aca="false">IF(OR(NOT(ISNUMBER($B561)),NOT(ISNUMBER($B316)),$B316=0),"",$B561/$B316-1)</f>
        <v/>
      </c>
      <c r="H561" s="8" t="str">
        <f aca="false">IF(OR(NOT(ISNUMBER($D561)),NOT(ISNUMBER($D316)),$D316=0),"",$D561/$D316-1)</f>
        <v/>
      </c>
      <c r="I561" s="8" t="str">
        <f aca="false">IF(OR(NOT(ISNUMBER($G561)),NOT(ISNUMBER($H561))),"",$G561-$H561)</f>
        <v/>
      </c>
    </row>
    <row r="562" customFormat="false" ht="15" hidden="false" customHeight="false" outlineLevel="0" collapsed="false">
      <c r="A562" s="5" t="str">
        <f aca="false">IF(NOT(ISNUMBER(Macro_Series!$A562)),"",Macro_Series!$A562)</f>
        <v/>
      </c>
      <c r="B562" s="6" t="str">
        <f aca="false">IF(NOT(ISNUMBER(Macro_Series!$C562)),"",Macro_Series!$C562)</f>
        <v/>
      </c>
      <c r="C562" s="6" t="str">
        <f aca="false">IF(NOT(ISNUMBER(Macro_Series!$E562)),"",Macro_Series!$E562)</f>
        <v/>
      </c>
      <c r="D562" s="7" t="str">
        <f aca="false">IF(OR(NOT(ISNUMBER($B562)),NOT(ISNUMBER($C562)),$C562=0),"",$B562/$C562)</f>
        <v/>
      </c>
      <c r="E562" s="7" t="str">
        <f aca="false">IF(NOT(ISNUMBER(Macro_Series!$H562)),"",Macro_Series!$H562)</f>
        <v/>
      </c>
      <c r="F562" s="7" t="str">
        <f aca="false">IF(OR(NOT(ISNUMBER($D562)),NOT(ISNUMBER($E562)),$E562=0),"",$D562/$E562)</f>
        <v/>
      </c>
      <c r="G562" s="8" t="str">
        <f aca="false">IF(OR(NOT(ISNUMBER($B562)),NOT(ISNUMBER($B317)),$B317=0),"",$B562/$B317-1)</f>
        <v/>
      </c>
      <c r="H562" s="8" t="str">
        <f aca="false">IF(OR(NOT(ISNUMBER($D562)),NOT(ISNUMBER($D317)),$D317=0),"",$D562/$D317-1)</f>
        <v/>
      </c>
      <c r="I562" s="8" t="str">
        <f aca="false">IF(OR(NOT(ISNUMBER($G562)),NOT(ISNUMBER($H562))),"",$G562-$H562)</f>
        <v/>
      </c>
    </row>
    <row r="563" customFormat="false" ht="15" hidden="false" customHeight="false" outlineLevel="0" collapsed="false">
      <c r="A563" s="5" t="str">
        <f aca="false">IF(NOT(ISNUMBER(Macro_Series!$A563)),"",Macro_Series!$A563)</f>
        <v/>
      </c>
      <c r="B563" s="6" t="str">
        <f aca="false">IF(NOT(ISNUMBER(Macro_Series!$C563)),"",Macro_Series!$C563)</f>
        <v/>
      </c>
      <c r="C563" s="6" t="str">
        <f aca="false">IF(NOT(ISNUMBER(Macro_Series!$E563)),"",Macro_Series!$E563)</f>
        <v/>
      </c>
      <c r="D563" s="7" t="str">
        <f aca="false">IF(OR(NOT(ISNUMBER($B563)),NOT(ISNUMBER($C563)),$C563=0),"",$B563/$C563)</f>
        <v/>
      </c>
      <c r="E563" s="7" t="str">
        <f aca="false">IF(NOT(ISNUMBER(Macro_Series!$H563)),"",Macro_Series!$H563)</f>
        <v/>
      </c>
      <c r="F563" s="7" t="str">
        <f aca="false">IF(OR(NOT(ISNUMBER($D563)),NOT(ISNUMBER($E563)),$E563=0),"",$D563/$E563)</f>
        <v/>
      </c>
      <c r="G563" s="8" t="str">
        <f aca="false">IF(OR(NOT(ISNUMBER($B563)),NOT(ISNUMBER($B318)),$B318=0),"",$B563/$B318-1)</f>
        <v/>
      </c>
      <c r="H563" s="8" t="str">
        <f aca="false">IF(OR(NOT(ISNUMBER($D563)),NOT(ISNUMBER($D318)),$D318=0),"",$D563/$D318-1)</f>
        <v/>
      </c>
      <c r="I563" s="8" t="str">
        <f aca="false">IF(OR(NOT(ISNUMBER($G563)),NOT(ISNUMBER($H563))),"",$G563-$H563)</f>
        <v/>
      </c>
    </row>
    <row r="564" customFormat="false" ht="15" hidden="false" customHeight="false" outlineLevel="0" collapsed="false">
      <c r="A564" s="5" t="str">
        <f aca="false">IF(NOT(ISNUMBER(Macro_Series!$A564)),"",Macro_Series!$A564)</f>
        <v/>
      </c>
      <c r="B564" s="6" t="str">
        <f aca="false">IF(NOT(ISNUMBER(Macro_Series!$C564)),"",Macro_Series!$C564)</f>
        <v/>
      </c>
      <c r="C564" s="6" t="str">
        <f aca="false">IF(NOT(ISNUMBER(Macro_Series!$E564)),"",Macro_Series!$E564)</f>
        <v/>
      </c>
      <c r="D564" s="7" t="str">
        <f aca="false">IF(OR(NOT(ISNUMBER($B564)),NOT(ISNUMBER($C564)),$C564=0),"",$B564/$C564)</f>
        <v/>
      </c>
      <c r="E564" s="7" t="str">
        <f aca="false">IF(NOT(ISNUMBER(Macro_Series!$H564)),"",Macro_Series!$H564)</f>
        <v/>
      </c>
      <c r="F564" s="7" t="str">
        <f aca="false">IF(OR(NOT(ISNUMBER($D564)),NOT(ISNUMBER($E564)),$E564=0),"",$D564/$E564)</f>
        <v/>
      </c>
      <c r="G564" s="8" t="str">
        <f aca="false">IF(OR(NOT(ISNUMBER($B564)),NOT(ISNUMBER($B319)),$B319=0),"",$B564/$B319-1)</f>
        <v/>
      </c>
      <c r="H564" s="8" t="str">
        <f aca="false">IF(OR(NOT(ISNUMBER($D564)),NOT(ISNUMBER($D319)),$D319=0),"",$D564/$D319-1)</f>
        <v/>
      </c>
      <c r="I564" s="8" t="str">
        <f aca="false">IF(OR(NOT(ISNUMBER($G564)),NOT(ISNUMBER($H564))),"",$G564-$H564)</f>
        <v/>
      </c>
    </row>
    <row r="565" customFormat="false" ht="15" hidden="false" customHeight="false" outlineLevel="0" collapsed="false">
      <c r="A565" s="5" t="str">
        <f aca="false">IF(NOT(ISNUMBER(Macro_Series!$A565)),"",Macro_Series!$A565)</f>
        <v/>
      </c>
      <c r="B565" s="6" t="str">
        <f aca="false">IF(NOT(ISNUMBER(Macro_Series!$C565)),"",Macro_Series!$C565)</f>
        <v/>
      </c>
      <c r="C565" s="6" t="str">
        <f aca="false">IF(NOT(ISNUMBER(Macro_Series!$E565)),"",Macro_Series!$E565)</f>
        <v/>
      </c>
      <c r="D565" s="7" t="str">
        <f aca="false">IF(OR(NOT(ISNUMBER($B565)),NOT(ISNUMBER($C565)),$C565=0),"",$B565/$C565)</f>
        <v/>
      </c>
      <c r="E565" s="7" t="str">
        <f aca="false">IF(NOT(ISNUMBER(Macro_Series!$H565)),"",Macro_Series!$H565)</f>
        <v/>
      </c>
      <c r="F565" s="7" t="str">
        <f aca="false">IF(OR(NOT(ISNUMBER($D565)),NOT(ISNUMBER($E565)),$E565=0),"",$D565/$E565)</f>
        <v/>
      </c>
      <c r="G565" s="8" t="str">
        <f aca="false">IF(OR(NOT(ISNUMBER($B565)),NOT(ISNUMBER($B320)),$B320=0),"",$B565/$B320-1)</f>
        <v/>
      </c>
      <c r="H565" s="8" t="str">
        <f aca="false">IF(OR(NOT(ISNUMBER($D565)),NOT(ISNUMBER($D320)),$D320=0),"",$D565/$D320-1)</f>
        <v/>
      </c>
      <c r="I565" s="8" t="str">
        <f aca="false">IF(OR(NOT(ISNUMBER($G565)),NOT(ISNUMBER($H565))),"",$G565-$H565)</f>
        <v/>
      </c>
    </row>
    <row r="566" customFormat="false" ht="15" hidden="false" customHeight="false" outlineLevel="0" collapsed="false">
      <c r="A566" s="5" t="str">
        <f aca="false">IF(NOT(ISNUMBER(Macro_Series!$A566)),"",Macro_Series!$A566)</f>
        <v/>
      </c>
      <c r="B566" s="6" t="str">
        <f aca="false">IF(NOT(ISNUMBER(Macro_Series!$C566)),"",Macro_Series!$C566)</f>
        <v/>
      </c>
      <c r="C566" s="6" t="str">
        <f aca="false">IF(NOT(ISNUMBER(Macro_Series!$E566)),"",Macro_Series!$E566)</f>
        <v/>
      </c>
      <c r="D566" s="7" t="str">
        <f aca="false">IF(OR(NOT(ISNUMBER($B566)),NOT(ISNUMBER($C566)),$C566=0),"",$B566/$C566)</f>
        <v/>
      </c>
      <c r="E566" s="7" t="str">
        <f aca="false">IF(NOT(ISNUMBER(Macro_Series!$H566)),"",Macro_Series!$H566)</f>
        <v/>
      </c>
      <c r="F566" s="7" t="str">
        <f aca="false">IF(OR(NOT(ISNUMBER($D566)),NOT(ISNUMBER($E566)),$E566=0),"",$D566/$E566)</f>
        <v/>
      </c>
      <c r="G566" s="8" t="str">
        <f aca="false">IF(OR(NOT(ISNUMBER($B566)),NOT(ISNUMBER($B321)),$B321=0),"",$B566/$B321-1)</f>
        <v/>
      </c>
      <c r="H566" s="8" t="str">
        <f aca="false">IF(OR(NOT(ISNUMBER($D566)),NOT(ISNUMBER($D321)),$D321=0),"",$D566/$D321-1)</f>
        <v/>
      </c>
      <c r="I566" s="8" t="str">
        <f aca="false">IF(OR(NOT(ISNUMBER($G566)),NOT(ISNUMBER($H566))),"",$G566-$H566)</f>
        <v/>
      </c>
    </row>
    <row r="567" customFormat="false" ht="15" hidden="false" customHeight="false" outlineLevel="0" collapsed="false">
      <c r="A567" s="5" t="str">
        <f aca="false">IF(NOT(ISNUMBER(Macro_Series!$A567)),"",Macro_Series!$A567)</f>
        <v/>
      </c>
      <c r="B567" s="6" t="str">
        <f aca="false">IF(NOT(ISNUMBER(Macro_Series!$C567)),"",Macro_Series!$C567)</f>
        <v/>
      </c>
      <c r="C567" s="6" t="str">
        <f aca="false">IF(NOT(ISNUMBER(Macro_Series!$E567)),"",Macro_Series!$E567)</f>
        <v/>
      </c>
      <c r="D567" s="7" t="str">
        <f aca="false">IF(OR(NOT(ISNUMBER($B567)),NOT(ISNUMBER($C567)),$C567=0),"",$B567/$C567)</f>
        <v/>
      </c>
      <c r="E567" s="7" t="str">
        <f aca="false">IF(NOT(ISNUMBER(Macro_Series!$H567)),"",Macro_Series!$H567)</f>
        <v/>
      </c>
      <c r="F567" s="7" t="str">
        <f aca="false">IF(OR(NOT(ISNUMBER($D567)),NOT(ISNUMBER($E567)),$E567=0),"",$D567/$E567)</f>
        <v/>
      </c>
      <c r="G567" s="8" t="str">
        <f aca="false">IF(OR(NOT(ISNUMBER($B567)),NOT(ISNUMBER($B322)),$B322=0),"",$B567/$B322-1)</f>
        <v/>
      </c>
      <c r="H567" s="8" t="str">
        <f aca="false">IF(OR(NOT(ISNUMBER($D567)),NOT(ISNUMBER($D322)),$D322=0),"",$D567/$D322-1)</f>
        <v/>
      </c>
      <c r="I567" s="8" t="str">
        <f aca="false">IF(OR(NOT(ISNUMBER($G567)),NOT(ISNUMBER($H567))),"",$G567-$H567)</f>
        <v/>
      </c>
    </row>
    <row r="568" customFormat="false" ht="15" hidden="false" customHeight="false" outlineLevel="0" collapsed="false">
      <c r="A568" s="5" t="str">
        <f aca="false">IF(NOT(ISNUMBER(Macro_Series!$A568)),"",Macro_Series!$A568)</f>
        <v/>
      </c>
      <c r="B568" s="6" t="str">
        <f aca="false">IF(NOT(ISNUMBER(Macro_Series!$C568)),"",Macro_Series!$C568)</f>
        <v/>
      </c>
      <c r="C568" s="6" t="str">
        <f aca="false">IF(NOT(ISNUMBER(Macro_Series!$E568)),"",Macro_Series!$E568)</f>
        <v/>
      </c>
      <c r="D568" s="7" t="str">
        <f aca="false">IF(OR(NOT(ISNUMBER($B568)),NOT(ISNUMBER($C568)),$C568=0),"",$B568/$C568)</f>
        <v/>
      </c>
      <c r="E568" s="7" t="str">
        <f aca="false">IF(NOT(ISNUMBER(Macro_Series!$H568)),"",Macro_Series!$H568)</f>
        <v/>
      </c>
      <c r="F568" s="7" t="str">
        <f aca="false">IF(OR(NOT(ISNUMBER($D568)),NOT(ISNUMBER($E568)),$E568=0),"",$D568/$E568)</f>
        <v/>
      </c>
      <c r="G568" s="8" t="str">
        <f aca="false">IF(OR(NOT(ISNUMBER($B568)),NOT(ISNUMBER($B323)),$B323=0),"",$B568/$B323-1)</f>
        <v/>
      </c>
      <c r="H568" s="8" t="str">
        <f aca="false">IF(OR(NOT(ISNUMBER($D568)),NOT(ISNUMBER($D323)),$D323=0),"",$D568/$D323-1)</f>
        <v/>
      </c>
      <c r="I568" s="8" t="str">
        <f aca="false">IF(OR(NOT(ISNUMBER($G568)),NOT(ISNUMBER($H568))),"",$G568-$H568)</f>
        <v/>
      </c>
    </row>
    <row r="569" customFormat="false" ht="15" hidden="false" customHeight="false" outlineLevel="0" collapsed="false">
      <c r="A569" s="5" t="str">
        <f aca="false">IF(NOT(ISNUMBER(Macro_Series!$A569)),"",Macro_Series!$A569)</f>
        <v/>
      </c>
      <c r="B569" s="6" t="str">
        <f aca="false">IF(NOT(ISNUMBER(Macro_Series!$C569)),"",Macro_Series!$C569)</f>
        <v/>
      </c>
      <c r="C569" s="6" t="str">
        <f aca="false">IF(NOT(ISNUMBER(Macro_Series!$E569)),"",Macro_Series!$E569)</f>
        <v/>
      </c>
      <c r="D569" s="7" t="str">
        <f aca="false">IF(OR(NOT(ISNUMBER($B569)),NOT(ISNUMBER($C569)),$C569=0),"",$B569/$C569)</f>
        <v/>
      </c>
      <c r="E569" s="7" t="str">
        <f aca="false">IF(NOT(ISNUMBER(Macro_Series!$H569)),"",Macro_Series!$H569)</f>
        <v/>
      </c>
      <c r="F569" s="7" t="str">
        <f aca="false">IF(OR(NOT(ISNUMBER($D569)),NOT(ISNUMBER($E569)),$E569=0),"",$D569/$E569)</f>
        <v/>
      </c>
      <c r="G569" s="8" t="str">
        <f aca="false">IF(OR(NOT(ISNUMBER($B569)),NOT(ISNUMBER($B324)),$B324=0),"",$B569/$B324-1)</f>
        <v/>
      </c>
      <c r="H569" s="8" t="str">
        <f aca="false">IF(OR(NOT(ISNUMBER($D569)),NOT(ISNUMBER($D324)),$D324=0),"",$D569/$D324-1)</f>
        <v/>
      </c>
      <c r="I569" s="8" t="str">
        <f aca="false">IF(OR(NOT(ISNUMBER($G569)),NOT(ISNUMBER($H569))),"",$G569-$H569)</f>
        <v/>
      </c>
    </row>
    <row r="570" customFormat="false" ht="15" hidden="false" customHeight="false" outlineLevel="0" collapsed="false">
      <c r="A570" s="5" t="str">
        <f aca="false">IF(NOT(ISNUMBER(Macro_Series!$A570)),"",Macro_Series!$A570)</f>
        <v/>
      </c>
      <c r="B570" s="6" t="str">
        <f aca="false">IF(NOT(ISNUMBER(Macro_Series!$C570)),"",Macro_Series!$C570)</f>
        <v/>
      </c>
      <c r="C570" s="6" t="str">
        <f aca="false">IF(NOT(ISNUMBER(Macro_Series!$E570)),"",Macro_Series!$E570)</f>
        <v/>
      </c>
      <c r="D570" s="7" t="str">
        <f aca="false">IF(OR(NOT(ISNUMBER($B570)),NOT(ISNUMBER($C570)),$C570=0),"",$B570/$C570)</f>
        <v/>
      </c>
      <c r="E570" s="7" t="str">
        <f aca="false">IF(NOT(ISNUMBER(Macro_Series!$H570)),"",Macro_Series!$H570)</f>
        <v/>
      </c>
      <c r="F570" s="7" t="str">
        <f aca="false">IF(OR(NOT(ISNUMBER($D570)),NOT(ISNUMBER($E570)),$E570=0),"",$D570/$E570)</f>
        <v/>
      </c>
      <c r="G570" s="8" t="str">
        <f aca="false">IF(OR(NOT(ISNUMBER($B570)),NOT(ISNUMBER($B325)),$B325=0),"",$B570/$B325-1)</f>
        <v/>
      </c>
      <c r="H570" s="8" t="str">
        <f aca="false">IF(OR(NOT(ISNUMBER($D570)),NOT(ISNUMBER($D325)),$D325=0),"",$D570/$D325-1)</f>
        <v/>
      </c>
      <c r="I570" s="8" t="str">
        <f aca="false">IF(OR(NOT(ISNUMBER($G570)),NOT(ISNUMBER($H570))),"",$G570-$H570)</f>
        <v/>
      </c>
    </row>
    <row r="571" customFormat="false" ht="15" hidden="false" customHeight="false" outlineLevel="0" collapsed="false">
      <c r="A571" s="5" t="str">
        <f aca="false">IF(NOT(ISNUMBER(Macro_Series!$A571)),"",Macro_Series!$A571)</f>
        <v/>
      </c>
      <c r="B571" s="6" t="str">
        <f aca="false">IF(NOT(ISNUMBER(Macro_Series!$C571)),"",Macro_Series!$C571)</f>
        <v/>
      </c>
      <c r="C571" s="6" t="str">
        <f aca="false">IF(NOT(ISNUMBER(Macro_Series!$E571)),"",Macro_Series!$E571)</f>
        <v/>
      </c>
      <c r="D571" s="7" t="str">
        <f aca="false">IF(OR(NOT(ISNUMBER($B571)),NOT(ISNUMBER($C571)),$C571=0),"",$B571/$C571)</f>
        <v/>
      </c>
      <c r="E571" s="7" t="str">
        <f aca="false">IF(NOT(ISNUMBER(Macro_Series!$H571)),"",Macro_Series!$H571)</f>
        <v/>
      </c>
      <c r="F571" s="7" t="str">
        <f aca="false">IF(OR(NOT(ISNUMBER($D571)),NOT(ISNUMBER($E571)),$E571=0),"",$D571/$E571)</f>
        <v/>
      </c>
      <c r="G571" s="8" t="str">
        <f aca="false">IF(OR(NOT(ISNUMBER($B571)),NOT(ISNUMBER($B326)),$B326=0),"",$B571/$B326-1)</f>
        <v/>
      </c>
      <c r="H571" s="8" t="str">
        <f aca="false">IF(OR(NOT(ISNUMBER($D571)),NOT(ISNUMBER($D326)),$D326=0),"",$D571/$D326-1)</f>
        <v/>
      </c>
      <c r="I571" s="8" t="str">
        <f aca="false">IF(OR(NOT(ISNUMBER($G571)),NOT(ISNUMBER($H571))),"",$G571-$H571)</f>
        <v/>
      </c>
    </row>
    <row r="572" customFormat="false" ht="15" hidden="false" customHeight="false" outlineLevel="0" collapsed="false">
      <c r="A572" s="5" t="str">
        <f aca="false">IF(NOT(ISNUMBER(Macro_Series!$A572)),"",Macro_Series!$A572)</f>
        <v/>
      </c>
      <c r="B572" s="6" t="str">
        <f aca="false">IF(NOT(ISNUMBER(Macro_Series!$C572)),"",Macro_Series!$C572)</f>
        <v/>
      </c>
      <c r="C572" s="6" t="str">
        <f aca="false">IF(NOT(ISNUMBER(Macro_Series!$E572)),"",Macro_Series!$E572)</f>
        <v/>
      </c>
      <c r="D572" s="7" t="str">
        <f aca="false">IF(OR(NOT(ISNUMBER($B572)),NOT(ISNUMBER($C572)),$C572=0),"",$B572/$C572)</f>
        <v/>
      </c>
      <c r="E572" s="7" t="str">
        <f aca="false">IF(NOT(ISNUMBER(Macro_Series!$H572)),"",Macro_Series!$H572)</f>
        <v/>
      </c>
      <c r="F572" s="7" t="str">
        <f aca="false">IF(OR(NOT(ISNUMBER($D572)),NOT(ISNUMBER($E572)),$E572=0),"",$D572/$E572)</f>
        <v/>
      </c>
      <c r="G572" s="8" t="str">
        <f aca="false">IF(OR(NOT(ISNUMBER($B572)),NOT(ISNUMBER($B327)),$B327=0),"",$B572/$B327-1)</f>
        <v/>
      </c>
      <c r="H572" s="8" t="str">
        <f aca="false">IF(OR(NOT(ISNUMBER($D572)),NOT(ISNUMBER($D327)),$D327=0),"",$D572/$D327-1)</f>
        <v/>
      </c>
      <c r="I572" s="8" t="str">
        <f aca="false">IF(OR(NOT(ISNUMBER($G572)),NOT(ISNUMBER($H572))),"",$G572-$H572)</f>
        <v/>
      </c>
    </row>
    <row r="573" customFormat="false" ht="15" hidden="false" customHeight="false" outlineLevel="0" collapsed="false">
      <c r="A573" s="5" t="str">
        <f aca="false">IF(NOT(ISNUMBER(Macro_Series!$A573)),"",Macro_Series!$A573)</f>
        <v/>
      </c>
      <c r="B573" s="6" t="str">
        <f aca="false">IF(NOT(ISNUMBER(Macro_Series!$C573)),"",Macro_Series!$C573)</f>
        <v/>
      </c>
      <c r="C573" s="6" t="str">
        <f aca="false">IF(NOT(ISNUMBER(Macro_Series!$E573)),"",Macro_Series!$E573)</f>
        <v/>
      </c>
      <c r="D573" s="7" t="str">
        <f aca="false">IF(OR(NOT(ISNUMBER($B573)),NOT(ISNUMBER($C573)),$C573=0),"",$B573/$C573)</f>
        <v/>
      </c>
      <c r="E573" s="7" t="str">
        <f aca="false">IF(NOT(ISNUMBER(Macro_Series!$H573)),"",Macro_Series!$H573)</f>
        <v/>
      </c>
      <c r="F573" s="7" t="str">
        <f aca="false">IF(OR(NOT(ISNUMBER($D573)),NOT(ISNUMBER($E573)),$E573=0),"",$D573/$E573)</f>
        <v/>
      </c>
      <c r="G573" s="8" t="str">
        <f aca="false">IF(OR(NOT(ISNUMBER($B573)),NOT(ISNUMBER($B328)),$B328=0),"",$B573/$B328-1)</f>
        <v/>
      </c>
      <c r="H573" s="8" t="str">
        <f aca="false">IF(OR(NOT(ISNUMBER($D573)),NOT(ISNUMBER($D328)),$D328=0),"",$D573/$D328-1)</f>
        <v/>
      </c>
      <c r="I573" s="8" t="str">
        <f aca="false">IF(OR(NOT(ISNUMBER($G573)),NOT(ISNUMBER($H573))),"",$G573-$H573)</f>
        <v/>
      </c>
    </row>
    <row r="574" customFormat="false" ht="15" hidden="false" customHeight="false" outlineLevel="0" collapsed="false">
      <c r="A574" s="5" t="str">
        <f aca="false">IF(NOT(ISNUMBER(Macro_Series!$A574)),"",Macro_Series!$A574)</f>
        <v/>
      </c>
      <c r="B574" s="6" t="str">
        <f aca="false">IF(NOT(ISNUMBER(Macro_Series!$C574)),"",Macro_Series!$C574)</f>
        <v/>
      </c>
      <c r="C574" s="6" t="str">
        <f aca="false">IF(NOT(ISNUMBER(Macro_Series!$E574)),"",Macro_Series!$E574)</f>
        <v/>
      </c>
      <c r="D574" s="7" t="str">
        <f aca="false">IF(OR(NOT(ISNUMBER($B574)),NOT(ISNUMBER($C574)),$C574=0),"",$B574/$C574)</f>
        <v/>
      </c>
      <c r="E574" s="7" t="str">
        <f aca="false">IF(NOT(ISNUMBER(Macro_Series!$H574)),"",Macro_Series!$H574)</f>
        <v/>
      </c>
      <c r="F574" s="7" t="str">
        <f aca="false">IF(OR(NOT(ISNUMBER($D574)),NOT(ISNUMBER($E574)),$E574=0),"",$D574/$E574)</f>
        <v/>
      </c>
      <c r="G574" s="8" t="str">
        <f aca="false">IF(OR(NOT(ISNUMBER($B574)),NOT(ISNUMBER($B329)),$B329=0),"",$B574/$B329-1)</f>
        <v/>
      </c>
      <c r="H574" s="8" t="str">
        <f aca="false">IF(OR(NOT(ISNUMBER($D574)),NOT(ISNUMBER($D329)),$D329=0),"",$D574/$D329-1)</f>
        <v/>
      </c>
      <c r="I574" s="8" t="str">
        <f aca="false">IF(OR(NOT(ISNUMBER($G574)),NOT(ISNUMBER($H574))),"",$G574-$H574)</f>
        <v/>
      </c>
    </row>
    <row r="575" customFormat="false" ht="15" hidden="false" customHeight="false" outlineLevel="0" collapsed="false">
      <c r="A575" s="5" t="str">
        <f aca="false">IF(NOT(ISNUMBER(Macro_Series!$A575)),"",Macro_Series!$A575)</f>
        <v/>
      </c>
      <c r="B575" s="6" t="str">
        <f aca="false">IF(NOT(ISNUMBER(Macro_Series!$C575)),"",Macro_Series!$C575)</f>
        <v/>
      </c>
      <c r="C575" s="6" t="str">
        <f aca="false">IF(NOT(ISNUMBER(Macro_Series!$E575)),"",Macro_Series!$E575)</f>
        <v/>
      </c>
      <c r="D575" s="7" t="str">
        <f aca="false">IF(OR(NOT(ISNUMBER($B575)),NOT(ISNUMBER($C575)),$C575=0),"",$B575/$C575)</f>
        <v/>
      </c>
      <c r="E575" s="7" t="str">
        <f aca="false">IF(NOT(ISNUMBER(Macro_Series!$H575)),"",Macro_Series!$H575)</f>
        <v/>
      </c>
      <c r="F575" s="7" t="str">
        <f aca="false">IF(OR(NOT(ISNUMBER($D575)),NOT(ISNUMBER($E575)),$E575=0),"",$D575/$E575)</f>
        <v/>
      </c>
      <c r="G575" s="8" t="str">
        <f aca="false">IF(OR(NOT(ISNUMBER($B575)),NOT(ISNUMBER($B330)),$B330=0),"",$B575/$B330-1)</f>
        <v/>
      </c>
      <c r="H575" s="8" t="str">
        <f aca="false">IF(OR(NOT(ISNUMBER($D575)),NOT(ISNUMBER($D330)),$D330=0),"",$D575/$D330-1)</f>
        <v/>
      </c>
      <c r="I575" s="8" t="str">
        <f aca="false">IF(OR(NOT(ISNUMBER($G575)),NOT(ISNUMBER($H575))),"",$G575-$H575)</f>
        <v/>
      </c>
    </row>
    <row r="576" customFormat="false" ht="15" hidden="false" customHeight="false" outlineLevel="0" collapsed="false">
      <c r="A576" s="5" t="str">
        <f aca="false">IF(NOT(ISNUMBER(Macro_Series!$A576)),"",Macro_Series!$A576)</f>
        <v/>
      </c>
      <c r="B576" s="6" t="str">
        <f aca="false">IF(NOT(ISNUMBER(Macro_Series!$C576)),"",Macro_Series!$C576)</f>
        <v/>
      </c>
      <c r="C576" s="6" t="str">
        <f aca="false">IF(NOT(ISNUMBER(Macro_Series!$E576)),"",Macro_Series!$E576)</f>
        <v/>
      </c>
      <c r="D576" s="7" t="str">
        <f aca="false">IF(OR(NOT(ISNUMBER($B576)),NOT(ISNUMBER($C576)),$C576=0),"",$B576/$C576)</f>
        <v/>
      </c>
      <c r="E576" s="7" t="str">
        <f aca="false">IF(NOT(ISNUMBER(Macro_Series!$H576)),"",Macro_Series!$H576)</f>
        <v/>
      </c>
      <c r="F576" s="7" t="str">
        <f aca="false">IF(OR(NOT(ISNUMBER($D576)),NOT(ISNUMBER($E576)),$E576=0),"",$D576/$E576)</f>
        <v/>
      </c>
      <c r="G576" s="8" t="str">
        <f aca="false">IF(OR(NOT(ISNUMBER($B576)),NOT(ISNUMBER($B331)),$B331=0),"",$B576/$B331-1)</f>
        <v/>
      </c>
      <c r="H576" s="8" t="str">
        <f aca="false">IF(OR(NOT(ISNUMBER($D576)),NOT(ISNUMBER($D331)),$D331=0),"",$D576/$D331-1)</f>
        <v/>
      </c>
      <c r="I576" s="8" t="str">
        <f aca="false">IF(OR(NOT(ISNUMBER($G576)),NOT(ISNUMBER($H576))),"",$G576-$H576)</f>
        <v/>
      </c>
    </row>
    <row r="577" customFormat="false" ht="15" hidden="false" customHeight="false" outlineLevel="0" collapsed="false">
      <c r="A577" s="5" t="str">
        <f aca="false">IF(NOT(ISNUMBER(Macro_Series!$A577)),"",Macro_Series!$A577)</f>
        <v/>
      </c>
      <c r="B577" s="6" t="str">
        <f aca="false">IF(NOT(ISNUMBER(Macro_Series!$C577)),"",Macro_Series!$C577)</f>
        <v/>
      </c>
      <c r="C577" s="6" t="str">
        <f aca="false">IF(NOT(ISNUMBER(Macro_Series!$E577)),"",Macro_Series!$E577)</f>
        <v/>
      </c>
      <c r="D577" s="7" t="str">
        <f aca="false">IF(OR(NOT(ISNUMBER($B577)),NOT(ISNUMBER($C577)),$C577=0),"",$B577/$C577)</f>
        <v/>
      </c>
      <c r="E577" s="7" t="str">
        <f aca="false">IF(NOT(ISNUMBER(Macro_Series!$H577)),"",Macro_Series!$H577)</f>
        <v/>
      </c>
      <c r="F577" s="7" t="str">
        <f aca="false">IF(OR(NOT(ISNUMBER($D577)),NOT(ISNUMBER($E577)),$E577=0),"",$D577/$E577)</f>
        <v/>
      </c>
      <c r="G577" s="8" t="str">
        <f aca="false">IF(OR(NOT(ISNUMBER($B577)),NOT(ISNUMBER($B332)),$B332=0),"",$B577/$B332-1)</f>
        <v/>
      </c>
      <c r="H577" s="8" t="str">
        <f aca="false">IF(OR(NOT(ISNUMBER($D577)),NOT(ISNUMBER($D332)),$D332=0),"",$D577/$D332-1)</f>
        <v/>
      </c>
      <c r="I577" s="8" t="str">
        <f aca="false">IF(OR(NOT(ISNUMBER($G577)),NOT(ISNUMBER($H577))),"",$G577-$H577)</f>
        <v/>
      </c>
    </row>
    <row r="578" customFormat="false" ht="15" hidden="false" customHeight="false" outlineLevel="0" collapsed="false">
      <c r="A578" s="5" t="str">
        <f aca="false">IF(NOT(ISNUMBER(Macro_Series!$A578)),"",Macro_Series!$A578)</f>
        <v/>
      </c>
      <c r="B578" s="6" t="str">
        <f aca="false">IF(NOT(ISNUMBER(Macro_Series!$C578)),"",Macro_Series!$C578)</f>
        <v/>
      </c>
      <c r="C578" s="6" t="str">
        <f aca="false">IF(NOT(ISNUMBER(Macro_Series!$E578)),"",Macro_Series!$E578)</f>
        <v/>
      </c>
      <c r="D578" s="7" t="str">
        <f aca="false">IF(OR(NOT(ISNUMBER($B578)),NOT(ISNUMBER($C578)),$C578=0),"",$B578/$C578)</f>
        <v/>
      </c>
      <c r="E578" s="7" t="str">
        <f aca="false">IF(NOT(ISNUMBER(Macro_Series!$H578)),"",Macro_Series!$H578)</f>
        <v/>
      </c>
      <c r="F578" s="7" t="str">
        <f aca="false">IF(OR(NOT(ISNUMBER($D578)),NOT(ISNUMBER($E578)),$E578=0),"",$D578/$E578)</f>
        <v/>
      </c>
      <c r="G578" s="8" t="str">
        <f aca="false">IF(OR(NOT(ISNUMBER($B578)),NOT(ISNUMBER($B333)),$B333=0),"",$B578/$B333-1)</f>
        <v/>
      </c>
      <c r="H578" s="8" t="str">
        <f aca="false">IF(OR(NOT(ISNUMBER($D578)),NOT(ISNUMBER($D333)),$D333=0),"",$D578/$D333-1)</f>
        <v/>
      </c>
      <c r="I578" s="8" t="str">
        <f aca="false">IF(OR(NOT(ISNUMBER($G578)),NOT(ISNUMBER($H578))),"",$G578-$H578)</f>
        <v/>
      </c>
    </row>
    <row r="579" customFormat="false" ht="15" hidden="false" customHeight="false" outlineLevel="0" collapsed="false">
      <c r="A579" s="5" t="str">
        <f aca="false">IF(NOT(ISNUMBER(Macro_Series!$A579)),"",Macro_Series!$A579)</f>
        <v/>
      </c>
      <c r="B579" s="6" t="str">
        <f aca="false">IF(NOT(ISNUMBER(Macro_Series!$C579)),"",Macro_Series!$C579)</f>
        <v/>
      </c>
      <c r="C579" s="6" t="str">
        <f aca="false">IF(NOT(ISNUMBER(Macro_Series!$E579)),"",Macro_Series!$E579)</f>
        <v/>
      </c>
      <c r="D579" s="7" t="str">
        <f aca="false">IF(OR(NOT(ISNUMBER($B579)),NOT(ISNUMBER($C579)),$C579=0),"",$B579/$C579)</f>
        <v/>
      </c>
      <c r="E579" s="7" t="str">
        <f aca="false">IF(NOT(ISNUMBER(Macro_Series!$H579)),"",Macro_Series!$H579)</f>
        <v/>
      </c>
      <c r="F579" s="7" t="str">
        <f aca="false">IF(OR(NOT(ISNUMBER($D579)),NOT(ISNUMBER($E579)),$E579=0),"",$D579/$E579)</f>
        <v/>
      </c>
      <c r="G579" s="8" t="str">
        <f aca="false">IF(OR(NOT(ISNUMBER($B579)),NOT(ISNUMBER($B334)),$B334=0),"",$B579/$B334-1)</f>
        <v/>
      </c>
      <c r="H579" s="8" t="str">
        <f aca="false">IF(OR(NOT(ISNUMBER($D579)),NOT(ISNUMBER($D334)),$D334=0),"",$D579/$D334-1)</f>
        <v/>
      </c>
      <c r="I579" s="8" t="str">
        <f aca="false">IF(OR(NOT(ISNUMBER($G579)),NOT(ISNUMBER($H579))),"",$G579-$H579)</f>
        <v/>
      </c>
    </row>
    <row r="580" customFormat="false" ht="15" hidden="false" customHeight="false" outlineLevel="0" collapsed="false">
      <c r="A580" s="5" t="str">
        <f aca="false">IF(NOT(ISNUMBER(Macro_Series!$A580)),"",Macro_Series!$A580)</f>
        <v/>
      </c>
      <c r="B580" s="6" t="str">
        <f aca="false">IF(NOT(ISNUMBER(Macro_Series!$C580)),"",Macro_Series!$C580)</f>
        <v/>
      </c>
      <c r="C580" s="6" t="str">
        <f aca="false">IF(NOT(ISNUMBER(Macro_Series!$E580)),"",Macro_Series!$E580)</f>
        <v/>
      </c>
      <c r="D580" s="7" t="str">
        <f aca="false">IF(OR(NOT(ISNUMBER($B580)),NOT(ISNUMBER($C580)),$C580=0),"",$B580/$C580)</f>
        <v/>
      </c>
      <c r="E580" s="7" t="str">
        <f aca="false">IF(NOT(ISNUMBER(Macro_Series!$H580)),"",Macro_Series!$H580)</f>
        <v/>
      </c>
      <c r="F580" s="7" t="str">
        <f aca="false">IF(OR(NOT(ISNUMBER($D580)),NOT(ISNUMBER($E580)),$E580=0),"",$D580/$E580)</f>
        <v/>
      </c>
      <c r="G580" s="8" t="str">
        <f aca="false">IF(OR(NOT(ISNUMBER($B580)),NOT(ISNUMBER($B335)),$B335=0),"",$B580/$B335-1)</f>
        <v/>
      </c>
      <c r="H580" s="8" t="str">
        <f aca="false">IF(OR(NOT(ISNUMBER($D580)),NOT(ISNUMBER($D335)),$D335=0),"",$D580/$D335-1)</f>
        <v/>
      </c>
      <c r="I580" s="8" t="str">
        <f aca="false">IF(OR(NOT(ISNUMBER($G580)),NOT(ISNUMBER($H580))),"",$G580-$H580)</f>
        <v/>
      </c>
    </row>
    <row r="581" customFormat="false" ht="15" hidden="false" customHeight="false" outlineLevel="0" collapsed="false">
      <c r="A581" s="5" t="str">
        <f aca="false">IF(NOT(ISNUMBER(Macro_Series!$A581)),"",Macro_Series!$A581)</f>
        <v/>
      </c>
      <c r="B581" s="6" t="str">
        <f aca="false">IF(NOT(ISNUMBER(Macro_Series!$C581)),"",Macro_Series!$C581)</f>
        <v/>
      </c>
      <c r="C581" s="6" t="str">
        <f aca="false">IF(NOT(ISNUMBER(Macro_Series!$E581)),"",Macro_Series!$E581)</f>
        <v/>
      </c>
      <c r="D581" s="7" t="str">
        <f aca="false">IF(OR(NOT(ISNUMBER($B581)),NOT(ISNUMBER($C581)),$C581=0),"",$B581/$C581)</f>
        <v/>
      </c>
      <c r="E581" s="7" t="str">
        <f aca="false">IF(NOT(ISNUMBER(Macro_Series!$H581)),"",Macro_Series!$H581)</f>
        <v/>
      </c>
      <c r="F581" s="7" t="str">
        <f aca="false">IF(OR(NOT(ISNUMBER($D581)),NOT(ISNUMBER($E581)),$E581=0),"",$D581/$E581)</f>
        <v/>
      </c>
      <c r="G581" s="8" t="str">
        <f aca="false">IF(OR(NOT(ISNUMBER($B581)),NOT(ISNUMBER($B336)),$B336=0),"",$B581/$B336-1)</f>
        <v/>
      </c>
      <c r="H581" s="8" t="str">
        <f aca="false">IF(OR(NOT(ISNUMBER($D581)),NOT(ISNUMBER($D336)),$D336=0),"",$D581/$D336-1)</f>
        <v/>
      </c>
      <c r="I581" s="8" t="str">
        <f aca="false">IF(OR(NOT(ISNUMBER($G581)),NOT(ISNUMBER($H581))),"",$G581-$H581)</f>
        <v/>
      </c>
    </row>
    <row r="582" customFormat="false" ht="15" hidden="false" customHeight="false" outlineLevel="0" collapsed="false">
      <c r="A582" s="5" t="str">
        <f aca="false">IF(NOT(ISNUMBER(Macro_Series!$A582)),"",Macro_Series!$A582)</f>
        <v/>
      </c>
      <c r="B582" s="6" t="str">
        <f aca="false">IF(NOT(ISNUMBER(Macro_Series!$C582)),"",Macro_Series!$C582)</f>
        <v/>
      </c>
      <c r="C582" s="6" t="str">
        <f aca="false">IF(NOT(ISNUMBER(Macro_Series!$E582)),"",Macro_Series!$E582)</f>
        <v/>
      </c>
      <c r="D582" s="7" t="str">
        <f aca="false">IF(OR(NOT(ISNUMBER($B582)),NOT(ISNUMBER($C582)),$C582=0),"",$B582/$C582)</f>
        <v/>
      </c>
      <c r="E582" s="7" t="str">
        <f aca="false">IF(NOT(ISNUMBER(Macro_Series!$H582)),"",Macro_Series!$H582)</f>
        <v/>
      </c>
      <c r="F582" s="7" t="str">
        <f aca="false">IF(OR(NOT(ISNUMBER($D582)),NOT(ISNUMBER($E582)),$E582=0),"",$D582/$E582)</f>
        <v/>
      </c>
      <c r="G582" s="8" t="str">
        <f aca="false">IF(OR(NOT(ISNUMBER($B582)),NOT(ISNUMBER($B337)),$B337=0),"",$B582/$B337-1)</f>
        <v/>
      </c>
      <c r="H582" s="8" t="str">
        <f aca="false">IF(OR(NOT(ISNUMBER($D582)),NOT(ISNUMBER($D337)),$D337=0),"",$D582/$D337-1)</f>
        <v/>
      </c>
      <c r="I582" s="8" t="str">
        <f aca="false">IF(OR(NOT(ISNUMBER($G582)),NOT(ISNUMBER($H582))),"",$G582-$H582)</f>
        <v/>
      </c>
    </row>
    <row r="583" customFormat="false" ht="15" hidden="false" customHeight="false" outlineLevel="0" collapsed="false">
      <c r="A583" s="5" t="str">
        <f aca="false">IF(NOT(ISNUMBER(Macro_Series!$A583)),"",Macro_Series!$A583)</f>
        <v/>
      </c>
      <c r="B583" s="6" t="str">
        <f aca="false">IF(NOT(ISNUMBER(Macro_Series!$C583)),"",Macro_Series!$C583)</f>
        <v/>
      </c>
      <c r="C583" s="6" t="str">
        <f aca="false">IF(NOT(ISNUMBER(Macro_Series!$E583)),"",Macro_Series!$E583)</f>
        <v/>
      </c>
      <c r="D583" s="7" t="str">
        <f aca="false">IF(OR(NOT(ISNUMBER($B583)),NOT(ISNUMBER($C583)),$C583=0),"",$B583/$C583)</f>
        <v/>
      </c>
      <c r="E583" s="7" t="str">
        <f aca="false">IF(NOT(ISNUMBER(Macro_Series!$H583)),"",Macro_Series!$H583)</f>
        <v/>
      </c>
      <c r="F583" s="7" t="str">
        <f aca="false">IF(OR(NOT(ISNUMBER($D583)),NOT(ISNUMBER($E583)),$E583=0),"",$D583/$E583)</f>
        <v/>
      </c>
      <c r="G583" s="8" t="str">
        <f aca="false">IF(OR(NOT(ISNUMBER($B583)),NOT(ISNUMBER($B338)),$B338=0),"",$B583/$B338-1)</f>
        <v/>
      </c>
      <c r="H583" s="8" t="str">
        <f aca="false">IF(OR(NOT(ISNUMBER($D583)),NOT(ISNUMBER($D338)),$D338=0),"",$D583/$D338-1)</f>
        <v/>
      </c>
      <c r="I583" s="8" t="str">
        <f aca="false">IF(OR(NOT(ISNUMBER($G583)),NOT(ISNUMBER($H583))),"",$G583-$H583)</f>
        <v/>
      </c>
    </row>
    <row r="584" customFormat="false" ht="15" hidden="false" customHeight="false" outlineLevel="0" collapsed="false">
      <c r="A584" s="5" t="str">
        <f aca="false">IF(NOT(ISNUMBER(Macro_Series!$A584)),"",Macro_Series!$A584)</f>
        <v/>
      </c>
      <c r="B584" s="6" t="str">
        <f aca="false">IF(NOT(ISNUMBER(Macro_Series!$C584)),"",Macro_Series!$C584)</f>
        <v/>
      </c>
      <c r="C584" s="6" t="str">
        <f aca="false">IF(NOT(ISNUMBER(Macro_Series!$E584)),"",Macro_Series!$E584)</f>
        <v/>
      </c>
      <c r="D584" s="7" t="str">
        <f aca="false">IF(OR(NOT(ISNUMBER($B584)),NOT(ISNUMBER($C584)),$C584=0),"",$B584/$C584)</f>
        <v/>
      </c>
      <c r="E584" s="7" t="str">
        <f aca="false">IF(NOT(ISNUMBER(Macro_Series!$H584)),"",Macro_Series!$H584)</f>
        <v/>
      </c>
      <c r="F584" s="7" t="str">
        <f aca="false">IF(OR(NOT(ISNUMBER($D584)),NOT(ISNUMBER($E584)),$E584=0),"",$D584/$E584)</f>
        <v/>
      </c>
      <c r="G584" s="8" t="str">
        <f aca="false">IF(OR(NOT(ISNUMBER($B584)),NOT(ISNUMBER($B339)),$B339=0),"",$B584/$B339-1)</f>
        <v/>
      </c>
      <c r="H584" s="8" t="str">
        <f aca="false">IF(OR(NOT(ISNUMBER($D584)),NOT(ISNUMBER($D339)),$D339=0),"",$D584/$D339-1)</f>
        <v/>
      </c>
      <c r="I584" s="8" t="str">
        <f aca="false">IF(OR(NOT(ISNUMBER($G584)),NOT(ISNUMBER($H584))),"",$G584-$H584)</f>
        <v/>
      </c>
    </row>
    <row r="585" customFormat="false" ht="15" hidden="false" customHeight="false" outlineLevel="0" collapsed="false">
      <c r="A585" s="5" t="str">
        <f aca="false">IF(NOT(ISNUMBER(Macro_Series!$A585)),"",Macro_Series!$A585)</f>
        <v/>
      </c>
      <c r="B585" s="6" t="str">
        <f aca="false">IF(NOT(ISNUMBER(Macro_Series!$C585)),"",Macro_Series!$C585)</f>
        <v/>
      </c>
      <c r="C585" s="6" t="str">
        <f aca="false">IF(NOT(ISNUMBER(Macro_Series!$E585)),"",Macro_Series!$E585)</f>
        <v/>
      </c>
      <c r="D585" s="7" t="str">
        <f aca="false">IF(OR(NOT(ISNUMBER($B585)),NOT(ISNUMBER($C585)),$C585=0),"",$B585/$C585)</f>
        <v/>
      </c>
      <c r="E585" s="7" t="str">
        <f aca="false">IF(NOT(ISNUMBER(Macro_Series!$H585)),"",Macro_Series!$H585)</f>
        <v/>
      </c>
      <c r="F585" s="7" t="str">
        <f aca="false">IF(OR(NOT(ISNUMBER($D585)),NOT(ISNUMBER($E585)),$E585=0),"",$D585/$E585)</f>
        <v/>
      </c>
      <c r="G585" s="8" t="str">
        <f aca="false">IF(OR(NOT(ISNUMBER($B585)),NOT(ISNUMBER($B340)),$B340=0),"",$B585/$B340-1)</f>
        <v/>
      </c>
      <c r="H585" s="8" t="str">
        <f aca="false">IF(OR(NOT(ISNUMBER($D585)),NOT(ISNUMBER($D340)),$D340=0),"",$D585/$D340-1)</f>
        <v/>
      </c>
      <c r="I585" s="8" t="str">
        <f aca="false">IF(OR(NOT(ISNUMBER($G585)),NOT(ISNUMBER($H585))),"",$G585-$H585)</f>
        <v/>
      </c>
    </row>
    <row r="586" customFormat="false" ht="15" hidden="false" customHeight="false" outlineLevel="0" collapsed="false">
      <c r="A586" s="5" t="str">
        <f aca="false">IF(NOT(ISNUMBER(Macro_Series!$A586)),"",Macro_Series!$A586)</f>
        <v/>
      </c>
      <c r="B586" s="6" t="str">
        <f aca="false">IF(NOT(ISNUMBER(Macro_Series!$C586)),"",Macro_Series!$C586)</f>
        <v/>
      </c>
      <c r="C586" s="6" t="str">
        <f aca="false">IF(NOT(ISNUMBER(Macro_Series!$E586)),"",Macro_Series!$E586)</f>
        <v/>
      </c>
      <c r="D586" s="7" t="str">
        <f aca="false">IF(OR(NOT(ISNUMBER($B586)),NOT(ISNUMBER($C586)),$C586=0),"",$B586/$C586)</f>
        <v/>
      </c>
      <c r="E586" s="7" t="str">
        <f aca="false">IF(NOT(ISNUMBER(Macro_Series!$H586)),"",Macro_Series!$H586)</f>
        <v/>
      </c>
      <c r="F586" s="7" t="str">
        <f aca="false">IF(OR(NOT(ISNUMBER($D586)),NOT(ISNUMBER($E586)),$E586=0),"",$D586/$E586)</f>
        <v/>
      </c>
      <c r="G586" s="8" t="str">
        <f aca="false">IF(OR(NOT(ISNUMBER($B586)),NOT(ISNUMBER($B341)),$B341=0),"",$B586/$B341-1)</f>
        <v/>
      </c>
      <c r="H586" s="8" t="str">
        <f aca="false">IF(OR(NOT(ISNUMBER($D586)),NOT(ISNUMBER($D341)),$D341=0),"",$D586/$D341-1)</f>
        <v/>
      </c>
      <c r="I586" s="8" t="str">
        <f aca="false">IF(OR(NOT(ISNUMBER($G586)),NOT(ISNUMBER($H586))),"",$G586-$H586)</f>
        <v/>
      </c>
    </row>
    <row r="587" customFormat="false" ht="15" hidden="false" customHeight="false" outlineLevel="0" collapsed="false">
      <c r="A587" s="5" t="str">
        <f aca="false">IF(NOT(ISNUMBER(Macro_Series!$A587)),"",Macro_Series!$A587)</f>
        <v/>
      </c>
      <c r="B587" s="6" t="str">
        <f aca="false">IF(NOT(ISNUMBER(Macro_Series!$C587)),"",Macro_Series!$C587)</f>
        <v/>
      </c>
      <c r="C587" s="6" t="str">
        <f aca="false">IF(NOT(ISNUMBER(Macro_Series!$E587)),"",Macro_Series!$E587)</f>
        <v/>
      </c>
      <c r="D587" s="7" t="str">
        <f aca="false">IF(OR(NOT(ISNUMBER($B587)),NOT(ISNUMBER($C587)),$C587=0),"",$B587/$C587)</f>
        <v/>
      </c>
      <c r="E587" s="7" t="str">
        <f aca="false">IF(NOT(ISNUMBER(Macro_Series!$H587)),"",Macro_Series!$H587)</f>
        <v/>
      </c>
      <c r="F587" s="7" t="str">
        <f aca="false">IF(OR(NOT(ISNUMBER($D587)),NOT(ISNUMBER($E587)),$E587=0),"",$D587/$E587)</f>
        <v/>
      </c>
      <c r="G587" s="8" t="str">
        <f aca="false">IF(OR(NOT(ISNUMBER($B587)),NOT(ISNUMBER($B342)),$B342=0),"",$B587/$B342-1)</f>
        <v/>
      </c>
      <c r="H587" s="8" t="str">
        <f aca="false">IF(OR(NOT(ISNUMBER($D587)),NOT(ISNUMBER($D342)),$D342=0),"",$D587/$D342-1)</f>
        <v/>
      </c>
      <c r="I587" s="8" t="str">
        <f aca="false">IF(OR(NOT(ISNUMBER($G587)),NOT(ISNUMBER($H587))),"",$G587-$H587)</f>
        <v/>
      </c>
    </row>
    <row r="588" customFormat="false" ht="15" hidden="false" customHeight="false" outlineLevel="0" collapsed="false">
      <c r="A588" s="5" t="str">
        <f aca="false">IF(NOT(ISNUMBER(Macro_Series!$A588)),"",Macro_Series!$A588)</f>
        <v/>
      </c>
      <c r="B588" s="6" t="str">
        <f aca="false">IF(NOT(ISNUMBER(Macro_Series!$C588)),"",Macro_Series!$C588)</f>
        <v/>
      </c>
      <c r="C588" s="6" t="str">
        <f aca="false">IF(NOT(ISNUMBER(Macro_Series!$E588)),"",Macro_Series!$E588)</f>
        <v/>
      </c>
      <c r="D588" s="7" t="str">
        <f aca="false">IF(OR(NOT(ISNUMBER($B588)),NOT(ISNUMBER($C588)),$C588=0),"",$B588/$C588)</f>
        <v/>
      </c>
      <c r="E588" s="7" t="str">
        <f aca="false">IF(NOT(ISNUMBER(Macro_Series!$H588)),"",Macro_Series!$H588)</f>
        <v/>
      </c>
      <c r="F588" s="7" t="str">
        <f aca="false">IF(OR(NOT(ISNUMBER($D588)),NOT(ISNUMBER($E588)),$E588=0),"",$D588/$E588)</f>
        <v/>
      </c>
      <c r="G588" s="8" t="str">
        <f aca="false">IF(OR(NOT(ISNUMBER($B588)),NOT(ISNUMBER($B343)),$B343=0),"",$B588/$B343-1)</f>
        <v/>
      </c>
      <c r="H588" s="8" t="str">
        <f aca="false">IF(OR(NOT(ISNUMBER($D588)),NOT(ISNUMBER($D343)),$D343=0),"",$D588/$D343-1)</f>
        <v/>
      </c>
      <c r="I588" s="8" t="str">
        <f aca="false">IF(OR(NOT(ISNUMBER($G588)),NOT(ISNUMBER($H588))),"",$G588-$H588)</f>
        <v/>
      </c>
    </row>
    <row r="589" customFormat="false" ht="15" hidden="false" customHeight="false" outlineLevel="0" collapsed="false">
      <c r="A589" s="5" t="str">
        <f aca="false">IF(NOT(ISNUMBER(Macro_Series!$A589)),"",Macro_Series!$A589)</f>
        <v/>
      </c>
      <c r="B589" s="6" t="str">
        <f aca="false">IF(NOT(ISNUMBER(Macro_Series!$C589)),"",Macro_Series!$C589)</f>
        <v/>
      </c>
      <c r="C589" s="6" t="str">
        <f aca="false">IF(NOT(ISNUMBER(Macro_Series!$E589)),"",Macro_Series!$E589)</f>
        <v/>
      </c>
      <c r="D589" s="7" t="str">
        <f aca="false">IF(OR(NOT(ISNUMBER($B589)),NOT(ISNUMBER($C589)),$C589=0),"",$B589/$C589)</f>
        <v/>
      </c>
      <c r="E589" s="7" t="str">
        <f aca="false">IF(NOT(ISNUMBER(Macro_Series!$H589)),"",Macro_Series!$H589)</f>
        <v/>
      </c>
      <c r="F589" s="7" t="str">
        <f aca="false">IF(OR(NOT(ISNUMBER($D589)),NOT(ISNUMBER($E589)),$E589=0),"",$D589/$E589)</f>
        <v/>
      </c>
      <c r="G589" s="8" t="str">
        <f aca="false">IF(OR(NOT(ISNUMBER($B589)),NOT(ISNUMBER($B344)),$B344=0),"",$B589/$B344-1)</f>
        <v/>
      </c>
      <c r="H589" s="8" t="str">
        <f aca="false">IF(OR(NOT(ISNUMBER($D589)),NOT(ISNUMBER($D344)),$D344=0),"",$D589/$D344-1)</f>
        <v/>
      </c>
      <c r="I589" s="8" t="str">
        <f aca="false">IF(OR(NOT(ISNUMBER($G589)),NOT(ISNUMBER($H589))),"",$G589-$H589)</f>
        <v/>
      </c>
    </row>
    <row r="590" customFormat="false" ht="15" hidden="false" customHeight="false" outlineLevel="0" collapsed="false">
      <c r="A590" s="5" t="str">
        <f aca="false">IF(NOT(ISNUMBER(Macro_Series!$A590)),"",Macro_Series!$A590)</f>
        <v/>
      </c>
      <c r="B590" s="6" t="str">
        <f aca="false">IF(NOT(ISNUMBER(Macro_Series!$C590)),"",Macro_Series!$C590)</f>
        <v/>
      </c>
      <c r="C590" s="6" t="str">
        <f aca="false">IF(NOT(ISNUMBER(Macro_Series!$E590)),"",Macro_Series!$E590)</f>
        <v/>
      </c>
      <c r="D590" s="7" t="str">
        <f aca="false">IF(OR(NOT(ISNUMBER($B590)),NOT(ISNUMBER($C590)),$C590=0),"",$B590/$C590)</f>
        <v/>
      </c>
      <c r="E590" s="7" t="str">
        <f aca="false">IF(NOT(ISNUMBER(Macro_Series!$H590)),"",Macro_Series!$H590)</f>
        <v/>
      </c>
      <c r="F590" s="7" t="str">
        <f aca="false">IF(OR(NOT(ISNUMBER($D590)),NOT(ISNUMBER($E590)),$E590=0),"",$D590/$E590)</f>
        <v/>
      </c>
      <c r="G590" s="8" t="str">
        <f aca="false">IF(OR(NOT(ISNUMBER($B590)),NOT(ISNUMBER($B345)),$B345=0),"",$B590/$B345-1)</f>
        <v/>
      </c>
      <c r="H590" s="8" t="str">
        <f aca="false">IF(OR(NOT(ISNUMBER($D590)),NOT(ISNUMBER($D345)),$D345=0),"",$D590/$D345-1)</f>
        <v/>
      </c>
      <c r="I590" s="8" t="str">
        <f aca="false">IF(OR(NOT(ISNUMBER($G590)),NOT(ISNUMBER($H590))),"",$G590-$H590)</f>
        <v/>
      </c>
    </row>
    <row r="591" customFormat="false" ht="15" hidden="false" customHeight="false" outlineLevel="0" collapsed="false">
      <c r="A591" s="5" t="str">
        <f aca="false">IF(NOT(ISNUMBER(Macro_Series!$A591)),"",Macro_Series!$A591)</f>
        <v/>
      </c>
      <c r="B591" s="6" t="str">
        <f aca="false">IF(NOT(ISNUMBER(Macro_Series!$C591)),"",Macro_Series!$C591)</f>
        <v/>
      </c>
      <c r="C591" s="6" t="str">
        <f aca="false">IF(NOT(ISNUMBER(Macro_Series!$E591)),"",Macro_Series!$E591)</f>
        <v/>
      </c>
      <c r="D591" s="7" t="str">
        <f aca="false">IF(OR(NOT(ISNUMBER($B591)),NOT(ISNUMBER($C591)),$C591=0),"",$B591/$C591)</f>
        <v/>
      </c>
      <c r="E591" s="7" t="str">
        <f aca="false">IF(NOT(ISNUMBER(Macro_Series!$H591)),"",Macro_Series!$H591)</f>
        <v/>
      </c>
      <c r="F591" s="7" t="str">
        <f aca="false">IF(OR(NOT(ISNUMBER($D591)),NOT(ISNUMBER($E591)),$E591=0),"",$D591/$E591)</f>
        <v/>
      </c>
      <c r="G591" s="8" t="str">
        <f aca="false">IF(OR(NOT(ISNUMBER($B591)),NOT(ISNUMBER($B346)),$B346=0),"",$B591/$B346-1)</f>
        <v/>
      </c>
      <c r="H591" s="8" t="str">
        <f aca="false">IF(OR(NOT(ISNUMBER($D591)),NOT(ISNUMBER($D346)),$D346=0),"",$D591/$D346-1)</f>
        <v/>
      </c>
      <c r="I591" s="8" t="str">
        <f aca="false">IF(OR(NOT(ISNUMBER($G591)),NOT(ISNUMBER($H591))),"",$G591-$H591)</f>
        <v/>
      </c>
    </row>
    <row r="592" customFormat="false" ht="15" hidden="false" customHeight="false" outlineLevel="0" collapsed="false">
      <c r="A592" s="5" t="str">
        <f aca="false">IF(NOT(ISNUMBER(Macro_Series!$A592)),"",Macro_Series!$A592)</f>
        <v/>
      </c>
      <c r="B592" s="6" t="str">
        <f aca="false">IF(NOT(ISNUMBER(Macro_Series!$C592)),"",Macro_Series!$C592)</f>
        <v/>
      </c>
      <c r="C592" s="6" t="str">
        <f aca="false">IF(NOT(ISNUMBER(Macro_Series!$E592)),"",Macro_Series!$E592)</f>
        <v/>
      </c>
      <c r="D592" s="7" t="str">
        <f aca="false">IF(OR(NOT(ISNUMBER($B592)),NOT(ISNUMBER($C592)),$C592=0),"",$B592/$C592)</f>
        <v/>
      </c>
      <c r="E592" s="7" t="str">
        <f aca="false">IF(NOT(ISNUMBER(Macro_Series!$H592)),"",Macro_Series!$H592)</f>
        <v/>
      </c>
      <c r="F592" s="7" t="str">
        <f aca="false">IF(OR(NOT(ISNUMBER($D592)),NOT(ISNUMBER($E592)),$E592=0),"",$D592/$E592)</f>
        <v/>
      </c>
      <c r="G592" s="8" t="str">
        <f aca="false">IF(OR(NOT(ISNUMBER($B592)),NOT(ISNUMBER($B347)),$B347=0),"",$B592/$B347-1)</f>
        <v/>
      </c>
      <c r="H592" s="8" t="str">
        <f aca="false">IF(OR(NOT(ISNUMBER($D592)),NOT(ISNUMBER($D347)),$D347=0),"",$D592/$D347-1)</f>
        <v/>
      </c>
      <c r="I592" s="8" t="str">
        <f aca="false">IF(OR(NOT(ISNUMBER($G592)),NOT(ISNUMBER($H592))),"",$G592-$H592)</f>
        <v/>
      </c>
    </row>
    <row r="593" customFormat="false" ht="15" hidden="false" customHeight="false" outlineLevel="0" collapsed="false">
      <c r="A593" s="5" t="str">
        <f aca="false">IF(NOT(ISNUMBER(Macro_Series!$A593)),"",Macro_Series!$A593)</f>
        <v/>
      </c>
      <c r="B593" s="6" t="str">
        <f aca="false">IF(NOT(ISNUMBER(Macro_Series!$C593)),"",Macro_Series!$C593)</f>
        <v/>
      </c>
      <c r="C593" s="6" t="str">
        <f aca="false">IF(NOT(ISNUMBER(Macro_Series!$E593)),"",Macro_Series!$E593)</f>
        <v/>
      </c>
      <c r="D593" s="7" t="str">
        <f aca="false">IF(OR(NOT(ISNUMBER($B593)),NOT(ISNUMBER($C593)),$C593=0),"",$B593/$C593)</f>
        <v/>
      </c>
      <c r="E593" s="7" t="str">
        <f aca="false">IF(NOT(ISNUMBER(Macro_Series!$H593)),"",Macro_Series!$H593)</f>
        <v/>
      </c>
      <c r="F593" s="7" t="str">
        <f aca="false">IF(OR(NOT(ISNUMBER($D593)),NOT(ISNUMBER($E593)),$E593=0),"",$D593/$E593)</f>
        <v/>
      </c>
      <c r="G593" s="8" t="str">
        <f aca="false">IF(OR(NOT(ISNUMBER($B593)),NOT(ISNUMBER($B348)),$B348=0),"",$B593/$B348-1)</f>
        <v/>
      </c>
      <c r="H593" s="8" t="str">
        <f aca="false">IF(OR(NOT(ISNUMBER($D593)),NOT(ISNUMBER($D348)),$D348=0),"",$D593/$D348-1)</f>
        <v/>
      </c>
      <c r="I593" s="8" t="str">
        <f aca="false">IF(OR(NOT(ISNUMBER($G593)),NOT(ISNUMBER($H593))),"",$G593-$H593)</f>
        <v/>
      </c>
    </row>
    <row r="594" customFormat="false" ht="15" hidden="false" customHeight="false" outlineLevel="0" collapsed="false">
      <c r="A594" s="5" t="str">
        <f aca="false">IF(NOT(ISNUMBER(Macro_Series!$A594)),"",Macro_Series!$A594)</f>
        <v/>
      </c>
      <c r="B594" s="6" t="str">
        <f aca="false">IF(NOT(ISNUMBER(Macro_Series!$C594)),"",Macro_Series!$C594)</f>
        <v/>
      </c>
      <c r="C594" s="6" t="str">
        <f aca="false">IF(NOT(ISNUMBER(Macro_Series!$E594)),"",Macro_Series!$E594)</f>
        <v/>
      </c>
      <c r="D594" s="7" t="str">
        <f aca="false">IF(OR(NOT(ISNUMBER($B594)),NOT(ISNUMBER($C594)),$C594=0),"",$B594/$C594)</f>
        <v/>
      </c>
      <c r="E594" s="7" t="str">
        <f aca="false">IF(NOT(ISNUMBER(Macro_Series!$H594)),"",Macro_Series!$H594)</f>
        <v/>
      </c>
      <c r="F594" s="7" t="str">
        <f aca="false">IF(OR(NOT(ISNUMBER($D594)),NOT(ISNUMBER($E594)),$E594=0),"",$D594/$E594)</f>
        <v/>
      </c>
      <c r="G594" s="8" t="str">
        <f aca="false">IF(OR(NOT(ISNUMBER($B594)),NOT(ISNUMBER($B349)),$B349=0),"",$B594/$B349-1)</f>
        <v/>
      </c>
      <c r="H594" s="8" t="str">
        <f aca="false">IF(OR(NOT(ISNUMBER($D594)),NOT(ISNUMBER($D349)),$D349=0),"",$D594/$D349-1)</f>
        <v/>
      </c>
      <c r="I594" s="8" t="str">
        <f aca="false">IF(OR(NOT(ISNUMBER($G594)),NOT(ISNUMBER($H594))),"",$G594-$H594)</f>
        <v/>
      </c>
    </row>
    <row r="595" customFormat="false" ht="15" hidden="false" customHeight="false" outlineLevel="0" collapsed="false">
      <c r="A595" s="5" t="str">
        <f aca="false">IF(NOT(ISNUMBER(Macro_Series!$A595)),"",Macro_Series!$A595)</f>
        <v/>
      </c>
      <c r="B595" s="6" t="str">
        <f aca="false">IF(NOT(ISNUMBER(Macro_Series!$C595)),"",Macro_Series!$C595)</f>
        <v/>
      </c>
      <c r="C595" s="6" t="str">
        <f aca="false">IF(NOT(ISNUMBER(Macro_Series!$E595)),"",Macro_Series!$E595)</f>
        <v/>
      </c>
      <c r="D595" s="7" t="str">
        <f aca="false">IF(OR(NOT(ISNUMBER($B595)),NOT(ISNUMBER($C595)),$C595=0),"",$B595/$C595)</f>
        <v/>
      </c>
      <c r="E595" s="7" t="str">
        <f aca="false">IF(NOT(ISNUMBER(Macro_Series!$H595)),"",Macro_Series!$H595)</f>
        <v/>
      </c>
      <c r="F595" s="7" t="str">
        <f aca="false">IF(OR(NOT(ISNUMBER($D595)),NOT(ISNUMBER($E595)),$E595=0),"",$D595/$E595)</f>
        <v/>
      </c>
      <c r="G595" s="8" t="str">
        <f aca="false">IF(OR(NOT(ISNUMBER($B595)),NOT(ISNUMBER($B350)),$B350=0),"",$B595/$B350-1)</f>
        <v/>
      </c>
      <c r="H595" s="8" t="str">
        <f aca="false">IF(OR(NOT(ISNUMBER($D595)),NOT(ISNUMBER($D350)),$D350=0),"",$D595/$D350-1)</f>
        <v/>
      </c>
      <c r="I595" s="8" t="str">
        <f aca="false">IF(OR(NOT(ISNUMBER($G595)),NOT(ISNUMBER($H595))),"",$G595-$H595)</f>
        <v/>
      </c>
    </row>
    <row r="596" customFormat="false" ht="15" hidden="false" customHeight="false" outlineLevel="0" collapsed="false">
      <c r="A596" s="5" t="str">
        <f aca="false">IF(NOT(ISNUMBER(Macro_Series!$A596)),"",Macro_Series!$A596)</f>
        <v/>
      </c>
      <c r="B596" s="6" t="str">
        <f aca="false">IF(NOT(ISNUMBER(Macro_Series!$C596)),"",Macro_Series!$C596)</f>
        <v/>
      </c>
      <c r="C596" s="6" t="str">
        <f aca="false">IF(NOT(ISNUMBER(Macro_Series!$E596)),"",Macro_Series!$E596)</f>
        <v/>
      </c>
      <c r="D596" s="7" t="str">
        <f aca="false">IF(OR(NOT(ISNUMBER($B596)),NOT(ISNUMBER($C596)),$C596=0),"",$B596/$C596)</f>
        <v/>
      </c>
      <c r="E596" s="7" t="str">
        <f aca="false">IF(NOT(ISNUMBER(Macro_Series!$H596)),"",Macro_Series!$H596)</f>
        <v/>
      </c>
      <c r="F596" s="7" t="str">
        <f aca="false">IF(OR(NOT(ISNUMBER($D596)),NOT(ISNUMBER($E596)),$E596=0),"",$D596/$E596)</f>
        <v/>
      </c>
      <c r="G596" s="8" t="str">
        <f aca="false">IF(OR(NOT(ISNUMBER($B596)),NOT(ISNUMBER($B351)),$B351=0),"",$B596/$B351-1)</f>
        <v/>
      </c>
      <c r="H596" s="8" t="str">
        <f aca="false">IF(OR(NOT(ISNUMBER($D596)),NOT(ISNUMBER($D351)),$D351=0),"",$D596/$D351-1)</f>
        <v/>
      </c>
      <c r="I596" s="8" t="str">
        <f aca="false">IF(OR(NOT(ISNUMBER($G596)),NOT(ISNUMBER($H596))),"",$G596-$H596)</f>
        <v/>
      </c>
    </row>
    <row r="597" customFormat="false" ht="15" hidden="false" customHeight="false" outlineLevel="0" collapsed="false">
      <c r="A597" s="5" t="str">
        <f aca="false">IF(NOT(ISNUMBER(Macro_Series!$A597)),"",Macro_Series!$A597)</f>
        <v/>
      </c>
      <c r="B597" s="6" t="str">
        <f aca="false">IF(NOT(ISNUMBER(Macro_Series!$C597)),"",Macro_Series!$C597)</f>
        <v/>
      </c>
      <c r="C597" s="6" t="str">
        <f aca="false">IF(NOT(ISNUMBER(Macro_Series!$E597)),"",Macro_Series!$E597)</f>
        <v/>
      </c>
      <c r="D597" s="7" t="str">
        <f aca="false">IF(OR(NOT(ISNUMBER($B597)),NOT(ISNUMBER($C597)),$C597=0),"",$B597/$C597)</f>
        <v/>
      </c>
      <c r="E597" s="7" t="str">
        <f aca="false">IF(NOT(ISNUMBER(Macro_Series!$H597)),"",Macro_Series!$H597)</f>
        <v/>
      </c>
      <c r="F597" s="7" t="str">
        <f aca="false">IF(OR(NOT(ISNUMBER($D597)),NOT(ISNUMBER($E597)),$E597=0),"",$D597/$E597)</f>
        <v/>
      </c>
      <c r="G597" s="8" t="str">
        <f aca="false">IF(OR(NOT(ISNUMBER($B597)),NOT(ISNUMBER($B352)),$B352=0),"",$B597/$B352-1)</f>
        <v/>
      </c>
      <c r="H597" s="8" t="str">
        <f aca="false">IF(OR(NOT(ISNUMBER($D597)),NOT(ISNUMBER($D352)),$D352=0),"",$D597/$D352-1)</f>
        <v/>
      </c>
      <c r="I597" s="8" t="str">
        <f aca="false">IF(OR(NOT(ISNUMBER($G597)),NOT(ISNUMBER($H597))),"",$G597-$H597)</f>
        <v/>
      </c>
    </row>
    <row r="598" customFormat="false" ht="15" hidden="false" customHeight="false" outlineLevel="0" collapsed="false">
      <c r="A598" s="5" t="str">
        <f aca="false">IF(NOT(ISNUMBER(Macro_Series!$A598)),"",Macro_Series!$A598)</f>
        <v/>
      </c>
      <c r="B598" s="6" t="str">
        <f aca="false">IF(NOT(ISNUMBER(Macro_Series!$C598)),"",Macro_Series!$C598)</f>
        <v/>
      </c>
      <c r="C598" s="6" t="str">
        <f aca="false">IF(NOT(ISNUMBER(Macro_Series!$E598)),"",Macro_Series!$E598)</f>
        <v/>
      </c>
      <c r="D598" s="7" t="str">
        <f aca="false">IF(OR(NOT(ISNUMBER($B598)),NOT(ISNUMBER($C598)),$C598=0),"",$B598/$C598)</f>
        <v/>
      </c>
      <c r="E598" s="7" t="str">
        <f aca="false">IF(NOT(ISNUMBER(Macro_Series!$H598)),"",Macro_Series!$H598)</f>
        <v/>
      </c>
      <c r="F598" s="7" t="str">
        <f aca="false">IF(OR(NOT(ISNUMBER($D598)),NOT(ISNUMBER($E598)),$E598=0),"",$D598/$E598)</f>
        <v/>
      </c>
      <c r="G598" s="8" t="str">
        <f aca="false">IF(OR(NOT(ISNUMBER($B598)),NOT(ISNUMBER($B353)),$B353=0),"",$B598/$B353-1)</f>
        <v/>
      </c>
      <c r="H598" s="8" t="str">
        <f aca="false">IF(OR(NOT(ISNUMBER($D598)),NOT(ISNUMBER($D353)),$D353=0),"",$D598/$D353-1)</f>
        <v/>
      </c>
      <c r="I598" s="8" t="str">
        <f aca="false">IF(OR(NOT(ISNUMBER($G598)),NOT(ISNUMBER($H598))),"",$G598-$H598)</f>
        <v/>
      </c>
    </row>
    <row r="599" customFormat="false" ht="15" hidden="false" customHeight="false" outlineLevel="0" collapsed="false">
      <c r="A599" s="5" t="str">
        <f aca="false">IF(NOT(ISNUMBER(Macro_Series!$A599)),"",Macro_Series!$A599)</f>
        <v/>
      </c>
      <c r="B599" s="6" t="str">
        <f aca="false">IF(NOT(ISNUMBER(Macro_Series!$C599)),"",Macro_Series!$C599)</f>
        <v/>
      </c>
      <c r="C599" s="6" t="str">
        <f aca="false">IF(NOT(ISNUMBER(Macro_Series!$E599)),"",Macro_Series!$E599)</f>
        <v/>
      </c>
      <c r="D599" s="7" t="str">
        <f aca="false">IF(OR(NOT(ISNUMBER($B599)),NOT(ISNUMBER($C599)),$C599=0),"",$B599/$C599)</f>
        <v/>
      </c>
      <c r="E599" s="7" t="str">
        <f aca="false">IF(NOT(ISNUMBER(Macro_Series!$H599)),"",Macro_Series!$H599)</f>
        <v/>
      </c>
      <c r="F599" s="7" t="str">
        <f aca="false">IF(OR(NOT(ISNUMBER($D599)),NOT(ISNUMBER($E599)),$E599=0),"",$D599/$E599)</f>
        <v/>
      </c>
      <c r="G599" s="8" t="str">
        <f aca="false">IF(OR(NOT(ISNUMBER($B599)),NOT(ISNUMBER($B354)),$B354=0),"",$B599/$B354-1)</f>
        <v/>
      </c>
      <c r="H599" s="8" t="str">
        <f aca="false">IF(OR(NOT(ISNUMBER($D599)),NOT(ISNUMBER($D354)),$D354=0),"",$D599/$D354-1)</f>
        <v/>
      </c>
      <c r="I599" s="8" t="str">
        <f aca="false">IF(OR(NOT(ISNUMBER($G599)),NOT(ISNUMBER($H599))),"",$G599-$H599)</f>
        <v/>
      </c>
    </row>
    <row r="600" customFormat="false" ht="15" hidden="false" customHeight="false" outlineLevel="0" collapsed="false">
      <c r="A600" s="5" t="str">
        <f aca="false">IF(NOT(ISNUMBER(Macro_Series!$A600)),"",Macro_Series!$A600)</f>
        <v/>
      </c>
      <c r="B600" s="6" t="str">
        <f aca="false">IF(NOT(ISNUMBER(Macro_Series!$C600)),"",Macro_Series!$C600)</f>
        <v/>
      </c>
      <c r="C600" s="6" t="str">
        <f aca="false">IF(NOT(ISNUMBER(Macro_Series!$E600)),"",Macro_Series!$E600)</f>
        <v/>
      </c>
      <c r="D600" s="7" t="str">
        <f aca="false">IF(OR(NOT(ISNUMBER($B600)),NOT(ISNUMBER($C600)),$C600=0),"",$B600/$C600)</f>
        <v/>
      </c>
      <c r="E600" s="7" t="str">
        <f aca="false">IF(NOT(ISNUMBER(Macro_Series!$H600)),"",Macro_Series!$H600)</f>
        <v/>
      </c>
      <c r="F600" s="7" t="str">
        <f aca="false">IF(OR(NOT(ISNUMBER($D600)),NOT(ISNUMBER($E600)),$E600=0),"",$D600/$E600)</f>
        <v/>
      </c>
      <c r="G600" s="8" t="str">
        <f aca="false">IF(OR(NOT(ISNUMBER($B600)),NOT(ISNUMBER($B355)),$B355=0),"",$B600/$B355-1)</f>
        <v/>
      </c>
      <c r="H600" s="8" t="str">
        <f aca="false">IF(OR(NOT(ISNUMBER($D600)),NOT(ISNUMBER($D355)),$D355=0),"",$D600/$D355-1)</f>
        <v/>
      </c>
      <c r="I600" s="8" t="str">
        <f aca="false">IF(OR(NOT(ISNUMBER($G600)),NOT(ISNUMBER($H600))),"",$G600-$H600)</f>
        <v/>
      </c>
    </row>
    <row r="601" customFormat="false" ht="15" hidden="false" customHeight="false" outlineLevel="0" collapsed="false">
      <c r="A601" s="5" t="str">
        <f aca="false">IF(NOT(ISNUMBER(Macro_Series!$A601)),"",Macro_Series!$A601)</f>
        <v/>
      </c>
      <c r="B601" s="6" t="str">
        <f aca="false">IF(NOT(ISNUMBER(Macro_Series!$C601)),"",Macro_Series!$C601)</f>
        <v/>
      </c>
      <c r="C601" s="6" t="str">
        <f aca="false">IF(NOT(ISNUMBER(Macro_Series!$E601)),"",Macro_Series!$E601)</f>
        <v/>
      </c>
      <c r="D601" s="7" t="str">
        <f aca="false">IF(OR(NOT(ISNUMBER($B601)),NOT(ISNUMBER($C601)),$C601=0),"",$B601/$C601)</f>
        <v/>
      </c>
      <c r="E601" s="7" t="str">
        <f aca="false">IF(NOT(ISNUMBER(Macro_Series!$H601)),"",Macro_Series!$H601)</f>
        <v/>
      </c>
      <c r="F601" s="7" t="str">
        <f aca="false">IF(OR(NOT(ISNUMBER($D601)),NOT(ISNUMBER($E601)),$E601=0),"",$D601/$E601)</f>
        <v/>
      </c>
      <c r="G601" s="8" t="str">
        <f aca="false">IF(OR(NOT(ISNUMBER($B601)),NOT(ISNUMBER($B356)),$B356=0),"",$B601/$B356-1)</f>
        <v/>
      </c>
      <c r="H601" s="8" t="str">
        <f aca="false">IF(OR(NOT(ISNUMBER($D601)),NOT(ISNUMBER($D356)),$D356=0),"",$D601/$D356-1)</f>
        <v/>
      </c>
      <c r="I601" s="8" t="str">
        <f aca="false">IF(OR(NOT(ISNUMBER($G601)),NOT(ISNUMBER($H601))),"",$G601-$H601)</f>
        <v/>
      </c>
    </row>
    <row r="602" customFormat="false" ht="15" hidden="false" customHeight="false" outlineLevel="0" collapsed="false">
      <c r="A602" s="5" t="str">
        <f aca="false">IF(NOT(ISNUMBER(Macro_Series!$A602)),"",Macro_Series!$A602)</f>
        <v/>
      </c>
      <c r="B602" s="6" t="str">
        <f aca="false">IF(NOT(ISNUMBER(Macro_Series!$C602)),"",Macro_Series!$C602)</f>
        <v/>
      </c>
      <c r="C602" s="6" t="str">
        <f aca="false">IF(NOT(ISNUMBER(Macro_Series!$E602)),"",Macro_Series!$E602)</f>
        <v/>
      </c>
      <c r="D602" s="7" t="str">
        <f aca="false">IF(OR(NOT(ISNUMBER($B602)),NOT(ISNUMBER($C602)),$C602=0),"",$B602/$C602)</f>
        <v/>
      </c>
      <c r="E602" s="7" t="str">
        <f aca="false">IF(NOT(ISNUMBER(Macro_Series!$H602)),"",Macro_Series!$H602)</f>
        <v/>
      </c>
      <c r="F602" s="7" t="str">
        <f aca="false">IF(OR(NOT(ISNUMBER($D602)),NOT(ISNUMBER($E602)),$E602=0),"",$D602/$E602)</f>
        <v/>
      </c>
      <c r="G602" s="8" t="str">
        <f aca="false">IF(OR(NOT(ISNUMBER($B602)),NOT(ISNUMBER($B357)),$B357=0),"",$B602/$B357-1)</f>
        <v/>
      </c>
      <c r="H602" s="8" t="str">
        <f aca="false">IF(OR(NOT(ISNUMBER($D602)),NOT(ISNUMBER($D357)),$D357=0),"",$D602/$D357-1)</f>
        <v/>
      </c>
      <c r="I602" s="8" t="str">
        <f aca="false">IF(OR(NOT(ISNUMBER($G602)),NOT(ISNUMBER($H602))),"",$G602-$H602)</f>
        <v/>
      </c>
    </row>
    <row r="603" customFormat="false" ht="15" hidden="false" customHeight="false" outlineLevel="0" collapsed="false">
      <c r="A603" s="5" t="str">
        <f aca="false">IF(NOT(ISNUMBER(Macro_Series!$A603)),"",Macro_Series!$A603)</f>
        <v/>
      </c>
      <c r="B603" s="6" t="str">
        <f aca="false">IF(NOT(ISNUMBER(Macro_Series!$C603)),"",Macro_Series!$C603)</f>
        <v/>
      </c>
      <c r="C603" s="6" t="str">
        <f aca="false">IF(NOT(ISNUMBER(Macro_Series!$E603)),"",Macro_Series!$E603)</f>
        <v/>
      </c>
      <c r="D603" s="7" t="str">
        <f aca="false">IF(OR(NOT(ISNUMBER($B603)),NOT(ISNUMBER($C603)),$C603=0),"",$B603/$C603)</f>
        <v/>
      </c>
      <c r="E603" s="7" t="str">
        <f aca="false">IF(NOT(ISNUMBER(Macro_Series!$H603)),"",Macro_Series!$H603)</f>
        <v/>
      </c>
      <c r="F603" s="7" t="str">
        <f aca="false">IF(OR(NOT(ISNUMBER($D603)),NOT(ISNUMBER($E603)),$E603=0),"",$D603/$E603)</f>
        <v/>
      </c>
      <c r="G603" s="8" t="str">
        <f aca="false">IF(OR(NOT(ISNUMBER($B603)),NOT(ISNUMBER($B358)),$B358=0),"",$B603/$B358-1)</f>
        <v/>
      </c>
      <c r="H603" s="8" t="str">
        <f aca="false">IF(OR(NOT(ISNUMBER($D603)),NOT(ISNUMBER($D358)),$D358=0),"",$D603/$D358-1)</f>
        <v/>
      </c>
      <c r="I603" s="8" t="str">
        <f aca="false">IF(OR(NOT(ISNUMBER($G603)),NOT(ISNUMBER($H603))),"",$G603-$H603)</f>
        <v/>
      </c>
    </row>
    <row r="604" customFormat="false" ht="15" hidden="false" customHeight="false" outlineLevel="0" collapsed="false">
      <c r="A604" s="5" t="str">
        <f aca="false">IF(NOT(ISNUMBER(Macro_Series!$A604)),"",Macro_Series!$A604)</f>
        <v/>
      </c>
      <c r="B604" s="6" t="str">
        <f aca="false">IF(NOT(ISNUMBER(Macro_Series!$C604)),"",Macro_Series!$C604)</f>
        <v/>
      </c>
      <c r="C604" s="6" t="str">
        <f aca="false">IF(NOT(ISNUMBER(Macro_Series!$E604)),"",Macro_Series!$E604)</f>
        <v/>
      </c>
      <c r="D604" s="7" t="str">
        <f aca="false">IF(OR(NOT(ISNUMBER($B604)),NOT(ISNUMBER($C604)),$C604=0),"",$B604/$C604)</f>
        <v/>
      </c>
      <c r="E604" s="7" t="str">
        <f aca="false">IF(NOT(ISNUMBER(Macro_Series!$H604)),"",Macro_Series!$H604)</f>
        <v/>
      </c>
      <c r="F604" s="7" t="str">
        <f aca="false">IF(OR(NOT(ISNUMBER($D604)),NOT(ISNUMBER($E604)),$E604=0),"",$D604/$E604)</f>
        <v/>
      </c>
      <c r="G604" s="8" t="str">
        <f aca="false">IF(OR(NOT(ISNUMBER($B604)),NOT(ISNUMBER($B359)),$B359=0),"",$B604/$B359-1)</f>
        <v/>
      </c>
      <c r="H604" s="8" t="str">
        <f aca="false">IF(OR(NOT(ISNUMBER($D604)),NOT(ISNUMBER($D359)),$D359=0),"",$D604/$D359-1)</f>
        <v/>
      </c>
      <c r="I604" s="8" t="str">
        <f aca="false">IF(OR(NOT(ISNUMBER($G604)),NOT(ISNUMBER($H604))),"",$G604-$H604)</f>
        <v/>
      </c>
    </row>
    <row r="605" customFormat="false" ht="15" hidden="false" customHeight="false" outlineLevel="0" collapsed="false">
      <c r="A605" s="5" t="str">
        <f aca="false">IF(NOT(ISNUMBER(Macro_Series!$A605)),"",Macro_Series!$A605)</f>
        <v/>
      </c>
      <c r="B605" s="6" t="str">
        <f aca="false">IF(NOT(ISNUMBER(Macro_Series!$C605)),"",Macro_Series!$C605)</f>
        <v/>
      </c>
      <c r="C605" s="6" t="str">
        <f aca="false">IF(NOT(ISNUMBER(Macro_Series!$E605)),"",Macro_Series!$E605)</f>
        <v/>
      </c>
      <c r="D605" s="7" t="str">
        <f aca="false">IF(OR(NOT(ISNUMBER($B605)),NOT(ISNUMBER($C605)),$C605=0),"",$B605/$C605)</f>
        <v/>
      </c>
      <c r="E605" s="7" t="str">
        <f aca="false">IF(NOT(ISNUMBER(Macro_Series!$H605)),"",Macro_Series!$H605)</f>
        <v/>
      </c>
      <c r="F605" s="7" t="str">
        <f aca="false">IF(OR(NOT(ISNUMBER($D605)),NOT(ISNUMBER($E605)),$E605=0),"",$D605/$E605)</f>
        <v/>
      </c>
      <c r="G605" s="8" t="str">
        <f aca="false">IF(OR(NOT(ISNUMBER($B605)),NOT(ISNUMBER($B360)),$B360=0),"",$B605/$B360-1)</f>
        <v/>
      </c>
      <c r="H605" s="8" t="str">
        <f aca="false">IF(OR(NOT(ISNUMBER($D605)),NOT(ISNUMBER($D360)),$D360=0),"",$D605/$D360-1)</f>
        <v/>
      </c>
      <c r="I605" s="8" t="str">
        <f aca="false">IF(OR(NOT(ISNUMBER($G605)),NOT(ISNUMBER($H605))),"",$G605-$H605)</f>
        <v/>
      </c>
    </row>
    <row r="606" customFormat="false" ht="15" hidden="false" customHeight="false" outlineLevel="0" collapsed="false">
      <c r="A606" s="5" t="str">
        <f aca="false">IF(NOT(ISNUMBER(Macro_Series!$A606)),"",Macro_Series!$A606)</f>
        <v/>
      </c>
      <c r="B606" s="6" t="str">
        <f aca="false">IF(NOT(ISNUMBER(Macro_Series!$C606)),"",Macro_Series!$C606)</f>
        <v/>
      </c>
      <c r="C606" s="6" t="str">
        <f aca="false">IF(NOT(ISNUMBER(Macro_Series!$E606)),"",Macro_Series!$E606)</f>
        <v/>
      </c>
      <c r="D606" s="7" t="str">
        <f aca="false">IF(OR(NOT(ISNUMBER($B606)),NOT(ISNUMBER($C606)),$C606=0),"",$B606/$C606)</f>
        <v/>
      </c>
      <c r="E606" s="7" t="str">
        <f aca="false">IF(NOT(ISNUMBER(Macro_Series!$H606)),"",Macro_Series!$H606)</f>
        <v/>
      </c>
      <c r="F606" s="7" t="str">
        <f aca="false">IF(OR(NOT(ISNUMBER($D606)),NOT(ISNUMBER($E606)),$E606=0),"",$D606/$E606)</f>
        <v/>
      </c>
      <c r="G606" s="8" t="str">
        <f aca="false">IF(OR(NOT(ISNUMBER($B606)),NOT(ISNUMBER($B361)),$B361=0),"",$B606/$B361-1)</f>
        <v/>
      </c>
      <c r="H606" s="8" t="str">
        <f aca="false">IF(OR(NOT(ISNUMBER($D606)),NOT(ISNUMBER($D361)),$D361=0),"",$D606/$D361-1)</f>
        <v/>
      </c>
      <c r="I606" s="8" t="str">
        <f aca="false">IF(OR(NOT(ISNUMBER($G606)),NOT(ISNUMBER($H606))),"",$G606-$H606)</f>
        <v/>
      </c>
    </row>
    <row r="607" customFormat="false" ht="15" hidden="false" customHeight="false" outlineLevel="0" collapsed="false">
      <c r="A607" s="5" t="str">
        <f aca="false">IF(NOT(ISNUMBER(Macro_Series!$A607)),"",Macro_Series!$A607)</f>
        <v/>
      </c>
      <c r="B607" s="6" t="str">
        <f aca="false">IF(NOT(ISNUMBER(Macro_Series!$C607)),"",Macro_Series!$C607)</f>
        <v/>
      </c>
      <c r="C607" s="6" t="str">
        <f aca="false">IF(NOT(ISNUMBER(Macro_Series!$E607)),"",Macro_Series!$E607)</f>
        <v/>
      </c>
      <c r="D607" s="7" t="str">
        <f aca="false">IF(OR(NOT(ISNUMBER($B607)),NOT(ISNUMBER($C607)),$C607=0),"",$B607/$C607)</f>
        <v/>
      </c>
      <c r="E607" s="7" t="str">
        <f aca="false">IF(NOT(ISNUMBER(Macro_Series!$H607)),"",Macro_Series!$H607)</f>
        <v/>
      </c>
      <c r="F607" s="7" t="str">
        <f aca="false">IF(OR(NOT(ISNUMBER($D607)),NOT(ISNUMBER($E607)),$E607=0),"",$D607/$E607)</f>
        <v/>
      </c>
      <c r="G607" s="8" t="str">
        <f aca="false">IF(OR(NOT(ISNUMBER($B607)),NOT(ISNUMBER($B362)),$B362=0),"",$B607/$B362-1)</f>
        <v/>
      </c>
      <c r="H607" s="8" t="str">
        <f aca="false">IF(OR(NOT(ISNUMBER($D607)),NOT(ISNUMBER($D362)),$D362=0),"",$D607/$D362-1)</f>
        <v/>
      </c>
      <c r="I607" s="8" t="str">
        <f aca="false">IF(OR(NOT(ISNUMBER($G607)),NOT(ISNUMBER($H607))),"",$G607-$H607)</f>
        <v/>
      </c>
    </row>
    <row r="608" customFormat="false" ht="15" hidden="false" customHeight="false" outlineLevel="0" collapsed="false">
      <c r="A608" s="5" t="str">
        <f aca="false">IF(NOT(ISNUMBER(Macro_Series!$A608)),"",Macro_Series!$A608)</f>
        <v/>
      </c>
      <c r="B608" s="6" t="str">
        <f aca="false">IF(NOT(ISNUMBER(Macro_Series!$C608)),"",Macro_Series!$C608)</f>
        <v/>
      </c>
      <c r="C608" s="6" t="str">
        <f aca="false">IF(NOT(ISNUMBER(Macro_Series!$E608)),"",Macro_Series!$E608)</f>
        <v/>
      </c>
      <c r="D608" s="7" t="str">
        <f aca="false">IF(OR(NOT(ISNUMBER($B608)),NOT(ISNUMBER($C608)),$C608=0),"",$B608/$C608)</f>
        <v/>
      </c>
      <c r="E608" s="7" t="str">
        <f aca="false">IF(NOT(ISNUMBER(Macro_Series!$H608)),"",Macro_Series!$H608)</f>
        <v/>
      </c>
      <c r="F608" s="7" t="str">
        <f aca="false">IF(OR(NOT(ISNUMBER($D608)),NOT(ISNUMBER($E608)),$E608=0),"",$D608/$E608)</f>
        <v/>
      </c>
      <c r="G608" s="8" t="str">
        <f aca="false">IF(OR(NOT(ISNUMBER($B608)),NOT(ISNUMBER($B363)),$B363=0),"",$B608/$B363-1)</f>
        <v/>
      </c>
      <c r="H608" s="8" t="str">
        <f aca="false">IF(OR(NOT(ISNUMBER($D608)),NOT(ISNUMBER($D363)),$D363=0),"",$D608/$D363-1)</f>
        <v/>
      </c>
      <c r="I608" s="8" t="str">
        <f aca="false">IF(OR(NOT(ISNUMBER($G608)),NOT(ISNUMBER($H608))),"",$G608-$H608)</f>
        <v/>
      </c>
    </row>
    <row r="609" customFormat="false" ht="15" hidden="false" customHeight="false" outlineLevel="0" collapsed="false">
      <c r="A609" s="5" t="str">
        <f aca="false">IF(NOT(ISNUMBER(Macro_Series!$A609)),"",Macro_Series!$A609)</f>
        <v/>
      </c>
      <c r="B609" s="6" t="str">
        <f aca="false">IF(NOT(ISNUMBER(Macro_Series!$C609)),"",Macro_Series!$C609)</f>
        <v/>
      </c>
      <c r="C609" s="6" t="str">
        <f aca="false">IF(NOT(ISNUMBER(Macro_Series!$E609)),"",Macro_Series!$E609)</f>
        <v/>
      </c>
      <c r="D609" s="7" t="str">
        <f aca="false">IF(OR(NOT(ISNUMBER($B609)),NOT(ISNUMBER($C609)),$C609=0),"",$B609/$C609)</f>
        <v/>
      </c>
      <c r="E609" s="7" t="str">
        <f aca="false">IF(NOT(ISNUMBER(Macro_Series!$H609)),"",Macro_Series!$H609)</f>
        <v/>
      </c>
      <c r="F609" s="7" t="str">
        <f aca="false">IF(OR(NOT(ISNUMBER($D609)),NOT(ISNUMBER($E609)),$E609=0),"",$D609/$E609)</f>
        <v/>
      </c>
      <c r="G609" s="8" t="str">
        <f aca="false">IF(OR(NOT(ISNUMBER($B609)),NOT(ISNUMBER($B364)),$B364=0),"",$B609/$B364-1)</f>
        <v/>
      </c>
      <c r="H609" s="8" t="str">
        <f aca="false">IF(OR(NOT(ISNUMBER($D609)),NOT(ISNUMBER($D364)),$D364=0),"",$D609/$D364-1)</f>
        <v/>
      </c>
      <c r="I609" s="8" t="str">
        <f aca="false">IF(OR(NOT(ISNUMBER($G609)),NOT(ISNUMBER($H609))),"",$G609-$H609)</f>
        <v/>
      </c>
    </row>
    <row r="610" customFormat="false" ht="15" hidden="false" customHeight="false" outlineLevel="0" collapsed="false">
      <c r="A610" s="5" t="str">
        <f aca="false">IF(NOT(ISNUMBER(Macro_Series!$A610)),"",Macro_Series!$A610)</f>
        <v/>
      </c>
      <c r="B610" s="6" t="str">
        <f aca="false">IF(NOT(ISNUMBER(Macro_Series!$C610)),"",Macro_Series!$C610)</f>
        <v/>
      </c>
      <c r="C610" s="6" t="str">
        <f aca="false">IF(NOT(ISNUMBER(Macro_Series!$E610)),"",Macro_Series!$E610)</f>
        <v/>
      </c>
      <c r="D610" s="7" t="str">
        <f aca="false">IF(OR(NOT(ISNUMBER($B610)),NOT(ISNUMBER($C610)),$C610=0),"",$B610/$C610)</f>
        <v/>
      </c>
      <c r="E610" s="7" t="str">
        <f aca="false">IF(NOT(ISNUMBER(Macro_Series!$H610)),"",Macro_Series!$H610)</f>
        <v/>
      </c>
      <c r="F610" s="7" t="str">
        <f aca="false">IF(OR(NOT(ISNUMBER($D610)),NOT(ISNUMBER($E610)),$E610=0),"",$D610/$E610)</f>
        <v/>
      </c>
      <c r="G610" s="8" t="str">
        <f aca="false">IF(OR(NOT(ISNUMBER($B610)),NOT(ISNUMBER($B365)),$B365=0),"",$B610/$B365-1)</f>
        <v/>
      </c>
      <c r="H610" s="8" t="str">
        <f aca="false">IF(OR(NOT(ISNUMBER($D610)),NOT(ISNUMBER($D365)),$D365=0),"",$D610/$D365-1)</f>
        <v/>
      </c>
      <c r="I610" s="8" t="str">
        <f aca="false">IF(OR(NOT(ISNUMBER($G610)),NOT(ISNUMBER($H610))),"",$G610-$H610)</f>
        <v/>
      </c>
    </row>
    <row r="611" customFormat="false" ht="15" hidden="false" customHeight="false" outlineLevel="0" collapsed="false">
      <c r="A611" s="5" t="str">
        <f aca="false">IF(NOT(ISNUMBER(Macro_Series!$A611)),"",Macro_Series!$A611)</f>
        <v/>
      </c>
      <c r="B611" s="6" t="str">
        <f aca="false">IF(NOT(ISNUMBER(Macro_Series!$C611)),"",Macro_Series!$C611)</f>
        <v/>
      </c>
      <c r="C611" s="6" t="str">
        <f aca="false">IF(NOT(ISNUMBER(Macro_Series!$E611)),"",Macro_Series!$E611)</f>
        <v/>
      </c>
      <c r="D611" s="7" t="str">
        <f aca="false">IF(OR(NOT(ISNUMBER($B611)),NOT(ISNUMBER($C611)),$C611=0),"",$B611/$C611)</f>
        <v/>
      </c>
      <c r="E611" s="7" t="str">
        <f aca="false">IF(NOT(ISNUMBER(Macro_Series!$H611)),"",Macro_Series!$H611)</f>
        <v/>
      </c>
      <c r="F611" s="7" t="str">
        <f aca="false">IF(OR(NOT(ISNUMBER($D611)),NOT(ISNUMBER($E611)),$E611=0),"",$D611/$E611)</f>
        <v/>
      </c>
      <c r="G611" s="8" t="str">
        <f aca="false">IF(OR(NOT(ISNUMBER($B611)),NOT(ISNUMBER($B366)),$B366=0),"",$B611/$B366-1)</f>
        <v/>
      </c>
      <c r="H611" s="8" t="str">
        <f aca="false">IF(OR(NOT(ISNUMBER($D611)),NOT(ISNUMBER($D366)),$D366=0),"",$D611/$D366-1)</f>
        <v/>
      </c>
      <c r="I611" s="8" t="str">
        <f aca="false">IF(OR(NOT(ISNUMBER($G611)),NOT(ISNUMBER($H611))),"",$G611-$H611)</f>
        <v/>
      </c>
    </row>
    <row r="612" customFormat="false" ht="15" hidden="false" customHeight="false" outlineLevel="0" collapsed="false">
      <c r="A612" s="5" t="str">
        <f aca="false">IF(NOT(ISNUMBER(Macro_Series!$A612)),"",Macro_Series!$A612)</f>
        <v/>
      </c>
      <c r="B612" s="6" t="str">
        <f aca="false">IF(NOT(ISNUMBER(Macro_Series!$C612)),"",Macro_Series!$C612)</f>
        <v/>
      </c>
      <c r="C612" s="6" t="str">
        <f aca="false">IF(NOT(ISNUMBER(Macro_Series!$E612)),"",Macro_Series!$E612)</f>
        <v/>
      </c>
      <c r="D612" s="7" t="str">
        <f aca="false">IF(OR(NOT(ISNUMBER($B612)),NOT(ISNUMBER($C612)),$C612=0),"",$B612/$C612)</f>
        <v/>
      </c>
      <c r="E612" s="7" t="str">
        <f aca="false">IF(NOT(ISNUMBER(Macro_Series!$H612)),"",Macro_Series!$H612)</f>
        <v/>
      </c>
      <c r="F612" s="7" t="str">
        <f aca="false">IF(OR(NOT(ISNUMBER($D612)),NOT(ISNUMBER($E612)),$E612=0),"",$D612/$E612)</f>
        <v/>
      </c>
      <c r="G612" s="8" t="str">
        <f aca="false">IF(OR(NOT(ISNUMBER($B612)),NOT(ISNUMBER($B367)),$B367=0),"",$B612/$B367-1)</f>
        <v/>
      </c>
      <c r="H612" s="8" t="str">
        <f aca="false">IF(OR(NOT(ISNUMBER($D612)),NOT(ISNUMBER($D367)),$D367=0),"",$D612/$D367-1)</f>
        <v/>
      </c>
      <c r="I612" s="8" t="str">
        <f aca="false">IF(OR(NOT(ISNUMBER($G612)),NOT(ISNUMBER($H612))),"",$G612-$H612)</f>
        <v/>
      </c>
    </row>
    <row r="613" customFormat="false" ht="15" hidden="false" customHeight="false" outlineLevel="0" collapsed="false">
      <c r="A613" s="5" t="str">
        <f aca="false">IF(NOT(ISNUMBER(Macro_Series!$A613)),"",Macro_Series!$A613)</f>
        <v/>
      </c>
      <c r="B613" s="6" t="str">
        <f aca="false">IF(NOT(ISNUMBER(Macro_Series!$C613)),"",Macro_Series!$C613)</f>
        <v/>
      </c>
      <c r="C613" s="6" t="str">
        <f aca="false">IF(NOT(ISNUMBER(Macro_Series!$E613)),"",Macro_Series!$E613)</f>
        <v/>
      </c>
      <c r="D613" s="7" t="str">
        <f aca="false">IF(OR(NOT(ISNUMBER($B613)),NOT(ISNUMBER($C613)),$C613=0),"",$B613/$C613)</f>
        <v/>
      </c>
      <c r="E613" s="7" t="str">
        <f aca="false">IF(NOT(ISNUMBER(Macro_Series!$H613)),"",Macro_Series!$H613)</f>
        <v/>
      </c>
      <c r="F613" s="7" t="str">
        <f aca="false">IF(OR(NOT(ISNUMBER($D613)),NOT(ISNUMBER($E613)),$E613=0),"",$D613/$E613)</f>
        <v/>
      </c>
      <c r="G613" s="8" t="str">
        <f aca="false">IF(OR(NOT(ISNUMBER($B613)),NOT(ISNUMBER($B368)),$B368=0),"",$B613/$B368-1)</f>
        <v/>
      </c>
      <c r="H613" s="8" t="str">
        <f aca="false">IF(OR(NOT(ISNUMBER($D613)),NOT(ISNUMBER($D368)),$D368=0),"",$D613/$D368-1)</f>
        <v/>
      </c>
      <c r="I613" s="8" t="str">
        <f aca="false">IF(OR(NOT(ISNUMBER($G613)),NOT(ISNUMBER($H613))),"",$G613-$H613)</f>
        <v/>
      </c>
    </row>
    <row r="614" customFormat="false" ht="15" hidden="false" customHeight="false" outlineLevel="0" collapsed="false">
      <c r="A614" s="5" t="str">
        <f aca="false">IF(NOT(ISNUMBER(Macro_Series!$A614)),"",Macro_Series!$A614)</f>
        <v/>
      </c>
      <c r="B614" s="6" t="str">
        <f aca="false">IF(NOT(ISNUMBER(Macro_Series!$C614)),"",Macro_Series!$C614)</f>
        <v/>
      </c>
      <c r="C614" s="6" t="str">
        <f aca="false">IF(NOT(ISNUMBER(Macro_Series!$E614)),"",Macro_Series!$E614)</f>
        <v/>
      </c>
      <c r="D614" s="7" t="str">
        <f aca="false">IF(OR(NOT(ISNUMBER($B614)),NOT(ISNUMBER($C614)),$C614=0),"",$B614/$C614)</f>
        <v/>
      </c>
      <c r="E614" s="7" t="str">
        <f aca="false">IF(NOT(ISNUMBER(Macro_Series!$H614)),"",Macro_Series!$H614)</f>
        <v/>
      </c>
      <c r="F614" s="7" t="str">
        <f aca="false">IF(OR(NOT(ISNUMBER($D614)),NOT(ISNUMBER($E614)),$E614=0),"",$D614/$E614)</f>
        <v/>
      </c>
      <c r="G614" s="8" t="str">
        <f aca="false">IF(OR(NOT(ISNUMBER($B614)),NOT(ISNUMBER($B369)),$B369=0),"",$B614/$B369-1)</f>
        <v/>
      </c>
      <c r="H614" s="8" t="str">
        <f aca="false">IF(OR(NOT(ISNUMBER($D614)),NOT(ISNUMBER($D369)),$D369=0),"",$D614/$D369-1)</f>
        <v/>
      </c>
      <c r="I614" s="8" t="str">
        <f aca="false">IF(OR(NOT(ISNUMBER($G614)),NOT(ISNUMBER($H614))),"",$G614-$H614)</f>
        <v/>
      </c>
    </row>
    <row r="615" customFormat="false" ht="15" hidden="false" customHeight="false" outlineLevel="0" collapsed="false">
      <c r="A615" s="5" t="str">
        <f aca="false">IF(NOT(ISNUMBER(Macro_Series!$A615)),"",Macro_Series!$A615)</f>
        <v/>
      </c>
      <c r="B615" s="6" t="str">
        <f aca="false">IF(NOT(ISNUMBER(Macro_Series!$C615)),"",Macro_Series!$C615)</f>
        <v/>
      </c>
      <c r="C615" s="6" t="str">
        <f aca="false">IF(NOT(ISNUMBER(Macro_Series!$E615)),"",Macro_Series!$E615)</f>
        <v/>
      </c>
      <c r="D615" s="7" t="str">
        <f aca="false">IF(OR(NOT(ISNUMBER($B615)),NOT(ISNUMBER($C615)),$C615=0),"",$B615/$C615)</f>
        <v/>
      </c>
      <c r="E615" s="7" t="str">
        <f aca="false">IF(NOT(ISNUMBER(Macro_Series!$H615)),"",Macro_Series!$H615)</f>
        <v/>
      </c>
      <c r="F615" s="7" t="str">
        <f aca="false">IF(OR(NOT(ISNUMBER($D615)),NOT(ISNUMBER($E615)),$E615=0),"",$D615/$E615)</f>
        <v/>
      </c>
      <c r="G615" s="8" t="str">
        <f aca="false">IF(OR(NOT(ISNUMBER($B615)),NOT(ISNUMBER($B370)),$B370=0),"",$B615/$B370-1)</f>
        <v/>
      </c>
      <c r="H615" s="8" t="str">
        <f aca="false">IF(OR(NOT(ISNUMBER($D615)),NOT(ISNUMBER($D370)),$D370=0),"",$D615/$D370-1)</f>
        <v/>
      </c>
      <c r="I615" s="8" t="str">
        <f aca="false">IF(OR(NOT(ISNUMBER($G615)),NOT(ISNUMBER($H615))),"",$G615-$H615)</f>
        <v/>
      </c>
    </row>
    <row r="616" customFormat="false" ht="15" hidden="false" customHeight="false" outlineLevel="0" collapsed="false">
      <c r="A616" s="5" t="str">
        <f aca="false">IF(NOT(ISNUMBER(Macro_Series!$A616)),"",Macro_Series!$A616)</f>
        <v/>
      </c>
      <c r="B616" s="6" t="str">
        <f aca="false">IF(NOT(ISNUMBER(Macro_Series!$C616)),"",Macro_Series!$C616)</f>
        <v/>
      </c>
      <c r="C616" s="6" t="str">
        <f aca="false">IF(NOT(ISNUMBER(Macro_Series!$E616)),"",Macro_Series!$E616)</f>
        <v/>
      </c>
      <c r="D616" s="7" t="str">
        <f aca="false">IF(OR(NOT(ISNUMBER($B616)),NOT(ISNUMBER($C616)),$C616=0),"",$B616/$C616)</f>
        <v/>
      </c>
      <c r="E616" s="7" t="str">
        <f aca="false">IF(NOT(ISNUMBER(Macro_Series!$H616)),"",Macro_Series!$H616)</f>
        <v/>
      </c>
      <c r="F616" s="7" t="str">
        <f aca="false">IF(OR(NOT(ISNUMBER($D616)),NOT(ISNUMBER($E616)),$E616=0),"",$D616/$E616)</f>
        <v/>
      </c>
      <c r="G616" s="8" t="str">
        <f aca="false">IF(OR(NOT(ISNUMBER($B616)),NOT(ISNUMBER($B371)),$B371=0),"",$B616/$B371-1)</f>
        <v/>
      </c>
      <c r="H616" s="8" t="str">
        <f aca="false">IF(OR(NOT(ISNUMBER($D616)),NOT(ISNUMBER($D371)),$D371=0),"",$D616/$D371-1)</f>
        <v/>
      </c>
      <c r="I616" s="8" t="str">
        <f aca="false">IF(OR(NOT(ISNUMBER($G616)),NOT(ISNUMBER($H616))),"",$G616-$H616)</f>
        <v/>
      </c>
    </row>
    <row r="617" customFormat="false" ht="15" hidden="false" customHeight="false" outlineLevel="0" collapsed="false">
      <c r="A617" s="5" t="str">
        <f aca="false">IF(NOT(ISNUMBER(Macro_Series!$A617)),"",Macro_Series!$A617)</f>
        <v/>
      </c>
      <c r="B617" s="6" t="str">
        <f aca="false">IF(NOT(ISNUMBER(Macro_Series!$C617)),"",Macro_Series!$C617)</f>
        <v/>
      </c>
      <c r="C617" s="6" t="str">
        <f aca="false">IF(NOT(ISNUMBER(Macro_Series!$E617)),"",Macro_Series!$E617)</f>
        <v/>
      </c>
      <c r="D617" s="7" t="str">
        <f aca="false">IF(OR(NOT(ISNUMBER($B617)),NOT(ISNUMBER($C617)),$C617=0),"",$B617/$C617)</f>
        <v/>
      </c>
      <c r="E617" s="7" t="str">
        <f aca="false">IF(NOT(ISNUMBER(Macro_Series!$H617)),"",Macro_Series!$H617)</f>
        <v/>
      </c>
      <c r="F617" s="7" t="str">
        <f aca="false">IF(OR(NOT(ISNUMBER($D617)),NOT(ISNUMBER($E617)),$E617=0),"",$D617/$E617)</f>
        <v/>
      </c>
      <c r="G617" s="8" t="str">
        <f aca="false">IF(OR(NOT(ISNUMBER($B617)),NOT(ISNUMBER($B372)),$B372=0),"",$B617/$B372-1)</f>
        <v/>
      </c>
      <c r="H617" s="8" t="str">
        <f aca="false">IF(OR(NOT(ISNUMBER($D617)),NOT(ISNUMBER($D372)),$D372=0),"",$D617/$D372-1)</f>
        <v/>
      </c>
      <c r="I617" s="8" t="str">
        <f aca="false">IF(OR(NOT(ISNUMBER($G617)),NOT(ISNUMBER($H617))),"",$G617-$H617)</f>
        <v/>
      </c>
    </row>
    <row r="618" customFormat="false" ht="15" hidden="false" customHeight="false" outlineLevel="0" collapsed="false">
      <c r="A618" s="5" t="str">
        <f aca="false">IF(NOT(ISNUMBER(Macro_Series!$A618)),"",Macro_Series!$A618)</f>
        <v/>
      </c>
      <c r="B618" s="6" t="str">
        <f aca="false">IF(NOT(ISNUMBER(Macro_Series!$C618)),"",Macro_Series!$C618)</f>
        <v/>
      </c>
      <c r="C618" s="6" t="str">
        <f aca="false">IF(NOT(ISNUMBER(Macro_Series!$E618)),"",Macro_Series!$E618)</f>
        <v/>
      </c>
      <c r="D618" s="7" t="str">
        <f aca="false">IF(OR(NOT(ISNUMBER($B618)),NOT(ISNUMBER($C618)),$C618=0),"",$B618/$C618)</f>
        <v/>
      </c>
      <c r="E618" s="7" t="str">
        <f aca="false">IF(NOT(ISNUMBER(Macro_Series!$H618)),"",Macro_Series!$H618)</f>
        <v/>
      </c>
      <c r="F618" s="7" t="str">
        <f aca="false">IF(OR(NOT(ISNUMBER($D618)),NOT(ISNUMBER($E618)),$E618=0),"",$D618/$E618)</f>
        <v/>
      </c>
      <c r="G618" s="8" t="str">
        <f aca="false">IF(OR(NOT(ISNUMBER($B618)),NOT(ISNUMBER($B373)),$B373=0),"",$B618/$B373-1)</f>
        <v/>
      </c>
      <c r="H618" s="8" t="str">
        <f aca="false">IF(OR(NOT(ISNUMBER($D618)),NOT(ISNUMBER($D373)),$D373=0),"",$D618/$D373-1)</f>
        <v/>
      </c>
      <c r="I618" s="8" t="str">
        <f aca="false">IF(OR(NOT(ISNUMBER($G618)),NOT(ISNUMBER($H618))),"",$G618-$H618)</f>
        <v/>
      </c>
    </row>
    <row r="619" customFormat="false" ht="15" hidden="false" customHeight="false" outlineLevel="0" collapsed="false">
      <c r="A619" s="5" t="str">
        <f aca="false">IF(NOT(ISNUMBER(Macro_Series!$A619)),"",Macro_Series!$A619)</f>
        <v/>
      </c>
      <c r="B619" s="6" t="str">
        <f aca="false">IF(NOT(ISNUMBER(Macro_Series!$C619)),"",Macro_Series!$C619)</f>
        <v/>
      </c>
      <c r="C619" s="6" t="str">
        <f aca="false">IF(NOT(ISNUMBER(Macro_Series!$E619)),"",Macro_Series!$E619)</f>
        <v/>
      </c>
      <c r="D619" s="7" t="str">
        <f aca="false">IF(OR(NOT(ISNUMBER($B619)),NOT(ISNUMBER($C619)),$C619=0),"",$B619/$C619)</f>
        <v/>
      </c>
      <c r="E619" s="7" t="str">
        <f aca="false">IF(NOT(ISNUMBER(Macro_Series!$H619)),"",Macro_Series!$H619)</f>
        <v/>
      </c>
      <c r="F619" s="7" t="str">
        <f aca="false">IF(OR(NOT(ISNUMBER($D619)),NOT(ISNUMBER($E619)),$E619=0),"",$D619/$E619)</f>
        <v/>
      </c>
      <c r="G619" s="8" t="str">
        <f aca="false">IF(OR(NOT(ISNUMBER($B619)),NOT(ISNUMBER($B374)),$B374=0),"",$B619/$B374-1)</f>
        <v/>
      </c>
      <c r="H619" s="8" t="str">
        <f aca="false">IF(OR(NOT(ISNUMBER($D619)),NOT(ISNUMBER($D374)),$D374=0),"",$D619/$D374-1)</f>
        <v/>
      </c>
      <c r="I619" s="8" t="str">
        <f aca="false">IF(OR(NOT(ISNUMBER($G619)),NOT(ISNUMBER($H619))),"",$G619-$H619)</f>
        <v/>
      </c>
    </row>
    <row r="620" customFormat="false" ht="15" hidden="false" customHeight="false" outlineLevel="0" collapsed="false">
      <c r="A620" s="5" t="str">
        <f aca="false">IF(NOT(ISNUMBER(Macro_Series!$A620)),"",Macro_Series!$A620)</f>
        <v/>
      </c>
      <c r="B620" s="6" t="str">
        <f aca="false">IF(NOT(ISNUMBER(Macro_Series!$C620)),"",Macro_Series!$C620)</f>
        <v/>
      </c>
      <c r="C620" s="6" t="str">
        <f aca="false">IF(NOT(ISNUMBER(Macro_Series!$E620)),"",Macro_Series!$E620)</f>
        <v/>
      </c>
      <c r="D620" s="7" t="str">
        <f aca="false">IF(OR(NOT(ISNUMBER($B620)),NOT(ISNUMBER($C620)),$C620=0),"",$B620/$C620)</f>
        <v/>
      </c>
      <c r="E620" s="7" t="str">
        <f aca="false">IF(NOT(ISNUMBER(Macro_Series!$H620)),"",Macro_Series!$H620)</f>
        <v/>
      </c>
      <c r="F620" s="7" t="str">
        <f aca="false">IF(OR(NOT(ISNUMBER($D620)),NOT(ISNUMBER($E620)),$E620=0),"",$D620/$E620)</f>
        <v/>
      </c>
      <c r="G620" s="8" t="str">
        <f aca="false">IF(OR(NOT(ISNUMBER($B620)),NOT(ISNUMBER($B375)),$B375=0),"",$B620/$B375-1)</f>
        <v/>
      </c>
      <c r="H620" s="8" t="str">
        <f aca="false">IF(OR(NOT(ISNUMBER($D620)),NOT(ISNUMBER($D375)),$D375=0),"",$D620/$D375-1)</f>
        <v/>
      </c>
      <c r="I620" s="8" t="str">
        <f aca="false">IF(OR(NOT(ISNUMBER($G620)),NOT(ISNUMBER($H620))),"",$G620-$H620)</f>
        <v/>
      </c>
    </row>
    <row r="621" customFormat="false" ht="15" hidden="false" customHeight="false" outlineLevel="0" collapsed="false">
      <c r="A621" s="5" t="str">
        <f aca="false">IF(NOT(ISNUMBER(Macro_Series!$A621)),"",Macro_Series!$A621)</f>
        <v/>
      </c>
      <c r="B621" s="6" t="str">
        <f aca="false">IF(NOT(ISNUMBER(Macro_Series!$C621)),"",Macro_Series!$C621)</f>
        <v/>
      </c>
      <c r="C621" s="6" t="str">
        <f aca="false">IF(NOT(ISNUMBER(Macro_Series!$E621)),"",Macro_Series!$E621)</f>
        <v/>
      </c>
      <c r="D621" s="7" t="str">
        <f aca="false">IF(OR(NOT(ISNUMBER($B621)),NOT(ISNUMBER($C621)),$C621=0),"",$B621/$C621)</f>
        <v/>
      </c>
      <c r="E621" s="7" t="str">
        <f aca="false">IF(NOT(ISNUMBER(Macro_Series!$H621)),"",Macro_Series!$H621)</f>
        <v/>
      </c>
      <c r="F621" s="7" t="str">
        <f aca="false">IF(OR(NOT(ISNUMBER($D621)),NOT(ISNUMBER($E621)),$E621=0),"",$D621/$E621)</f>
        <v/>
      </c>
      <c r="G621" s="8" t="str">
        <f aca="false">IF(OR(NOT(ISNUMBER($B621)),NOT(ISNUMBER($B376)),$B376=0),"",$B621/$B376-1)</f>
        <v/>
      </c>
      <c r="H621" s="8" t="str">
        <f aca="false">IF(OR(NOT(ISNUMBER($D621)),NOT(ISNUMBER($D376)),$D376=0),"",$D621/$D376-1)</f>
        <v/>
      </c>
      <c r="I621" s="8" t="str">
        <f aca="false">IF(OR(NOT(ISNUMBER($G621)),NOT(ISNUMBER($H621))),"",$G621-$H621)</f>
        <v/>
      </c>
    </row>
    <row r="622" customFormat="false" ht="15" hidden="false" customHeight="false" outlineLevel="0" collapsed="false">
      <c r="A622" s="5" t="str">
        <f aca="false">IF(NOT(ISNUMBER(Macro_Series!$A622)),"",Macro_Series!$A622)</f>
        <v/>
      </c>
      <c r="B622" s="6" t="str">
        <f aca="false">IF(NOT(ISNUMBER(Macro_Series!$C622)),"",Macro_Series!$C622)</f>
        <v/>
      </c>
      <c r="C622" s="6" t="str">
        <f aca="false">IF(NOT(ISNUMBER(Macro_Series!$E622)),"",Macro_Series!$E622)</f>
        <v/>
      </c>
      <c r="D622" s="7" t="str">
        <f aca="false">IF(OR(NOT(ISNUMBER($B622)),NOT(ISNUMBER($C622)),$C622=0),"",$B622/$C622)</f>
        <v/>
      </c>
      <c r="E622" s="7" t="str">
        <f aca="false">IF(NOT(ISNUMBER(Macro_Series!$H622)),"",Macro_Series!$H622)</f>
        <v/>
      </c>
      <c r="F622" s="7" t="str">
        <f aca="false">IF(OR(NOT(ISNUMBER($D622)),NOT(ISNUMBER($E622)),$E622=0),"",$D622/$E622)</f>
        <v/>
      </c>
      <c r="G622" s="8" t="str">
        <f aca="false">IF(OR(NOT(ISNUMBER($B622)),NOT(ISNUMBER($B377)),$B377=0),"",$B622/$B377-1)</f>
        <v/>
      </c>
      <c r="H622" s="8" t="str">
        <f aca="false">IF(OR(NOT(ISNUMBER($D622)),NOT(ISNUMBER($D377)),$D377=0),"",$D622/$D377-1)</f>
        <v/>
      </c>
      <c r="I622" s="8" t="str">
        <f aca="false">IF(OR(NOT(ISNUMBER($G622)),NOT(ISNUMBER($H622))),"",$G622-$H622)</f>
        <v/>
      </c>
    </row>
    <row r="623" customFormat="false" ht="15" hidden="false" customHeight="false" outlineLevel="0" collapsed="false">
      <c r="A623" s="5" t="str">
        <f aca="false">IF(NOT(ISNUMBER(Macro_Series!$A623)),"",Macro_Series!$A623)</f>
        <v/>
      </c>
      <c r="B623" s="6" t="str">
        <f aca="false">IF(NOT(ISNUMBER(Macro_Series!$C623)),"",Macro_Series!$C623)</f>
        <v/>
      </c>
      <c r="C623" s="6" t="str">
        <f aca="false">IF(NOT(ISNUMBER(Macro_Series!$E623)),"",Macro_Series!$E623)</f>
        <v/>
      </c>
      <c r="D623" s="7" t="str">
        <f aca="false">IF(OR(NOT(ISNUMBER($B623)),NOT(ISNUMBER($C623)),$C623=0),"",$B623/$C623)</f>
        <v/>
      </c>
      <c r="E623" s="7" t="str">
        <f aca="false">IF(NOT(ISNUMBER(Macro_Series!$H623)),"",Macro_Series!$H623)</f>
        <v/>
      </c>
      <c r="F623" s="7" t="str">
        <f aca="false">IF(OR(NOT(ISNUMBER($D623)),NOT(ISNUMBER($E623)),$E623=0),"",$D623/$E623)</f>
        <v/>
      </c>
      <c r="G623" s="8" t="str">
        <f aca="false">IF(OR(NOT(ISNUMBER($B623)),NOT(ISNUMBER($B378)),$B378=0),"",$B623/$B378-1)</f>
        <v/>
      </c>
      <c r="H623" s="8" t="str">
        <f aca="false">IF(OR(NOT(ISNUMBER($D623)),NOT(ISNUMBER($D378)),$D378=0),"",$D623/$D378-1)</f>
        <v/>
      </c>
      <c r="I623" s="8" t="str">
        <f aca="false">IF(OR(NOT(ISNUMBER($G623)),NOT(ISNUMBER($H623))),"",$G623-$H623)</f>
        <v/>
      </c>
    </row>
    <row r="624" customFormat="false" ht="15" hidden="false" customHeight="false" outlineLevel="0" collapsed="false">
      <c r="A624" s="5" t="str">
        <f aca="false">IF(NOT(ISNUMBER(Macro_Series!$A624)),"",Macro_Series!$A624)</f>
        <v/>
      </c>
      <c r="B624" s="6" t="str">
        <f aca="false">IF(NOT(ISNUMBER(Macro_Series!$C624)),"",Macro_Series!$C624)</f>
        <v/>
      </c>
      <c r="C624" s="6" t="str">
        <f aca="false">IF(NOT(ISNUMBER(Macro_Series!$E624)),"",Macro_Series!$E624)</f>
        <v/>
      </c>
      <c r="D624" s="7" t="str">
        <f aca="false">IF(OR(NOT(ISNUMBER($B624)),NOT(ISNUMBER($C624)),$C624=0),"",$B624/$C624)</f>
        <v/>
      </c>
      <c r="E624" s="7" t="str">
        <f aca="false">IF(NOT(ISNUMBER(Macro_Series!$H624)),"",Macro_Series!$H624)</f>
        <v/>
      </c>
      <c r="F624" s="7" t="str">
        <f aca="false">IF(OR(NOT(ISNUMBER($D624)),NOT(ISNUMBER($E624)),$E624=0),"",$D624/$E624)</f>
        <v/>
      </c>
      <c r="G624" s="8" t="str">
        <f aca="false">IF(OR(NOT(ISNUMBER($B624)),NOT(ISNUMBER($B379)),$B379=0),"",$B624/$B379-1)</f>
        <v/>
      </c>
      <c r="H624" s="8" t="str">
        <f aca="false">IF(OR(NOT(ISNUMBER($D624)),NOT(ISNUMBER($D379)),$D379=0),"",$D624/$D379-1)</f>
        <v/>
      </c>
      <c r="I624" s="8" t="str">
        <f aca="false">IF(OR(NOT(ISNUMBER($G624)),NOT(ISNUMBER($H624))),"",$G624-$H624)</f>
        <v/>
      </c>
    </row>
    <row r="625" customFormat="false" ht="15" hidden="false" customHeight="false" outlineLevel="0" collapsed="false">
      <c r="A625" s="5" t="str">
        <f aca="false">IF(NOT(ISNUMBER(Macro_Series!$A625)),"",Macro_Series!$A625)</f>
        <v/>
      </c>
      <c r="B625" s="6" t="str">
        <f aca="false">IF(NOT(ISNUMBER(Macro_Series!$C625)),"",Macro_Series!$C625)</f>
        <v/>
      </c>
      <c r="C625" s="6" t="str">
        <f aca="false">IF(NOT(ISNUMBER(Macro_Series!$E625)),"",Macro_Series!$E625)</f>
        <v/>
      </c>
      <c r="D625" s="7" t="str">
        <f aca="false">IF(OR(NOT(ISNUMBER($B625)),NOT(ISNUMBER($C625)),$C625=0),"",$B625/$C625)</f>
        <v/>
      </c>
      <c r="E625" s="7" t="str">
        <f aca="false">IF(NOT(ISNUMBER(Macro_Series!$H625)),"",Macro_Series!$H625)</f>
        <v/>
      </c>
      <c r="F625" s="7" t="str">
        <f aca="false">IF(OR(NOT(ISNUMBER($D625)),NOT(ISNUMBER($E625)),$E625=0),"",$D625/$E625)</f>
        <v/>
      </c>
      <c r="G625" s="8" t="str">
        <f aca="false">IF(OR(NOT(ISNUMBER($B625)),NOT(ISNUMBER($B380)),$B380=0),"",$B625/$B380-1)</f>
        <v/>
      </c>
      <c r="H625" s="8" t="str">
        <f aca="false">IF(OR(NOT(ISNUMBER($D625)),NOT(ISNUMBER($D380)),$D380=0),"",$D625/$D380-1)</f>
        <v/>
      </c>
      <c r="I625" s="8" t="str">
        <f aca="false">IF(OR(NOT(ISNUMBER($G625)),NOT(ISNUMBER($H625))),"",$G625-$H625)</f>
        <v/>
      </c>
    </row>
    <row r="626" customFormat="false" ht="15" hidden="false" customHeight="false" outlineLevel="0" collapsed="false">
      <c r="A626" s="5" t="str">
        <f aca="false">IF(NOT(ISNUMBER(Macro_Series!$A626)),"",Macro_Series!$A626)</f>
        <v/>
      </c>
      <c r="B626" s="6" t="str">
        <f aca="false">IF(NOT(ISNUMBER(Macro_Series!$C626)),"",Macro_Series!$C626)</f>
        <v/>
      </c>
      <c r="C626" s="6" t="str">
        <f aca="false">IF(NOT(ISNUMBER(Macro_Series!$E626)),"",Macro_Series!$E626)</f>
        <v/>
      </c>
      <c r="D626" s="7" t="str">
        <f aca="false">IF(OR(NOT(ISNUMBER($B626)),NOT(ISNUMBER($C626)),$C626=0),"",$B626/$C626)</f>
        <v/>
      </c>
      <c r="E626" s="7" t="str">
        <f aca="false">IF(NOT(ISNUMBER(Macro_Series!$H626)),"",Macro_Series!$H626)</f>
        <v/>
      </c>
      <c r="F626" s="7" t="str">
        <f aca="false">IF(OR(NOT(ISNUMBER($D626)),NOT(ISNUMBER($E626)),$E626=0),"",$D626/$E626)</f>
        <v/>
      </c>
      <c r="G626" s="8" t="str">
        <f aca="false">IF(OR(NOT(ISNUMBER($B626)),NOT(ISNUMBER($B381)),$B381=0),"",$B626/$B381-1)</f>
        <v/>
      </c>
      <c r="H626" s="8" t="str">
        <f aca="false">IF(OR(NOT(ISNUMBER($D626)),NOT(ISNUMBER($D381)),$D381=0),"",$D626/$D381-1)</f>
        <v/>
      </c>
      <c r="I626" s="8" t="str">
        <f aca="false">IF(OR(NOT(ISNUMBER($G626)),NOT(ISNUMBER($H626))),"",$G626-$H626)</f>
        <v/>
      </c>
    </row>
    <row r="627" customFormat="false" ht="15" hidden="false" customHeight="false" outlineLevel="0" collapsed="false">
      <c r="A627" s="5" t="str">
        <f aca="false">IF(NOT(ISNUMBER(Macro_Series!$A627)),"",Macro_Series!$A627)</f>
        <v/>
      </c>
      <c r="B627" s="6" t="str">
        <f aca="false">IF(NOT(ISNUMBER(Macro_Series!$C627)),"",Macro_Series!$C627)</f>
        <v/>
      </c>
      <c r="C627" s="6" t="str">
        <f aca="false">IF(NOT(ISNUMBER(Macro_Series!$E627)),"",Macro_Series!$E627)</f>
        <v/>
      </c>
      <c r="D627" s="7" t="str">
        <f aca="false">IF(OR(NOT(ISNUMBER($B627)),NOT(ISNUMBER($C627)),$C627=0),"",$B627/$C627)</f>
        <v/>
      </c>
      <c r="E627" s="7" t="str">
        <f aca="false">IF(NOT(ISNUMBER(Macro_Series!$H627)),"",Macro_Series!$H627)</f>
        <v/>
      </c>
      <c r="F627" s="7" t="str">
        <f aca="false">IF(OR(NOT(ISNUMBER($D627)),NOT(ISNUMBER($E627)),$E627=0),"",$D627/$E627)</f>
        <v/>
      </c>
      <c r="G627" s="8" t="str">
        <f aca="false">IF(OR(NOT(ISNUMBER($B627)),NOT(ISNUMBER($B382)),$B382=0),"",$B627/$B382-1)</f>
        <v/>
      </c>
      <c r="H627" s="8" t="str">
        <f aca="false">IF(OR(NOT(ISNUMBER($D627)),NOT(ISNUMBER($D382)),$D382=0),"",$D627/$D382-1)</f>
        <v/>
      </c>
      <c r="I627" s="8" t="str">
        <f aca="false">IF(OR(NOT(ISNUMBER($G627)),NOT(ISNUMBER($H627))),"",$G627-$H627)</f>
        <v/>
      </c>
    </row>
    <row r="628" customFormat="false" ht="15" hidden="false" customHeight="false" outlineLevel="0" collapsed="false">
      <c r="A628" s="5" t="str">
        <f aca="false">IF(NOT(ISNUMBER(Macro_Series!$A628)),"",Macro_Series!$A628)</f>
        <v/>
      </c>
      <c r="B628" s="6" t="str">
        <f aca="false">IF(NOT(ISNUMBER(Macro_Series!$C628)),"",Macro_Series!$C628)</f>
        <v/>
      </c>
      <c r="C628" s="6" t="str">
        <f aca="false">IF(NOT(ISNUMBER(Macro_Series!$E628)),"",Macro_Series!$E628)</f>
        <v/>
      </c>
      <c r="D628" s="7" t="str">
        <f aca="false">IF(OR(NOT(ISNUMBER($B628)),NOT(ISNUMBER($C628)),$C628=0),"",$B628/$C628)</f>
        <v/>
      </c>
      <c r="E628" s="7" t="str">
        <f aca="false">IF(NOT(ISNUMBER(Macro_Series!$H628)),"",Macro_Series!$H628)</f>
        <v/>
      </c>
      <c r="F628" s="7" t="str">
        <f aca="false">IF(OR(NOT(ISNUMBER($D628)),NOT(ISNUMBER($E628)),$E628=0),"",$D628/$E628)</f>
        <v/>
      </c>
      <c r="G628" s="8" t="str">
        <f aca="false">IF(OR(NOT(ISNUMBER($B628)),NOT(ISNUMBER($B383)),$B383=0),"",$B628/$B383-1)</f>
        <v/>
      </c>
      <c r="H628" s="8" t="str">
        <f aca="false">IF(OR(NOT(ISNUMBER($D628)),NOT(ISNUMBER($D383)),$D383=0),"",$D628/$D383-1)</f>
        <v/>
      </c>
      <c r="I628" s="8" t="str">
        <f aca="false">IF(OR(NOT(ISNUMBER($G628)),NOT(ISNUMBER($H628))),"",$G628-$H628)</f>
        <v/>
      </c>
    </row>
    <row r="629" customFormat="false" ht="15" hidden="false" customHeight="false" outlineLevel="0" collapsed="false">
      <c r="A629" s="5" t="str">
        <f aca="false">IF(NOT(ISNUMBER(Macro_Series!$A629)),"",Macro_Series!$A629)</f>
        <v/>
      </c>
      <c r="B629" s="6" t="str">
        <f aca="false">IF(NOT(ISNUMBER(Macro_Series!$C629)),"",Macro_Series!$C629)</f>
        <v/>
      </c>
      <c r="C629" s="6" t="str">
        <f aca="false">IF(NOT(ISNUMBER(Macro_Series!$E629)),"",Macro_Series!$E629)</f>
        <v/>
      </c>
      <c r="D629" s="7" t="str">
        <f aca="false">IF(OR(NOT(ISNUMBER($B629)),NOT(ISNUMBER($C629)),$C629=0),"",$B629/$C629)</f>
        <v/>
      </c>
      <c r="E629" s="7" t="str">
        <f aca="false">IF(NOT(ISNUMBER(Macro_Series!$H629)),"",Macro_Series!$H629)</f>
        <v/>
      </c>
      <c r="F629" s="7" t="str">
        <f aca="false">IF(OR(NOT(ISNUMBER($D629)),NOT(ISNUMBER($E629)),$E629=0),"",$D629/$E629)</f>
        <v/>
      </c>
      <c r="G629" s="8" t="str">
        <f aca="false">IF(OR(NOT(ISNUMBER($B629)),NOT(ISNUMBER($B384)),$B384=0),"",$B629/$B384-1)</f>
        <v/>
      </c>
      <c r="H629" s="8" t="str">
        <f aca="false">IF(OR(NOT(ISNUMBER($D629)),NOT(ISNUMBER($D384)),$D384=0),"",$D629/$D384-1)</f>
        <v/>
      </c>
      <c r="I629" s="8" t="str">
        <f aca="false">IF(OR(NOT(ISNUMBER($G629)),NOT(ISNUMBER($H629))),"",$G629-$H629)</f>
        <v/>
      </c>
    </row>
    <row r="630" customFormat="false" ht="15" hidden="false" customHeight="false" outlineLevel="0" collapsed="false">
      <c r="A630" s="5" t="str">
        <f aca="false">IF(NOT(ISNUMBER(Macro_Series!$A630)),"",Macro_Series!$A630)</f>
        <v/>
      </c>
      <c r="B630" s="6" t="str">
        <f aca="false">IF(NOT(ISNUMBER(Macro_Series!$C630)),"",Macro_Series!$C630)</f>
        <v/>
      </c>
      <c r="C630" s="6" t="str">
        <f aca="false">IF(NOT(ISNUMBER(Macro_Series!$E630)),"",Macro_Series!$E630)</f>
        <v/>
      </c>
      <c r="D630" s="7" t="str">
        <f aca="false">IF(OR(NOT(ISNUMBER($B630)),NOT(ISNUMBER($C630)),$C630=0),"",$B630/$C630)</f>
        <v/>
      </c>
      <c r="E630" s="7" t="str">
        <f aca="false">IF(NOT(ISNUMBER(Macro_Series!$H630)),"",Macro_Series!$H630)</f>
        <v/>
      </c>
      <c r="F630" s="7" t="str">
        <f aca="false">IF(OR(NOT(ISNUMBER($D630)),NOT(ISNUMBER($E630)),$E630=0),"",$D630/$E630)</f>
        <v/>
      </c>
      <c r="G630" s="8" t="str">
        <f aca="false">IF(OR(NOT(ISNUMBER($B630)),NOT(ISNUMBER($B385)),$B385=0),"",$B630/$B385-1)</f>
        <v/>
      </c>
      <c r="H630" s="8" t="str">
        <f aca="false">IF(OR(NOT(ISNUMBER($D630)),NOT(ISNUMBER($D385)),$D385=0),"",$D630/$D385-1)</f>
        <v/>
      </c>
      <c r="I630" s="8" t="str">
        <f aca="false">IF(OR(NOT(ISNUMBER($G630)),NOT(ISNUMBER($H630))),"",$G630-$H630)</f>
        <v/>
      </c>
    </row>
    <row r="631" customFormat="false" ht="15" hidden="false" customHeight="false" outlineLevel="0" collapsed="false">
      <c r="A631" s="5" t="str">
        <f aca="false">IF(NOT(ISNUMBER(Macro_Series!$A631)),"",Macro_Series!$A631)</f>
        <v/>
      </c>
      <c r="B631" s="6" t="str">
        <f aca="false">IF(NOT(ISNUMBER(Macro_Series!$C631)),"",Macro_Series!$C631)</f>
        <v/>
      </c>
      <c r="C631" s="6" t="str">
        <f aca="false">IF(NOT(ISNUMBER(Macro_Series!$E631)),"",Macro_Series!$E631)</f>
        <v/>
      </c>
      <c r="D631" s="7" t="str">
        <f aca="false">IF(OR(NOT(ISNUMBER($B631)),NOT(ISNUMBER($C631)),$C631=0),"",$B631/$C631)</f>
        <v/>
      </c>
      <c r="E631" s="7" t="str">
        <f aca="false">IF(NOT(ISNUMBER(Macro_Series!$H631)),"",Macro_Series!$H631)</f>
        <v/>
      </c>
      <c r="F631" s="7" t="str">
        <f aca="false">IF(OR(NOT(ISNUMBER($D631)),NOT(ISNUMBER($E631)),$E631=0),"",$D631/$E631)</f>
        <v/>
      </c>
      <c r="G631" s="8" t="str">
        <f aca="false">IF(OR(NOT(ISNUMBER($B631)),NOT(ISNUMBER($B386)),$B386=0),"",$B631/$B386-1)</f>
        <v/>
      </c>
      <c r="H631" s="8" t="str">
        <f aca="false">IF(OR(NOT(ISNUMBER($D631)),NOT(ISNUMBER($D386)),$D386=0),"",$D631/$D386-1)</f>
        <v/>
      </c>
      <c r="I631" s="8" t="str">
        <f aca="false">IF(OR(NOT(ISNUMBER($G631)),NOT(ISNUMBER($H631))),"",$G631-$H631)</f>
        <v/>
      </c>
    </row>
    <row r="632" customFormat="false" ht="15" hidden="false" customHeight="false" outlineLevel="0" collapsed="false">
      <c r="A632" s="5" t="str">
        <f aca="false">IF(NOT(ISNUMBER(Macro_Series!$A632)),"",Macro_Series!$A632)</f>
        <v/>
      </c>
      <c r="B632" s="6" t="str">
        <f aca="false">IF(NOT(ISNUMBER(Macro_Series!$C632)),"",Macro_Series!$C632)</f>
        <v/>
      </c>
      <c r="C632" s="6" t="str">
        <f aca="false">IF(NOT(ISNUMBER(Macro_Series!$E632)),"",Macro_Series!$E632)</f>
        <v/>
      </c>
      <c r="D632" s="7" t="str">
        <f aca="false">IF(OR(NOT(ISNUMBER($B632)),NOT(ISNUMBER($C632)),$C632=0),"",$B632/$C632)</f>
        <v/>
      </c>
      <c r="E632" s="7" t="str">
        <f aca="false">IF(NOT(ISNUMBER(Macro_Series!$H632)),"",Macro_Series!$H632)</f>
        <v/>
      </c>
      <c r="F632" s="7" t="str">
        <f aca="false">IF(OR(NOT(ISNUMBER($D632)),NOT(ISNUMBER($E632)),$E632=0),"",$D632/$E632)</f>
        <v/>
      </c>
      <c r="G632" s="8" t="str">
        <f aca="false">IF(OR(NOT(ISNUMBER($B632)),NOT(ISNUMBER($B387)),$B387=0),"",$B632/$B387-1)</f>
        <v/>
      </c>
      <c r="H632" s="8" t="str">
        <f aca="false">IF(OR(NOT(ISNUMBER($D632)),NOT(ISNUMBER($D387)),$D387=0),"",$D632/$D387-1)</f>
        <v/>
      </c>
      <c r="I632" s="8" t="str">
        <f aca="false">IF(OR(NOT(ISNUMBER($G632)),NOT(ISNUMBER($H632))),"",$G632-$H632)</f>
        <v/>
      </c>
    </row>
    <row r="633" customFormat="false" ht="15" hidden="false" customHeight="false" outlineLevel="0" collapsed="false">
      <c r="A633" s="5" t="str">
        <f aca="false">IF(NOT(ISNUMBER(Macro_Series!$A633)),"",Macro_Series!$A633)</f>
        <v/>
      </c>
      <c r="B633" s="6" t="str">
        <f aca="false">IF(NOT(ISNUMBER(Macro_Series!$C633)),"",Macro_Series!$C633)</f>
        <v/>
      </c>
      <c r="C633" s="6" t="str">
        <f aca="false">IF(NOT(ISNUMBER(Macro_Series!$E633)),"",Macro_Series!$E633)</f>
        <v/>
      </c>
      <c r="D633" s="7" t="str">
        <f aca="false">IF(OR(NOT(ISNUMBER($B633)),NOT(ISNUMBER($C633)),$C633=0),"",$B633/$C633)</f>
        <v/>
      </c>
      <c r="E633" s="7" t="str">
        <f aca="false">IF(NOT(ISNUMBER(Macro_Series!$H633)),"",Macro_Series!$H633)</f>
        <v/>
      </c>
      <c r="F633" s="7" t="str">
        <f aca="false">IF(OR(NOT(ISNUMBER($D633)),NOT(ISNUMBER($E633)),$E633=0),"",$D633/$E633)</f>
        <v/>
      </c>
      <c r="G633" s="8" t="str">
        <f aca="false">IF(OR(NOT(ISNUMBER($B633)),NOT(ISNUMBER($B388)),$B388=0),"",$B633/$B388-1)</f>
        <v/>
      </c>
      <c r="H633" s="8" t="str">
        <f aca="false">IF(OR(NOT(ISNUMBER($D633)),NOT(ISNUMBER($D388)),$D388=0),"",$D633/$D388-1)</f>
        <v/>
      </c>
      <c r="I633" s="8" t="str">
        <f aca="false">IF(OR(NOT(ISNUMBER($G633)),NOT(ISNUMBER($H633))),"",$G633-$H633)</f>
        <v/>
      </c>
    </row>
    <row r="634" customFormat="false" ht="15" hidden="false" customHeight="false" outlineLevel="0" collapsed="false">
      <c r="A634" s="5" t="str">
        <f aca="false">IF(NOT(ISNUMBER(Macro_Series!$A634)),"",Macro_Series!$A634)</f>
        <v/>
      </c>
      <c r="B634" s="6" t="str">
        <f aca="false">IF(NOT(ISNUMBER(Macro_Series!$C634)),"",Macro_Series!$C634)</f>
        <v/>
      </c>
      <c r="C634" s="6" t="str">
        <f aca="false">IF(NOT(ISNUMBER(Macro_Series!$E634)),"",Macro_Series!$E634)</f>
        <v/>
      </c>
      <c r="D634" s="7" t="str">
        <f aca="false">IF(OR(NOT(ISNUMBER($B634)),NOT(ISNUMBER($C634)),$C634=0),"",$B634/$C634)</f>
        <v/>
      </c>
      <c r="E634" s="7" t="str">
        <f aca="false">IF(NOT(ISNUMBER(Macro_Series!$H634)),"",Macro_Series!$H634)</f>
        <v/>
      </c>
      <c r="F634" s="7" t="str">
        <f aca="false">IF(OR(NOT(ISNUMBER($D634)),NOT(ISNUMBER($E634)),$E634=0),"",$D634/$E634)</f>
        <v/>
      </c>
      <c r="G634" s="8" t="str">
        <f aca="false">IF(OR(NOT(ISNUMBER($B634)),NOT(ISNUMBER($B389)),$B389=0),"",$B634/$B389-1)</f>
        <v/>
      </c>
      <c r="H634" s="8" t="str">
        <f aca="false">IF(OR(NOT(ISNUMBER($D634)),NOT(ISNUMBER($D389)),$D389=0),"",$D634/$D389-1)</f>
        <v/>
      </c>
      <c r="I634" s="8" t="str">
        <f aca="false">IF(OR(NOT(ISNUMBER($G634)),NOT(ISNUMBER($H634))),"",$G634-$H634)</f>
        <v/>
      </c>
    </row>
    <row r="635" customFormat="false" ht="15" hidden="false" customHeight="false" outlineLevel="0" collapsed="false">
      <c r="A635" s="5" t="str">
        <f aca="false">IF(NOT(ISNUMBER(Macro_Series!$A635)),"",Macro_Series!$A635)</f>
        <v/>
      </c>
      <c r="B635" s="6" t="str">
        <f aca="false">IF(NOT(ISNUMBER(Macro_Series!$C635)),"",Macro_Series!$C635)</f>
        <v/>
      </c>
      <c r="C635" s="6" t="str">
        <f aca="false">IF(NOT(ISNUMBER(Macro_Series!$E635)),"",Macro_Series!$E635)</f>
        <v/>
      </c>
      <c r="D635" s="7" t="str">
        <f aca="false">IF(OR(NOT(ISNUMBER($B635)),NOT(ISNUMBER($C635)),$C635=0),"",$B635/$C635)</f>
        <v/>
      </c>
      <c r="E635" s="7" t="str">
        <f aca="false">IF(NOT(ISNUMBER(Macro_Series!$H635)),"",Macro_Series!$H635)</f>
        <v/>
      </c>
      <c r="F635" s="7" t="str">
        <f aca="false">IF(OR(NOT(ISNUMBER($D635)),NOT(ISNUMBER($E635)),$E635=0),"",$D635/$E635)</f>
        <v/>
      </c>
      <c r="G635" s="8" t="str">
        <f aca="false">IF(OR(NOT(ISNUMBER($B635)),NOT(ISNUMBER($B390)),$B390=0),"",$B635/$B390-1)</f>
        <v/>
      </c>
      <c r="H635" s="8" t="str">
        <f aca="false">IF(OR(NOT(ISNUMBER($D635)),NOT(ISNUMBER($D390)),$D390=0),"",$D635/$D390-1)</f>
        <v/>
      </c>
      <c r="I635" s="8" t="str">
        <f aca="false">IF(OR(NOT(ISNUMBER($G635)),NOT(ISNUMBER($H635))),"",$G635-$H635)</f>
        <v/>
      </c>
    </row>
    <row r="636" customFormat="false" ht="15" hidden="false" customHeight="false" outlineLevel="0" collapsed="false">
      <c r="A636" s="5" t="str">
        <f aca="false">IF(NOT(ISNUMBER(Macro_Series!$A636)),"",Macro_Series!$A636)</f>
        <v/>
      </c>
      <c r="B636" s="6" t="str">
        <f aca="false">IF(NOT(ISNUMBER(Macro_Series!$C636)),"",Macro_Series!$C636)</f>
        <v/>
      </c>
      <c r="C636" s="6" t="str">
        <f aca="false">IF(NOT(ISNUMBER(Macro_Series!$E636)),"",Macro_Series!$E636)</f>
        <v/>
      </c>
      <c r="D636" s="7" t="str">
        <f aca="false">IF(OR(NOT(ISNUMBER($B636)),NOT(ISNUMBER($C636)),$C636=0),"",$B636/$C636)</f>
        <v/>
      </c>
      <c r="E636" s="7" t="str">
        <f aca="false">IF(NOT(ISNUMBER(Macro_Series!$H636)),"",Macro_Series!$H636)</f>
        <v/>
      </c>
      <c r="F636" s="7" t="str">
        <f aca="false">IF(OR(NOT(ISNUMBER($D636)),NOT(ISNUMBER($E636)),$E636=0),"",$D636/$E636)</f>
        <v/>
      </c>
      <c r="G636" s="8" t="str">
        <f aca="false">IF(OR(NOT(ISNUMBER($B636)),NOT(ISNUMBER($B391)),$B391=0),"",$B636/$B391-1)</f>
        <v/>
      </c>
      <c r="H636" s="8" t="str">
        <f aca="false">IF(OR(NOT(ISNUMBER($D636)),NOT(ISNUMBER($D391)),$D391=0),"",$D636/$D391-1)</f>
        <v/>
      </c>
      <c r="I636" s="8" t="str">
        <f aca="false">IF(OR(NOT(ISNUMBER($G636)),NOT(ISNUMBER($H636))),"",$G636-$H636)</f>
        <v/>
      </c>
    </row>
    <row r="637" customFormat="false" ht="15" hidden="false" customHeight="false" outlineLevel="0" collapsed="false">
      <c r="A637" s="5" t="str">
        <f aca="false">IF(NOT(ISNUMBER(Macro_Series!$A637)),"",Macro_Series!$A637)</f>
        <v/>
      </c>
      <c r="B637" s="6" t="str">
        <f aca="false">IF(NOT(ISNUMBER(Macro_Series!$C637)),"",Macro_Series!$C637)</f>
        <v/>
      </c>
      <c r="C637" s="6" t="str">
        <f aca="false">IF(NOT(ISNUMBER(Macro_Series!$E637)),"",Macro_Series!$E637)</f>
        <v/>
      </c>
      <c r="D637" s="7" t="str">
        <f aca="false">IF(OR(NOT(ISNUMBER($B637)),NOT(ISNUMBER($C637)),$C637=0),"",$B637/$C637)</f>
        <v/>
      </c>
      <c r="E637" s="7" t="str">
        <f aca="false">IF(NOT(ISNUMBER(Macro_Series!$H637)),"",Macro_Series!$H637)</f>
        <v/>
      </c>
      <c r="F637" s="7" t="str">
        <f aca="false">IF(OR(NOT(ISNUMBER($D637)),NOT(ISNUMBER($E637)),$E637=0),"",$D637/$E637)</f>
        <v/>
      </c>
      <c r="G637" s="8" t="str">
        <f aca="false">IF(OR(NOT(ISNUMBER($B637)),NOT(ISNUMBER($B392)),$B392=0),"",$B637/$B392-1)</f>
        <v/>
      </c>
      <c r="H637" s="8" t="str">
        <f aca="false">IF(OR(NOT(ISNUMBER($D637)),NOT(ISNUMBER($D392)),$D392=0),"",$D637/$D392-1)</f>
        <v/>
      </c>
      <c r="I637" s="8" t="str">
        <f aca="false">IF(OR(NOT(ISNUMBER($G637)),NOT(ISNUMBER($H637))),"",$G637-$H637)</f>
        <v/>
      </c>
    </row>
    <row r="638" customFormat="false" ht="15" hidden="false" customHeight="false" outlineLevel="0" collapsed="false">
      <c r="A638" s="5" t="str">
        <f aca="false">IF(NOT(ISNUMBER(Macro_Series!$A638)),"",Macro_Series!$A638)</f>
        <v/>
      </c>
      <c r="B638" s="6" t="str">
        <f aca="false">IF(NOT(ISNUMBER(Macro_Series!$C638)),"",Macro_Series!$C638)</f>
        <v/>
      </c>
      <c r="C638" s="6" t="str">
        <f aca="false">IF(NOT(ISNUMBER(Macro_Series!$E638)),"",Macro_Series!$E638)</f>
        <v/>
      </c>
      <c r="D638" s="7" t="str">
        <f aca="false">IF(OR(NOT(ISNUMBER($B638)),NOT(ISNUMBER($C638)),$C638=0),"",$B638/$C638)</f>
        <v/>
      </c>
      <c r="E638" s="7" t="str">
        <f aca="false">IF(NOT(ISNUMBER(Macro_Series!$H638)),"",Macro_Series!$H638)</f>
        <v/>
      </c>
      <c r="F638" s="7" t="str">
        <f aca="false">IF(OR(NOT(ISNUMBER($D638)),NOT(ISNUMBER($E638)),$E638=0),"",$D638/$E638)</f>
        <v/>
      </c>
      <c r="G638" s="8" t="str">
        <f aca="false">IF(OR(NOT(ISNUMBER($B638)),NOT(ISNUMBER($B393)),$B393=0),"",$B638/$B393-1)</f>
        <v/>
      </c>
      <c r="H638" s="8" t="str">
        <f aca="false">IF(OR(NOT(ISNUMBER($D638)),NOT(ISNUMBER($D393)),$D393=0),"",$D638/$D393-1)</f>
        <v/>
      </c>
      <c r="I638" s="8" t="str">
        <f aca="false">IF(OR(NOT(ISNUMBER($G638)),NOT(ISNUMBER($H638))),"",$G638-$H638)</f>
        <v/>
      </c>
    </row>
    <row r="639" customFormat="false" ht="15" hidden="false" customHeight="false" outlineLevel="0" collapsed="false">
      <c r="A639" s="5" t="str">
        <f aca="false">IF(NOT(ISNUMBER(Macro_Series!$A639)),"",Macro_Series!$A639)</f>
        <v/>
      </c>
      <c r="B639" s="6" t="str">
        <f aca="false">IF(NOT(ISNUMBER(Macro_Series!$C639)),"",Macro_Series!$C639)</f>
        <v/>
      </c>
      <c r="C639" s="6" t="str">
        <f aca="false">IF(NOT(ISNUMBER(Macro_Series!$E639)),"",Macro_Series!$E639)</f>
        <v/>
      </c>
      <c r="D639" s="7" t="str">
        <f aca="false">IF(OR(NOT(ISNUMBER($B639)),NOT(ISNUMBER($C639)),$C639=0),"",$B639/$C639)</f>
        <v/>
      </c>
      <c r="E639" s="7" t="str">
        <f aca="false">IF(NOT(ISNUMBER(Macro_Series!$H639)),"",Macro_Series!$H639)</f>
        <v/>
      </c>
      <c r="F639" s="7" t="str">
        <f aca="false">IF(OR(NOT(ISNUMBER($D639)),NOT(ISNUMBER($E639)),$E639=0),"",$D639/$E639)</f>
        <v/>
      </c>
      <c r="G639" s="8" t="str">
        <f aca="false">IF(OR(NOT(ISNUMBER($B639)),NOT(ISNUMBER($B394)),$B394=0),"",$B639/$B394-1)</f>
        <v/>
      </c>
      <c r="H639" s="8" t="str">
        <f aca="false">IF(OR(NOT(ISNUMBER($D639)),NOT(ISNUMBER($D394)),$D394=0),"",$D639/$D394-1)</f>
        <v/>
      </c>
      <c r="I639" s="8" t="str">
        <f aca="false">IF(OR(NOT(ISNUMBER($G639)),NOT(ISNUMBER($H639))),"",$G639-$H639)</f>
        <v/>
      </c>
    </row>
    <row r="640" customFormat="false" ht="15" hidden="false" customHeight="false" outlineLevel="0" collapsed="false">
      <c r="A640" s="5" t="str">
        <f aca="false">IF(NOT(ISNUMBER(Macro_Series!$A640)),"",Macro_Series!$A640)</f>
        <v/>
      </c>
      <c r="B640" s="6" t="str">
        <f aca="false">IF(NOT(ISNUMBER(Macro_Series!$C640)),"",Macro_Series!$C640)</f>
        <v/>
      </c>
      <c r="C640" s="6" t="str">
        <f aca="false">IF(NOT(ISNUMBER(Macro_Series!$E640)),"",Macro_Series!$E640)</f>
        <v/>
      </c>
      <c r="D640" s="7" t="str">
        <f aca="false">IF(OR(NOT(ISNUMBER($B640)),NOT(ISNUMBER($C640)),$C640=0),"",$B640/$C640)</f>
        <v/>
      </c>
      <c r="E640" s="7" t="str">
        <f aca="false">IF(NOT(ISNUMBER(Macro_Series!$H640)),"",Macro_Series!$H640)</f>
        <v/>
      </c>
      <c r="F640" s="7" t="str">
        <f aca="false">IF(OR(NOT(ISNUMBER($D640)),NOT(ISNUMBER($E640)),$E640=0),"",$D640/$E640)</f>
        <v/>
      </c>
      <c r="G640" s="8" t="str">
        <f aca="false">IF(OR(NOT(ISNUMBER($B640)),NOT(ISNUMBER($B395)),$B395=0),"",$B640/$B395-1)</f>
        <v/>
      </c>
      <c r="H640" s="8" t="str">
        <f aca="false">IF(OR(NOT(ISNUMBER($D640)),NOT(ISNUMBER($D395)),$D395=0),"",$D640/$D395-1)</f>
        <v/>
      </c>
      <c r="I640" s="8" t="str">
        <f aca="false">IF(OR(NOT(ISNUMBER($G640)),NOT(ISNUMBER($H640))),"",$G640-$H640)</f>
        <v/>
      </c>
    </row>
    <row r="641" customFormat="false" ht="15" hidden="false" customHeight="false" outlineLevel="0" collapsed="false">
      <c r="A641" s="5" t="str">
        <f aca="false">IF(NOT(ISNUMBER(Macro_Series!$A641)),"",Macro_Series!$A641)</f>
        <v/>
      </c>
      <c r="B641" s="6" t="str">
        <f aca="false">IF(NOT(ISNUMBER(Macro_Series!$C641)),"",Macro_Series!$C641)</f>
        <v/>
      </c>
      <c r="C641" s="6" t="str">
        <f aca="false">IF(NOT(ISNUMBER(Macro_Series!$E641)),"",Macro_Series!$E641)</f>
        <v/>
      </c>
      <c r="D641" s="7" t="str">
        <f aca="false">IF(OR(NOT(ISNUMBER($B641)),NOT(ISNUMBER($C641)),$C641=0),"",$B641/$C641)</f>
        <v/>
      </c>
      <c r="E641" s="7" t="str">
        <f aca="false">IF(NOT(ISNUMBER(Macro_Series!$H641)),"",Macro_Series!$H641)</f>
        <v/>
      </c>
      <c r="F641" s="7" t="str">
        <f aca="false">IF(OR(NOT(ISNUMBER($D641)),NOT(ISNUMBER($E641)),$E641=0),"",$D641/$E641)</f>
        <v/>
      </c>
      <c r="G641" s="8" t="str">
        <f aca="false">IF(OR(NOT(ISNUMBER($B641)),NOT(ISNUMBER($B396)),$B396=0),"",$B641/$B396-1)</f>
        <v/>
      </c>
      <c r="H641" s="8" t="str">
        <f aca="false">IF(OR(NOT(ISNUMBER($D641)),NOT(ISNUMBER($D396)),$D396=0),"",$D641/$D396-1)</f>
        <v/>
      </c>
      <c r="I641" s="8" t="str">
        <f aca="false">IF(OR(NOT(ISNUMBER($G641)),NOT(ISNUMBER($H641))),"",$G641-$H641)</f>
        <v/>
      </c>
    </row>
    <row r="642" customFormat="false" ht="15" hidden="false" customHeight="false" outlineLevel="0" collapsed="false">
      <c r="A642" s="5" t="str">
        <f aca="false">IF(NOT(ISNUMBER(Macro_Series!$A642)),"",Macro_Series!$A642)</f>
        <v/>
      </c>
      <c r="B642" s="6" t="str">
        <f aca="false">IF(NOT(ISNUMBER(Macro_Series!$C642)),"",Macro_Series!$C642)</f>
        <v/>
      </c>
      <c r="C642" s="6" t="str">
        <f aca="false">IF(NOT(ISNUMBER(Macro_Series!$E642)),"",Macro_Series!$E642)</f>
        <v/>
      </c>
      <c r="D642" s="7" t="str">
        <f aca="false">IF(OR(NOT(ISNUMBER($B642)),NOT(ISNUMBER($C642)),$C642=0),"",$B642/$C642)</f>
        <v/>
      </c>
      <c r="E642" s="7" t="str">
        <f aca="false">IF(NOT(ISNUMBER(Macro_Series!$H642)),"",Macro_Series!$H642)</f>
        <v/>
      </c>
      <c r="F642" s="7" t="str">
        <f aca="false">IF(OR(NOT(ISNUMBER($D642)),NOT(ISNUMBER($E642)),$E642=0),"",$D642/$E642)</f>
        <v/>
      </c>
      <c r="G642" s="8" t="str">
        <f aca="false">IF(OR(NOT(ISNUMBER($B642)),NOT(ISNUMBER($B397)),$B397=0),"",$B642/$B397-1)</f>
        <v/>
      </c>
      <c r="H642" s="8" t="str">
        <f aca="false">IF(OR(NOT(ISNUMBER($D642)),NOT(ISNUMBER($D397)),$D397=0),"",$D642/$D397-1)</f>
        <v/>
      </c>
      <c r="I642" s="8" t="str">
        <f aca="false">IF(OR(NOT(ISNUMBER($G642)),NOT(ISNUMBER($H642))),"",$G642-$H642)</f>
        <v/>
      </c>
    </row>
    <row r="643" customFormat="false" ht="15" hidden="false" customHeight="false" outlineLevel="0" collapsed="false">
      <c r="A643" s="5" t="str">
        <f aca="false">IF(NOT(ISNUMBER(Macro_Series!$A643)),"",Macro_Series!$A643)</f>
        <v/>
      </c>
      <c r="B643" s="6" t="str">
        <f aca="false">IF(NOT(ISNUMBER(Macro_Series!$C643)),"",Macro_Series!$C643)</f>
        <v/>
      </c>
      <c r="C643" s="6" t="str">
        <f aca="false">IF(NOT(ISNUMBER(Macro_Series!$E643)),"",Macro_Series!$E643)</f>
        <v/>
      </c>
      <c r="D643" s="7" t="str">
        <f aca="false">IF(OR(NOT(ISNUMBER($B643)),NOT(ISNUMBER($C643)),$C643=0),"",$B643/$C643)</f>
        <v/>
      </c>
      <c r="E643" s="7" t="str">
        <f aca="false">IF(NOT(ISNUMBER(Macro_Series!$H643)),"",Macro_Series!$H643)</f>
        <v/>
      </c>
      <c r="F643" s="7" t="str">
        <f aca="false">IF(OR(NOT(ISNUMBER($D643)),NOT(ISNUMBER($E643)),$E643=0),"",$D643/$E643)</f>
        <v/>
      </c>
      <c r="G643" s="8" t="str">
        <f aca="false">IF(OR(NOT(ISNUMBER($B643)),NOT(ISNUMBER($B398)),$B398=0),"",$B643/$B398-1)</f>
        <v/>
      </c>
      <c r="H643" s="8" t="str">
        <f aca="false">IF(OR(NOT(ISNUMBER($D643)),NOT(ISNUMBER($D398)),$D398=0),"",$D643/$D398-1)</f>
        <v/>
      </c>
      <c r="I643" s="8" t="str">
        <f aca="false">IF(OR(NOT(ISNUMBER($G643)),NOT(ISNUMBER($H643))),"",$G643-$H643)</f>
        <v/>
      </c>
    </row>
    <row r="644" customFormat="false" ht="15" hidden="false" customHeight="false" outlineLevel="0" collapsed="false">
      <c r="A644" s="5" t="str">
        <f aca="false">IF(NOT(ISNUMBER(Macro_Series!$A644)),"",Macro_Series!$A644)</f>
        <v/>
      </c>
      <c r="B644" s="6" t="str">
        <f aca="false">IF(NOT(ISNUMBER(Macro_Series!$C644)),"",Macro_Series!$C644)</f>
        <v/>
      </c>
      <c r="C644" s="6" t="str">
        <f aca="false">IF(NOT(ISNUMBER(Macro_Series!$E644)),"",Macro_Series!$E644)</f>
        <v/>
      </c>
      <c r="D644" s="7" t="str">
        <f aca="false">IF(OR(NOT(ISNUMBER($B644)),NOT(ISNUMBER($C644)),$C644=0),"",$B644/$C644)</f>
        <v/>
      </c>
      <c r="E644" s="7" t="str">
        <f aca="false">IF(NOT(ISNUMBER(Macro_Series!$H644)),"",Macro_Series!$H644)</f>
        <v/>
      </c>
      <c r="F644" s="7" t="str">
        <f aca="false">IF(OR(NOT(ISNUMBER($D644)),NOT(ISNUMBER($E644)),$E644=0),"",$D644/$E644)</f>
        <v/>
      </c>
      <c r="G644" s="8" t="str">
        <f aca="false">IF(OR(NOT(ISNUMBER($B644)),NOT(ISNUMBER($B399)),$B399=0),"",$B644/$B399-1)</f>
        <v/>
      </c>
      <c r="H644" s="8" t="str">
        <f aca="false">IF(OR(NOT(ISNUMBER($D644)),NOT(ISNUMBER($D399)),$D399=0),"",$D644/$D399-1)</f>
        <v/>
      </c>
      <c r="I644" s="8" t="str">
        <f aca="false">IF(OR(NOT(ISNUMBER($G644)),NOT(ISNUMBER($H644))),"",$G644-$H644)</f>
        <v/>
      </c>
    </row>
    <row r="645" customFormat="false" ht="15" hidden="false" customHeight="false" outlineLevel="0" collapsed="false">
      <c r="A645" s="5" t="str">
        <f aca="false">IF(NOT(ISNUMBER(Macro_Series!$A645)),"",Macro_Series!$A645)</f>
        <v/>
      </c>
      <c r="B645" s="6" t="str">
        <f aca="false">IF(NOT(ISNUMBER(Macro_Series!$C645)),"",Macro_Series!$C645)</f>
        <v/>
      </c>
      <c r="C645" s="6" t="str">
        <f aca="false">IF(NOT(ISNUMBER(Macro_Series!$E645)),"",Macro_Series!$E645)</f>
        <v/>
      </c>
      <c r="D645" s="7" t="str">
        <f aca="false">IF(OR(NOT(ISNUMBER($B645)),NOT(ISNUMBER($C645)),$C645=0),"",$B645/$C645)</f>
        <v/>
      </c>
      <c r="E645" s="7" t="str">
        <f aca="false">IF(NOT(ISNUMBER(Macro_Series!$H645)),"",Macro_Series!$H645)</f>
        <v/>
      </c>
      <c r="F645" s="7" t="str">
        <f aca="false">IF(OR(NOT(ISNUMBER($D645)),NOT(ISNUMBER($E645)),$E645=0),"",$D645/$E645)</f>
        <v/>
      </c>
      <c r="G645" s="8" t="str">
        <f aca="false">IF(OR(NOT(ISNUMBER($B645)),NOT(ISNUMBER($B400)),$B400=0),"",$B645/$B400-1)</f>
        <v/>
      </c>
      <c r="H645" s="8" t="str">
        <f aca="false">IF(OR(NOT(ISNUMBER($D645)),NOT(ISNUMBER($D400)),$D400=0),"",$D645/$D400-1)</f>
        <v/>
      </c>
      <c r="I645" s="8" t="str">
        <f aca="false">IF(OR(NOT(ISNUMBER($G645)),NOT(ISNUMBER($H645))),"",$G645-$H645)</f>
        <v/>
      </c>
    </row>
    <row r="646" customFormat="false" ht="15" hidden="false" customHeight="false" outlineLevel="0" collapsed="false">
      <c r="A646" s="5" t="str">
        <f aca="false">IF(NOT(ISNUMBER(Macro_Series!$A646)),"",Macro_Series!$A646)</f>
        <v/>
      </c>
      <c r="B646" s="6" t="str">
        <f aca="false">IF(NOT(ISNUMBER(Macro_Series!$C646)),"",Macro_Series!$C646)</f>
        <v/>
      </c>
      <c r="C646" s="6" t="str">
        <f aca="false">IF(NOT(ISNUMBER(Macro_Series!$E646)),"",Macro_Series!$E646)</f>
        <v/>
      </c>
      <c r="D646" s="7" t="str">
        <f aca="false">IF(OR(NOT(ISNUMBER($B646)),NOT(ISNUMBER($C646)),$C646=0),"",$B646/$C646)</f>
        <v/>
      </c>
      <c r="E646" s="7" t="str">
        <f aca="false">IF(NOT(ISNUMBER(Macro_Series!$H646)),"",Macro_Series!$H646)</f>
        <v/>
      </c>
      <c r="F646" s="7" t="str">
        <f aca="false">IF(OR(NOT(ISNUMBER($D646)),NOT(ISNUMBER($E646)),$E646=0),"",$D646/$E646)</f>
        <v/>
      </c>
      <c r="G646" s="8" t="str">
        <f aca="false">IF(OR(NOT(ISNUMBER($B646)),NOT(ISNUMBER($B401)),$B401=0),"",$B646/$B401-1)</f>
        <v/>
      </c>
      <c r="H646" s="8" t="str">
        <f aca="false">IF(OR(NOT(ISNUMBER($D646)),NOT(ISNUMBER($D401)),$D401=0),"",$D646/$D401-1)</f>
        <v/>
      </c>
      <c r="I646" s="8" t="str">
        <f aca="false">IF(OR(NOT(ISNUMBER($G646)),NOT(ISNUMBER($H646))),"",$G646-$H646)</f>
        <v/>
      </c>
    </row>
    <row r="647" customFormat="false" ht="15" hidden="false" customHeight="false" outlineLevel="0" collapsed="false">
      <c r="A647" s="5" t="str">
        <f aca="false">IF(NOT(ISNUMBER(Macro_Series!$A647)),"",Macro_Series!$A647)</f>
        <v/>
      </c>
      <c r="B647" s="6" t="str">
        <f aca="false">IF(NOT(ISNUMBER(Macro_Series!$C647)),"",Macro_Series!$C647)</f>
        <v/>
      </c>
      <c r="C647" s="6" t="str">
        <f aca="false">IF(NOT(ISNUMBER(Macro_Series!$E647)),"",Macro_Series!$E647)</f>
        <v/>
      </c>
      <c r="D647" s="7" t="str">
        <f aca="false">IF(OR(NOT(ISNUMBER($B647)),NOT(ISNUMBER($C647)),$C647=0),"",$B647/$C647)</f>
        <v/>
      </c>
      <c r="E647" s="7" t="str">
        <f aca="false">IF(NOT(ISNUMBER(Macro_Series!$H647)),"",Macro_Series!$H647)</f>
        <v/>
      </c>
      <c r="F647" s="7" t="str">
        <f aca="false">IF(OR(NOT(ISNUMBER($D647)),NOT(ISNUMBER($E647)),$E647=0),"",$D647/$E647)</f>
        <v/>
      </c>
      <c r="G647" s="8" t="str">
        <f aca="false">IF(OR(NOT(ISNUMBER($B647)),NOT(ISNUMBER($B402)),$B402=0),"",$B647/$B402-1)</f>
        <v/>
      </c>
      <c r="H647" s="8" t="str">
        <f aca="false">IF(OR(NOT(ISNUMBER($D647)),NOT(ISNUMBER($D402)),$D402=0),"",$D647/$D402-1)</f>
        <v/>
      </c>
      <c r="I647" s="8" t="str">
        <f aca="false">IF(OR(NOT(ISNUMBER($G647)),NOT(ISNUMBER($H647))),"",$G647-$H647)</f>
        <v/>
      </c>
    </row>
    <row r="648" customFormat="false" ht="15" hidden="false" customHeight="false" outlineLevel="0" collapsed="false">
      <c r="A648" s="5" t="str">
        <f aca="false">IF(NOT(ISNUMBER(Macro_Series!$A648)),"",Macro_Series!$A648)</f>
        <v/>
      </c>
      <c r="B648" s="6" t="str">
        <f aca="false">IF(NOT(ISNUMBER(Macro_Series!$C648)),"",Macro_Series!$C648)</f>
        <v/>
      </c>
      <c r="C648" s="6" t="str">
        <f aca="false">IF(NOT(ISNUMBER(Macro_Series!$E648)),"",Macro_Series!$E648)</f>
        <v/>
      </c>
      <c r="D648" s="7" t="str">
        <f aca="false">IF(OR(NOT(ISNUMBER($B648)),NOT(ISNUMBER($C648)),$C648=0),"",$B648/$C648)</f>
        <v/>
      </c>
      <c r="E648" s="7" t="str">
        <f aca="false">IF(NOT(ISNUMBER(Macro_Series!$H648)),"",Macro_Series!$H648)</f>
        <v/>
      </c>
      <c r="F648" s="7" t="str">
        <f aca="false">IF(OR(NOT(ISNUMBER($D648)),NOT(ISNUMBER($E648)),$E648=0),"",$D648/$E648)</f>
        <v/>
      </c>
      <c r="G648" s="8" t="str">
        <f aca="false">IF(OR(NOT(ISNUMBER($B648)),NOT(ISNUMBER($B403)),$B403=0),"",$B648/$B403-1)</f>
        <v/>
      </c>
      <c r="H648" s="8" t="str">
        <f aca="false">IF(OR(NOT(ISNUMBER($D648)),NOT(ISNUMBER($D403)),$D403=0),"",$D648/$D403-1)</f>
        <v/>
      </c>
      <c r="I648" s="8" t="str">
        <f aca="false">IF(OR(NOT(ISNUMBER($G648)),NOT(ISNUMBER($H648))),"",$G648-$H648)</f>
        <v/>
      </c>
    </row>
    <row r="649" customFormat="false" ht="15" hidden="false" customHeight="false" outlineLevel="0" collapsed="false">
      <c r="A649" s="5" t="str">
        <f aca="false">IF(NOT(ISNUMBER(Macro_Series!$A649)),"",Macro_Series!$A649)</f>
        <v/>
      </c>
      <c r="B649" s="6" t="str">
        <f aca="false">IF(NOT(ISNUMBER(Macro_Series!$C649)),"",Macro_Series!$C649)</f>
        <v/>
      </c>
      <c r="C649" s="6" t="str">
        <f aca="false">IF(NOT(ISNUMBER(Macro_Series!$E649)),"",Macro_Series!$E649)</f>
        <v/>
      </c>
      <c r="D649" s="7" t="str">
        <f aca="false">IF(OR(NOT(ISNUMBER($B649)),NOT(ISNUMBER($C649)),$C649=0),"",$B649/$C649)</f>
        <v/>
      </c>
      <c r="E649" s="7" t="str">
        <f aca="false">IF(NOT(ISNUMBER(Macro_Series!$H649)),"",Macro_Series!$H649)</f>
        <v/>
      </c>
      <c r="F649" s="7" t="str">
        <f aca="false">IF(OR(NOT(ISNUMBER($D649)),NOT(ISNUMBER($E649)),$E649=0),"",$D649/$E649)</f>
        <v/>
      </c>
      <c r="G649" s="8" t="str">
        <f aca="false">IF(OR(NOT(ISNUMBER($B649)),NOT(ISNUMBER($B404)),$B404=0),"",$B649/$B404-1)</f>
        <v/>
      </c>
      <c r="H649" s="8" t="str">
        <f aca="false">IF(OR(NOT(ISNUMBER($D649)),NOT(ISNUMBER($D404)),$D404=0),"",$D649/$D404-1)</f>
        <v/>
      </c>
      <c r="I649" s="8" t="str">
        <f aca="false">IF(OR(NOT(ISNUMBER($G649)),NOT(ISNUMBER($H649))),"",$G649-$H649)</f>
        <v/>
      </c>
    </row>
    <row r="650" customFormat="false" ht="15" hidden="false" customHeight="false" outlineLevel="0" collapsed="false">
      <c r="A650" s="5" t="str">
        <f aca="false">IF(NOT(ISNUMBER(Macro_Series!$A650)),"",Macro_Series!$A650)</f>
        <v/>
      </c>
      <c r="B650" s="6" t="str">
        <f aca="false">IF(NOT(ISNUMBER(Macro_Series!$C650)),"",Macro_Series!$C650)</f>
        <v/>
      </c>
      <c r="C650" s="6" t="str">
        <f aca="false">IF(NOT(ISNUMBER(Macro_Series!$E650)),"",Macro_Series!$E650)</f>
        <v/>
      </c>
      <c r="D650" s="7" t="str">
        <f aca="false">IF(OR(NOT(ISNUMBER($B650)),NOT(ISNUMBER($C650)),$C650=0),"",$B650/$C650)</f>
        <v/>
      </c>
      <c r="E650" s="7" t="str">
        <f aca="false">IF(NOT(ISNUMBER(Macro_Series!$H650)),"",Macro_Series!$H650)</f>
        <v/>
      </c>
      <c r="F650" s="7" t="str">
        <f aca="false">IF(OR(NOT(ISNUMBER($D650)),NOT(ISNUMBER($E650)),$E650=0),"",$D650/$E650)</f>
        <v/>
      </c>
      <c r="G650" s="8" t="str">
        <f aca="false">IF(OR(NOT(ISNUMBER($B650)),NOT(ISNUMBER($B405)),$B405=0),"",$B650/$B405-1)</f>
        <v/>
      </c>
      <c r="H650" s="8" t="str">
        <f aca="false">IF(OR(NOT(ISNUMBER($D650)),NOT(ISNUMBER($D405)),$D405=0),"",$D650/$D405-1)</f>
        <v/>
      </c>
      <c r="I650" s="8" t="str">
        <f aca="false">IF(OR(NOT(ISNUMBER($G650)),NOT(ISNUMBER($H650))),"",$G650-$H650)</f>
        <v/>
      </c>
    </row>
    <row r="651" customFormat="false" ht="15" hidden="false" customHeight="false" outlineLevel="0" collapsed="false">
      <c r="A651" s="5" t="str">
        <f aca="false">IF(NOT(ISNUMBER(Macro_Series!$A651)),"",Macro_Series!$A651)</f>
        <v/>
      </c>
      <c r="B651" s="6" t="str">
        <f aca="false">IF(NOT(ISNUMBER(Macro_Series!$C651)),"",Macro_Series!$C651)</f>
        <v/>
      </c>
      <c r="C651" s="6" t="str">
        <f aca="false">IF(NOT(ISNUMBER(Macro_Series!$E651)),"",Macro_Series!$E651)</f>
        <v/>
      </c>
      <c r="D651" s="7" t="str">
        <f aca="false">IF(OR(NOT(ISNUMBER($B651)),NOT(ISNUMBER($C651)),$C651=0),"",$B651/$C651)</f>
        <v/>
      </c>
      <c r="E651" s="7" t="str">
        <f aca="false">IF(NOT(ISNUMBER(Macro_Series!$H651)),"",Macro_Series!$H651)</f>
        <v/>
      </c>
      <c r="F651" s="7" t="str">
        <f aca="false">IF(OR(NOT(ISNUMBER($D651)),NOT(ISNUMBER($E651)),$E651=0),"",$D651/$E651)</f>
        <v/>
      </c>
      <c r="G651" s="8" t="str">
        <f aca="false">IF(OR(NOT(ISNUMBER($B651)),NOT(ISNUMBER($B406)),$B406=0),"",$B651/$B406-1)</f>
        <v/>
      </c>
      <c r="H651" s="8" t="str">
        <f aca="false">IF(OR(NOT(ISNUMBER($D651)),NOT(ISNUMBER($D406)),$D406=0),"",$D651/$D406-1)</f>
        <v/>
      </c>
      <c r="I651" s="8" t="str">
        <f aca="false">IF(OR(NOT(ISNUMBER($G651)),NOT(ISNUMBER($H651))),"",$G651-$H651)</f>
        <v/>
      </c>
    </row>
    <row r="652" customFormat="false" ht="15" hidden="false" customHeight="false" outlineLevel="0" collapsed="false">
      <c r="A652" s="5" t="str">
        <f aca="false">IF(NOT(ISNUMBER(Macro_Series!$A652)),"",Macro_Series!$A652)</f>
        <v/>
      </c>
      <c r="B652" s="6" t="str">
        <f aca="false">IF(NOT(ISNUMBER(Macro_Series!$C652)),"",Macro_Series!$C652)</f>
        <v/>
      </c>
      <c r="C652" s="6" t="str">
        <f aca="false">IF(NOT(ISNUMBER(Macro_Series!$E652)),"",Macro_Series!$E652)</f>
        <v/>
      </c>
      <c r="D652" s="7" t="str">
        <f aca="false">IF(OR(NOT(ISNUMBER($B652)),NOT(ISNUMBER($C652)),$C652=0),"",$B652/$C652)</f>
        <v/>
      </c>
      <c r="E652" s="7" t="str">
        <f aca="false">IF(NOT(ISNUMBER(Macro_Series!$H652)),"",Macro_Series!$H652)</f>
        <v/>
      </c>
      <c r="F652" s="7" t="str">
        <f aca="false">IF(OR(NOT(ISNUMBER($D652)),NOT(ISNUMBER($E652)),$E652=0),"",$D652/$E652)</f>
        <v/>
      </c>
      <c r="G652" s="8" t="str">
        <f aca="false">IF(OR(NOT(ISNUMBER($B652)),NOT(ISNUMBER($B407)),$B407=0),"",$B652/$B407-1)</f>
        <v/>
      </c>
      <c r="H652" s="8" t="str">
        <f aca="false">IF(OR(NOT(ISNUMBER($D652)),NOT(ISNUMBER($D407)),$D407=0),"",$D652/$D407-1)</f>
        <v/>
      </c>
      <c r="I652" s="8" t="str">
        <f aca="false">IF(OR(NOT(ISNUMBER($G652)),NOT(ISNUMBER($H652))),"",$G652-$H652)</f>
        <v/>
      </c>
    </row>
    <row r="653" customFormat="false" ht="15" hidden="false" customHeight="false" outlineLevel="0" collapsed="false">
      <c r="A653" s="5" t="str">
        <f aca="false">IF(NOT(ISNUMBER(Macro_Series!$A653)),"",Macro_Series!$A653)</f>
        <v/>
      </c>
      <c r="B653" s="6" t="str">
        <f aca="false">IF(NOT(ISNUMBER(Macro_Series!$C653)),"",Macro_Series!$C653)</f>
        <v/>
      </c>
      <c r="C653" s="6" t="str">
        <f aca="false">IF(NOT(ISNUMBER(Macro_Series!$E653)),"",Macro_Series!$E653)</f>
        <v/>
      </c>
      <c r="D653" s="7" t="str">
        <f aca="false">IF(OR(NOT(ISNUMBER($B653)),NOT(ISNUMBER($C653)),$C653=0),"",$B653/$C653)</f>
        <v/>
      </c>
      <c r="E653" s="7" t="str">
        <f aca="false">IF(NOT(ISNUMBER(Macro_Series!$H653)),"",Macro_Series!$H653)</f>
        <v/>
      </c>
      <c r="F653" s="7" t="str">
        <f aca="false">IF(OR(NOT(ISNUMBER($D653)),NOT(ISNUMBER($E653)),$E653=0),"",$D653/$E653)</f>
        <v/>
      </c>
      <c r="G653" s="8" t="str">
        <f aca="false">IF(OR(NOT(ISNUMBER($B653)),NOT(ISNUMBER($B408)),$B408=0),"",$B653/$B408-1)</f>
        <v/>
      </c>
      <c r="H653" s="8" t="str">
        <f aca="false">IF(OR(NOT(ISNUMBER($D653)),NOT(ISNUMBER($D408)),$D408=0),"",$D653/$D408-1)</f>
        <v/>
      </c>
      <c r="I653" s="8" t="str">
        <f aca="false">IF(OR(NOT(ISNUMBER($G653)),NOT(ISNUMBER($H653))),"",$G653-$H653)</f>
        <v/>
      </c>
    </row>
    <row r="654" customFormat="false" ht="15" hidden="false" customHeight="false" outlineLevel="0" collapsed="false">
      <c r="A654" s="5" t="str">
        <f aca="false">IF(NOT(ISNUMBER(Macro_Series!$A654)),"",Macro_Series!$A654)</f>
        <v/>
      </c>
      <c r="B654" s="6" t="str">
        <f aca="false">IF(NOT(ISNUMBER(Macro_Series!$C654)),"",Macro_Series!$C654)</f>
        <v/>
      </c>
      <c r="C654" s="6" t="str">
        <f aca="false">IF(NOT(ISNUMBER(Macro_Series!$E654)),"",Macro_Series!$E654)</f>
        <v/>
      </c>
      <c r="D654" s="7" t="str">
        <f aca="false">IF(OR(NOT(ISNUMBER($B654)),NOT(ISNUMBER($C654)),$C654=0),"",$B654/$C654)</f>
        <v/>
      </c>
      <c r="E654" s="7" t="str">
        <f aca="false">IF(NOT(ISNUMBER(Macro_Series!$H654)),"",Macro_Series!$H654)</f>
        <v/>
      </c>
      <c r="F654" s="7" t="str">
        <f aca="false">IF(OR(NOT(ISNUMBER($D654)),NOT(ISNUMBER($E654)),$E654=0),"",$D654/$E654)</f>
        <v/>
      </c>
      <c r="G654" s="8" t="str">
        <f aca="false">IF(OR(NOT(ISNUMBER($B654)),NOT(ISNUMBER($B409)),$B409=0),"",$B654/$B409-1)</f>
        <v/>
      </c>
      <c r="H654" s="8" t="str">
        <f aca="false">IF(OR(NOT(ISNUMBER($D654)),NOT(ISNUMBER($D409)),$D409=0),"",$D654/$D409-1)</f>
        <v/>
      </c>
      <c r="I654" s="8" t="str">
        <f aca="false">IF(OR(NOT(ISNUMBER($G654)),NOT(ISNUMBER($H654))),"",$G654-$H654)</f>
        <v/>
      </c>
    </row>
    <row r="655" customFormat="false" ht="15" hidden="false" customHeight="false" outlineLevel="0" collapsed="false">
      <c r="A655" s="5" t="str">
        <f aca="false">IF(NOT(ISNUMBER(Macro_Series!$A655)),"",Macro_Series!$A655)</f>
        <v/>
      </c>
      <c r="B655" s="6" t="str">
        <f aca="false">IF(NOT(ISNUMBER(Macro_Series!$C655)),"",Macro_Series!$C655)</f>
        <v/>
      </c>
      <c r="C655" s="6" t="str">
        <f aca="false">IF(NOT(ISNUMBER(Macro_Series!$E655)),"",Macro_Series!$E655)</f>
        <v/>
      </c>
      <c r="D655" s="7" t="str">
        <f aca="false">IF(OR(NOT(ISNUMBER($B655)),NOT(ISNUMBER($C655)),$C655=0),"",$B655/$C655)</f>
        <v/>
      </c>
      <c r="E655" s="7" t="str">
        <f aca="false">IF(NOT(ISNUMBER(Macro_Series!$H655)),"",Macro_Series!$H655)</f>
        <v/>
      </c>
      <c r="F655" s="7" t="str">
        <f aca="false">IF(OR(NOT(ISNUMBER($D655)),NOT(ISNUMBER($E655)),$E655=0),"",$D655/$E655)</f>
        <v/>
      </c>
      <c r="G655" s="8" t="str">
        <f aca="false">IF(OR(NOT(ISNUMBER($B655)),NOT(ISNUMBER($B410)),$B410=0),"",$B655/$B410-1)</f>
        <v/>
      </c>
      <c r="H655" s="8" t="str">
        <f aca="false">IF(OR(NOT(ISNUMBER($D655)),NOT(ISNUMBER($D410)),$D410=0),"",$D655/$D410-1)</f>
        <v/>
      </c>
      <c r="I655" s="8" t="str">
        <f aca="false">IF(OR(NOT(ISNUMBER($G655)),NOT(ISNUMBER($H655))),"",$G655-$H655)</f>
        <v/>
      </c>
    </row>
    <row r="656" customFormat="false" ht="15" hidden="false" customHeight="false" outlineLevel="0" collapsed="false">
      <c r="A656" s="5" t="str">
        <f aca="false">IF(NOT(ISNUMBER(Macro_Series!$A656)),"",Macro_Series!$A656)</f>
        <v/>
      </c>
      <c r="B656" s="6" t="str">
        <f aca="false">IF(NOT(ISNUMBER(Macro_Series!$C656)),"",Macro_Series!$C656)</f>
        <v/>
      </c>
      <c r="C656" s="6" t="str">
        <f aca="false">IF(NOT(ISNUMBER(Macro_Series!$E656)),"",Macro_Series!$E656)</f>
        <v/>
      </c>
      <c r="D656" s="7" t="str">
        <f aca="false">IF(OR(NOT(ISNUMBER($B656)),NOT(ISNUMBER($C656)),$C656=0),"",$B656/$C656)</f>
        <v/>
      </c>
      <c r="E656" s="7" t="str">
        <f aca="false">IF(NOT(ISNUMBER(Macro_Series!$H656)),"",Macro_Series!$H656)</f>
        <v/>
      </c>
      <c r="F656" s="7" t="str">
        <f aca="false">IF(OR(NOT(ISNUMBER($D656)),NOT(ISNUMBER($E656)),$E656=0),"",$D656/$E656)</f>
        <v/>
      </c>
      <c r="G656" s="8" t="str">
        <f aca="false">IF(OR(NOT(ISNUMBER($B656)),NOT(ISNUMBER($B411)),$B411=0),"",$B656/$B411-1)</f>
        <v/>
      </c>
      <c r="H656" s="8" t="str">
        <f aca="false">IF(OR(NOT(ISNUMBER($D656)),NOT(ISNUMBER($D411)),$D411=0),"",$D656/$D411-1)</f>
        <v/>
      </c>
      <c r="I656" s="8" t="str">
        <f aca="false">IF(OR(NOT(ISNUMBER($G656)),NOT(ISNUMBER($H656))),"",$G656-$H656)</f>
        <v/>
      </c>
    </row>
    <row r="657" customFormat="false" ht="15" hidden="false" customHeight="false" outlineLevel="0" collapsed="false">
      <c r="A657" s="5" t="str">
        <f aca="false">IF(NOT(ISNUMBER(Macro_Series!$A657)),"",Macro_Series!$A657)</f>
        <v/>
      </c>
      <c r="B657" s="6" t="str">
        <f aca="false">IF(NOT(ISNUMBER(Macro_Series!$C657)),"",Macro_Series!$C657)</f>
        <v/>
      </c>
      <c r="C657" s="6" t="str">
        <f aca="false">IF(NOT(ISNUMBER(Macro_Series!$E657)),"",Macro_Series!$E657)</f>
        <v/>
      </c>
      <c r="D657" s="7" t="str">
        <f aca="false">IF(OR(NOT(ISNUMBER($B657)),NOT(ISNUMBER($C657)),$C657=0),"",$B657/$C657)</f>
        <v/>
      </c>
      <c r="E657" s="7" t="str">
        <f aca="false">IF(NOT(ISNUMBER(Macro_Series!$H657)),"",Macro_Series!$H657)</f>
        <v/>
      </c>
      <c r="F657" s="7" t="str">
        <f aca="false">IF(OR(NOT(ISNUMBER($D657)),NOT(ISNUMBER($E657)),$E657=0),"",$D657/$E657)</f>
        <v/>
      </c>
      <c r="G657" s="8" t="str">
        <f aca="false">IF(OR(NOT(ISNUMBER($B657)),NOT(ISNUMBER($B412)),$B412=0),"",$B657/$B412-1)</f>
        <v/>
      </c>
      <c r="H657" s="8" t="str">
        <f aca="false">IF(OR(NOT(ISNUMBER($D657)),NOT(ISNUMBER($D412)),$D412=0),"",$D657/$D412-1)</f>
        <v/>
      </c>
      <c r="I657" s="8" t="str">
        <f aca="false">IF(OR(NOT(ISNUMBER($G657)),NOT(ISNUMBER($H657))),"",$G657-$H657)</f>
        <v/>
      </c>
    </row>
    <row r="658" customFormat="false" ht="15" hidden="false" customHeight="false" outlineLevel="0" collapsed="false">
      <c r="A658" s="5" t="str">
        <f aca="false">IF(NOT(ISNUMBER(Macro_Series!$A658)),"",Macro_Series!$A658)</f>
        <v/>
      </c>
      <c r="B658" s="6" t="str">
        <f aca="false">IF(NOT(ISNUMBER(Macro_Series!$C658)),"",Macro_Series!$C658)</f>
        <v/>
      </c>
      <c r="C658" s="6" t="str">
        <f aca="false">IF(NOT(ISNUMBER(Macro_Series!$E658)),"",Macro_Series!$E658)</f>
        <v/>
      </c>
      <c r="D658" s="7" t="str">
        <f aca="false">IF(OR(NOT(ISNUMBER($B658)),NOT(ISNUMBER($C658)),$C658=0),"",$B658/$C658)</f>
        <v/>
      </c>
      <c r="E658" s="7" t="str">
        <f aca="false">IF(NOT(ISNUMBER(Macro_Series!$H658)),"",Macro_Series!$H658)</f>
        <v/>
      </c>
      <c r="F658" s="7" t="str">
        <f aca="false">IF(OR(NOT(ISNUMBER($D658)),NOT(ISNUMBER($E658)),$E658=0),"",$D658/$E658)</f>
        <v/>
      </c>
      <c r="G658" s="8" t="str">
        <f aca="false">IF(OR(NOT(ISNUMBER($B658)),NOT(ISNUMBER($B413)),$B413=0),"",$B658/$B413-1)</f>
        <v/>
      </c>
      <c r="H658" s="8" t="str">
        <f aca="false">IF(OR(NOT(ISNUMBER($D658)),NOT(ISNUMBER($D413)),$D413=0),"",$D658/$D413-1)</f>
        <v/>
      </c>
      <c r="I658" s="8" t="str">
        <f aca="false">IF(OR(NOT(ISNUMBER($G658)),NOT(ISNUMBER($H658))),"",$G658-$H658)</f>
        <v/>
      </c>
    </row>
    <row r="659" customFormat="false" ht="15" hidden="false" customHeight="false" outlineLevel="0" collapsed="false">
      <c r="A659" s="5" t="str">
        <f aca="false">IF(NOT(ISNUMBER(Macro_Series!$A659)),"",Macro_Series!$A659)</f>
        <v/>
      </c>
      <c r="B659" s="6" t="str">
        <f aca="false">IF(NOT(ISNUMBER(Macro_Series!$C659)),"",Macro_Series!$C659)</f>
        <v/>
      </c>
      <c r="C659" s="6" t="str">
        <f aca="false">IF(NOT(ISNUMBER(Macro_Series!$E659)),"",Macro_Series!$E659)</f>
        <v/>
      </c>
      <c r="D659" s="7" t="str">
        <f aca="false">IF(OR(NOT(ISNUMBER($B659)),NOT(ISNUMBER($C659)),$C659=0),"",$B659/$C659)</f>
        <v/>
      </c>
      <c r="E659" s="7" t="str">
        <f aca="false">IF(NOT(ISNUMBER(Macro_Series!$H659)),"",Macro_Series!$H659)</f>
        <v/>
      </c>
      <c r="F659" s="7" t="str">
        <f aca="false">IF(OR(NOT(ISNUMBER($D659)),NOT(ISNUMBER($E659)),$E659=0),"",$D659/$E659)</f>
        <v/>
      </c>
      <c r="G659" s="8" t="str">
        <f aca="false">IF(OR(NOT(ISNUMBER($B659)),NOT(ISNUMBER($B414)),$B414=0),"",$B659/$B414-1)</f>
        <v/>
      </c>
      <c r="H659" s="8" t="str">
        <f aca="false">IF(OR(NOT(ISNUMBER($D659)),NOT(ISNUMBER($D414)),$D414=0),"",$D659/$D414-1)</f>
        <v/>
      </c>
      <c r="I659" s="8" t="str">
        <f aca="false">IF(OR(NOT(ISNUMBER($G659)),NOT(ISNUMBER($H659))),"",$G659-$H659)</f>
        <v/>
      </c>
    </row>
    <row r="660" customFormat="false" ht="15" hidden="false" customHeight="false" outlineLevel="0" collapsed="false">
      <c r="A660" s="5" t="str">
        <f aca="false">IF(NOT(ISNUMBER(Macro_Series!$A660)),"",Macro_Series!$A660)</f>
        <v/>
      </c>
      <c r="B660" s="6" t="str">
        <f aca="false">IF(NOT(ISNUMBER(Macro_Series!$C660)),"",Macro_Series!$C660)</f>
        <v/>
      </c>
      <c r="C660" s="6" t="str">
        <f aca="false">IF(NOT(ISNUMBER(Macro_Series!$E660)),"",Macro_Series!$E660)</f>
        <v/>
      </c>
      <c r="D660" s="7" t="str">
        <f aca="false">IF(OR(NOT(ISNUMBER($B660)),NOT(ISNUMBER($C660)),$C660=0),"",$B660/$C660)</f>
        <v/>
      </c>
      <c r="E660" s="7" t="str">
        <f aca="false">IF(NOT(ISNUMBER(Macro_Series!$H660)),"",Macro_Series!$H660)</f>
        <v/>
      </c>
      <c r="F660" s="7" t="str">
        <f aca="false">IF(OR(NOT(ISNUMBER($D660)),NOT(ISNUMBER($E660)),$E660=0),"",$D660/$E660)</f>
        <v/>
      </c>
      <c r="G660" s="8" t="str">
        <f aca="false">IF(OR(NOT(ISNUMBER($B660)),NOT(ISNUMBER($B415)),$B415=0),"",$B660/$B415-1)</f>
        <v/>
      </c>
      <c r="H660" s="8" t="str">
        <f aca="false">IF(OR(NOT(ISNUMBER($D660)),NOT(ISNUMBER($D415)),$D415=0),"",$D660/$D415-1)</f>
        <v/>
      </c>
      <c r="I660" s="8" t="str">
        <f aca="false">IF(OR(NOT(ISNUMBER($G660)),NOT(ISNUMBER($H660))),"",$G660-$H660)</f>
        <v/>
      </c>
    </row>
    <row r="661" customFormat="false" ht="15" hidden="false" customHeight="false" outlineLevel="0" collapsed="false">
      <c r="A661" s="5" t="str">
        <f aca="false">IF(NOT(ISNUMBER(Macro_Series!$A661)),"",Macro_Series!$A661)</f>
        <v/>
      </c>
      <c r="B661" s="6" t="str">
        <f aca="false">IF(NOT(ISNUMBER(Macro_Series!$C661)),"",Macro_Series!$C661)</f>
        <v/>
      </c>
      <c r="C661" s="6" t="str">
        <f aca="false">IF(NOT(ISNUMBER(Macro_Series!$E661)),"",Macro_Series!$E661)</f>
        <v/>
      </c>
      <c r="D661" s="7" t="str">
        <f aca="false">IF(OR(NOT(ISNUMBER($B661)),NOT(ISNUMBER($C661)),$C661=0),"",$B661/$C661)</f>
        <v/>
      </c>
      <c r="E661" s="7" t="str">
        <f aca="false">IF(NOT(ISNUMBER(Macro_Series!$H661)),"",Macro_Series!$H661)</f>
        <v/>
      </c>
      <c r="F661" s="7" t="str">
        <f aca="false">IF(OR(NOT(ISNUMBER($D661)),NOT(ISNUMBER($E661)),$E661=0),"",$D661/$E661)</f>
        <v/>
      </c>
      <c r="G661" s="8" t="str">
        <f aca="false">IF(OR(NOT(ISNUMBER($B661)),NOT(ISNUMBER($B416)),$B416=0),"",$B661/$B416-1)</f>
        <v/>
      </c>
      <c r="H661" s="8" t="str">
        <f aca="false">IF(OR(NOT(ISNUMBER($D661)),NOT(ISNUMBER($D416)),$D416=0),"",$D661/$D416-1)</f>
        <v/>
      </c>
      <c r="I661" s="8" t="str">
        <f aca="false">IF(OR(NOT(ISNUMBER($G661)),NOT(ISNUMBER($H661))),"",$G661-$H661)</f>
        <v/>
      </c>
    </row>
    <row r="662" customFormat="false" ht="15" hidden="false" customHeight="false" outlineLevel="0" collapsed="false">
      <c r="A662" s="5" t="str">
        <f aca="false">IF(NOT(ISNUMBER(Macro_Series!$A662)),"",Macro_Series!$A662)</f>
        <v/>
      </c>
      <c r="B662" s="6" t="str">
        <f aca="false">IF(NOT(ISNUMBER(Macro_Series!$C662)),"",Macro_Series!$C662)</f>
        <v/>
      </c>
      <c r="C662" s="6" t="str">
        <f aca="false">IF(NOT(ISNUMBER(Macro_Series!$E662)),"",Macro_Series!$E662)</f>
        <v/>
      </c>
      <c r="D662" s="7" t="str">
        <f aca="false">IF(OR(NOT(ISNUMBER($B662)),NOT(ISNUMBER($C662)),$C662=0),"",$B662/$C662)</f>
        <v/>
      </c>
      <c r="E662" s="7" t="str">
        <f aca="false">IF(NOT(ISNUMBER(Macro_Series!$H662)),"",Macro_Series!$H662)</f>
        <v/>
      </c>
      <c r="F662" s="7" t="str">
        <f aca="false">IF(OR(NOT(ISNUMBER($D662)),NOT(ISNUMBER($E662)),$E662=0),"",$D662/$E662)</f>
        <v/>
      </c>
      <c r="G662" s="8" t="str">
        <f aca="false">IF(OR(NOT(ISNUMBER($B662)),NOT(ISNUMBER($B417)),$B417=0),"",$B662/$B417-1)</f>
        <v/>
      </c>
      <c r="H662" s="8" t="str">
        <f aca="false">IF(OR(NOT(ISNUMBER($D662)),NOT(ISNUMBER($D417)),$D417=0),"",$D662/$D417-1)</f>
        <v/>
      </c>
      <c r="I662" s="8" t="str">
        <f aca="false">IF(OR(NOT(ISNUMBER($G662)),NOT(ISNUMBER($H662))),"",$G662-$H662)</f>
        <v/>
      </c>
    </row>
    <row r="663" customFormat="false" ht="15" hidden="false" customHeight="false" outlineLevel="0" collapsed="false">
      <c r="A663" s="5" t="str">
        <f aca="false">IF(NOT(ISNUMBER(Macro_Series!$A663)),"",Macro_Series!$A663)</f>
        <v/>
      </c>
      <c r="B663" s="6" t="str">
        <f aca="false">IF(NOT(ISNUMBER(Macro_Series!$C663)),"",Macro_Series!$C663)</f>
        <v/>
      </c>
      <c r="C663" s="6" t="str">
        <f aca="false">IF(NOT(ISNUMBER(Macro_Series!$E663)),"",Macro_Series!$E663)</f>
        <v/>
      </c>
      <c r="D663" s="7" t="str">
        <f aca="false">IF(OR(NOT(ISNUMBER($B663)),NOT(ISNUMBER($C663)),$C663=0),"",$B663/$C663)</f>
        <v/>
      </c>
      <c r="E663" s="7" t="str">
        <f aca="false">IF(NOT(ISNUMBER(Macro_Series!$H663)),"",Macro_Series!$H663)</f>
        <v/>
      </c>
      <c r="F663" s="7" t="str">
        <f aca="false">IF(OR(NOT(ISNUMBER($D663)),NOT(ISNUMBER($E663)),$E663=0),"",$D663/$E663)</f>
        <v/>
      </c>
      <c r="G663" s="8" t="str">
        <f aca="false">IF(OR(NOT(ISNUMBER($B663)),NOT(ISNUMBER($B418)),$B418=0),"",$B663/$B418-1)</f>
        <v/>
      </c>
      <c r="H663" s="8" t="str">
        <f aca="false">IF(OR(NOT(ISNUMBER($D663)),NOT(ISNUMBER($D418)),$D418=0),"",$D663/$D418-1)</f>
        <v/>
      </c>
      <c r="I663" s="8" t="str">
        <f aca="false">IF(OR(NOT(ISNUMBER($G663)),NOT(ISNUMBER($H663))),"",$G663-$H663)</f>
        <v/>
      </c>
    </row>
    <row r="664" customFormat="false" ht="15" hidden="false" customHeight="false" outlineLevel="0" collapsed="false">
      <c r="A664" s="5" t="str">
        <f aca="false">IF(NOT(ISNUMBER(Macro_Series!$A664)),"",Macro_Series!$A664)</f>
        <v/>
      </c>
      <c r="B664" s="6" t="str">
        <f aca="false">IF(NOT(ISNUMBER(Macro_Series!$C664)),"",Macro_Series!$C664)</f>
        <v/>
      </c>
      <c r="C664" s="6" t="str">
        <f aca="false">IF(NOT(ISNUMBER(Macro_Series!$E664)),"",Macro_Series!$E664)</f>
        <v/>
      </c>
      <c r="D664" s="7" t="str">
        <f aca="false">IF(OR(NOT(ISNUMBER($B664)),NOT(ISNUMBER($C664)),$C664=0),"",$B664/$C664)</f>
        <v/>
      </c>
      <c r="E664" s="7" t="str">
        <f aca="false">IF(NOT(ISNUMBER(Macro_Series!$H664)),"",Macro_Series!$H664)</f>
        <v/>
      </c>
      <c r="F664" s="7" t="str">
        <f aca="false">IF(OR(NOT(ISNUMBER($D664)),NOT(ISNUMBER($E664)),$E664=0),"",$D664/$E664)</f>
        <v/>
      </c>
      <c r="G664" s="8" t="str">
        <f aca="false">IF(OR(NOT(ISNUMBER($B664)),NOT(ISNUMBER($B419)),$B419=0),"",$B664/$B419-1)</f>
        <v/>
      </c>
      <c r="H664" s="8" t="str">
        <f aca="false">IF(OR(NOT(ISNUMBER($D664)),NOT(ISNUMBER($D419)),$D419=0),"",$D664/$D419-1)</f>
        <v/>
      </c>
      <c r="I664" s="8" t="str">
        <f aca="false">IF(OR(NOT(ISNUMBER($G664)),NOT(ISNUMBER($H664))),"",$G664-$H664)</f>
        <v/>
      </c>
    </row>
    <row r="665" customFormat="false" ht="15" hidden="false" customHeight="false" outlineLevel="0" collapsed="false">
      <c r="A665" s="5" t="str">
        <f aca="false">IF(NOT(ISNUMBER(Macro_Series!$A665)),"",Macro_Series!$A665)</f>
        <v/>
      </c>
      <c r="B665" s="6" t="str">
        <f aca="false">IF(NOT(ISNUMBER(Macro_Series!$C665)),"",Macro_Series!$C665)</f>
        <v/>
      </c>
      <c r="C665" s="6" t="str">
        <f aca="false">IF(NOT(ISNUMBER(Macro_Series!$E665)),"",Macro_Series!$E665)</f>
        <v/>
      </c>
      <c r="D665" s="7" t="str">
        <f aca="false">IF(OR(NOT(ISNUMBER($B665)),NOT(ISNUMBER($C665)),$C665=0),"",$B665/$C665)</f>
        <v/>
      </c>
      <c r="E665" s="7" t="str">
        <f aca="false">IF(NOT(ISNUMBER(Macro_Series!$H665)),"",Macro_Series!$H665)</f>
        <v/>
      </c>
      <c r="F665" s="7" t="str">
        <f aca="false">IF(OR(NOT(ISNUMBER($D665)),NOT(ISNUMBER($E665)),$E665=0),"",$D665/$E665)</f>
        <v/>
      </c>
      <c r="G665" s="8" t="str">
        <f aca="false">IF(OR(NOT(ISNUMBER($B665)),NOT(ISNUMBER($B420)),$B420=0),"",$B665/$B420-1)</f>
        <v/>
      </c>
      <c r="H665" s="8" t="str">
        <f aca="false">IF(OR(NOT(ISNUMBER($D665)),NOT(ISNUMBER($D420)),$D420=0),"",$D665/$D420-1)</f>
        <v/>
      </c>
      <c r="I665" s="8" t="str">
        <f aca="false">IF(OR(NOT(ISNUMBER($G665)),NOT(ISNUMBER($H665))),"",$G665-$H665)</f>
        <v/>
      </c>
    </row>
    <row r="666" customFormat="false" ht="15" hidden="false" customHeight="false" outlineLevel="0" collapsed="false">
      <c r="A666" s="5" t="str">
        <f aca="false">IF(NOT(ISNUMBER(Macro_Series!$A666)),"",Macro_Series!$A666)</f>
        <v/>
      </c>
      <c r="B666" s="6" t="str">
        <f aca="false">IF(NOT(ISNUMBER(Macro_Series!$C666)),"",Macro_Series!$C666)</f>
        <v/>
      </c>
      <c r="C666" s="6" t="str">
        <f aca="false">IF(NOT(ISNUMBER(Macro_Series!$E666)),"",Macro_Series!$E666)</f>
        <v/>
      </c>
      <c r="D666" s="7" t="str">
        <f aca="false">IF(OR(NOT(ISNUMBER($B666)),NOT(ISNUMBER($C666)),$C666=0),"",$B666/$C666)</f>
        <v/>
      </c>
      <c r="E666" s="7" t="str">
        <f aca="false">IF(NOT(ISNUMBER(Macro_Series!$H666)),"",Macro_Series!$H666)</f>
        <v/>
      </c>
      <c r="F666" s="7" t="str">
        <f aca="false">IF(OR(NOT(ISNUMBER($D666)),NOT(ISNUMBER($E666)),$E666=0),"",$D666/$E666)</f>
        <v/>
      </c>
      <c r="G666" s="8" t="str">
        <f aca="false">IF(OR(NOT(ISNUMBER($B666)),NOT(ISNUMBER($B421)),$B421=0),"",$B666/$B421-1)</f>
        <v/>
      </c>
      <c r="H666" s="8" t="str">
        <f aca="false">IF(OR(NOT(ISNUMBER($D666)),NOT(ISNUMBER($D421)),$D421=0),"",$D666/$D421-1)</f>
        <v/>
      </c>
      <c r="I666" s="8" t="str">
        <f aca="false">IF(OR(NOT(ISNUMBER($G666)),NOT(ISNUMBER($H666))),"",$G666-$H666)</f>
        <v/>
      </c>
    </row>
    <row r="667" customFormat="false" ht="15" hidden="false" customHeight="false" outlineLevel="0" collapsed="false">
      <c r="A667" s="5" t="str">
        <f aca="false">IF(NOT(ISNUMBER(Macro_Series!$A667)),"",Macro_Series!$A667)</f>
        <v/>
      </c>
      <c r="B667" s="6" t="str">
        <f aca="false">IF(NOT(ISNUMBER(Macro_Series!$C667)),"",Macro_Series!$C667)</f>
        <v/>
      </c>
      <c r="C667" s="6" t="str">
        <f aca="false">IF(NOT(ISNUMBER(Macro_Series!$E667)),"",Macro_Series!$E667)</f>
        <v/>
      </c>
      <c r="D667" s="7" t="str">
        <f aca="false">IF(OR(NOT(ISNUMBER($B667)),NOT(ISNUMBER($C667)),$C667=0),"",$B667/$C667)</f>
        <v/>
      </c>
      <c r="E667" s="7" t="str">
        <f aca="false">IF(NOT(ISNUMBER(Macro_Series!$H667)),"",Macro_Series!$H667)</f>
        <v/>
      </c>
      <c r="F667" s="7" t="str">
        <f aca="false">IF(OR(NOT(ISNUMBER($D667)),NOT(ISNUMBER($E667)),$E667=0),"",$D667/$E667)</f>
        <v/>
      </c>
      <c r="G667" s="8" t="str">
        <f aca="false">IF(OR(NOT(ISNUMBER($B667)),NOT(ISNUMBER($B422)),$B422=0),"",$B667/$B422-1)</f>
        <v/>
      </c>
      <c r="H667" s="8" t="str">
        <f aca="false">IF(OR(NOT(ISNUMBER($D667)),NOT(ISNUMBER($D422)),$D422=0),"",$D667/$D422-1)</f>
        <v/>
      </c>
      <c r="I667" s="8" t="str">
        <f aca="false">IF(OR(NOT(ISNUMBER($G667)),NOT(ISNUMBER($H667))),"",$G667-$H667)</f>
        <v/>
      </c>
    </row>
    <row r="668" customFormat="false" ht="15" hidden="false" customHeight="false" outlineLevel="0" collapsed="false">
      <c r="A668" s="5" t="str">
        <f aca="false">IF(NOT(ISNUMBER(Macro_Series!$A668)),"",Macro_Series!$A668)</f>
        <v/>
      </c>
      <c r="B668" s="6" t="str">
        <f aca="false">IF(NOT(ISNUMBER(Macro_Series!$C668)),"",Macro_Series!$C668)</f>
        <v/>
      </c>
      <c r="C668" s="6" t="str">
        <f aca="false">IF(NOT(ISNUMBER(Macro_Series!$E668)),"",Macro_Series!$E668)</f>
        <v/>
      </c>
      <c r="D668" s="7" t="str">
        <f aca="false">IF(OR(NOT(ISNUMBER($B668)),NOT(ISNUMBER($C668)),$C668=0),"",$B668/$C668)</f>
        <v/>
      </c>
      <c r="E668" s="7" t="str">
        <f aca="false">IF(NOT(ISNUMBER(Macro_Series!$H668)),"",Macro_Series!$H668)</f>
        <v/>
      </c>
      <c r="F668" s="7" t="str">
        <f aca="false">IF(OR(NOT(ISNUMBER($D668)),NOT(ISNUMBER($E668)),$E668=0),"",$D668/$E668)</f>
        <v/>
      </c>
      <c r="G668" s="8" t="str">
        <f aca="false">IF(OR(NOT(ISNUMBER($B668)),NOT(ISNUMBER($B423)),$B423=0),"",$B668/$B423-1)</f>
        <v/>
      </c>
      <c r="H668" s="8" t="str">
        <f aca="false">IF(OR(NOT(ISNUMBER($D668)),NOT(ISNUMBER($D423)),$D423=0),"",$D668/$D423-1)</f>
        <v/>
      </c>
      <c r="I668" s="8" t="str">
        <f aca="false">IF(OR(NOT(ISNUMBER($G668)),NOT(ISNUMBER($H668))),"",$G668-$H668)</f>
        <v/>
      </c>
    </row>
    <row r="669" customFormat="false" ht="15" hidden="false" customHeight="false" outlineLevel="0" collapsed="false">
      <c r="A669" s="5" t="str">
        <f aca="false">IF(NOT(ISNUMBER(Macro_Series!$A669)),"",Macro_Series!$A669)</f>
        <v/>
      </c>
      <c r="B669" s="6" t="str">
        <f aca="false">IF(NOT(ISNUMBER(Macro_Series!$C669)),"",Macro_Series!$C669)</f>
        <v/>
      </c>
      <c r="C669" s="6" t="str">
        <f aca="false">IF(NOT(ISNUMBER(Macro_Series!$E669)),"",Macro_Series!$E669)</f>
        <v/>
      </c>
      <c r="D669" s="7" t="str">
        <f aca="false">IF(OR(NOT(ISNUMBER($B669)),NOT(ISNUMBER($C669)),$C669=0),"",$B669/$C669)</f>
        <v/>
      </c>
      <c r="E669" s="7" t="str">
        <f aca="false">IF(NOT(ISNUMBER(Macro_Series!$H669)),"",Macro_Series!$H669)</f>
        <v/>
      </c>
      <c r="F669" s="7" t="str">
        <f aca="false">IF(OR(NOT(ISNUMBER($D669)),NOT(ISNUMBER($E669)),$E669=0),"",$D669/$E669)</f>
        <v/>
      </c>
      <c r="G669" s="8" t="str">
        <f aca="false">IF(OR(NOT(ISNUMBER($B669)),NOT(ISNUMBER($B424)),$B424=0),"",$B669/$B424-1)</f>
        <v/>
      </c>
      <c r="H669" s="8" t="str">
        <f aca="false">IF(OR(NOT(ISNUMBER($D669)),NOT(ISNUMBER($D424)),$D424=0),"",$D669/$D424-1)</f>
        <v/>
      </c>
      <c r="I669" s="8" t="str">
        <f aca="false">IF(OR(NOT(ISNUMBER($G669)),NOT(ISNUMBER($H669))),"",$G669-$H669)</f>
        <v/>
      </c>
    </row>
    <row r="670" customFormat="false" ht="15" hidden="false" customHeight="false" outlineLevel="0" collapsed="false">
      <c r="A670" s="5" t="str">
        <f aca="false">IF(NOT(ISNUMBER(Macro_Series!$A670)),"",Macro_Series!$A670)</f>
        <v/>
      </c>
      <c r="B670" s="6" t="str">
        <f aca="false">IF(NOT(ISNUMBER(Macro_Series!$C670)),"",Macro_Series!$C670)</f>
        <v/>
      </c>
      <c r="C670" s="6" t="str">
        <f aca="false">IF(NOT(ISNUMBER(Macro_Series!$E670)),"",Macro_Series!$E670)</f>
        <v/>
      </c>
      <c r="D670" s="7" t="str">
        <f aca="false">IF(OR(NOT(ISNUMBER($B670)),NOT(ISNUMBER($C670)),$C670=0),"",$B670/$C670)</f>
        <v/>
      </c>
      <c r="E670" s="7" t="str">
        <f aca="false">IF(NOT(ISNUMBER(Macro_Series!$H670)),"",Macro_Series!$H670)</f>
        <v/>
      </c>
      <c r="F670" s="7" t="str">
        <f aca="false">IF(OR(NOT(ISNUMBER($D670)),NOT(ISNUMBER($E670)),$E670=0),"",$D670/$E670)</f>
        <v/>
      </c>
      <c r="G670" s="8" t="str">
        <f aca="false">IF(OR(NOT(ISNUMBER($B670)),NOT(ISNUMBER($B425)),$B425=0),"",$B670/$B425-1)</f>
        <v/>
      </c>
      <c r="H670" s="8" t="str">
        <f aca="false">IF(OR(NOT(ISNUMBER($D670)),NOT(ISNUMBER($D425)),$D425=0),"",$D670/$D425-1)</f>
        <v/>
      </c>
      <c r="I670" s="8" t="str">
        <f aca="false">IF(OR(NOT(ISNUMBER($G670)),NOT(ISNUMBER($H670))),"",$G670-$H670)</f>
        <v/>
      </c>
    </row>
    <row r="671" customFormat="false" ht="15" hidden="false" customHeight="false" outlineLevel="0" collapsed="false">
      <c r="A671" s="5" t="str">
        <f aca="false">IF(NOT(ISNUMBER(Macro_Series!$A671)),"",Macro_Series!$A671)</f>
        <v/>
      </c>
      <c r="B671" s="6" t="str">
        <f aca="false">IF(NOT(ISNUMBER(Macro_Series!$C671)),"",Macro_Series!$C671)</f>
        <v/>
      </c>
      <c r="C671" s="6" t="str">
        <f aca="false">IF(NOT(ISNUMBER(Macro_Series!$E671)),"",Macro_Series!$E671)</f>
        <v/>
      </c>
      <c r="D671" s="7" t="str">
        <f aca="false">IF(OR(NOT(ISNUMBER($B671)),NOT(ISNUMBER($C671)),$C671=0),"",$B671/$C671)</f>
        <v/>
      </c>
      <c r="E671" s="7" t="str">
        <f aca="false">IF(NOT(ISNUMBER(Macro_Series!$H671)),"",Macro_Series!$H671)</f>
        <v/>
      </c>
      <c r="F671" s="7" t="str">
        <f aca="false">IF(OR(NOT(ISNUMBER($D671)),NOT(ISNUMBER($E671)),$E671=0),"",$D671/$E671)</f>
        <v/>
      </c>
      <c r="G671" s="8" t="str">
        <f aca="false">IF(OR(NOT(ISNUMBER($B671)),NOT(ISNUMBER($B426)),$B426=0),"",$B671/$B426-1)</f>
        <v/>
      </c>
      <c r="H671" s="8" t="str">
        <f aca="false">IF(OR(NOT(ISNUMBER($D671)),NOT(ISNUMBER($D426)),$D426=0),"",$D671/$D426-1)</f>
        <v/>
      </c>
      <c r="I671" s="8" t="str">
        <f aca="false">IF(OR(NOT(ISNUMBER($G671)),NOT(ISNUMBER($H671))),"",$G671-$H671)</f>
        <v/>
      </c>
    </row>
    <row r="672" customFormat="false" ht="15" hidden="false" customHeight="false" outlineLevel="0" collapsed="false">
      <c r="A672" s="5" t="str">
        <f aca="false">IF(NOT(ISNUMBER(Macro_Series!$A672)),"",Macro_Series!$A672)</f>
        <v/>
      </c>
      <c r="B672" s="6" t="str">
        <f aca="false">IF(NOT(ISNUMBER(Macro_Series!$C672)),"",Macro_Series!$C672)</f>
        <v/>
      </c>
      <c r="C672" s="6" t="str">
        <f aca="false">IF(NOT(ISNUMBER(Macro_Series!$E672)),"",Macro_Series!$E672)</f>
        <v/>
      </c>
      <c r="D672" s="7" t="str">
        <f aca="false">IF(OR(NOT(ISNUMBER($B672)),NOT(ISNUMBER($C672)),$C672=0),"",$B672/$C672)</f>
        <v/>
      </c>
      <c r="E672" s="7" t="str">
        <f aca="false">IF(NOT(ISNUMBER(Macro_Series!$H672)),"",Macro_Series!$H672)</f>
        <v/>
      </c>
      <c r="F672" s="7" t="str">
        <f aca="false">IF(OR(NOT(ISNUMBER($D672)),NOT(ISNUMBER($E672)),$E672=0),"",$D672/$E672)</f>
        <v/>
      </c>
      <c r="G672" s="8" t="str">
        <f aca="false">IF(OR(NOT(ISNUMBER($B672)),NOT(ISNUMBER($B427)),$B427=0),"",$B672/$B427-1)</f>
        <v/>
      </c>
      <c r="H672" s="8" t="str">
        <f aca="false">IF(OR(NOT(ISNUMBER($D672)),NOT(ISNUMBER($D427)),$D427=0),"",$D672/$D427-1)</f>
        <v/>
      </c>
      <c r="I672" s="8" t="str">
        <f aca="false">IF(OR(NOT(ISNUMBER($G672)),NOT(ISNUMBER($H672))),"",$G672-$H672)</f>
        <v/>
      </c>
    </row>
    <row r="673" customFormat="false" ht="15" hidden="false" customHeight="false" outlineLevel="0" collapsed="false">
      <c r="A673" s="5" t="str">
        <f aca="false">IF(NOT(ISNUMBER(Macro_Series!$A673)),"",Macro_Series!$A673)</f>
        <v/>
      </c>
      <c r="B673" s="6" t="str">
        <f aca="false">IF(NOT(ISNUMBER(Macro_Series!$C673)),"",Macro_Series!$C673)</f>
        <v/>
      </c>
      <c r="C673" s="6" t="str">
        <f aca="false">IF(NOT(ISNUMBER(Macro_Series!$E673)),"",Macro_Series!$E673)</f>
        <v/>
      </c>
      <c r="D673" s="7" t="str">
        <f aca="false">IF(OR(NOT(ISNUMBER($B673)),NOT(ISNUMBER($C673)),$C673=0),"",$B673/$C673)</f>
        <v/>
      </c>
      <c r="E673" s="7" t="str">
        <f aca="false">IF(NOT(ISNUMBER(Macro_Series!$H673)),"",Macro_Series!$H673)</f>
        <v/>
      </c>
      <c r="F673" s="7" t="str">
        <f aca="false">IF(OR(NOT(ISNUMBER($D673)),NOT(ISNUMBER($E673)),$E673=0),"",$D673/$E673)</f>
        <v/>
      </c>
      <c r="G673" s="8" t="str">
        <f aca="false">IF(OR(NOT(ISNUMBER($B673)),NOT(ISNUMBER($B428)),$B428=0),"",$B673/$B428-1)</f>
        <v/>
      </c>
      <c r="H673" s="8" t="str">
        <f aca="false">IF(OR(NOT(ISNUMBER($D673)),NOT(ISNUMBER($D428)),$D428=0),"",$D673/$D428-1)</f>
        <v/>
      </c>
      <c r="I673" s="8" t="str">
        <f aca="false">IF(OR(NOT(ISNUMBER($G673)),NOT(ISNUMBER($H673))),"",$G673-$H673)</f>
        <v/>
      </c>
    </row>
    <row r="674" customFormat="false" ht="15" hidden="false" customHeight="false" outlineLevel="0" collapsed="false">
      <c r="A674" s="5" t="str">
        <f aca="false">IF(NOT(ISNUMBER(Macro_Series!$A674)),"",Macro_Series!$A674)</f>
        <v/>
      </c>
      <c r="B674" s="6" t="str">
        <f aca="false">IF(NOT(ISNUMBER(Macro_Series!$C674)),"",Macro_Series!$C674)</f>
        <v/>
      </c>
      <c r="C674" s="6" t="str">
        <f aca="false">IF(NOT(ISNUMBER(Macro_Series!$E674)),"",Macro_Series!$E674)</f>
        <v/>
      </c>
      <c r="D674" s="7" t="str">
        <f aca="false">IF(OR(NOT(ISNUMBER($B674)),NOT(ISNUMBER($C674)),$C674=0),"",$B674/$C674)</f>
        <v/>
      </c>
      <c r="E674" s="7" t="str">
        <f aca="false">IF(NOT(ISNUMBER(Macro_Series!$H674)),"",Macro_Series!$H674)</f>
        <v/>
      </c>
      <c r="F674" s="7" t="str">
        <f aca="false">IF(OR(NOT(ISNUMBER($D674)),NOT(ISNUMBER($E674)),$E674=0),"",$D674/$E674)</f>
        <v/>
      </c>
      <c r="G674" s="8" t="str">
        <f aca="false">IF(OR(NOT(ISNUMBER($B674)),NOT(ISNUMBER($B429)),$B429=0),"",$B674/$B429-1)</f>
        <v/>
      </c>
      <c r="H674" s="8" t="str">
        <f aca="false">IF(OR(NOT(ISNUMBER($D674)),NOT(ISNUMBER($D429)),$D429=0),"",$D674/$D429-1)</f>
        <v/>
      </c>
      <c r="I674" s="8" t="str">
        <f aca="false">IF(OR(NOT(ISNUMBER($G674)),NOT(ISNUMBER($H674))),"",$G674-$H674)</f>
        <v/>
      </c>
    </row>
    <row r="675" customFormat="false" ht="15" hidden="false" customHeight="false" outlineLevel="0" collapsed="false">
      <c r="A675" s="5" t="str">
        <f aca="false">IF(NOT(ISNUMBER(Macro_Series!$A675)),"",Macro_Series!$A675)</f>
        <v/>
      </c>
      <c r="B675" s="6" t="str">
        <f aca="false">IF(NOT(ISNUMBER(Macro_Series!$C675)),"",Macro_Series!$C675)</f>
        <v/>
      </c>
      <c r="C675" s="6" t="str">
        <f aca="false">IF(NOT(ISNUMBER(Macro_Series!$E675)),"",Macro_Series!$E675)</f>
        <v/>
      </c>
      <c r="D675" s="7" t="str">
        <f aca="false">IF(OR(NOT(ISNUMBER($B675)),NOT(ISNUMBER($C675)),$C675=0),"",$B675/$C675)</f>
        <v/>
      </c>
      <c r="E675" s="7" t="str">
        <f aca="false">IF(NOT(ISNUMBER(Macro_Series!$H675)),"",Macro_Series!$H675)</f>
        <v/>
      </c>
      <c r="F675" s="7" t="str">
        <f aca="false">IF(OR(NOT(ISNUMBER($D675)),NOT(ISNUMBER($E675)),$E675=0),"",$D675/$E675)</f>
        <v/>
      </c>
      <c r="G675" s="8" t="str">
        <f aca="false">IF(OR(NOT(ISNUMBER($B675)),NOT(ISNUMBER($B430)),$B430=0),"",$B675/$B430-1)</f>
        <v/>
      </c>
      <c r="H675" s="8" t="str">
        <f aca="false">IF(OR(NOT(ISNUMBER($D675)),NOT(ISNUMBER($D430)),$D430=0),"",$D675/$D430-1)</f>
        <v/>
      </c>
      <c r="I675" s="8" t="str">
        <f aca="false">IF(OR(NOT(ISNUMBER($G675)),NOT(ISNUMBER($H675))),"",$G675-$H675)</f>
        <v/>
      </c>
    </row>
    <row r="676" customFormat="false" ht="15" hidden="false" customHeight="false" outlineLevel="0" collapsed="false">
      <c r="A676" s="5" t="str">
        <f aca="false">IF(NOT(ISNUMBER(Macro_Series!$A676)),"",Macro_Series!$A676)</f>
        <v/>
      </c>
      <c r="B676" s="6" t="str">
        <f aca="false">IF(NOT(ISNUMBER(Macro_Series!$C676)),"",Macro_Series!$C676)</f>
        <v/>
      </c>
      <c r="C676" s="6" t="str">
        <f aca="false">IF(NOT(ISNUMBER(Macro_Series!$E676)),"",Macro_Series!$E676)</f>
        <v/>
      </c>
      <c r="D676" s="7" t="str">
        <f aca="false">IF(OR(NOT(ISNUMBER($B676)),NOT(ISNUMBER($C676)),$C676=0),"",$B676/$C676)</f>
        <v/>
      </c>
      <c r="E676" s="7" t="str">
        <f aca="false">IF(NOT(ISNUMBER(Macro_Series!$H676)),"",Macro_Series!$H676)</f>
        <v/>
      </c>
      <c r="F676" s="7" t="str">
        <f aca="false">IF(OR(NOT(ISNUMBER($D676)),NOT(ISNUMBER($E676)),$E676=0),"",$D676/$E676)</f>
        <v/>
      </c>
      <c r="G676" s="8" t="str">
        <f aca="false">IF(OR(NOT(ISNUMBER($B676)),NOT(ISNUMBER($B431)),$B431=0),"",$B676/$B431-1)</f>
        <v/>
      </c>
      <c r="H676" s="8" t="str">
        <f aca="false">IF(OR(NOT(ISNUMBER($D676)),NOT(ISNUMBER($D431)),$D431=0),"",$D676/$D431-1)</f>
        <v/>
      </c>
      <c r="I676" s="8" t="str">
        <f aca="false">IF(OR(NOT(ISNUMBER($G676)),NOT(ISNUMBER($H676))),"",$G676-$H676)</f>
        <v/>
      </c>
    </row>
    <row r="677" customFormat="false" ht="15" hidden="false" customHeight="false" outlineLevel="0" collapsed="false">
      <c r="A677" s="5" t="str">
        <f aca="false">IF(NOT(ISNUMBER(Macro_Series!$A677)),"",Macro_Series!$A677)</f>
        <v/>
      </c>
      <c r="B677" s="6" t="str">
        <f aca="false">IF(NOT(ISNUMBER(Macro_Series!$C677)),"",Macro_Series!$C677)</f>
        <v/>
      </c>
      <c r="C677" s="6" t="str">
        <f aca="false">IF(NOT(ISNUMBER(Macro_Series!$E677)),"",Macro_Series!$E677)</f>
        <v/>
      </c>
      <c r="D677" s="7" t="str">
        <f aca="false">IF(OR(NOT(ISNUMBER($B677)),NOT(ISNUMBER($C677)),$C677=0),"",$B677/$C677)</f>
        <v/>
      </c>
      <c r="E677" s="7" t="str">
        <f aca="false">IF(NOT(ISNUMBER(Macro_Series!$H677)),"",Macro_Series!$H677)</f>
        <v/>
      </c>
      <c r="F677" s="7" t="str">
        <f aca="false">IF(OR(NOT(ISNUMBER($D677)),NOT(ISNUMBER($E677)),$E677=0),"",$D677/$E677)</f>
        <v/>
      </c>
      <c r="G677" s="8" t="str">
        <f aca="false">IF(OR(NOT(ISNUMBER($B677)),NOT(ISNUMBER($B432)),$B432=0),"",$B677/$B432-1)</f>
        <v/>
      </c>
      <c r="H677" s="8" t="str">
        <f aca="false">IF(OR(NOT(ISNUMBER($D677)),NOT(ISNUMBER($D432)),$D432=0),"",$D677/$D432-1)</f>
        <v/>
      </c>
      <c r="I677" s="8" t="str">
        <f aca="false">IF(OR(NOT(ISNUMBER($G677)),NOT(ISNUMBER($H677))),"",$G677-$H677)</f>
        <v/>
      </c>
    </row>
    <row r="678" customFormat="false" ht="15" hidden="false" customHeight="false" outlineLevel="0" collapsed="false">
      <c r="A678" s="5" t="str">
        <f aca="false">IF(NOT(ISNUMBER(Macro_Series!$A678)),"",Macro_Series!$A678)</f>
        <v/>
      </c>
      <c r="B678" s="6" t="str">
        <f aca="false">IF(NOT(ISNUMBER(Macro_Series!$C678)),"",Macro_Series!$C678)</f>
        <v/>
      </c>
      <c r="C678" s="6" t="str">
        <f aca="false">IF(NOT(ISNUMBER(Macro_Series!$E678)),"",Macro_Series!$E678)</f>
        <v/>
      </c>
      <c r="D678" s="7" t="str">
        <f aca="false">IF(OR(NOT(ISNUMBER($B678)),NOT(ISNUMBER($C678)),$C678=0),"",$B678/$C678)</f>
        <v/>
      </c>
      <c r="E678" s="7" t="str">
        <f aca="false">IF(NOT(ISNUMBER(Macro_Series!$H678)),"",Macro_Series!$H678)</f>
        <v/>
      </c>
      <c r="F678" s="7" t="str">
        <f aca="false">IF(OR(NOT(ISNUMBER($D678)),NOT(ISNUMBER($E678)),$E678=0),"",$D678/$E678)</f>
        <v/>
      </c>
      <c r="G678" s="8" t="str">
        <f aca="false">IF(OR(NOT(ISNUMBER($B678)),NOT(ISNUMBER($B433)),$B433=0),"",$B678/$B433-1)</f>
        <v/>
      </c>
      <c r="H678" s="8" t="str">
        <f aca="false">IF(OR(NOT(ISNUMBER($D678)),NOT(ISNUMBER($D433)),$D433=0),"",$D678/$D433-1)</f>
        <v/>
      </c>
      <c r="I678" s="8" t="str">
        <f aca="false">IF(OR(NOT(ISNUMBER($G678)),NOT(ISNUMBER($H678))),"",$G678-$H678)</f>
        <v/>
      </c>
    </row>
    <row r="679" customFormat="false" ht="15" hidden="false" customHeight="false" outlineLevel="0" collapsed="false">
      <c r="A679" s="5" t="str">
        <f aca="false">IF(NOT(ISNUMBER(Macro_Series!$A679)),"",Macro_Series!$A679)</f>
        <v/>
      </c>
      <c r="B679" s="6" t="str">
        <f aca="false">IF(NOT(ISNUMBER(Macro_Series!$C679)),"",Macro_Series!$C679)</f>
        <v/>
      </c>
      <c r="C679" s="6" t="str">
        <f aca="false">IF(NOT(ISNUMBER(Macro_Series!$E679)),"",Macro_Series!$E679)</f>
        <v/>
      </c>
      <c r="D679" s="7" t="str">
        <f aca="false">IF(OR(NOT(ISNUMBER($B679)),NOT(ISNUMBER($C679)),$C679=0),"",$B679/$C679)</f>
        <v/>
      </c>
      <c r="E679" s="7" t="str">
        <f aca="false">IF(NOT(ISNUMBER(Macro_Series!$H679)),"",Macro_Series!$H679)</f>
        <v/>
      </c>
      <c r="F679" s="7" t="str">
        <f aca="false">IF(OR(NOT(ISNUMBER($D679)),NOT(ISNUMBER($E679)),$E679=0),"",$D679/$E679)</f>
        <v/>
      </c>
      <c r="G679" s="8" t="str">
        <f aca="false">IF(OR(NOT(ISNUMBER($B679)),NOT(ISNUMBER($B434)),$B434=0),"",$B679/$B434-1)</f>
        <v/>
      </c>
      <c r="H679" s="8" t="str">
        <f aca="false">IF(OR(NOT(ISNUMBER($D679)),NOT(ISNUMBER($D434)),$D434=0),"",$D679/$D434-1)</f>
        <v/>
      </c>
      <c r="I679" s="8" t="str">
        <f aca="false">IF(OR(NOT(ISNUMBER($G679)),NOT(ISNUMBER($H679))),"",$G679-$H679)</f>
        <v/>
      </c>
    </row>
    <row r="680" customFormat="false" ht="15" hidden="false" customHeight="false" outlineLevel="0" collapsed="false">
      <c r="A680" s="5" t="str">
        <f aca="false">IF(NOT(ISNUMBER(Macro_Series!$A680)),"",Macro_Series!$A680)</f>
        <v/>
      </c>
      <c r="B680" s="6" t="str">
        <f aca="false">IF(NOT(ISNUMBER(Macro_Series!$C680)),"",Macro_Series!$C680)</f>
        <v/>
      </c>
      <c r="C680" s="6" t="str">
        <f aca="false">IF(NOT(ISNUMBER(Macro_Series!$E680)),"",Macro_Series!$E680)</f>
        <v/>
      </c>
      <c r="D680" s="7" t="str">
        <f aca="false">IF(OR(NOT(ISNUMBER($B680)),NOT(ISNUMBER($C680)),$C680=0),"",$B680/$C680)</f>
        <v/>
      </c>
      <c r="E680" s="7" t="str">
        <f aca="false">IF(NOT(ISNUMBER(Macro_Series!$H680)),"",Macro_Series!$H680)</f>
        <v/>
      </c>
      <c r="F680" s="7" t="str">
        <f aca="false">IF(OR(NOT(ISNUMBER($D680)),NOT(ISNUMBER($E680)),$E680=0),"",$D680/$E680)</f>
        <v/>
      </c>
      <c r="G680" s="8" t="str">
        <f aca="false">IF(OR(NOT(ISNUMBER($B680)),NOT(ISNUMBER($B435)),$B435=0),"",$B680/$B435-1)</f>
        <v/>
      </c>
      <c r="H680" s="8" t="str">
        <f aca="false">IF(OR(NOT(ISNUMBER($D680)),NOT(ISNUMBER($D435)),$D435=0),"",$D680/$D435-1)</f>
        <v/>
      </c>
      <c r="I680" s="8" t="str">
        <f aca="false">IF(OR(NOT(ISNUMBER($G680)),NOT(ISNUMBER($H680))),"",$G680-$H680)</f>
        <v/>
      </c>
    </row>
    <row r="681" customFormat="false" ht="15" hidden="false" customHeight="false" outlineLevel="0" collapsed="false">
      <c r="A681" s="5" t="str">
        <f aca="false">IF(NOT(ISNUMBER(Macro_Series!$A681)),"",Macro_Series!$A681)</f>
        <v/>
      </c>
      <c r="B681" s="6" t="str">
        <f aca="false">IF(NOT(ISNUMBER(Macro_Series!$C681)),"",Macro_Series!$C681)</f>
        <v/>
      </c>
      <c r="C681" s="6" t="str">
        <f aca="false">IF(NOT(ISNUMBER(Macro_Series!$E681)),"",Macro_Series!$E681)</f>
        <v/>
      </c>
      <c r="D681" s="7" t="str">
        <f aca="false">IF(OR(NOT(ISNUMBER($B681)),NOT(ISNUMBER($C681)),$C681=0),"",$B681/$C681)</f>
        <v/>
      </c>
      <c r="E681" s="7" t="str">
        <f aca="false">IF(NOT(ISNUMBER(Macro_Series!$H681)),"",Macro_Series!$H681)</f>
        <v/>
      </c>
      <c r="F681" s="7" t="str">
        <f aca="false">IF(OR(NOT(ISNUMBER($D681)),NOT(ISNUMBER($E681)),$E681=0),"",$D681/$E681)</f>
        <v/>
      </c>
      <c r="G681" s="8" t="str">
        <f aca="false">IF(OR(NOT(ISNUMBER($B681)),NOT(ISNUMBER($B436)),$B436=0),"",$B681/$B436-1)</f>
        <v/>
      </c>
      <c r="H681" s="8" t="str">
        <f aca="false">IF(OR(NOT(ISNUMBER($D681)),NOT(ISNUMBER($D436)),$D436=0),"",$D681/$D436-1)</f>
        <v/>
      </c>
      <c r="I681" s="8" t="str">
        <f aca="false">IF(OR(NOT(ISNUMBER($G681)),NOT(ISNUMBER($H681))),"",$G681-$H681)</f>
        <v/>
      </c>
    </row>
    <row r="682" customFormat="false" ht="15" hidden="false" customHeight="false" outlineLevel="0" collapsed="false">
      <c r="A682" s="5" t="str">
        <f aca="false">IF(NOT(ISNUMBER(Macro_Series!$A682)),"",Macro_Series!$A682)</f>
        <v/>
      </c>
      <c r="B682" s="6" t="str">
        <f aca="false">IF(NOT(ISNUMBER(Macro_Series!$C682)),"",Macro_Series!$C682)</f>
        <v/>
      </c>
      <c r="C682" s="6" t="str">
        <f aca="false">IF(NOT(ISNUMBER(Macro_Series!$E682)),"",Macro_Series!$E682)</f>
        <v/>
      </c>
      <c r="D682" s="7" t="str">
        <f aca="false">IF(OR(NOT(ISNUMBER($B682)),NOT(ISNUMBER($C682)),$C682=0),"",$B682/$C682)</f>
        <v/>
      </c>
      <c r="E682" s="7" t="str">
        <f aca="false">IF(NOT(ISNUMBER(Macro_Series!$H682)),"",Macro_Series!$H682)</f>
        <v/>
      </c>
      <c r="F682" s="7" t="str">
        <f aca="false">IF(OR(NOT(ISNUMBER($D682)),NOT(ISNUMBER($E682)),$E682=0),"",$D682/$E682)</f>
        <v/>
      </c>
      <c r="G682" s="8" t="str">
        <f aca="false">IF(OR(NOT(ISNUMBER($B682)),NOT(ISNUMBER($B437)),$B437=0),"",$B682/$B437-1)</f>
        <v/>
      </c>
      <c r="H682" s="8" t="str">
        <f aca="false">IF(OR(NOT(ISNUMBER($D682)),NOT(ISNUMBER($D437)),$D437=0),"",$D682/$D437-1)</f>
        <v/>
      </c>
      <c r="I682" s="8" t="str">
        <f aca="false">IF(OR(NOT(ISNUMBER($G682)),NOT(ISNUMBER($H682))),"",$G682-$H682)</f>
        <v/>
      </c>
    </row>
    <row r="683" customFormat="false" ht="15" hidden="false" customHeight="false" outlineLevel="0" collapsed="false">
      <c r="A683" s="5" t="str">
        <f aca="false">IF(NOT(ISNUMBER(Macro_Series!$A683)),"",Macro_Series!$A683)</f>
        <v/>
      </c>
      <c r="B683" s="6" t="str">
        <f aca="false">IF(NOT(ISNUMBER(Macro_Series!$C683)),"",Macro_Series!$C683)</f>
        <v/>
      </c>
      <c r="C683" s="6" t="str">
        <f aca="false">IF(NOT(ISNUMBER(Macro_Series!$E683)),"",Macro_Series!$E683)</f>
        <v/>
      </c>
      <c r="D683" s="7" t="str">
        <f aca="false">IF(OR(NOT(ISNUMBER($B683)),NOT(ISNUMBER($C683)),$C683=0),"",$B683/$C683)</f>
        <v/>
      </c>
      <c r="E683" s="7" t="str">
        <f aca="false">IF(NOT(ISNUMBER(Macro_Series!$H683)),"",Macro_Series!$H683)</f>
        <v/>
      </c>
      <c r="F683" s="7" t="str">
        <f aca="false">IF(OR(NOT(ISNUMBER($D683)),NOT(ISNUMBER($E683)),$E683=0),"",$D683/$E683)</f>
        <v/>
      </c>
      <c r="G683" s="8" t="str">
        <f aca="false">IF(OR(NOT(ISNUMBER($B683)),NOT(ISNUMBER($B438)),$B438=0),"",$B683/$B438-1)</f>
        <v/>
      </c>
      <c r="H683" s="8" t="str">
        <f aca="false">IF(OR(NOT(ISNUMBER($D683)),NOT(ISNUMBER($D438)),$D438=0),"",$D683/$D438-1)</f>
        <v/>
      </c>
      <c r="I683" s="8" t="str">
        <f aca="false">IF(OR(NOT(ISNUMBER($G683)),NOT(ISNUMBER($H683))),"",$G683-$H683)</f>
        <v/>
      </c>
    </row>
    <row r="684" customFormat="false" ht="15" hidden="false" customHeight="false" outlineLevel="0" collapsed="false">
      <c r="A684" s="5" t="str">
        <f aca="false">IF(NOT(ISNUMBER(Macro_Series!$A684)),"",Macro_Series!$A684)</f>
        <v/>
      </c>
      <c r="B684" s="6" t="str">
        <f aca="false">IF(NOT(ISNUMBER(Macro_Series!$C684)),"",Macro_Series!$C684)</f>
        <v/>
      </c>
      <c r="C684" s="6" t="str">
        <f aca="false">IF(NOT(ISNUMBER(Macro_Series!$E684)),"",Macro_Series!$E684)</f>
        <v/>
      </c>
      <c r="D684" s="7" t="str">
        <f aca="false">IF(OR(NOT(ISNUMBER($B684)),NOT(ISNUMBER($C684)),$C684=0),"",$B684/$C684)</f>
        <v/>
      </c>
      <c r="E684" s="7" t="str">
        <f aca="false">IF(NOT(ISNUMBER(Macro_Series!$H684)),"",Macro_Series!$H684)</f>
        <v/>
      </c>
      <c r="F684" s="7" t="str">
        <f aca="false">IF(OR(NOT(ISNUMBER($D684)),NOT(ISNUMBER($E684)),$E684=0),"",$D684/$E684)</f>
        <v/>
      </c>
      <c r="G684" s="8" t="str">
        <f aca="false">IF(OR(NOT(ISNUMBER($B684)),NOT(ISNUMBER($B439)),$B439=0),"",$B684/$B439-1)</f>
        <v/>
      </c>
      <c r="H684" s="8" t="str">
        <f aca="false">IF(OR(NOT(ISNUMBER($D684)),NOT(ISNUMBER($D439)),$D439=0),"",$D684/$D439-1)</f>
        <v/>
      </c>
      <c r="I684" s="8" t="str">
        <f aca="false">IF(OR(NOT(ISNUMBER($G684)),NOT(ISNUMBER($H684))),"",$G684-$H684)</f>
        <v/>
      </c>
    </row>
    <row r="685" customFormat="false" ht="15" hidden="false" customHeight="false" outlineLevel="0" collapsed="false">
      <c r="A685" s="5" t="str">
        <f aca="false">IF(NOT(ISNUMBER(Macro_Series!$A685)),"",Macro_Series!$A685)</f>
        <v/>
      </c>
      <c r="B685" s="6" t="str">
        <f aca="false">IF(NOT(ISNUMBER(Macro_Series!$C685)),"",Macro_Series!$C685)</f>
        <v/>
      </c>
      <c r="C685" s="6" t="str">
        <f aca="false">IF(NOT(ISNUMBER(Macro_Series!$E685)),"",Macro_Series!$E685)</f>
        <v/>
      </c>
      <c r="D685" s="7" t="str">
        <f aca="false">IF(OR(NOT(ISNUMBER($B685)),NOT(ISNUMBER($C685)),$C685=0),"",$B685/$C685)</f>
        <v/>
      </c>
      <c r="E685" s="7" t="str">
        <f aca="false">IF(NOT(ISNUMBER(Macro_Series!$H685)),"",Macro_Series!$H685)</f>
        <v/>
      </c>
      <c r="F685" s="7" t="str">
        <f aca="false">IF(OR(NOT(ISNUMBER($D685)),NOT(ISNUMBER($E685)),$E685=0),"",$D685/$E685)</f>
        <v/>
      </c>
      <c r="G685" s="8" t="str">
        <f aca="false">IF(OR(NOT(ISNUMBER($B685)),NOT(ISNUMBER($B440)),$B440=0),"",$B685/$B440-1)</f>
        <v/>
      </c>
      <c r="H685" s="8" t="str">
        <f aca="false">IF(OR(NOT(ISNUMBER($D685)),NOT(ISNUMBER($D440)),$D440=0),"",$D685/$D440-1)</f>
        <v/>
      </c>
      <c r="I685" s="8" t="str">
        <f aca="false">IF(OR(NOT(ISNUMBER($G685)),NOT(ISNUMBER($H685))),"",$G685-$H685)</f>
        <v/>
      </c>
    </row>
    <row r="686" customFormat="false" ht="15" hidden="false" customHeight="false" outlineLevel="0" collapsed="false">
      <c r="A686" s="5" t="str">
        <f aca="false">IF(NOT(ISNUMBER(Macro_Series!$A686)),"",Macro_Series!$A686)</f>
        <v/>
      </c>
      <c r="B686" s="6" t="str">
        <f aca="false">IF(NOT(ISNUMBER(Macro_Series!$C686)),"",Macro_Series!$C686)</f>
        <v/>
      </c>
      <c r="C686" s="6" t="str">
        <f aca="false">IF(NOT(ISNUMBER(Macro_Series!$E686)),"",Macro_Series!$E686)</f>
        <v/>
      </c>
      <c r="D686" s="7" t="str">
        <f aca="false">IF(OR(NOT(ISNUMBER($B686)),NOT(ISNUMBER($C686)),$C686=0),"",$B686/$C686)</f>
        <v/>
      </c>
      <c r="E686" s="7" t="str">
        <f aca="false">IF(NOT(ISNUMBER(Macro_Series!$H686)),"",Macro_Series!$H686)</f>
        <v/>
      </c>
      <c r="F686" s="7" t="str">
        <f aca="false">IF(OR(NOT(ISNUMBER($D686)),NOT(ISNUMBER($E686)),$E686=0),"",$D686/$E686)</f>
        <v/>
      </c>
      <c r="G686" s="8" t="str">
        <f aca="false">IF(OR(NOT(ISNUMBER($B686)),NOT(ISNUMBER($B441)),$B441=0),"",$B686/$B441-1)</f>
        <v/>
      </c>
      <c r="H686" s="8" t="str">
        <f aca="false">IF(OR(NOT(ISNUMBER($D686)),NOT(ISNUMBER($D441)),$D441=0),"",$D686/$D441-1)</f>
        <v/>
      </c>
      <c r="I686" s="8" t="str">
        <f aca="false">IF(OR(NOT(ISNUMBER($G686)),NOT(ISNUMBER($H686))),"",$G686-$H686)</f>
        <v/>
      </c>
    </row>
    <row r="687" customFormat="false" ht="15" hidden="false" customHeight="false" outlineLevel="0" collapsed="false">
      <c r="A687" s="5" t="str">
        <f aca="false">IF(NOT(ISNUMBER(Macro_Series!$A687)),"",Macro_Series!$A687)</f>
        <v/>
      </c>
      <c r="B687" s="6" t="str">
        <f aca="false">IF(NOT(ISNUMBER(Macro_Series!$C687)),"",Macro_Series!$C687)</f>
        <v/>
      </c>
      <c r="C687" s="6" t="str">
        <f aca="false">IF(NOT(ISNUMBER(Macro_Series!$E687)),"",Macro_Series!$E687)</f>
        <v/>
      </c>
      <c r="D687" s="7" t="str">
        <f aca="false">IF(OR(NOT(ISNUMBER($B687)),NOT(ISNUMBER($C687)),$C687=0),"",$B687/$C687)</f>
        <v/>
      </c>
      <c r="E687" s="7" t="str">
        <f aca="false">IF(NOT(ISNUMBER(Macro_Series!$H687)),"",Macro_Series!$H687)</f>
        <v/>
      </c>
      <c r="F687" s="7" t="str">
        <f aca="false">IF(OR(NOT(ISNUMBER($D687)),NOT(ISNUMBER($E687)),$E687=0),"",$D687/$E687)</f>
        <v/>
      </c>
      <c r="G687" s="8" t="str">
        <f aca="false">IF(OR(NOT(ISNUMBER($B687)),NOT(ISNUMBER($B442)),$B442=0),"",$B687/$B442-1)</f>
        <v/>
      </c>
      <c r="H687" s="8" t="str">
        <f aca="false">IF(OR(NOT(ISNUMBER($D687)),NOT(ISNUMBER($D442)),$D442=0),"",$D687/$D442-1)</f>
        <v/>
      </c>
      <c r="I687" s="8" t="str">
        <f aca="false">IF(OR(NOT(ISNUMBER($G687)),NOT(ISNUMBER($H687))),"",$G687-$H687)</f>
        <v/>
      </c>
    </row>
    <row r="688" customFormat="false" ht="15" hidden="false" customHeight="false" outlineLevel="0" collapsed="false">
      <c r="A688" s="5" t="str">
        <f aca="false">IF(NOT(ISNUMBER(Macro_Series!$A688)),"",Macro_Series!$A688)</f>
        <v/>
      </c>
      <c r="B688" s="6" t="str">
        <f aca="false">IF(NOT(ISNUMBER(Macro_Series!$C688)),"",Macro_Series!$C688)</f>
        <v/>
      </c>
      <c r="C688" s="6" t="str">
        <f aca="false">IF(NOT(ISNUMBER(Macro_Series!$E688)),"",Macro_Series!$E688)</f>
        <v/>
      </c>
      <c r="D688" s="7" t="str">
        <f aca="false">IF(OR(NOT(ISNUMBER($B688)),NOT(ISNUMBER($C688)),$C688=0),"",$B688/$C688)</f>
        <v/>
      </c>
      <c r="E688" s="7" t="str">
        <f aca="false">IF(NOT(ISNUMBER(Macro_Series!$H688)),"",Macro_Series!$H688)</f>
        <v/>
      </c>
      <c r="F688" s="7" t="str">
        <f aca="false">IF(OR(NOT(ISNUMBER($D688)),NOT(ISNUMBER($E688)),$E688=0),"",$D688/$E688)</f>
        <v/>
      </c>
      <c r="G688" s="8" t="str">
        <f aca="false">IF(OR(NOT(ISNUMBER($B688)),NOT(ISNUMBER($B443)),$B443=0),"",$B688/$B443-1)</f>
        <v/>
      </c>
      <c r="H688" s="8" t="str">
        <f aca="false">IF(OR(NOT(ISNUMBER($D688)),NOT(ISNUMBER($D443)),$D443=0),"",$D688/$D443-1)</f>
        <v/>
      </c>
      <c r="I688" s="8" t="str">
        <f aca="false">IF(OR(NOT(ISNUMBER($G688)),NOT(ISNUMBER($H688))),"",$G688-$H688)</f>
        <v/>
      </c>
    </row>
    <row r="689" customFormat="false" ht="15" hidden="false" customHeight="false" outlineLevel="0" collapsed="false">
      <c r="A689" s="5" t="str">
        <f aca="false">IF(NOT(ISNUMBER(Macro_Series!$A689)),"",Macro_Series!$A689)</f>
        <v/>
      </c>
      <c r="B689" s="6" t="str">
        <f aca="false">IF(NOT(ISNUMBER(Macro_Series!$C689)),"",Macro_Series!$C689)</f>
        <v/>
      </c>
      <c r="C689" s="6" t="str">
        <f aca="false">IF(NOT(ISNUMBER(Macro_Series!$E689)),"",Macro_Series!$E689)</f>
        <v/>
      </c>
      <c r="D689" s="7" t="str">
        <f aca="false">IF(OR(NOT(ISNUMBER($B689)),NOT(ISNUMBER($C689)),$C689=0),"",$B689/$C689)</f>
        <v/>
      </c>
      <c r="E689" s="7" t="str">
        <f aca="false">IF(NOT(ISNUMBER(Macro_Series!$H689)),"",Macro_Series!$H689)</f>
        <v/>
      </c>
      <c r="F689" s="7" t="str">
        <f aca="false">IF(OR(NOT(ISNUMBER($D689)),NOT(ISNUMBER($E689)),$E689=0),"",$D689/$E689)</f>
        <v/>
      </c>
      <c r="G689" s="8" t="str">
        <f aca="false">IF(OR(NOT(ISNUMBER($B689)),NOT(ISNUMBER($B444)),$B444=0),"",$B689/$B444-1)</f>
        <v/>
      </c>
      <c r="H689" s="8" t="str">
        <f aca="false">IF(OR(NOT(ISNUMBER($D689)),NOT(ISNUMBER($D444)),$D444=0),"",$D689/$D444-1)</f>
        <v/>
      </c>
      <c r="I689" s="8" t="str">
        <f aca="false">IF(OR(NOT(ISNUMBER($G689)),NOT(ISNUMBER($H689))),"",$G689-$H689)</f>
        <v/>
      </c>
    </row>
    <row r="690" customFormat="false" ht="15" hidden="false" customHeight="false" outlineLevel="0" collapsed="false">
      <c r="A690" s="5" t="str">
        <f aca="false">IF(NOT(ISNUMBER(Macro_Series!$A690)),"",Macro_Series!$A690)</f>
        <v/>
      </c>
      <c r="B690" s="6" t="str">
        <f aca="false">IF(NOT(ISNUMBER(Macro_Series!$C690)),"",Macro_Series!$C690)</f>
        <v/>
      </c>
      <c r="C690" s="6" t="str">
        <f aca="false">IF(NOT(ISNUMBER(Macro_Series!$E690)),"",Macro_Series!$E690)</f>
        <v/>
      </c>
      <c r="D690" s="7" t="str">
        <f aca="false">IF(OR(NOT(ISNUMBER($B690)),NOT(ISNUMBER($C690)),$C690=0),"",$B690/$C690)</f>
        <v/>
      </c>
      <c r="E690" s="7" t="str">
        <f aca="false">IF(NOT(ISNUMBER(Macro_Series!$H690)),"",Macro_Series!$H690)</f>
        <v/>
      </c>
      <c r="F690" s="7" t="str">
        <f aca="false">IF(OR(NOT(ISNUMBER($D690)),NOT(ISNUMBER($E690)),$E690=0),"",$D690/$E690)</f>
        <v/>
      </c>
      <c r="G690" s="8" t="str">
        <f aca="false">IF(OR(NOT(ISNUMBER($B690)),NOT(ISNUMBER($B445)),$B445=0),"",$B690/$B445-1)</f>
        <v/>
      </c>
      <c r="H690" s="8" t="str">
        <f aca="false">IF(OR(NOT(ISNUMBER($D690)),NOT(ISNUMBER($D445)),$D445=0),"",$D690/$D445-1)</f>
        <v/>
      </c>
      <c r="I690" s="8" t="str">
        <f aca="false">IF(OR(NOT(ISNUMBER($G690)),NOT(ISNUMBER($H690))),"",$G690-$H690)</f>
        <v/>
      </c>
    </row>
    <row r="691" customFormat="false" ht="15" hidden="false" customHeight="false" outlineLevel="0" collapsed="false">
      <c r="A691" s="5" t="str">
        <f aca="false">IF(NOT(ISNUMBER(Macro_Series!$A691)),"",Macro_Series!$A691)</f>
        <v/>
      </c>
      <c r="B691" s="6" t="str">
        <f aca="false">IF(NOT(ISNUMBER(Macro_Series!$C691)),"",Macro_Series!$C691)</f>
        <v/>
      </c>
      <c r="C691" s="6" t="str">
        <f aca="false">IF(NOT(ISNUMBER(Macro_Series!$E691)),"",Macro_Series!$E691)</f>
        <v/>
      </c>
      <c r="D691" s="7" t="str">
        <f aca="false">IF(OR(NOT(ISNUMBER($B691)),NOT(ISNUMBER($C691)),$C691=0),"",$B691/$C691)</f>
        <v/>
      </c>
      <c r="E691" s="7" t="str">
        <f aca="false">IF(NOT(ISNUMBER(Macro_Series!$H691)),"",Macro_Series!$H691)</f>
        <v/>
      </c>
      <c r="F691" s="7" t="str">
        <f aca="false">IF(OR(NOT(ISNUMBER($D691)),NOT(ISNUMBER($E691)),$E691=0),"",$D691/$E691)</f>
        <v/>
      </c>
      <c r="G691" s="8" t="str">
        <f aca="false">IF(OR(NOT(ISNUMBER($B691)),NOT(ISNUMBER($B446)),$B446=0),"",$B691/$B446-1)</f>
        <v/>
      </c>
      <c r="H691" s="8" t="str">
        <f aca="false">IF(OR(NOT(ISNUMBER($D691)),NOT(ISNUMBER($D446)),$D446=0),"",$D691/$D446-1)</f>
        <v/>
      </c>
      <c r="I691" s="8" t="str">
        <f aca="false">IF(OR(NOT(ISNUMBER($G691)),NOT(ISNUMBER($H691))),"",$G691-$H691)</f>
        <v/>
      </c>
    </row>
    <row r="692" customFormat="false" ht="15" hidden="false" customHeight="false" outlineLevel="0" collapsed="false">
      <c r="A692" s="5" t="str">
        <f aca="false">IF(NOT(ISNUMBER(Macro_Series!$A692)),"",Macro_Series!$A692)</f>
        <v/>
      </c>
      <c r="B692" s="6" t="str">
        <f aca="false">IF(NOT(ISNUMBER(Macro_Series!$C692)),"",Macro_Series!$C692)</f>
        <v/>
      </c>
      <c r="C692" s="6" t="str">
        <f aca="false">IF(NOT(ISNUMBER(Macro_Series!$E692)),"",Macro_Series!$E692)</f>
        <v/>
      </c>
      <c r="D692" s="7" t="str">
        <f aca="false">IF(OR(NOT(ISNUMBER($B692)),NOT(ISNUMBER($C692)),$C692=0),"",$B692/$C692)</f>
        <v/>
      </c>
      <c r="E692" s="7" t="str">
        <f aca="false">IF(NOT(ISNUMBER(Macro_Series!$H692)),"",Macro_Series!$H692)</f>
        <v/>
      </c>
      <c r="F692" s="7" t="str">
        <f aca="false">IF(OR(NOT(ISNUMBER($D692)),NOT(ISNUMBER($E692)),$E692=0),"",$D692/$E692)</f>
        <v/>
      </c>
      <c r="G692" s="8" t="str">
        <f aca="false">IF(OR(NOT(ISNUMBER($B692)),NOT(ISNUMBER($B447)),$B447=0),"",$B692/$B447-1)</f>
        <v/>
      </c>
      <c r="H692" s="8" t="str">
        <f aca="false">IF(OR(NOT(ISNUMBER($D692)),NOT(ISNUMBER($D447)),$D447=0),"",$D692/$D447-1)</f>
        <v/>
      </c>
      <c r="I692" s="8" t="str">
        <f aca="false">IF(OR(NOT(ISNUMBER($G692)),NOT(ISNUMBER($H692))),"",$G692-$H692)</f>
        <v/>
      </c>
    </row>
    <row r="693" customFormat="false" ht="15" hidden="false" customHeight="false" outlineLevel="0" collapsed="false">
      <c r="A693" s="5" t="str">
        <f aca="false">IF(NOT(ISNUMBER(Macro_Series!$A693)),"",Macro_Series!$A693)</f>
        <v/>
      </c>
      <c r="B693" s="6" t="str">
        <f aca="false">IF(NOT(ISNUMBER(Macro_Series!$C693)),"",Macro_Series!$C693)</f>
        <v/>
      </c>
      <c r="C693" s="6" t="str">
        <f aca="false">IF(NOT(ISNUMBER(Macro_Series!$E693)),"",Macro_Series!$E693)</f>
        <v/>
      </c>
      <c r="D693" s="7" t="str">
        <f aca="false">IF(OR(NOT(ISNUMBER($B693)),NOT(ISNUMBER($C693)),$C693=0),"",$B693/$C693)</f>
        <v/>
      </c>
      <c r="E693" s="7" t="str">
        <f aca="false">IF(NOT(ISNUMBER(Macro_Series!$H693)),"",Macro_Series!$H693)</f>
        <v/>
      </c>
      <c r="F693" s="7" t="str">
        <f aca="false">IF(OR(NOT(ISNUMBER($D693)),NOT(ISNUMBER($E693)),$E693=0),"",$D693/$E693)</f>
        <v/>
      </c>
      <c r="G693" s="8" t="str">
        <f aca="false">IF(OR(NOT(ISNUMBER($B693)),NOT(ISNUMBER($B448)),$B448=0),"",$B693/$B448-1)</f>
        <v/>
      </c>
      <c r="H693" s="8" t="str">
        <f aca="false">IF(OR(NOT(ISNUMBER($D693)),NOT(ISNUMBER($D448)),$D448=0),"",$D693/$D448-1)</f>
        <v/>
      </c>
      <c r="I693" s="8" t="str">
        <f aca="false">IF(OR(NOT(ISNUMBER($G693)),NOT(ISNUMBER($H693))),"",$G693-$H693)</f>
        <v/>
      </c>
    </row>
    <row r="694" customFormat="false" ht="15" hidden="false" customHeight="false" outlineLevel="0" collapsed="false">
      <c r="A694" s="5" t="str">
        <f aca="false">IF(NOT(ISNUMBER(Macro_Series!$A694)),"",Macro_Series!$A694)</f>
        <v/>
      </c>
      <c r="B694" s="6" t="str">
        <f aca="false">IF(NOT(ISNUMBER(Macro_Series!$C694)),"",Macro_Series!$C694)</f>
        <v/>
      </c>
      <c r="C694" s="6" t="str">
        <f aca="false">IF(NOT(ISNUMBER(Macro_Series!$E694)),"",Macro_Series!$E694)</f>
        <v/>
      </c>
      <c r="D694" s="7" t="str">
        <f aca="false">IF(OR(NOT(ISNUMBER($B694)),NOT(ISNUMBER($C694)),$C694=0),"",$B694/$C694)</f>
        <v/>
      </c>
      <c r="E694" s="7" t="str">
        <f aca="false">IF(NOT(ISNUMBER(Macro_Series!$H694)),"",Macro_Series!$H694)</f>
        <v/>
      </c>
      <c r="F694" s="7" t="str">
        <f aca="false">IF(OR(NOT(ISNUMBER($D694)),NOT(ISNUMBER($E694)),$E694=0),"",$D694/$E694)</f>
        <v/>
      </c>
      <c r="G694" s="8" t="str">
        <f aca="false">IF(OR(NOT(ISNUMBER($B694)),NOT(ISNUMBER($B449)),$B449=0),"",$B694/$B449-1)</f>
        <v/>
      </c>
      <c r="H694" s="8" t="str">
        <f aca="false">IF(OR(NOT(ISNUMBER($D694)),NOT(ISNUMBER($D449)),$D449=0),"",$D694/$D449-1)</f>
        <v/>
      </c>
      <c r="I694" s="8" t="str">
        <f aca="false">IF(OR(NOT(ISNUMBER($G694)),NOT(ISNUMBER($H694))),"",$G694-$H694)</f>
        <v/>
      </c>
    </row>
    <row r="695" customFormat="false" ht="15" hidden="false" customHeight="false" outlineLevel="0" collapsed="false">
      <c r="A695" s="5" t="str">
        <f aca="false">IF(NOT(ISNUMBER(Macro_Series!$A695)),"",Macro_Series!$A695)</f>
        <v/>
      </c>
      <c r="B695" s="6" t="str">
        <f aca="false">IF(NOT(ISNUMBER(Macro_Series!$C695)),"",Macro_Series!$C695)</f>
        <v/>
      </c>
      <c r="C695" s="6" t="str">
        <f aca="false">IF(NOT(ISNUMBER(Macro_Series!$E695)),"",Macro_Series!$E695)</f>
        <v/>
      </c>
      <c r="D695" s="7" t="str">
        <f aca="false">IF(OR(NOT(ISNUMBER($B695)),NOT(ISNUMBER($C695)),$C695=0),"",$B695/$C695)</f>
        <v/>
      </c>
      <c r="E695" s="7" t="str">
        <f aca="false">IF(NOT(ISNUMBER(Macro_Series!$H695)),"",Macro_Series!$H695)</f>
        <v/>
      </c>
      <c r="F695" s="7" t="str">
        <f aca="false">IF(OR(NOT(ISNUMBER($D695)),NOT(ISNUMBER($E695)),$E695=0),"",$D695/$E695)</f>
        <v/>
      </c>
      <c r="G695" s="8" t="str">
        <f aca="false">IF(OR(NOT(ISNUMBER($B695)),NOT(ISNUMBER($B450)),$B450=0),"",$B695/$B450-1)</f>
        <v/>
      </c>
      <c r="H695" s="8" t="str">
        <f aca="false">IF(OR(NOT(ISNUMBER($D695)),NOT(ISNUMBER($D450)),$D450=0),"",$D695/$D450-1)</f>
        <v/>
      </c>
      <c r="I695" s="8" t="str">
        <f aca="false">IF(OR(NOT(ISNUMBER($G695)),NOT(ISNUMBER($H695))),"",$G695-$H695)</f>
        <v/>
      </c>
    </row>
    <row r="696" customFormat="false" ht="15" hidden="false" customHeight="false" outlineLevel="0" collapsed="false">
      <c r="A696" s="5" t="str">
        <f aca="false">IF(NOT(ISNUMBER(Macro_Series!$A696)),"",Macro_Series!$A696)</f>
        <v/>
      </c>
      <c r="B696" s="6" t="str">
        <f aca="false">IF(NOT(ISNUMBER(Macro_Series!$C696)),"",Macro_Series!$C696)</f>
        <v/>
      </c>
      <c r="C696" s="6" t="str">
        <f aca="false">IF(NOT(ISNUMBER(Macro_Series!$E696)),"",Macro_Series!$E696)</f>
        <v/>
      </c>
      <c r="D696" s="7" t="str">
        <f aca="false">IF(OR(NOT(ISNUMBER($B696)),NOT(ISNUMBER($C696)),$C696=0),"",$B696/$C696)</f>
        <v/>
      </c>
      <c r="E696" s="7" t="str">
        <f aca="false">IF(NOT(ISNUMBER(Macro_Series!$H696)),"",Macro_Series!$H696)</f>
        <v/>
      </c>
      <c r="F696" s="7" t="str">
        <f aca="false">IF(OR(NOT(ISNUMBER($D696)),NOT(ISNUMBER($E696)),$E696=0),"",$D696/$E696)</f>
        <v/>
      </c>
      <c r="G696" s="8" t="str">
        <f aca="false">IF(OR(NOT(ISNUMBER($B696)),NOT(ISNUMBER($B451)),$B451=0),"",$B696/$B451-1)</f>
        <v/>
      </c>
      <c r="H696" s="8" t="str">
        <f aca="false">IF(OR(NOT(ISNUMBER($D696)),NOT(ISNUMBER($D451)),$D451=0),"",$D696/$D451-1)</f>
        <v/>
      </c>
      <c r="I696" s="8" t="str">
        <f aca="false">IF(OR(NOT(ISNUMBER($G696)),NOT(ISNUMBER($H696))),"",$G696-$H696)</f>
        <v/>
      </c>
    </row>
    <row r="697" customFormat="false" ht="15" hidden="false" customHeight="false" outlineLevel="0" collapsed="false">
      <c r="A697" s="5" t="str">
        <f aca="false">IF(NOT(ISNUMBER(Macro_Series!$A697)),"",Macro_Series!$A697)</f>
        <v/>
      </c>
      <c r="B697" s="6" t="str">
        <f aca="false">IF(NOT(ISNUMBER(Macro_Series!$C697)),"",Macro_Series!$C697)</f>
        <v/>
      </c>
      <c r="C697" s="6" t="str">
        <f aca="false">IF(NOT(ISNUMBER(Macro_Series!$E697)),"",Macro_Series!$E697)</f>
        <v/>
      </c>
      <c r="D697" s="7" t="str">
        <f aca="false">IF(OR(NOT(ISNUMBER($B697)),NOT(ISNUMBER($C697)),$C697=0),"",$B697/$C697)</f>
        <v/>
      </c>
      <c r="E697" s="7" t="str">
        <f aca="false">IF(NOT(ISNUMBER(Macro_Series!$H697)),"",Macro_Series!$H697)</f>
        <v/>
      </c>
      <c r="F697" s="7" t="str">
        <f aca="false">IF(OR(NOT(ISNUMBER($D697)),NOT(ISNUMBER($E697)),$E697=0),"",$D697/$E697)</f>
        <v/>
      </c>
      <c r="G697" s="8" t="str">
        <f aca="false">IF(OR(NOT(ISNUMBER($B697)),NOT(ISNUMBER($B452)),$B452=0),"",$B697/$B452-1)</f>
        <v/>
      </c>
      <c r="H697" s="8" t="str">
        <f aca="false">IF(OR(NOT(ISNUMBER($D697)),NOT(ISNUMBER($D452)),$D452=0),"",$D697/$D452-1)</f>
        <v/>
      </c>
      <c r="I697" s="8" t="str">
        <f aca="false">IF(OR(NOT(ISNUMBER($G697)),NOT(ISNUMBER($H697))),"",$G697-$H697)</f>
        <v/>
      </c>
    </row>
    <row r="698" customFormat="false" ht="15" hidden="false" customHeight="false" outlineLevel="0" collapsed="false">
      <c r="A698" s="5" t="str">
        <f aca="false">IF(NOT(ISNUMBER(Macro_Series!$A698)),"",Macro_Series!$A698)</f>
        <v/>
      </c>
      <c r="B698" s="6" t="str">
        <f aca="false">IF(NOT(ISNUMBER(Macro_Series!$C698)),"",Macro_Series!$C698)</f>
        <v/>
      </c>
      <c r="C698" s="6" t="str">
        <f aca="false">IF(NOT(ISNUMBER(Macro_Series!$E698)),"",Macro_Series!$E698)</f>
        <v/>
      </c>
      <c r="D698" s="7" t="str">
        <f aca="false">IF(OR(NOT(ISNUMBER($B698)),NOT(ISNUMBER($C698)),$C698=0),"",$B698/$C698)</f>
        <v/>
      </c>
      <c r="E698" s="7" t="str">
        <f aca="false">IF(NOT(ISNUMBER(Macro_Series!$H698)),"",Macro_Series!$H698)</f>
        <v/>
      </c>
      <c r="F698" s="7" t="str">
        <f aca="false">IF(OR(NOT(ISNUMBER($D698)),NOT(ISNUMBER($E698)),$E698=0),"",$D698/$E698)</f>
        <v/>
      </c>
      <c r="G698" s="8" t="str">
        <f aca="false">IF(OR(NOT(ISNUMBER($B698)),NOT(ISNUMBER($B453)),$B453=0),"",$B698/$B453-1)</f>
        <v/>
      </c>
      <c r="H698" s="8" t="str">
        <f aca="false">IF(OR(NOT(ISNUMBER($D698)),NOT(ISNUMBER($D453)),$D453=0),"",$D698/$D453-1)</f>
        <v/>
      </c>
      <c r="I698" s="8" t="str">
        <f aca="false">IF(OR(NOT(ISNUMBER($G698)),NOT(ISNUMBER($H698))),"",$G698-$H698)</f>
        <v/>
      </c>
    </row>
    <row r="699" customFormat="false" ht="15" hidden="false" customHeight="false" outlineLevel="0" collapsed="false">
      <c r="A699" s="5" t="str">
        <f aca="false">IF(NOT(ISNUMBER(Macro_Series!$A699)),"",Macro_Series!$A699)</f>
        <v/>
      </c>
      <c r="B699" s="6" t="str">
        <f aca="false">IF(NOT(ISNUMBER(Macro_Series!$C699)),"",Macro_Series!$C699)</f>
        <v/>
      </c>
      <c r="C699" s="6" t="str">
        <f aca="false">IF(NOT(ISNUMBER(Macro_Series!$E699)),"",Macro_Series!$E699)</f>
        <v/>
      </c>
      <c r="D699" s="7" t="str">
        <f aca="false">IF(OR(NOT(ISNUMBER($B699)),NOT(ISNUMBER($C699)),$C699=0),"",$B699/$C699)</f>
        <v/>
      </c>
      <c r="E699" s="7" t="str">
        <f aca="false">IF(NOT(ISNUMBER(Macro_Series!$H699)),"",Macro_Series!$H699)</f>
        <v/>
      </c>
      <c r="F699" s="7" t="str">
        <f aca="false">IF(OR(NOT(ISNUMBER($D699)),NOT(ISNUMBER($E699)),$E699=0),"",$D699/$E699)</f>
        <v/>
      </c>
      <c r="G699" s="8" t="str">
        <f aca="false">IF(OR(NOT(ISNUMBER($B699)),NOT(ISNUMBER($B454)),$B454=0),"",$B699/$B454-1)</f>
        <v/>
      </c>
      <c r="H699" s="8" t="str">
        <f aca="false">IF(OR(NOT(ISNUMBER($D699)),NOT(ISNUMBER($D454)),$D454=0),"",$D699/$D454-1)</f>
        <v/>
      </c>
      <c r="I699" s="8" t="str">
        <f aca="false">IF(OR(NOT(ISNUMBER($G699)),NOT(ISNUMBER($H699))),"",$G699-$H699)</f>
        <v/>
      </c>
    </row>
    <row r="700" customFormat="false" ht="15" hidden="false" customHeight="false" outlineLevel="0" collapsed="false">
      <c r="A700" s="5" t="str">
        <f aca="false">IF(NOT(ISNUMBER(Macro_Series!$A700)),"",Macro_Series!$A700)</f>
        <v/>
      </c>
      <c r="B700" s="6" t="str">
        <f aca="false">IF(NOT(ISNUMBER(Macro_Series!$C700)),"",Macro_Series!$C700)</f>
        <v/>
      </c>
      <c r="C700" s="6" t="str">
        <f aca="false">IF(NOT(ISNUMBER(Macro_Series!$E700)),"",Macro_Series!$E700)</f>
        <v/>
      </c>
      <c r="D700" s="7" t="str">
        <f aca="false">IF(OR(NOT(ISNUMBER($B700)),NOT(ISNUMBER($C700)),$C700=0),"",$B700/$C700)</f>
        <v/>
      </c>
      <c r="E700" s="7" t="str">
        <f aca="false">IF(NOT(ISNUMBER(Macro_Series!$H700)),"",Macro_Series!$H700)</f>
        <v/>
      </c>
      <c r="F700" s="7" t="str">
        <f aca="false">IF(OR(NOT(ISNUMBER($D700)),NOT(ISNUMBER($E700)),$E700=0),"",$D700/$E700)</f>
        <v/>
      </c>
      <c r="G700" s="8" t="str">
        <f aca="false">IF(OR(NOT(ISNUMBER($B700)),NOT(ISNUMBER($B455)),$B455=0),"",$B700/$B455-1)</f>
        <v/>
      </c>
      <c r="H700" s="8" t="str">
        <f aca="false">IF(OR(NOT(ISNUMBER($D700)),NOT(ISNUMBER($D455)),$D455=0),"",$D700/$D455-1)</f>
        <v/>
      </c>
      <c r="I700" s="8" t="str">
        <f aca="false">IF(OR(NOT(ISNUMBER($G700)),NOT(ISNUMBER($H700))),"",$G700-$H700)</f>
        <v/>
      </c>
    </row>
    <row r="701" customFormat="false" ht="15" hidden="false" customHeight="false" outlineLevel="0" collapsed="false">
      <c r="A701" s="5" t="str">
        <f aca="false">IF(NOT(ISNUMBER(Macro_Series!$A701)),"",Macro_Series!$A701)</f>
        <v/>
      </c>
      <c r="B701" s="6" t="str">
        <f aca="false">IF(NOT(ISNUMBER(Macro_Series!$C701)),"",Macro_Series!$C701)</f>
        <v/>
      </c>
      <c r="C701" s="6" t="str">
        <f aca="false">IF(NOT(ISNUMBER(Macro_Series!$E701)),"",Macro_Series!$E701)</f>
        <v/>
      </c>
      <c r="D701" s="7" t="str">
        <f aca="false">IF(OR(NOT(ISNUMBER($B701)),NOT(ISNUMBER($C701)),$C701=0),"",$B701/$C701)</f>
        <v/>
      </c>
      <c r="E701" s="7" t="str">
        <f aca="false">IF(NOT(ISNUMBER(Macro_Series!$H701)),"",Macro_Series!$H701)</f>
        <v/>
      </c>
      <c r="F701" s="7" t="str">
        <f aca="false">IF(OR(NOT(ISNUMBER($D701)),NOT(ISNUMBER($E701)),$E701=0),"",$D701/$E701)</f>
        <v/>
      </c>
      <c r="G701" s="8" t="str">
        <f aca="false">IF(OR(NOT(ISNUMBER($B701)),NOT(ISNUMBER($B456)),$B456=0),"",$B701/$B456-1)</f>
        <v/>
      </c>
      <c r="H701" s="8" t="str">
        <f aca="false">IF(OR(NOT(ISNUMBER($D701)),NOT(ISNUMBER($D456)),$D456=0),"",$D701/$D456-1)</f>
        <v/>
      </c>
      <c r="I701" s="8" t="str">
        <f aca="false">IF(OR(NOT(ISNUMBER($G701)),NOT(ISNUMBER($H701))),"",$G701-$H701)</f>
        <v/>
      </c>
    </row>
    <row r="702" customFormat="false" ht="15" hidden="false" customHeight="false" outlineLevel="0" collapsed="false">
      <c r="A702" s="5" t="str">
        <f aca="false">IF(NOT(ISNUMBER(Macro_Series!$A702)),"",Macro_Series!$A702)</f>
        <v/>
      </c>
      <c r="B702" s="6" t="str">
        <f aca="false">IF(NOT(ISNUMBER(Macro_Series!$C702)),"",Macro_Series!$C702)</f>
        <v/>
      </c>
      <c r="C702" s="6" t="str">
        <f aca="false">IF(NOT(ISNUMBER(Macro_Series!$E702)),"",Macro_Series!$E702)</f>
        <v/>
      </c>
      <c r="D702" s="7" t="str">
        <f aca="false">IF(OR(NOT(ISNUMBER($B702)),NOT(ISNUMBER($C702)),$C702=0),"",$B702/$C702)</f>
        <v/>
      </c>
      <c r="E702" s="7" t="str">
        <f aca="false">IF(NOT(ISNUMBER(Macro_Series!$H702)),"",Macro_Series!$H702)</f>
        <v/>
      </c>
      <c r="F702" s="7" t="str">
        <f aca="false">IF(OR(NOT(ISNUMBER($D702)),NOT(ISNUMBER($E702)),$E702=0),"",$D702/$E702)</f>
        <v/>
      </c>
      <c r="G702" s="8" t="str">
        <f aca="false">IF(OR(NOT(ISNUMBER($B702)),NOT(ISNUMBER($B457)),$B457=0),"",$B702/$B457-1)</f>
        <v/>
      </c>
      <c r="H702" s="8" t="str">
        <f aca="false">IF(OR(NOT(ISNUMBER($D702)),NOT(ISNUMBER($D457)),$D457=0),"",$D702/$D457-1)</f>
        <v/>
      </c>
      <c r="I702" s="8" t="str">
        <f aca="false">IF(OR(NOT(ISNUMBER($G702)),NOT(ISNUMBER($H702))),"",$G702-$H702)</f>
        <v/>
      </c>
    </row>
    <row r="703" customFormat="false" ht="15" hidden="false" customHeight="false" outlineLevel="0" collapsed="false">
      <c r="A703" s="5" t="str">
        <f aca="false">IF(NOT(ISNUMBER(Macro_Series!$A703)),"",Macro_Series!$A703)</f>
        <v/>
      </c>
      <c r="B703" s="6" t="str">
        <f aca="false">IF(NOT(ISNUMBER(Macro_Series!$C703)),"",Macro_Series!$C703)</f>
        <v/>
      </c>
      <c r="C703" s="6" t="str">
        <f aca="false">IF(NOT(ISNUMBER(Macro_Series!$E703)),"",Macro_Series!$E703)</f>
        <v/>
      </c>
      <c r="D703" s="7" t="str">
        <f aca="false">IF(OR(NOT(ISNUMBER($B703)),NOT(ISNUMBER($C703)),$C703=0),"",$B703/$C703)</f>
        <v/>
      </c>
      <c r="E703" s="7" t="str">
        <f aca="false">IF(NOT(ISNUMBER(Macro_Series!$H703)),"",Macro_Series!$H703)</f>
        <v/>
      </c>
      <c r="F703" s="7" t="str">
        <f aca="false">IF(OR(NOT(ISNUMBER($D703)),NOT(ISNUMBER($E703)),$E703=0),"",$D703/$E703)</f>
        <v/>
      </c>
      <c r="G703" s="8" t="str">
        <f aca="false">IF(OR(NOT(ISNUMBER($B703)),NOT(ISNUMBER($B458)),$B458=0),"",$B703/$B458-1)</f>
        <v/>
      </c>
      <c r="H703" s="8" t="str">
        <f aca="false">IF(OR(NOT(ISNUMBER($D703)),NOT(ISNUMBER($D458)),$D458=0),"",$D703/$D458-1)</f>
        <v/>
      </c>
      <c r="I703" s="8" t="str">
        <f aca="false">IF(OR(NOT(ISNUMBER($G703)),NOT(ISNUMBER($H703))),"",$G703-$H703)</f>
        <v/>
      </c>
    </row>
    <row r="704" customFormat="false" ht="15" hidden="false" customHeight="false" outlineLevel="0" collapsed="false">
      <c r="A704" s="5" t="str">
        <f aca="false">IF(NOT(ISNUMBER(Macro_Series!$A704)),"",Macro_Series!$A704)</f>
        <v/>
      </c>
      <c r="B704" s="6" t="str">
        <f aca="false">IF(NOT(ISNUMBER(Macro_Series!$C704)),"",Macro_Series!$C704)</f>
        <v/>
      </c>
      <c r="C704" s="6" t="str">
        <f aca="false">IF(NOT(ISNUMBER(Macro_Series!$E704)),"",Macro_Series!$E704)</f>
        <v/>
      </c>
      <c r="D704" s="7" t="str">
        <f aca="false">IF(OR(NOT(ISNUMBER($B704)),NOT(ISNUMBER($C704)),$C704=0),"",$B704/$C704)</f>
        <v/>
      </c>
      <c r="E704" s="7" t="str">
        <f aca="false">IF(NOT(ISNUMBER(Macro_Series!$H704)),"",Macro_Series!$H704)</f>
        <v/>
      </c>
      <c r="F704" s="7" t="str">
        <f aca="false">IF(OR(NOT(ISNUMBER($D704)),NOT(ISNUMBER($E704)),$E704=0),"",$D704/$E704)</f>
        <v/>
      </c>
      <c r="G704" s="8" t="str">
        <f aca="false">IF(OR(NOT(ISNUMBER($B704)),NOT(ISNUMBER($B459)),$B459=0),"",$B704/$B459-1)</f>
        <v/>
      </c>
      <c r="H704" s="8" t="str">
        <f aca="false">IF(OR(NOT(ISNUMBER($D704)),NOT(ISNUMBER($D459)),$D459=0),"",$D704/$D459-1)</f>
        <v/>
      </c>
      <c r="I704" s="8" t="str">
        <f aca="false">IF(OR(NOT(ISNUMBER($G704)),NOT(ISNUMBER($H704))),"",$G704-$H704)</f>
        <v/>
      </c>
    </row>
    <row r="705" customFormat="false" ht="15" hidden="false" customHeight="false" outlineLevel="0" collapsed="false">
      <c r="A705" s="5" t="str">
        <f aca="false">IF(NOT(ISNUMBER(Macro_Series!$A705)),"",Macro_Series!$A705)</f>
        <v/>
      </c>
      <c r="B705" s="6" t="str">
        <f aca="false">IF(NOT(ISNUMBER(Macro_Series!$C705)),"",Macro_Series!$C705)</f>
        <v/>
      </c>
      <c r="C705" s="6" t="str">
        <f aca="false">IF(NOT(ISNUMBER(Macro_Series!$E705)),"",Macro_Series!$E705)</f>
        <v/>
      </c>
      <c r="D705" s="7" t="str">
        <f aca="false">IF(OR(NOT(ISNUMBER($B705)),NOT(ISNUMBER($C705)),$C705=0),"",$B705/$C705)</f>
        <v/>
      </c>
      <c r="E705" s="7" t="str">
        <f aca="false">IF(NOT(ISNUMBER(Macro_Series!$H705)),"",Macro_Series!$H705)</f>
        <v/>
      </c>
      <c r="F705" s="7" t="str">
        <f aca="false">IF(OR(NOT(ISNUMBER($D705)),NOT(ISNUMBER($E705)),$E705=0),"",$D705/$E705)</f>
        <v/>
      </c>
      <c r="G705" s="8" t="str">
        <f aca="false">IF(OR(NOT(ISNUMBER($B705)),NOT(ISNUMBER($B460)),$B460=0),"",$B705/$B460-1)</f>
        <v/>
      </c>
      <c r="H705" s="8" t="str">
        <f aca="false">IF(OR(NOT(ISNUMBER($D705)),NOT(ISNUMBER($D460)),$D460=0),"",$D705/$D460-1)</f>
        <v/>
      </c>
      <c r="I705" s="8" t="str">
        <f aca="false">IF(OR(NOT(ISNUMBER($G705)),NOT(ISNUMBER($H705))),"",$G705-$H705)</f>
        <v/>
      </c>
    </row>
    <row r="706" customFormat="false" ht="15" hidden="false" customHeight="false" outlineLevel="0" collapsed="false">
      <c r="A706" s="5" t="str">
        <f aca="false">IF(NOT(ISNUMBER(Macro_Series!$A706)),"",Macro_Series!$A706)</f>
        <v/>
      </c>
      <c r="B706" s="6" t="str">
        <f aca="false">IF(NOT(ISNUMBER(Macro_Series!$C706)),"",Macro_Series!$C706)</f>
        <v/>
      </c>
      <c r="C706" s="6" t="str">
        <f aca="false">IF(NOT(ISNUMBER(Macro_Series!$E706)),"",Macro_Series!$E706)</f>
        <v/>
      </c>
      <c r="D706" s="7" t="str">
        <f aca="false">IF(OR(NOT(ISNUMBER($B706)),NOT(ISNUMBER($C706)),$C706=0),"",$B706/$C706)</f>
        <v/>
      </c>
      <c r="E706" s="7" t="str">
        <f aca="false">IF(NOT(ISNUMBER(Macro_Series!$H706)),"",Macro_Series!$H706)</f>
        <v/>
      </c>
      <c r="F706" s="7" t="str">
        <f aca="false">IF(OR(NOT(ISNUMBER($D706)),NOT(ISNUMBER($E706)),$E706=0),"",$D706/$E706)</f>
        <v/>
      </c>
      <c r="G706" s="8" t="str">
        <f aca="false">IF(OR(NOT(ISNUMBER($B706)),NOT(ISNUMBER($B461)),$B461=0),"",$B706/$B461-1)</f>
        <v/>
      </c>
      <c r="H706" s="8" t="str">
        <f aca="false">IF(OR(NOT(ISNUMBER($D706)),NOT(ISNUMBER($D461)),$D461=0),"",$D706/$D461-1)</f>
        <v/>
      </c>
      <c r="I706" s="8" t="str">
        <f aca="false">IF(OR(NOT(ISNUMBER($G706)),NOT(ISNUMBER($H706))),"",$G706-$H706)</f>
        <v/>
      </c>
    </row>
    <row r="707" customFormat="false" ht="15" hidden="false" customHeight="false" outlineLevel="0" collapsed="false">
      <c r="A707" s="5" t="str">
        <f aca="false">IF(NOT(ISNUMBER(Macro_Series!$A707)),"",Macro_Series!$A707)</f>
        <v/>
      </c>
      <c r="B707" s="6" t="str">
        <f aca="false">IF(NOT(ISNUMBER(Macro_Series!$C707)),"",Macro_Series!$C707)</f>
        <v/>
      </c>
      <c r="C707" s="6" t="str">
        <f aca="false">IF(NOT(ISNUMBER(Macro_Series!$E707)),"",Macro_Series!$E707)</f>
        <v/>
      </c>
      <c r="D707" s="7" t="str">
        <f aca="false">IF(OR(NOT(ISNUMBER($B707)),NOT(ISNUMBER($C707)),$C707=0),"",$B707/$C707)</f>
        <v/>
      </c>
      <c r="E707" s="7" t="str">
        <f aca="false">IF(NOT(ISNUMBER(Macro_Series!$H707)),"",Macro_Series!$H707)</f>
        <v/>
      </c>
      <c r="F707" s="7" t="str">
        <f aca="false">IF(OR(NOT(ISNUMBER($D707)),NOT(ISNUMBER($E707)),$E707=0),"",$D707/$E707)</f>
        <v/>
      </c>
      <c r="G707" s="8" t="str">
        <f aca="false">IF(OR(NOT(ISNUMBER($B707)),NOT(ISNUMBER($B462)),$B462=0),"",$B707/$B462-1)</f>
        <v/>
      </c>
      <c r="H707" s="8" t="str">
        <f aca="false">IF(OR(NOT(ISNUMBER($D707)),NOT(ISNUMBER($D462)),$D462=0),"",$D707/$D462-1)</f>
        <v/>
      </c>
      <c r="I707" s="8" t="str">
        <f aca="false">IF(OR(NOT(ISNUMBER($G707)),NOT(ISNUMBER($H707))),"",$G707-$H707)</f>
        <v/>
      </c>
    </row>
    <row r="708" customFormat="false" ht="15" hidden="false" customHeight="false" outlineLevel="0" collapsed="false">
      <c r="A708" s="5" t="str">
        <f aca="false">IF(NOT(ISNUMBER(Macro_Series!$A708)),"",Macro_Series!$A708)</f>
        <v/>
      </c>
      <c r="B708" s="6" t="str">
        <f aca="false">IF(NOT(ISNUMBER(Macro_Series!$C708)),"",Macro_Series!$C708)</f>
        <v/>
      </c>
      <c r="C708" s="6" t="str">
        <f aca="false">IF(NOT(ISNUMBER(Macro_Series!$E708)),"",Macro_Series!$E708)</f>
        <v/>
      </c>
      <c r="D708" s="7" t="str">
        <f aca="false">IF(OR(NOT(ISNUMBER($B708)),NOT(ISNUMBER($C708)),$C708=0),"",$B708/$C708)</f>
        <v/>
      </c>
      <c r="E708" s="7" t="str">
        <f aca="false">IF(NOT(ISNUMBER(Macro_Series!$H708)),"",Macro_Series!$H708)</f>
        <v/>
      </c>
      <c r="F708" s="7" t="str">
        <f aca="false">IF(OR(NOT(ISNUMBER($D708)),NOT(ISNUMBER($E708)),$E708=0),"",$D708/$E708)</f>
        <v/>
      </c>
      <c r="G708" s="8" t="str">
        <f aca="false">IF(OR(NOT(ISNUMBER($B708)),NOT(ISNUMBER($B463)),$B463=0),"",$B708/$B463-1)</f>
        <v/>
      </c>
      <c r="H708" s="8" t="str">
        <f aca="false">IF(OR(NOT(ISNUMBER($D708)),NOT(ISNUMBER($D463)),$D463=0),"",$D708/$D463-1)</f>
        <v/>
      </c>
      <c r="I708" s="8" t="str">
        <f aca="false">IF(OR(NOT(ISNUMBER($G708)),NOT(ISNUMBER($H708))),"",$G708-$H708)</f>
        <v/>
      </c>
    </row>
    <row r="709" customFormat="false" ht="15" hidden="false" customHeight="false" outlineLevel="0" collapsed="false">
      <c r="A709" s="5" t="str">
        <f aca="false">IF(NOT(ISNUMBER(Macro_Series!$A709)),"",Macro_Series!$A709)</f>
        <v/>
      </c>
      <c r="B709" s="6" t="str">
        <f aca="false">IF(NOT(ISNUMBER(Macro_Series!$C709)),"",Macro_Series!$C709)</f>
        <v/>
      </c>
      <c r="C709" s="6" t="str">
        <f aca="false">IF(NOT(ISNUMBER(Macro_Series!$E709)),"",Macro_Series!$E709)</f>
        <v/>
      </c>
      <c r="D709" s="7" t="str">
        <f aca="false">IF(OR(NOT(ISNUMBER($B709)),NOT(ISNUMBER($C709)),$C709=0),"",$B709/$C709)</f>
        <v/>
      </c>
      <c r="E709" s="7" t="str">
        <f aca="false">IF(NOT(ISNUMBER(Macro_Series!$H709)),"",Macro_Series!$H709)</f>
        <v/>
      </c>
      <c r="F709" s="7" t="str">
        <f aca="false">IF(OR(NOT(ISNUMBER($D709)),NOT(ISNUMBER($E709)),$E709=0),"",$D709/$E709)</f>
        <v/>
      </c>
      <c r="G709" s="8" t="str">
        <f aca="false">IF(OR(NOT(ISNUMBER($B709)),NOT(ISNUMBER($B464)),$B464=0),"",$B709/$B464-1)</f>
        <v/>
      </c>
      <c r="H709" s="8" t="str">
        <f aca="false">IF(OR(NOT(ISNUMBER($D709)),NOT(ISNUMBER($D464)),$D464=0),"",$D709/$D464-1)</f>
        <v/>
      </c>
      <c r="I709" s="8" t="str">
        <f aca="false">IF(OR(NOT(ISNUMBER($G709)),NOT(ISNUMBER($H709))),"",$G709-$H709)</f>
        <v/>
      </c>
    </row>
    <row r="710" customFormat="false" ht="15" hidden="false" customHeight="false" outlineLevel="0" collapsed="false">
      <c r="A710" s="5" t="str">
        <f aca="false">IF(NOT(ISNUMBER(Macro_Series!$A710)),"",Macro_Series!$A710)</f>
        <v/>
      </c>
      <c r="B710" s="6" t="str">
        <f aca="false">IF(NOT(ISNUMBER(Macro_Series!$C710)),"",Macro_Series!$C710)</f>
        <v/>
      </c>
      <c r="C710" s="6" t="str">
        <f aca="false">IF(NOT(ISNUMBER(Macro_Series!$E710)),"",Macro_Series!$E710)</f>
        <v/>
      </c>
      <c r="D710" s="7" t="str">
        <f aca="false">IF(OR(NOT(ISNUMBER($B710)),NOT(ISNUMBER($C710)),$C710=0),"",$B710/$C710)</f>
        <v/>
      </c>
      <c r="E710" s="7" t="str">
        <f aca="false">IF(NOT(ISNUMBER(Macro_Series!$H710)),"",Macro_Series!$H710)</f>
        <v/>
      </c>
      <c r="F710" s="7" t="str">
        <f aca="false">IF(OR(NOT(ISNUMBER($D710)),NOT(ISNUMBER($E710)),$E710=0),"",$D710/$E710)</f>
        <v/>
      </c>
      <c r="G710" s="8" t="str">
        <f aca="false">IF(OR(NOT(ISNUMBER($B710)),NOT(ISNUMBER($B465)),$B465=0),"",$B710/$B465-1)</f>
        <v/>
      </c>
      <c r="H710" s="8" t="str">
        <f aca="false">IF(OR(NOT(ISNUMBER($D710)),NOT(ISNUMBER($D465)),$D465=0),"",$D710/$D465-1)</f>
        <v/>
      </c>
      <c r="I710" s="8" t="str">
        <f aca="false">IF(OR(NOT(ISNUMBER($G710)),NOT(ISNUMBER($H710))),"",$G710-$H710)</f>
        <v/>
      </c>
    </row>
    <row r="711" customFormat="false" ht="15" hidden="false" customHeight="false" outlineLevel="0" collapsed="false">
      <c r="A711" s="5" t="str">
        <f aca="false">IF(NOT(ISNUMBER(Macro_Series!$A711)),"",Macro_Series!$A711)</f>
        <v/>
      </c>
      <c r="B711" s="6" t="str">
        <f aca="false">IF(NOT(ISNUMBER(Macro_Series!$C711)),"",Macro_Series!$C711)</f>
        <v/>
      </c>
      <c r="C711" s="6" t="str">
        <f aca="false">IF(NOT(ISNUMBER(Macro_Series!$E711)),"",Macro_Series!$E711)</f>
        <v/>
      </c>
      <c r="D711" s="7" t="str">
        <f aca="false">IF(OR(NOT(ISNUMBER($B711)),NOT(ISNUMBER($C711)),$C711=0),"",$B711/$C711)</f>
        <v/>
      </c>
      <c r="E711" s="7" t="str">
        <f aca="false">IF(NOT(ISNUMBER(Macro_Series!$H711)),"",Macro_Series!$H711)</f>
        <v/>
      </c>
      <c r="F711" s="7" t="str">
        <f aca="false">IF(OR(NOT(ISNUMBER($D711)),NOT(ISNUMBER($E711)),$E711=0),"",$D711/$E711)</f>
        <v/>
      </c>
      <c r="G711" s="8" t="str">
        <f aca="false">IF(OR(NOT(ISNUMBER($B711)),NOT(ISNUMBER($B466)),$B466=0),"",$B711/$B466-1)</f>
        <v/>
      </c>
      <c r="H711" s="8" t="str">
        <f aca="false">IF(OR(NOT(ISNUMBER($D711)),NOT(ISNUMBER($D466)),$D466=0),"",$D711/$D466-1)</f>
        <v/>
      </c>
      <c r="I711" s="8" t="str">
        <f aca="false">IF(OR(NOT(ISNUMBER($G711)),NOT(ISNUMBER($H711))),"",$G711-$H711)</f>
        <v/>
      </c>
    </row>
    <row r="712" customFormat="false" ht="15" hidden="false" customHeight="false" outlineLevel="0" collapsed="false">
      <c r="A712" s="5" t="str">
        <f aca="false">IF(NOT(ISNUMBER(Macro_Series!$A712)),"",Macro_Series!$A712)</f>
        <v/>
      </c>
      <c r="B712" s="6" t="str">
        <f aca="false">IF(NOT(ISNUMBER(Macro_Series!$C712)),"",Macro_Series!$C712)</f>
        <v/>
      </c>
      <c r="C712" s="6" t="str">
        <f aca="false">IF(NOT(ISNUMBER(Macro_Series!$E712)),"",Macro_Series!$E712)</f>
        <v/>
      </c>
      <c r="D712" s="7" t="str">
        <f aca="false">IF(OR(NOT(ISNUMBER($B712)),NOT(ISNUMBER($C712)),$C712=0),"",$B712/$C712)</f>
        <v/>
      </c>
      <c r="E712" s="7" t="str">
        <f aca="false">IF(NOT(ISNUMBER(Macro_Series!$H712)),"",Macro_Series!$H712)</f>
        <v/>
      </c>
      <c r="F712" s="7" t="str">
        <f aca="false">IF(OR(NOT(ISNUMBER($D712)),NOT(ISNUMBER($E712)),$E712=0),"",$D712/$E712)</f>
        <v/>
      </c>
      <c r="G712" s="8" t="str">
        <f aca="false">IF(OR(NOT(ISNUMBER($B712)),NOT(ISNUMBER($B467)),$B467=0),"",$B712/$B467-1)</f>
        <v/>
      </c>
      <c r="H712" s="8" t="str">
        <f aca="false">IF(OR(NOT(ISNUMBER($D712)),NOT(ISNUMBER($D467)),$D467=0),"",$D712/$D467-1)</f>
        <v/>
      </c>
      <c r="I712" s="8" t="str">
        <f aca="false">IF(OR(NOT(ISNUMBER($G712)),NOT(ISNUMBER($H712))),"",$G712-$H712)</f>
        <v/>
      </c>
    </row>
    <row r="713" customFormat="false" ht="15" hidden="false" customHeight="false" outlineLevel="0" collapsed="false">
      <c r="A713" s="5" t="str">
        <f aca="false">IF(NOT(ISNUMBER(Macro_Series!$A713)),"",Macro_Series!$A713)</f>
        <v/>
      </c>
      <c r="B713" s="6" t="str">
        <f aca="false">IF(NOT(ISNUMBER(Macro_Series!$C713)),"",Macro_Series!$C713)</f>
        <v/>
      </c>
      <c r="C713" s="6" t="str">
        <f aca="false">IF(NOT(ISNUMBER(Macro_Series!$E713)),"",Macro_Series!$E713)</f>
        <v/>
      </c>
      <c r="D713" s="7" t="str">
        <f aca="false">IF(OR(NOT(ISNUMBER($B713)),NOT(ISNUMBER($C713)),$C713=0),"",$B713/$C713)</f>
        <v/>
      </c>
      <c r="E713" s="7" t="str">
        <f aca="false">IF(NOT(ISNUMBER(Macro_Series!$H713)),"",Macro_Series!$H713)</f>
        <v/>
      </c>
      <c r="F713" s="7" t="str">
        <f aca="false">IF(OR(NOT(ISNUMBER($D713)),NOT(ISNUMBER($E713)),$E713=0),"",$D713/$E713)</f>
        <v/>
      </c>
      <c r="G713" s="8" t="str">
        <f aca="false">IF(OR(NOT(ISNUMBER($B713)),NOT(ISNUMBER($B468)),$B468=0),"",$B713/$B468-1)</f>
        <v/>
      </c>
      <c r="H713" s="8" t="str">
        <f aca="false">IF(OR(NOT(ISNUMBER($D713)),NOT(ISNUMBER($D468)),$D468=0),"",$D713/$D468-1)</f>
        <v/>
      </c>
      <c r="I713" s="8" t="str">
        <f aca="false">IF(OR(NOT(ISNUMBER($G713)),NOT(ISNUMBER($H713))),"",$G713-$H713)</f>
        <v/>
      </c>
    </row>
    <row r="714" customFormat="false" ht="15" hidden="false" customHeight="false" outlineLevel="0" collapsed="false">
      <c r="A714" s="5" t="str">
        <f aca="false">IF(NOT(ISNUMBER(Macro_Series!$A714)),"",Macro_Series!$A714)</f>
        <v/>
      </c>
      <c r="B714" s="6" t="str">
        <f aca="false">IF(NOT(ISNUMBER(Macro_Series!$C714)),"",Macro_Series!$C714)</f>
        <v/>
      </c>
      <c r="C714" s="6" t="str">
        <f aca="false">IF(NOT(ISNUMBER(Macro_Series!$E714)),"",Macro_Series!$E714)</f>
        <v/>
      </c>
      <c r="D714" s="7" t="str">
        <f aca="false">IF(OR(NOT(ISNUMBER($B714)),NOT(ISNUMBER($C714)),$C714=0),"",$B714/$C714)</f>
        <v/>
      </c>
      <c r="E714" s="7" t="str">
        <f aca="false">IF(NOT(ISNUMBER(Macro_Series!$H714)),"",Macro_Series!$H714)</f>
        <v/>
      </c>
      <c r="F714" s="7" t="str">
        <f aca="false">IF(OR(NOT(ISNUMBER($D714)),NOT(ISNUMBER($E714)),$E714=0),"",$D714/$E714)</f>
        <v/>
      </c>
      <c r="G714" s="8" t="str">
        <f aca="false">IF(OR(NOT(ISNUMBER($B714)),NOT(ISNUMBER($B469)),$B469=0),"",$B714/$B469-1)</f>
        <v/>
      </c>
      <c r="H714" s="8" t="str">
        <f aca="false">IF(OR(NOT(ISNUMBER($D714)),NOT(ISNUMBER($D469)),$D469=0),"",$D714/$D469-1)</f>
        <v/>
      </c>
      <c r="I714" s="8" t="str">
        <f aca="false">IF(OR(NOT(ISNUMBER($G714)),NOT(ISNUMBER($H714))),"",$G714-$H714)</f>
        <v/>
      </c>
    </row>
    <row r="715" customFormat="false" ht="15" hidden="false" customHeight="false" outlineLevel="0" collapsed="false">
      <c r="A715" s="5" t="str">
        <f aca="false">IF(NOT(ISNUMBER(Macro_Series!$A715)),"",Macro_Series!$A715)</f>
        <v/>
      </c>
      <c r="B715" s="6" t="str">
        <f aca="false">IF(NOT(ISNUMBER(Macro_Series!$C715)),"",Macro_Series!$C715)</f>
        <v/>
      </c>
      <c r="C715" s="6" t="str">
        <f aca="false">IF(NOT(ISNUMBER(Macro_Series!$E715)),"",Macro_Series!$E715)</f>
        <v/>
      </c>
      <c r="D715" s="7" t="str">
        <f aca="false">IF(OR(NOT(ISNUMBER($B715)),NOT(ISNUMBER($C715)),$C715=0),"",$B715/$C715)</f>
        <v/>
      </c>
      <c r="E715" s="7" t="str">
        <f aca="false">IF(NOT(ISNUMBER(Macro_Series!$H715)),"",Macro_Series!$H715)</f>
        <v/>
      </c>
      <c r="F715" s="7" t="str">
        <f aca="false">IF(OR(NOT(ISNUMBER($D715)),NOT(ISNUMBER($E715)),$E715=0),"",$D715/$E715)</f>
        <v/>
      </c>
      <c r="G715" s="8" t="str">
        <f aca="false">IF(OR(NOT(ISNUMBER($B715)),NOT(ISNUMBER($B470)),$B470=0),"",$B715/$B470-1)</f>
        <v/>
      </c>
      <c r="H715" s="8" t="str">
        <f aca="false">IF(OR(NOT(ISNUMBER($D715)),NOT(ISNUMBER($D470)),$D470=0),"",$D715/$D470-1)</f>
        <v/>
      </c>
      <c r="I715" s="8" t="str">
        <f aca="false">IF(OR(NOT(ISNUMBER($G715)),NOT(ISNUMBER($H715))),"",$G715-$H715)</f>
        <v/>
      </c>
    </row>
    <row r="716" customFormat="false" ht="15" hidden="false" customHeight="false" outlineLevel="0" collapsed="false">
      <c r="A716" s="5" t="str">
        <f aca="false">IF(NOT(ISNUMBER(Macro_Series!$A716)),"",Macro_Series!$A716)</f>
        <v/>
      </c>
      <c r="B716" s="6" t="str">
        <f aca="false">IF(NOT(ISNUMBER(Macro_Series!$C716)),"",Macro_Series!$C716)</f>
        <v/>
      </c>
      <c r="C716" s="6" t="str">
        <f aca="false">IF(NOT(ISNUMBER(Macro_Series!$E716)),"",Macro_Series!$E716)</f>
        <v/>
      </c>
      <c r="D716" s="7" t="str">
        <f aca="false">IF(OR(NOT(ISNUMBER($B716)),NOT(ISNUMBER($C716)),$C716=0),"",$B716/$C716)</f>
        <v/>
      </c>
      <c r="E716" s="7" t="str">
        <f aca="false">IF(NOT(ISNUMBER(Macro_Series!$H716)),"",Macro_Series!$H716)</f>
        <v/>
      </c>
      <c r="F716" s="7" t="str">
        <f aca="false">IF(OR(NOT(ISNUMBER($D716)),NOT(ISNUMBER($E716)),$E716=0),"",$D716/$E716)</f>
        <v/>
      </c>
      <c r="G716" s="8" t="str">
        <f aca="false">IF(OR(NOT(ISNUMBER($B716)),NOT(ISNUMBER($B471)),$B471=0),"",$B716/$B471-1)</f>
        <v/>
      </c>
      <c r="H716" s="8" t="str">
        <f aca="false">IF(OR(NOT(ISNUMBER($D716)),NOT(ISNUMBER($D471)),$D471=0),"",$D716/$D471-1)</f>
        <v/>
      </c>
      <c r="I716" s="8" t="str">
        <f aca="false">IF(OR(NOT(ISNUMBER($G716)),NOT(ISNUMBER($H716))),"",$G716-$H716)</f>
        <v/>
      </c>
    </row>
    <row r="717" customFormat="false" ht="15" hidden="false" customHeight="false" outlineLevel="0" collapsed="false">
      <c r="A717" s="5" t="str">
        <f aca="false">IF(NOT(ISNUMBER(Macro_Series!$A717)),"",Macro_Series!$A717)</f>
        <v/>
      </c>
      <c r="B717" s="6" t="str">
        <f aca="false">IF(NOT(ISNUMBER(Macro_Series!$C717)),"",Macro_Series!$C717)</f>
        <v/>
      </c>
      <c r="C717" s="6" t="str">
        <f aca="false">IF(NOT(ISNUMBER(Macro_Series!$E717)),"",Macro_Series!$E717)</f>
        <v/>
      </c>
      <c r="D717" s="7" t="str">
        <f aca="false">IF(OR(NOT(ISNUMBER($B717)),NOT(ISNUMBER($C717)),$C717=0),"",$B717/$C717)</f>
        <v/>
      </c>
      <c r="E717" s="7" t="str">
        <f aca="false">IF(NOT(ISNUMBER(Macro_Series!$H717)),"",Macro_Series!$H717)</f>
        <v/>
      </c>
      <c r="F717" s="7" t="str">
        <f aca="false">IF(OR(NOT(ISNUMBER($D717)),NOT(ISNUMBER($E717)),$E717=0),"",$D717/$E717)</f>
        <v/>
      </c>
      <c r="G717" s="8" t="str">
        <f aca="false">IF(OR(NOT(ISNUMBER($B717)),NOT(ISNUMBER($B472)),$B472=0),"",$B717/$B472-1)</f>
        <v/>
      </c>
      <c r="H717" s="8" t="str">
        <f aca="false">IF(OR(NOT(ISNUMBER($D717)),NOT(ISNUMBER($D472)),$D472=0),"",$D717/$D472-1)</f>
        <v/>
      </c>
      <c r="I717" s="8" t="str">
        <f aca="false">IF(OR(NOT(ISNUMBER($G717)),NOT(ISNUMBER($H717))),"",$G717-$H717)</f>
        <v/>
      </c>
    </row>
    <row r="718" customFormat="false" ht="15" hidden="false" customHeight="false" outlineLevel="0" collapsed="false">
      <c r="A718" s="5" t="str">
        <f aca="false">IF(NOT(ISNUMBER(Macro_Series!$A718)),"",Macro_Series!$A718)</f>
        <v/>
      </c>
      <c r="B718" s="6" t="str">
        <f aca="false">IF(NOT(ISNUMBER(Macro_Series!$C718)),"",Macro_Series!$C718)</f>
        <v/>
      </c>
      <c r="C718" s="6" t="str">
        <f aca="false">IF(NOT(ISNUMBER(Macro_Series!$E718)),"",Macro_Series!$E718)</f>
        <v/>
      </c>
      <c r="D718" s="7" t="str">
        <f aca="false">IF(OR(NOT(ISNUMBER($B718)),NOT(ISNUMBER($C718)),$C718=0),"",$B718/$C718)</f>
        <v/>
      </c>
      <c r="E718" s="7" t="str">
        <f aca="false">IF(NOT(ISNUMBER(Macro_Series!$H718)),"",Macro_Series!$H718)</f>
        <v/>
      </c>
      <c r="F718" s="7" t="str">
        <f aca="false">IF(OR(NOT(ISNUMBER($D718)),NOT(ISNUMBER($E718)),$E718=0),"",$D718/$E718)</f>
        <v/>
      </c>
      <c r="G718" s="8" t="str">
        <f aca="false">IF(OR(NOT(ISNUMBER($B718)),NOT(ISNUMBER($B473)),$B473=0),"",$B718/$B473-1)</f>
        <v/>
      </c>
      <c r="H718" s="8" t="str">
        <f aca="false">IF(OR(NOT(ISNUMBER($D718)),NOT(ISNUMBER($D473)),$D473=0),"",$D718/$D473-1)</f>
        <v/>
      </c>
      <c r="I718" s="8" t="str">
        <f aca="false">IF(OR(NOT(ISNUMBER($G718)),NOT(ISNUMBER($H718))),"",$G718-$H718)</f>
        <v/>
      </c>
    </row>
    <row r="719" customFormat="false" ht="15" hidden="false" customHeight="false" outlineLevel="0" collapsed="false">
      <c r="A719" s="5" t="str">
        <f aca="false">IF(NOT(ISNUMBER(Macro_Series!$A719)),"",Macro_Series!$A719)</f>
        <v/>
      </c>
      <c r="B719" s="6" t="str">
        <f aca="false">IF(NOT(ISNUMBER(Macro_Series!$C719)),"",Macro_Series!$C719)</f>
        <v/>
      </c>
      <c r="C719" s="6" t="str">
        <f aca="false">IF(NOT(ISNUMBER(Macro_Series!$E719)),"",Macro_Series!$E719)</f>
        <v/>
      </c>
      <c r="D719" s="7" t="str">
        <f aca="false">IF(OR(NOT(ISNUMBER($B719)),NOT(ISNUMBER($C719)),$C719=0),"",$B719/$C719)</f>
        <v/>
      </c>
      <c r="E719" s="7" t="str">
        <f aca="false">IF(NOT(ISNUMBER(Macro_Series!$H719)),"",Macro_Series!$H719)</f>
        <v/>
      </c>
      <c r="F719" s="7" t="str">
        <f aca="false">IF(OR(NOT(ISNUMBER($D719)),NOT(ISNUMBER($E719)),$E719=0),"",$D719/$E719)</f>
        <v/>
      </c>
      <c r="G719" s="8" t="str">
        <f aca="false">IF(OR(NOT(ISNUMBER($B719)),NOT(ISNUMBER($B474)),$B474=0),"",$B719/$B474-1)</f>
        <v/>
      </c>
      <c r="H719" s="8" t="str">
        <f aca="false">IF(OR(NOT(ISNUMBER($D719)),NOT(ISNUMBER($D474)),$D474=0),"",$D719/$D474-1)</f>
        <v/>
      </c>
      <c r="I719" s="8" t="str">
        <f aca="false">IF(OR(NOT(ISNUMBER($G719)),NOT(ISNUMBER($H719))),"",$G719-$H719)</f>
        <v/>
      </c>
    </row>
    <row r="720" customFormat="false" ht="15" hidden="false" customHeight="false" outlineLevel="0" collapsed="false">
      <c r="A720" s="5" t="str">
        <f aca="false">IF(NOT(ISNUMBER(Macro_Series!$A720)),"",Macro_Series!$A720)</f>
        <v/>
      </c>
      <c r="B720" s="6" t="str">
        <f aca="false">IF(NOT(ISNUMBER(Macro_Series!$C720)),"",Macro_Series!$C720)</f>
        <v/>
      </c>
      <c r="C720" s="6" t="str">
        <f aca="false">IF(NOT(ISNUMBER(Macro_Series!$E720)),"",Macro_Series!$E720)</f>
        <v/>
      </c>
      <c r="D720" s="7" t="str">
        <f aca="false">IF(OR(NOT(ISNUMBER($B720)),NOT(ISNUMBER($C720)),$C720=0),"",$B720/$C720)</f>
        <v/>
      </c>
      <c r="E720" s="7" t="str">
        <f aca="false">IF(NOT(ISNUMBER(Macro_Series!$H720)),"",Macro_Series!$H720)</f>
        <v/>
      </c>
      <c r="F720" s="7" t="str">
        <f aca="false">IF(OR(NOT(ISNUMBER($D720)),NOT(ISNUMBER($E720)),$E720=0),"",$D720/$E720)</f>
        <v/>
      </c>
      <c r="G720" s="8" t="str">
        <f aca="false">IF(OR(NOT(ISNUMBER($B720)),NOT(ISNUMBER($B475)),$B475=0),"",$B720/$B475-1)</f>
        <v/>
      </c>
      <c r="H720" s="8" t="str">
        <f aca="false">IF(OR(NOT(ISNUMBER($D720)),NOT(ISNUMBER($D475)),$D475=0),"",$D720/$D475-1)</f>
        <v/>
      </c>
      <c r="I720" s="8" t="str">
        <f aca="false">IF(OR(NOT(ISNUMBER($G720)),NOT(ISNUMBER($H720))),"",$G720-$H720)</f>
        <v/>
      </c>
    </row>
    <row r="721" customFormat="false" ht="15" hidden="false" customHeight="false" outlineLevel="0" collapsed="false">
      <c r="A721" s="5" t="str">
        <f aca="false">IF(NOT(ISNUMBER(Macro_Series!$A721)),"",Macro_Series!$A721)</f>
        <v/>
      </c>
      <c r="B721" s="6" t="str">
        <f aca="false">IF(NOT(ISNUMBER(Macro_Series!$C721)),"",Macro_Series!$C721)</f>
        <v/>
      </c>
      <c r="C721" s="6" t="str">
        <f aca="false">IF(NOT(ISNUMBER(Macro_Series!$E721)),"",Macro_Series!$E721)</f>
        <v/>
      </c>
      <c r="D721" s="7" t="str">
        <f aca="false">IF(OR(NOT(ISNUMBER($B721)),NOT(ISNUMBER($C721)),$C721=0),"",$B721/$C721)</f>
        <v/>
      </c>
      <c r="E721" s="7" t="str">
        <f aca="false">IF(NOT(ISNUMBER(Macro_Series!$H721)),"",Macro_Series!$H721)</f>
        <v/>
      </c>
      <c r="F721" s="7" t="str">
        <f aca="false">IF(OR(NOT(ISNUMBER($D721)),NOT(ISNUMBER($E721)),$E721=0),"",$D721/$E721)</f>
        <v/>
      </c>
      <c r="G721" s="8" t="str">
        <f aca="false">IF(OR(NOT(ISNUMBER($B721)),NOT(ISNUMBER($B476)),$B476=0),"",$B721/$B476-1)</f>
        <v/>
      </c>
      <c r="H721" s="8" t="str">
        <f aca="false">IF(OR(NOT(ISNUMBER($D721)),NOT(ISNUMBER($D476)),$D476=0),"",$D721/$D476-1)</f>
        <v/>
      </c>
      <c r="I721" s="8" t="str">
        <f aca="false">IF(OR(NOT(ISNUMBER($G721)),NOT(ISNUMBER($H721))),"",$G721-$H721)</f>
        <v/>
      </c>
    </row>
    <row r="722" customFormat="false" ht="15" hidden="false" customHeight="false" outlineLevel="0" collapsed="false">
      <c r="A722" s="5" t="str">
        <f aca="false">IF(NOT(ISNUMBER(Macro_Series!$A722)),"",Macro_Series!$A722)</f>
        <v/>
      </c>
      <c r="B722" s="6" t="str">
        <f aca="false">IF(NOT(ISNUMBER(Macro_Series!$C722)),"",Macro_Series!$C722)</f>
        <v/>
      </c>
      <c r="C722" s="6" t="str">
        <f aca="false">IF(NOT(ISNUMBER(Macro_Series!$E722)),"",Macro_Series!$E722)</f>
        <v/>
      </c>
      <c r="D722" s="7" t="str">
        <f aca="false">IF(OR(NOT(ISNUMBER($B722)),NOT(ISNUMBER($C722)),$C722=0),"",$B722/$C722)</f>
        <v/>
      </c>
      <c r="E722" s="7" t="str">
        <f aca="false">IF(NOT(ISNUMBER(Macro_Series!$H722)),"",Macro_Series!$H722)</f>
        <v/>
      </c>
      <c r="F722" s="7" t="str">
        <f aca="false">IF(OR(NOT(ISNUMBER($D722)),NOT(ISNUMBER($E722)),$E722=0),"",$D722/$E722)</f>
        <v/>
      </c>
      <c r="G722" s="8" t="str">
        <f aca="false">IF(OR(NOT(ISNUMBER($B722)),NOT(ISNUMBER($B477)),$B477=0),"",$B722/$B477-1)</f>
        <v/>
      </c>
      <c r="H722" s="8" t="str">
        <f aca="false">IF(OR(NOT(ISNUMBER($D722)),NOT(ISNUMBER($D477)),$D477=0),"",$D722/$D477-1)</f>
        <v/>
      </c>
      <c r="I722" s="8" t="str">
        <f aca="false">IF(OR(NOT(ISNUMBER($G722)),NOT(ISNUMBER($H722))),"",$G722-$H722)</f>
        <v/>
      </c>
    </row>
    <row r="723" customFormat="false" ht="15" hidden="false" customHeight="false" outlineLevel="0" collapsed="false">
      <c r="A723" s="5" t="str">
        <f aca="false">IF(NOT(ISNUMBER(Macro_Series!$A723)),"",Macro_Series!$A723)</f>
        <v/>
      </c>
      <c r="B723" s="6" t="str">
        <f aca="false">IF(NOT(ISNUMBER(Macro_Series!$C723)),"",Macro_Series!$C723)</f>
        <v/>
      </c>
      <c r="C723" s="6" t="str">
        <f aca="false">IF(NOT(ISNUMBER(Macro_Series!$E723)),"",Macro_Series!$E723)</f>
        <v/>
      </c>
      <c r="D723" s="7" t="str">
        <f aca="false">IF(OR(NOT(ISNUMBER($B723)),NOT(ISNUMBER($C723)),$C723=0),"",$B723/$C723)</f>
        <v/>
      </c>
      <c r="E723" s="7" t="str">
        <f aca="false">IF(NOT(ISNUMBER(Macro_Series!$H723)),"",Macro_Series!$H723)</f>
        <v/>
      </c>
      <c r="F723" s="7" t="str">
        <f aca="false">IF(OR(NOT(ISNUMBER($D723)),NOT(ISNUMBER($E723)),$E723=0),"",$D723/$E723)</f>
        <v/>
      </c>
      <c r="G723" s="8" t="str">
        <f aca="false">IF(OR(NOT(ISNUMBER($B723)),NOT(ISNUMBER($B478)),$B478=0),"",$B723/$B478-1)</f>
        <v/>
      </c>
      <c r="H723" s="8" t="str">
        <f aca="false">IF(OR(NOT(ISNUMBER($D723)),NOT(ISNUMBER($D478)),$D478=0),"",$D723/$D478-1)</f>
        <v/>
      </c>
      <c r="I723" s="8" t="str">
        <f aca="false">IF(OR(NOT(ISNUMBER($G723)),NOT(ISNUMBER($H723))),"",$G723-$H723)</f>
        <v/>
      </c>
    </row>
    <row r="724" customFormat="false" ht="15" hidden="false" customHeight="false" outlineLevel="0" collapsed="false">
      <c r="A724" s="5" t="str">
        <f aca="false">IF(NOT(ISNUMBER(Macro_Series!$A724)),"",Macro_Series!$A724)</f>
        <v/>
      </c>
      <c r="B724" s="6" t="str">
        <f aca="false">IF(NOT(ISNUMBER(Macro_Series!$C724)),"",Macro_Series!$C724)</f>
        <v/>
      </c>
      <c r="C724" s="6" t="str">
        <f aca="false">IF(NOT(ISNUMBER(Macro_Series!$E724)),"",Macro_Series!$E724)</f>
        <v/>
      </c>
      <c r="D724" s="7" t="str">
        <f aca="false">IF(OR(NOT(ISNUMBER($B724)),NOT(ISNUMBER($C724)),$C724=0),"",$B724/$C724)</f>
        <v/>
      </c>
      <c r="E724" s="7" t="str">
        <f aca="false">IF(NOT(ISNUMBER(Macro_Series!$H724)),"",Macro_Series!$H724)</f>
        <v/>
      </c>
      <c r="F724" s="7" t="str">
        <f aca="false">IF(OR(NOT(ISNUMBER($D724)),NOT(ISNUMBER($E724)),$E724=0),"",$D724/$E724)</f>
        <v/>
      </c>
      <c r="G724" s="8" t="str">
        <f aca="false">IF(OR(NOT(ISNUMBER($B724)),NOT(ISNUMBER($B479)),$B479=0),"",$B724/$B479-1)</f>
        <v/>
      </c>
      <c r="H724" s="8" t="str">
        <f aca="false">IF(OR(NOT(ISNUMBER($D724)),NOT(ISNUMBER($D479)),$D479=0),"",$D724/$D479-1)</f>
        <v/>
      </c>
      <c r="I724" s="8" t="str">
        <f aca="false">IF(OR(NOT(ISNUMBER($G724)),NOT(ISNUMBER($H724))),"",$G724-$H724)</f>
        <v/>
      </c>
    </row>
    <row r="725" customFormat="false" ht="15" hidden="false" customHeight="false" outlineLevel="0" collapsed="false">
      <c r="A725" s="5" t="str">
        <f aca="false">IF(NOT(ISNUMBER(Macro_Series!$A725)),"",Macro_Series!$A725)</f>
        <v/>
      </c>
      <c r="B725" s="6" t="str">
        <f aca="false">IF(NOT(ISNUMBER(Macro_Series!$C725)),"",Macro_Series!$C725)</f>
        <v/>
      </c>
      <c r="C725" s="6" t="str">
        <f aca="false">IF(NOT(ISNUMBER(Macro_Series!$E725)),"",Macro_Series!$E725)</f>
        <v/>
      </c>
      <c r="D725" s="7" t="str">
        <f aca="false">IF(OR(NOT(ISNUMBER($B725)),NOT(ISNUMBER($C725)),$C725=0),"",$B725/$C725)</f>
        <v/>
      </c>
      <c r="E725" s="7" t="str">
        <f aca="false">IF(NOT(ISNUMBER(Macro_Series!$H725)),"",Macro_Series!$H725)</f>
        <v/>
      </c>
      <c r="F725" s="7" t="str">
        <f aca="false">IF(OR(NOT(ISNUMBER($D725)),NOT(ISNUMBER($E725)),$E725=0),"",$D725/$E725)</f>
        <v/>
      </c>
      <c r="G725" s="8" t="str">
        <f aca="false">IF(OR(NOT(ISNUMBER($B725)),NOT(ISNUMBER($B480)),$B480=0),"",$B725/$B480-1)</f>
        <v/>
      </c>
      <c r="H725" s="8" t="str">
        <f aca="false">IF(OR(NOT(ISNUMBER($D725)),NOT(ISNUMBER($D480)),$D480=0),"",$D725/$D480-1)</f>
        <v/>
      </c>
      <c r="I725" s="8" t="str">
        <f aca="false">IF(OR(NOT(ISNUMBER($G725)),NOT(ISNUMBER($H725))),"",$G725-$H725)</f>
        <v/>
      </c>
    </row>
    <row r="726" customFormat="false" ht="15" hidden="false" customHeight="false" outlineLevel="0" collapsed="false">
      <c r="A726" s="5" t="str">
        <f aca="false">IF(NOT(ISNUMBER(Macro_Series!$A726)),"",Macro_Series!$A726)</f>
        <v/>
      </c>
      <c r="B726" s="6" t="str">
        <f aca="false">IF(NOT(ISNUMBER(Macro_Series!$C726)),"",Macro_Series!$C726)</f>
        <v/>
      </c>
      <c r="C726" s="6" t="str">
        <f aca="false">IF(NOT(ISNUMBER(Macro_Series!$E726)),"",Macro_Series!$E726)</f>
        <v/>
      </c>
      <c r="D726" s="7" t="str">
        <f aca="false">IF(OR(NOT(ISNUMBER($B726)),NOT(ISNUMBER($C726)),$C726=0),"",$B726/$C726)</f>
        <v/>
      </c>
      <c r="E726" s="7" t="str">
        <f aca="false">IF(NOT(ISNUMBER(Macro_Series!$H726)),"",Macro_Series!$H726)</f>
        <v/>
      </c>
      <c r="F726" s="7" t="str">
        <f aca="false">IF(OR(NOT(ISNUMBER($D726)),NOT(ISNUMBER($E726)),$E726=0),"",$D726/$E726)</f>
        <v/>
      </c>
      <c r="G726" s="8" t="str">
        <f aca="false">IF(OR(NOT(ISNUMBER($B726)),NOT(ISNUMBER($B481)),$B481=0),"",$B726/$B481-1)</f>
        <v/>
      </c>
      <c r="H726" s="8" t="str">
        <f aca="false">IF(OR(NOT(ISNUMBER($D726)),NOT(ISNUMBER($D481)),$D481=0),"",$D726/$D481-1)</f>
        <v/>
      </c>
      <c r="I726" s="8" t="str">
        <f aca="false">IF(OR(NOT(ISNUMBER($G726)),NOT(ISNUMBER($H726))),"",$G726-$H726)</f>
        <v/>
      </c>
    </row>
    <row r="727" customFormat="false" ht="15" hidden="false" customHeight="false" outlineLevel="0" collapsed="false">
      <c r="A727" s="5" t="str">
        <f aca="false">IF(NOT(ISNUMBER(Macro_Series!$A727)),"",Macro_Series!$A727)</f>
        <v/>
      </c>
      <c r="B727" s="6" t="str">
        <f aca="false">IF(NOT(ISNUMBER(Macro_Series!$C727)),"",Macro_Series!$C727)</f>
        <v/>
      </c>
      <c r="C727" s="6" t="str">
        <f aca="false">IF(NOT(ISNUMBER(Macro_Series!$E727)),"",Macro_Series!$E727)</f>
        <v/>
      </c>
      <c r="D727" s="7" t="str">
        <f aca="false">IF(OR(NOT(ISNUMBER($B727)),NOT(ISNUMBER($C727)),$C727=0),"",$B727/$C727)</f>
        <v/>
      </c>
      <c r="E727" s="7" t="str">
        <f aca="false">IF(NOT(ISNUMBER(Macro_Series!$H727)),"",Macro_Series!$H727)</f>
        <v/>
      </c>
      <c r="F727" s="7" t="str">
        <f aca="false">IF(OR(NOT(ISNUMBER($D727)),NOT(ISNUMBER($E727)),$E727=0),"",$D727/$E727)</f>
        <v/>
      </c>
      <c r="G727" s="8" t="str">
        <f aca="false">IF(OR(NOT(ISNUMBER($B727)),NOT(ISNUMBER($B482)),$B482=0),"",$B727/$B482-1)</f>
        <v/>
      </c>
      <c r="H727" s="8" t="str">
        <f aca="false">IF(OR(NOT(ISNUMBER($D727)),NOT(ISNUMBER($D482)),$D482=0),"",$D727/$D482-1)</f>
        <v/>
      </c>
      <c r="I727" s="8" t="str">
        <f aca="false">IF(OR(NOT(ISNUMBER($G727)),NOT(ISNUMBER($H727))),"",$G727-$H727)</f>
        <v/>
      </c>
    </row>
    <row r="728" customFormat="false" ht="15" hidden="false" customHeight="false" outlineLevel="0" collapsed="false">
      <c r="A728" s="5" t="str">
        <f aca="false">IF(NOT(ISNUMBER(Macro_Series!$A728)),"",Macro_Series!$A728)</f>
        <v/>
      </c>
      <c r="B728" s="6" t="str">
        <f aca="false">IF(NOT(ISNUMBER(Macro_Series!$C728)),"",Macro_Series!$C728)</f>
        <v/>
      </c>
      <c r="C728" s="6" t="str">
        <f aca="false">IF(NOT(ISNUMBER(Macro_Series!$E728)),"",Macro_Series!$E728)</f>
        <v/>
      </c>
      <c r="D728" s="7" t="str">
        <f aca="false">IF(OR(NOT(ISNUMBER($B728)),NOT(ISNUMBER($C728)),$C728=0),"",$B728/$C728)</f>
        <v/>
      </c>
      <c r="E728" s="7" t="str">
        <f aca="false">IF(NOT(ISNUMBER(Macro_Series!$H728)),"",Macro_Series!$H728)</f>
        <v/>
      </c>
      <c r="F728" s="7" t="str">
        <f aca="false">IF(OR(NOT(ISNUMBER($D728)),NOT(ISNUMBER($E728)),$E728=0),"",$D728/$E728)</f>
        <v/>
      </c>
      <c r="G728" s="8" t="str">
        <f aca="false">IF(OR(NOT(ISNUMBER($B728)),NOT(ISNUMBER($B483)),$B483=0),"",$B728/$B483-1)</f>
        <v/>
      </c>
      <c r="H728" s="8" t="str">
        <f aca="false">IF(OR(NOT(ISNUMBER($D728)),NOT(ISNUMBER($D483)),$D483=0),"",$D728/$D483-1)</f>
        <v/>
      </c>
      <c r="I728" s="8" t="str">
        <f aca="false">IF(OR(NOT(ISNUMBER($G728)),NOT(ISNUMBER($H728))),"",$G728-$H728)</f>
        <v/>
      </c>
    </row>
    <row r="729" customFormat="false" ht="15" hidden="false" customHeight="false" outlineLevel="0" collapsed="false">
      <c r="A729" s="5" t="str">
        <f aca="false">IF(NOT(ISNUMBER(Macro_Series!$A729)),"",Macro_Series!$A729)</f>
        <v/>
      </c>
      <c r="B729" s="6" t="str">
        <f aca="false">IF(NOT(ISNUMBER(Macro_Series!$C729)),"",Macro_Series!$C729)</f>
        <v/>
      </c>
      <c r="C729" s="6" t="str">
        <f aca="false">IF(NOT(ISNUMBER(Macro_Series!$E729)),"",Macro_Series!$E729)</f>
        <v/>
      </c>
      <c r="D729" s="7" t="str">
        <f aca="false">IF(OR(NOT(ISNUMBER($B729)),NOT(ISNUMBER($C729)),$C729=0),"",$B729/$C729)</f>
        <v/>
      </c>
      <c r="E729" s="7" t="str">
        <f aca="false">IF(NOT(ISNUMBER(Macro_Series!$H729)),"",Macro_Series!$H729)</f>
        <v/>
      </c>
      <c r="F729" s="7" t="str">
        <f aca="false">IF(OR(NOT(ISNUMBER($D729)),NOT(ISNUMBER($E729)),$E729=0),"",$D729/$E729)</f>
        <v/>
      </c>
      <c r="G729" s="8" t="str">
        <f aca="false">IF(OR(NOT(ISNUMBER($B729)),NOT(ISNUMBER($B484)),$B484=0),"",$B729/$B484-1)</f>
        <v/>
      </c>
      <c r="H729" s="8" t="str">
        <f aca="false">IF(OR(NOT(ISNUMBER($D729)),NOT(ISNUMBER($D484)),$D484=0),"",$D729/$D484-1)</f>
        <v/>
      </c>
      <c r="I729" s="8" t="str">
        <f aca="false">IF(OR(NOT(ISNUMBER($G729)),NOT(ISNUMBER($H729))),"",$G729-$H729)</f>
        <v/>
      </c>
    </row>
    <row r="730" customFormat="false" ht="15" hidden="false" customHeight="false" outlineLevel="0" collapsed="false">
      <c r="A730" s="5" t="str">
        <f aca="false">IF(NOT(ISNUMBER(Macro_Series!$A730)),"",Macro_Series!$A730)</f>
        <v/>
      </c>
      <c r="B730" s="6" t="str">
        <f aca="false">IF(NOT(ISNUMBER(Macro_Series!$C730)),"",Macro_Series!$C730)</f>
        <v/>
      </c>
      <c r="C730" s="6" t="str">
        <f aca="false">IF(NOT(ISNUMBER(Macro_Series!$E730)),"",Macro_Series!$E730)</f>
        <v/>
      </c>
      <c r="D730" s="7" t="str">
        <f aca="false">IF(OR(NOT(ISNUMBER($B730)),NOT(ISNUMBER($C730)),$C730=0),"",$B730/$C730)</f>
        <v/>
      </c>
      <c r="E730" s="7" t="str">
        <f aca="false">IF(NOT(ISNUMBER(Macro_Series!$H730)),"",Macro_Series!$H730)</f>
        <v/>
      </c>
      <c r="F730" s="7" t="str">
        <f aca="false">IF(OR(NOT(ISNUMBER($D730)),NOT(ISNUMBER($E730)),$E730=0),"",$D730/$E730)</f>
        <v/>
      </c>
      <c r="G730" s="8" t="str">
        <f aca="false">IF(OR(NOT(ISNUMBER($B730)),NOT(ISNUMBER($B485)),$B485=0),"",$B730/$B485-1)</f>
        <v/>
      </c>
      <c r="H730" s="8" t="str">
        <f aca="false">IF(OR(NOT(ISNUMBER($D730)),NOT(ISNUMBER($D485)),$D485=0),"",$D730/$D485-1)</f>
        <v/>
      </c>
      <c r="I730" s="8" t="str">
        <f aca="false">IF(OR(NOT(ISNUMBER($G730)),NOT(ISNUMBER($H730))),"",$G730-$H730)</f>
        <v/>
      </c>
    </row>
    <row r="731" customFormat="false" ht="15" hidden="false" customHeight="false" outlineLevel="0" collapsed="false">
      <c r="A731" s="5" t="str">
        <f aca="false">IF(NOT(ISNUMBER(Macro_Series!$A731)),"",Macro_Series!$A731)</f>
        <v/>
      </c>
      <c r="B731" s="6" t="str">
        <f aca="false">IF(NOT(ISNUMBER(Macro_Series!$C731)),"",Macro_Series!$C731)</f>
        <v/>
      </c>
      <c r="C731" s="6" t="str">
        <f aca="false">IF(NOT(ISNUMBER(Macro_Series!$E731)),"",Macro_Series!$E731)</f>
        <v/>
      </c>
      <c r="D731" s="7" t="str">
        <f aca="false">IF(OR(NOT(ISNUMBER($B731)),NOT(ISNUMBER($C731)),$C731=0),"",$B731/$C731)</f>
        <v/>
      </c>
      <c r="E731" s="7" t="str">
        <f aca="false">IF(NOT(ISNUMBER(Macro_Series!$H731)),"",Macro_Series!$H731)</f>
        <v/>
      </c>
      <c r="F731" s="7" t="str">
        <f aca="false">IF(OR(NOT(ISNUMBER($D731)),NOT(ISNUMBER($E731)),$E731=0),"",$D731/$E731)</f>
        <v/>
      </c>
      <c r="G731" s="8" t="str">
        <f aca="false">IF(OR(NOT(ISNUMBER($B731)),NOT(ISNUMBER($B486)),$B486=0),"",$B731/$B486-1)</f>
        <v/>
      </c>
      <c r="H731" s="8" t="str">
        <f aca="false">IF(OR(NOT(ISNUMBER($D731)),NOT(ISNUMBER($D486)),$D486=0),"",$D731/$D486-1)</f>
        <v/>
      </c>
      <c r="I731" s="8" t="str">
        <f aca="false">IF(OR(NOT(ISNUMBER($G731)),NOT(ISNUMBER($H731))),"",$G731-$H731)</f>
        <v/>
      </c>
    </row>
    <row r="732" customFormat="false" ht="15" hidden="false" customHeight="false" outlineLevel="0" collapsed="false">
      <c r="A732" s="5" t="str">
        <f aca="false">IF(NOT(ISNUMBER(Macro_Series!$A732)),"",Macro_Series!$A732)</f>
        <v/>
      </c>
      <c r="B732" s="6" t="str">
        <f aca="false">IF(NOT(ISNUMBER(Macro_Series!$C732)),"",Macro_Series!$C732)</f>
        <v/>
      </c>
      <c r="C732" s="6" t="str">
        <f aca="false">IF(NOT(ISNUMBER(Macro_Series!$E732)),"",Macro_Series!$E732)</f>
        <v/>
      </c>
      <c r="D732" s="7" t="str">
        <f aca="false">IF(OR(NOT(ISNUMBER($B732)),NOT(ISNUMBER($C732)),$C732=0),"",$B732/$C732)</f>
        <v/>
      </c>
      <c r="E732" s="7" t="str">
        <f aca="false">IF(NOT(ISNUMBER(Macro_Series!$H732)),"",Macro_Series!$H732)</f>
        <v/>
      </c>
      <c r="F732" s="7" t="str">
        <f aca="false">IF(OR(NOT(ISNUMBER($D732)),NOT(ISNUMBER($E732)),$E732=0),"",$D732/$E732)</f>
        <v/>
      </c>
      <c r="G732" s="8" t="str">
        <f aca="false">IF(OR(NOT(ISNUMBER($B732)),NOT(ISNUMBER($B487)),$B487=0),"",$B732/$B487-1)</f>
        <v/>
      </c>
      <c r="H732" s="8" t="str">
        <f aca="false">IF(OR(NOT(ISNUMBER($D732)),NOT(ISNUMBER($D487)),$D487=0),"",$D732/$D487-1)</f>
        <v/>
      </c>
      <c r="I732" s="8" t="str">
        <f aca="false">IF(OR(NOT(ISNUMBER($G732)),NOT(ISNUMBER($H732))),"",$G732-$H732)</f>
        <v/>
      </c>
    </row>
    <row r="733" customFormat="false" ht="15" hidden="false" customHeight="false" outlineLevel="0" collapsed="false">
      <c r="A733" s="5" t="str">
        <f aca="false">IF(NOT(ISNUMBER(Macro_Series!$A733)),"",Macro_Series!$A733)</f>
        <v/>
      </c>
      <c r="B733" s="6" t="str">
        <f aca="false">IF(NOT(ISNUMBER(Macro_Series!$C733)),"",Macro_Series!$C733)</f>
        <v/>
      </c>
      <c r="C733" s="6" t="str">
        <f aca="false">IF(NOT(ISNUMBER(Macro_Series!$E733)),"",Macro_Series!$E733)</f>
        <v/>
      </c>
      <c r="D733" s="7" t="str">
        <f aca="false">IF(OR(NOT(ISNUMBER($B733)),NOT(ISNUMBER($C733)),$C733=0),"",$B733/$C733)</f>
        <v/>
      </c>
      <c r="E733" s="7" t="str">
        <f aca="false">IF(NOT(ISNUMBER(Macro_Series!$H733)),"",Macro_Series!$H733)</f>
        <v/>
      </c>
      <c r="F733" s="7" t="str">
        <f aca="false">IF(OR(NOT(ISNUMBER($D733)),NOT(ISNUMBER($E733)),$E733=0),"",$D733/$E733)</f>
        <v/>
      </c>
      <c r="G733" s="8" t="str">
        <f aca="false">IF(OR(NOT(ISNUMBER($B733)),NOT(ISNUMBER($B488)),$B488=0),"",$B733/$B488-1)</f>
        <v/>
      </c>
      <c r="H733" s="8" t="str">
        <f aca="false">IF(OR(NOT(ISNUMBER($D733)),NOT(ISNUMBER($D488)),$D488=0),"",$D733/$D488-1)</f>
        <v/>
      </c>
      <c r="I733" s="8" t="str">
        <f aca="false">IF(OR(NOT(ISNUMBER($G733)),NOT(ISNUMBER($H733))),"",$G733-$H733)</f>
        <v/>
      </c>
    </row>
    <row r="734" customFormat="false" ht="15" hidden="false" customHeight="false" outlineLevel="0" collapsed="false">
      <c r="A734" s="5" t="str">
        <f aca="false">IF(NOT(ISNUMBER(Macro_Series!$A734)),"",Macro_Series!$A734)</f>
        <v/>
      </c>
      <c r="B734" s="6" t="str">
        <f aca="false">IF(NOT(ISNUMBER(Macro_Series!$C734)),"",Macro_Series!$C734)</f>
        <v/>
      </c>
      <c r="C734" s="6" t="str">
        <f aca="false">IF(NOT(ISNUMBER(Macro_Series!$E734)),"",Macro_Series!$E734)</f>
        <v/>
      </c>
      <c r="D734" s="7" t="str">
        <f aca="false">IF(OR(NOT(ISNUMBER($B734)),NOT(ISNUMBER($C734)),$C734=0),"",$B734/$C734)</f>
        <v/>
      </c>
      <c r="E734" s="7" t="str">
        <f aca="false">IF(NOT(ISNUMBER(Macro_Series!$H734)),"",Macro_Series!$H734)</f>
        <v/>
      </c>
      <c r="F734" s="7" t="str">
        <f aca="false">IF(OR(NOT(ISNUMBER($D734)),NOT(ISNUMBER($E734)),$E734=0),"",$D734/$E734)</f>
        <v/>
      </c>
      <c r="G734" s="8" t="str">
        <f aca="false">IF(OR(NOT(ISNUMBER($B734)),NOT(ISNUMBER($B489)),$B489=0),"",$B734/$B489-1)</f>
        <v/>
      </c>
      <c r="H734" s="8" t="str">
        <f aca="false">IF(OR(NOT(ISNUMBER($D734)),NOT(ISNUMBER($D489)),$D489=0),"",$D734/$D489-1)</f>
        <v/>
      </c>
      <c r="I734" s="8" t="str">
        <f aca="false">IF(OR(NOT(ISNUMBER($G734)),NOT(ISNUMBER($H734))),"",$G734-$H734)</f>
        <v/>
      </c>
    </row>
    <row r="735" customFormat="false" ht="15" hidden="false" customHeight="false" outlineLevel="0" collapsed="false">
      <c r="A735" s="5" t="str">
        <f aca="false">IF(NOT(ISNUMBER(Macro_Series!$A735)),"",Macro_Series!$A735)</f>
        <v/>
      </c>
      <c r="B735" s="6" t="str">
        <f aca="false">IF(NOT(ISNUMBER(Macro_Series!$C735)),"",Macro_Series!$C735)</f>
        <v/>
      </c>
      <c r="C735" s="6" t="str">
        <f aca="false">IF(NOT(ISNUMBER(Macro_Series!$E735)),"",Macro_Series!$E735)</f>
        <v/>
      </c>
      <c r="D735" s="7" t="str">
        <f aca="false">IF(OR(NOT(ISNUMBER($B735)),NOT(ISNUMBER($C735)),$C735=0),"",$B735/$C735)</f>
        <v/>
      </c>
      <c r="E735" s="7" t="str">
        <f aca="false">IF(NOT(ISNUMBER(Macro_Series!$H735)),"",Macro_Series!$H735)</f>
        <v/>
      </c>
      <c r="F735" s="7" t="str">
        <f aca="false">IF(OR(NOT(ISNUMBER($D735)),NOT(ISNUMBER($E735)),$E735=0),"",$D735/$E735)</f>
        <v/>
      </c>
      <c r="G735" s="8" t="str">
        <f aca="false">IF(OR(NOT(ISNUMBER($B735)),NOT(ISNUMBER($B490)),$B490=0),"",$B735/$B490-1)</f>
        <v/>
      </c>
      <c r="H735" s="8" t="str">
        <f aca="false">IF(OR(NOT(ISNUMBER($D735)),NOT(ISNUMBER($D490)),$D490=0),"",$D735/$D490-1)</f>
        <v/>
      </c>
      <c r="I735" s="8" t="str">
        <f aca="false">IF(OR(NOT(ISNUMBER($G735)),NOT(ISNUMBER($H735))),"",$G735-$H735)</f>
        <v/>
      </c>
    </row>
    <row r="736" customFormat="false" ht="15" hidden="false" customHeight="false" outlineLevel="0" collapsed="false">
      <c r="A736" s="5" t="str">
        <f aca="false">IF(NOT(ISNUMBER(Macro_Series!$A736)),"",Macro_Series!$A736)</f>
        <v/>
      </c>
      <c r="B736" s="6" t="str">
        <f aca="false">IF(NOT(ISNUMBER(Macro_Series!$C736)),"",Macro_Series!$C736)</f>
        <v/>
      </c>
      <c r="C736" s="6" t="str">
        <f aca="false">IF(NOT(ISNUMBER(Macro_Series!$E736)),"",Macro_Series!$E736)</f>
        <v/>
      </c>
      <c r="D736" s="7" t="str">
        <f aca="false">IF(OR(NOT(ISNUMBER($B736)),NOT(ISNUMBER($C736)),$C736=0),"",$B736/$C736)</f>
        <v/>
      </c>
      <c r="E736" s="7" t="str">
        <f aca="false">IF(NOT(ISNUMBER(Macro_Series!$H736)),"",Macro_Series!$H736)</f>
        <v/>
      </c>
      <c r="F736" s="7" t="str">
        <f aca="false">IF(OR(NOT(ISNUMBER($D736)),NOT(ISNUMBER($E736)),$E736=0),"",$D736/$E736)</f>
        <v/>
      </c>
      <c r="G736" s="8" t="str">
        <f aca="false">IF(OR(NOT(ISNUMBER($B736)),NOT(ISNUMBER($B491)),$B491=0),"",$B736/$B491-1)</f>
        <v/>
      </c>
      <c r="H736" s="8" t="str">
        <f aca="false">IF(OR(NOT(ISNUMBER($D736)),NOT(ISNUMBER($D491)),$D491=0),"",$D736/$D491-1)</f>
        <v/>
      </c>
      <c r="I736" s="8" t="str">
        <f aca="false">IF(OR(NOT(ISNUMBER($G736)),NOT(ISNUMBER($H736))),"",$G736-$H736)</f>
        <v/>
      </c>
    </row>
    <row r="737" customFormat="false" ht="15" hidden="false" customHeight="false" outlineLevel="0" collapsed="false">
      <c r="A737" s="5" t="str">
        <f aca="false">IF(NOT(ISNUMBER(Macro_Series!$A737)),"",Macro_Series!$A737)</f>
        <v/>
      </c>
      <c r="B737" s="6" t="str">
        <f aca="false">IF(NOT(ISNUMBER(Macro_Series!$C737)),"",Macro_Series!$C737)</f>
        <v/>
      </c>
      <c r="C737" s="6" t="str">
        <f aca="false">IF(NOT(ISNUMBER(Macro_Series!$E737)),"",Macro_Series!$E737)</f>
        <v/>
      </c>
      <c r="D737" s="7" t="str">
        <f aca="false">IF(OR(NOT(ISNUMBER($B737)),NOT(ISNUMBER($C737)),$C737=0),"",$B737/$C737)</f>
        <v/>
      </c>
      <c r="E737" s="7" t="str">
        <f aca="false">IF(NOT(ISNUMBER(Macro_Series!$H737)),"",Macro_Series!$H737)</f>
        <v/>
      </c>
      <c r="F737" s="7" t="str">
        <f aca="false">IF(OR(NOT(ISNUMBER($D737)),NOT(ISNUMBER($E737)),$E737=0),"",$D737/$E737)</f>
        <v/>
      </c>
      <c r="G737" s="8" t="str">
        <f aca="false">IF(OR(NOT(ISNUMBER($B737)),NOT(ISNUMBER($B492)),$B492=0),"",$B737/$B492-1)</f>
        <v/>
      </c>
      <c r="H737" s="8" t="str">
        <f aca="false">IF(OR(NOT(ISNUMBER($D737)),NOT(ISNUMBER($D492)),$D492=0),"",$D737/$D492-1)</f>
        <v/>
      </c>
      <c r="I737" s="8" t="str">
        <f aca="false">IF(OR(NOT(ISNUMBER($G737)),NOT(ISNUMBER($H737))),"",$G737-$H737)</f>
        <v/>
      </c>
    </row>
    <row r="738" customFormat="false" ht="15" hidden="false" customHeight="false" outlineLevel="0" collapsed="false">
      <c r="A738" s="5" t="str">
        <f aca="false">IF(NOT(ISNUMBER(Macro_Series!$A738)),"",Macro_Series!$A738)</f>
        <v/>
      </c>
      <c r="B738" s="6" t="str">
        <f aca="false">IF(NOT(ISNUMBER(Macro_Series!$C738)),"",Macro_Series!$C738)</f>
        <v/>
      </c>
      <c r="C738" s="6" t="str">
        <f aca="false">IF(NOT(ISNUMBER(Macro_Series!$E738)),"",Macro_Series!$E738)</f>
        <v/>
      </c>
      <c r="D738" s="7" t="str">
        <f aca="false">IF(OR(NOT(ISNUMBER($B738)),NOT(ISNUMBER($C738)),$C738=0),"",$B738/$C738)</f>
        <v/>
      </c>
      <c r="E738" s="7" t="str">
        <f aca="false">IF(NOT(ISNUMBER(Macro_Series!$H738)),"",Macro_Series!$H738)</f>
        <v/>
      </c>
      <c r="F738" s="7" t="str">
        <f aca="false">IF(OR(NOT(ISNUMBER($D738)),NOT(ISNUMBER($E738)),$E738=0),"",$D738/$E738)</f>
        <v/>
      </c>
      <c r="G738" s="8" t="str">
        <f aca="false">IF(OR(NOT(ISNUMBER($B738)),NOT(ISNUMBER($B493)),$B493=0),"",$B738/$B493-1)</f>
        <v/>
      </c>
      <c r="H738" s="8" t="str">
        <f aca="false">IF(OR(NOT(ISNUMBER($D738)),NOT(ISNUMBER($D493)),$D493=0),"",$D738/$D493-1)</f>
        <v/>
      </c>
      <c r="I738" s="8" t="str">
        <f aca="false">IF(OR(NOT(ISNUMBER($G738)),NOT(ISNUMBER($H738))),"",$G738-$H738)</f>
        <v/>
      </c>
    </row>
    <row r="739" customFormat="false" ht="15" hidden="false" customHeight="false" outlineLevel="0" collapsed="false">
      <c r="A739" s="5" t="str">
        <f aca="false">IF(NOT(ISNUMBER(Macro_Series!$A739)),"",Macro_Series!$A739)</f>
        <v/>
      </c>
      <c r="B739" s="6" t="str">
        <f aca="false">IF(NOT(ISNUMBER(Macro_Series!$C739)),"",Macro_Series!$C739)</f>
        <v/>
      </c>
      <c r="C739" s="6" t="str">
        <f aca="false">IF(NOT(ISNUMBER(Macro_Series!$E739)),"",Macro_Series!$E739)</f>
        <v/>
      </c>
      <c r="D739" s="7" t="str">
        <f aca="false">IF(OR(NOT(ISNUMBER($B739)),NOT(ISNUMBER($C739)),$C739=0),"",$B739/$C739)</f>
        <v/>
      </c>
      <c r="E739" s="7" t="str">
        <f aca="false">IF(NOT(ISNUMBER(Macro_Series!$H739)),"",Macro_Series!$H739)</f>
        <v/>
      </c>
      <c r="F739" s="7" t="str">
        <f aca="false">IF(OR(NOT(ISNUMBER($D739)),NOT(ISNUMBER($E739)),$E739=0),"",$D739/$E739)</f>
        <v/>
      </c>
      <c r="G739" s="8" t="str">
        <f aca="false">IF(OR(NOT(ISNUMBER($B739)),NOT(ISNUMBER($B494)),$B494=0),"",$B739/$B494-1)</f>
        <v/>
      </c>
      <c r="H739" s="8" t="str">
        <f aca="false">IF(OR(NOT(ISNUMBER($D739)),NOT(ISNUMBER($D494)),$D494=0),"",$D739/$D494-1)</f>
        <v/>
      </c>
      <c r="I739" s="8" t="str">
        <f aca="false">IF(OR(NOT(ISNUMBER($G739)),NOT(ISNUMBER($H739))),"",$G739-$H739)</f>
        <v/>
      </c>
    </row>
    <row r="740" customFormat="false" ht="15" hidden="false" customHeight="false" outlineLevel="0" collapsed="false">
      <c r="A740" s="5" t="str">
        <f aca="false">IF(NOT(ISNUMBER(Macro_Series!$A740)),"",Macro_Series!$A740)</f>
        <v/>
      </c>
      <c r="B740" s="6" t="str">
        <f aca="false">IF(NOT(ISNUMBER(Macro_Series!$C740)),"",Macro_Series!$C740)</f>
        <v/>
      </c>
      <c r="C740" s="6" t="str">
        <f aca="false">IF(NOT(ISNUMBER(Macro_Series!$E740)),"",Macro_Series!$E740)</f>
        <v/>
      </c>
      <c r="D740" s="7" t="str">
        <f aca="false">IF(OR(NOT(ISNUMBER($B740)),NOT(ISNUMBER($C740)),$C740=0),"",$B740/$C740)</f>
        <v/>
      </c>
      <c r="E740" s="7" t="str">
        <f aca="false">IF(NOT(ISNUMBER(Macro_Series!$H740)),"",Macro_Series!$H740)</f>
        <v/>
      </c>
      <c r="F740" s="7" t="str">
        <f aca="false">IF(OR(NOT(ISNUMBER($D740)),NOT(ISNUMBER($E740)),$E740=0),"",$D740/$E740)</f>
        <v/>
      </c>
      <c r="G740" s="8" t="str">
        <f aca="false">IF(OR(NOT(ISNUMBER($B740)),NOT(ISNUMBER($B495)),$B495=0),"",$B740/$B495-1)</f>
        <v/>
      </c>
      <c r="H740" s="8" t="str">
        <f aca="false">IF(OR(NOT(ISNUMBER($D740)),NOT(ISNUMBER($D495)),$D495=0),"",$D740/$D495-1)</f>
        <v/>
      </c>
      <c r="I740" s="8" t="str">
        <f aca="false">IF(OR(NOT(ISNUMBER($G740)),NOT(ISNUMBER($H740))),"",$G740-$H740)</f>
        <v/>
      </c>
    </row>
    <row r="741" customFormat="false" ht="15" hidden="false" customHeight="false" outlineLevel="0" collapsed="false">
      <c r="A741" s="5" t="str">
        <f aca="false">IF(NOT(ISNUMBER(Macro_Series!$A741)),"",Macro_Series!$A741)</f>
        <v/>
      </c>
      <c r="B741" s="6" t="str">
        <f aca="false">IF(NOT(ISNUMBER(Macro_Series!$C741)),"",Macro_Series!$C741)</f>
        <v/>
      </c>
      <c r="C741" s="6" t="str">
        <f aca="false">IF(NOT(ISNUMBER(Macro_Series!$E741)),"",Macro_Series!$E741)</f>
        <v/>
      </c>
      <c r="D741" s="7" t="str">
        <f aca="false">IF(OR(NOT(ISNUMBER($B741)),NOT(ISNUMBER($C741)),$C741=0),"",$B741/$C741)</f>
        <v/>
      </c>
      <c r="E741" s="7" t="str">
        <f aca="false">IF(NOT(ISNUMBER(Macro_Series!$H741)),"",Macro_Series!$H741)</f>
        <v/>
      </c>
      <c r="F741" s="7" t="str">
        <f aca="false">IF(OR(NOT(ISNUMBER($D741)),NOT(ISNUMBER($E741)),$E741=0),"",$D741/$E741)</f>
        <v/>
      </c>
      <c r="G741" s="8" t="str">
        <f aca="false">IF(OR(NOT(ISNUMBER($B741)),NOT(ISNUMBER($B496)),$B496=0),"",$B741/$B496-1)</f>
        <v/>
      </c>
      <c r="H741" s="8" t="str">
        <f aca="false">IF(OR(NOT(ISNUMBER($D741)),NOT(ISNUMBER($D496)),$D496=0),"",$D741/$D496-1)</f>
        <v/>
      </c>
      <c r="I741" s="8" t="str">
        <f aca="false">IF(OR(NOT(ISNUMBER($G741)),NOT(ISNUMBER($H741))),"",$G741-$H741)</f>
        <v/>
      </c>
    </row>
    <row r="742" customFormat="false" ht="15" hidden="false" customHeight="false" outlineLevel="0" collapsed="false">
      <c r="A742" s="5" t="str">
        <f aca="false">IF(NOT(ISNUMBER(Macro_Series!$A742)),"",Macro_Series!$A742)</f>
        <v/>
      </c>
      <c r="B742" s="6" t="str">
        <f aca="false">IF(NOT(ISNUMBER(Macro_Series!$C742)),"",Macro_Series!$C742)</f>
        <v/>
      </c>
      <c r="C742" s="6" t="str">
        <f aca="false">IF(NOT(ISNUMBER(Macro_Series!$E742)),"",Macro_Series!$E742)</f>
        <v/>
      </c>
      <c r="D742" s="7" t="str">
        <f aca="false">IF(OR(NOT(ISNUMBER($B742)),NOT(ISNUMBER($C742)),$C742=0),"",$B742/$C742)</f>
        <v/>
      </c>
      <c r="E742" s="7" t="str">
        <f aca="false">IF(NOT(ISNUMBER(Macro_Series!$H742)),"",Macro_Series!$H742)</f>
        <v/>
      </c>
      <c r="F742" s="7" t="str">
        <f aca="false">IF(OR(NOT(ISNUMBER($D742)),NOT(ISNUMBER($E742)),$E742=0),"",$D742/$E742)</f>
        <v/>
      </c>
      <c r="G742" s="8" t="str">
        <f aca="false">IF(OR(NOT(ISNUMBER($B742)),NOT(ISNUMBER($B497)),$B497=0),"",$B742/$B497-1)</f>
        <v/>
      </c>
      <c r="H742" s="8" t="str">
        <f aca="false">IF(OR(NOT(ISNUMBER($D742)),NOT(ISNUMBER($D497)),$D497=0),"",$D742/$D497-1)</f>
        <v/>
      </c>
      <c r="I742" s="8" t="str">
        <f aca="false">IF(OR(NOT(ISNUMBER($G742)),NOT(ISNUMBER($H742))),"",$G742-$H742)</f>
        <v/>
      </c>
    </row>
    <row r="743" customFormat="false" ht="15" hidden="false" customHeight="false" outlineLevel="0" collapsed="false">
      <c r="A743" s="5" t="str">
        <f aca="false">IF(NOT(ISNUMBER(Macro_Series!$A743)),"",Macro_Series!$A743)</f>
        <v/>
      </c>
      <c r="B743" s="6" t="str">
        <f aca="false">IF(NOT(ISNUMBER(Macro_Series!$C743)),"",Macro_Series!$C743)</f>
        <v/>
      </c>
      <c r="C743" s="6" t="str">
        <f aca="false">IF(NOT(ISNUMBER(Macro_Series!$E743)),"",Macro_Series!$E743)</f>
        <v/>
      </c>
      <c r="D743" s="7" t="str">
        <f aca="false">IF(OR(NOT(ISNUMBER($B743)),NOT(ISNUMBER($C743)),$C743=0),"",$B743/$C743)</f>
        <v/>
      </c>
      <c r="E743" s="7" t="str">
        <f aca="false">IF(NOT(ISNUMBER(Macro_Series!$H743)),"",Macro_Series!$H743)</f>
        <v/>
      </c>
      <c r="F743" s="7" t="str">
        <f aca="false">IF(OR(NOT(ISNUMBER($D743)),NOT(ISNUMBER($E743)),$E743=0),"",$D743/$E743)</f>
        <v/>
      </c>
      <c r="G743" s="8" t="str">
        <f aca="false">IF(OR(NOT(ISNUMBER($B743)),NOT(ISNUMBER($B498)),$B498=0),"",$B743/$B498-1)</f>
        <v/>
      </c>
      <c r="H743" s="8" t="str">
        <f aca="false">IF(OR(NOT(ISNUMBER($D743)),NOT(ISNUMBER($D498)),$D498=0),"",$D743/$D498-1)</f>
        <v/>
      </c>
      <c r="I743" s="8" t="str">
        <f aca="false">IF(OR(NOT(ISNUMBER($G743)),NOT(ISNUMBER($H743))),"",$G743-$H743)</f>
        <v/>
      </c>
    </row>
    <row r="744" customFormat="false" ht="15" hidden="false" customHeight="false" outlineLevel="0" collapsed="false">
      <c r="A744" s="5" t="str">
        <f aca="false">IF(NOT(ISNUMBER(Macro_Series!$A744)),"",Macro_Series!$A744)</f>
        <v/>
      </c>
      <c r="B744" s="6" t="str">
        <f aca="false">IF(NOT(ISNUMBER(Macro_Series!$C744)),"",Macro_Series!$C744)</f>
        <v/>
      </c>
      <c r="C744" s="6" t="str">
        <f aca="false">IF(NOT(ISNUMBER(Macro_Series!$E744)),"",Macro_Series!$E744)</f>
        <v/>
      </c>
      <c r="D744" s="7" t="str">
        <f aca="false">IF(OR(NOT(ISNUMBER($B744)),NOT(ISNUMBER($C744)),$C744=0),"",$B744/$C744)</f>
        <v/>
      </c>
      <c r="E744" s="7" t="str">
        <f aca="false">IF(NOT(ISNUMBER(Macro_Series!$H744)),"",Macro_Series!$H744)</f>
        <v/>
      </c>
      <c r="F744" s="7" t="str">
        <f aca="false">IF(OR(NOT(ISNUMBER($D744)),NOT(ISNUMBER($E744)),$E744=0),"",$D744/$E744)</f>
        <v/>
      </c>
      <c r="G744" s="8" t="str">
        <f aca="false">IF(OR(NOT(ISNUMBER($B744)),NOT(ISNUMBER($B499)),$B499=0),"",$B744/$B499-1)</f>
        <v/>
      </c>
      <c r="H744" s="8" t="str">
        <f aca="false">IF(OR(NOT(ISNUMBER($D744)),NOT(ISNUMBER($D499)),$D499=0),"",$D744/$D499-1)</f>
        <v/>
      </c>
      <c r="I744" s="8" t="str">
        <f aca="false">IF(OR(NOT(ISNUMBER($G744)),NOT(ISNUMBER($H744))),"",$G744-$H744)</f>
        <v/>
      </c>
    </row>
    <row r="745" customFormat="false" ht="15" hidden="false" customHeight="false" outlineLevel="0" collapsed="false">
      <c r="A745" s="5" t="str">
        <f aca="false">IF(NOT(ISNUMBER(Macro_Series!$A745)),"",Macro_Series!$A745)</f>
        <v/>
      </c>
      <c r="B745" s="6" t="str">
        <f aca="false">IF(NOT(ISNUMBER(Macro_Series!$C745)),"",Macro_Series!$C745)</f>
        <v/>
      </c>
      <c r="C745" s="6" t="str">
        <f aca="false">IF(NOT(ISNUMBER(Macro_Series!$E745)),"",Macro_Series!$E745)</f>
        <v/>
      </c>
      <c r="D745" s="7" t="str">
        <f aca="false">IF(OR(NOT(ISNUMBER($B745)),NOT(ISNUMBER($C745)),$C745=0),"",$B745/$C745)</f>
        <v/>
      </c>
      <c r="E745" s="7" t="str">
        <f aca="false">IF(NOT(ISNUMBER(Macro_Series!$H745)),"",Macro_Series!$H745)</f>
        <v/>
      </c>
      <c r="F745" s="7" t="str">
        <f aca="false">IF(OR(NOT(ISNUMBER($D745)),NOT(ISNUMBER($E745)),$E745=0),"",$D745/$E745)</f>
        <v/>
      </c>
      <c r="G745" s="8" t="str">
        <f aca="false">IF(OR(NOT(ISNUMBER($B745)),NOT(ISNUMBER($B500)),$B500=0),"",$B745/$B500-1)</f>
        <v/>
      </c>
      <c r="H745" s="8" t="str">
        <f aca="false">IF(OR(NOT(ISNUMBER($D745)),NOT(ISNUMBER($D500)),$D500=0),"",$D745/$D500-1)</f>
        <v/>
      </c>
      <c r="I745" s="8" t="str">
        <f aca="false">IF(OR(NOT(ISNUMBER($G745)),NOT(ISNUMBER($H745))),"",$G745-$H745)</f>
        <v/>
      </c>
    </row>
    <row r="746" customFormat="false" ht="15" hidden="false" customHeight="false" outlineLevel="0" collapsed="false">
      <c r="A746" s="5" t="str">
        <f aca="false">IF(NOT(ISNUMBER(Macro_Series!$A746)),"",Macro_Series!$A746)</f>
        <v/>
      </c>
      <c r="B746" s="6" t="str">
        <f aca="false">IF(NOT(ISNUMBER(Macro_Series!$C746)),"",Macro_Series!$C746)</f>
        <v/>
      </c>
      <c r="C746" s="6" t="str">
        <f aca="false">IF(NOT(ISNUMBER(Macro_Series!$E746)),"",Macro_Series!$E746)</f>
        <v/>
      </c>
      <c r="D746" s="7" t="str">
        <f aca="false">IF(OR(NOT(ISNUMBER($B746)),NOT(ISNUMBER($C746)),$C746=0),"",$B746/$C746)</f>
        <v/>
      </c>
      <c r="E746" s="7" t="str">
        <f aca="false">IF(NOT(ISNUMBER(Macro_Series!$H746)),"",Macro_Series!$H746)</f>
        <v/>
      </c>
      <c r="F746" s="7" t="str">
        <f aca="false">IF(OR(NOT(ISNUMBER($D746)),NOT(ISNUMBER($E746)),$E746=0),"",$D746/$E746)</f>
        <v/>
      </c>
      <c r="G746" s="8" t="str">
        <f aca="false">IF(OR(NOT(ISNUMBER($B746)),NOT(ISNUMBER($B501)),$B501=0),"",$B746/$B501-1)</f>
        <v/>
      </c>
      <c r="H746" s="8" t="str">
        <f aca="false">IF(OR(NOT(ISNUMBER($D746)),NOT(ISNUMBER($D501)),$D501=0),"",$D746/$D501-1)</f>
        <v/>
      </c>
      <c r="I746" s="8" t="str">
        <f aca="false">IF(OR(NOT(ISNUMBER($G746)),NOT(ISNUMBER($H746))),"",$G746-$H746)</f>
        <v/>
      </c>
    </row>
    <row r="747" customFormat="false" ht="15" hidden="false" customHeight="false" outlineLevel="0" collapsed="false">
      <c r="A747" s="5" t="str">
        <f aca="false">IF(NOT(ISNUMBER(Macro_Series!$A747)),"",Macro_Series!$A747)</f>
        <v/>
      </c>
      <c r="B747" s="6" t="str">
        <f aca="false">IF(NOT(ISNUMBER(Macro_Series!$C747)),"",Macro_Series!$C747)</f>
        <v/>
      </c>
      <c r="C747" s="6" t="str">
        <f aca="false">IF(NOT(ISNUMBER(Macro_Series!$E747)),"",Macro_Series!$E747)</f>
        <v/>
      </c>
      <c r="D747" s="7" t="str">
        <f aca="false">IF(OR(NOT(ISNUMBER($B747)),NOT(ISNUMBER($C747)),$C747=0),"",$B747/$C747)</f>
        <v/>
      </c>
      <c r="E747" s="7" t="str">
        <f aca="false">IF(NOT(ISNUMBER(Macro_Series!$H747)),"",Macro_Series!$H747)</f>
        <v/>
      </c>
      <c r="F747" s="7" t="str">
        <f aca="false">IF(OR(NOT(ISNUMBER($D747)),NOT(ISNUMBER($E747)),$E747=0),"",$D747/$E747)</f>
        <v/>
      </c>
      <c r="G747" s="8" t="str">
        <f aca="false">IF(OR(NOT(ISNUMBER($B747)),NOT(ISNUMBER($B502)),$B502=0),"",$B747/$B502-1)</f>
        <v/>
      </c>
      <c r="H747" s="8" t="str">
        <f aca="false">IF(OR(NOT(ISNUMBER($D747)),NOT(ISNUMBER($D502)),$D502=0),"",$D747/$D502-1)</f>
        <v/>
      </c>
      <c r="I747" s="8" t="str">
        <f aca="false">IF(OR(NOT(ISNUMBER($G747)),NOT(ISNUMBER($H747))),"",$G747-$H747)</f>
        <v/>
      </c>
    </row>
    <row r="748" customFormat="false" ht="15" hidden="false" customHeight="false" outlineLevel="0" collapsed="false">
      <c r="A748" s="5" t="str">
        <f aca="false">IF(NOT(ISNUMBER(Macro_Series!$A748)),"",Macro_Series!$A748)</f>
        <v/>
      </c>
      <c r="B748" s="6" t="str">
        <f aca="false">IF(NOT(ISNUMBER(Macro_Series!$C748)),"",Macro_Series!$C748)</f>
        <v/>
      </c>
      <c r="C748" s="6" t="str">
        <f aca="false">IF(NOT(ISNUMBER(Macro_Series!$E748)),"",Macro_Series!$E748)</f>
        <v/>
      </c>
      <c r="D748" s="7" t="str">
        <f aca="false">IF(OR(NOT(ISNUMBER($B748)),NOT(ISNUMBER($C748)),$C748=0),"",$B748/$C748)</f>
        <v/>
      </c>
      <c r="E748" s="7" t="str">
        <f aca="false">IF(NOT(ISNUMBER(Macro_Series!$H748)),"",Macro_Series!$H748)</f>
        <v/>
      </c>
      <c r="F748" s="7" t="str">
        <f aca="false">IF(OR(NOT(ISNUMBER($D748)),NOT(ISNUMBER($E748)),$E748=0),"",$D748/$E748)</f>
        <v/>
      </c>
      <c r="G748" s="8" t="str">
        <f aca="false">IF(OR(NOT(ISNUMBER($B748)),NOT(ISNUMBER($B503)),$B503=0),"",$B748/$B503-1)</f>
        <v/>
      </c>
      <c r="H748" s="8" t="str">
        <f aca="false">IF(OR(NOT(ISNUMBER($D748)),NOT(ISNUMBER($D503)),$D503=0),"",$D748/$D503-1)</f>
        <v/>
      </c>
      <c r="I748" s="8" t="str">
        <f aca="false">IF(OR(NOT(ISNUMBER($G748)),NOT(ISNUMBER($H748))),"",$G748-$H748)</f>
        <v/>
      </c>
    </row>
    <row r="749" customFormat="false" ht="15" hidden="false" customHeight="false" outlineLevel="0" collapsed="false">
      <c r="A749" s="5" t="str">
        <f aca="false">IF(NOT(ISNUMBER(Macro_Series!$A749)),"",Macro_Series!$A749)</f>
        <v/>
      </c>
      <c r="B749" s="6" t="str">
        <f aca="false">IF(NOT(ISNUMBER(Macro_Series!$C749)),"",Macro_Series!$C749)</f>
        <v/>
      </c>
      <c r="C749" s="6" t="str">
        <f aca="false">IF(NOT(ISNUMBER(Macro_Series!$E749)),"",Macro_Series!$E749)</f>
        <v/>
      </c>
      <c r="D749" s="7" t="str">
        <f aca="false">IF(OR(NOT(ISNUMBER($B749)),NOT(ISNUMBER($C749)),$C749=0),"",$B749/$C749)</f>
        <v/>
      </c>
      <c r="E749" s="7" t="str">
        <f aca="false">IF(NOT(ISNUMBER(Macro_Series!$H749)),"",Macro_Series!$H749)</f>
        <v/>
      </c>
      <c r="F749" s="7" t="str">
        <f aca="false">IF(OR(NOT(ISNUMBER($D749)),NOT(ISNUMBER($E749)),$E749=0),"",$D749/$E749)</f>
        <v/>
      </c>
      <c r="G749" s="8" t="str">
        <f aca="false">IF(OR(NOT(ISNUMBER($B749)),NOT(ISNUMBER($B504)),$B504=0),"",$B749/$B504-1)</f>
        <v/>
      </c>
      <c r="H749" s="8" t="str">
        <f aca="false">IF(OR(NOT(ISNUMBER($D749)),NOT(ISNUMBER($D504)),$D504=0),"",$D749/$D504-1)</f>
        <v/>
      </c>
      <c r="I749" s="8" t="str">
        <f aca="false">IF(OR(NOT(ISNUMBER($G749)),NOT(ISNUMBER($H749))),"",$G749-$H749)</f>
        <v/>
      </c>
    </row>
    <row r="750" customFormat="false" ht="15" hidden="false" customHeight="false" outlineLevel="0" collapsed="false">
      <c r="A750" s="5" t="str">
        <f aca="false">IF(NOT(ISNUMBER(Macro_Series!$A750)),"",Macro_Series!$A750)</f>
        <v/>
      </c>
      <c r="B750" s="6" t="str">
        <f aca="false">IF(NOT(ISNUMBER(Macro_Series!$C750)),"",Macro_Series!$C750)</f>
        <v/>
      </c>
      <c r="C750" s="6" t="str">
        <f aca="false">IF(NOT(ISNUMBER(Macro_Series!$E750)),"",Macro_Series!$E750)</f>
        <v/>
      </c>
      <c r="D750" s="7" t="str">
        <f aca="false">IF(OR(NOT(ISNUMBER($B750)),NOT(ISNUMBER($C750)),$C750=0),"",$B750/$C750)</f>
        <v/>
      </c>
      <c r="E750" s="7" t="str">
        <f aca="false">IF(NOT(ISNUMBER(Macro_Series!$H750)),"",Macro_Series!$H750)</f>
        <v/>
      </c>
      <c r="F750" s="7" t="str">
        <f aca="false">IF(OR(NOT(ISNUMBER($D750)),NOT(ISNUMBER($E750)),$E750=0),"",$D750/$E750)</f>
        <v/>
      </c>
      <c r="G750" s="8" t="str">
        <f aca="false">IF(OR(NOT(ISNUMBER($B750)),NOT(ISNUMBER($B505)),$B505=0),"",$B750/$B505-1)</f>
        <v/>
      </c>
      <c r="H750" s="8" t="str">
        <f aca="false">IF(OR(NOT(ISNUMBER($D750)),NOT(ISNUMBER($D505)),$D505=0),"",$D750/$D505-1)</f>
        <v/>
      </c>
      <c r="I750" s="8" t="str">
        <f aca="false">IF(OR(NOT(ISNUMBER($G750)),NOT(ISNUMBER($H750))),"",$G750-$H750)</f>
        <v/>
      </c>
    </row>
    <row r="751" customFormat="false" ht="15" hidden="false" customHeight="false" outlineLevel="0" collapsed="false">
      <c r="A751" s="5" t="str">
        <f aca="false">IF(NOT(ISNUMBER(Macro_Series!$A751)),"",Macro_Series!$A751)</f>
        <v/>
      </c>
      <c r="B751" s="6" t="str">
        <f aca="false">IF(NOT(ISNUMBER(Macro_Series!$C751)),"",Macro_Series!$C751)</f>
        <v/>
      </c>
      <c r="C751" s="6" t="str">
        <f aca="false">IF(NOT(ISNUMBER(Macro_Series!$E751)),"",Macro_Series!$E751)</f>
        <v/>
      </c>
      <c r="D751" s="7" t="str">
        <f aca="false">IF(OR(NOT(ISNUMBER($B751)),NOT(ISNUMBER($C751)),$C751=0),"",$B751/$C751)</f>
        <v/>
      </c>
      <c r="E751" s="7" t="str">
        <f aca="false">IF(NOT(ISNUMBER(Macro_Series!$H751)),"",Macro_Series!$H751)</f>
        <v/>
      </c>
      <c r="F751" s="7" t="str">
        <f aca="false">IF(OR(NOT(ISNUMBER($D751)),NOT(ISNUMBER($E751)),$E751=0),"",$D751/$E751)</f>
        <v/>
      </c>
      <c r="G751" s="8" t="str">
        <f aca="false">IF(OR(NOT(ISNUMBER($B751)),NOT(ISNUMBER($B506)),$B506=0),"",$B751/$B506-1)</f>
        <v/>
      </c>
      <c r="H751" s="8" t="str">
        <f aca="false">IF(OR(NOT(ISNUMBER($D751)),NOT(ISNUMBER($D506)),$D506=0),"",$D751/$D506-1)</f>
        <v/>
      </c>
      <c r="I751" s="8" t="str">
        <f aca="false">IF(OR(NOT(ISNUMBER($G751)),NOT(ISNUMBER($H751))),"",$G751-$H751)</f>
        <v/>
      </c>
    </row>
    <row r="752" customFormat="false" ht="15" hidden="false" customHeight="false" outlineLevel="0" collapsed="false">
      <c r="A752" s="5" t="str">
        <f aca="false">IF(NOT(ISNUMBER(Macro_Series!$A752)),"",Macro_Series!$A752)</f>
        <v/>
      </c>
      <c r="B752" s="6" t="str">
        <f aca="false">IF(NOT(ISNUMBER(Macro_Series!$C752)),"",Macro_Series!$C752)</f>
        <v/>
      </c>
      <c r="C752" s="6" t="str">
        <f aca="false">IF(NOT(ISNUMBER(Macro_Series!$E752)),"",Macro_Series!$E752)</f>
        <v/>
      </c>
      <c r="D752" s="7" t="str">
        <f aca="false">IF(OR(NOT(ISNUMBER($B752)),NOT(ISNUMBER($C752)),$C752=0),"",$B752/$C752)</f>
        <v/>
      </c>
      <c r="E752" s="7" t="str">
        <f aca="false">IF(NOT(ISNUMBER(Macro_Series!$H752)),"",Macro_Series!$H752)</f>
        <v/>
      </c>
      <c r="F752" s="7" t="str">
        <f aca="false">IF(OR(NOT(ISNUMBER($D752)),NOT(ISNUMBER($E752)),$E752=0),"",$D752/$E752)</f>
        <v/>
      </c>
      <c r="G752" s="8" t="str">
        <f aca="false">IF(OR(NOT(ISNUMBER($B752)),NOT(ISNUMBER($B507)),$B507=0),"",$B752/$B507-1)</f>
        <v/>
      </c>
      <c r="H752" s="8" t="str">
        <f aca="false">IF(OR(NOT(ISNUMBER($D752)),NOT(ISNUMBER($D507)),$D507=0),"",$D752/$D507-1)</f>
        <v/>
      </c>
      <c r="I752" s="8" t="str">
        <f aca="false">IF(OR(NOT(ISNUMBER($G752)),NOT(ISNUMBER($H752))),"",$G752-$H752)</f>
        <v/>
      </c>
    </row>
    <row r="753" customFormat="false" ht="15" hidden="false" customHeight="false" outlineLevel="0" collapsed="false">
      <c r="A753" s="5" t="str">
        <f aca="false">IF(NOT(ISNUMBER(Macro_Series!$A753)),"",Macro_Series!$A753)</f>
        <v/>
      </c>
      <c r="B753" s="6" t="str">
        <f aca="false">IF(NOT(ISNUMBER(Macro_Series!$C753)),"",Macro_Series!$C753)</f>
        <v/>
      </c>
      <c r="C753" s="6" t="str">
        <f aca="false">IF(NOT(ISNUMBER(Macro_Series!$E753)),"",Macro_Series!$E753)</f>
        <v/>
      </c>
      <c r="D753" s="7" t="str">
        <f aca="false">IF(OR(NOT(ISNUMBER($B753)),NOT(ISNUMBER($C753)),$C753=0),"",$B753/$C753)</f>
        <v/>
      </c>
      <c r="E753" s="7" t="str">
        <f aca="false">IF(NOT(ISNUMBER(Macro_Series!$H753)),"",Macro_Series!$H753)</f>
        <v/>
      </c>
      <c r="F753" s="7" t="str">
        <f aca="false">IF(OR(NOT(ISNUMBER($D753)),NOT(ISNUMBER($E753)),$E753=0),"",$D753/$E753)</f>
        <v/>
      </c>
      <c r="G753" s="8" t="str">
        <f aca="false">IF(OR(NOT(ISNUMBER($B753)),NOT(ISNUMBER($B508)),$B508=0),"",$B753/$B508-1)</f>
        <v/>
      </c>
      <c r="H753" s="8" t="str">
        <f aca="false">IF(OR(NOT(ISNUMBER($D753)),NOT(ISNUMBER($D508)),$D508=0),"",$D753/$D508-1)</f>
        <v/>
      </c>
      <c r="I753" s="8" t="str">
        <f aca="false">IF(OR(NOT(ISNUMBER($G753)),NOT(ISNUMBER($H753))),"",$G753-$H753)</f>
        <v/>
      </c>
    </row>
    <row r="754" customFormat="false" ht="15" hidden="false" customHeight="false" outlineLevel="0" collapsed="false">
      <c r="A754" s="5" t="str">
        <f aca="false">IF(NOT(ISNUMBER(Macro_Series!$A754)),"",Macro_Series!$A754)</f>
        <v/>
      </c>
      <c r="B754" s="6" t="str">
        <f aca="false">IF(NOT(ISNUMBER(Macro_Series!$C754)),"",Macro_Series!$C754)</f>
        <v/>
      </c>
      <c r="C754" s="6" t="str">
        <f aca="false">IF(NOT(ISNUMBER(Macro_Series!$E754)),"",Macro_Series!$E754)</f>
        <v/>
      </c>
      <c r="D754" s="7" t="str">
        <f aca="false">IF(OR(NOT(ISNUMBER($B754)),NOT(ISNUMBER($C754)),$C754=0),"",$B754/$C754)</f>
        <v/>
      </c>
      <c r="E754" s="7" t="str">
        <f aca="false">IF(NOT(ISNUMBER(Macro_Series!$H754)),"",Macro_Series!$H754)</f>
        <v/>
      </c>
      <c r="F754" s="7" t="str">
        <f aca="false">IF(OR(NOT(ISNUMBER($D754)),NOT(ISNUMBER($E754)),$E754=0),"",$D754/$E754)</f>
        <v/>
      </c>
      <c r="G754" s="8" t="str">
        <f aca="false">IF(OR(NOT(ISNUMBER($B754)),NOT(ISNUMBER($B509)),$B509=0),"",$B754/$B509-1)</f>
        <v/>
      </c>
      <c r="H754" s="8" t="str">
        <f aca="false">IF(OR(NOT(ISNUMBER($D754)),NOT(ISNUMBER($D509)),$D509=0),"",$D754/$D509-1)</f>
        <v/>
      </c>
      <c r="I754" s="8" t="str">
        <f aca="false">IF(OR(NOT(ISNUMBER($G754)),NOT(ISNUMBER($H754))),"",$G754-$H754)</f>
        <v/>
      </c>
    </row>
    <row r="755" customFormat="false" ht="15" hidden="false" customHeight="false" outlineLevel="0" collapsed="false">
      <c r="A755" s="5" t="str">
        <f aca="false">IF(NOT(ISNUMBER(Macro_Series!$A755)),"",Macro_Series!$A755)</f>
        <v/>
      </c>
      <c r="B755" s="6" t="str">
        <f aca="false">IF(NOT(ISNUMBER(Macro_Series!$C755)),"",Macro_Series!$C755)</f>
        <v/>
      </c>
      <c r="C755" s="6" t="str">
        <f aca="false">IF(NOT(ISNUMBER(Macro_Series!$E755)),"",Macro_Series!$E755)</f>
        <v/>
      </c>
      <c r="D755" s="7" t="str">
        <f aca="false">IF(OR(NOT(ISNUMBER($B755)),NOT(ISNUMBER($C755)),$C755=0),"",$B755/$C755)</f>
        <v/>
      </c>
      <c r="E755" s="7" t="str">
        <f aca="false">IF(NOT(ISNUMBER(Macro_Series!$H755)),"",Macro_Series!$H755)</f>
        <v/>
      </c>
      <c r="F755" s="7" t="str">
        <f aca="false">IF(OR(NOT(ISNUMBER($D755)),NOT(ISNUMBER($E755)),$E755=0),"",$D755/$E755)</f>
        <v/>
      </c>
      <c r="G755" s="8" t="str">
        <f aca="false">IF(OR(NOT(ISNUMBER($B755)),NOT(ISNUMBER($B510)),$B510=0),"",$B755/$B510-1)</f>
        <v/>
      </c>
      <c r="H755" s="8" t="str">
        <f aca="false">IF(OR(NOT(ISNUMBER($D755)),NOT(ISNUMBER($D510)),$D510=0),"",$D755/$D510-1)</f>
        <v/>
      </c>
      <c r="I755" s="8" t="str">
        <f aca="false">IF(OR(NOT(ISNUMBER($G755)),NOT(ISNUMBER($H755))),"",$G755-$H755)</f>
        <v/>
      </c>
    </row>
    <row r="756" customFormat="false" ht="15" hidden="false" customHeight="false" outlineLevel="0" collapsed="false">
      <c r="A756" s="5" t="str">
        <f aca="false">IF(NOT(ISNUMBER(Macro_Series!$A756)),"",Macro_Series!$A756)</f>
        <v/>
      </c>
      <c r="B756" s="6" t="str">
        <f aca="false">IF(NOT(ISNUMBER(Macro_Series!$C756)),"",Macro_Series!$C756)</f>
        <v/>
      </c>
      <c r="C756" s="6" t="str">
        <f aca="false">IF(NOT(ISNUMBER(Macro_Series!$E756)),"",Macro_Series!$E756)</f>
        <v/>
      </c>
      <c r="D756" s="7" t="str">
        <f aca="false">IF(OR(NOT(ISNUMBER($B756)),NOT(ISNUMBER($C756)),$C756=0),"",$B756/$C756)</f>
        <v/>
      </c>
      <c r="E756" s="7" t="str">
        <f aca="false">IF(NOT(ISNUMBER(Macro_Series!$H756)),"",Macro_Series!$H756)</f>
        <v/>
      </c>
      <c r="F756" s="7" t="str">
        <f aca="false">IF(OR(NOT(ISNUMBER($D756)),NOT(ISNUMBER($E756)),$E756=0),"",$D756/$E756)</f>
        <v/>
      </c>
      <c r="G756" s="8" t="str">
        <f aca="false">IF(OR(NOT(ISNUMBER($B756)),NOT(ISNUMBER($B511)),$B511=0),"",$B756/$B511-1)</f>
        <v/>
      </c>
      <c r="H756" s="8" t="str">
        <f aca="false">IF(OR(NOT(ISNUMBER($D756)),NOT(ISNUMBER($D511)),$D511=0),"",$D756/$D511-1)</f>
        <v/>
      </c>
      <c r="I756" s="8" t="str">
        <f aca="false">IF(OR(NOT(ISNUMBER($G756)),NOT(ISNUMBER($H756))),"",$G756-$H756)</f>
        <v/>
      </c>
    </row>
    <row r="757" customFormat="false" ht="15" hidden="false" customHeight="false" outlineLevel="0" collapsed="false">
      <c r="A757" s="5" t="str">
        <f aca="false">IF(NOT(ISNUMBER(Macro_Series!$A757)),"",Macro_Series!$A757)</f>
        <v/>
      </c>
      <c r="B757" s="6" t="str">
        <f aca="false">IF(NOT(ISNUMBER(Macro_Series!$C757)),"",Macro_Series!$C757)</f>
        <v/>
      </c>
      <c r="C757" s="6" t="str">
        <f aca="false">IF(NOT(ISNUMBER(Macro_Series!$E757)),"",Macro_Series!$E757)</f>
        <v/>
      </c>
      <c r="D757" s="7" t="str">
        <f aca="false">IF(OR(NOT(ISNUMBER($B757)),NOT(ISNUMBER($C757)),$C757=0),"",$B757/$C757)</f>
        <v/>
      </c>
      <c r="E757" s="7" t="str">
        <f aca="false">IF(NOT(ISNUMBER(Macro_Series!$H757)),"",Macro_Series!$H757)</f>
        <v/>
      </c>
      <c r="F757" s="7" t="str">
        <f aca="false">IF(OR(NOT(ISNUMBER($D757)),NOT(ISNUMBER($E757)),$E757=0),"",$D757/$E757)</f>
        <v/>
      </c>
      <c r="G757" s="8" t="str">
        <f aca="false">IF(OR(NOT(ISNUMBER($B757)),NOT(ISNUMBER($B512)),$B512=0),"",$B757/$B512-1)</f>
        <v/>
      </c>
      <c r="H757" s="8" t="str">
        <f aca="false">IF(OR(NOT(ISNUMBER($D757)),NOT(ISNUMBER($D512)),$D512=0),"",$D757/$D512-1)</f>
        <v/>
      </c>
      <c r="I757" s="8" t="str">
        <f aca="false">IF(OR(NOT(ISNUMBER($G757)),NOT(ISNUMBER($H757))),"",$G757-$H757)</f>
        <v/>
      </c>
    </row>
    <row r="758" customFormat="false" ht="15" hidden="false" customHeight="false" outlineLevel="0" collapsed="false">
      <c r="A758" s="5" t="str">
        <f aca="false">IF(NOT(ISNUMBER(Macro_Series!$A758)),"",Macro_Series!$A758)</f>
        <v/>
      </c>
      <c r="B758" s="6" t="str">
        <f aca="false">IF(NOT(ISNUMBER(Macro_Series!$C758)),"",Macro_Series!$C758)</f>
        <v/>
      </c>
      <c r="C758" s="6" t="str">
        <f aca="false">IF(NOT(ISNUMBER(Macro_Series!$E758)),"",Macro_Series!$E758)</f>
        <v/>
      </c>
      <c r="D758" s="7" t="str">
        <f aca="false">IF(OR(NOT(ISNUMBER($B758)),NOT(ISNUMBER($C758)),$C758=0),"",$B758/$C758)</f>
        <v/>
      </c>
      <c r="E758" s="7" t="str">
        <f aca="false">IF(NOT(ISNUMBER(Macro_Series!$H758)),"",Macro_Series!$H758)</f>
        <v/>
      </c>
      <c r="F758" s="7" t="str">
        <f aca="false">IF(OR(NOT(ISNUMBER($D758)),NOT(ISNUMBER($E758)),$E758=0),"",$D758/$E758)</f>
        <v/>
      </c>
      <c r="G758" s="8" t="str">
        <f aca="false">IF(OR(NOT(ISNUMBER($B758)),NOT(ISNUMBER($B513)),$B513=0),"",$B758/$B513-1)</f>
        <v/>
      </c>
      <c r="H758" s="8" t="str">
        <f aca="false">IF(OR(NOT(ISNUMBER($D758)),NOT(ISNUMBER($D513)),$D513=0),"",$D758/$D513-1)</f>
        <v/>
      </c>
      <c r="I758" s="8" t="str">
        <f aca="false">IF(OR(NOT(ISNUMBER($G758)),NOT(ISNUMBER($H758))),"",$G758-$H758)</f>
        <v/>
      </c>
    </row>
    <row r="759" customFormat="false" ht="15" hidden="false" customHeight="false" outlineLevel="0" collapsed="false">
      <c r="A759" s="5" t="str">
        <f aca="false">IF(NOT(ISNUMBER(Macro_Series!$A759)),"",Macro_Series!$A759)</f>
        <v/>
      </c>
      <c r="B759" s="6" t="str">
        <f aca="false">IF(NOT(ISNUMBER(Macro_Series!$C759)),"",Macro_Series!$C759)</f>
        <v/>
      </c>
      <c r="C759" s="6" t="str">
        <f aca="false">IF(NOT(ISNUMBER(Macro_Series!$E759)),"",Macro_Series!$E759)</f>
        <v/>
      </c>
      <c r="D759" s="7" t="str">
        <f aca="false">IF(OR(NOT(ISNUMBER($B759)),NOT(ISNUMBER($C759)),$C759=0),"",$B759/$C759)</f>
        <v/>
      </c>
      <c r="E759" s="7" t="str">
        <f aca="false">IF(NOT(ISNUMBER(Macro_Series!$H759)),"",Macro_Series!$H759)</f>
        <v/>
      </c>
      <c r="F759" s="7" t="str">
        <f aca="false">IF(OR(NOT(ISNUMBER($D759)),NOT(ISNUMBER($E759)),$E759=0),"",$D759/$E759)</f>
        <v/>
      </c>
      <c r="G759" s="8" t="str">
        <f aca="false">IF(OR(NOT(ISNUMBER($B759)),NOT(ISNUMBER($B514)),$B514=0),"",$B759/$B514-1)</f>
        <v/>
      </c>
      <c r="H759" s="8" t="str">
        <f aca="false">IF(OR(NOT(ISNUMBER($D759)),NOT(ISNUMBER($D514)),$D514=0),"",$D759/$D514-1)</f>
        <v/>
      </c>
      <c r="I759" s="8" t="str">
        <f aca="false">IF(OR(NOT(ISNUMBER($G759)),NOT(ISNUMBER($H759))),"",$G759-$H759)</f>
        <v/>
      </c>
    </row>
    <row r="760" customFormat="false" ht="15" hidden="false" customHeight="false" outlineLevel="0" collapsed="false">
      <c r="A760" s="5" t="str">
        <f aca="false">IF(NOT(ISNUMBER(Macro_Series!$A760)),"",Macro_Series!$A760)</f>
        <v/>
      </c>
      <c r="B760" s="6" t="str">
        <f aca="false">IF(NOT(ISNUMBER(Macro_Series!$C760)),"",Macro_Series!$C760)</f>
        <v/>
      </c>
      <c r="C760" s="6" t="str">
        <f aca="false">IF(NOT(ISNUMBER(Macro_Series!$E760)),"",Macro_Series!$E760)</f>
        <v/>
      </c>
      <c r="D760" s="7" t="str">
        <f aca="false">IF(OR(NOT(ISNUMBER($B760)),NOT(ISNUMBER($C760)),$C760=0),"",$B760/$C760)</f>
        <v/>
      </c>
      <c r="E760" s="7" t="str">
        <f aca="false">IF(NOT(ISNUMBER(Macro_Series!$H760)),"",Macro_Series!$H760)</f>
        <v/>
      </c>
      <c r="F760" s="7" t="str">
        <f aca="false">IF(OR(NOT(ISNUMBER($D760)),NOT(ISNUMBER($E760)),$E760=0),"",$D760/$E760)</f>
        <v/>
      </c>
      <c r="G760" s="8" t="str">
        <f aca="false">IF(OR(NOT(ISNUMBER($B760)),NOT(ISNUMBER($B515)),$B515=0),"",$B760/$B515-1)</f>
        <v/>
      </c>
      <c r="H760" s="8" t="str">
        <f aca="false">IF(OR(NOT(ISNUMBER($D760)),NOT(ISNUMBER($D515)),$D515=0),"",$D760/$D515-1)</f>
        <v/>
      </c>
      <c r="I760" s="8" t="str">
        <f aca="false">IF(OR(NOT(ISNUMBER($G760)),NOT(ISNUMBER($H760))),"",$G760-$H760)</f>
        <v/>
      </c>
    </row>
    <row r="761" customFormat="false" ht="15" hidden="false" customHeight="false" outlineLevel="0" collapsed="false">
      <c r="A761" s="5" t="str">
        <f aca="false">IF(NOT(ISNUMBER(Macro_Series!$A761)),"",Macro_Series!$A761)</f>
        <v/>
      </c>
      <c r="B761" s="6" t="str">
        <f aca="false">IF(NOT(ISNUMBER(Macro_Series!$C761)),"",Macro_Series!$C761)</f>
        <v/>
      </c>
      <c r="C761" s="6" t="str">
        <f aca="false">IF(NOT(ISNUMBER(Macro_Series!$E761)),"",Macro_Series!$E761)</f>
        <v/>
      </c>
      <c r="D761" s="7" t="str">
        <f aca="false">IF(OR(NOT(ISNUMBER($B761)),NOT(ISNUMBER($C761)),$C761=0),"",$B761/$C761)</f>
        <v/>
      </c>
      <c r="E761" s="7" t="str">
        <f aca="false">IF(NOT(ISNUMBER(Macro_Series!$H761)),"",Macro_Series!$H761)</f>
        <v/>
      </c>
      <c r="F761" s="7" t="str">
        <f aca="false">IF(OR(NOT(ISNUMBER($D761)),NOT(ISNUMBER($E761)),$E761=0),"",$D761/$E761)</f>
        <v/>
      </c>
      <c r="G761" s="8" t="str">
        <f aca="false">IF(OR(NOT(ISNUMBER($B761)),NOT(ISNUMBER($B516)),$B516=0),"",$B761/$B516-1)</f>
        <v/>
      </c>
      <c r="H761" s="8" t="str">
        <f aca="false">IF(OR(NOT(ISNUMBER($D761)),NOT(ISNUMBER($D516)),$D516=0),"",$D761/$D516-1)</f>
        <v/>
      </c>
      <c r="I761" s="8" t="str">
        <f aca="false">IF(OR(NOT(ISNUMBER($G761)),NOT(ISNUMBER($H761))),"",$G761-$H761)</f>
        <v/>
      </c>
    </row>
    <row r="762" customFormat="false" ht="15" hidden="false" customHeight="false" outlineLevel="0" collapsed="false">
      <c r="A762" s="5" t="str">
        <f aca="false">IF(NOT(ISNUMBER(Macro_Series!$A762)),"",Macro_Series!$A762)</f>
        <v/>
      </c>
      <c r="B762" s="6" t="str">
        <f aca="false">IF(NOT(ISNUMBER(Macro_Series!$C762)),"",Macro_Series!$C762)</f>
        <v/>
      </c>
      <c r="C762" s="6" t="str">
        <f aca="false">IF(NOT(ISNUMBER(Macro_Series!$E762)),"",Macro_Series!$E762)</f>
        <v/>
      </c>
      <c r="D762" s="7" t="str">
        <f aca="false">IF(OR(NOT(ISNUMBER($B762)),NOT(ISNUMBER($C762)),$C762=0),"",$B762/$C762)</f>
        <v/>
      </c>
      <c r="E762" s="7" t="str">
        <f aca="false">IF(NOT(ISNUMBER(Macro_Series!$H762)),"",Macro_Series!$H762)</f>
        <v/>
      </c>
      <c r="F762" s="7" t="str">
        <f aca="false">IF(OR(NOT(ISNUMBER($D762)),NOT(ISNUMBER($E762)),$E762=0),"",$D762/$E762)</f>
        <v/>
      </c>
      <c r="G762" s="8" t="str">
        <f aca="false">IF(OR(NOT(ISNUMBER($B762)),NOT(ISNUMBER($B517)),$B517=0),"",$B762/$B517-1)</f>
        <v/>
      </c>
      <c r="H762" s="8" t="str">
        <f aca="false">IF(OR(NOT(ISNUMBER($D762)),NOT(ISNUMBER($D517)),$D517=0),"",$D762/$D517-1)</f>
        <v/>
      </c>
      <c r="I762" s="8" t="str">
        <f aca="false">IF(OR(NOT(ISNUMBER($G762)),NOT(ISNUMBER($H762))),"",$G762-$H762)</f>
        <v/>
      </c>
    </row>
    <row r="763" customFormat="false" ht="15" hidden="false" customHeight="false" outlineLevel="0" collapsed="false">
      <c r="A763" s="5" t="str">
        <f aca="false">IF(NOT(ISNUMBER(Macro_Series!$A763)),"",Macro_Series!$A763)</f>
        <v/>
      </c>
      <c r="B763" s="6" t="str">
        <f aca="false">IF(NOT(ISNUMBER(Macro_Series!$C763)),"",Macro_Series!$C763)</f>
        <v/>
      </c>
      <c r="C763" s="6" t="str">
        <f aca="false">IF(NOT(ISNUMBER(Macro_Series!$E763)),"",Macro_Series!$E763)</f>
        <v/>
      </c>
      <c r="D763" s="7" t="str">
        <f aca="false">IF(OR(NOT(ISNUMBER($B763)),NOT(ISNUMBER($C763)),$C763=0),"",$B763/$C763)</f>
        <v/>
      </c>
      <c r="E763" s="7" t="str">
        <f aca="false">IF(NOT(ISNUMBER(Macro_Series!$H763)),"",Macro_Series!$H763)</f>
        <v/>
      </c>
      <c r="F763" s="7" t="str">
        <f aca="false">IF(OR(NOT(ISNUMBER($D763)),NOT(ISNUMBER($E763)),$E763=0),"",$D763/$E763)</f>
        <v/>
      </c>
      <c r="G763" s="8" t="str">
        <f aca="false">IF(OR(NOT(ISNUMBER($B763)),NOT(ISNUMBER($B518)),$B518=0),"",$B763/$B518-1)</f>
        <v/>
      </c>
      <c r="H763" s="8" t="str">
        <f aca="false">IF(OR(NOT(ISNUMBER($D763)),NOT(ISNUMBER($D518)),$D518=0),"",$D763/$D518-1)</f>
        <v/>
      </c>
      <c r="I763" s="8" t="str">
        <f aca="false">IF(OR(NOT(ISNUMBER($G763)),NOT(ISNUMBER($H763))),"",$G763-$H763)</f>
        <v/>
      </c>
    </row>
    <row r="764" customFormat="false" ht="15" hidden="false" customHeight="false" outlineLevel="0" collapsed="false">
      <c r="A764" s="5" t="str">
        <f aca="false">IF(NOT(ISNUMBER(Macro_Series!$A764)),"",Macro_Series!$A764)</f>
        <v/>
      </c>
      <c r="B764" s="6" t="str">
        <f aca="false">IF(NOT(ISNUMBER(Macro_Series!$C764)),"",Macro_Series!$C764)</f>
        <v/>
      </c>
      <c r="C764" s="6" t="str">
        <f aca="false">IF(NOT(ISNUMBER(Macro_Series!$E764)),"",Macro_Series!$E764)</f>
        <v/>
      </c>
      <c r="D764" s="7" t="str">
        <f aca="false">IF(OR(NOT(ISNUMBER($B764)),NOT(ISNUMBER($C764)),$C764=0),"",$B764/$C764)</f>
        <v/>
      </c>
      <c r="E764" s="7" t="str">
        <f aca="false">IF(NOT(ISNUMBER(Macro_Series!$H764)),"",Macro_Series!$H764)</f>
        <v/>
      </c>
      <c r="F764" s="7" t="str">
        <f aca="false">IF(OR(NOT(ISNUMBER($D764)),NOT(ISNUMBER($E764)),$E764=0),"",$D764/$E764)</f>
        <v/>
      </c>
      <c r="G764" s="8" t="str">
        <f aca="false">IF(OR(NOT(ISNUMBER($B764)),NOT(ISNUMBER($B519)),$B519=0),"",$B764/$B519-1)</f>
        <v/>
      </c>
      <c r="H764" s="8" t="str">
        <f aca="false">IF(OR(NOT(ISNUMBER($D764)),NOT(ISNUMBER($D519)),$D519=0),"",$D764/$D519-1)</f>
        <v/>
      </c>
      <c r="I764" s="8" t="str">
        <f aca="false">IF(OR(NOT(ISNUMBER($G764)),NOT(ISNUMBER($H764))),"",$G764-$H764)</f>
        <v/>
      </c>
    </row>
    <row r="765" customFormat="false" ht="15" hidden="false" customHeight="false" outlineLevel="0" collapsed="false">
      <c r="A765" s="5" t="str">
        <f aca="false">IF(NOT(ISNUMBER(Macro_Series!$A765)),"",Macro_Series!$A765)</f>
        <v/>
      </c>
      <c r="B765" s="6" t="str">
        <f aca="false">IF(NOT(ISNUMBER(Macro_Series!$C765)),"",Macro_Series!$C765)</f>
        <v/>
      </c>
      <c r="C765" s="6" t="str">
        <f aca="false">IF(NOT(ISNUMBER(Macro_Series!$E765)),"",Macro_Series!$E765)</f>
        <v/>
      </c>
      <c r="D765" s="7" t="str">
        <f aca="false">IF(OR(NOT(ISNUMBER($B765)),NOT(ISNUMBER($C765)),$C765=0),"",$B765/$C765)</f>
        <v/>
      </c>
      <c r="E765" s="7" t="str">
        <f aca="false">IF(NOT(ISNUMBER(Macro_Series!$H765)),"",Macro_Series!$H765)</f>
        <v/>
      </c>
      <c r="F765" s="7" t="str">
        <f aca="false">IF(OR(NOT(ISNUMBER($D765)),NOT(ISNUMBER($E765)),$E765=0),"",$D765/$E765)</f>
        <v/>
      </c>
      <c r="G765" s="8" t="str">
        <f aca="false">IF(OR(NOT(ISNUMBER($B765)),NOT(ISNUMBER($B520)),$B520=0),"",$B765/$B520-1)</f>
        <v/>
      </c>
      <c r="H765" s="8" t="str">
        <f aca="false">IF(OR(NOT(ISNUMBER($D765)),NOT(ISNUMBER($D520)),$D520=0),"",$D765/$D520-1)</f>
        <v/>
      </c>
      <c r="I765" s="8" t="str">
        <f aca="false">IF(OR(NOT(ISNUMBER($G765)),NOT(ISNUMBER($H765))),"",$G765-$H765)</f>
        <v/>
      </c>
    </row>
    <row r="766" customFormat="false" ht="15" hidden="false" customHeight="false" outlineLevel="0" collapsed="false">
      <c r="A766" s="5" t="str">
        <f aca="false">IF(NOT(ISNUMBER(Macro_Series!$A766)),"",Macro_Series!$A766)</f>
        <v/>
      </c>
      <c r="B766" s="6" t="str">
        <f aca="false">IF(NOT(ISNUMBER(Macro_Series!$C766)),"",Macro_Series!$C766)</f>
        <v/>
      </c>
      <c r="C766" s="6" t="str">
        <f aca="false">IF(NOT(ISNUMBER(Macro_Series!$E766)),"",Macro_Series!$E766)</f>
        <v/>
      </c>
      <c r="D766" s="7" t="str">
        <f aca="false">IF(OR(NOT(ISNUMBER($B766)),NOT(ISNUMBER($C766)),$C766=0),"",$B766/$C766)</f>
        <v/>
      </c>
      <c r="E766" s="7" t="str">
        <f aca="false">IF(NOT(ISNUMBER(Macro_Series!$H766)),"",Macro_Series!$H766)</f>
        <v/>
      </c>
      <c r="F766" s="7" t="str">
        <f aca="false">IF(OR(NOT(ISNUMBER($D766)),NOT(ISNUMBER($E766)),$E766=0),"",$D766/$E766)</f>
        <v/>
      </c>
      <c r="G766" s="8" t="str">
        <f aca="false">IF(OR(NOT(ISNUMBER($B766)),NOT(ISNUMBER($B521)),$B521=0),"",$B766/$B521-1)</f>
        <v/>
      </c>
      <c r="H766" s="8" t="str">
        <f aca="false">IF(OR(NOT(ISNUMBER($D766)),NOT(ISNUMBER($D521)),$D521=0),"",$D766/$D521-1)</f>
        <v/>
      </c>
      <c r="I766" s="8" t="str">
        <f aca="false">IF(OR(NOT(ISNUMBER($G766)),NOT(ISNUMBER($H766))),"",$G766-$H766)</f>
        <v/>
      </c>
    </row>
    <row r="767" customFormat="false" ht="15" hidden="false" customHeight="false" outlineLevel="0" collapsed="false">
      <c r="A767" s="5" t="str">
        <f aca="false">IF(NOT(ISNUMBER(Macro_Series!$A767)),"",Macro_Series!$A767)</f>
        <v/>
      </c>
      <c r="B767" s="6" t="str">
        <f aca="false">IF(NOT(ISNUMBER(Macro_Series!$C767)),"",Macro_Series!$C767)</f>
        <v/>
      </c>
      <c r="C767" s="6" t="str">
        <f aca="false">IF(NOT(ISNUMBER(Macro_Series!$E767)),"",Macro_Series!$E767)</f>
        <v/>
      </c>
      <c r="D767" s="7" t="str">
        <f aca="false">IF(OR(NOT(ISNUMBER($B767)),NOT(ISNUMBER($C767)),$C767=0),"",$B767/$C767)</f>
        <v/>
      </c>
      <c r="E767" s="7" t="str">
        <f aca="false">IF(NOT(ISNUMBER(Macro_Series!$H767)),"",Macro_Series!$H767)</f>
        <v/>
      </c>
      <c r="F767" s="7" t="str">
        <f aca="false">IF(OR(NOT(ISNUMBER($D767)),NOT(ISNUMBER($E767)),$E767=0),"",$D767/$E767)</f>
        <v/>
      </c>
      <c r="G767" s="8" t="str">
        <f aca="false">IF(OR(NOT(ISNUMBER($B767)),NOT(ISNUMBER($B522)),$B522=0),"",$B767/$B522-1)</f>
        <v/>
      </c>
      <c r="H767" s="8" t="str">
        <f aca="false">IF(OR(NOT(ISNUMBER($D767)),NOT(ISNUMBER($D522)),$D522=0),"",$D767/$D522-1)</f>
        <v/>
      </c>
      <c r="I767" s="8" t="str">
        <f aca="false">IF(OR(NOT(ISNUMBER($G767)),NOT(ISNUMBER($H767))),"",$G767-$H767)</f>
        <v/>
      </c>
    </row>
    <row r="768" customFormat="false" ht="15" hidden="false" customHeight="false" outlineLevel="0" collapsed="false">
      <c r="A768" s="5" t="str">
        <f aca="false">IF(NOT(ISNUMBER(Macro_Series!$A768)),"",Macro_Series!$A768)</f>
        <v/>
      </c>
      <c r="B768" s="6" t="str">
        <f aca="false">IF(NOT(ISNUMBER(Macro_Series!$C768)),"",Macro_Series!$C768)</f>
        <v/>
      </c>
      <c r="C768" s="6" t="str">
        <f aca="false">IF(NOT(ISNUMBER(Macro_Series!$E768)),"",Macro_Series!$E768)</f>
        <v/>
      </c>
      <c r="D768" s="7" t="str">
        <f aca="false">IF(OR(NOT(ISNUMBER($B768)),NOT(ISNUMBER($C768)),$C768=0),"",$B768/$C768)</f>
        <v/>
      </c>
      <c r="E768" s="7" t="str">
        <f aca="false">IF(NOT(ISNUMBER(Macro_Series!$H768)),"",Macro_Series!$H768)</f>
        <v/>
      </c>
      <c r="F768" s="7" t="str">
        <f aca="false">IF(OR(NOT(ISNUMBER($D768)),NOT(ISNUMBER($E768)),$E768=0),"",$D768/$E768)</f>
        <v/>
      </c>
      <c r="G768" s="8" t="str">
        <f aca="false">IF(OR(NOT(ISNUMBER($B768)),NOT(ISNUMBER($B523)),$B523=0),"",$B768/$B523-1)</f>
        <v/>
      </c>
      <c r="H768" s="8" t="str">
        <f aca="false">IF(OR(NOT(ISNUMBER($D768)),NOT(ISNUMBER($D523)),$D523=0),"",$D768/$D523-1)</f>
        <v/>
      </c>
      <c r="I768" s="8" t="str">
        <f aca="false">IF(OR(NOT(ISNUMBER($G768)),NOT(ISNUMBER($H768))),"",$G768-$H768)</f>
        <v/>
      </c>
    </row>
    <row r="769" customFormat="false" ht="15" hidden="false" customHeight="false" outlineLevel="0" collapsed="false">
      <c r="A769" s="5" t="str">
        <f aca="false">IF(NOT(ISNUMBER(Macro_Series!$A769)),"",Macro_Series!$A769)</f>
        <v/>
      </c>
      <c r="B769" s="6" t="str">
        <f aca="false">IF(NOT(ISNUMBER(Macro_Series!$C769)),"",Macro_Series!$C769)</f>
        <v/>
      </c>
      <c r="C769" s="6" t="str">
        <f aca="false">IF(NOT(ISNUMBER(Macro_Series!$E769)),"",Macro_Series!$E769)</f>
        <v/>
      </c>
      <c r="D769" s="7" t="str">
        <f aca="false">IF(OR(NOT(ISNUMBER($B769)),NOT(ISNUMBER($C769)),$C769=0),"",$B769/$C769)</f>
        <v/>
      </c>
      <c r="E769" s="7" t="str">
        <f aca="false">IF(NOT(ISNUMBER(Macro_Series!$H769)),"",Macro_Series!$H769)</f>
        <v/>
      </c>
      <c r="F769" s="7" t="str">
        <f aca="false">IF(OR(NOT(ISNUMBER($D769)),NOT(ISNUMBER($E769)),$E769=0),"",$D769/$E769)</f>
        <v/>
      </c>
      <c r="G769" s="8" t="str">
        <f aca="false">IF(OR(NOT(ISNUMBER($B769)),NOT(ISNUMBER($B524)),$B524=0),"",$B769/$B524-1)</f>
        <v/>
      </c>
      <c r="H769" s="8" t="str">
        <f aca="false">IF(OR(NOT(ISNUMBER($D769)),NOT(ISNUMBER($D524)),$D524=0),"",$D769/$D524-1)</f>
        <v/>
      </c>
      <c r="I769" s="8" t="str">
        <f aca="false">IF(OR(NOT(ISNUMBER($G769)),NOT(ISNUMBER($H769))),"",$G769-$H769)</f>
        <v/>
      </c>
    </row>
    <row r="770" customFormat="false" ht="15" hidden="false" customHeight="false" outlineLevel="0" collapsed="false">
      <c r="A770" s="5" t="str">
        <f aca="false">IF(NOT(ISNUMBER(Macro_Series!$A770)),"",Macro_Series!$A770)</f>
        <v/>
      </c>
      <c r="B770" s="6" t="str">
        <f aca="false">IF(NOT(ISNUMBER(Macro_Series!$C770)),"",Macro_Series!$C770)</f>
        <v/>
      </c>
      <c r="C770" s="6" t="str">
        <f aca="false">IF(NOT(ISNUMBER(Macro_Series!$E770)),"",Macro_Series!$E770)</f>
        <v/>
      </c>
      <c r="D770" s="7" t="str">
        <f aca="false">IF(OR(NOT(ISNUMBER($B770)),NOT(ISNUMBER($C770)),$C770=0),"",$B770/$C770)</f>
        <v/>
      </c>
      <c r="E770" s="7" t="str">
        <f aca="false">IF(NOT(ISNUMBER(Macro_Series!$H770)),"",Macro_Series!$H770)</f>
        <v/>
      </c>
      <c r="F770" s="7" t="str">
        <f aca="false">IF(OR(NOT(ISNUMBER($D770)),NOT(ISNUMBER($E770)),$E770=0),"",$D770/$E770)</f>
        <v/>
      </c>
      <c r="G770" s="8" t="str">
        <f aca="false">IF(OR(NOT(ISNUMBER($B770)),NOT(ISNUMBER($B525)),$B525=0),"",$B770/$B525-1)</f>
        <v/>
      </c>
      <c r="H770" s="8" t="str">
        <f aca="false">IF(OR(NOT(ISNUMBER($D770)),NOT(ISNUMBER($D525)),$D525=0),"",$D770/$D525-1)</f>
        <v/>
      </c>
      <c r="I770" s="8" t="str">
        <f aca="false">IF(OR(NOT(ISNUMBER($G770)),NOT(ISNUMBER($H770))),"",$G770-$H770)</f>
        <v/>
      </c>
    </row>
    <row r="771" customFormat="false" ht="15" hidden="false" customHeight="false" outlineLevel="0" collapsed="false">
      <c r="A771" s="5" t="str">
        <f aca="false">IF(NOT(ISNUMBER(Macro_Series!$A771)),"",Macro_Series!$A771)</f>
        <v/>
      </c>
      <c r="B771" s="6" t="str">
        <f aca="false">IF(NOT(ISNUMBER(Macro_Series!$C771)),"",Macro_Series!$C771)</f>
        <v/>
      </c>
      <c r="C771" s="6" t="str">
        <f aca="false">IF(NOT(ISNUMBER(Macro_Series!$E771)),"",Macro_Series!$E771)</f>
        <v/>
      </c>
      <c r="D771" s="7" t="str">
        <f aca="false">IF(OR(NOT(ISNUMBER($B771)),NOT(ISNUMBER($C771)),$C771=0),"",$B771/$C771)</f>
        <v/>
      </c>
      <c r="E771" s="7" t="str">
        <f aca="false">IF(NOT(ISNUMBER(Macro_Series!$H771)),"",Macro_Series!$H771)</f>
        <v/>
      </c>
      <c r="F771" s="7" t="str">
        <f aca="false">IF(OR(NOT(ISNUMBER($D771)),NOT(ISNUMBER($E771)),$E771=0),"",$D771/$E771)</f>
        <v/>
      </c>
      <c r="G771" s="8" t="str">
        <f aca="false">IF(OR(NOT(ISNUMBER($B771)),NOT(ISNUMBER($B526)),$B526=0),"",$B771/$B526-1)</f>
        <v/>
      </c>
      <c r="H771" s="8" t="str">
        <f aca="false">IF(OR(NOT(ISNUMBER($D771)),NOT(ISNUMBER($D526)),$D526=0),"",$D771/$D526-1)</f>
        <v/>
      </c>
      <c r="I771" s="8" t="str">
        <f aca="false">IF(OR(NOT(ISNUMBER($G771)),NOT(ISNUMBER($H771))),"",$G771-$H771)</f>
        <v/>
      </c>
    </row>
    <row r="772" customFormat="false" ht="15" hidden="false" customHeight="false" outlineLevel="0" collapsed="false">
      <c r="A772" s="5" t="str">
        <f aca="false">IF(NOT(ISNUMBER(Macro_Series!$A772)),"",Macro_Series!$A772)</f>
        <v/>
      </c>
      <c r="B772" s="6" t="str">
        <f aca="false">IF(NOT(ISNUMBER(Macro_Series!$C772)),"",Macro_Series!$C772)</f>
        <v/>
      </c>
      <c r="C772" s="6" t="str">
        <f aca="false">IF(NOT(ISNUMBER(Macro_Series!$E772)),"",Macro_Series!$E772)</f>
        <v/>
      </c>
      <c r="D772" s="7" t="str">
        <f aca="false">IF(OR(NOT(ISNUMBER($B772)),NOT(ISNUMBER($C772)),$C772=0),"",$B772/$C772)</f>
        <v/>
      </c>
      <c r="E772" s="7" t="str">
        <f aca="false">IF(NOT(ISNUMBER(Macro_Series!$H772)),"",Macro_Series!$H772)</f>
        <v/>
      </c>
      <c r="F772" s="7" t="str">
        <f aca="false">IF(OR(NOT(ISNUMBER($D772)),NOT(ISNUMBER($E772)),$E772=0),"",$D772/$E772)</f>
        <v/>
      </c>
      <c r="G772" s="8" t="str">
        <f aca="false">IF(OR(NOT(ISNUMBER($B772)),NOT(ISNUMBER($B527)),$B527=0),"",$B772/$B527-1)</f>
        <v/>
      </c>
      <c r="H772" s="8" t="str">
        <f aca="false">IF(OR(NOT(ISNUMBER($D772)),NOT(ISNUMBER($D527)),$D527=0),"",$D772/$D527-1)</f>
        <v/>
      </c>
      <c r="I772" s="8" t="str">
        <f aca="false">IF(OR(NOT(ISNUMBER($G772)),NOT(ISNUMBER($H772))),"",$G772-$H772)</f>
        <v/>
      </c>
    </row>
    <row r="773" customFormat="false" ht="15" hidden="false" customHeight="false" outlineLevel="0" collapsed="false">
      <c r="A773" s="5" t="str">
        <f aca="false">IF(NOT(ISNUMBER(Macro_Series!$A773)),"",Macro_Series!$A773)</f>
        <v/>
      </c>
      <c r="B773" s="6" t="str">
        <f aca="false">IF(NOT(ISNUMBER(Macro_Series!$C773)),"",Macro_Series!$C773)</f>
        <v/>
      </c>
      <c r="C773" s="6" t="str">
        <f aca="false">IF(NOT(ISNUMBER(Macro_Series!$E773)),"",Macro_Series!$E773)</f>
        <v/>
      </c>
      <c r="D773" s="7" t="str">
        <f aca="false">IF(OR(NOT(ISNUMBER($B773)),NOT(ISNUMBER($C773)),$C773=0),"",$B773/$C773)</f>
        <v/>
      </c>
      <c r="E773" s="7" t="str">
        <f aca="false">IF(NOT(ISNUMBER(Macro_Series!$H773)),"",Macro_Series!$H773)</f>
        <v/>
      </c>
      <c r="F773" s="7" t="str">
        <f aca="false">IF(OR(NOT(ISNUMBER($D773)),NOT(ISNUMBER($E773)),$E773=0),"",$D773/$E773)</f>
        <v/>
      </c>
      <c r="G773" s="8" t="str">
        <f aca="false">IF(OR(NOT(ISNUMBER($B773)),NOT(ISNUMBER($B528)),$B528=0),"",$B773/$B528-1)</f>
        <v/>
      </c>
      <c r="H773" s="8" t="str">
        <f aca="false">IF(OR(NOT(ISNUMBER($D773)),NOT(ISNUMBER($D528)),$D528=0),"",$D773/$D528-1)</f>
        <v/>
      </c>
      <c r="I773" s="8" t="str">
        <f aca="false">IF(OR(NOT(ISNUMBER($G773)),NOT(ISNUMBER($H773))),"",$G773-$H773)</f>
        <v/>
      </c>
    </row>
    <row r="774" customFormat="false" ht="15" hidden="false" customHeight="false" outlineLevel="0" collapsed="false">
      <c r="A774" s="5" t="str">
        <f aca="false">IF(NOT(ISNUMBER(Macro_Series!$A774)),"",Macro_Series!$A774)</f>
        <v/>
      </c>
      <c r="B774" s="6" t="str">
        <f aca="false">IF(NOT(ISNUMBER(Macro_Series!$C774)),"",Macro_Series!$C774)</f>
        <v/>
      </c>
      <c r="C774" s="6" t="str">
        <f aca="false">IF(NOT(ISNUMBER(Macro_Series!$E774)),"",Macro_Series!$E774)</f>
        <v/>
      </c>
      <c r="D774" s="7" t="str">
        <f aca="false">IF(OR(NOT(ISNUMBER($B774)),NOT(ISNUMBER($C774)),$C774=0),"",$B774/$C774)</f>
        <v/>
      </c>
      <c r="E774" s="7" t="str">
        <f aca="false">IF(NOT(ISNUMBER(Macro_Series!$H774)),"",Macro_Series!$H774)</f>
        <v/>
      </c>
      <c r="F774" s="7" t="str">
        <f aca="false">IF(OR(NOT(ISNUMBER($D774)),NOT(ISNUMBER($E774)),$E774=0),"",$D774/$E774)</f>
        <v/>
      </c>
      <c r="G774" s="8" t="str">
        <f aca="false">IF(OR(NOT(ISNUMBER($B774)),NOT(ISNUMBER($B529)),$B529=0),"",$B774/$B529-1)</f>
        <v/>
      </c>
      <c r="H774" s="8" t="str">
        <f aca="false">IF(OR(NOT(ISNUMBER($D774)),NOT(ISNUMBER($D529)),$D529=0),"",$D774/$D529-1)</f>
        <v/>
      </c>
      <c r="I774" s="8" t="str">
        <f aca="false">IF(OR(NOT(ISNUMBER($G774)),NOT(ISNUMBER($H774))),"",$G774-$H774)</f>
        <v/>
      </c>
    </row>
    <row r="775" customFormat="false" ht="15" hidden="false" customHeight="false" outlineLevel="0" collapsed="false">
      <c r="A775" s="5" t="str">
        <f aca="false">IF(NOT(ISNUMBER(Macro_Series!$A775)),"",Macro_Series!$A775)</f>
        <v/>
      </c>
      <c r="B775" s="6" t="str">
        <f aca="false">IF(NOT(ISNUMBER(Macro_Series!$C775)),"",Macro_Series!$C775)</f>
        <v/>
      </c>
      <c r="C775" s="6" t="str">
        <f aca="false">IF(NOT(ISNUMBER(Macro_Series!$E775)),"",Macro_Series!$E775)</f>
        <v/>
      </c>
      <c r="D775" s="7" t="str">
        <f aca="false">IF(OR(NOT(ISNUMBER($B775)),NOT(ISNUMBER($C775)),$C775=0),"",$B775/$C775)</f>
        <v/>
      </c>
      <c r="E775" s="7" t="str">
        <f aca="false">IF(NOT(ISNUMBER(Macro_Series!$H775)),"",Macro_Series!$H775)</f>
        <v/>
      </c>
      <c r="F775" s="7" t="str">
        <f aca="false">IF(OR(NOT(ISNUMBER($D775)),NOT(ISNUMBER($E775)),$E775=0),"",$D775/$E775)</f>
        <v/>
      </c>
      <c r="G775" s="8" t="str">
        <f aca="false">IF(OR(NOT(ISNUMBER($B775)),NOT(ISNUMBER($B530)),$B530=0),"",$B775/$B530-1)</f>
        <v/>
      </c>
      <c r="H775" s="8" t="str">
        <f aca="false">IF(OR(NOT(ISNUMBER($D775)),NOT(ISNUMBER($D530)),$D530=0),"",$D775/$D530-1)</f>
        <v/>
      </c>
      <c r="I775" s="8" t="str">
        <f aca="false">IF(OR(NOT(ISNUMBER($G775)),NOT(ISNUMBER($H775))),"",$G775-$H775)</f>
        <v/>
      </c>
    </row>
    <row r="776" customFormat="false" ht="15" hidden="false" customHeight="false" outlineLevel="0" collapsed="false">
      <c r="A776" s="5" t="str">
        <f aca="false">IF(NOT(ISNUMBER(Macro_Series!$A776)),"",Macro_Series!$A776)</f>
        <v/>
      </c>
      <c r="B776" s="6" t="str">
        <f aca="false">IF(NOT(ISNUMBER(Macro_Series!$C776)),"",Macro_Series!$C776)</f>
        <v/>
      </c>
      <c r="C776" s="6" t="str">
        <f aca="false">IF(NOT(ISNUMBER(Macro_Series!$E776)),"",Macro_Series!$E776)</f>
        <v/>
      </c>
      <c r="D776" s="7" t="str">
        <f aca="false">IF(OR(NOT(ISNUMBER($B776)),NOT(ISNUMBER($C776)),$C776=0),"",$B776/$C776)</f>
        <v/>
      </c>
      <c r="E776" s="7" t="str">
        <f aca="false">IF(NOT(ISNUMBER(Macro_Series!$H776)),"",Macro_Series!$H776)</f>
        <v/>
      </c>
      <c r="F776" s="7" t="str">
        <f aca="false">IF(OR(NOT(ISNUMBER($D776)),NOT(ISNUMBER($E776)),$E776=0),"",$D776/$E776)</f>
        <v/>
      </c>
      <c r="G776" s="8" t="str">
        <f aca="false">IF(OR(NOT(ISNUMBER($B776)),NOT(ISNUMBER($B531)),$B531=0),"",$B776/$B531-1)</f>
        <v/>
      </c>
      <c r="H776" s="8" t="str">
        <f aca="false">IF(OR(NOT(ISNUMBER($D776)),NOT(ISNUMBER($D531)),$D531=0),"",$D776/$D531-1)</f>
        <v/>
      </c>
      <c r="I776" s="8" t="str">
        <f aca="false">IF(OR(NOT(ISNUMBER($G776)),NOT(ISNUMBER($H776))),"",$G776-$H776)</f>
        <v/>
      </c>
    </row>
    <row r="777" customFormat="false" ht="15" hidden="false" customHeight="false" outlineLevel="0" collapsed="false">
      <c r="A777" s="5" t="str">
        <f aca="false">IF(NOT(ISNUMBER(Macro_Series!$A777)),"",Macro_Series!$A777)</f>
        <v/>
      </c>
      <c r="B777" s="6" t="str">
        <f aca="false">IF(NOT(ISNUMBER(Macro_Series!$C777)),"",Macro_Series!$C777)</f>
        <v/>
      </c>
      <c r="C777" s="6" t="str">
        <f aca="false">IF(NOT(ISNUMBER(Macro_Series!$E777)),"",Macro_Series!$E777)</f>
        <v/>
      </c>
      <c r="D777" s="7" t="str">
        <f aca="false">IF(OR(NOT(ISNUMBER($B777)),NOT(ISNUMBER($C777)),$C777=0),"",$B777/$C777)</f>
        <v/>
      </c>
      <c r="E777" s="7" t="str">
        <f aca="false">IF(NOT(ISNUMBER(Macro_Series!$H777)),"",Macro_Series!$H777)</f>
        <v/>
      </c>
      <c r="F777" s="7" t="str">
        <f aca="false">IF(OR(NOT(ISNUMBER($D777)),NOT(ISNUMBER($E777)),$E777=0),"",$D777/$E777)</f>
        <v/>
      </c>
      <c r="G777" s="8" t="str">
        <f aca="false">IF(OR(NOT(ISNUMBER($B777)),NOT(ISNUMBER($B532)),$B532=0),"",$B777/$B532-1)</f>
        <v/>
      </c>
      <c r="H777" s="8" t="str">
        <f aca="false">IF(OR(NOT(ISNUMBER($D777)),NOT(ISNUMBER($D532)),$D532=0),"",$D777/$D532-1)</f>
        <v/>
      </c>
      <c r="I777" s="8" t="str">
        <f aca="false">IF(OR(NOT(ISNUMBER($G777)),NOT(ISNUMBER($H777))),"",$G777-$H777)</f>
        <v/>
      </c>
    </row>
    <row r="778" customFormat="false" ht="15" hidden="false" customHeight="false" outlineLevel="0" collapsed="false">
      <c r="A778" s="5" t="str">
        <f aca="false">IF(NOT(ISNUMBER(Macro_Series!$A778)),"",Macro_Series!$A778)</f>
        <v/>
      </c>
      <c r="B778" s="6" t="str">
        <f aca="false">IF(NOT(ISNUMBER(Macro_Series!$C778)),"",Macro_Series!$C778)</f>
        <v/>
      </c>
      <c r="C778" s="6" t="str">
        <f aca="false">IF(NOT(ISNUMBER(Macro_Series!$E778)),"",Macro_Series!$E778)</f>
        <v/>
      </c>
      <c r="D778" s="7" t="str">
        <f aca="false">IF(OR(NOT(ISNUMBER($B778)),NOT(ISNUMBER($C778)),$C778=0),"",$B778/$C778)</f>
        <v/>
      </c>
      <c r="E778" s="7" t="str">
        <f aca="false">IF(NOT(ISNUMBER(Macro_Series!$H778)),"",Macro_Series!$H778)</f>
        <v/>
      </c>
      <c r="F778" s="7" t="str">
        <f aca="false">IF(OR(NOT(ISNUMBER($D778)),NOT(ISNUMBER($E778)),$E778=0),"",$D778/$E778)</f>
        <v/>
      </c>
      <c r="G778" s="8" t="str">
        <f aca="false">IF(OR(NOT(ISNUMBER($B778)),NOT(ISNUMBER($B533)),$B533=0),"",$B778/$B533-1)</f>
        <v/>
      </c>
      <c r="H778" s="8" t="str">
        <f aca="false">IF(OR(NOT(ISNUMBER($D778)),NOT(ISNUMBER($D533)),$D533=0),"",$D778/$D533-1)</f>
        <v/>
      </c>
      <c r="I778" s="8" t="str">
        <f aca="false">IF(OR(NOT(ISNUMBER($G778)),NOT(ISNUMBER($H778))),"",$G778-$H778)</f>
        <v/>
      </c>
    </row>
    <row r="779" customFormat="false" ht="15" hidden="false" customHeight="false" outlineLevel="0" collapsed="false">
      <c r="A779" s="5" t="str">
        <f aca="false">IF(NOT(ISNUMBER(Macro_Series!$A779)),"",Macro_Series!$A779)</f>
        <v/>
      </c>
      <c r="B779" s="6" t="str">
        <f aca="false">IF(NOT(ISNUMBER(Macro_Series!$C779)),"",Macro_Series!$C779)</f>
        <v/>
      </c>
      <c r="C779" s="6" t="str">
        <f aca="false">IF(NOT(ISNUMBER(Macro_Series!$E779)),"",Macro_Series!$E779)</f>
        <v/>
      </c>
      <c r="D779" s="7" t="str">
        <f aca="false">IF(OR(NOT(ISNUMBER($B779)),NOT(ISNUMBER($C779)),$C779=0),"",$B779/$C779)</f>
        <v/>
      </c>
      <c r="E779" s="7" t="str">
        <f aca="false">IF(NOT(ISNUMBER(Macro_Series!$H779)),"",Macro_Series!$H779)</f>
        <v/>
      </c>
      <c r="F779" s="7" t="str">
        <f aca="false">IF(OR(NOT(ISNUMBER($D779)),NOT(ISNUMBER($E779)),$E779=0),"",$D779/$E779)</f>
        <v/>
      </c>
      <c r="G779" s="8" t="str">
        <f aca="false">IF(OR(NOT(ISNUMBER($B779)),NOT(ISNUMBER($B534)),$B534=0),"",$B779/$B534-1)</f>
        <v/>
      </c>
      <c r="H779" s="8" t="str">
        <f aca="false">IF(OR(NOT(ISNUMBER($D779)),NOT(ISNUMBER($D534)),$D534=0),"",$D779/$D534-1)</f>
        <v/>
      </c>
      <c r="I779" s="8" t="str">
        <f aca="false">IF(OR(NOT(ISNUMBER($G779)),NOT(ISNUMBER($H779))),"",$G779-$H779)</f>
        <v/>
      </c>
    </row>
    <row r="780" customFormat="false" ht="15" hidden="false" customHeight="false" outlineLevel="0" collapsed="false">
      <c r="A780" s="5" t="str">
        <f aca="false">IF(NOT(ISNUMBER(Macro_Series!$A780)),"",Macro_Series!$A780)</f>
        <v/>
      </c>
      <c r="B780" s="6" t="str">
        <f aca="false">IF(NOT(ISNUMBER(Macro_Series!$C780)),"",Macro_Series!$C780)</f>
        <v/>
      </c>
      <c r="C780" s="6" t="str">
        <f aca="false">IF(NOT(ISNUMBER(Macro_Series!$E780)),"",Macro_Series!$E780)</f>
        <v/>
      </c>
      <c r="D780" s="7" t="str">
        <f aca="false">IF(OR(NOT(ISNUMBER($B780)),NOT(ISNUMBER($C780)),$C780=0),"",$B780/$C780)</f>
        <v/>
      </c>
      <c r="E780" s="7" t="str">
        <f aca="false">IF(NOT(ISNUMBER(Macro_Series!$H780)),"",Macro_Series!$H780)</f>
        <v/>
      </c>
      <c r="F780" s="7" t="str">
        <f aca="false">IF(OR(NOT(ISNUMBER($D780)),NOT(ISNUMBER($E780)),$E780=0),"",$D780/$E780)</f>
        <v/>
      </c>
      <c r="G780" s="8" t="str">
        <f aca="false">IF(OR(NOT(ISNUMBER($B780)),NOT(ISNUMBER($B535)),$B535=0),"",$B780/$B535-1)</f>
        <v/>
      </c>
      <c r="H780" s="8" t="str">
        <f aca="false">IF(OR(NOT(ISNUMBER($D780)),NOT(ISNUMBER($D535)),$D535=0),"",$D780/$D535-1)</f>
        <v/>
      </c>
      <c r="I780" s="8" t="str">
        <f aca="false">IF(OR(NOT(ISNUMBER($G780)),NOT(ISNUMBER($H780))),"",$G780-$H780)</f>
        <v/>
      </c>
    </row>
    <row r="781" customFormat="false" ht="15" hidden="false" customHeight="false" outlineLevel="0" collapsed="false">
      <c r="A781" s="5" t="str">
        <f aca="false">IF(NOT(ISNUMBER(Macro_Series!$A781)),"",Macro_Series!$A781)</f>
        <v/>
      </c>
      <c r="B781" s="6" t="str">
        <f aca="false">IF(NOT(ISNUMBER(Macro_Series!$C781)),"",Macro_Series!$C781)</f>
        <v/>
      </c>
      <c r="C781" s="6" t="str">
        <f aca="false">IF(NOT(ISNUMBER(Macro_Series!$E781)),"",Macro_Series!$E781)</f>
        <v/>
      </c>
      <c r="D781" s="7" t="str">
        <f aca="false">IF(OR(NOT(ISNUMBER($B781)),NOT(ISNUMBER($C781)),$C781=0),"",$B781/$C781)</f>
        <v/>
      </c>
      <c r="E781" s="7" t="str">
        <f aca="false">IF(NOT(ISNUMBER(Macro_Series!$H781)),"",Macro_Series!$H781)</f>
        <v/>
      </c>
      <c r="F781" s="7" t="str">
        <f aca="false">IF(OR(NOT(ISNUMBER($D781)),NOT(ISNUMBER($E781)),$E781=0),"",$D781/$E781)</f>
        <v/>
      </c>
      <c r="G781" s="8" t="str">
        <f aca="false">IF(OR(NOT(ISNUMBER($B781)),NOT(ISNUMBER($B536)),$B536=0),"",$B781/$B536-1)</f>
        <v/>
      </c>
      <c r="H781" s="8" t="str">
        <f aca="false">IF(OR(NOT(ISNUMBER($D781)),NOT(ISNUMBER($D536)),$D536=0),"",$D781/$D536-1)</f>
        <v/>
      </c>
      <c r="I781" s="8" t="str">
        <f aca="false">IF(OR(NOT(ISNUMBER($G781)),NOT(ISNUMBER($H781))),"",$G781-$H781)</f>
        <v/>
      </c>
    </row>
    <row r="782" customFormat="false" ht="15" hidden="false" customHeight="false" outlineLevel="0" collapsed="false">
      <c r="A782" s="5" t="str">
        <f aca="false">IF(NOT(ISNUMBER(Macro_Series!$A782)),"",Macro_Series!$A782)</f>
        <v/>
      </c>
      <c r="B782" s="6" t="str">
        <f aca="false">IF(NOT(ISNUMBER(Macro_Series!$C782)),"",Macro_Series!$C782)</f>
        <v/>
      </c>
      <c r="C782" s="6" t="str">
        <f aca="false">IF(NOT(ISNUMBER(Macro_Series!$E782)),"",Macro_Series!$E782)</f>
        <v/>
      </c>
      <c r="D782" s="7" t="str">
        <f aca="false">IF(OR(NOT(ISNUMBER($B782)),NOT(ISNUMBER($C782)),$C782=0),"",$B782/$C782)</f>
        <v/>
      </c>
      <c r="E782" s="7" t="str">
        <f aca="false">IF(NOT(ISNUMBER(Macro_Series!$H782)),"",Macro_Series!$H782)</f>
        <v/>
      </c>
      <c r="F782" s="7" t="str">
        <f aca="false">IF(OR(NOT(ISNUMBER($D782)),NOT(ISNUMBER($E782)),$E782=0),"",$D782/$E782)</f>
        <v/>
      </c>
      <c r="G782" s="8" t="str">
        <f aca="false">IF(OR(NOT(ISNUMBER($B782)),NOT(ISNUMBER($B537)),$B537=0),"",$B782/$B537-1)</f>
        <v/>
      </c>
      <c r="H782" s="8" t="str">
        <f aca="false">IF(OR(NOT(ISNUMBER($D782)),NOT(ISNUMBER($D537)),$D537=0),"",$D782/$D537-1)</f>
        <v/>
      </c>
      <c r="I782" s="8" t="str">
        <f aca="false">IF(OR(NOT(ISNUMBER($G782)),NOT(ISNUMBER($H782))),"",$G782-$H782)</f>
        <v/>
      </c>
    </row>
    <row r="783" customFormat="false" ht="15" hidden="false" customHeight="false" outlineLevel="0" collapsed="false">
      <c r="A783" s="5" t="str">
        <f aca="false">IF(NOT(ISNUMBER(Macro_Series!$A783)),"",Macro_Series!$A783)</f>
        <v/>
      </c>
      <c r="B783" s="6" t="str">
        <f aca="false">IF(NOT(ISNUMBER(Macro_Series!$C783)),"",Macro_Series!$C783)</f>
        <v/>
      </c>
      <c r="C783" s="6" t="str">
        <f aca="false">IF(NOT(ISNUMBER(Macro_Series!$E783)),"",Macro_Series!$E783)</f>
        <v/>
      </c>
      <c r="D783" s="7" t="str">
        <f aca="false">IF(OR(NOT(ISNUMBER($B783)),NOT(ISNUMBER($C783)),$C783=0),"",$B783/$C783)</f>
        <v/>
      </c>
      <c r="E783" s="7" t="str">
        <f aca="false">IF(NOT(ISNUMBER(Macro_Series!$H783)),"",Macro_Series!$H783)</f>
        <v/>
      </c>
      <c r="F783" s="7" t="str">
        <f aca="false">IF(OR(NOT(ISNUMBER($D783)),NOT(ISNUMBER($E783)),$E783=0),"",$D783/$E783)</f>
        <v/>
      </c>
      <c r="G783" s="8" t="str">
        <f aca="false">IF(OR(NOT(ISNUMBER($B783)),NOT(ISNUMBER($B538)),$B538=0),"",$B783/$B538-1)</f>
        <v/>
      </c>
      <c r="H783" s="8" t="str">
        <f aca="false">IF(OR(NOT(ISNUMBER($D783)),NOT(ISNUMBER($D538)),$D538=0),"",$D783/$D538-1)</f>
        <v/>
      </c>
      <c r="I783" s="8" t="str">
        <f aca="false">IF(OR(NOT(ISNUMBER($G783)),NOT(ISNUMBER($H783))),"",$G783-$H783)</f>
        <v/>
      </c>
    </row>
    <row r="784" customFormat="false" ht="15" hidden="false" customHeight="false" outlineLevel="0" collapsed="false">
      <c r="A784" s="5" t="str">
        <f aca="false">IF(NOT(ISNUMBER(Macro_Series!$A784)),"",Macro_Series!$A784)</f>
        <v/>
      </c>
      <c r="B784" s="6" t="str">
        <f aca="false">IF(NOT(ISNUMBER(Macro_Series!$C784)),"",Macro_Series!$C784)</f>
        <v/>
      </c>
      <c r="C784" s="6" t="str">
        <f aca="false">IF(NOT(ISNUMBER(Macro_Series!$E784)),"",Macro_Series!$E784)</f>
        <v/>
      </c>
      <c r="D784" s="7" t="str">
        <f aca="false">IF(OR(NOT(ISNUMBER($B784)),NOT(ISNUMBER($C784)),$C784=0),"",$B784/$C784)</f>
        <v/>
      </c>
      <c r="E784" s="7" t="str">
        <f aca="false">IF(NOT(ISNUMBER(Macro_Series!$H784)),"",Macro_Series!$H784)</f>
        <v/>
      </c>
      <c r="F784" s="7" t="str">
        <f aca="false">IF(OR(NOT(ISNUMBER($D784)),NOT(ISNUMBER($E784)),$E784=0),"",$D784/$E784)</f>
        <v/>
      </c>
      <c r="G784" s="8" t="str">
        <f aca="false">IF(OR(NOT(ISNUMBER($B784)),NOT(ISNUMBER($B539)),$B539=0),"",$B784/$B539-1)</f>
        <v/>
      </c>
      <c r="H784" s="8" t="str">
        <f aca="false">IF(OR(NOT(ISNUMBER($D784)),NOT(ISNUMBER($D539)),$D539=0),"",$D784/$D539-1)</f>
        <v/>
      </c>
      <c r="I784" s="8" t="str">
        <f aca="false">IF(OR(NOT(ISNUMBER($G784)),NOT(ISNUMBER($H784))),"",$G784-$H784)</f>
        <v/>
      </c>
    </row>
    <row r="785" customFormat="false" ht="15" hidden="false" customHeight="false" outlineLevel="0" collapsed="false">
      <c r="A785" s="5" t="str">
        <f aca="false">IF(NOT(ISNUMBER(Macro_Series!$A785)),"",Macro_Series!$A785)</f>
        <v/>
      </c>
      <c r="B785" s="6" t="str">
        <f aca="false">IF(NOT(ISNUMBER(Macro_Series!$C785)),"",Macro_Series!$C785)</f>
        <v/>
      </c>
      <c r="C785" s="6" t="str">
        <f aca="false">IF(NOT(ISNUMBER(Macro_Series!$E785)),"",Macro_Series!$E785)</f>
        <v/>
      </c>
      <c r="D785" s="7" t="str">
        <f aca="false">IF(OR(NOT(ISNUMBER($B785)),NOT(ISNUMBER($C785)),$C785=0),"",$B785/$C785)</f>
        <v/>
      </c>
      <c r="E785" s="7" t="str">
        <f aca="false">IF(NOT(ISNUMBER(Macro_Series!$H785)),"",Macro_Series!$H785)</f>
        <v/>
      </c>
      <c r="F785" s="7" t="str">
        <f aca="false">IF(OR(NOT(ISNUMBER($D785)),NOT(ISNUMBER($E785)),$E785=0),"",$D785/$E785)</f>
        <v/>
      </c>
      <c r="G785" s="8" t="str">
        <f aca="false">IF(OR(NOT(ISNUMBER($B785)),NOT(ISNUMBER($B540)),$B540=0),"",$B785/$B540-1)</f>
        <v/>
      </c>
      <c r="H785" s="8" t="str">
        <f aca="false">IF(OR(NOT(ISNUMBER($D785)),NOT(ISNUMBER($D540)),$D540=0),"",$D785/$D540-1)</f>
        <v/>
      </c>
      <c r="I785" s="8" t="str">
        <f aca="false">IF(OR(NOT(ISNUMBER($G785)),NOT(ISNUMBER($H785))),"",$G785-$H785)</f>
        <v/>
      </c>
    </row>
    <row r="786" customFormat="false" ht="15" hidden="false" customHeight="false" outlineLevel="0" collapsed="false">
      <c r="A786" s="5" t="str">
        <f aca="false">IF(NOT(ISNUMBER(Macro_Series!$A786)),"",Macro_Series!$A786)</f>
        <v/>
      </c>
      <c r="B786" s="6" t="str">
        <f aca="false">IF(NOT(ISNUMBER(Macro_Series!$C786)),"",Macro_Series!$C786)</f>
        <v/>
      </c>
      <c r="C786" s="6" t="str">
        <f aca="false">IF(NOT(ISNUMBER(Macro_Series!$E786)),"",Macro_Series!$E786)</f>
        <v/>
      </c>
      <c r="D786" s="7" t="str">
        <f aca="false">IF(OR(NOT(ISNUMBER($B786)),NOT(ISNUMBER($C786)),$C786=0),"",$B786/$C786)</f>
        <v/>
      </c>
      <c r="E786" s="7" t="str">
        <f aca="false">IF(NOT(ISNUMBER(Macro_Series!$H786)),"",Macro_Series!$H786)</f>
        <v/>
      </c>
      <c r="F786" s="7" t="str">
        <f aca="false">IF(OR(NOT(ISNUMBER($D786)),NOT(ISNUMBER($E786)),$E786=0),"",$D786/$E786)</f>
        <v/>
      </c>
      <c r="G786" s="8" t="str">
        <f aca="false">IF(OR(NOT(ISNUMBER($B786)),NOT(ISNUMBER($B541)),$B541=0),"",$B786/$B541-1)</f>
        <v/>
      </c>
      <c r="H786" s="8" t="str">
        <f aca="false">IF(OR(NOT(ISNUMBER($D786)),NOT(ISNUMBER($D541)),$D541=0),"",$D786/$D541-1)</f>
        <v/>
      </c>
      <c r="I786" s="8" t="str">
        <f aca="false">IF(OR(NOT(ISNUMBER($G786)),NOT(ISNUMBER($H786))),"",$G786-$H786)</f>
        <v/>
      </c>
    </row>
    <row r="787" customFormat="false" ht="15" hidden="false" customHeight="false" outlineLevel="0" collapsed="false">
      <c r="A787" s="5" t="str">
        <f aca="false">IF(NOT(ISNUMBER(Macro_Series!$A787)),"",Macro_Series!$A787)</f>
        <v/>
      </c>
      <c r="B787" s="6" t="str">
        <f aca="false">IF(NOT(ISNUMBER(Macro_Series!$C787)),"",Macro_Series!$C787)</f>
        <v/>
      </c>
      <c r="C787" s="6" t="str">
        <f aca="false">IF(NOT(ISNUMBER(Macro_Series!$E787)),"",Macro_Series!$E787)</f>
        <v/>
      </c>
      <c r="D787" s="7" t="str">
        <f aca="false">IF(OR(NOT(ISNUMBER($B787)),NOT(ISNUMBER($C787)),$C787=0),"",$B787/$C787)</f>
        <v/>
      </c>
      <c r="E787" s="7" t="str">
        <f aca="false">IF(NOT(ISNUMBER(Macro_Series!$H787)),"",Macro_Series!$H787)</f>
        <v/>
      </c>
      <c r="F787" s="7" t="str">
        <f aca="false">IF(OR(NOT(ISNUMBER($D787)),NOT(ISNUMBER($E787)),$E787=0),"",$D787/$E787)</f>
        <v/>
      </c>
      <c r="G787" s="8" t="str">
        <f aca="false">IF(OR(NOT(ISNUMBER($B787)),NOT(ISNUMBER($B542)),$B542=0),"",$B787/$B542-1)</f>
        <v/>
      </c>
      <c r="H787" s="8" t="str">
        <f aca="false">IF(OR(NOT(ISNUMBER($D787)),NOT(ISNUMBER($D542)),$D542=0),"",$D787/$D542-1)</f>
        <v/>
      </c>
      <c r="I787" s="8" t="str">
        <f aca="false">IF(OR(NOT(ISNUMBER($G787)),NOT(ISNUMBER($H787))),"",$G787-$H787)</f>
        <v/>
      </c>
    </row>
    <row r="788" customFormat="false" ht="15" hidden="false" customHeight="false" outlineLevel="0" collapsed="false">
      <c r="A788" s="5" t="str">
        <f aca="false">IF(NOT(ISNUMBER(Macro_Series!$A788)),"",Macro_Series!$A788)</f>
        <v/>
      </c>
      <c r="B788" s="6" t="str">
        <f aca="false">IF(NOT(ISNUMBER(Macro_Series!$C788)),"",Macro_Series!$C788)</f>
        <v/>
      </c>
      <c r="C788" s="6" t="str">
        <f aca="false">IF(NOT(ISNUMBER(Macro_Series!$E788)),"",Macro_Series!$E788)</f>
        <v/>
      </c>
      <c r="D788" s="7" t="str">
        <f aca="false">IF(OR(NOT(ISNUMBER($B788)),NOT(ISNUMBER($C788)),$C788=0),"",$B788/$C788)</f>
        <v/>
      </c>
      <c r="E788" s="7" t="str">
        <f aca="false">IF(NOT(ISNUMBER(Macro_Series!$H788)),"",Macro_Series!$H788)</f>
        <v/>
      </c>
      <c r="F788" s="7" t="str">
        <f aca="false">IF(OR(NOT(ISNUMBER($D788)),NOT(ISNUMBER($E788)),$E788=0),"",$D788/$E788)</f>
        <v/>
      </c>
      <c r="G788" s="8" t="str">
        <f aca="false">IF(OR(NOT(ISNUMBER($B788)),NOT(ISNUMBER($B543)),$B543=0),"",$B788/$B543-1)</f>
        <v/>
      </c>
      <c r="H788" s="8" t="str">
        <f aca="false">IF(OR(NOT(ISNUMBER($D788)),NOT(ISNUMBER($D543)),$D543=0),"",$D788/$D543-1)</f>
        <v/>
      </c>
      <c r="I788" s="8" t="str">
        <f aca="false">IF(OR(NOT(ISNUMBER($G788)),NOT(ISNUMBER($H788))),"",$G788-$H788)</f>
        <v/>
      </c>
    </row>
    <row r="789" customFormat="false" ht="15" hidden="false" customHeight="false" outlineLevel="0" collapsed="false">
      <c r="A789" s="5" t="str">
        <f aca="false">IF(NOT(ISNUMBER(Macro_Series!$A789)),"",Macro_Series!$A789)</f>
        <v/>
      </c>
      <c r="B789" s="6" t="str">
        <f aca="false">IF(NOT(ISNUMBER(Macro_Series!$C789)),"",Macro_Series!$C789)</f>
        <v/>
      </c>
      <c r="C789" s="6" t="str">
        <f aca="false">IF(NOT(ISNUMBER(Macro_Series!$E789)),"",Macro_Series!$E789)</f>
        <v/>
      </c>
      <c r="D789" s="7" t="str">
        <f aca="false">IF(OR(NOT(ISNUMBER($B789)),NOT(ISNUMBER($C789)),$C789=0),"",$B789/$C789)</f>
        <v/>
      </c>
      <c r="E789" s="7" t="str">
        <f aca="false">IF(NOT(ISNUMBER(Macro_Series!$H789)),"",Macro_Series!$H789)</f>
        <v/>
      </c>
      <c r="F789" s="7" t="str">
        <f aca="false">IF(OR(NOT(ISNUMBER($D789)),NOT(ISNUMBER($E789)),$E789=0),"",$D789/$E789)</f>
        <v/>
      </c>
      <c r="G789" s="8" t="str">
        <f aca="false">IF(OR(NOT(ISNUMBER($B789)),NOT(ISNUMBER($B544)),$B544=0),"",$B789/$B544-1)</f>
        <v/>
      </c>
      <c r="H789" s="8" t="str">
        <f aca="false">IF(OR(NOT(ISNUMBER($D789)),NOT(ISNUMBER($D544)),$D544=0),"",$D789/$D544-1)</f>
        <v/>
      </c>
      <c r="I789" s="8" t="str">
        <f aca="false">IF(OR(NOT(ISNUMBER($G789)),NOT(ISNUMBER($H789))),"",$G789-$H789)</f>
        <v/>
      </c>
    </row>
    <row r="790" customFormat="false" ht="15" hidden="false" customHeight="false" outlineLevel="0" collapsed="false">
      <c r="A790" s="5" t="str">
        <f aca="false">IF(NOT(ISNUMBER(Macro_Series!$A790)),"",Macro_Series!$A790)</f>
        <v/>
      </c>
      <c r="B790" s="6" t="str">
        <f aca="false">IF(NOT(ISNUMBER(Macro_Series!$C790)),"",Macro_Series!$C790)</f>
        <v/>
      </c>
      <c r="C790" s="6" t="str">
        <f aca="false">IF(NOT(ISNUMBER(Macro_Series!$E790)),"",Macro_Series!$E790)</f>
        <v/>
      </c>
      <c r="D790" s="7" t="str">
        <f aca="false">IF(OR(NOT(ISNUMBER($B790)),NOT(ISNUMBER($C790)),$C790=0),"",$B790/$C790)</f>
        <v/>
      </c>
      <c r="E790" s="7" t="str">
        <f aca="false">IF(NOT(ISNUMBER(Macro_Series!$H790)),"",Macro_Series!$H790)</f>
        <v/>
      </c>
      <c r="F790" s="7" t="str">
        <f aca="false">IF(OR(NOT(ISNUMBER($D790)),NOT(ISNUMBER($E790)),$E790=0),"",$D790/$E790)</f>
        <v/>
      </c>
      <c r="G790" s="8" t="str">
        <f aca="false">IF(OR(NOT(ISNUMBER($B790)),NOT(ISNUMBER($B545)),$B545=0),"",$B790/$B545-1)</f>
        <v/>
      </c>
      <c r="H790" s="8" t="str">
        <f aca="false">IF(OR(NOT(ISNUMBER($D790)),NOT(ISNUMBER($D545)),$D545=0),"",$D790/$D545-1)</f>
        <v/>
      </c>
      <c r="I790" s="8" t="str">
        <f aca="false">IF(OR(NOT(ISNUMBER($G790)),NOT(ISNUMBER($H790))),"",$G790-$H790)</f>
        <v/>
      </c>
    </row>
    <row r="791" customFormat="false" ht="15" hidden="false" customHeight="false" outlineLevel="0" collapsed="false">
      <c r="A791" s="5" t="str">
        <f aca="false">IF(NOT(ISNUMBER(Macro_Series!$A791)),"",Macro_Series!$A791)</f>
        <v/>
      </c>
      <c r="B791" s="6" t="str">
        <f aca="false">IF(NOT(ISNUMBER(Macro_Series!$C791)),"",Macro_Series!$C791)</f>
        <v/>
      </c>
      <c r="C791" s="6" t="str">
        <f aca="false">IF(NOT(ISNUMBER(Macro_Series!$E791)),"",Macro_Series!$E791)</f>
        <v/>
      </c>
      <c r="D791" s="7" t="str">
        <f aca="false">IF(OR(NOT(ISNUMBER($B791)),NOT(ISNUMBER($C791)),$C791=0),"",$B791/$C791)</f>
        <v/>
      </c>
      <c r="E791" s="7" t="str">
        <f aca="false">IF(NOT(ISNUMBER(Macro_Series!$H791)),"",Macro_Series!$H791)</f>
        <v/>
      </c>
      <c r="F791" s="7" t="str">
        <f aca="false">IF(OR(NOT(ISNUMBER($D791)),NOT(ISNUMBER($E791)),$E791=0),"",$D791/$E791)</f>
        <v/>
      </c>
      <c r="G791" s="8" t="str">
        <f aca="false">IF(OR(NOT(ISNUMBER($B791)),NOT(ISNUMBER($B546)),$B546=0),"",$B791/$B546-1)</f>
        <v/>
      </c>
      <c r="H791" s="8" t="str">
        <f aca="false">IF(OR(NOT(ISNUMBER($D791)),NOT(ISNUMBER($D546)),$D546=0),"",$D791/$D546-1)</f>
        <v/>
      </c>
      <c r="I791" s="8" t="str">
        <f aca="false">IF(OR(NOT(ISNUMBER($G791)),NOT(ISNUMBER($H791))),"",$G791-$H791)</f>
        <v/>
      </c>
    </row>
    <row r="792" customFormat="false" ht="15" hidden="false" customHeight="false" outlineLevel="0" collapsed="false">
      <c r="A792" s="5" t="str">
        <f aca="false">IF(NOT(ISNUMBER(Macro_Series!$A792)),"",Macro_Series!$A792)</f>
        <v/>
      </c>
      <c r="B792" s="6" t="str">
        <f aca="false">IF(NOT(ISNUMBER(Macro_Series!$C792)),"",Macro_Series!$C792)</f>
        <v/>
      </c>
      <c r="C792" s="6" t="str">
        <f aca="false">IF(NOT(ISNUMBER(Macro_Series!$E792)),"",Macro_Series!$E792)</f>
        <v/>
      </c>
      <c r="D792" s="7" t="str">
        <f aca="false">IF(OR(NOT(ISNUMBER($B792)),NOT(ISNUMBER($C792)),$C792=0),"",$B792/$C792)</f>
        <v/>
      </c>
      <c r="E792" s="7" t="str">
        <f aca="false">IF(NOT(ISNUMBER(Macro_Series!$H792)),"",Macro_Series!$H792)</f>
        <v/>
      </c>
      <c r="F792" s="7" t="str">
        <f aca="false">IF(OR(NOT(ISNUMBER($D792)),NOT(ISNUMBER($E792)),$E792=0),"",$D792/$E792)</f>
        <v/>
      </c>
      <c r="G792" s="8" t="str">
        <f aca="false">IF(OR(NOT(ISNUMBER($B792)),NOT(ISNUMBER($B547)),$B547=0),"",$B792/$B547-1)</f>
        <v/>
      </c>
      <c r="H792" s="8" t="str">
        <f aca="false">IF(OR(NOT(ISNUMBER($D792)),NOT(ISNUMBER($D547)),$D547=0),"",$D792/$D547-1)</f>
        <v/>
      </c>
      <c r="I792" s="8" t="str">
        <f aca="false">IF(OR(NOT(ISNUMBER($G792)),NOT(ISNUMBER($H792))),"",$G792-$H792)</f>
        <v/>
      </c>
    </row>
    <row r="793" customFormat="false" ht="15" hidden="false" customHeight="false" outlineLevel="0" collapsed="false">
      <c r="A793" s="5" t="str">
        <f aca="false">IF(NOT(ISNUMBER(Macro_Series!$A793)),"",Macro_Series!$A793)</f>
        <v/>
      </c>
      <c r="B793" s="6" t="str">
        <f aca="false">IF(NOT(ISNUMBER(Macro_Series!$C793)),"",Macro_Series!$C793)</f>
        <v/>
      </c>
      <c r="C793" s="6" t="str">
        <f aca="false">IF(NOT(ISNUMBER(Macro_Series!$E793)),"",Macro_Series!$E793)</f>
        <v/>
      </c>
      <c r="D793" s="7" t="str">
        <f aca="false">IF(OR(NOT(ISNUMBER($B793)),NOT(ISNUMBER($C793)),$C793=0),"",$B793/$C793)</f>
        <v/>
      </c>
      <c r="E793" s="7" t="str">
        <f aca="false">IF(NOT(ISNUMBER(Macro_Series!$H793)),"",Macro_Series!$H793)</f>
        <v/>
      </c>
      <c r="F793" s="7" t="str">
        <f aca="false">IF(OR(NOT(ISNUMBER($D793)),NOT(ISNUMBER($E793)),$E793=0),"",$D793/$E793)</f>
        <v/>
      </c>
      <c r="G793" s="8" t="str">
        <f aca="false">IF(OR(NOT(ISNUMBER($B793)),NOT(ISNUMBER($B548)),$B548=0),"",$B793/$B548-1)</f>
        <v/>
      </c>
      <c r="H793" s="8" t="str">
        <f aca="false">IF(OR(NOT(ISNUMBER($D793)),NOT(ISNUMBER($D548)),$D548=0),"",$D793/$D548-1)</f>
        <v/>
      </c>
      <c r="I793" s="8" t="str">
        <f aca="false">IF(OR(NOT(ISNUMBER($G793)),NOT(ISNUMBER($H793))),"",$G793-$H793)</f>
        <v/>
      </c>
    </row>
    <row r="794" customFormat="false" ht="15" hidden="false" customHeight="false" outlineLevel="0" collapsed="false">
      <c r="A794" s="5" t="str">
        <f aca="false">IF(NOT(ISNUMBER(Macro_Series!$A794)),"",Macro_Series!$A794)</f>
        <v/>
      </c>
      <c r="B794" s="6" t="str">
        <f aca="false">IF(NOT(ISNUMBER(Macro_Series!$C794)),"",Macro_Series!$C794)</f>
        <v/>
      </c>
      <c r="C794" s="6" t="str">
        <f aca="false">IF(NOT(ISNUMBER(Macro_Series!$E794)),"",Macro_Series!$E794)</f>
        <v/>
      </c>
      <c r="D794" s="7" t="str">
        <f aca="false">IF(OR(NOT(ISNUMBER($B794)),NOT(ISNUMBER($C794)),$C794=0),"",$B794/$C794)</f>
        <v/>
      </c>
      <c r="E794" s="7" t="str">
        <f aca="false">IF(NOT(ISNUMBER(Macro_Series!$H794)),"",Macro_Series!$H794)</f>
        <v/>
      </c>
      <c r="F794" s="7" t="str">
        <f aca="false">IF(OR(NOT(ISNUMBER($D794)),NOT(ISNUMBER($E794)),$E794=0),"",$D794/$E794)</f>
        <v/>
      </c>
      <c r="G794" s="8" t="str">
        <f aca="false">IF(OR(NOT(ISNUMBER($B794)),NOT(ISNUMBER($B549)),$B549=0),"",$B794/$B549-1)</f>
        <v/>
      </c>
      <c r="H794" s="8" t="str">
        <f aca="false">IF(OR(NOT(ISNUMBER($D794)),NOT(ISNUMBER($D549)),$D549=0),"",$D794/$D549-1)</f>
        <v/>
      </c>
      <c r="I794" s="8" t="str">
        <f aca="false">IF(OR(NOT(ISNUMBER($G794)),NOT(ISNUMBER($H794))),"",$G794-$H794)</f>
        <v/>
      </c>
    </row>
    <row r="795" customFormat="false" ht="15" hidden="false" customHeight="false" outlineLevel="0" collapsed="false">
      <c r="A795" s="5" t="str">
        <f aca="false">IF(NOT(ISNUMBER(Macro_Series!$A795)),"",Macro_Series!$A795)</f>
        <v/>
      </c>
      <c r="B795" s="6" t="str">
        <f aca="false">IF(NOT(ISNUMBER(Macro_Series!$C795)),"",Macro_Series!$C795)</f>
        <v/>
      </c>
      <c r="C795" s="6" t="str">
        <f aca="false">IF(NOT(ISNUMBER(Macro_Series!$E795)),"",Macro_Series!$E795)</f>
        <v/>
      </c>
      <c r="D795" s="7" t="str">
        <f aca="false">IF(OR(NOT(ISNUMBER($B795)),NOT(ISNUMBER($C795)),$C795=0),"",$B795/$C795)</f>
        <v/>
      </c>
      <c r="E795" s="7" t="str">
        <f aca="false">IF(NOT(ISNUMBER(Macro_Series!$H795)),"",Macro_Series!$H795)</f>
        <v/>
      </c>
      <c r="F795" s="7" t="str">
        <f aca="false">IF(OR(NOT(ISNUMBER($D795)),NOT(ISNUMBER($E795)),$E795=0),"",$D795/$E795)</f>
        <v/>
      </c>
      <c r="G795" s="8" t="str">
        <f aca="false">IF(OR(NOT(ISNUMBER($B795)),NOT(ISNUMBER($B550)),$B550=0),"",$B795/$B550-1)</f>
        <v/>
      </c>
      <c r="H795" s="8" t="str">
        <f aca="false">IF(OR(NOT(ISNUMBER($D795)),NOT(ISNUMBER($D550)),$D550=0),"",$D795/$D550-1)</f>
        <v/>
      </c>
      <c r="I795" s="8" t="str">
        <f aca="false">IF(OR(NOT(ISNUMBER($G795)),NOT(ISNUMBER($H795))),"",$G795-$H795)</f>
        <v/>
      </c>
    </row>
    <row r="796" customFormat="false" ht="15" hidden="false" customHeight="false" outlineLevel="0" collapsed="false">
      <c r="A796" s="5" t="str">
        <f aca="false">IF(NOT(ISNUMBER(Macro_Series!$A796)),"",Macro_Series!$A796)</f>
        <v/>
      </c>
      <c r="B796" s="6" t="str">
        <f aca="false">IF(NOT(ISNUMBER(Macro_Series!$C796)),"",Macro_Series!$C796)</f>
        <v/>
      </c>
      <c r="C796" s="6" t="str">
        <f aca="false">IF(NOT(ISNUMBER(Macro_Series!$E796)),"",Macro_Series!$E796)</f>
        <v/>
      </c>
      <c r="D796" s="7" t="str">
        <f aca="false">IF(OR(NOT(ISNUMBER($B796)),NOT(ISNUMBER($C796)),$C796=0),"",$B796/$C796)</f>
        <v/>
      </c>
      <c r="E796" s="7" t="str">
        <f aca="false">IF(NOT(ISNUMBER(Macro_Series!$H796)),"",Macro_Series!$H796)</f>
        <v/>
      </c>
      <c r="F796" s="7" t="str">
        <f aca="false">IF(OR(NOT(ISNUMBER($D796)),NOT(ISNUMBER($E796)),$E796=0),"",$D796/$E796)</f>
        <v/>
      </c>
      <c r="G796" s="8" t="str">
        <f aca="false">IF(OR(NOT(ISNUMBER($B796)),NOT(ISNUMBER($B551)),$B551=0),"",$B796/$B551-1)</f>
        <v/>
      </c>
      <c r="H796" s="8" t="str">
        <f aca="false">IF(OR(NOT(ISNUMBER($D796)),NOT(ISNUMBER($D551)),$D551=0),"",$D796/$D551-1)</f>
        <v/>
      </c>
      <c r="I796" s="8" t="str">
        <f aca="false">IF(OR(NOT(ISNUMBER($G796)),NOT(ISNUMBER($H796))),"",$G796-$H796)</f>
        <v/>
      </c>
    </row>
    <row r="797" customFormat="false" ht="15" hidden="false" customHeight="false" outlineLevel="0" collapsed="false">
      <c r="A797" s="5" t="str">
        <f aca="false">IF(NOT(ISNUMBER(Macro_Series!$A797)),"",Macro_Series!$A797)</f>
        <v/>
      </c>
      <c r="B797" s="6" t="str">
        <f aca="false">IF(NOT(ISNUMBER(Macro_Series!$C797)),"",Macro_Series!$C797)</f>
        <v/>
      </c>
      <c r="C797" s="6" t="str">
        <f aca="false">IF(NOT(ISNUMBER(Macro_Series!$E797)),"",Macro_Series!$E797)</f>
        <v/>
      </c>
      <c r="D797" s="7" t="str">
        <f aca="false">IF(OR(NOT(ISNUMBER($B797)),NOT(ISNUMBER($C797)),$C797=0),"",$B797/$C797)</f>
        <v/>
      </c>
      <c r="E797" s="7" t="str">
        <f aca="false">IF(NOT(ISNUMBER(Macro_Series!$H797)),"",Macro_Series!$H797)</f>
        <v/>
      </c>
      <c r="F797" s="7" t="str">
        <f aca="false">IF(OR(NOT(ISNUMBER($D797)),NOT(ISNUMBER($E797)),$E797=0),"",$D797/$E797)</f>
        <v/>
      </c>
      <c r="G797" s="8" t="str">
        <f aca="false">IF(OR(NOT(ISNUMBER($B797)),NOT(ISNUMBER($B552)),$B552=0),"",$B797/$B552-1)</f>
        <v/>
      </c>
      <c r="H797" s="8" t="str">
        <f aca="false">IF(OR(NOT(ISNUMBER($D797)),NOT(ISNUMBER($D552)),$D552=0),"",$D797/$D552-1)</f>
        <v/>
      </c>
      <c r="I797" s="8" t="str">
        <f aca="false">IF(OR(NOT(ISNUMBER($G797)),NOT(ISNUMBER($H797))),"",$G797-$H797)</f>
        <v/>
      </c>
    </row>
    <row r="798" customFormat="false" ht="15" hidden="false" customHeight="false" outlineLevel="0" collapsed="false">
      <c r="A798" s="5" t="str">
        <f aca="false">IF(NOT(ISNUMBER(Macro_Series!$A798)),"",Macro_Series!$A798)</f>
        <v/>
      </c>
      <c r="B798" s="6" t="str">
        <f aca="false">IF(NOT(ISNUMBER(Macro_Series!$C798)),"",Macro_Series!$C798)</f>
        <v/>
      </c>
      <c r="C798" s="6" t="str">
        <f aca="false">IF(NOT(ISNUMBER(Macro_Series!$E798)),"",Macro_Series!$E798)</f>
        <v/>
      </c>
      <c r="D798" s="7" t="str">
        <f aca="false">IF(OR(NOT(ISNUMBER($B798)),NOT(ISNUMBER($C798)),$C798=0),"",$B798/$C798)</f>
        <v/>
      </c>
      <c r="E798" s="7" t="str">
        <f aca="false">IF(NOT(ISNUMBER(Macro_Series!$H798)),"",Macro_Series!$H798)</f>
        <v/>
      </c>
      <c r="F798" s="7" t="str">
        <f aca="false">IF(OR(NOT(ISNUMBER($D798)),NOT(ISNUMBER($E798)),$E798=0),"",$D798/$E798)</f>
        <v/>
      </c>
      <c r="G798" s="8" t="str">
        <f aca="false">IF(OR(NOT(ISNUMBER($B798)),NOT(ISNUMBER($B553)),$B553=0),"",$B798/$B553-1)</f>
        <v/>
      </c>
      <c r="H798" s="8" t="str">
        <f aca="false">IF(OR(NOT(ISNUMBER($D798)),NOT(ISNUMBER($D553)),$D553=0),"",$D798/$D553-1)</f>
        <v/>
      </c>
      <c r="I798" s="8" t="str">
        <f aca="false">IF(OR(NOT(ISNUMBER($G798)),NOT(ISNUMBER($H798))),"",$G798-$H798)</f>
        <v/>
      </c>
    </row>
    <row r="799" customFormat="false" ht="15" hidden="false" customHeight="false" outlineLevel="0" collapsed="false">
      <c r="A799" s="5" t="str">
        <f aca="false">IF(NOT(ISNUMBER(Macro_Series!$A799)),"",Macro_Series!$A799)</f>
        <v/>
      </c>
      <c r="B799" s="6" t="str">
        <f aca="false">IF(NOT(ISNUMBER(Macro_Series!$C799)),"",Macro_Series!$C799)</f>
        <v/>
      </c>
      <c r="C799" s="6" t="str">
        <f aca="false">IF(NOT(ISNUMBER(Macro_Series!$E799)),"",Macro_Series!$E799)</f>
        <v/>
      </c>
      <c r="D799" s="7" t="str">
        <f aca="false">IF(OR(NOT(ISNUMBER($B799)),NOT(ISNUMBER($C799)),$C799=0),"",$B799/$C799)</f>
        <v/>
      </c>
      <c r="E799" s="7" t="str">
        <f aca="false">IF(NOT(ISNUMBER(Macro_Series!$H799)),"",Macro_Series!$H799)</f>
        <v/>
      </c>
      <c r="F799" s="7" t="str">
        <f aca="false">IF(OR(NOT(ISNUMBER($D799)),NOT(ISNUMBER($E799)),$E799=0),"",$D799/$E799)</f>
        <v/>
      </c>
      <c r="G799" s="8" t="str">
        <f aca="false">IF(OR(NOT(ISNUMBER($B799)),NOT(ISNUMBER($B554)),$B554=0),"",$B799/$B554-1)</f>
        <v/>
      </c>
      <c r="H799" s="8" t="str">
        <f aca="false">IF(OR(NOT(ISNUMBER($D799)),NOT(ISNUMBER($D554)),$D554=0),"",$D799/$D554-1)</f>
        <v/>
      </c>
      <c r="I799" s="8" t="str">
        <f aca="false">IF(OR(NOT(ISNUMBER($G799)),NOT(ISNUMBER($H799))),"",$G799-$H799)</f>
        <v/>
      </c>
    </row>
    <row r="800" customFormat="false" ht="15" hidden="false" customHeight="false" outlineLevel="0" collapsed="false">
      <c r="A800" s="5" t="str">
        <f aca="false">IF(NOT(ISNUMBER(Macro_Series!$A800)),"",Macro_Series!$A800)</f>
        <v/>
      </c>
      <c r="B800" s="6" t="str">
        <f aca="false">IF(NOT(ISNUMBER(Macro_Series!$C800)),"",Macro_Series!$C800)</f>
        <v/>
      </c>
      <c r="C800" s="6" t="str">
        <f aca="false">IF(NOT(ISNUMBER(Macro_Series!$E800)),"",Macro_Series!$E800)</f>
        <v/>
      </c>
      <c r="D800" s="7" t="str">
        <f aca="false">IF(OR(NOT(ISNUMBER($B800)),NOT(ISNUMBER($C800)),$C800=0),"",$B800/$C800)</f>
        <v/>
      </c>
      <c r="E800" s="7" t="str">
        <f aca="false">IF(NOT(ISNUMBER(Macro_Series!$H800)),"",Macro_Series!$H800)</f>
        <v/>
      </c>
      <c r="F800" s="7" t="str">
        <f aca="false">IF(OR(NOT(ISNUMBER($D800)),NOT(ISNUMBER($E800)),$E800=0),"",$D800/$E800)</f>
        <v/>
      </c>
      <c r="G800" s="8" t="str">
        <f aca="false">IF(OR(NOT(ISNUMBER($B800)),NOT(ISNUMBER($B555)),$B555=0),"",$B800/$B555-1)</f>
        <v/>
      </c>
      <c r="H800" s="8" t="str">
        <f aca="false">IF(OR(NOT(ISNUMBER($D800)),NOT(ISNUMBER($D555)),$D555=0),"",$D800/$D555-1)</f>
        <v/>
      </c>
      <c r="I800" s="8" t="str">
        <f aca="false">IF(OR(NOT(ISNUMBER($G800)),NOT(ISNUMBER($H800))),"",$G800-$H800)</f>
        <v/>
      </c>
    </row>
    <row r="801" customFormat="false" ht="15" hidden="false" customHeight="false" outlineLevel="0" collapsed="false">
      <c r="A801" s="5" t="str">
        <f aca="false">IF(NOT(ISNUMBER(Macro_Series!$A801)),"",Macro_Series!$A801)</f>
        <v/>
      </c>
      <c r="B801" s="6" t="str">
        <f aca="false">IF(NOT(ISNUMBER(Macro_Series!$C801)),"",Macro_Series!$C801)</f>
        <v/>
      </c>
      <c r="C801" s="6" t="str">
        <f aca="false">IF(NOT(ISNUMBER(Macro_Series!$E801)),"",Macro_Series!$E801)</f>
        <v/>
      </c>
      <c r="D801" s="7" t="str">
        <f aca="false">IF(OR(NOT(ISNUMBER($B801)),NOT(ISNUMBER($C801)),$C801=0),"",$B801/$C801)</f>
        <v/>
      </c>
      <c r="E801" s="7" t="str">
        <f aca="false">IF(NOT(ISNUMBER(Macro_Series!$H801)),"",Macro_Series!$H801)</f>
        <v/>
      </c>
      <c r="F801" s="7" t="str">
        <f aca="false">IF(OR(NOT(ISNUMBER($D801)),NOT(ISNUMBER($E801)),$E801=0),"",$D801/$E801)</f>
        <v/>
      </c>
      <c r="G801" s="8" t="str">
        <f aca="false">IF(OR(NOT(ISNUMBER($B801)),NOT(ISNUMBER($B556)),$B556=0),"",$B801/$B556-1)</f>
        <v/>
      </c>
      <c r="H801" s="8" t="str">
        <f aca="false">IF(OR(NOT(ISNUMBER($D801)),NOT(ISNUMBER($D556)),$D556=0),"",$D801/$D556-1)</f>
        <v/>
      </c>
      <c r="I801" s="8" t="str">
        <f aca="false">IF(OR(NOT(ISNUMBER($G801)),NOT(ISNUMBER($H801))),"",$G801-$H801)</f>
        <v/>
      </c>
    </row>
    <row r="802" customFormat="false" ht="15" hidden="false" customHeight="false" outlineLevel="0" collapsed="false">
      <c r="A802" s="5" t="str">
        <f aca="false">IF(NOT(ISNUMBER(Macro_Series!$A802)),"",Macro_Series!$A802)</f>
        <v/>
      </c>
      <c r="B802" s="6" t="str">
        <f aca="false">IF(NOT(ISNUMBER(Macro_Series!$C802)),"",Macro_Series!$C802)</f>
        <v/>
      </c>
      <c r="C802" s="6" t="str">
        <f aca="false">IF(NOT(ISNUMBER(Macro_Series!$E802)),"",Macro_Series!$E802)</f>
        <v/>
      </c>
      <c r="D802" s="7" t="str">
        <f aca="false">IF(OR(NOT(ISNUMBER($B802)),NOT(ISNUMBER($C802)),$C802=0),"",$B802/$C802)</f>
        <v/>
      </c>
      <c r="E802" s="7" t="str">
        <f aca="false">IF(NOT(ISNUMBER(Macro_Series!$H802)),"",Macro_Series!$H802)</f>
        <v/>
      </c>
      <c r="F802" s="7" t="str">
        <f aca="false">IF(OR(NOT(ISNUMBER($D802)),NOT(ISNUMBER($E802)),$E802=0),"",$D802/$E802)</f>
        <v/>
      </c>
      <c r="G802" s="8" t="str">
        <f aca="false">IF(OR(NOT(ISNUMBER($B802)),NOT(ISNUMBER($B557)),$B557=0),"",$B802/$B557-1)</f>
        <v/>
      </c>
      <c r="H802" s="8" t="str">
        <f aca="false">IF(OR(NOT(ISNUMBER($D802)),NOT(ISNUMBER($D557)),$D557=0),"",$D802/$D557-1)</f>
        <v/>
      </c>
      <c r="I802" s="8" t="str">
        <f aca="false">IF(OR(NOT(ISNUMBER($G802)),NOT(ISNUMBER($H802))),"",$G802-$H802)</f>
        <v/>
      </c>
    </row>
    <row r="803" customFormat="false" ht="15" hidden="false" customHeight="false" outlineLevel="0" collapsed="false">
      <c r="A803" s="5" t="str">
        <f aca="false">IF(NOT(ISNUMBER(Macro_Series!$A803)),"",Macro_Series!$A803)</f>
        <v/>
      </c>
      <c r="B803" s="6" t="str">
        <f aca="false">IF(NOT(ISNUMBER(Macro_Series!$C803)),"",Macro_Series!$C803)</f>
        <v/>
      </c>
      <c r="C803" s="6" t="str">
        <f aca="false">IF(NOT(ISNUMBER(Macro_Series!$E803)),"",Macro_Series!$E803)</f>
        <v/>
      </c>
      <c r="D803" s="7" t="str">
        <f aca="false">IF(OR(NOT(ISNUMBER($B803)),NOT(ISNUMBER($C803)),$C803=0),"",$B803/$C803)</f>
        <v/>
      </c>
      <c r="E803" s="7" t="str">
        <f aca="false">IF(NOT(ISNUMBER(Macro_Series!$H803)),"",Macro_Series!$H803)</f>
        <v/>
      </c>
      <c r="F803" s="7" t="str">
        <f aca="false">IF(OR(NOT(ISNUMBER($D803)),NOT(ISNUMBER($E803)),$E803=0),"",$D803/$E803)</f>
        <v/>
      </c>
      <c r="G803" s="8" t="str">
        <f aca="false">IF(OR(NOT(ISNUMBER($B803)),NOT(ISNUMBER($B558)),$B558=0),"",$B803/$B558-1)</f>
        <v/>
      </c>
      <c r="H803" s="8" t="str">
        <f aca="false">IF(OR(NOT(ISNUMBER($D803)),NOT(ISNUMBER($D558)),$D558=0),"",$D803/$D558-1)</f>
        <v/>
      </c>
      <c r="I803" s="8" t="str">
        <f aca="false">IF(OR(NOT(ISNUMBER($G803)),NOT(ISNUMBER($H803))),"",$G803-$H803)</f>
        <v/>
      </c>
    </row>
    <row r="804" customFormat="false" ht="15" hidden="false" customHeight="false" outlineLevel="0" collapsed="false">
      <c r="A804" s="5" t="str">
        <f aca="false">IF(NOT(ISNUMBER(Macro_Series!$A804)),"",Macro_Series!$A804)</f>
        <v/>
      </c>
      <c r="B804" s="6" t="str">
        <f aca="false">IF(NOT(ISNUMBER(Macro_Series!$C804)),"",Macro_Series!$C804)</f>
        <v/>
      </c>
      <c r="C804" s="6" t="str">
        <f aca="false">IF(NOT(ISNUMBER(Macro_Series!$E804)),"",Macro_Series!$E804)</f>
        <v/>
      </c>
      <c r="D804" s="7" t="str">
        <f aca="false">IF(OR(NOT(ISNUMBER($B804)),NOT(ISNUMBER($C804)),$C804=0),"",$B804/$C804)</f>
        <v/>
      </c>
      <c r="E804" s="7" t="str">
        <f aca="false">IF(NOT(ISNUMBER(Macro_Series!$H804)),"",Macro_Series!$H804)</f>
        <v/>
      </c>
      <c r="F804" s="7" t="str">
        <f aca="false">IF(OR(NOT(ISNUMBER($D804)),NOT(ISNUMBER($E804)),$E804=0),"",$D804/$E804)</f>
        <v/>
      </c>
      <c r="G804" s="8" t="str">
        <f aca="false">IF(OR(NOT(ISNUMBER($B804)),NOT(ISNUMBER($B559)),$B559=0),"",$B804/$B559-1)</f>
        <v/>
      </c>
      <c r="H804" s="8" t="str">
        <f aca="false">IF(OR(NOT(ISNUMBER($D804)),NOT(ISNUMBER($D559)),$D559=0),"",$D804/$D559-1)</f>
        <v/>
      </c>
      <c r="I804" s="8" t="str">
        <f aca="false">IF(OR(NOT(ISNUMBER($G804)),NOT(ISNUMBER($H804))),"",$G804-$H804)</f>
        <v/>
      </c>
    </row>
    <row r="805" customFormat="false" ht="15" hidden="false" customHeight="false" outlineLevel="0" collapsed="false">
      <c r="A805" s="5" t="str">
        <f aca="false">IF(NOT(ISNUMBER(Macro_Series!$A805)),"",Macro_Series!$A805)</f>
        <v/>
      </c>
      <c r="B805" s="6" t="str">
        <f aca="false">IF(NOT(ISNUMBER(Macro_Series!$C805)),"",Macro_Series!$C805)</f>
        <v/>
      </c>
      <c r="C805" s="6" t="str">
        <f aca="false">IF(NOT(ISNUMBER(Macro_Series!$E805)),"",Macro_Series!$E805)</f>
        <v/>
      </c>
      <c r="D805" s="7" t="str">
        <f aca="false">IF(OR(NOT(ISNUMBER($B805)),NOT(ISNUMBER($C805)),$C805=0),"",$B805/$C805)</f>
        <v/>
      </c>
      <c r="E805" s="7" t="str">
        <f aca="false">IF(NOT(ISNUMBER(Macro_Series!$H805)),"",Macro_Series!$H805)</f>
        <v/>
      </c>
      <c r="F805" s="7" t="str">
        <f aca="false">IF(OR(NOT(ISNUMBER($D805)),NOT(ISNUMBER($E805)),$E805=0),"",$D805/$E805)</f>
        <v/>
      </c>
      <c r="G805" s="8" t="str">
        <f aca="false">IF(OR(NOT(ISNUMBER($B805)),NOT(ISNUMBER($B560)),$B560=0),"",$B805/$B560-1)</f>
        <v/>
      </c>
      <c r="H805" s="8" t="str">
        <f aca="false">IF(OR(NOT(ISNUMBER($D805)),NOT(ISNUMBER($D560)),$D560=0),"",$D805/$D560-1)</f>
        <v/>
      </c>
      <c r="I805" s="8" t="str">
        <f aca="false">IF(OR(NOT(ISNUMBER($G805)),NOT(ISNUMBER($H805))),"",$G805-$H805)</f>
        <v/>
      </c>
    </row>
    <row r="806" customFormat="false" ht="15" hidden="false" customHeight="false" outlineLevel="0" collapsed="false">
      <c r="A806" s="5" t="str">
        <f aca="false">IF(NOT(ISNUMBER(Macro_Series!$A806)),"",Macro_Series!$A806)</f>
        <v/>
      </c>
      <c r="B806" s="6" t="str">
        <f aca="false">IF(NOT(ISNUMBER(Macro_Series!$C806)),"",Macro_Series!$C806)</f>
        <v/>
      </c>
      <c r="C806" s="6" t="str">
        <f aca="false">IF(NOT(ISNUMBER(Macro_Series!$E806)),"",Macro_Series!$E806)</f>
        <v/>
      </c>
      <c r="D806" s="7" t="str">
        <f aca="false">IF(OR(NOT(ISNUMBER($B806)),NOT(ISNUMBER($C806)),$C806=0),"",$B806/$C806)</f>
        <v/>
      </c>
      <c r="E806" s="7" t="str">
        <f aca="false">IF(NOT(ISNUMBER(Macro_Series!$H806)),"",Macro_Series!$H806)</f>
        <v/>
      </c>
      <c r="F806" s="7" t="str">
        <f aca="false">IF(OR(NOT(ISNUMBER($D806)),NOT(ISNUMBER($E806)),$E806=0),"",$D806/$E806)</f>
        <v/>
      </c>
      <c r="G806" s="8" t="str">
        <f aca="false">IF(OR(NOT(ISNUMBER($B806)),NOT(ISNUMBER($B561)),$B561=0),"",$B806/$B561-1)</f>
        <v/>
      </c>
      <c r="H806" s="8" t="str">
        <f aca="false">IF(OR(NOT(ISNUMBER($D806)),NOT(ISNUMBER($D561)),$D561=0),"",$D806/$D561-1)</f>
        <v/>
      </c>
      <c r="I806" s="8" t="str">
        <f aca="false">IF(OR(NOT(ISNUMBER($G806)),NOT(ISNUMBER($H806))),"",$G806-$H806)</f>
        <v/>
      </c>
    </row>
    <row r="807" customFormat="false" ht="15" hidden="false" customHeight="false" outlineLevel="0" collapsed="false">
      <c r="A807" s="5" t="str">
        <f aca="false">IF(NOT(ISNUMBER(Macro_Series!$A807)),"",Macro_Series!$A807)</f>
        <v/>
      </c>
      <c r="B807" s="6" t="str">
        <f aca="false">IF(NOT(ISNUMBER(Macro_Series!$C807)),"",Macro_Series!$C807)</f>
        <v/>
      </c>
      <c r="C807" s="6" t="str">
        <f aca="false">IF(NOT(ISNUMBER(Macro_Series!$E807)),"",Macro_Series!$E807)</f>
        <v/>
      </c>
      <c r="D807" s="7" t="str">
        <f aca="false">IF(OR(NOT(ISNUMBER($B807)),NOT(ISNUMBER($C807)),$C807=0),"",$B807/$C807)</f>
        <v/>
      </c>
      <c r="E807" s="7" t="str">
        <f aca="false">IF(NOT(ISNUMBER(Macro_Series!$H807)),"",Macro_Series!$H807)</f>
        <v/>
      </c>
      <c r="F807" s="7" t="str">
        <f aca="false">IF(OR(NOT(ISNUMBER($D807)),NOT(ISNUMBER($E807)),$E807=0),"",$D807/$E807)</f>
        <v/>
      </c>
      <c r="G807" s="8" t="str">
        <f aca="false">IF(OR(NOT(ISNUMBER($B807)),NOT(ISNUMBER($B562)),$B562=0),"",$B807/$B562-1)</f>
        <v/>
      </c>
      <c r="H807" s="8" t="str">
        <f aca="false">IF(OR(NOT(ISNUMBER($D807)),NOT(ISNUMBER($D562)),$D562=0),"",$D807/$D562-1)</f>
        <v/>
      </c>
      <c r="I807" s="8" t="str">
        <f aca="false">IF(OR(NOT(ISNUMBER($G807)),NOT(ISNUMBER($H807))),"",$G807-$H807)</f>
        <v/>
      </c>
    </row>
    <row r="808" customFormat="false" ht="15" hidden="false" customHeight="false" outlineLevel="0" collapsed="false">
      <c r="A808" s="5" t="str">
        <f aca="false">IF(NOT(ISNUMBER(Macro_Series!$A808)),"",Macro_Series!$A808)</f>
        <v/>
      </c>
      <c r="B808" s="6" t="str">
        <f aca="false">IF(NOT(ISNUMBER(Macro_Series!$C808)),"",Macro_Series!$C808)</f>
        <v/>
      </c>
      <c r="C808" s="6" t="str">
        <f aca="false">IF(NOT(ISNUMBER(Macro_Series!$E808)),"",Macro_Series!$E808)</f>
        <v/>
      </c>
      <c r="D808" s="7" t="str">
        <f aca="false">IF(OR(NOT(ISNUMBER($B808)),NOT(ISNUMBER($C808)),$C808=0),"",$B808/$C808)</f>
        <v/>
      </c>
      <c r="E808" s="7" t="str">
        <f aca="false">IF(NOT(ISNUMBER(Macro_Series!$H808)),"",Macro_Series!$H808)</f>
        <v/>
      </c>
      <c r="F808" s="7" t="str">
        <f aca="false">IF(OR(NOT(ISNUMBER($D808)),NOT(ISNUMBER($E808)),$E808=0),"",$D808/$E808)</f>
        <v/>
      </c>
      <c r="G808" s="8" t="str">
        <f aca="false">IF(OR(NOT(ISNUMBER($B808)),NOT(ISNUMBER($B563)),$B563=0),"",$B808/$B563-1)</f>
        <v/>
      </c>
      <c r="H808" s="8" t="str">
        <f aca="false">IF(OR(NOT(ISNUMBER($D808)),NOT(ISNUMBER($D563)),$D563=0),"",$D808/$D563-1)</f>
        <v/>
      </c>
      <c r="I808" s="8" t="str">
        <f aca="false">IF(OR(NOT(ISNUMBER($G808)),NOT(ISNUMBER($H808))),"",$G808-$H808)</f>
        <v/>
      </c>
    </row>
    <row r="809" customFormat="false" ht="15" hidden="false" customHeight="false" outlineLevel="0" collapsed="false">
      <c r="A809" s="5" t="str">
        <f aca="false">IF(NOT(ISNUMBER(Macro_Series!$A809)),"",Macro_Series!$A809)</f>
        <v/>
      </c>
      <c r="B809" s="6" t="str">
        <f aca="false">IF(NOT(ISNUMBER(Macro_Series!$C809)),"",Macro_Series!$C809)</f>
        <v/>
      </c>
      <c r="C809" s="6" t="str">
        <f aca="false">IF(NOT(ISNUMBER(Macro_Series!$E809)),"",Macro_Series!$E809)</f>
        <v/>
      </c>
      <c r="D809" s="7" t="str">
        <f aca="false">IF(OR(NOT(ISNUMBER($B809)),NOT(ISNUMBER($C809)),$C809=0),"",$B809/$C809)</f>
        <v/>
      </c>
      <c r="E809" s="7" t="str">
        <f aca="false">IF(NOT(ISNUMBER(Macro_Series!$H809)),"",Macro_Series!$H809)</f>
        <v/>
      </c>
      <c r="F809" s="7" t="str">
        <f aca="false">IF(OR(NOT(ISNUMBER($D809)),NOT(ISNUMBER($E809)),$E809=0),"",$D809/$E809)</f>
        <v/>
      </c>
      <c r="G809" s="8" t="str">
        <f aca="false">IF(OR(NOT(ISNUMBER($B809)),NOT(ISNUMBER($B564)),$B564=0),"",$B809/$B564-1)</f>
        <v/>
      </c>
      <c r="H809" s="8" t="str">
        <f aca="false">IF(OR(NOT(ISNUMBER($D809)),NOT(ISNUMBER($D564)),$D564=0),"",$D809/$D564-1)</f>
        <v/>
      </c>
      <c r="I809" s="8" t="str">
        <f aca="false">IF(OR(NOT(ISNUMBER($G809)),NOT(ISNUMBER($H809))),"",$G809-$H809)</f>
        <v/>
      </c>
    </row>
    <row r="810" customFormat="false" ht="15" hidden="false" customHeight="false" outlineLevel="0" collapsed="false">
      <c r="A810" s="5" t="str">
        <f aca="false">IF(NOT(ISNUMBER(Macro_Series!$A810)),"",Macro_Series!$A810)</f>
        <v/>
      </c>
      <c r="B810" s="6" t="str">
        <f aca="false">IF(NOT(ISNUMBER(Macro_Series!$C810)),"",Macro_Series!$C810)</f>
        <v/>
      </c>
      <c r="C810" s="6" t="str">
        <f aca="false">IF(NOT(ISNUMBER(Macro_Series!$E810)),"",Macro_Series!$E810)</f>
        <v/>
      </c>
      <c r="D810" s="7" t="str">
        <f aca="false">IF(OR(NOT(ISNUMBER($B810)),NOT(ISNUMBER($C810)),$C810=0),"",$B810/$C810)</f>
        <v/>
      </c>
      <c r="E810" s="7" t="str">
        <f aca="false">IF(NOT(ISNUMBER(Macro_Series!$H810)),"",Macro_Series!$H810)</f>
        <v/>
      </c>
      <c r="F810" s="7" t="str">
        <f aca="false">IF(OR(NOT(ISNUMBER($D810)),NOT(ISNUMBER($E810)),$E810=0),"",$D810/$E810)</f>
        <v/>
      </c>
      <c r="G810" s="8" t="str">
        <f aca="false">IF(OR(NOT(ISNUMBER($B810)),NOT(ISNUMBER($B565)),$B565=0),"",$B810/$B565-1)</f>
        <v/>
      </c>
      <c r="H810" s="8" t="str">
        <f aca="false">IF(OR(NOT(ISNUMBER($D810)),NOT(ISNUMBER($D565)),$D565=0),"",$D810/$D565-1)</f>
        <v/>
      </c>
      <c r="I810" s="8" t="str">
        <f aca="false">IF(OR(NOT(ISNUMBER($G810)),NOT(ISNUMBER($H810))),"",$G810-$H810)</f>
        <v/>
      </c>
    </row>
    <row r="811" customFormat="false" ht="15" hidden="false" customHeight="false" outlineLevel="0" collapsed="false">
      <c r="A811" s="5" t="str">
        <f aca="false">IF(NOT(ISNUMBER(Macro_Series!$A811)),"",Macro_Series!$A811)</f>
        <v/>
      </c>
      <c r="B811" s="6" t="str">
        <f aca="false">IF(NOT(ISNUMBER(Macro_Series!$C811)),"",Macro_Series!$C811)</f>
        <v/>
      </c>
      <c r="C811" s="6" t="str">
        <f aca="false">IF(NOT(ISNUMBER(Macro_Series!$E811)),"",Macro_Series!$E811)</f>
        <v/>
      </c>
      <c r="D811" s="7" t="str">
        <f aca="false">IF(OR(NOT(ISNUMBER($B811)),NOT(ISNUMBER($C811)),$C811=0),"",$B811/$C811)</f>
        <v/>
      </c>
      <c r="E811" s="7" t="str">
        <f aca="false">IF(NOT(ISNUMBER(Macro_Series!$H811)),"",Macro_Series!$H811)</f>
        <v/>
      </c>
      <c r="F811" s="7" t="str">
        <f aca="false">IF(OR(NOT(ISNUMBER($D811)),NOT(ISNUMBER($E811)),$E811=0),"",$D811/$E811)</f>
        <v/>
      </c>
      <c r="G811" s="8" t="str">
        <f aca="false">IF(OR(NOT(ISNUMBER($B811)),NOT(ISNUMBER($B566)),$B566=0),"",$B811/$B566-1)</f>
        <v/>
      </c>
      <c r="H811" s="8" t="str">
        <f aca="false">IF(OR(NOT(ISNUMBER($D811)),NOT(ISNUMBER($D566)),$D566=0),"",$D811/$D566-1)</f>
        <v/>
      </c>
      <c r="I811" s="8" t="str">
        <f aca="false">IF(OR(NOT(ISNUMBER($G811)),NOT(ISNUMBER($H811))),"",$G811-$H811)</f>
        <v/>
      </c>
    </row>
    <row r="812" customFormat="false" ht="15" hidden="false" customHeight="false" outlineLevel="0" collapsed="false">
      <c r="A812" s="5" t="str">
        <f aca="false">IF(NOT(ISNUMBER(Macro_Series!$A812)),"",Macro_Series!$A812)</f>
        <v/>
      </c>
      <c r="B812" s="6" t="str">
        <f aca="false">IF(NOT(ISNUMBER(Macro_Series!$C812)),"",Macro_Series!$C812)</f>
        <v/>
      </c>
      <c r="C812" s="6" t="str">
        <f aca="false">IF(NOT(ISNUMBER(Macro_Series!$E812)),"",Macro_Series!$E812)</f>
        <v/>
      </c>
      <c r="D812" s="7" t="str">
        <f aca="false">IF(OR(NOT(ISNUMBER($B812)),NOT(ISNUMBER($C812)),$C812=0),"",$B812/$C812)</f>
        <v/>
      </c>
      <c r="E812" s="7" t="str">
        <f aca="false">IF(NOT(ISNUMBER(Macro_Series!$H812)),"",Macro_Series!$H812)</f>
        <v/>
      </c>
      <c r="F812" s="7" t="str">
        <f aca="false">IF(OR(NOT(ISNUMBER($D812)),NOT(ISNUMBER($E812)),$E812=0),"",$D812/$E812)</f>
        <v/>
      </c>
      <c r="G812" s="8" t="str">
        <f aca="false">IF(OR(NOT(ISNUMBER($B812)),NOT(ISNUMBER($B567)),$B567=0),"",$B812/$B567-1)</f>
        <v/>
      </c>
      <c r="H812" s="8" t="str">
        <f aca="false">IF(OR(NOT(ISNUMBER($D812)),NOT(ISNUMBER($D567)),$D567=0),"",$D812/$D567-1)</f>
        <v/>
      </c>
      <c r="I812" s="8" t="str">
        <f aca="false">IF(OR(NOT(ISNUMBER($G812)),NOT(ISNUMBER($H812))),"",$G812-$H812)</f>
        <v/>
      </c>
    </row>
    <row r="813" customFormat="false" ht="15" hidden="false" customHeight="false" outlineLevel="0" collapsed="false">
      <c r="A813" s="5" t="str">
        <f aca="false">IF(NOT(ISNUMBER(Macro_Series!$A813)),"",Macro_Series!$A813)</f>
        <v/>
      </c>
      <c r="B813" s="6" t="str">
        <f aca="false">IF(NOT(ISNUMBER(Macro_Series!$C813)),"",Macro_Series!$C813)</f>
        <v/>
      </c>
      <c r="C813" s="6" t="str">
        <f aca="false">IF(NOT(ISNUMBER(Macro_Series!$E813)),"",Macro_Series!$E813)</f>
        <v/>
      </c>
      <c r="D813" s="7" t="str">
        <f aca="false">IF(OR(NOT(ISNUMBER($B813)),NOT(ISNUMBER($C813)),$C813=0),"",$B813/$C813)</f>
        <v/>
      </c>
      <c r="E813" s="7" t="str">
        <f aca="false">IF(NOT(ISNUMBER(Macro_Series!$H813)),"",Macro_Series!$H813)</f>
        <v/>
      </c>
      <c r="F813" s="7" t="str">
        <f aca="false">IF(OR(NOT(ISNUMBER($D813)),NOT(ISNUMBER($E813)),$E813=0),"",$D813/$E813)</f>
        <v/>
      </c>
      <c r="G813" s="8" t="str">
        <f aca="false">IF(OR(NOT(ISNUMBER($B813)),NOT(ISNUMBER($B568)),$B568=0),"",$B813/$B568-1)</f>
        <v/>
      </c>
      <c r="H813" s="8" t="str">
        <f aca="false">IF(OR(NOT(ISNUMBER($D813)),NOT(ISNUMBER($D568)),$D568=0),"",$D813/$D568-1)</f>
        <v/>
      </c>
      <c r="I813" s="8" t="str">
        <f aca="false">IF(OR(NOT(ISNUMBER($G813)),NOT(ISNUMBER($H813))),"",$G813-$H813)</f>
        <v/>
      </c>
    </row>
    <row r="814" customFormat="false" ht="15" hidden="false" customHeight="false" outlineLevel="0" collapsed="false">
      <c r="A814" s="5" t="str">
        <f aca="false">IF(NOT(ISNUMBER(Macro_Series!$A814)),"",Macro_Series!$A814)</f>
        <v/>
      </c>
      <c r="B814" s="6" t="str">
        <f aca="false">IF(NOT(ISNUMBER(Macro_Series!$C814)),"",Macro_Series!$C814)</f>
        <v/>
      </c>
      <c r="C814" s="6" t="str">
        <f aca="false">IF(NOT(ISNUMBER(Macro_Series!$E814)),"",Macro_Series!$E814)</f>
        <v/>
      </c>
      <c r="D814" s="7" t="str">
        <f aca="false">IF(OR(NOT(ISNUMBER($B814)),NOT(ISNUMBER($C814)),$C814=0),"",$B814/$C814)</f>
        <v/>
      </c>
      <c r="E814" s="7" t="str">
        <f aca="false">IF(NOT(ISNUMBER(Macro_Series!$H814)),"",Macro_Series!$H814)</f>
        <v/>
      </c>
      <c r="F814" s="7" t="str">
        <f aca="false">IF(OR(NOT(ISNUMBER($D814)),NOT(ISNUMBER($E814)),$E814=0),"",$D814/$E814)</f>
        <v/>
      </c>
      <c r="G814" s="8" t="str">
        <f aca="false">IF(OR(NOT(ISNUMBER($B814)),NOT(ISNUMBER($B569)),$B569=0),"",$B814/$B569-1)</f>
        <v/>
      </c>
      <c r="H814" s="8" t="str">
        <f aca="false">IF(OR(NOT(ISNUMBER($D814)),NOT(ISNUMBER($D569)),$D569=0),"",$D814/$D569-1)</f>
        <v/>
      </c>
      <c r="I814" s="8" t="str">
        <f aca="false">IF(OR(NOT(ISNUMBER($G814)),NOT(ISNUMBER($H814))),"",$G814-$H814)</f>
        <v/>
      </c>
    </row>
    <row r="815" customFormat="false" ht="15" hidden="false" customHeight="false" outlineLevel="0" collapsed="false">
      <c r="A815" s="5" t="str">
        <f aca="false">IF(NOT(ISNUMBER(Macro_Series!$A815)),"",Macro_Series!$A815)</f>
        <v/>
      </c>
      <c r="B815" s="6" t="str">
        <f aca="false">IF(NOT(ISNUMBER(Macro_Series!$C815)),"",Macro_Series!$C815)</f>
        <v/>
      </c>
      <c r="C815" s="6" t="str">
        <f aca="false">IF(NOT(ISNUMBER(Macro_Series!$E815)),"",Macro_Series!$E815)</f>
        <v/>
      </c>
      <c r="D815" s="7" t="str">
        <f aca="false">IF(OR(NOT(ISNUMBER($B815)),NOT(ISNUMBER($C815)),$C815=0),"",$B815/$C815)</f>
        <v/>
      </c>
      <c r="E815" s="7" t="str">
        <f aca="false">IF(NOT(ISNUMBER(Macro_Series!$H815)),"",Macro_Series!$H815)</f>
        <v/>
      </c>
      <c r="F815" s="7" t="str">
        <f aca="false">IF(OR(NOT(ISNUMBER($D815)),NOT(ISNUMBER($E815)),$E815=0),"",$D815/$E815)</f>
        <v/>
      </c>
      <c r="G815" s="8" t="str">
        <f aca="false">IF(OR(NOT(ISNUMBER($B815)),NOT(ISNUMBER($B570)),$B570=0),"",$B815/$B570-1)</f>
        <v/>
      </c>
      <c r="H815" s="8" t="str">
        <f aca="false">IF(OR(NOT(ISNUMBER($D815)),NOT(ISNUMBER($D570)),$D570=0),"",$D815/$D570-1)</f>
        <v/>
      </c>
      <c r="I815" s="8" t="str">
        <f aca="false">IF(OR(NOT(ISNUMBER($G815)),NOT(ISNUMBER($H815))),"",$G815-$H815)</f>
        <v/>
      </c>
    </row>
    <row r="816" customFormat="false" ht="15" hidden="false" customHeight="false" outlineLevel="0" collapsed="false">
      <c r="A816" s="5" t="str">
        <f aca="false">IF(NOT(ISNUMBER(Macro_Series!$A816)),"",Macro_Series!$A816)</f>
        <v/>
      </c>
      <c r="B816" s="6" t="str">
        <f aca="false">IF(NOT(ISNUMBER(Macro_Series!$C816)),"",Macro_Series!$C816)</f>
        <v/>
      </c>
      <c r="C816" s="6" t="str">
        <f aca="false">IF(NOT(ISNUMBER(Macro_Series!$E816)),"",Macro_Series!$E816)</f>
        <v/>
      </c>
      <c r="D816" s="7" t="str">
        <f aca="false">IF(OR(NOT(ISNUMBER($B816)),NOT(ISNUMBER($C816)),$C816=0),"",$B816/$C816)</f>
        <v/>
      </c>
      <c r="E816" s="7" t="str">
        <f aca="false">IF(NOT(ISNUMBER(Macro_Series!$H816)),"",Macro_Series!$H816)</f>
        <v/>
      </c>
      <c r="F816" s="7" t="str">
        <f aca="false">IF(OR(NOT(ISNUMBER($D816)),NOT(ISNUMBER($E816)),$E816=0),"",$D816/$E816)</f>
        <v/>
      </c>
      <c r="G816" s="8" t="str">
        <f aca="false">IF(OR(NOT(ISNUMBER($B816)),NOT(ISNUMBER($B571)),$B571=0),"",$B816/$B571-1)</f>
        <v/>
      </c>
      <c r="H816" s="8" t="str">
        <f aca="false">IF(OR(NOT(ISNUMBER($D816)),NOT(ISNUMBER($D571)),$D571=0),"",$D816/$D571-1)</f>
        <v/>
      </c>
      <c r="I816" s="8" t="str">
        <f aca="false">IF(OR(NOT(ISNUMBER($G816)),NOT(ISNUMBER($H816))),"",$G816-$H816)</f>
        <v/>
      </c>
    </row>
    <row r="817" customFormat="false" ht="15" hidden="false" customHeight="false" outlineLevel="0" collapsed="false">
      <c r="A817" s="5" t="str">
        <f aca="false">IF(NOT(ISNUMBER(Macro_Series!$A817)),"",Macro_Series!$A817)</f>
        <v/>
      </c>
      <c r="B817" s="6" t="str">
        <f aca="false">IF(NOT(ISNUMBER(Macro_Series!$C817)),"",Macro_Series!$C817)</f>
        <v/>
      </c>
      <c r="C817" s="6" t="str">
        <f aca="false">IF(NOT(ISNUMBER(Macro_Series!$E817)),"",Macro_Series!$E817)</f>
        <v/>
      </c>
      <c r="D817" s="7" t="str">
        <f aca="false">IF(OR(NOT(ISNUMBER($B817)),NOT(ISNUMBER($C817)),$C817=0),"",$B817/$C817)</f>
        <v/>
      </c>
      <c r="E817" s="7" t="str">
        <f aca="false">IF(NOT(ISNUMBER(Macro_Series!$H817)),"",Macro_Series!$H817)</f>
        <v/>
      </c>
      <c r="F817" s="7" t="str">
        <f aca="false">IF(OR(NOT(ISNUMBER($D817)),NOT(ISNUMBER($E817)),$E817=0),"",$D817/$E817)</f>
        <v/>
      </c>
      <c r="G817" s="8" t="str">
        <f aca="false">IF(OR(NOT(ISNUMBER($B817)),NOT(ISNUMBER($B572)),$B572=0),"",$B817/$B572-1)</f>
        <v/>
      </c>
      <c r="H817" s="8" t="str">
        <f aca="false">IF(OR(NOT(ISNUMBER($D817)),NOT(ISNUMBER($D572)),$D572=0),"",$D817/$D572-1)</f>
        <v/>
      </c>
      <c r="I817" s="8" t="str">
        <f aca="false">IF(OR(NOT(ISNUMBER($G817)),NOT(ISNUMBER($H817))),"",$G817-$H817)</f>
        <v/>
      </c>
    </row>
    <row r="818" customFormat="false" ht="15" hidden="false" customHeight="false" outlineLevel="0" collapsed="false">
      <c r="A818" s="5" t="str">
        <f aca="false">IF(NOT(ISNUMBER(Macro_Series!$A818)),"",Macro_Series!$A818)</f>
        <v/>
      </c>
      <c r="B818" s="6" t="str">
        <f aca="false">IF(NOT(ISNUMBER(Macro_Series!$C818)),"",Macro_Series!$C818)</f>
        <v/>
      </c>
      <c r="C818" s="6" t="str">
        <f aca="false">IF(NOT(ISNUMBER(Macro_Series!$E818)),"",Macro_Series!$E818)</f>
        <v/>
      </c>
      <c r="D818" s="7" t="str">
        <f aca="false">IF(OR(NOT(ISNUMBER($B818)),NOT(ISNUMBER($C818)),$C818=0),"",$B818/$C818)</f>
        <v/>
      </c>
      <c r="E818" s="7" t="str">
        <f aca="false">IF(NOT(ISNUMBER(Macro_Series!$H818)),"",Macro_Series!$H818)</f>
        <v/>
      </c>
      <c r="F818" s="7" t="str">
        <f aca="false">IF(OR(NOT(ISNUMBER($D818)),NOT(ISNUMBER($E818)),$E818=0),"",$D818/$E818)</f>
        <v/>
      </c>
      <c r="G818" s="8" t="str">
        <f aca="false">IF(OR(NOT(ISNUMBER($B818)),NOT(ISNUMBER($B573)),$B573=0),"",$B818/$B573-1)</f>
        <v/>
      </c>
      <c r="H818" s="8" t="str">
        <f aca="false">IF(OR(NOT(ISNUMBER($D818)),NOT(ISNUMBER($D573)),$D573=0),"",$D818/$D573-1)</f>
        <v/>
      </c>
      <c r="I818" s="8" t="str">
        <f aca="false">IF(OR(NOT(ISNUMBER($G818)),NOT(ISNUMBER($H818))),"",$G818-$H818)</f>
        <v/>
      </c>
    </row>
    <row r="819" customFormat="false" ht="15" hidden="false" customHeight="false" outlineLevel="0" collapsed="false">
      <c r="A819" s="5" t="str">
        <f aca="false">IF(NOT(ISNUMBER(Macro_Series!$A819)),"",Macro_Series!$A819)</f>
        <v/>
      </c>
      <c r="B819" s="6" t="str">
        <f aca="false">IF(NOT(ISNUMBER(Macro_Series!$C819)),"",Macro_Series!$C819)</f>
        <v/>
      </c>
      <c r="C819" s="6" t="str">
        <f aca="false">IF(NOT(ISNUMBER(Macro_Series!$E819)),"",Macro_Series!$E819)</f>
        <v/>
      </c>
      <c r="D819" s="7" t="str">
        <f aca="false">IF(OR(NOT(ISNUMBER($B819)),NOT(ISNUMBER($C819)),$C819=0),"",$B819/$C819)</f>
        <v/>
      </c>
      <c r="E819" s="7" t="str">
        <f aca="false">IF(NOT(ISNUMBER(Macro_Series!$H819)),"",Macro_Series!$H819)</f>
        <v/>
      </c>
      <c r="F819" s="7" t="str">
        <f aca="false">IF(OR(NOT(ISNUMBER($D819)),NOT(ISNUMBER($E819)),$E819=0),"",$D819/$E819)</f>
        <v/>
      </c>
      <c r="G819" s="8" t="str">
        <f aca="false">IF(OR(NOT(ISNUMBER($B819)),NOT(ISNUMBER($B574)),$B574=0),"",$B819/$B574-1)</f>
        <v/>
      </c>
      <c r="H819" s="8" t="str">
        <f aca="false">IF(OR(NOT(ISNUMBER($D819)),NOT(ISNUMBER($D574)),$D574=0),"",$D819/$D574-1)</f>
        <v/>
      </c>
      <c r="I819" s="8" t="str">
        <f aca="false">IF(OR(NOT(ISNUMBER($G819)),NOT(ISNUMBER($H819))),"",$G819-$H819)</f>
        <v/>
      </c>
    </row>
    <row r="820" customFormat="false" ht="15" hidden="false" customHeight="false" outlineLevel="0" collapsed="false">
      <c r="A820" s="5" t="str">
        <f aca="false">IF(NOT(ISNUMBER(Macro_Series!$A820)),"",Macro_Series!$A820)</f>
        <v/>
      </c>
      <c r="B820" s="6" t="str">
        <f aca="false">IF(NOT(ISNUMBER(Macro_Series!$C820)),"",Macro_Series!$C820)</f>
        <v/>
      </c>
      <c r="C820" s="6" t="str">
        <f aca="false">IF(NOT(ISNUMBER(Macro_Series!$E820)),"",Macro_Series!$E820)</f>
        <v/>
      </c>
      <c r="D820" s="7" t="str">
        <f aca="false">IF(OR(NOT(ISNUMBER($B820)),NOT(ISNUMBER($C820)),$C820=0),"",$B820/$C820)</f>
        <v/>
      </c>
      <c r="E820" s="7" t="str">
        <f aca="false">IF(NOT(ISNUMBER(Macro_Series!$H820)),"",Macro_Series!$H820)</f>
        <v/>
      </c>
      <c r="F820" s="7" t="str">
        <f aca="false">IF(OR(NOT(ISNUMBER($D820)),NOT(ISNUMBER($E820)),$E820=0),"",$D820/$E820)</f>
        <v/>
      </c>
      <c r="G820" s="8" t="str">
        <f aca="false">IF(OR(NOT(ISNUMBER($B820)),NOT(ISNUMBER($B575)),$B575=0),"",$B820/$B575-1)</f>
        <v/>
      </c>
      <c r="H820" s="8" t="str">
        <f aca="false">IF(OR(NOT(ISNUMBER($D820)),NOT(ISNUMBER($D575)),$D575=0),"",$D820/$D575-1)</f>
        <v/>
      </c>
      <c r="I820" s="8" t="str">
        <f aca="false">IF(OR(NOT(ISNUMBER($G820)),NOT(ISNUMBER($H820))),"",$G820-$H820)</f>
        <v/>
      </c>
    </row>
    <row r="821" customFormat="false" ht="15" hidden="false" customHeight="false" outlineLevel="0" collapsed="false">
      <c r="A821" s="5" t="str">
        <f aca="false">IF(NOT(ISNUMBER(Macro_Series!$A821)),"",Macro_Series!$A821)</f>
        <v/>
      </c>
      <c r="B821" s="6" t="str">
        <f aca="false">IF(NOT(ISNUMBER(Macro_Series!$C821)),"",Macro_Series!$C821)</f>
        <v/>
      </c>
      <c r="C821" s="6" t="str">
        <f aca="false">IF(NOT(ISNUMBER(Macro_Series!$E821)),"",Macro_Series!$E821)</f>
        <v/>
      </c>
      <c r="D821" s="7" t="str">
        <f aca="false">IF(OR(NOT(ISNUMBER($B821)),NOT(ISNUMBER($C821)),$C821=0),"",$B821/$C821)</f>
        <v/>
      </c>
      <c r="E821" s="7" t="str">
        <f aca="false">IF(NOT(ISNUMBER(Macro_Series!$H821)),"",Macro_Series!$H821)</f>
        <v/>
      </c>
      <c r="F821" s="7" t="str">
        <f aca="false">IF(OR(NOT(ISNUMBER($D821)),NOT(ISNUMBER($E821)),$E821=0),"",$D821/$E821)</f>
        <v/>
      </c>
      <c r="G821" s="8" t="str">
        <f aca="false">IF(OR(NOT(ISNUMBER($B821)),NOT(ISNUMBER($B576)),$B576=0),"",$B821/$B576-1)</f>
        <v/>
      </c>
      <c r="H821" s="8" t="str">
        <f aca="false">IF(OR(NOT(ISNUMBER($D821)),NOT(ISNUMBER($D576)),$D576=0),"",$D821/$D576-1)</f>
        <v/>
      </c>
      <c r="I821" s="8" t="str">
        <f aca="false">IF(OR(NOT(ISNUMBER($G821)),NOT(ISNUMBER($H821))),"",$G821-$H821)</f>
        <v/>
      </c>
    </row>
    <row r="822" customFormat="false" ht="15" hidden="false" customHeight="false" outlineLevel="0" collapsed="false">
      <c r="A822" s="5" t="str">
        <f aca="false">IF(NOT(ISNUMBER(Macro_Series!$A822)),"",Macro_Series!$A822)</f>
        <v/>
      </c>
      <c r="B822" s="6" t="str">
        <f aca="false">IF(NOT(ISNUMBER(Macro_Series!$C822)),"",Macro_Series!$C822)</f>
        <v/>
      </c>
      <c r="C822" s="6" t="str">
        <f aca="false">IF(NOT(ISNUMBER(Macro_Series!$E822)),"",Macro_Series!$E822)</f>
        <v/>
      </c>
      <c r="D822" s="7" t="str">
        <f aca="false">IF(OR(NOT(ISNUMBER($B822)),NOT(ISNUMBER($C822)),$C822=0),"",$B822/$C822)</f>
        <v/>
      </c>
      <c r="E822" s="7" t="str">
        <f aca="false">IF(NOT(ISNUMBER(Macro_Series!$H822)),"",Macro_Series!$H822)</f>
        <v/>
      </c>
      <c r="F822" s="7" t="str">
        <f aca="false">IF(OR(NOT(ISNUMBER($D822)),NOT(ISNUMBER($E822)),$E822=0),"",$D822/$E822)</f>
        <v/>
      </c>
      <c r="G822" s="8" t="str">
        <f aca="false">IF(OR(NOT(ISNUMBER($B822)),NOT(ISNUMBER($B577)),$B577=0),"",$B822/$B577-1)</f>
        <v/>
      </c>
      <c r="H822" s="8" t="str">
        <f aca="false">IF(OR(NOT(ISNUMBER($D822)),NOT(ISNUMBER($D577)),$D577=0),"",$D822/$D577-1)</f>
        <v/>
      </c>
      <c r="I822" s="8" t="str">
        <f aca="false">IF(OR(NOT(ISNUMBER($G822)),NOT(ISNUMBER($H822))),"",$G822-$H822)</f>
        <v/>
      </c>
    </row>
    <row r="823" customFormat="false" ht="15" hidden="false" customHeight="false" outlineLevel="0" collapsed="false">
      <c r="A823" s="5" t="str">
        <f aca="false">IF(NOT(ISNUMBER(Macro_Series!$A823)),"",Macro_Series!$A823)</f>
        <v/>
      </c>
      <c r="B823" s="6" t="str">
        <f aca="false">IF(NOT(ISNUMBER(Macro_Series!$C823)),"",Macro_Series!$C823)</f>
        <v/>
      </c>
      <c r="C823" s="6" t="str">
        <f aca="false">IF(NOT(ISNUMBER(Macro_Series!$E823)),"",Macro_Series!$E823)</f>
        <v/>
      </c>
      <c r="D823" s="7" t="str">
        <f aca="false">IF(OR(NOT(ISNUMBER($B823)),NOT(ISNUMBER($C823)),$C823=0),"",$B823/$C823)</f>
        <v/>
      </c>
      <c r="E823" s="7" t="str">
        <f aca="false">IF(NOT(ISNUMBER(Macro_Series!$H823)),"",Macro_Series!$H823)</f>
        <v/>
      </c>
      <c r="F823" s="7" t="str">
        <f aca="false">IF(OR(NOT(ISNUMBER($D823)),NOT(ISNUMBER($E823)),$E823=0),"",$D823/$E823)</f>
        <v/>
      </c>
      <c r="G823" s="8" t="str">
        <f aca="false">IF(OR(NOT(ISNUMBER($B823)),NOT(ISNUMBER($B578)),$B578=0),"",$B823/$B578-1)</f>
        <v/>
      </c>
      <c r="H823" s="8" t="str">
        <f aca="false">IF(OR(NOT(ISNUMBER($D823)),NOT(ISNUMBER($D578)),$D578=0),"",$D823/$D578-1)</f>
        <v/>
      </c>
      <c r="I823" s="8" t="str">
        <f aca="false">IF(OR(NOT(ISNUMBER($G823)),NOT(ISNUMBER($H823))),"",$G823-$H823)</f>
        <v/>
      </c>
    </row>
    <row r="824" customFormat="false" ht="15" hidden="false" customHeight="false" outlineLevel="0" collapsed="false">
      <c r="A824" s="5" t="str">
        <f aca="false">IF(NOT(ISNUMBER(Macro_Series!$A824)),"",Macro_Series!$A824)</f>
        <v/>
      </c>
      <c r="B824" s="6" t="str">
        <f aca="false">IF(NOT(ISNUMBER(Macro_Series!$C824)),"",Macro_Series!$C824)</f>
        <v/>
      </c>
      <c r="C824" s="6" t="str">
        <f aca="false">IF(NOT(ISNUMBER(Macro_Series!$E824)),"",Macro_Series!$E824)</f>
        <v/>
      </c>
      <c r="D824" s="7" t="str">
        <f aca="false">IF(OR(NOT(ISNUMBER($B824)),NOT(ISNUMBER($C824)),$C824=0),"",$B824/$C824)</f>
        <v/>
      </c>
      <c r="E824" s="7" t="str">
        <f aca="false">IF(NOT(ISNUMBER(Macro_Series!$H824)),"",Macro_Series!$H824)</f>
        <v/>
      </c>
      <c r="F824" s="7" t="str">
        <f aca="false">IF(OR(NOT(ISNUMBER($D824)),NOT(ISNUMBER($E824)),$E824=0),"",$D824/$E824)</f>
        <v/>
      </c>
      <c r="G824" s="8" t="str">
        <f aca="false">IF(OR(NOT(ISNUMBER($B824)),NOT(ISNUMBER($B579)),$B579=0),"",$B824/$B579-1)</f>
        <v/>
      </c>
      <c r="H824" s="8" t="str">
        <f aca="false">IF(OR(NOT(ISNUMBER($D824)),NOT(ISNUMBER($D579)),$D579=0),"",$D824/$D579-1)</f>
        <v/>
      </c>
      <c r="I824" s="8" t="str">
        <f aca="false">IF(OR(NOT(ISNUMBER($G824)),NOT(ISNUMBER($H824))),"",$G824-$H824)</f>
        <v/>
      </c>
    </row>
    <row r="825" customFormat="false" ht="15" hidden="false" customHeight="false" outlineLevel="0" collapsed="false">
      <c r="A825" s="5" t="str">
        <f aca="false">IF(NOT(ISNUMBER(Macro_Series!$A825)),"",Macro_Series!$A825)</f>
        <v/>
      </c>
      <c r="B825" s="6" t="str">
        <f aca="false">IF(NOT(ISNUMBER(Macro_Series!$C825)),"",Macro_Series!$C825)</f>
        <v/>
      </c>
      <c r="C825" s="6" t="str">
        <f aca="false">IF(NOT(ISNUMBER(Macro_Series!$E825)),"",Macro_Series!$E825)</f>
        <v/>
      </c>
      <c r="D825" s="7" t="str">
        <f aca="false">IF(OR(NOT(ISNUMBER($B825)),NOT(ISNUMBER($C825)),$C825=0),"",$B825/$C825)</f>
        <v/>
      </c>
      <c r="E825" s="7" t="str">
        <f aca="false">IF(NOT(ISNUMBER(Macro_Series!$H825)),"",Macro_Series!$H825)</f>
        <v/>
      </c>
      <c r="F825" s="7" t="str">
        <f aca="false">IF(OR(NOT(ISNUMBER($D825)),NOT(ISNUMBER($E825)),$E825=0),"",$D825/$E825)</f>
        <v/>
      </c>
      <c r="G825" s="8" t="str">
        <f aca="false">IF(OR(NOT(ISNUMBER($B825)),NOT(ISNUMBER($B580)),$B580=0),"",$B825/$B580-1)</f>
        <v/>
      </c>
      <c r="H825" s="8" t="str">
        <f aca="false">IF(OR(NOT(ISNUMBER($D825)),NOT(ISNUMBER($D580)),$D580=0),"",$D825/$D580-1)</f>
        <v/>
      </c>
      <c r="I825" s="8" t="str">
        <f aca="false">IF(OR(NOT(ISNUMBER($G825)),NOT(ISNUMBER($H825))),"",$G825-$H825)</f>
        <v/>
      </c>
    </row>
    <row r="826" customFormat="false" ht="15" hidden="false" customHeight="false" outlineLevel="0" collapsed="false">
      <c r="A826" s="5" t="str">
        <f aca="false">IF(NOT(ISNUMBER(Macro_Series!$A826)),"",Macro_Series!$A826)</f>
        <v/>
      </c>
      <c r="B826" s="6" t="str">
        <f aca="false">IF(NOT(ISNUMBER(Macro_Series!$C826)),"",Macro_Series!$C826)</f>
        <v/>
      </c>
      <c r="C826" s="6" t="str">
        <f aca="false">IF(NOT(ISNUMBER(Macro_Series!$E826)),"",Macro_Series!$E826)</f>
        <v/>
      </c>
      <c r="D826" s="7" t="str">
        <f aca="false">IF(OR(NOT(ISNUMBER($B826)),NOT(ISNUMBER($C826)),$C826=0),"",$B826/$C826)</f>
        <v/>
      </c>
      <c r="E826" s="7" t="str">
        <f aca="false">IF(NOT(ISNUMBER(Macro_Series!$H826)),"",Macro_Series!$H826)</f>
        <v/>
      </c>
      <c r="F826" s="7" t="str">
        <f aca="false">IF(OR(NOT(ISNUMBER($D826)),NOT(ISNUMBER($E826)),$E826=0),"",$D826/$E826)</f>
        <v/>
      </c>
      <c r="G826" s="8" t="str">
        <f aca="false">IF(OR(NOT(ISNUMBER($B826)),NOT(ISNUMBER($B581)),$B581=0),"",$B826/$B581-1)</f>
        <v/>
      </c>
      <c r="H826" s="8" t="str">
        <f aca="false">IF(OR(NOT(ISNUMBER($D826)),NOT(ISNUMBER($D581)),$D581=0),"",$D826/$D581-1)</f>
        <v/>
      </c>
      <c r="I826" s="8" t="str">
        <f aca="false">IF(OR(NOT(ISNUMBER($G826)),NOT(ISNUMBER($H826))),"",$G826-$H826)</f>
        <v/>
      </c>
    </row>
    <row r="827" customFormat="false" ht="15" hidden="false" customHeight="false" outlineLevel="0" collapsed="false">
      <c r="A827" s="5" t="str">
        <f aca="false">IF(NOT(ISNUMBER(Macro_Series!$A827)),"",Macro_Series!$A827)</f>
        <v/>
      </c>
      <c r="B827" s="6" t="str">
        <f aca="false">IF(NOT(ISNUMBER(Macro_Series!$C827)),"",Macro_Series!$C827)</f>
        <v/>
      </c>
      <c r="C827" s="6" t="str">
        <f aca="false">IF(NOT(ISNUMBER(Macro_Series!$E827)),"",Macro_Series!$E827)</f>
        <v/>
      </c>
      <c r="D827" s="7" t="str">
        <f aca="false">IF(OR(NOT(ISNUMBER($B827)),NOT(ISNUMBER($C827)),$C827=0),"",$B827/$C827)</f>
        <v/>
      </c>
      <c r="E827" s="7" t="str">
        <f aca="false">IF(NOT(ISNUMBER(Macro_Series!$H827)),"",Macro_Series!$H827)</f>
        <v/>
      </c>
      <c r="F827" s="7" t="str">
        <f aca="false">IF(OR(NOT(ISNUMBER($D827)),NOT(ISNUMBER($E827)),$E827=0),"",$D827/$E827)</f>
        <v/>
      </c>
      <c r="G827" s="8" t="str">
        <f aca="false">IF(OR(NOT(ISNUMBER($B827)),NOT(ISNUMBER($B582)),$B582=0),"",$B827/$B582-1)</f>
        <v/>
      </c>
      <c r="H827" s="8" t="str">
        <f aca="false">IF(OR(NOT(ISNUMBER($D827)),NOT(ISNUMBER($D582)),$D582=0),"",$D827/$D582-1)</f>
        <v/>
      </c>
      <c r="I827" s="8" t="str">
        <f aca="false">IF(OR(NOT(ISNUMBER($G827)),NOT(ISNUMBER($H827))),"",$G827-$H827)</f>
        <v/>
      </c>
    </row>
    <row r="828" customFormat="false" ht="15" hidden="false" customHeight="false" outlineLevel="0" collapsed="false">
      <c r="A828" s="5" t="str">
        <f aca="false">IF(NOT(ISNUMBER(Macro_Series!$A828)),"",Macro_Series!$A828)</f>
        <v/>
      </c>
      <c r="B828" s="6" t="str">
        <f aca="false">IF(NOT(ISNUMBER(Macro_Series!$C828)),"",Macro_Series!$C828)</f>
        <v/>
      </c>
      <c r="C828" s="6" t="str">
        <f aca="false">IF(NOT(ISNUMBER(Macro_Series!$E828)),"",Macro_Series!$E828)</f>
        <v/>
      </c>
      <c r="D828" s="7" t="str">
        <f aca="false">IF(OR(NOT(ISNUMBER($B828)),NOT(ISNUMBER($C828)),$C828=0),"",$B828/$C828)</f>
        <v/>
      </c>
      <c r="E828" s="7" t="str">
        <f aca="false">IF(NOT(ISNUMBER(Macro_Series!$H828)),"",Macro_Series!$H828)</f>
        <v/>
      </c>
      <c r="F828" s="7" t="str">
        <f aca="false">IF(OR(NOT(ISNUMBER($D828)),NOT(ISNUMBER($E828)),$E828=0),"",$D828/$E828)</f>
        <v/>
      </c>
      <c r="G828" s="8" t="str">
        <f aca="false">IF(OR(NOT(ISNUMBER($B828)),NOT(ISNUMBER($B583)),$B583=0),"",$B828/$B583-1)</f>
        <v/>
      </c>
      <c r="H828" s="8" t="str">
        <f aca="false">IF(OR(NOT(ISNUMBER($D828)),NOT(ISNUMBER($D583)),$D583=0),"",$D828/$D583-1)</f>
        <v/>
      </c>
      <c r="I828" s="8" t="str">
        <f aca="false">IF(OR(NOT(ISNUMBER($G828)),NOT(ISNUMBER($H828))),"",$G828-$H828)</f>
        <v/>
      </c>
    </row>
    <row r="829" customFormat="false" ht="15" hidden="false" customHeight="false" outlineLevel="0" collapsed="false">
      <c r="A829" s="5" t="str">
        <f aca="false">IF(NOT(ISNUMBER(Macro_Series!$A829)),"",Macro_Series!$A829)</f>
        <v/>
      </c>
      <c r="B829" s="6" t="str">
        <f aca="false">IF(NOT(ISNUMBER(Macro_Series!$C829)),"",Macro_Series!$C829)</f>
        <v/>
      </c>
      <c r="C829" s="6" t="str">
        <f aca="false">IF(NOT(ISNUMBER(Macro_Series!$E829)),"",Macro_Series!$E829)</f>
        <v/>
      </c>
      <c r="D829" s="7" t="str">
        <f aca="false">IF(OR(NOT(ISNUMBER($B829)),NOT(ISNUMBER($C829)),$C829=0),"",$B829/$C829)</f>
        <v/>
      </c>
      <c r="E829" s="7" t="str">
        <f aca="false">IF(NOT(ISNUMBER(Macro_Series!$H829)),"",Macro_Series!$H829)</f>
        <v/>
      </c>
      <c r="F829" s="7" t="str">
        <f aca="false">IF(OR(NOT(ISNUMBER($D829)),NOT(ISNUMBER($E829)),$E829=0),"",$D829/$E829)</f>
        <v/>
      </c>
      <c r="G829" s="8" t="str">
        <f aca="false">IF(OR(NOT(ISNUMBER($B829)),NOT(ISNUMBER($B584)),$B584=0),"",$B829/$B584-1)</f>
        <v/>
      </c>
      <c r="H829" s="8" t="str">
        <f aca="false">IF(OR(NOT(ISNUMBER($D829)),NOT(ISNUMBER($D584)),$D584=0),"",$D829/$D584-1)</f>
        <v/>
      </c>
      <c r="I829" s="8" t="str">
        <f aca="false">IF(OR(NOT(ISNUMBER($G829)),NOT(ISNUMBER($H829))),"",$G829-$H829)</f>
        <v/>
      </c>
    </row>
    <row r="830" customFormat="false" ht="15" hidden="false" customHeight="false" outlineLevel="0" collapsed="false">
      <c r="A830" s="5" t="str">
        <f aca="false">IF(NOT(ISNUMBER(Macro_Series!$A830)),"",Macro_Series!$A830)</f>
        <v/>
      </c>
      <c r="B830" s="6" t="str">
        <f aca="false">IF(NOT(ISNUMBER(Macro_Series!$C830)),"",Macro_Series!$C830)</f>
        <v/>
      </c>
      <c r="C830" s="6" t="str">
        <f aca="false">IF(NOT(ISNUMBER(Macro_Series!$E830)),"",Macro_Series!$E830)</f>
        <v/>
      </c>
      <c r="D830" s="7" t="str">
        <f aca="false">IF(OR(NOT(ISNUMBER($B830)),NOT(ISNUMBER($C830)),$C830=0),"",$B830/$C830)</f>
        <v/>
      </c>
      <c r="E830" s="7" t="str">
        <f aca="false">IF(NOT(ISNUMBER(Macro_Series!$H830)),"",Macro_Series!$H830)</f>
        <v/>
      </c>
      <c r="F830" s="7" t="str">
        <f aca="false">IF(OR(NOT(ISNUMBER($D830)),NOT(ISNUMBER($E830)),$E830=0),"",$D830/$E830)</f>
        <v/>
      </c>
      <c r="G830" s="8" t="str">
        <f aca="false">IF(OR(NOT(ISNUMBER($B830)),NOT(ISNUMBER($B585)),$B585=0),"",$B830/$B585-1)</f>
        <v/>
      </c>
      <c r="H830" s="8" t="str">
        <f aca="false">IF(OR(NOT(ISNUMBER($D830)),NOT(ISNUMBER($D585)),$D585=0),"",$D830/$D585-1)</f>
        <v/>
      </c>
      <c r="I830" s="8" t="str">
        <f aca="false">IF(OR(NOT(ISNUMBER($G830)),NOT(ISNUMBER($H830))),"",$G830-$H830)</f>
        <v/>
      </c>
    </row>
    <row r="831" customFormat="false" ht="15" hidden="false" customHeight="false" outlineLevel="0" collapsed="false">
      <c r="A831" s="5" t="str">
        <f aca="false">IF(NOT(ISNUMBER(Macro_Series!$A831)),"",Macro_Series!$A831)</f>
        <v/>
      </c>
      <c r="B831" s="6" t="str">
        <f aca="false">IF(NOT(ISNUMBER(Macro_Series!$C831)),"",Macro_Series!$C831)</f>
        <v/>
      </c>
      <c r="C831" s="6" t="str">
        <f aca="false">IF(NOT(ISNUMBER(Macro_Series!$E831)),"",Macro_Series!$E831)</f>
        <v/>
      </c>
      <c r="D831" s="7" t="str">
        <f aca="false">IF(OR(NOT(ISNUMBER($B831)),NOT(ISNUMBER($C831)),$C831=0),"",$B831/$C831)</f>
        <v/>
      </c>
      <c r="E831" s="7" t="str">
        <f aca="false">IF(NOT(ISNUMBER(Macro_Series!$H831)),"",Macro_Series!$H831)</f>
        <v/>
      </c>
      <c r="F831" s="7" t="str">
        <f aca="false">IF(OR(NOT(ISNUMBER($D831)),NOT(ISNUMBER($E831)),$E831=0),"",$D831/$E831)</f>
        <v/>
      </c>
      <c r="G831" s="8" t="str">
        <f aca="false">IF(OR(NOT(ISNUMBER($B831)),NOT(ISNUMBER($B586)),$B586=0),"",$B831/$B586-1)</f>
        <v/>
      </c>
      <c r="H831" s="8" t="str">
        <f aca="false">IF(OR(NOT(ISNUMBER($D831)),NOT(ISNUMBER($D586)),$D586=0),"",$D831/$D586-1)</f>
        <v/>
      </c>
      <c r="I831" s="8" t="str">
        <f aca="false">IF(OR(NOT(ISNUMBER($G831)),NOT(ISNUMBER($H831))),"",$G831-$H831)</f>
        <v/>
      </c>
    </row>
    <row r="832" customFormat="false" ht="15" hidden="false" customHeight="false" outlineLevel="0" collapsed="false">
      <c r="A832" s="5" t="str">
        <f aca="false">IF(NOT(ISNUMBER(Macro_Series!$A832)),"",Macro_Series!$A832)</f>
        <v/>
      </c>
      <c r="B832" s="6" t="str">
        <f aca="false">IF(NOT(ISNUMBER(Macro_Series!$C832)),"",Macro_Series!$C832)</f>
        <v/>
      </c>
      <c r="C832" s="6" t="str">
        <f aca="false">IF(NOT(ISNUMBER(Macro_Series!$E832)),"",Macro_Series!$E832)</f>
        <v/>
      </c>
      <c r="D832" s="7" t="str">
        <f aca="false">IF(OR(NOT(ISNUMBER($B832)),NOT(ISNUMBER($C832)),$C832=0),"",$B832/$C832)</f>
        <v/>
      </c>
      <c r="E832" s="7" t="str">
        <f aca="false">IF(NOT(ISNUMBER(Macro_Series!$H832)),"",Macro_Series!$H832)</f>
        <v/>
      </c>
      <c r="F832" s="7" t="str">
        <f aca="false">IF(OR(NOT(ISNUMBER($D832)),NOT(ISNUMBER($E832)),$E832=0),"",$D832/$E832)</f>
        <v/>
      </c>
      <c r="G832" s="8" t="str">
        <f aca="false">IF(OR(NOT(ISNUMBER($B832)),NOT(ISNUMBER($B587)),$B587=0),"",$B832/$B587-1)</f>
        <v/>
      </c>
      <c r="H832" s="8" t="str">
        <f aca="false">IF(OR(NOT(ISNUMBER($D832)),NOT(ISNUMBER($D587)),$D587=0),"",$D832/$D587-1)</f>
        <v/>
      </c>
      <c r="I832" s="8" t="str">
        <f aca="false">IF(OR(NOT(ISNUMBER($G832)),NOT(ISNUMBER($H832))),"",$G832-$H832)</f>
        <v/>
      </c>
    </row>
    <row r="833" customFormat="false" ht="15" hidden="false" customHeight="false" outlineLevel="0" collapsed="false">
      <c r="A833" s="5" t="str">
        <f aca="false">IF(NOT(ISNUMBER(Macro_Series!$A833)),"",Macro_Series!$A833)</f>
        <v/>
      </c>
      <c r="B833" s="6" t="str">
        <f aca="false">IF(NOT(ISNUMBER(Macro_Series!$C833)),"",Macro_Series!$C833)</f>
        <v/>
      </c>
      <c r="C833" s="6" t="str">
        <f aca="false">IF(NOT(ISNUMBER(Macro_Series!$E833)),"",Macro_Series!$E833)</f>
        <v/>
      </c>
      <c r="D833" s="7" t="str">
        <f aca="false">IF(OR(NOT(ISNUMBER($B833)),NOT(ISNUMBER($C833)),$C833=0),"",$B833/$C833)</f>
        <v/>
      </c>
      <c r="E833" s="7" t="str">
        <f aca="false">IF(NOT(ISNUMBER(Macro_Series!$H833)),"",Macro_Series!$H833)</f>
        <v/>
      </c>
      <c r="F833" s="7" t="str">
        <f aca="false">IF(OR(NOT(ISNUMBER($D833)),NOT(ISNUMBER($E833)),$E833=0),"",$D833/$E833)</f>
        <v/>
      </c>
      <c r="G833" s="8" t="str">
        <f aca="false">IF(OR(NOT(ISNUMBER($B833)),NOT(ISNUMBER($B588)),$B588=0),"",$B833/$B588-1)</f>
        <v/>
      </c>
      <c r="H833" s="8" t="str">
        <f aca="false">IF(OR(NOT(ISNUMBER($D833)),NOT(ISNUMBER($D588)),$D588=0),"",$D833/$D588-1)</f>
        <v/>
      </c>
      <c r="I833" s="8" t="str">
        <f aca="false">IF(OR(NOT(ISNUMBER($G833)),NOT(ISNUMBER($H833))),"",$G833-$H833)</f>
        <v/>
      </c>
    </row>
    <row r="834" customFormat="false" ht="15" hidden="false" customHeight="false" outlineLevel="0" collapsed="false">
      <c r="A834" s="5" t="str">
        <f aca="false">IF(NOT(ISNUMBER(Macro_Series!$A834)),"",Macro_Series!$A834)</f>
        <v/>
      </c>
      <c r="B834" s="6" t="str">
        <f aca="false">IF(NOT(ISNUMBER(Macro_Series!$C834)),"",Macro_Series!$C834)</f>
        <v/>
      </c>
      <c r="C834" s="6" t="str">
        <f aca="false">IF(NOT(ISNUMBER(Macro_Series!$E834)),"",Macro_Series!$E834)</f>
        <v/>
      </c>
      <c r="D834" s="7" t="str">
        <f aca="false">IF(OR(NOT(ISNUMBER($B834)),NOT(ISNUMBER($C834)),$C834=0),"",$B834/$C834)</f>
        <v/>
      </c>
      <c r="E834" s="7" t="str">
        <f aca="false">IF(NOT(ISNUMBER(Macro_Series!$H834)),"",Macro_Series!$H834)</f>
        <v/>
      </c>
      <c r="F834" s="7" t="str">
        <f aca="false">IF(OR(NOT(ISNUMBER($D834)),NOT(ISNUMBER($E834)),$E834=0),"",$D834/$E834)</f>
        <v/>
      </c>
      <c r="G834" s="8" t="str">
        <f aca="false">IF(OR(NOT(ISNUMBER($B834)),NOT(ISNUMBER($B589)),$B589=0),"",$B834/$B589-1)</f>
        <v/>
      </c>
      <c r="H834" s="8" t="str">
        <f aca="false">IF(OR(NOT(ISNUMBER($D834)),NOT(ISNUMBER($D589)),$D589=0),"",$D834/$D589-1)</f>
        <v/>
      </c>
      <c r="I834" s="8" t="str">
        <f aca="false">IF(OR(NOT(ISNUMBER($G834)),NOT(ISNUMBER($H834))),"",$G834-$H834)</f>
        <v/>
      </c>
    </row>
    <row r="835" customFormat="false" ht="15" hidden="false" customHeight="false" outlineLevel="0" collapsed="false">
      <c r="A835" s="5" t="str">
        <f aca="false">IF(NOT(ISNUMBER(Macro_Series!$A835)),"",Macro_Series!$A835)</f>
        <v/>
      </c>
      <c r="B835" s="6" t="str">
        <f aca="false">IF(NOT(ISNUMBER(Macro_Series!$C835)),"",Macro_Series!$C835)</f>
        <v/>
      </c>
      <c r="C835" s="6" t="str">
        <f aca="false">IF(NOT(ISNUMBER(Macro_Series!$E835)),"",Macro_Series!$E835)</f>
        <v/>
      </c>
      <c r="D835" s="7" t="str">
        <f aca="false">IF(OR(NOT(ISNUMBER($B835)),NOT(ISNUMBER($C835)),$C835=0),"",$B835/$C835)</f>
        <v/>
      </c>
      <c r="E835" s="7" t="str">
        <f aca="false">IF(NOT(ISNUMBER(Macro_Series!$H835)),"",Macro_Series!$H835)</f>
        <v/>
      </c>
      <c r="F835" s="7" t="str">
        <f aca="false">IF(OR(NOT(ISNUMBER($D835)),NOT(ISNUMBER($E835)),$E835=0),"",$D835/$E835)</f>
        <v/>
      </c>
      <c r="G835" s="8" t="str">
        <f aca="false">IF(OR(NOT(ISNUMBER($B835)),NOT(ISNUMBER($B590)),$B590=0),"",$B835/$B590-1)</f>
        <v/>
      </c>
      <c r="H835" s="8" t="str">
        <f aca="false">IF(OR(NOT(ISNUMBER($D835)),NOT(ISNUMBER($D590)),$D590=0),"",$D835/$D590-1)</f>
        <v/>
      </c>
      <c r="I835" s="8" t="str">
        <f aca="false">IF(OR(NOT(ISNUMBER($G835)),NOT(ISNUMBER($H835))),"",$G835-$H835)</f>
        <v/>
      </c>
    </row>
    <row r="836" customFormat="false" ht="15" hidden="false" customHeight="false" outlineLevel="0" collapsed="false">
      <c r="A836" s="5" t="str">
        <f aca="false">IF(NOT(ISNUMBER(Macro_Series!$A836)),"",Macro_Series!$A836)</f>
        <v/>
      </c>
      <c r="B836" s="6" t="str">
        <f aca="false">IF(NOT(ISNUMBER(Macro_Series!$C836)),"",Macro_Series!$C836)</f>
        <v/>
      </c>
      <c r="C836" s="6" t="str">
        <f aca="false">IF(NOT(ISNUMBER(Macro_Series!$E836)),"",Macro_Series!$E836)</f>
        <v/>
      </c>
      <c r="D836" s="7" t="str">
        <f aca="false">IF(OR(NOT(ISNUMBER($B836)),NOT(ISNUMBER($C836)),$C836=0),"",$B836/$C836)</f>
        <v/>
      </c>
      <c r="E836" s="7" t="str">
        <f aca="false">IF(NOT(ISNUMBER(Macro_Series!$H836)),"",Macro_Series!$H836)</f>
        <v/>
      </c>
      <c r="F836" s="7" t="str">
        <f aca="false">IF(OR(NOT(ISNUMBER($D836)),NOT(ISNUMBER($E836)),$E836=0),"",$D836/$E836)</f>
        <v/>
      </c>
      <c r="G836" s="8" t="str">
        <f aca="false">IF(OR(NOT(ISNUMBER($B836)),NOT(ISNUMBER($B591)),$B591=0),"",$B836/$B591-1)</f>
        <v/>
      </c>
      <c r="H836" s="8" t="str">
        <f aca="false">IF(OR(NOT(ISNUMBER($D836)),NOT(ISNUMBER($D591)),$D591=0),"",$D836/$D591-1)</f>
        <v/>
      </c>
      <c r="I836" s="8" t="str">
        <f aca="false">IF(OR(NOT(ISNUMBER($G836)),NOT(ISNUMBER($H836))),"",$G836-$H836)</f>
        <v/>
      </c>
    </row>
    <row r="837" customFormat="false" ht="15" hidden="false" customHeight="false" outlineLevel="0" collapsed="false">
      <c r="A837" s="5" t="str">
        <f aca="false">IF(NOT(ISNUMBER(Macro_Series!$A837)),"",Macro_Series!$A837)</f>
        <v/>
      </c>
      <c r="B837" s="6" t="str">
        <f aca="false">IF(NOT(ISNUMBER(Macro_Series!$C837)),"",Macro_Series!$C837)</f>
        <v/>
      </c>
      <c r="C837" s="6" t="str">
        <f aca="false">IF(NOT(ISNUMBER(Macro_Series!$E837)),"",Macro_Series!$E837)</f>
        <v/>
      </c>
      <c r="D837" s="7" t="str">
        <f aca="false">IF(OR(NOT(ISNUMBER($B837)),NOT(ISNUMBER($C837)),$C837=0),"",$B837/$C837)</f>
        <v/>
      </c>
      <c r="E837" s="7" t="str">
        <f aca="false">IF(NOT(ISNUMBER(Macro_Series!$H837)),"",Macro_Series!$H837)</f>
        <v/>
      </c>
      <c r="F837" s="7" t="str">
        <f aca="false">IF(OR(NOT(ISNUMBER($D837)),NOT(ISNUMBER($E837)),$E837=0),"",$D837/$E837)</f>
        <v/>
      </c>
      <c r="G837" s="8" t="str">
        <f aca="false">IF(OR(NOT(ISNUMBER($B837)),NOT(ISNUMBER($B592)),$B592=0),"",$B837/$B592-1)</f>
        <v/>
      </c>
      <c r="H837" s="8" t="str">
        <f aca="false">IF(OR(NOT(ISNUMBER($D837)),NOT(ISNUMBER($D592)),$D592=0),"",$D837/$D592-1)</f>
        <v/>
      </c>
      <c r="I837" s="8" t="str">
        <f aca="false">IF(OR(NOT(ISNUMBER($G837)),NOT(ISNUMBER($H837))),"",$G837-$H837)</f>
        <v/>
      </c>
    </row>
    <row r="838" customFormat="false" ht="15" hidden="false" customHeight="false" outlineLevel="0" collapsed="false">
      <c r="A838" s="5" t="str">
        <f aca="false">IF(NOT(ISNUMBER(Macro_Series!$A838)),"",Macro_Series!$A838)</f>
        <v/>
      </c>
      <c r="B838" s="6" t="str">
        <f aca="false">IF(NOT(ISNUMBER(Macro_Series!$C838)),"",Macro_Series!$C838)</f>
        <v/>
      </c>
      <c r="C838" s="6" t="str">
        <f aca="false">IF(NOT(ISNUMBER(Macro_Series!$E838)),"",Macro_Series!$E838)</f>
        <v/>
      </c>
      <c r="D838" s="7" t="str">
        <f aca="false">IF(OR(NOT(ISNUMBER($B838)),NOT(ISNUMBER($C838)),$C838=0),"",$B838/$C838)</f>
        <v/>
      </c>
      <c r="E838" s="7" t="str">
        <f aca="false">IF(NOT(ISNUMBER(Macro_Series!$H838)),"",Macro_Series!$H838)</f>
        <v/>
      </c>
      <c r="F838" s="7" t="str">
        <f aca="false">IF(OR(NOT(ISNUMBER($D838)),NOT(ISNUMBER($E838)),$E838=0),"",$D838/$E838)</f>
        <v/>
      </c>
      <c r="G838" s="8" t="str">
        <f aca="false">IF(OR(NOT(ISNUMBER($B838)),NOT(ISNUMBER($B593)),$B593=0),"",$B838/$B593-1)</f>
        <v/>
      </c>
      <c r="H838" s="8" t="str">
        <f aca="false">IF(OR(NOT(ISNUMBER($D838)),NOT(ISNUMBER($D593)),$D593=0),"",$D838/$D593-1)</f>
        <v/>
      </c>
      <c r="I838" s="8" t="str">
        <f aca="false">IF(OR(NOT(ISNUMBER($G838)),NOT(ISNUMBER($H838))),"",$G838-$H838)</f>
        <v/>
      </c>
    </row>
    <row r="839" customFormat="false" ht="15" hidden="false" customHeight="false" outlineLevel="0" collapsed="false">
      <c r="A839" s="5" t="str">
        <f aca="false">IF(NOT(ISNUMBER(Macro_Series!$A839)),"",Macro_Series!$A839)</f>
        <v/>
      </c>
      <c r="B839" s="6" t="str">
        <f aca="false">IF(NOT(ISNUMBER(Macro_Series!$C839)),"",Macro_Series!$C839)</f>
        <v/>
      </c>
      <c r="C839" s="6" t="str">
        <f aca="false">IF(NOT(ISNUMBER(Macro_Series!$E839)),"",Macro_Series!$E839)</f>
        <v/>
      </c>
      <c r="D839" s="7" t="str">
        <f aca="false">IF(OR(NOT(ISNUMBER($B839)),NOT(ISNUMBER($C839)),$C839=0),"",$B839/$C839)</f>
        <v/>
      </c>
      <c r="E839" s="7" t="str">
        <f aca="false">IF(NOT(ISNUMBER(Macro_Series!$H839)),"",Macro_Series!$H839)</f>
        <v/>
      </c>
      <c r="F839" s="7" t="str">
        <f aca="false">IF(OR(NOT(ISNUMBER($D839)),NOT(ISNUMBER($E839)),$E839=0),"",$D839/$E839)</f>
        <v/>
      </c>
      <c r="G839" s="8" t="str">
        <f aca="false">IF(OR(NOT(ISNUMBER($B839)),NOT(ISNUMBER($B594)),$B594=0),"",$B839/$B594-1)</f>
        <v/>
      </c>
      <c r="H839" s="8" t="str">
        <f aca="false">IF(OR(NOT(ISNUMBER($D839)),NOT(ISNUMBER($D594)),$D594=0),"",$D839/$D594-1)</f>
        <v/>
      </c>
      <c r="I839" s="8" t="str">
        <f aca="false">IF(OR(NOT(ISNUMBER($G839)),NOT(ISNUMBER($H839))),"",$G839-$H839)</f>
        <v/>
      </c>
    </row>
    <row r="840" customFormat="false" ht="15" hidden="false" customHeight="false" outlineLevel="0" collapsed="false">
      <c r="A840" s="5" t="str">
        <f aca="false">IF(NOT(ISNUMBER(Macro_Series!$A840)),"",Macro_Series!$A840)</f>
        <v/>
      </c>
      <c r="B840" s="6" t="str">
        <f aca="false">IF(NOT(ISNUMBER(Macro_Series!$C840)),"",Macro_Series!$C840)</f>
        <v/>
      </c>
      <c r="C840" s="6" t="str">
        <f aca="false">IF(NOT(ISNUMBER(Macro_Series!$E840)),"",Macro_Series!$E840)</f>
        <v/>
      </c>
      <c r="D840" s="7" t="str">
        <f aca="false">IF(OR(NOT(ISNUMBER($B840)),NOT(ISNUMBER($C840)),$C840=0),"",$B840/$C840)</f>
        <v/>
      </c>
      <c r="E840" s="7" t="str">
        <f aca="false">IF(NOT(ISNUMBER(Macro_Series!$H840)),"",Macro_Series!$H840)</f>
        <v/>
      </c>
      <c r="F840" s="7" t="str">
        <f aca="false">IF(OR(NOT(ISNUMBER($D840)),NOT(ISNUMBER($E840)),$E840=0),"",$D840/$E840)</f>
        <v/>
      </c>
      <c r="G840" s="8" t="str">
        <f aca="false">IF(OR(NOT(ISNUMBER($B840)),NOT(ISNUMBER($B595)),$B595=0),"",$B840/$B595-1)</f>
        <v/>
      </c>
      <c r="H840" s="8" t="str">
        <f aca="false">IF(OR(NOT(ISNUMBER($D840)),NOT(ISNUMBER($D595)),$D595=0),"",$D840/$D595-1)</f>
        <v/>
      </c>
      <c r="I840" s="8" t="str">
        <f aca="false">IF(OR(NOT(ISNUMBER($G840)),NOT(ISNUMBER($H840))),"",$G840-$H840)</f>
        <v/>
      </c>
    </row>
    <row r="841" customFormat="false" ht="15" hidden="false" customHeight="false" outlineLevel="0" collapsed="false">
      <c r="A841" s="5" t="str">
        <f aca="false">IF(NOT(ISNUMBER(Macro_Series!$A841)),"",Macro_Series!$A841)</f>
        <v/>
      </c>
      <c r="B841" s="6" t="str">
        <f aca="false">IF(NOT(ISNUMBER(Macro_Series!$C841)),"",Macro_Series!$C841)</f>
        <v/>
      </c>
      <c r="C841" s="6" t="str">
        <f aca="false">IF(NOT(ISNUMBER(Macro_Series!$E841)),"",Macro_Series!$E841)</f>
        <v/>
      </c>
      <c r="D841" s="7" t="str">
        <f aca="false">IF(OR(NOT(ISNUMBER($B841)),NOT(ISNUMBER($C841)),$C841=0),"",$B841/$C841)</f>
        <v/>
      </c>
      <c r="E841" s="7" t="str">
        <f aca="false">IF(NOT(ISNUMBER(Macro_Series!$H841)),"",Macro_Series!$H841)</f>
        <v/>
      </c>
      <c r="F841" s="7" t="str">
        <f aca="false">IF(OR(NOT(ISNUMBER($D841)),NOT(ISNUMBER($E841)),$E841=0),"",$D841/$E841)</f>
        <v/>
      </c>
      <c r="G841" s="8" t="str">
        <f aca="false">IF(OR(NOT(ISNUMBER($B841)),NOT(ISNUMBER($B596)),$B596=0),"",$B841/$B596-1)</f>
        <v/>
      </c>
      <c r="H841" s="8" t="str">
        <f aca="false">IF(OR(NOT(ISNUMBER($D841)),NOT(ISNUMBER($D596)),$D596=0),"",$D841/$D596-1)</f>
        <v/>
      </c>
      <c r="I841" s="8" t="str">
        <f aca="false">IF(OR(NOT(ISNUMBER($G841)),NOT(ISNUMBER($H841))),"",$G841-$H841)</f>
        <v/>
      </c>
    </row>
    <row r="842" customFormat="false" ht="15" hidden="false" customHeight="false" outlineLevel="0" collapsed="false">
      <c r="A842" s="5" t="str">
        <f aca="false">IF(NOT(ISNUMBER(Macro_Series!$A842)),"",Macro_Series!$A842)</f>
        <v/>
      </c>
      <c r="B842" s="6" t="str">
        <f aca="false">IF(NOT(ISNUMBER(Macro_Series!$C842)),"",Macro_Series!$C842)</f>
        <v/>
      </c>
      <c r="C842" s="6" t="str">
        <f aca="false">IF(NOT(ISNUMBER(Macro_Series!$E842)),"",Macro_Series!$E842)</f>
        <v/>
      </c>
      <c r="D842" s="7" t="str">
        <f aca="false">IF(OR(NOT(ISNUMBER($B842)),NOT(ISNUMBER($C842)),$C842=0),"",$B842/$C842)</f>
        <v/>
      </c>
      <c r="E842" s="7" t="str">
        <f aca="false">IF(NOT(ISNUMBER(Macro_Series!$H842)),"",Macro_Series!$H842)</f>
        <v/>
      </c>
      <c r="F842" s="7" t="str">
        <f aca="false">IF(OR(NOT(ISNUMBER($D842)),NOT(ISNUMBER($E842)),$E842=0),"",$D842/$E842)</f>
        <v/>
      </c>
      <c r="G842" s="8" t="str">
        <f aca="false">IF(OR(NOT(ISNUMBER($B842)),NOT(ISNUMBER($B597)),$B597=0),"",$B842/$B597-1)</f>
        <v/>
      </c>
      <c r="H842" s="8" t="str">
        <f aca="false">IF(OR(NOT(ISNUMBER($D842)),NOT(ISNUMBER($D597)),$D597=0),"",$D842/$D597-1)</f>
        <v/>
      </c>
      <c r="I842" s="8" t="str">
        <f aca="false">IF(OR(NOT(ISNUMBER($G842)),NOT(ISNUMBER($H842))),"",$G842-$H842)</f>
        <v/>
      </c>
    </row>
    <row r="843" customFormat="false" ht="15" hidden="false" customHeight="false" outlineLevel="0" collapsed="false">
      <c r="A843" s="5" t="str">
        <f aca="false">IF(NOT(ISNUMBER(Macro_Series!$A843)),"",Macro_Series!$A843)</f>
        <v/>
      </c>
      <c r="B843" s="6" t="str">
        <f aca="false">IF(NOT(ISNUMBER(Macro_Series!$C843)),"",Macro_Series!$C843)</f>
        <v/>
      </c>
      <c r="C843" s="6" t="str">
        <f aca="false">IF(NOT(ISNUMBER(Macro_Series!$E843)),"",Macro_Series!$E843)</f>
        <v/>
      </c>
      <c r="D843" s="7" t="str">
        <f aca="false">IF(OR(NOT(ISNUMBER($B843)),NOT(ISNUMBER($C843)),$C843=0),"",$B843/$C843)</f>
        <v/>
      </c>
      <c r="E843" s="7" t="str">
        <f aca="false">IF(NOT(ISNUMBER(Macro_Series!$H843)),"",Macro_Series!$H843)</f>
        <v/>
      </c>
      <c r="F843" s="7" t="str">
        <f aca="false">IF(OR(NOT(ISNUMBER($D843)),NOT(ISNUMBER($E843)),$E843=0),"",$D843/$E843)</f>
        <v/>
      </c>
      <c r="G843" s="8" t="str">
        <f aca="false">IF(OR(NOT(ISNUMBER($B843)),NOT(ISNUMBER($B598)),$B598=0),"",$B843/$B598-1)</f>
        <v/>
      </c>
      <c r="H843" s="8" t="str">
        <f aca="false">IF(OR(NOT(ISNUMBER($D843)),NOT(ISNUMBER($D598)),$D598=0),"",$D843/$D598-1)</f>
        <v/>
      </c>
      <c r="I843" s="8" t="str">
        <f aca="false">IF(OR(NOT(ISNUMBER($G843)),NOT(ISNUMBER($H843))),"",$G843-$H843)</f>
        <v/>
      </c>
    </row>
    <row r="844" customFormat="false" ht="15" hidden="false" customHeight="false" outlineLevel="0" collapsed="false">
      <c r="A844" s="5" t="str">
        <f aca="false">IF(NOT(ISNUMBER(Macro_Series!$A844)),"",Macro_Series!$A844)</f>
        <v/>
      </c>
      <c r="B844" s="6" t="str">
        <f aca="false">IF(NOT(ISNUMBER(Macro_Series!$C844)),"",Macro_Series!$C844)</f>
        <v/>
      </c>
      <c r="C844" s="6" t="str">
        <f aca="false">IF(NOT(ISNUMBER(Macro_Series!$E844)),"",Macro_Series!$E844)</f>
        <v/>
      </c>
      <c r="D844" s="7" t="str">
        <f aca="false">IF(OR(NOT(ISNUMBER($B844)),NOT(ISNUMBER($C844)),$C844=0),"",$B844/$C844)</f>
        <v/>
      </c>
      <c r="E844" s="7" t="str">
        <f aca="false">IF(NOT(ISNUMBER(Macro_Series!$H844)),"",Macro_Series!$H844)</f>
        <v/>
      </c>
      <c r="F844" s="7" t="str">
        <f aca="false">IF(OR(NOT(ISNUMBER($D844)),NOT(ISNUMBER($E844)),$E844=0),"",$D844/$E844)</f>
        <v/>
      </c>
      <c r="G844" s="8" t="str">
        <f aca="false">IF(OR(NOT(ISNUMBER($B844)),NOT(ISNUMBER($B599)),$B599=0),"",$B844/$B599-1)</f>
        <v/>
      </c>
      <c r="H844" s="8" t="str">
        <f aca="false">IF(OR(NOT(ISNUMBER($D844)),NOT(ISNUMBER($D599)),$D599=0),"",$D844/$D599-1)</f>
        <v/>
      </c>
      <c r="I844" s="8" t="str">
        <f aca="false">IF(OR(NOT(ISNUMBER($G844)),NOT(ISNUMBER($H844))),"",$G844-$H844)</f>
        <v/>
      </c>
    </row>
    <row r="845" customFormat="false" ht="15" hidden="false" customHeight="false" outlineLevel="0" collapsed="false">
      <c r="A845" s="5" t="str">
        <f aca="false">IF(NOT(ISNUMBER(Macro_Series!$A845)),"",Macro_Series!$A845)</f>
        <v/>
      </c>
      <c r="B845" s="6" t="str">
        <f aca="false">IF(NOT(ISNUMBER(Macro_Series!$C845)),"",Macro_Series!$C845)</f>
        <v/>
      </c>
      <c r="C845" s="6" t="str">
        <f aca="false">IF(NOT(ISNUMBER(Macro_Series!$E845)),"",Macro_Series!$E845)</f>
        <v/>
      </c>
      <c r="D845" s="7" t="str">
        <f aca="false">IF(OR(NOT(ISNUMBER($B845)),NOT(ISNUMBER($C845)),$C845=0),"",$B845/$C845)</f>
        <v/>
      </c>
      <c r="E845" s="7" t="str">
        <f aca="false">IF(NOT(ISNUMBER(Macro_Series!$H845)),"",Macro_Series!$H845)</f>
        <v/>
      </c>
      <c r="F845" s="7" t="str">
        <f aca="false">IF(OR(NOT(ISNUMBER($D845)),NOT(ISNUMBER($E845)),$E845=0),"",$D845/$E845)</f>
        <v/>
      </c>
      <c r="G845" s="8" t="str">
        <f aca="false">IF(OR(NOT(ISNUMBER($B845)),NOT(ISNUMBER($B600)),$B600=0),"",$B845/$B600-1)</f>
        <v/>
      </c>
      <c r="H845" s="8" t="str">
        <f aca="false">IF(OR(NOT(ISNUMBER($D845)),NOT(ISNUMBER($D600)),$D600=0),"",$D845/$D600-1)</f>
        <v/>
      </c>
      <c r="I845" s="8" t="str">
        <f aca="false">IF(OR(NOT(ISNUMBER($G845)),NOT(ISNUMBER($H845))),"",$G845-$H845)</f>
        <v/>
      </c>
    </row>
    <row r="846" customFormat="false" ht="15" hidden="false" customHeight="false" outlineLevel="0" collapsed="false">
      <c r="A846" s="5" t="str">
        <f aca="false">IF(NOT(ISNUMBER(Macro_Series!$A846)),"",Macro_Series!$A846)</f>
        <v/>
      </c>
      <c r="B846" s="6" t="str">
        <f aca="false">IF(NOT(ISNUMBER(Macro_Series!$C846)),"",Macro_Series!$C846)</f>
        <v/>
      </c>
      <c r="C846" s="6" t="str">
        <f aca="false">IF(NOT(ISNUMBER(Macro_Series!$E846)),"",Macro_Series!$E846)</f>
        <v/>
      </c>
      <c r="D846" s="7" t="str">
        <f aca="false">IF(OR(NOT(ISNUMBER($B846)),NOT(ISNUMBER($C846)),$C846=0),"",$B846/$C846)</f>
        <v/>
      </c>
      <c r="E846" s="7" t="str">
        <f aca="false">IF(NOT(ISNUMBER(Macro_Series!$H846)),"",Macro_Series!$H846)</f>
        <v/>
      </c>
      <c r="F846" s="7" t="str">
        <f aca="false">IF(OR(NOT(ISNUMBER($D846)),NOT(ISNUMBER($E846)),$E846=0),"",$D846/$E846)</f>
        <v/>
      </c>
      <c r="G846" s="8" t="str">
        <f aca="false">IF(OR(NOT(ISNUMBER($B846)),NOT(ISNUMBER($B601)),$B601=0),"",$B846/$B601-1)</f>
        <v/>
      </c>
      <c r="H846" s="8" t="str">
        <f aca="false">IF(OR(NOT(ISNUMBER($D846)),NOT(ISNUMBER($D601)),$D601=0),"",$D846/$D601-1)</f>
        <v/>
      </c>
      <c r="I846" s="8" t="str">
        <f aca="false">IF(OR(NOT(ISNUMBER($G846)),NOT(ISNUMBER($H846))),"",$G846-$H846)</f>
        <v/>
      </c>
    </row>
    <row r="847" customFormat="false" ht="15" hidden="false" customHeight="false" outlineLevel="0" collapsed="false">
      <c r="A847" s="5" t="str">
        <f aca="false">IF(NOT(ISNUMBER(Macro_Series!$A847)),"",Macro_Series!$A847)</f>
        <v/>
      </c>
      <c r="B847" s="6" t="str">
        <f aca="false">IF(NOT(ISNUMBER(Macro_Series!$C847)),"",Macro_Series!$C847)</f>
        <v/>
      </c>
      <c r="C847" s="6" t="str">
        <f aca="false">IF(NOT(ISNUMBER(Macro_Series!$E847)),"",Macro_Series!$E847)</f>
        <v/>
      </c>
      <c r="D847" s="7" t="str">
        <f aca="false">IF(OR(NOT(ISNUMBER($B847)),NOT(ISNUMBER($C847)),$C847=0),"",$B847/$C847)</f>
        <v/>
      </c>
      <c r="E847" s="7" t="str">
        <f aca="false">IF(NOT(ISNUMBER(Macro_Series!$H847)),"",Macro_Series!$H847)</f>
        <v/>
      </c>
      <c r="F847" s="7" t="str">
        <f aca="false">IF(OR(NOT(ISNUMBER($D847)),NOT(ISNUMBER($E847)),$E847=0),"",$D847/$E847)</f>
        <v/>
      </c>
      <c r="G847" s="8" t="str">
        <f aca="false">IF(OR(NOT(ISNUMBER($B847)),NOT(ISNUMBER($B602)),$B602=0),"",$B847/$B602-1)</f>
        <v/>
      </c>
      <c r="H847" s="8" t="str">
        <f aca="false">IF(OR(NOT(ISNUMBER($D847)),NOT(ISNUMBER($D602)),$D602=0),"",$D847/$D602-1)</f>
        <v/>
      </c>
      <c r="I847" s="8" t="str">
        <f aca="false">IF(OR(NOT(ISNUMBER($G847)),NOT(ISNUMBER($H847))),"",$G847-$H847)</f>
        <v/>
      </c>
    </row>
    <row r="848" customFormat="false" ht="15" hidden="false" customHeight="false" outlineLevel="0" collapsed="false">
      <c r="A848" s="5" t="str">
        <f aca="false">IF(NOT(ISNUMBER(Macro_Series!$A848)),"",Macro_Series!$A848)</f>
        <v/>
      </c>
      <c r="B848" s="6" t="str">
        <f aca="false">IF(NOT(ISNUMBER(Macro_Series!$C848)),"",Macro_Series!$C848)</f>
        <v/>
      </c>
      <c r="C848" s="6" t="str">
        <f aca="false">IF(NOT(ISNUMBER(Macro_Series!$E848)),"",Macro_Series!$E848)</f>
        <v/>
      </c>
      <c r="D848" s="7" t="str">
        <f aca="false">IF(OR(NOT(ISNUMBER($B848)),NOT(ISNUMBER($C848)),$C848=0),"",$B848/$C848)</f>
        <v/>
      </c>
      <c r="E848" s="7" t="str">
        <f aca="false">IF(NOT(ISNUMBER(Macro_Series!$H848)),"",Macro_Series!$H848)</f>
        <v/>
      </c>
      <c r="F848" s="7" t="str">
        <f aca="false">IF(OR(NOT(ISNUMBER($D848)),NOT(ISNUMBER($E848)),$E848=0),"",$D848/$E848)</f>
        <v/>
      </c>
      <c r="G848" s="8" t="str">
        <f aca="false">IF(OR(NOT(ISNUMBER($B848)),NOT(ISNUMBER($B603)),$B603=0),"",$B848/$B603-1)</f>
        <v/>
      </c>
      <c r="H848" s="8" t="str">
        <f aca="false">IF(OR(NOT(ISNUMBER($D848)),NOT(ISNUMBER($D603)),$D603=0),"",$D848/$D603-1)</f>
        <v/>
      </c>
      <c r="I848" s="8" t="str">
        <f aca="false">IF(OR(NOT(ISNUMBER($G848)),NOT(ISNUMBER($H848))),"",$G848-$H848)</f>
        <v/>
      </c>
    </row>
    <row r="849" customFormat="false" ht="15" hidden="false" customHeight="false" outlineLevel="0" collapsed="false">
      <c r="A849" s="5" t="str">
        <f aca="false">IF(NOT(ISNUMBER(Macro_Series!$A849)),"",Macro_Series!$A849)</f>
        <v/>
      </c>
      <c r="B849" s="6" t="str">
        <f aca="false">IF(NOT(ISNUMBER(Macro_Series!$C849)),"",Macro_Series!$C849)</f>
        <v/>
      </c>
      <c r="C849" s="6" t="str">
        <f aca="false">IF(NOT(ISNUMBER(Macro_Series!$E849)),"",Macro_Series!$E849)</f>
        <v/>
      </c>
      <c r="D849" s="7" t="str">
        <f aca="false">IF(OR(NOT(ISNUMBER($B849)),NOT(ISNUMBER($C849)),$C849=0),"",$B849/$C849)</f>
        <v/>
      </c>
      <c r="E849" s="7" t="str">
        <f aca="false">IF(NOT(ISNUMBER(Macro_Series!$H849)),"",Macro_Series!$H849)</f>
        <v/>
      </c>
      <c r="F849" s="7" t="str">
        <f aca="false">IF(OR(NOT(ISNUMBER($D849)),NOT(ISNUMBER($E849)),$E849=0),"",$D849/$E849)</f>
        <v/>
      </c>
      <c r="G849" s="8" t="str">
        <f aca="false">IF(OR(NOT(ISNUMBER($B849)),NOT(ISNUMBER($B604)),$B604=0),"",$B849/$B604-1)</f>
        <v/>
      </c>
      <c r="H849" s="8" t="str">
        <f aca="false">IF(OR(NOT(ISNUMBER($D849)),NOT(ISNUMBER($D604)),$D604=0),"",$D849/$D604-1)</f>
        <v/>
      </c>
      <c r="I849" s="8" t="str">
        <f aca="false">IF(OR(NOT(ISNUMBER($G849)),NOT(ISNUMBER($H849))),"",$G849-$H849)</f>
        <v/>
      </c>
    </row>
    <row r="850" customFormat="false" ht="15" hidden="false" customHeight="false" outlineLevel="0" collapsed="false">
      <c r="A850" s="5" t="str">
        <f aca="false">IF(NOT(ISNUMBER(Macro_Series!$A850)),"",Macro_Series!$A850)</f>
        <v/>
      </c>
      <c r="B850" s="6" t="str">
        <f aca="false">IF(NOT(ISNUMBER(Macro_Series!$C850)),"",Macro_Series!$C850)</f>
        <v/>
      </c>
      <c r="C850" s="6" t="str">
        <f aca="false">IF(NOT(ISNUMBER(Macro_Series!$E850)),"",Macro_Series!$E850)</f>
        <v/>
      </c>
      <c r="D850" s="7" t="str">
        <f aca="false">IF(OR(NOT(ISNUMBER($B850)),NOT(ISNUMBER($C850)),$C850=0),"",$B850/$C850)</f>
        <v/>
      </c>
      <c r="E850" s="7" t="str">
        <f aca="false">IF(NOT(ISNUMBER(Macro_Series!$H850)),"",Macro_Series!$H850)</f>
        <v/>
      </c>
      <c r="F850" s="7" t="str">
        <f aca="false">IF(OR(NOT(ISNUMBER($D850)),NOT(ISNUMBER($E850)),$E850=0),"",$D850/$E850)</f>
        <v/>
      </c>
      <c r="G850" s="8" t="str">
        <f aca="false">IF(OR(NOT(ISNUMBER($B850)),NOT(ISNUMBER($B605)),$B605=0),"",$B850/$B605-1)</f>
        <v/>
      </c>
      <c r="H850" s="8" t="str">
        <f aca="false">IF(OR(NOT(ISNUMBER($D850)),NOT(ISNUMBER($D605)),$D605=0),"",$D850/$D605-1)</f>
        <v/>
      </c>
      <c r="I850" s="8" t="str">
        <f aca="false">IF(OR(NOT(ISNUMBER($G850)),NOT(ISNUMBER($H850))),"",$G850-$H850)</f>
        <v/>
      </c>
    </row>
    <row r="851" customFormat="false" ht="15" hidden="false" customHeight="false" outlineLevel="0" collapsed="false">
      <c r="A851" s="5" t="str">
        <f aca="false">IF(NOT(ISNUMBER(Macro_Series!$A851)),"",Macro_Series!$A851)</f>
        <v/>
      </c>
      <c r="B851" s="6" t="str">
        <f aca="false">IF(NOT(ISNUMBER(Macro_Series!$C851)),"",Macro_Series!$C851)</f>
        <v/>
      </c>
      <c r="C851" s="6" t="str">
        <f aca="false">IF(NOT(ISNUMBER(Macro_Series!$E851)),"",Macro_Series!$E851)</f>
        <v/>
      </c>
      <c r="D851" s="7" t="str">
        <f aca="false">IF(OR(NOT(ISNUMBER($B851)),NOT(ISNUMBER($C851)),$C851=0),"",$B851/$C851)</f>
        <v/>
      </c>
      <c r="E851" s="7" t="str">
        <f aca="false">IF(NOT(ISNUMBER(Macro_Series!$H851)),"",Macro_Series!$H851)</f>
        <v/>
      </c>
      <c r="F851" s="7" t="str">
        <f aca="false">IF(OR(NOT(ISNUMBER($D851)),NOT(ISNUMBER($E851)),$E851=0),"",$D851/$E851)</f>
        <v/>
      </c>
      <c r="G851" s="8" t="str">
        <f aca="false">IF(OR(NOT(ISNUMBER($B851)),NOT(ISNUMBER($B606)),$B606=0),"",$B851/$B606-1)</f>
        <v/>
      </c>
      <c r="H851" s="8" t="str">
        <f aca="false">IF(OR(NOT(ISNUMBER($D851)),NOT(ISNUMBER($D606)),$D606=0),"",$D851/$D606-1)</f>
        <v/>
      </c>
      <c r="I851" s="8" t="str">
        <f aca="false">IF(OR(NOT(ISNUMBER($G851)),NOT(ISNUMBER($H851))),"",$G851-$H851)</f>
        <v/>
      </c>
    </row>
    <row r="852" customFormat="false" ht="15" hidden="false" customHeight="false" outlineLevel="0" collapsed="false">
      <c r="A852" s="5" t="str">
        <f aca="false">IF(NOT(ISNUMBER(Macro_Series!$A852)),"",Macro_Series!$A852)</f>
        <v/>
      </c>
      <c r="B852" s="6" t="str">
        <f aca="false">IF(NOT(ISNUMBER(Macro_Series!$C852)),"",Macro_Series!$C852)</f>
        <v/>
      </c>
      <c r="C852" s="6" t="str">
        <f aca="false">IF(NOT(ISNUMBER(Macro_Series!$E852)),"",Macro_Series!$E852)</f>
        <v/>
      </c>
      <c r="D852" s="7" t="str">
        <f aca="false">IF(OR(NOT(ISNUMBER($B852)),NOT(ISNUMBER($C852)),$C852=0),"",$B852/$C852)</f>
        <v/>
      </c>
      <c r="E852" s="7" t="str">
        <f aca="false">IF(NOT(ISNUMBER(Macro_Series!$H852)),"",Macro_Series!$H852)</f>
        <v/>
      </c>
      <c r="F852" s="7" t="str">
        <f aca="false">IF(OR(NOT(ISNUMBER($D852)),NOT(ISNUMBER($E852)),$E852=0),"",$D852/$E852)</f>
        <v/>
      </c>
      <c r="G852" s="8" t="str">
        <f aca="false">IF(OR(NOT(ISNUMBER($B852)),NOT(ISNUMBER($B607)),$B607=0),"",$B852/$B607-1)</f>
        <v/>
      </c>
      <c r="H852" s="8" t="str">
        <f aca="false">IF(OR(NOT(ISNUMBER($D852)),NOT(ISNUMBER($D607)),$D607=0),"",$D852/$D607-1)</f>
        <v/>
      </c>
      <c r="I852" s="8" t="str">
        <f aca="false">IF(OR(NOT(ISNUMBER($G852)),NOT(ISNUMBER($H852))),"",$G852-$H852)</f>
        <v/>
      </c>
    </row>
    <row r="853" customFormat="false" ht="15" hidden="false" customHeight="false" outlineLevel="0" collapsed="false">
      <c r="A853" s="5" t="str">
        <f aca="false">IF(NOT(ISNUMBER(Macro_Series!$A853)),"",Macro_Series!$A853)</f>
        <v/>
      </c>
      <c r="B853" s="6" t="str">
        <f aca="false">IF(NOT(ISNUMBER(Macro_Series!$C853)),"",Macro_Series!$C853)</f>
        <v/>
      </c>
      <c r="C853" s="6" t="str">
        <f aca="false">IF(NOT(ISNUMBER(Macro_Series!$E853)),"",Macro_Series!$E853)</f>
        <v/>
      </c>
      <c r="D853" s="7" t="str">
        <f aca="false">IF(OR(NOT(ISNUMBER($B853)),NOT(ISNUMBER($C853)),$C853=0),"",$B853/$C853)</f>
        <v/>
      </c>
      <c r="E853" s="7" t="str">
        <f aca="false">IF(NOT(ISNUMBER(Macro_Series!$H853)),"",Macro_Series!$H853)</f>
        <v/>
      </c>
      <c r="F853" s="7" t="str">
        <f aca="false">IF(OR(NOT(ISNUMBER($D853)),NOT(ISNUMBER($E853)),$E853=0),"",$D853/$E853)</f>
        <v/>
      </c>
      <c r="G853" s="8" t="str">
        <f aca="false">IF(OR(NOT(ISNUMBER($B853)),NOT(ISNUMBER($B608)),$B608=0),"",$B853/$B608-1)</f>
        <v/>
      </c>
      <c r="H853" s="8" t="str">
        <f aca="false">IF(OR(NOT(ISNUMBER($D853)),NOT(ISNUMBER($D608)),$D608=0),"",$D853/$D608-1)</f>
        <v/>
      </c>
      <c r="I853" s="8" t="str">
        <f aca="false">IF(OR(NOT(ISNUMBER($G853)),NOT(ISNUMBER($H853))),"",$G853-$H853)</f>
        <v/>
      </c>
    </row>
    <row r="854" customFormat="false" ht="15" hidden="false" customHeight="false" outlineLevel="0" collapsed="false">
      <c r="A854" s="5" t="str">
        <f aca="false">IF(NOT(ISNUMBER(Macro_Series!$A854)),"",Macro_Series!$A854)</f>
        <v/>
      </c>
      <c r="B854" s="6" t="str">
        <f aca="false">IF(NOT(ISNUMBER(Macro_Series!$C854)),"",Macro_Series!$C854)</f>
        <v/>
      </c>
      <c r="C854" s="6" t="str">
        <f aca="false">IF(NOT(ISNUMBER(Macro_Series!$E854)),"",Macro_Series!$E854)</f>
        <v/>
      </c>
      <c r="D854" s="7" t="str">
        <f aca="false">IF(OR(NOT(ISNUMBER($B854)),NOT(ISNUMBER($C854)),$C854=0),"",$B854/$C854)</f>
        <v/>
      </c>
      <c r="E854" s="7" t="str">
        <f aca="false">IF(NOT(ISNUMBER(Macro_Series!$H854)),"",Macro_Series!$H854)</f>
        <v/>
      </c>
      <c r="F854" s="7" t="str">
        <f aca="false">IF(OR(NOT(ISNUMBER($D854)),NOT(ISNUMBER($E854)),$E854=0),"",$D854/$E854)</f>
        <v/>
      </c>
      <c r="G854" s="8" t="str">
        <f aca="false">IF(OR(NOT(ISNUMBER($B854)),NOT(ISNUMBER($B609)),$B609=0),"",$B854/$B609-1)</f>
        <v/>
      </c>
      <c r="H854" s="8" t="str">
        <f aca="false">IF(OR(NOT(ISNUMBER($D854)),NOT(ISNUMBER($D609)),$D609=0),"",$D854/$D609-1)</f>
        <v/>
      </c>
      <c r="I854" s="8" t="str">
        <f aca="false">IF(OR(NOT(ISNUMBER($G854)),NOT(ISNUMBER($H854))),"",$G854-$H854)</f>
        <v/>
      </c>
    </row>
    <row r="855" customFormat="false" ht="15" hidden="false" customHeight="false" outlineLevel="0" collapsed="false">
      <c r="A855" s="5" t="str">
        <f aca="false">IF(NOT(ISNUMBER(Macro_Series!$A855)),"",Macro_Series!$A855)</f>
        <v/>
      </c>
      <c r="B855" s="6" t="str">
        <f aca="false">IF(NOT(ISNUMBER(Macro_Series!$C855)),"",Macro_Series!$C855)</f>
        <v/>
      </c>
      <c r="C855" s="6" t="str">
        <f aca="false">IF(NOT(ISNUMBER(Macro_Series!$E855)),"",Macro_Series!$E855)</f>
        <v/>
      </c>
      <c r="D855" s="7" t="str">
        <f aca="false">IF(OR(NOT(ISNUMBER($B855)),NOT(ISNUMBER($C855)),$C855=0),"",$B855/$C855)</f>
        <v/>
      </c>
      <c r="E855" s="7" t="str">
        <f aca="false">IF(NOT(ISNUMBER(Macro_Series!$H855)),"",Macro_Series!$H855)</f>
        <v/>
      </c>
      <c r="F855" s="7" t="str">
        <f aca="false">IF(OR(NOT(ISNUMBER($D855)),NOT(ISNUMBER($E855)),$E855=0),"",$D855/$E855)</f>
        <v/>
      </c>
      <c r="G855" s="8" t="str">
        <f aca="false">IF(OR(NOT(ISNUMBER($B855)),NOT(ISNUMBER($B610)),$B610=0),"",$B855/$B610-1)</f>
        <v/>
      </c>
      <c r="H855" s="8" t="str">
        <f aca="false">IF(OR(NOT(ISNUMBER($D855)),NOT(ISNUMBER($D610)),$D610=0),"",$D855/$D610-1)</f>
        <v/>
      </c>
      <c r="I855" s="8" t="str">
        <f aca="false">IF(OR(NOT(ISNUMBER($G855)),NOT(ISNUMBER($H855))),"",$G855-$H855)</f>
        <v/>
      </c>
    </row>
    <row r="856" customFormat="false" ht="15" hidden="false" customHeight="false" outlineLevel="0" collapsed="false">
      <c r="A856" s="5" t="str">
        <f aca="false">IF(NOT(ISNUMBER(Macro_Series!$A856)),"",Macro_Series!$A856)</f>
        <v/>
      </c>
      <c r="B856" s="6" t="str">
        <f aca="false">IF(NOT(ISNUMBER(Macro_Series!$C856)),"",Macro_Series!$C856)</f>
        <v/>
      </c>
      <c r="C856" s="6" t="str">
        <f aca="false">IF(NOT(ISNUMBER(Macro_Series!$E856)),"",Macro_Series!$E856)</f>
        <v/>
      </c>
      <c r="D856" s="7" t="str">
        <f aca="false">IF(OR(NOT(ISNUMBER($B856)),NOT(ISNUMBER($C856)),$C856=0),"",$B856/$C856)</f>
        <v/>
      </c>
      <c r="E856" s="7" t="str">
        <f aca="false">IF(NOT(ISNUMBER(Macro_Series!$H856)),"",Macro_Series!$H856)</f>
        <v/>
      </c>
      <c r="F856" s="7" t="str">
        <f aca="false">IF(OR(NOT(ISNUMBER($D856)),NOT(ISNUMBER($E856)),$E856=0),"",$D856/$E856)</f>
        <v/>
      </c>
      <c r="G856" s="8" t="str">
        <f aca="false">IF(OR(NOT(ISNUMBER($B856)),NOT(ISNUMBER($B611)),$B611=0),"",$B856/$B611-1)</f>
        <v/>
      </c>
      <c r="H856" s="8" t="str">
        <f aca="false">IF(OR(NOT(ISNUMBER($D856)),NOT(ISNUMBER($D611)),$D611=0),"",$D856/$D611-1)</f>
        <v/>
      </c>
      <c r="I856" s="8" t="str">
        <f aca="false">IF(OR(NOT(ISNUMBER($G856)),NOT(ISNUMBER($H856))),"",$G856-$H856)</f>
        <v/>
      </c>
    </row>
    <row r="857" customFormat="false" ht="15" hidden="false" customHeight="false" outlineLevel="0" collapsed="false">
      <c r="A857" s="5" t="str">
        <f aca="false">IF(NOT(ISNUMBER(Macro_Series!$A857)),"",Macro_Series!$A857)</f>
        <v/>
      </c>
      <c r="B857" s="6" t="str">
        <f aca="false">IF(NOT(ISNUMBER(Macro_Series!$C857)),"",Macro_Series!$C857)</f>
        <v/>
      </c>
      <c r="C857" s="6" t="str">
        <f aca="false">IF(NOT(ISNUMBER(Macro_Series!$E857)),"",Macro_Series!$E857)</f>
        <v/>
      </c>
      <c r="D857" s="7" t="str">
        <f aca="false">IF(OR(NOT(ISNUMBER($B857)),NOT(ISNUMBER($C857)),$C857=0),"",$B857/$C857)</f>
        <v/>
      </c>
      <c r="E857" s="7" t="str">
        <f aca="false">IF(NOT(ISNUMBER(Macro_Series!$H857)),"",Macro_Series!$H857)</f>
        <v/>
      </c>
      <c r="F857" s="7" t="str">
        <f aca="false">IF(OR(NOT(ISNUMBER($D857)),NOT(ISNUMBER($E857)),$E857=0),"",$D857/$E857)</f>
        <v/>
      </c>
      <c r="G857" s="8" t="str">
        <f aca="false">IF(OR(NOT(ISNUMBER($B857)),NOT(ISNUMBER($B612)),$B612=0),"",$B857/$B612-1)</f>
        <v/>
      </c>
      <c r="H857" s="8" t="str">
        <f aca="false">IF(OR(NOT(ISNUMBER($D857)),NOT(ISNUMBER($D612)),$D612=0),"",$D857/$D612-1)</f>
        <v/>
      </c>
      <c r="I857" s="8" t="str">
        <f aca="false">IF(OR(NOT(ISNUMBER($G857)),NOT(ISNUMBER($H857))),"",$G857-$H857)</f>
        <v/>
      </c>
    </row>
    <row r="858" customFormat="false" ht="15" hidden="false" customHeight="false" outlineLevel="0" collapsed="false">
      <c r="A858" s="5" t="str">
        <f aca="false">IF(NOT(ISNUMBER(Macro_Series!$A858)),"",Macro_Series!$A858)</f>
        <v/>
      </c>
      <c r="B858" s="6" t="str">
        <f aca="false">IF(NOT(ISNUMBER(Macro_Series!$C858)),"",Macro_Series!$C858)</f>
        <v/>
      </c>
      <c r="C858" s="6" t="str">
        <f aca="false">IF(NOT(ISNUMBER(Macro_Series!$E858)),"",Macro_Series!$E858)</f>
        <v/>
      </c>
      <c r="D858" s="7" t="str">
        <f aca="false">IF(OR(NOT(ISNUMBER($B858)),NOT(ISNUMBER($C858)),$C858=0),"",$B858/$C858)</f>
        <v/>
      </c>
      <c r="E858" s="7" t="str">
        <f aca="false">IF(NOT(ISNUMBER(Macro_Series!$H858)),"",Macro_Series!$H858)</f>
        <v/>
      </c>
      <c r="F858" s="7" t="str">
        <f aca="false">IF(OR(NOT(ISNUMBER($D858)),NOT(ISNUMBER($E858)),$E858=0),"",$D858/$E858)</f>
        <v/>
      </c>
      <c r="G858" s="8" t="str">
        <f aca="false">IF(OR(NOT(ISNUMBER($B858)),NOT(ISNUMBER($B613)),$B613=0),"",$B858/$B613-1)</f>
        <v/>
      </c>
      <c r="H858" s="8" t="str">
        <f aca="false">IF(OR(NOT(ISNUMBER($D858)),NOT(ISNUMBER($D613)),$D613=0),"",$D858/$D613-1)</f>
        <v/>
      </c>
      <c r="I858" s="8" t="str">
        <f aca="false">IF(OR(NOT(ISNUMBER($G858)),NOT(ISNUMBER($H858))),"",$G858-$H858)</f>
        <v/>
      </c>
    </row>
    <row r="859" customFormat="false" ht="15" hidden="false" customHeight="false" outlineLevel="0" collapsed="false">
      <c r="A859" s="5" t="str">
        <f aca="false">IF(NOT(ISNUMBER(Macro_Series!$A859)),"",Macro_Series!$A859)</f>
        <v/>
      </c>
      <c r="B859" s="6" t="str">
        <f aca="false">IF(NOT(ISNUMBER(Macro_Series!$C859)),"",Macro_Series!$C859)</f>
        <v/>
      </c>
      <c r="C859" s="6" t="str">
        <f aca="false">IF(NOT(ISNUMBER(Macro_Series!$E859)),"",Macro_Series!$E859)</f>
        <v/>
      </c>
      <c r="D859" s="7" t="str">
        <f aca="false">IF(OR(NOT(ISNUMBER($B859)),NOT(ISNUMBER($C859)),$C859=0),"",$B859/$C859)</f>
        <v/>
      </c>
      <c r="E859" s="7" t="str">
        <f aca="false">IF(NOT(ISNUMBER(Macro_Series!$H859)),"",Macro_Series!$H859)</f>
        <v/>
      </c>
      <c r="F859" s="7" t="str">
        <f aca="false">IF(OR(NOT(ISNUMBER($D859)),NOT(ISNUMBER($E859)),$E859=0),"",$D859/$E859)</f>
        <v/>
      </c>
      <c r="G859" s="8" t="str">
        <f aca="false">IF(OR(NOT(ISNUMBER($B859)),NOT(ISNUMBER($B614)),$B614=0),"",$B859/$B614-1)</f>
        <v/>
      </c>
      <c r="H859" s="8" t="str">
        <f aca="false">IF(OR(NOT(ISNUMBER($D859)),NOT(ISNUMBER($D614)),$D614=0),"",$D859/$D614-1)</f>
        <v/>
      </c>
      <c r="I859" s="8" t="str">
        <f aca="false">IF(OR(NOT(ISNUMBER($G859)),NOT(ISNUMBER($H859))),"",$G859-$H859)</f>
        <v/>
      </c>
    </row>
    <row r="860" customFormat="false" ht="15" hidden="false" customHeight="false" outlineLevel="0" collapsed="false">
      <c r="A860" s="5" t="str">
        <f aca="false">IF(NOT(ISNUMBER(Macro_Series!$A860)),"",Macro_Series!$A860)</f>
        <v/>
      </c>
      <c r="B860" s="6" t="str">
        <f aca="false">IF(NOT(ISNUMBER(Macro_Series!$C860)),"",Macro_Series!$C860)</f>
        <v/>
      </c>
      <c r="C860" s="6" t="str">
        <f aca="false">IF(NOT(ISNUMBER(Macro_Series!$E860)),"",Macro_Series!$E860)</f>
        <v/>
      </c>
      <c r="D860" s="7" t="str">
        <f aca="false">IF(OR(NOT(ISNUMBER($B860)),NOT(ISNUMBER($C860)),$C860=0),"",$B860/$C860)</f>
        <v/>
      </c>
      <c r="E860" s="7" t="str">
        <f aca="false">IF(NOT(ISNUMBER(Macro_Series!$H860)),"",Macro_Series!$H860)</f>
        <v/>
      </c>
      <c r="F860" s="7" t="str">
        <f aca="false">IF(OR(NOT(ISNUMBER($D860)),NOT(ISNUMBER($E860)),$E860=0),"",$D860/$E860)</f>
        <v/>
      </c>
      <c r="G860" s="8" t="str">
        <f aca="false">IF(OR(NOT(ISNUMBER($B860)),NOT(ISNUMBER($B615)),$B615=0),"",$B860/$B615-1)</f>
        <v/>
      </c>
      <c r="H860" s="8" t="str">
        <f aca="false">IF(OR(NOT(ISNUMBER($D860)),NOT(ISNUMBER($D615)),$D615=0),"",$D860/$D615-1)</f>
        <v/>
      </c>
      <c r="I860" s="8" t="str">
        <f aca="false">IF(OR(NOT(ISNUMBER($G860)),NOT(ISNUMBER($H860))),"",$G860-$H860)</f>
        <v/>
      </c>
    </row>
    <row r="861" customFormat="false" ht="15" hidden="false" customHeight="false" outlineLevel="0" collapsed="false">
      <c r="A861" s="5" t="str">
        <f aca="false">IF(NOT(ISNUMBER(Macro_Series!$A861)),"",Macro_Series!$A861)</f>
        <v/>
      </c>
      <c r="B861" s="6" t="str">
        <f aca="false">IF(NOT(ISNUMBER(Macro_Series!$C861)),"",Macro_Series!$C861)</f>
        <v/>
      </c>
      <c r="C861" s="6" t="str">
        <f aca="false">IF(NOT(ISNUMBER(Macro_Series!$E861)),"",Macro_Series!$E861)</f>
        <v/>
      </c>
      <c r="D861" s="7" t="str">
        <f aca="false">IF(OR(NOT(ISNUMBER($B861)),NOT(ISNUMBER($C861)),$C861=0),"",$B861/$C861)</f>
        <v/>
      </c>
      <c r="E861" s="7" t="str">
        <f aca="false">IF(NOT(ISNUMBER(Macro_Series!$H861)),"",Macro_Series!$H861)</f>
        <v/>
      </c>
      <c r="F861" s="7" t="str">
        <f aca="false">IF(OR(NOT(ISNUMBER($D861)),NOT(ISNUMBER($E861)),$E861=0),"",$D861/$E861)</f>
        <v/>
      </c>
      <c r="G861" s="8" t="str">
        <f aca="false">IF(OR(NOT(ISNUMBER($B861)),NOT(ISNUMBER($B616)),$B616=0),"",$B861/$B616-1)</f>
        <v/>
      </c>
      <c r="H861" s="8" t="str">
        <f aca="false">IF(OR(NOT(ISNUMBER($D861)),NOT(ISNUMBER($D616)),$D616=0),"",$D861/$D616-1)</f>
        <v/>
      </c>
      <c r="I861" s="8" t="str">
        <f aca="false">IF(OR(NOT(ISNUMBER($G861)),NOT(ISNUMBER($H861))),"",$G861-$H861)</f>
        <v/>
      </c>
    </row>
    <row r="862" customFormat="false" ht="15" hidden="false" customHeight="false" outlineLevel="0" collapsed="false">
      <c r="A862" s="5" t="str">
        <f aca="false">IF(NOT(ISNUMBER(Macro_Series!$A862)),"",Macro_Series!$A862)</f>
        <v/>
      </c>
      <c r="B862" s="6" t="str">
        <f aca="false">IF(NOT(ISNUMBER(Macro_Series!$C862)),"",Macro_Series!$C862)</f>
        <v/>
      </c>
      <c r="C862" s="6" t="str">
        <f aca="false">IF(NOT(ISNUMBER(Macro_Series!$E862)),"",Macro_Series!$E862)</f>
        <v/>
      </c>
      <c r="D862" s="7" t="str">
        <f aca="false">IF(OR(NOT(ISNUMBER($B862)),NOT(ISNUMBER($C862)),$C862=0),"",$B862/$C862)</f>
        <v/>
      </c>
      <c r="E862" s="7" t="str">
        <f aca="false">IF(NOT(ISNUMBER(Macro_Series!$H862)),"",Macro_Series!$H862)</f>
        <v/>
      </c>
      <c r="F862" s="7" t="str">
        <f aca="false">IF(OR(NOT(ISNUMBER($D862)),NOT(ISNUMBER($E862)),$E862=0),"",$D862/$E862)</f>
        <v/>
      </c>
      <c r="G862" s="8" t="str">
        <f aca="false">IF(OR(NOT(ISNUMBER($B862)),NOT(ISNUMBER($B617)),$B617=0),"",$B862/$B617-1)</f>
        <v/>
      </c>
      <c r="H862" s="8" t="str">
        <f aca="false">IF(OR(NOT(ISNUMBER($D862)),NOT(ISNUMBER($D617)),$D617=0),"",$D862/$D617-1)</f>
        <v/>
      </c>
      <c r="I862" s="8" t="str">
        <f aca="false">IF(OR(NOT(ISNUMBER($G862)),NOT(ISNUMBER($H862))),"",$G862-$H862)</f>
        <v/>
      </c>
    </row>
    <row r="863" customFormat="false" ht="15" hidden="false" customHeight="false" outlineLevel="0" collapsed="false">
      <c r="A863" s="5" t="str">
        <f aca="false">IF(NOT(ISNUMBER(Macro_Series!$A863)),"",Macro_Series!$A863)</f>
        <v/>
      </c>
      <c r="B863" s="6" t="str">
        <f aca="false">IF(NOT(ISNUMBER(Macro_Series!$C863)),"",Macro_Series!$C863)</f>
        <v/>
      </c>
      <c r="C863" s="6" t="str">
        <f aca="false">IF(NOT(ISNUMBER(Macro_Series!$E863)),"",Macro_Series!$E863)</f>
        <v/>
      </c>
      <c r="D863" s="7" t="str">
        <f aca="false">IF(OR(NOT(ISNUMBER($B863)),NOT(ISNUMBER($C863)),$C863=0),"",$B863/$C863)</f>
        <v/>
      </c>
      <c r="E863" s="7" t="str">
        <f aca="false">IF(NOT(ISNUMBER(Macro_Series!$H863)),"",Macro_Series!$H863)</f>
        <v/>
      </c>
      <c r="F863" s="7" t="str">
        <f aca="false">IF(OR(NOT(ISNUMBER($D863)),NOT(ISNUMBER($E863)),$E863=0),"",$D863/$E863)</f>
        <v/>
      </c>
      <c r="G863" s="8" t="str">
        <f aca="false">IF(OR(NOT(ISNUMBER($B863)),NOT(ISNUMBER($B618)),$B618=0),"",$B863/$B618-1)</f>
        <v/>
      </c>
      <c r="H863" s="8" t="str">
        <f aca="false">IF(OR(NOT(ISNUMBER($D863)),NOT(ISNUMBER($D618)),$D618=0),"",$D863/$D618-1)</f>
        <v/>
      </c>
      <c r="I863" s="8" t="str">
        <f aca="false">IF(OR(NOT(ISNUMBER($G863)),NOT(ISNUMBER($H863))),"",$G863-$H863)</f>
        <v/>
      </c>
    </row>
    <row r="864" customFormat="false" ht="15" hidden="false" customHeight="false" outlineLevel="0" collapsed="false">
      <c r="A864" s="5" t="str">
        <f aca="false">IF(NOT(ISNUMBER(Macro_Series!$A864)),"",Macro_Series!$A864)</f>
        <v/>
      </c>
      <c r="B864" s="6" t="str">
        <f aca="false">IF(NOT(ISNUMBER(Macro_Series!$C864)),"",Macro_Series!$C864)</f>
        <v/>
      </c>
      <c r="C864" s="6" t="str">
        <f aca="false">IF(NOT(ISNUMBER(Macro_Series!$E864)),"",Macro_Series!$E864)</f>
        <v/>
      </c>
      <c r="D864" s="7" t="str">
        <f aca="false">IF(OR(NOT(ISNUMBER($B864)),NOT(ISNUMBER($C864)),$C864=0),"",$B864/$C864)</f>
        <v/>
      </c>
      <c r="E864" s="7" t="str">
        <f aca="false">IF(NOT(ISNUMBER(Macro_Series!$H864)),"",Macro_Series!$H864)</f>
        <v/>
      </c>
      <c r="F864" s="7" t="str">
        <f aca="false">IF(OR(NOT(ISNUMBER($D864)),NOT(ISNUMBER($E864)),$E864=0),"",$D864/$E864)</f>
        <v/>
      </c>
      <c r="G864" s="8" t="str">
        <f aca="false">IF(OR(NOT(ISNUMBER($B864)),NOT(ISNUMBER($B619)),$B619=0),"",$B864/$B619-1)</f>
        <v/>
      </c>
      <c r="H864" s="8" t="str">
        <f aca="false">IF(OR(NOT(ISNUMBER($D864)),NOT(ISNUMBER($D619)),$D619=0),"",$D864/$D619-1)</f>
        <v/>
      </c>
      <c r="I864" s="8" t="str">
        <f aca="false">IF(OR(NOT(ISNUMBER($G864)),NOT(ISNUMBER($H864))),"",$G864-$H864)</f>
        <v/>
      </c>
    </row>
    <row r="865" customFormat="false" ht="15" hidden="false" customHeight="false" outlineLevel="0" collapsed="false">
      <c r="A865" s="5" t="str">
        <f aca="false">IF(NOT(ISNUMBER(Macro_Series!$A865)),"",Macro_Series!$A865)</f>
        <v/>
      </c>
      <c r="B865" s="6" t="str">
        <f aca="false">IF(NOT(ISNUMBER(Macro_Series!$C865)),"",Macro_Series!$C865)</f>
        <v/>
      </c>
      <c r="C865" s="6" t="str">
        <f aca="false">IF(NOT(ISNUMBER(Macro_Series!$E865)),"",Macro_Series!$E865)</f>
        <v/>
      </c>
      <c r="D865" s="7" t="str">
        <f aca="false">IF(OR(NOT(ISNUMBER($B865)),NOT(ISNUMBER($C865)),$C865=0),"",$B865/$C865)</f>
        <v/>
      </c>
      <c r="E865" s="7" t="str">
        <f aca="false">IF(NOT(ISNUMBER(Macro_Series!$H865)),"",Macro_Series!$H865)</f>
        <v/>
      </c>
      <c r="F865" s="7" t="str">
        <f aca="false">IF(OR(NOT(ISNUMBER($D865)),NOT(ISNUMBER($E865)),$E865=0),"",$D865/$E865)</f>
        <v/>
      </c>
      <c r="G865" s="8" t="str">
        <f aca="false">IF(OR(NOT(ISNUMBER($B865)),NOT(ISNUMBER($B620)),$B620=0),"",$B865/$B620-1)</f>
        <v/>
      </c>
      <c r="H865" s="8" t="str">
        <f aca="false">IF(OR(NOT(ISNUMBER($D865)),NOT(ISNUMBER($D620)),$D620=0),"",$D865/$D620-1)</f>
        <v/>
      </c>
      <c r="I865" s="8" t="str">
        <f aca="false">IF(OR(NOT(ISNUMBER($G865)),NOT(ISNUMBER($H865))),"",$G865-$H865)</f>
        <v/>
      </c>
    </row>
    <row r="866" customFormat="false" ht="15" hidden="false" customHeight="false" outlineLevel="0" collapsed="false">
      <c r="A866" s="5" t="str">
        <f aca="false">IF(NOT(ISNUMBER(Macro_Series!$A866)),"",Macro_Series!$A866)</f>
        <v/>
      </c>
      <c r="B866" s="6" t="str">
        <f aca="false">IF(NOT(ISNUMBER(Macro_Series!$C866)),"",Macro_Series!$C866)</f>
        <v/>
      </c>
      <c r="C866" s="6" t="str">
        <f aca="false">IF(NOT(ISNUMBER(Macro_Series!$E866)),"",Macro_Series!$E866)</f>
        <v/>
      </c>
      <c r="D866" s="7" t="str">
        <f aca="false">IF(OR(NOT(ISNUMBER($B866)),NOT(ISNUMBER($C866)),$C866=0),"",$B866/$C866)</f>
        <v/>
      </c>
      <c r="E866" s="7" t="str">
        <f aca="false">IF(NOT(ISNUMBER(Macro_Series!$H866)),"",Macro_Series!$H866)</f>
        <v/>
      </c>
      <c r="F866" s="7" t="str">
        <f aca="false">IF(OR(NOT(ISNUMBER($D866)),NOT(ISNUMBER($E866)),$E866=0),"",$D866/$E866)</f>
        <v/>
      </c>
      <c r="G866" s="8" t="str">
        <f aca="false">IF(OR(NOT(ISNUMBER($B866)),NOT(ISNUMBER($B621)),$B621=0),"",$B866/$B621-1)</f>
        <v/>
      </c>
      <c r="H866" s="8" t="str">
        <f aca="false">IF(OR(NOT(ISNUMBER($D866)),NOT(ISNUMBER($D621)),$D621=0),"",$D866/$D621-1)</f>
        <v/>
      </c>
      <c r="I866" s="8" t="str">
        <f aca="false">IF(OR(NOT(ISNUMBER($G866)),NOT(ISNUMBER($H866))),"",$G866-$H866)</f>
        <v/>
      </c>
    </row>
    <row r="867" customFormat="false" ht="15" hidden="false" customHeight="false" outlineLevel="0" collapsed="false">
      <c r="A867" s="5" t="str">
        <f aca="false">IF(NOT(ISNUMBER(Macro_Series!$A867)),"",Macro_Series!$A867)</f>
        <v/>
      </c>
      <c r="B867" s="6" t="str">
        <f aca="false">IF(NOT(ISNUMBER(Macro_Series!$C867)),"",Macro_Series!$C867)</f>
        <v/>
      </c>
      <c r="C867" s="6" t="str">
        <f aca="false">IF(NOT(ISNUMBER(Macro_Series!$E867)),"",Macro_Series!$E867)</f>
        <v/>
      </c>
      <c r="D867" s="7" t="str">
        <f aca="false">IF(OR(NOT(ISNUMBER($B867)),NOT(ISNUMBER($C867)),$C867=0),"",$B867/$C867)</f>
        <v/>
      </c>
      <c r="E867" s="7" t="str">
        <f aca="false">IF(NOT(ISNUMBER(Macro_Series!$H867)),"",Macro_Series!$H867)</f>
        <v/>
      </c>
      <c r="F867" s="7" t="str">
        <f aca="false">IF(OR(NOT(ISNUMBER($D867)),NOT(ISNUMBER($E867)),$E867=0),"",$D867/$E867)</f>
        <v/>
      </c>
      <c r="G867" s="8" t="str">
        <f aca="false">IF(OR(NOT(ISNUMBER($B867)),NOT(ISNUMBER($B622)),$B622=0),"",$B867/$B622-1)</f>
        <v/>
      </c>
      <c r="H867" s="8" t="str">
        <f aca="false">IF(OR(NOT(ISNUMBER($D867)),NOT(ISNUMBER($D622)),$D622=0),"",$D867/$D622-1)</f>
        <v/>
      </c>
      <c r="I867" s="8" t="str">
        <f aca="false">IF(OR(NOT(ISNUMBER($G867)),NOT(ISNUMBER($H867))),"",$G867-$H867)</f>
        <v/>
      </c>
    </row>
    <row r="868" customFormat="false" ht="15" hidden="false" customHeight="false" outlineLevel="0" collapsed="false">
      <c r="A868" s="5" t="str">
        <f aca="false">IF(NOT(ISNUMBER(Macro_Series!$A868)),"",Macro_Series!$A868)</f>
        <v/>
      </c>
      <c r="B868" s="6" t="str">
        <f aca="false">IF(NOT(ISNUMBER(Macro_Series!$C868)),"",Macro_Series!$C868)</f>
        <v/>
      </c>
      <c r="C868" s="6" t="str">
        <f aca="false">IF(NOT(ISNUMBER(Macro_Series!$E868)),"",Macro_Series!$E868)</f>
        <v/>
      </c>
      <c r="D868" s="7" t="str">
        <f aca="false">IF(OR(NOT(ISNUMBER($B868)),NOT(ISNUMBER($C868)),$C868=0),"",$B868/$C868)</f>
        <v/>
      </c>
      <c r="E868" s="7" t="str">
        <f aca="false">IF(NOT(ISNUMBER(Macro_Series!$H868)),"",Macro_Series!$H868)</f>
        <v/>
      </c>
      <c r="F868" s="7" t="str">
        <f aca="false">IF(OR(NOT(ISNUMBER($D868)),NOT(ISNUMBER($E868)),$E868=0),"",$D868/$E868)</f>
        <v/>
      </c>
      <c r="G868" s="8" t="str">
        <f aca="false">IF(OR(NOT(ISNUMBER($B868)),NOT(ISNUMBER($B623)),$B623=0),"",$B868/$B623-1)</f>
        <v/>
      </c>
      <c r="H868" s="8" t="str">
        <f aca="false">IF(OR(NOT(ISNUMBER($D868)),NOT(ISNUMBER($D623)),$D623=0),"",$D868/$D623-1)</f>
        <v/>
      </c>
      <c r="I868" s="8" t="str">
        <f aca="false">IF(OR(NOT(ISNUMBER($G868)),NOT(ISNUMBER($H868))),"",$G868-$H868)</f>
        <v/>
      </c>
    </row>
    <row r="869" customFormat="false" ht="15" hidden="false" customHeight="false" outlineLevel="0" collapsed="false">
      <c r="A869" s="5" t="str">
        <f aca="false">IF(NOT(ISNUMBER(Macro_Series!$A869)),"",Macro_Series!$A869)</f>
        <v/>
      </c>
      <c r="B869" s="6" t="str">
        <f aca="false">IF(NOT(ISNUMBER(Macro_Series!$C869)),"",Macro_Series!$C869)</f>
        <v/>
      </c>
      <c r="C869" s="6" t="str">
        <f aca="false">IF(NOT(ISNUMBER(Macro_Series!$E869)),"",Macro_Series!$E869)</f>
        <v/>
      </c>
      <c r="D869" s="7" t="str">
        <f aca="false">IF(OR(NOT(ISNUMBER($B869)),NOT(ISNUMBER($C869)),$C869=0),"",$B869/$C869)</f>
        <v/>
      </c>
      <c r="E869" s="7" t="str">
        <f aca="false">IF(NOT(ISNUMBER(Macro_Series!$H869)),"",Macro_Series!$H869)</f>
        <v/>
      </c>
      <c r="F869" s="7" t="str">
        <f aca="false">IF(OR(NOT(ISNUMBER($D869)),NOT(ISNUMBER($E869)),$E869=0),"",$D869/$E869)</f>
        <v/>
      </c>
      <c r="G869" s="8" t="str">
        <f aca="false">IF(OR(NOT(ISNUMBER($B869)),NOT(ISNUMBER($B624)),$B624=0),"",$B869/$B624-1)</f>
        <v/>
      </c>
      <c r="H869" s="8" t="str">
        <f aca="false">IF(OR(NOT(ISNUMBER($D869)),NOT(ISNUMBER($D624)),$D624=0),"",$D869/$D624-1)</f>
        <v/>
      </c>
      <c r="I869" s="8" t="str">
        <f aca="false">IF(OR(NOT(ISNUMBER($G869)),NOT(ISNUMBER($H869))),"",$G869-$H869)</f>
        <v/>
      </c>
    </row>
    <row r="870" customFormat="false" ht="15" hidden="false" customHeight="false" outlineLevel="0" collapsed="false">
      <c r="A870" s="5" t="str">
        <f aca="false">IF(NOT(ISNUMBER(Macro_Series!$A870)),"",Macro_Series!$A870)</f>
        <v/>
      </c>
      <c r="B870" s="6" t="str">
        <f aca="false">IF(NOT(ISNUMBER(Macro_Series!$C870)),"",Macro_Series!$C870)</f>
        <v/>
      </c>
      <c r="C870" s="6" t="str">
        <f aca="false">IF(NOT(ISNUMBER(Macro_Series!$E870)),"",Macro_Series!$E870)</f>
        <v/>
      </c>
      <c r="D870" s="7" t="str">
        <f aca="false">IF(OR(NOT(ISNUMBER($B870)),NOT(ISNUMBER($C870)),$C870=0),"",$B870/$C870)</f>
        <v/>
      </c>
      <c r="E870" s="7" t="str">
        <f aca="false">IF(NOT(ISNUMBER(Macro_Series!$H870)),"",Macro_Series!$H870)</f>
        <v/>
      </c>
      <c r="F870" s="7" t="str">
        <f aca="false">IF(OR(NOT(ISNUMBER($D870)),NOT(ISNUMBER($E870)),$E870=0),"",$D870/$E870)</f>
        <v/>
      </c>
      <c r="G870" s="8" t="str">
        <f aca="false">IF(OR(NOT(ISNUMBER($B870)),NOT(ISNUMBER($B625)),$B625=0),"",$B870/$B625-1)</f>
        <v/>
      </c>
      <c r="H870" s="8" t="str">
        <f aca="false">IF(OR(NOT(ISNUMBER($D870)),NOT(ISNUMBER($D625)),$D625=0),"",$D870/$D625-1)</f>
        <v/>
      </c>
      <c r="I870" s="8" t="str">
        <f aca="false">IF(OR(NOT(ISNUMBER($G870)),NOT(ISNUMBER($H870))),"",$G870-$H870)</f>
        <v/>
      </c>
    </row>
    <row r="871" customFormat="false" ht="15" hidden="false" customHeight="false" outlineLevel="0" collapsed="false">
      <c r="A871" s="5" t="str">
        <f aca="false">IF(NOT(ISNUMBER(Macro_Series!$A871)),"",Macro_Series!$A871)</f>
        <v/>
      </c>
      <c r="B871" s="6" t="str">
        <f aca="false">IF(NOT(ISNUMBER(Macro_Series!$C871)),"",Macro_Series!$C871)</f>
        <v/>
      </c>
      <c r="C871" s="6" t="str">
        <f aca="false">IF(NOT(ISNUMBER(Macro_Series!$E871)),"",Macro_Series!$E871)</f>
        <v/>
      </c>
      <c r="D871" s="7" t="str">
        <f aca="false">IF(OR(NOT(ISNUMBER($B871)),NOT(ISNUMBER($C871)),$C871=0),"",$B871/$C871)</f>
        <v/>
      </c>
      <c r="E871" s="7" t="str">
        <f aca="false">IF(NOT(ISNUMBER(Macro_Series!$H871)),"",Macro_Series!$H871)</f>
        <v/>
      </c>
      <c r="F871" s="7" t="str">
        <f aca="false">IF(OR(NOT(ISNUMBER($D871)),NOT(ISNUMBER($E871)),$E871=0),"",$D871/$E871)</f>
        <v/>
      </c>
      <c r="G871" s="8" t="str">
        <f aca="false">IF(OR(NOT(ISNUMBER($B871)),NOT(ISNUMBER($B626)),$B626=0),"",$B871/$B626-1)</f>
        <v/>
      </c>
      <c r="H871" s="8" t="str">
        <f aca="false">IF(OR(NOT(ISNUMBER($D871)),NOT(ISNUMBER($D626)),$D626=0),"",$D871/$D626-1)</f>
        <v/>
      </c>
      <c r="I871" s="8" t="str">
        <f aca="false">IF(OR(NOT(ISNUMBER($G871)),NOT(ISNUMBER($H871))),"",$G871-$H871)</f>
        <v/>
      </c>
    </row>
    <row r="872" customFormat="false" ht="15" hidden="false" customHeight="false" outlineLevel="0" collapsed="false">
      <c r="A872" s="5" t="str">
        <f aca="false">IF(NOT(ISNUMBER(Macro_Series!$A872)),"",Macro_Series!$A872)</f>
        <v/>
      </c>
      <c r="B872" s="6" t="str">
        <f aca="false">IF(NOT(ISNUMBER(Macro_Series!$C872)),"",Macro_Series!$C872)</f>
        <v/>
      </c>
      <c r="C872" s="6" t="str">
        <f aca="false">IF(NOT(ISNUMBER(Macro_Series!$E872)),"",Macro_Series!$E872)</f>
        <v/>
      </c>
      <c r="D872" s="7" t="str">
        <f aca="false">IF(OR(NOT(ISNUMBER($B872)),NOT(ISNUMBER($C872)),$C872=0),"",$B872/$C872)</f>
        <v/>
      </c>
      <c r="E872" s="7" t="str">
        <f aca="false">IF(NOT(ISNUMBER(Macro_Series!$H872)),"",Macro_Series!$H872)</f>
        <v/>
      </c>
      <c r="F872" s="7" t="str">
        <f aca="false">IF(OR(NOT(ISNUMBER($D872)),NOT(ISNUMBER($E872)),$E872=0),"",$D872/$E872)</f>
        <v/>
      </c>
      <c r="G872" s="8" t="str">
        <f aca="false">IF(OR(NOT(ISNUMBER($B872)),NOT(ISNUMBER($B627)),$B627=0),"",$B872/$B627-1)</f>
        <v/>
      </c>
      <c r="H872" s="8" t="str">
        <f aca="false">IF(OR(NOT(ISNUMBER($D872)),NOT(ISNUMBER($D627)),$D627=0),"",$D872/$D627-1)</f>
        <v/>
      </c>
      <c r="I872" s="8" t="str">
        <f aca="false">IF(OR(NOT(ISNUMBER($G872)),NOT(ISNUMBER($H872))),"",$G872-$H872)</f>
        <v/>
      </c>
    </row>
    <row r="873" customFormat="false" ht="15" hidden="false" customHeight="false" outlineLevel="0" collapsed="false">
      <c r="A873" s="5" t="str">
        <f aca="false">IF(NOT(ISNUMBER(Macro_Series!$A873)),"",Macro_Series!$A873)</f>
        <v/>
      </c>
      <c r="B873" s="6" t="str">
        <f aca="false">IF(NOT(ISNUMBER(Macro_Series!$C873)),"",Macro_Series!$C873)</f>
        <v/>
      </c>
      <c r="C873" s="6" t="str">
        <f aca="false">IF(NOT(ISNUMBER(Macro_Series!$E873)),"",Macro_Series!$E873)</f>
        <v/>
      </c>
      <c r="D873" s="7" t="str">
        <f aca="false">IF(OR(NOT(ISNUMBER($B873)),NOT(ISNUMBER($C873)),$C873=0),"",$B873/$C873)</f>
        <v/>
      </c>
      <c r="E873" s="7" t="str">
        <f aca="false">IF(NOT(ISNUMBER(Macro_Series!$H873)),"",Macro_Series!$H873)</f>
        <v/>
      </c>
      <c r="F873" s="7" t="str">
        <f aca="false">IF(OR(NOT(ISNUMBER($D873)),NOT(ISNUMBER($E873)),$E873=0),"",$D873/$E873)</f>
        <v/>
      </c>
      <c r="G873" s="8" t="str">
        <f aca="false">IF(OR(NOT(ISNUMBER($B873)),NOT(ISNUMBER($B628)),$B628=0),"",$B873/$B628-1)</f>
        <v/>
      </c>
      <c r="H873" s="8" t="str">
        <f aca="false">IF(OR(NOT(ISNUMBER($D873)),NOT(ISNUMBER($D628)),$D628=0),"",$D873/$D628-1)</f>
        <v/>
      </c>
      <c r="I873" s="8" t="str">
        <f aca="false">IF(OR(NOT(ISNUMBER($G873)),NOT(ISNUMBER($H873))),"",$G873-$H873)</f>
        <v/>
      </c>
    </row>
    <row r="874" customFormat="false" ht="15" hidden="false" customHeight="false" outlineLevel="0" collapsed="false">
      <c r="A874" s="5" t="str">
        <f aca="false">IF(NOT(ISNUMBER(Macro_Series!$A874)),"",Macro_Series!$A874)</f>
        <v/>
      </c>
      <c r="B874" s="6" t="str">
        <f aca="false">IF(NOT(ISNUMBER(Macro_Series!$C874)),"",Macro_Series!$C874)</f>
        <v/>
      </c>
      <c r="C874" s="6" t="str">
        <f aca="false">IF(NOT(ISNUMBER(Macro_Series!$E874)),"",Macro_Series!$E874)</f>
        <v/>
      </c>
      <c r="D874" s="7" t="str">
        <f aca="false">IF(OR(NOT(ISNUMBER($B874)),NOT(ISNUMBER($C874)),$C874=0),"",$B874/$C874)</f>
        <v/>
      </c>
      <c r="E874" s="7" t="str">
        <f aca="false">IF(NOT(ISNUMBER(Macro_Series!$H874)),"",Macro_Series!$H874)</f>
        <v/>
      </c>
      <c r="F874" s="7" t="str">
        <f aca="false">IF(OR(NOT(ISNUMBER($D874)),NOT(ISNUMBER($E874)),$E874=0),"",$D874/$E874)</f>
        <v/>
      </c>
      <c r="G874" s="8" t="str">
        <f aca="false">IF(OR(NOT(ISNUMBER($B874)),NOT(ISNUMBER($B629)),$B629=0),"",$B874/$B629-1)</f>
        <v/>
      </c>
      <c r="H874" s="8" t="str">
        <f aca="false">IF(OR(NOT(ISNUMBER($D874)),NOT(ISNUMBER($D629)),$D629=0),"",$D874/$D629-1)</f>
        <v/>
      </c>
      <c r="I874" s="8" t="str">
        <f aca="false">IF(OR(NOT(ISNUMBER($G874)),NOT(ISNUMBER($H874))),"",$G874-$H874)</f>
        <v/>
      </c>
    </row>
    <row r="875" customFormat="false" ht="15" hidden="false" customHeight="false" outlineLevel="0" collapsed="false">
      <c r="A875" s="5" t="str">
        <f aca="false">IF(NOT(ISNUMBER(Macro_Series!$A875)),"",Macro_Series!$A875)</f>
        <v/>
      </c>
      <c r="B875" s="6" t="str">
        <f aca="false">IF(NOT(ISNUMBER(Macro_Series!$C875)),"",Macro_Series!$C875)</f>
        <v/>
      </c>
      <c r="C875" s="6" t="str">
        <f aca="false">IF(NOT(ISNUMBER(Macro_Series!$E875)),"",Macro_Series!$E875)</f>
        <v/>
      </c>
      <c r="D875" s="7" t="str">
        <f aca="false">IF(OR(NOT(ISNUMBER($B875)),NOT(ISNUMBER($C875)),$C875=0),"",$B875/$C875)</f>
        <v/>
      </c>
      <c r="E875" s="7" t="str">
        <f aca="false">IF(NOT(ISNUMBER(Macro_Series!$H875)),"",Macro_Series!$H875)</f>
        <v/>
      </c>
      <c r="F875" s="7" t="str">
        <f aca="false">IF(OR(NOT(ISNUMBER($D875)),NOT(ISNUMBER($E875)),$E875=0),"",$D875/$E875)</f>
        <v/>
      </c>
      <c r="G875" s="8" t="str">
        <f aca="false">IF(OR(NOT(ISNUMBER($B875)),NOT(ISNUMBER($B630)),$B630=0),"",$B875/$B630-1)</f>
        <v/>
      </c>
      <c r="H875" s="8" t="str">
        <f aca="false">IF(OR(NOT(ISNUMBER($D875)),NOT(ISNUMBER($D630)),$D630=0),"",$D875/$D630-1)</f>
        <v/>
      </c>
      <c r="I875" s="8" t="str">
        <f aca="false">IF(OR(NOT(ISNUMBER($G875)),NOT(ISNUMBER($H875))),"",$G875-$H875)</f>
        <v/>
      </c>
    </row>
    <row r="876" customFormat="false" ht="15" hidden="false" customHeight="false" outlineLevel="0" collapsed="false">
      <c r="A876" s="5" t="str">
        <f aca="false">IF(NOT(ISNUMBER(Macro_Series!$A876)),"",Macro_Series!$A876)</f>
        <v/>
      </c>
      <c r="B876" s="6" t="str">
        <f aca="false">IF(NOT(ISNUMBER(Macro_Series!$C876)),"",Macro_Series!$C876)</f>
        <v/>
      </c>
      <c r="C876" s="6" t="str">
        <f aca="false">IF(NOT(ISNUMBER(Macro_Series!$E876)),"",Macro_Series!$E876)</f>
        <v/>
      </c>
      <c r="D876" s="7" t="str">
        <f aca="false">IF(OR(NOT(ISNUMBER($B876)),NOT(ISNUMBER($C876)),$C876=0),"",$B876/$C876)</f>
        <v/>
      </c>
      <c r="E876" s="7" t="str">
        <f aca="false">IF(NOT(ISNUMBER(Macro_Series!$H876)),"",Macro_Series!$H876)</f>
        <v/>
      </c>
      <c r="F876" s="7" t="str">
        <f aca="false">IF(OR(NOT(ISNUMBER($D876)),NOT(ISNUMBER($E876)),$E876=0),"",$D876/$E876)</f>
        <v/>
      </c>
      <c r="G876" s="8" t="str">
        <f aca="false">IF(OR(NOT(ISNUMBER($B876)),NOT(ISNUMBER($B631)),$B631=0),"",$B876/$B631-1)</f>
        <v/>
      </c>
      <c r="H876" s="8" t="str">
        <f aca="false">IF(OR(NOT(ISNUMBER($D876)),NOT(ISNUMBER($D631)),$D631=0),"",$D876/$D631-1)</f>
        <v/>
      </c>
      <c r="I876" s="8" t="str">
        <f aca="false">IF(OR(NOT(ISNUMBER($G876)),NOT(ISNUMBER($H876))),"",$G876-$H876)</f>
        <v/>
      </c>
    </row>
    <row r="877" customFormat="false" ht="15" hidden="false" customHeight="false" outlineLevel="0" collapsed="false">
      <c r="A877" s="5" t="str">
        <f aca="false">IF(NOT(ISNUMBER(Macro_Series!$A877)),"",Macro_Series!$A877)</f>
        <v/>
      </c>
      <c r="B877" s="6" t="str">
        <f aca="false">IF(NOT(ISNUMBER(Macro_Series!$C877)),"",Macro_Series!$C877)</f>
        <v/>
      </c>
      <c r="C877" s="6" t="str">
        <f aca="false">IF(NOT(ISNUMBER(Macro_Series!$E877)),"",Macro_Series!$E877)</f>
        <v/>
      </c>
      <c r="D877" s="7" t="str">
        <f aca="false">IF(OR(NOT(ISNUMBER($B877)),NOT(ISNUMBER($C877)),$C877=0),"",$B877/$C877)</f>
        <v/>
      </c>
      <c r="E877" s="7" t="str">
        <f aca="false">IF(NOT(ISNUMBER(Macro_Series!$H877)),"",Macro_Series!$H877)</f>
        <v/>
      </c>
      <c r="F877" s="7" t="str">
        <f aca="false">IF(OR(NOT(ISNUMBER($D877)),NOT(ISNUMBER($E877)),$E877=0),"",$D877/$E877)</f>
        <v/>
      </c>
      <c r="G877" s="8" t="str">
        <f aca="false">IF(OR(NOT(ISNUMBER($B877)),NOT(ISNUMBER($B632)),$B632=0),"",$B877/$B632-1)</f>
        <v/>
      </c>
      <c r="H877" s="8" t="str">
        <f aca="false">IF(OR(NOT(ISNUMBER($D877)),NOT(ISNUMBER($D632)),$D632=0),"",$D877/$D632-1)</f>
        <v/>
      </c>
      <c r="I877" s="8" t="str">
        <f aca="false">IF(OR(NOT(ISNUMBER($G877)),NOT(ISNUMBER($H877))),"",$G877-$H877)</f>
        <v/>
      </c>
    </row>
    <row r="878" customFormat="false" ht="15" hidden="false" customHeight="false" outlineLevel="0" collapsed="false">
      <c r="A878" s="5" t="str">
        <f aca="false">IF(NOT(ISNUMBER(Macro_Series!$A878)),"",Macro_Series!$A878)</f>
        <v/>
      </c>
      <c r="B878" s="6" t="str">
        <f aca="false">IF(NOT(ISNUMBER(Macro_Series!$C878)),"",Macro_Series!$C878)</f>
        <v/>
      </c>
      <c r="C878" s="6" t="str">
        <f aca="false">IF(NOT(ISNUMBER(Macro_Series!$E878)),"",Macro_Series!$E878)</f>
        <v/>
      </c>
      <c r="D878" s="7" t="str">
        <f aca="false">IF(OR(NOT(ISNUMBER($B878)),NOT(ISNUMBER($C878)),$C878=0),"",$B878/$C878)</f>
        <v/>
      </c>
      <c r="E878" s="7" t="str">
        <f aca="false">IF(NOT(ISNUMBER(Macro_Series!$H878)),"",Macro_Series!$H878)</f>
        <v/>
      </c>
      <c r="F878" s="7" t="str">
        <f aca="false">IF(OR(NOT(ISNUMBER($D878)),NOT(ISNUMBER($E878)),$E878=0),"",$D878/$E878)</f>
        <v/>
      </c>
      <c r="G878" s="8" t="str">
        <f aca="false">IF(OR(NOT(ISNUMBER($B878)),NOT(ISNUMBER($B633)),$B633=0),"",$B878/$B633-1)</f>
        <v/>
      </c>
      <c r="H878" s="8" t="str">
        <f aca="false">IF(OR(NOT(ISNUMBER($D878)),NOT(ISNUMBER($D633)),$D633=0),"",$D878/$D633-1)</f>
        <v/>
      </c>
      <c r="I878" s="8" t="str">
        <f aca="false">IF(OR(NOT(ISNUMBER($G878)),NOT(ISNUMBER($H878))),"",$G878-$H878)</f>
        <v/>
      </c>
    </row>
    <row r="879" customFormat="false" ht="15" hidden="false" customHeight="false" outlineLevel="0" collapsed="false">
      <c r="A879" s="5" t="str">
        <f aca="false">IF(NOT(ISNUMBER(Macro_Series!$A879)),"",Macro_Series!$A879)</f>
        <v/>
      </c>
      <c r="B879" s="6" t="str">
        <f aca="false">IF(NOT(ISNUMBER(Macro_Series!$C879)),"",Macro_Series!$C879)</f>
        <v/>
      </c>
      <c r="C879" s="6" t="str">
        <f aca="false">IF(NOT(ISNUMBER(Macro_Series!$E879)),"",Macro_Series!$E879)</f>
        <v/>
      </c>
      <c r="D879" s="7" t="str">
        <f aca="false">IF(OR(NOT(ISNUMBER($B879)),NOT(ISNUMBER($C879)),$C879=0),"",$B879/$C879)</f>
        <v/>
      </c>
      <c r="E879" s="7" t="str">
        <f aca="false">IF(NOT(ISNUMBER(Macro_Series!$H879)),"",Macro_Series!$H879)</f>
        <v/>
      </c>
      <c r="F879" s="7" t="str">
        <f aca="false">IF(OR(NOT(ISNUMBER($D879)),NOT(ISNUMBER($E879)),$E879=0),"",$D879/$E879)</f>
        <v/>
      </c>
      <c r="G879" s="8" t="str">
        <f aca="false">IF(OR(NOT(ISNUMBER($B879)),NOT(ISNUMBER($B634)),$B634=0),"",$B879/$B634-1)</f>
        <v/>
      </c>
      <c r="H879" s="8" t="str">
        <f aca="false">IF(OR(NOT(ISNUMBER($D879)),NOT(ISNUMBER($D634)),$D634=0),"",$D879/$D634-1)</f>
        <v/>
      </c>
      <c r="I879" s="8" t="str">
        <f aca="false">IF(OR(NOT(ISNUMBER($G879)),NOT(ISNUMBER($H879))),"",$G879-$H879)</f>
        <v/>
      </c>
    </row>
    <row r="880" customFormat="false" ht="15" hidden="false" customHeight="false" outlineLevel="0" collapsed="false">
      <c r="A880" s="5" t="str">
        <f aca="false">IF(NOT(ISNUMBER(Macro_Series!$A880)),"",Macro_Series!$A880)</f>
        <v/>
      </c>
      <c r="B880" s="6" t="str">
        <f aca="false">IF(NOT(ISNUMBER(Macro_Series!$C880)),"",Macro_Series!$C880)</f>
        <v/>
      </c>
      <c r="C880" s="6" t="str">
        <f aca="false">IF(NOT(ISNUMBER(Macro_Series!$E880)),"",Macro_Series!$E880)</f>
        <v/>
      </c>
      <c r="D880" s="7" t="str">
        <f aca="false">IF(OR(NOT(ISNUMBER($B880)),NOT(ISNUMBER($C880)),$C880=0),"",$B880/$C880)</f>
        <v/>
      </c>
      <c r="E880" s="7" t="str">
        <f aca="false">IF(NOT(ISNUMBER(Macro_Series!$H880)),"",Macro_Series!$H880)</f>
        <v/>
      </c>
      <c r="F880" s="7" t="str">
        <f aca="false">IF(OR(NOT(ISNUMBER($D880)),NOT(ISNUMBER($E880)),$E880=0),"",$D880/$E880)</f>
        <v/>
      </c>
      <c r="G880" s="8" t="str">
        <f aca="false">IF(OR(NOT(ISNUMBER($B880)),NOT(ISNUMBER($B635)),$B635=0),"",$B880/$B635-1)</f>
        <v/>
      </c>
      <c r="H880" s="8" t="str">
        <f aca="false">IF(OR(NOT(ISNUMBER($D880)),NOT(ISNUMBER($D635)),$D635=0),"",$D880/$D635-1)</f>
        <v/>
      </c>
      <c r="I880" s="8" t="str">
        <f aca="false">IF(OR(NOT(ISNUMBER($G880)),NOT(ISNUMBER($H880))),"",$G880-$H880)</f>
        <v/>
      </c>
    </row>
    <row r="881" customFormat="false" ht="15" hidden="false" customHeight="false" outlineLevel="0" collapsed="false">
      <c r="A881" s="5" t="str">
        <f aca="false">IF(NOT(ISNUMBER(Macro_Series!$A881)),"",Macro_Series!$A881)</f>
        <v/>
      </c>
      <c r="B881" s="6" t="str">
        <f aca="false">IF(NOT(ISNUMBER(Macro_Series!$C881)),"",Macro_Series!$C881)</f>
        <v/>
      </c>
      <c r="C881" s="6" t="str">
        <f aca="false">IF(NOT(ISNUMBER(Macro_Series!$E881)),"",Macro_Series!$E881)</f>
        <v/>
      </c>
      <c r="D881" s="7" t="str">
        <f aca="false">IF(OR(NOT(ISNUMBER($B881)),NOT(ISNUMBER($C881)),$C881=0),"",$B881/$C881)</f>
        <v/>
      </c>
      <c r="E881" s="7" t="str">
        <f aca="false">IF(NOT(ISNUMBER(Macro_Series!$H881)),"",Macro_Series!$H881)</f>
        <v/>
      </c>
      <c r="F881" s="7" t="str">
        <f aca="false">IF(OR(NOT(ISNUMBER($D881)),NOT(ISNUMBER($E881)),$E881=0),"",$D881/$E881)</f>
        <v/>
      </c>
      <c r="G881" s="8" t="str">
        <f aca="false">IF(OR(NOT(ISNUMBER($B881)),NOT(ISNUMBER($B636)),$B636=0),"",$B881/$B636-1)</f>
        <v/>
      </c>
      <c r="H881" s="8" t="str">
        <f aca="false">IF(OR(NOT(ISNUMBER($D881)),NOT(ISNUMBER($D636)),$D636=0),"",$D881/$D636-1)</f>
        <v/>
      </c>
      <c r="I881" s="8" t="str">
        <f aca="false">IF(OR(NOT(ISNUMBER($G881)),NOT(ISNUMBER($H881))),"",$G881-$H881)</f>
        <v/>
      </c>
    </row>
    <row r="882" customFormat="false" ht="15" hidden="false" customHeight="false" outlineLevel="0" collapsed="false">
      <c r="A882" s="5" t="str">
        <f aca="false">IF(NOT(ISNUMBER(Macro_Series!$A882)),"",Macro_Series!$A882)</f>
        <v/>
      </c>
      <c r="B882" s="6" t="str">
        <f aca="false">IF(NOT(ISNUMBER(Macro_Series!$C882)),"",Macro_Series!$C882)</f>
        <v/>
      </c>
      <c r="C882" s="6" t="str">
        <f aca="false">IF(NOT(ISNUMBER(Macro_Series!$E882)),"",Macro_Series!$E882)</f>
        <v/>
      </c>
      <c r="D882" s="7" t="str">
        <f aca="false">IF(OR(NOT(ISNUMBER($B882)),NOT(ISNUMBER($C882)),$C882=0),"",$B882/$C882)</f>
        <v/>
      </c>
      <c r="E882" s="7" t="str">
        <f aca="false">IF(NOT(ISNUMBER(Macro_Series!$H882)),"",Macro_Series!$H882)</f>
        <v/>
      </c>
      <c r="F882" s="7" t="str">
        <f aca="false">IF(OR(NOT(ISNUMBER($D882)),NOT(ISNUMBER($E882)),$E882=0),"",$D882/$E882)</f>
        <v/>
      </c>
      <c r="G882" s="8" t="str">
        <f aca="false">IF(OR(NOT(ISNUMBER($B882)),NOT(ISNUMBER($B637)),$B637=0),"",$B882/$B637-1)</f>
        <v/>
      </c>
      <c r="H882" s="8" t="str">
        <f aca="false">IF(OR(NOT(ISNUMBER($D882)),NOT(ISNUMBER($D637)),$D637=0),"",$D882/$D637-1)</f>
        <v/>
      </c>
      <c r="I882" s="8" t="str">
        <f aca="false">IF(OR(NOT(ISNUMBER($G882)),NOT(ISNUMBER($H882))),"",$G882-$H882)</f>
        <v/>
      </c>
    </row>
    <row r="883" customFormat="false" ht="15" hidden="false" customHeight="false" outlineLevel="0" collapsed="false">
      <c r="A883" s="5" t="str">
        <f aca="false">IF(NOT(ISNUMBER(Macro_Series!$A883)),"",Macro_Series!$A883)</f>
        <v/>
      </c>
      <c r="B883" s="6" t="str">
        <f aca="false">IF(NOT(ISNUMBER(Macro_Series!$C883)),"",Macro_Series!$C883)</f>
        <v/>
      </c>
      <c r="C883" s="6" t="str">
        <f aca="false">IF(NOT(ISNUMBER(Macro_Series!$E883)),"",Macro_Series!$E883)</f>
        <v/>
      </c>
      <c r="D883" s="7" t="str">
        <f aca="false">IF(OR(NOT(ISNUMBER($B883)),NOT(ISNUMBER($C883)),$C883=0),"",$B883/$C883)</f>
        <v/>
      </c>
      <c r="E883" s="7" t="str">
        <f aca="false">IF(NOT(ISNUMBER(Macro_Series!$H883)),"",Macro_Series!$H883)</f>
        <v/>
      </c>
      <c r="F883" s="7" t="str">
        <f aca="false">IF(OR(NOT(ISNUMBER($D883)),NOT(ISNUMBER($E883)),$E883=0),"",$D883/$E883)</f>
        <v/>
      </c>
      <c r="G883" s="8" t="str">
        <f aca="false">IF(OR(NOT(ISNUMBER($B883)),NOT(ISNUMBER($B638)),$B638=0),"",$B883/$B638-1)</f>
        <v/>
      </c>
      <c r="H883" s="8" t="str">
        <f aca="false">IF(OR(NOT(ISNUMBER($D883)),NOT(ISNUMBER($D638)),$D638=0),"",$D883/$D638-1)</f>
        <v/>
      </c>
      <c r="I883" s="8" t="str">
        <f aca="false">IF(OR(NOT(ISNUMBER($G883)),NOT(ISNUMBER($H883))),"",$G883-$H883)</f>
        <v/>
      </c>
    </row>
    <row r="884" customFormat="false" ht="15" hidden="false" customHeight="false" outlineLevel="0" collapsed="false">
      <c r="A884" s="5" t="str">
        <f aca="false">IF(NOT(ISNUMBER(Macro_Series!$A884)),"",Macro_Series!$A884)</f>
        <v/>
      </c>
      <c r="B884" s="6" t="str">
        <f aca="false">IF(NOT(ISNUMBER(Macro_Series!$C884)),"",Macro_Series!$C884)</f>
        <v/>
      </c>
      <c r="C884" s="6" t="str">
        <f aca="false">IF(NOT(ISNUMBER(Macro_Series!$E884)),"",Macro_Series!$E884)</f>
        <v/>
      </c>
      <c r="D884" s="7" t="str">
        <f aca="false">IF(OR(NOT(ISNUMBER($B884)),NOT(ISNUMBER($C884)),$C884=0),"",$B884/$C884)</f>
        <v/>
      </c>
      <c r="E884" s="7" t="str">
        <f aca="false">IF(NOT(ISNUMBER(Macro_Series!$H884)),"",Macro_Series!$H884)</f>
        <v/>
      </c>
      <c r="F884" s="7" t="str">
        <f aca="false">IF(OR(NOT(ISNUMBER($D884)),NOT(ISNUMBER($E884)),$E884=0),"",$D884/$E884)</f>
        <v/>
      </c>
      <c r="G884" s="8" t="str">
        <f aca="false">IF(OR(NOT(ISNUMBER($B884)),NOT(ISNUMBER($B639)),$B639=0),"",$B884/$B639-1)</f>
        <v/>
      </c>
      <c r="H884" s="8" t="str">
        <f aca="false">IF(OR(NOT(ISNUMBER($D884)),NOT(ISNUMBER($D639)),$D639=0),"",$D884/$D639-1)</f>
        <v/>
      </c>
      <c r="I884" s="8" t="str">
        <f aca="false">IF(OR(NOT(ISNUMBER($G884)),NOT(ISNUMBER($H884))),"",$G884-$H884)</f>
        <v/>
      </c>
    </row>
    <row r="885" customFormat="false" ht="15" hidden="false" customHeight="false" outlineLevel="0" collapsed="false">
      <c r="A885" s="5" t="str">
        <f aca="false">IF(NOT(ISNUMBER(Macro_Series!$A885)),"",Macro_Series!$A885)</f>
        <v/>
      </c>
      <c r="B885" s="6" t="str">
        <f aca="false">IF(NOT(ISNUMBER(Macro_Series!$C885)),"",Macro_Series!$C885)</f>
        <v/>
      </c>
      <c r="C885" s="6" t="str">
        <f aca="false">IF(NOT(ISNUMBER(Macro_Series!$E885)),"",Macro_Series!$E885)</f>
        <v/>
      </c>
      <c r="D885" s="7" t="str">
        <f aca="false">IF(OR(NOT(ISNUMBER($B885)),NOT(ISNUMBER($C885)),$C885=0),"",$B885/$C885)</f>
        <v/>
      </c>
      <c r="E885" s="7" t="str">
        <f aca="false">IF(NOT(ISNUMBER(Macro_Series!$H885)),"",Macro_Series!$H885)</f>
        <v/>
      </c>
      <c r="F885" s="7" t="str">
        <f aca="false">IF(OR(NOT(ISNUMBER($D885)),NOT(ISNUMBER($E885)),$E885=0),"",$D885/$E885)</f>
        <v/>
      </c>
      <c r="G885" s="8" t="str">
        <f aca="false">IF(OR(NOT(ISNUMBER($B885)),NOT(ISNUMBER($B640)),$B640=0),"",$B885/$B640-1)</f>
        <v/>
      </c>
      <c r="H885" s="8" t="str">
        <f aca="false">IF(OR(NOT(ISNUMBER($D885)),NOT(ISNUMBER($D640)),$D640=0),"",$D885/$D640-1)</f>
        <v/>
      </c>
      <c r="I885" s="8" t="str">
        <f aca="false">IF(OR(NOT(ISNUMBER($G885)),NOT(ISNUMBER($H885))),"",$G885-$H885)</f>
        <v/>
      </c>
    </row>
    <row r="886" customFormat="false" ht="15" hidden="false" customHeight="false" outlineLevel="0" collapsed="false">
      <c r="A886" s="5" t="str">
        <f aca="false">IF(NOT(ISNUMBER(Macro_Series!$A886)),"",Macro_Series!$A886)</f>
        <v/>
      </c>
      <c r="B886" s="6" t="str">
        <f aca="false">IF(NOT(ISNUMBER(Macro_Series!$C886)),"",Macro_Series!$C886)</f>
        <v/>
      </c>
      <c r="C886" s="6" t="str">
        <f aca="false">IF(NOT(ISNUMBER(Macro_Series!$E886)),"",Macro_Series!$E886)</f>
        <v/>
      </c>
      <c r="D886" s="7" t="str">
        <f aca="false">IF(OR(NOT(ISNUMBER($B886)),NOT(ISNUMBER($C886)),$C886=0),"",$B886/$C886)</f>
        <v/>
      </c>
      <c r="E886" s="7" t="str">
        <f aca="false">IF(NOT(ISNUMBER(Macro_Series!$H886)),"",Macro_Series!$H886)</f>
        <v/>
      </c>
      <c r="F886" s="7" t="str">
        <f aca="false">IF(OR(NOT(ISNUMBER($D886)),NOT(ISNUMBER($E886)),$E886=0),"",$D886/$E886)</f>
        <v/>
      </c>
      <c r="G886" s="8" t="str">
        <f aca="false">IF(OR(NOT(ISNUMBER($B886)),NOT(ISNUMBER($B641)),$B641=0),"",$B886/$B641-1)</f>
        <v/>
      </c>
      <c r="H886" s="8" t="str">
        <f aca="false">IF(OR(NOT(ISNUMBER($D886)),NOT(ISNUMBER($D641)),$D641=0),"",$D886/$D641-1)</f>
        <v/>
      </c>
      <c r="I886" s="8" t="str">
        <f aca="false">IF(OR(NOT(ISNUMBER($G886)),NOT(ISNUMBER($H886))),"",$G886-$H886)</f>
        <v/>
      </c>
    </row>
    <row r="887" customFormat="false" ht="15" hidden="false" customHeight="false" outlineLevel="0" collapsed="false">
      <c r="A887" s="5" t="str">
        <f aca="false">IF(NOT(ISNUMBER(Macro_Series!$A887)),"",Macro_Series!$A887)</f>
        <v/>
      </c>
      <c r="B887" s="6" t="str">
        <f aca="false">IF(NOT(ISNUMBER(Macro_Series!$C887)),"",Macro_Series!$C887)</f>
        <v/>
      </c>
      <c r="C887" s="6" t="str">
        <f aca="false">IF(NOT(ISNUMBER(Macro_Series!$E887)),"",Macro_Series!$E887)</f>
        <v/>
      </c>
      <c r="D887" s="7" t="str">
        <f aca="false">IF(OR(NOT(ISNUMBER($B887)),NOT(ISNUMBER($C887)),$C887=0),"",$B887/$C887)</f>
        <v/>
      </c>
      <c r="E887" s="7" t="str">
        <f aca="false">IF(NOT(ISNUMBER(Macro_Series!$H887)),"",Macro_Series!$H887)</f>
        <v/>
      </c>
      <c r="F887" s="7" t="str">
        <f aca="false">IF(OR(NOT(ISNUMBER($D887)),NOT(ISNUMBER($E887)),$E887=0),"",$D887/$E887)</f>
        <v/>
      </c>
      <c r="G887" s="8" t="str">
        <f aca="false">IF(OR(NOT(ISNUMBER($B887)),NOT(ISNUMBER($B642)),$B642=0),"",$B887/$B642-1)</f>
        <v/>
      </c>
      <c r="H887" s="8" t="str">
        <f aca="false">IF(OR(NOT(ISNUMBER($D887)),NOT(ISNUMBER($D642)),$D642=0),"",$D887/$D642-1)</f>
        <v/>
      </c>
      <c r="I887" s="8" t="str">
        <f aca="false">IF(OR(NOT(ISNUMBER($G887)),NOT(ISNUMBER($H887))),"",$G887-$H887)</f>
        <v/>
      </c>
    </row>
    <row r="888" customFormat="false" ht="15" hidden="false" customHeight="false" outlineLevel="0" collapsed="false">
      <c r="A888" s="5" t="str">
        <f aca="false">IF(NOT(ISNUMBER(Macro_Series!$A888)),"",Macro_Series!$A888)</f>
        <v/>
      </c>
      <c r="B888" s="6" t="str">
        <f aca="false">IF(NOT(ISNUMBER(Macro_Series!$C888)),"",Macro_Series!$C888)</f>
        <v/>
      </c>
      <c r="C888" s="6" t="str">
        <f aca="false">IF(NOT(ISNUMBER(Macro_Series!$E888)),"",Macro_Series!$E888)</f>
        <v/>
      </c>
      <c r="D888" s="7" t="str">
        <f aca="false">IF(OR(NOT(ISNUMBER($B888)),NOT(ISNUMBER($C888)),$C888=0),"",$B888/$C888)</f>
        <v/>
      </c>
      <c r="E888" s="7" t="str">
        <f aca="false">IF(NOT(ISNUMBER(Macro_Series!$H888)),"",Macro_Series!$H888)</f>
        <v/>
      </c>
      <c r="F888" s="7" t="str">
        <f aca="false">IF(OR(NOT(ISNUMBER($D888)),NOT(ISNUMBER($E888)),$E888=0),"",$D888/$E888)</f>
        <v/>
      </c>
      <c r="G888" s="8" t="str">
        <f aca="false">IF(OR(NOT(ISNUMBER($B888)),NOT(ISNUMBER($B643)),$B643=0),"",$B888/$B643-1)</f>
        <v/>
      </c>
      <c r="H888" s="8" t="str">
        <f aca="false">IF(OR(NOT(ISNUMBER($D888)),NOT(ISNUMBER($D643)),$D643=0),"",$D888/$D643-1)</f>
        <v/>
      </c>
      <c r="I888" s="8" t="str">
        <f aca="false">IF(OR(NOT(ISNUMBER($G888)),NOT(ISNUMBER($H888))),"",$G888-$H888)</f>
        <v/>
      </c>
    </row>
    <row r="889" customFormat="false" ht="15" hidden="false" customHeight="false" outlineLevel="0" collapsed="false">
      <c r="A889" s="5" t="str">
        <f aca="false">IF(NOT(ISNUMBER(Macro_Series!$A889)),"",Macro_Series!$A889)</f>
        <v/>
      </c>
      <c r="B889" s="6" t="str">
        <f aca="false">IF(NOT(ISNUMBER(Macro_Series!$C889)),"",Macro_Series!$C889)</f>
        <v/>
      </c>
      <c r="C889" s="6" t="str">
        <f aca="false">IF(NOT(ISNUMBER(Macro_Series!$E889)),"",Macro_Series!$E889)</f>
        <v/>
      </c>
      <c r="D889" s="7" t="str">
        <f aca="false">IF(OR(NOT(ISNUMBER($B889)),NOT(ISNUMBER($C889)),$C889=0),"",$B889/$C889)</f>
        <v/>
      </c>
      <c r="E889" s="7" t="str">
        <f aca="false">IF(NOT(ISNUMBER(Macro_Series!$H889)),"",Macro_Series!$H889)</f>
        <v/>
      </c>
      <c r="F889" s="7" t="str">
        <f aca="false">IF(OR(NOT(ISNUMBER($D889)),NOT(ISNUMBER($E889)),$E889=0),"",$D889/$E889)</f>
        <v/>
      </c>
      <c r="G889" s="8" t="str">
        <f aca="false">IF(OR(NOT(ISNUMBER($B889)),NOT(ISNUMBER($B644)),$B644=0),"",$B889/$B644-1)</f>
        <v/>
      </c>
      <c r="H889" s="8" t="str">
        <f aca="false">IF(OR(NOT(ISNUMBER($D889)),NOT(ISNUMBER($D644)),$D644=0),"",$D889/$D644-1)</f>
        <v/>
      </c>
      <c r="I889" s="8" t="str">
        <f aca="false">IF(OR(NOT(ISNUMBER($G889)),NOT(ISNUMBER($H889))),"",$G889-$H889)</f>
        <v/>
      </c>
    </row>
    <row r="890" customFormat="false" ht="15" hidden="false" customHeight="false" outlineLevel="0" collapsed="false">
      <c r="A890" s="5" t="str">
        <f aca="false">IF(NOT(ISNUMBER(Macro_Series!$A890)),"",Macro_Series!$A890)</f>
        <v/>
      </c>
      <c r="B890" s="6" t="str">
        <f aca="false">IF(NOT(ISNUMBER(Macro_Series!$C890)),"",Macro_Series!$C890)</f>
        <v/>
      </c>
      <c r="C890" s="6" t="str">
        <f aca="false">IF(NOT(ISNUMBER(Macro_Series!$E890)),"",Macro_Series!$E890)</f>
        <v/>
      </c>
      <c r="D890" s="7" t="str">
        <f aca="false">IF(OR(NOT(ISNUMBER($B890)),NOT(ISNUMBER($C890)),$C890=0),"",$B890/$C890)</f>
        <v/>
      </c>
      <c r="E890" s="7" t="str">
        <f aca="false">IF(NOT(ISNUMBER(Macro_Series!$H890)),"",Macro_Series!$H890)</f>
        <v/>
      </c>
      <c r="F890" s="7" t="str">
        <f aca="false">IF(OR(NOT(ISNUMBER($D890)),NOT(ISNUMBER($E890)),$E890=0),"",$D890/$E890)</f>
        <v/>
      </c>
      <c r="G890" s="8" t="str">
        <f aca="false">IF(OR(NOT(ISNUMBER($B890)),NOT(ISNUMBER($B645)),$B645=0),"",$B890/$B645-1)</f>
        <v/>
      </c>
      <c r="H890" s="8" t="str">
        <f aca="false">IF(OR(NOT(ISNUMBER($D890)),NOT(ISNUMBER($D645)),$D645=0),"",$D890/$D645-1)</f>
        <v/>
      </c>
      <c r="I890" s="8" t="str">
        <f aca="false">IF(OR(NOT(ISNUMBER($G890)),NOT(ISNUMBER($H890))),"",$G890-$H890)</f>
        <v/>
      </c>
    </row>
    <row r="891" customFormat="false" ht="15" hidden="false" customHeight="false" outlineLevel="0" collapsed="false">
      <c r="A891" s="5" t="str">
        <f aca="false">IF(NOT(ISNUMBER(Macro_Series!$A891)),"",Macro_Series!$A891)</f>
        <v/>
      </c>
      <c r="B891" s="6" t="str">
        <f aca="false">IF(NOT(ISNUMBER(Macro_Series!$C891)),"",Macro_Series!$C891)</f>
        <v/>
      </c>
      <c r="C891" s="6" t="str">
        <f aca="false">IF(NOT(ISNUMBER(Macro_Series!$E891)),"",Macro_Series!$E891)</f>
        <v/>
      </c>
      <c r="D891" s="7" t="str">
        <f aca="false">IF(OR(NOT(ISNUMBER($B891)),NOT(ISNUMBER($C891)),$C891=0),"",$B891/$C891)</f>
        <v/>
      </c>
      <c r="E891" s="7" t="str">
        <f aca="false">IF(NOT(ISNUMBER(Macro_Series!$H891)),"",Macro_Series!$H891)</f>
        <v/>
      </c>
      <c r="F891" s="7" t="str">
        <f aca="false">IF(OR(NOT(ISNUMBER($D891)),NOT(ISNUMBER($E891)),$E891=0),"",$D891/$E891)</f>
        <v/>
      </c>
      <c r="G891" s="8" t="str">
        <f aca="false">IF(OR(NOT(ISNUMBER($B891)),NOT(ISNUMBER($B646)),$B646=0),"",$B891/$B646-1)</f>
        <v/>
      </c>
      <c r="H891" s="8" t="str">
        <f aca="false">IF(OR(NOT(ISNUMBER($D891)),NOT(ISNUMBER($D646)),$D646=0),"",$D891/$D646-1)</f>
        <v/>
      </c>
      <c r="I891" s="8" t="str">
        <f aca="false">IF(OR(NOT(ISNUMBER($G891)),NOT(ISNUMBER($H891))),"",$G891-$H891)</f>
        <v/>
      </c>
    </row>
    <row r="892" customFormat="false" ht="15" hidden="false" customHeight="false" outlineLevel="0" collapsed="false">
      <c r="A892" s="5" t="str">
        <f aca="false">IF(NOT(ISNUMBER(Macro_Series!$A892)),"",Macro_Series!$A892)</f>
        <v/>
      </c>
      <c r="B892" s="6" t="str">
        <f aca="false">IF(NOT(ISNUMBER(Macro_Series!$C892)),"",Macro_Series!$C892)</f>
        <v/>
      </c>
      <c r="C892" s="6" t="str">
        <f aca="false">IF(NOT(ISNUMBER(Macro_Series!$E892)),"",Macro_Series!$E892)</f>
        <v/>
      </c>
      <c r="D892" s="7" t="str">
        <f aca="false">IF(OR(NOT(ISNUMBER($B892)),NOT(ISNUMBER($C892)),$C892=0),"",$B892/$C892)</f>
        <v/>
      </c>
      <c r="E892" s="7" t="str">
        <f aca="false">IF(NOT(ISNUMBER(Macro_Series!$H892)),"",Macro_Series!$H892)</f>
        <v/>
      </c>
      <c r="F892" s="7" t="str">
        <f aca="false">IF(OR(NOT(ISNUMBER($D892)),NOT(ISNUMBER($E892)),$E892=0),"",$D892/$E892)</f>
        <v/>
      </c>
      <c r="G892" s="8" t="str">
        <f aca="false">IF(OR(NOT(ISNUMBER($B892)),NOT(ISNUMBER($B647)),$B647=0),"",$B892/$B647-1)</f>
        <v/>
      </c>
      <c r="H892" s="8" t="str">
        <f aca="false">IF(OR(NOT(ISNUMBER($D892)),NOT(ISNUMBER($D647)),$D647=0),"",$D892/$D647-1)</f>
        <v/>
      </c>
      <c r="I892" s="8" t="str">
        <f aca="false">IF(OR(NOT(ISNUMBER($G892)),NOT(ISNUMBER($H892))),"",$G892-$H892)</f>
        <v/>
      </c>
    </row>
    <row r="893" customFormat="false" ht="15" hidden="false" customHeight="false" outlineLevel="0" collapsed="false">
      <c r="A893" s="5" t="str">
        <f aca="false">IF(NOT(ISNUMBER(Macro_Series!$A893)),"",Macro_Series!$A893)</f>
        <v/>
      </c>
      <c r="B893" s="6" t="str">
        <f aca="false">IF(NOT(ISNUMBER(Macro_Series!$C893)),"",Macro_Series!$C893)</f>
        <v/>
      </c>
      <c r="C893" s="6" t="str">
        <f aca="false">IF(NOT(ISNUMBER(Macro_Series!$E893)),"",Macro_Series!$E893)</f>
        <v/>
      </c>
      <c r="D893" s="7" t="str">
        <f aca="false">IF(OR(NOT(ISNUMBER($B893)),NOT(ISNUMBER($C893)),$C893=0),"",$B893/$C893)</f>
        <v/>
      </c>
      <c r="E893" s="7" t="str">
        <f aca="false">IF(NOT(ISNUMBER(Macro_Series!$H893)),"",Macro_Series!$H893)</f>
        <v/>
      </c>
      <c r="F893" s="7" t="str">
        <f aca="false">IF(OR(NOT(ISNUMBER($D893)),NOT(ISNUMBER($E893)),$E893=0),"",$D893/$E893)</f>
        <v/>
      </c>
      <c r="G893" s="8" t="str">
        <f aca="false">IF(OR(NOT(ISNUMBER($B893)),NOT(ISNUMBER($B648)),$B648=0),"",$B893/$B648-1)</f>
        <v/>
      </c>
      <c r="H893" s="8" t="str">
        <f aca="false">IF(OR(NOT(ISNUMBER($D893)),NOT(ISNUMBER($D648)),$D648=0),"",$D893/$D648-1)</f>
        <v/>
      </c>
      <c r="I893" s="8" t="str">
        <f aca="false">IF(OR(NOT(ISNUMBER($G893)),NOT(ISNUMBER($H893))),"",$G893-$H893)</f>
        <v/>
      </c>
    </row>
    <row r="894" customFormat="false" ht="15" hidden="false" customHeight="false" outlineLevel="0" collapsed="false">
      <c r="A894" s="5" t="str">
        <f aca="false">IF(NOT(ISNUMBER(Macro_Series!$A894)),"",Macro_Series!$A894)</f>
        <v/>
      </c>
      <c r="B894" s="6" t="str">
        <f aca="false">IF(NOT(ISNUMBER(Macro_Series!$C894)),"",Macro_Series!$C894)</f>
        <v/>
      </c>
      <c r="C894" s="6" t="str">
        <f aca="false">IF(NOT(ISNUMBER(Macro_Series!$E894)),"",Macro_Series!$E894)</f>
        <v/>
      </c>
      <c r="D894" s="7" t="str">
        <f aca="false">IF(OR(NOT(ISNUMBER($B894)),NOT(ISNUMBER($C894)),$C894=0),"",$B894/$C894)</f>
        <v/>
      </c>
      <c r="E894" s="7" t="str">
        <f aca="false">IF(NOT(ISNUMBER(Macro_Series!$H894)),"",Macro_Series!$H894)</f>
        <v/>
      </c>
      <c r="F894" s="7" t="str">
        <f aca="false">IF(OR(NOT(ISNUMBER($D894)),NOT(ISNUMBER($E894)),$E894=0),"",$D894/$E894)</f>
        <v/>
      </c>
      <c r="G894" s="8" t="str">
        <f aca="false">IF(OR(NOT(ISNUMBER($B894)),NOT(ISNUMBER($B649)),$B649=0),"",$B894/$B649-1)</f>
        <v/>
      </c>
      <c r="H894" s="8" t="str">
        <f aca="false">IF(OR(NOT(ISNUMBER($D894)),NOT(ISNUMBER($D649)),$D649=0),"",$D894/$D649-1)</f>
        <v/>
      </c>
      <c r="I894" s="8" t="str">
        <f aca="false">IF(OR(NOT(ISNUMBER($G894)),NOT(ISNUMBER($H894))),"",$G894-$H894)</f>
        <v/>
      </c>
    </row>
    <row r="895" customFormat="false" ht="15" hidden="false" customHeight="false" outlineLevel="0" collapsed="false">
      <c r="A895" s="5" t="str">
        <f aca="false">IF(NOT(ISNUMBER(Macro_Series!$A895)),"",Macro_Series!$A895)</f>
        <v/>
      </c>
      <c r="B895" s="6" t="str">
        <f aca="false">IF(NOT(ISNUMBER(Macro_Series!$C895)),"",Macro_Series!$C895)</f>
        <v/>
      </c>
      <c r="C895" s="6" t="str">
        <f aca="false">IF(NOT(ISNUMBER(Macro_Series!$E895)),"",Macro_Series!$E895)</f>
        <v/>
      </c>
      <c r="D895" s="7" t="str">
        <f aca="false">IF(OR(NOT(ISNUMBER($B895)),NOT(ISNUMBER($C895)),$C895=0),"",$B895/$C895)</f>
        <v/>
      </c>
      <c r="E895" s="7" t="str">
        <f aca="false">IF(NOT(ISNUMBER(Macro_Series!$H895)),"",Macro_Series!$H895)</f>
        <v/>
      </c>
      <c r="F895" s="7" t="str">
        <f aca="false">IF(OR(NOT(ISNUMBER($D895)),NOT(ISNUMBER($E895)),$E895=0),"",$D895/$E895)</f>
        <v/>
      </c>
      <c r="G895" s="8" t="str">
        <f aca="false">IF(OR(NOT(ISNUMBER($B895)),NOT(ISNUMBER($B650)),$B650=0),"",$B895/$B650-1)</f>
        <v/>
      </c>
      <c r="H895" s="8" t="str">
        <f aca="false">IF(OR(NOT(ISNUMBER($D895)),NOT(ISNUMBER($D650)),$D650=0),"",$D895/$D650-1)</f>
        <v/>
      </c>
      <c r="I895" s="8" t="str">
        <f aca="false">IF(OR(NOT(ISNUMBER($G895)),NOT(ISNUMBER($H895))),"",$G895-$H895)</f>
        <v/>
      </c>
    </row>
    <row r="896" customFormat="false" ht="15" hidden="false" customHeight="false" outlineLevel="0" collapsed="false">
      <c r="A896" s="5" t="str">
        <f aca="false">IF(NOT(ISNUMBER(Macro_Series!$A896)),"",Macro_Series!$A896)</f>
        <v/>
      </c>
      <c r="B896" s="6" t="str">
        <f aca="false">IF(NOT(ISNUMBER(Macro_Series!$C896)),"",Macro_Series!$C896)</f>
        <v/>
      </c>
      <c r="C896" s="6" t="str">
        <f aca="false">IF(NOT(ISNUMBER(Macro_Series!$E896)),"",Macro_Series!$E896)</f>
        <v/>
      </c>
      <c r="D896" s="7" t="str">
        <f aca="false">IF(OR(NOT(ISNUMBER($B896)),NOT(ISNUMBER($C896)),$C896=0),"",$B896/$C896)</f>
        <v/>
      </c>
      <c r="E896" s="7" t="str">
        <f aca="false">IF(NOT(ISNUMBER(Macro_Series!$H896)),"",Macro_Series!$H896)</f>
        <v/>
      </c>
      <c r="F896" s="7" t="str">
        <f aca="false">IF(OR(NOT(ISNUMBER($D896)),NOT(ISNUMBER($E896)),$E896=0),"",$D896/$E896)</f>
        <v/>
      </c>
      <c r="G896" s="8" t="str">
        <f aca="false">IF(OR(NOT(ISNUMBER($B896)),NOT(ISNUMBER($B651)),$B651=0),"",$B896/$B651-1)</f>
        <v/>
      </c>
      <c r="H896" s="8" t="str">
        <f aca="false">IF(OR(NOT(ISNUMBER($D896)),NOT(ISNUMBER($D651)),$D651=0),"",$D896/$D651-1)</f>
        <v/>
      </c>
      <c r="I896" s="8" t="str">
        <f aca="false">IF(OR(NOT(ISNUMBER($G896)),NOT(ISNUMBER($H896))),"",$G896-$H896)</f>
        <v/>
      </c>
    </row>
    <row r="897" customFormat="false" ht="15" hidden="false" customHeight="false" outlineLevel="0" collapsed="false">
      <c r="A897" s="5" t="str">
        <f aca="false">IF(NOT(ISNUMBER(Macro_Series!$A897)),"",Macro_Series!$A897)</f>
        <v/>
      </c>
      <c r="B897" s="6" t="str">
        <f aca="false">IF(NOT(ISNUMBER(Macro_Series!$C897)),"",Macro_Series!$C897)</f>
        <v/>
      </c>
      <c r="C897" s="6" t="str">
        <f aca="false">IF(NOT(ISNUMBER(Macro_Series!$E897)),"",Macro_Series!$E897)</f>
        <v/>
      </c>
      <c r="D897" s="7" t="str">
        <f aca="false">IF(OR(NOT(ISNUMBER($B897)),NOT(ISNUMBER($C897)),$C897=0),"",$B897/$C897)</f>
        <v/>
      </c>
      <c r="E897" s="7" t="str">
        <f aca="false">IF(NOT(ISNUMBER(Macro_Series!$H897)),"",Macro_Series!$H897)</f>
        <v/>
      </c>
      <c r="F897" s="7" t="str">
        <f aca="false">IF(OR(NOT(ISNUMBER($D897)),NOT(ISNUMBER($E897)),$E897=0),"",$D897/$E897)</f>
        <v/>
      </c>
      <c r="G897" s="8" t="str">
        <f aca="false">IF(OR(NOT(ISNUMBER($B897)),NOT(ISNUMBER($B652)),$B652=0),"",$B897/$B652-1)</f>
        <v/>
      </c>
      <c r="H897" s="8" t="str">
        <f aca="false">IF(OR(NOT(ISNUMBER($D897)),NOT(ISNUMBER($D652)),$D652=0),"",$D897/$D652-1)</f>
        <v/>
      </c>
      <c r="I897" s="8" t="str">
        <f aca="false">IF(OR(NOT(ISNUMBER($G897)),NOT(ISNUMBER($H897))),"",$G897-$H897)</f>
        <v/>
      </c>
    </row>
    <row r="898" customFormat="false" ht="15" hidden="false" customHeight="false" outlineLevel="0" collapsed="false">
      <c r="A898" s="5" t="str">
        <f aca="false">IF(NOT(ISNUMBER(Macro_Series!$A898)),"",Macro_Series!$A898)</f>
        <v/>
      </c>
      <c r="B898" s="6" t="str">
        <f aca="false">IF(NOT(ISNUMBER(Macro_Series!$C898)),"",Macro_Series!$C898)</f>
        <v/>
      </c>
      <c r="C898" s="6" t="str">
        <f aca="false">IF(NOT(ISNUMBER(Macro_Series!$E898)),"",Macro_Series!$E898)</f>
        <v/>
      </c>
      <c r="D898" s="7" t="str">
        <f aca="false">IF(OR(NOT(ISNUMBER($B898)),NOT(ISNUMBER($C898)),$C898=0),"",$B898/$C898)</f>
        <v/>
      </c>
      <c r="E898" s="7" t="str">
        <f aca="false">IF(NOT(ISNUMBER(Macro_Series!$H898)),"",Macro_Series!$H898)</f>
        <v/>
      </c>
      <c r="F898" s="7" t="str">
        <f aca="false">IF(OR(NOT(ISNUMBER($D898)),NOT(ISNUMBER($E898)),$E898=0),"",$D898/$E898)</f>
        <v/>
      </c>
      <c r="G898" s="8" t="str">
        <f aca="false">IF(OR(NOT(ISNUMBER($B898)),NOT(ISNUMBER($B653)),$B653=0),"",$B898/$B653-1)</f>
        <v/>
      </c>
      <c r="H898" s="8" t="str">
        <f aca="false">IF(OR(NOT(ISNUMBER($D898)),NOT(ISNUMBER($D653)),$D653=0),"",$D898/$D653-1)</f>
        <v/>
      </c>
      <c r="I898" s="8" t="str">
        <f aca="false">IF(OR(NOT(ISNUMBER($G898)),NOT(ISNUMBER($H898))),"",$G898-$H898)</f>
        <v/>
      </c>
    </row>
    <row r="899" customFormat="false" ht="15" hidden="false" customHeight="false" outlineLevel="0" collapsed="false">
      <c r="A899" s="5" t="str">
        <f aca="false">IF(NOT(ISNUMBER(Macro_Series!$A899)),"",Macro_Series!$A899)</f>
        <v/>
      </c>
      <c r="B899" s="6" t="str">
        <f aca="false">IF(NOT(ISNUMBER(Macro_Series!$C899)),"",Macro_Series!$C899)</f>
        <v/>
      </c>
      <c r="C899" s="6" t="str">
        <f aca="false">IF(NOT(ISNUMBER(Macro_Series!$E899)),"",Macro_Series!$E899)</f>
        <v/>
      </c>
      <c r="D899" s="7" t="str">
        <f aca="false">IF(OR(NOT(ISNUMBER($B899)),NOT(ISNUMBER($C899)),$C899=0),"",$B899/$C899)</f>
        <v/>
      </c>
      <c r="E899" s="7" t="str">
        <f aca="false">IF(NOT(ISNUMBER(Macro_Series!$H899)),"",Macro_Series!$H899)</f>
        <v/>
      </c>
      <c r="F899" s="7" t="str">
        <f aca="false">IF(OR(NOT(ISNUMBER($D899)),NOT(ISNUMBER($E899)),$E899=0),"",$D899/$E899)</f>
        <v/>
      </c>
      <c r="G899" s="8" t="str">
        <f aca="false">IF(OR(NOT(ISNUMBER($B899)),NOT(ISNUMBER($B654)),$B654=0),"",$B899/$B654-1)</f>
        <v/>
      </c>
      <c r="H899" s="8" t="str">
        <f aca="false">IF(OR(NOT(ISNUMBER($D899)),NOT(ISNUMBER($D654)),$D654=0),"",$D899/$D654-1)</f>
        <v/>
      </c>
      <c r="I899" s="8" t="str">
        <f aca="false">IF(OR(NOT(ISNUMBER($G899)),NOT(ISNUMBER($H899))),"",$G899-$H899)</f>
        <v/>
      </c>
    </row>
    <row r="900" customFormat="false" ht="15" hidden="false" customHeight="false" outlineLevel="0" collapsed="false">
      <c r="A900" s="5" t="str">
        <f aca="false">IF(NOT(ISNUMBER(Macro_Series!$A900)),"",Macro_Series!$A900)</f>
        <v/>
      </c>
      <c r="B900" s="6" t="str">
        <f aca="false">IF(NOT(ISNUMBER(Macro_Series!$C900)),"",Macro_Series!$C900)</f>
        <v/>
      </c>
      <c r="C900" s="6" t="str">
        <f aca="false">IF(NOT(ISNUMBER(Macro_Series!$E900)),"",Macro_Series!$E900)</f>
        <v/>
      </c>
      <c r="D900" s="7" t="str">
        <f aca="false">IF(OR(NOT(ISNUMBER($B900)),NOT(ISNUMBER($C900)),$C900=0),"",$B900/$C900)</f>
        <v/>
      </c>
      <c r="E900" s="7" t="str">
        <f aca="false">IF(NOT(ISNUMBER(Macro_Series!$H900)),"",Macro_Series!$H900)</f>
        <v/>
      </c>
      <c r="F900" s="7" t="str">
        <f aca="false">IF(OR(NOT(ISNUMBER($D900)),NOT(ISNUMBER($E900)),$E900=0),"",$D900/$E900)</f>
        <v/>
      </c>
      <c r="G900" s="8" t="str">
        <f aca="false">IF(OR(NOT(ISNUMBER($B900)),NOT(ISNUMBER($B655)),$B655=0),"",$B900/$B655-1)</f>
        <v/>
      </c>
      <c r="H900" s="8" t="str">
        <f aca="false">IF(OR(NOT(ISNUMBER($D900)),NOT(ISNUMBER($D655)),$D655=0),"",$D900/$D655-1)</f>
        <v/>
      </c>
      <c r="I900" s="8" t="str">
        <f aca="false">IF(OR(NOT(ISNUMBER($G900)),NOT(ISNUMBER($H900))),"",$G900-$H900)</f>
        <v/>
      </c>
    </row>
    <row r="901" customFormat="false" ht="15" hidden="false" customHeight="false" outlineLevel="0" collapsed="false">
      <c r="A901" s="5" t="str">
        <f aca="false">IF(NOT(ISNUMBER(Macro_Series!$A901)),"",Macro_Series!$A901)</f>
        <v/>
      </c>
      <c r="B901" s="6" t="str">
        <f aca="false">IF(NOT(ISNUMBER(Macro_Series!$C901)),"",Macro_Series!$C901)</f>
        <v/>
      </c>
      <c r="C901" s="6" t="str">
        <f aca="false">IF(NOT(ISNUMBER(Macro_Series!$E901)),"",Macro_Series!$E901)</f>
        <v/>
      </c>
      <c r="D901" s="7" t="str">
        <f aca="false">IF(OR(NOT(ISNUMBER($B901)),NOT(ISNUMBER($C901)),$C901=0),"",$B901/$C901)</f>
        <v/>
      </c>
      <c r="E901" s="7" t="str">
        <f aca="false">IF(NOT(ISNUMBER(Macro_Series!$H901)),"",Macro_Series!$H901)</f>
        <v/>
      </c>
      <c r="F901" s="7" t="str">
        <f aca="false">IF(OR(NOT(ISNUMBER($D901)),NOT(ISNUMBER($E901)),$E901=0),"",$D901/$E901)</f>
        <v/>
      </c>
      <c r="G901" s="8" t="str">
        <f aca="false">IF(OR(NOT(ISNUMBER($B901)),NOT(ISNUMBER($B656)),$B656=0),"",$B901/$B656-1)</f>
        <v/>
      </c>
      <c r="H901" s="8" t="str">
        <f aca="false">IF(OR(NOT(ISNUMBER($D901)),NOT(ISNUMBER($D656)),$D656=0),"",$D901/$D656-1)</f>
        <v/>
      </c>
      <c r="I901" s="8" t="str">
        <f aca="false">IF(OR(NOT(ISNUMBER($G901)),NOT(ISNUMBER($H901))),"",$G901-$H901)</f>
        <v/>
      </c>
    </row>
    <row r="902" customFormat="false" ht="15" hidden="false" customHeight="false" outlineLevel="0" collapsed="false">
      <c r="A902" s="5" t="str">
        <f aca="false">IF(NOT(ISNUMBER(Macro_Series!$A902)),"",Macro_Series!$A902)</f>
        <v/>
      </c>
      <c r="B902" s="6" t="str">
        <f aca="false">IF(NOT(ISNUMBER(Macro_Series!$C902)),"",Macro_Series!$C902)</f>
        <v/>
      </c>
      <c r="C902" s="6" t="str">
        <f aca="false">IF(NOT(ISNUMBER(Macro_Series!$E902)),"",Macro_Series!$E902)</f>
        <v/>
      </c>
      <c r="D902" s="7" t="str">
        <f aca="false">IF(OR(NOT(ISNUMBER($B902)),NOT(ISNUMBER($C902)),$C902=0),"",$B902/$C902)</f>
        <v/>
      </c>
      <c r="E902" s="7" t="str">
        <f aca="false">IF(NOT(ISNUMBER(Macro_Series!$H902)),"",Macro_Series!$H902)</f>
        <v/>
      </c>
      <c r="F902" s="7" t="str">
        <f aca="false">IF(OR(NOT(ISNUMBER($D902)),NOT(ISNUMBER($E902)),$E902=0),"",$D902/$E902)</f>
        <v/>
      </c>
      <c r="G902" s="8" t="str">
        <f aca="false">IF(OR(NOT(ISNUMBER($B902)),NOT(ISNUMBER($B657)),$B657=0),"",$B902/$B657-1)</f>
        <v/>
      </c>
      <c r="H902" s="8" t="str">
        <f aca="false">IF(OR(NOT(ISNUMBER($D902)),NOT(ISNUMBER($D657)),$D657=0),"",$D902/$D657-1)</f>
        <v/>
      </c>
      <c r="I902" s="8" t="str">
        <f aca="false">IF(OR(NOT(ISNUMBER($G902)),NOT(ISNUMBER($H902))),"",$G902-$H902)</f>
        <v/>
      </c>
    </row>
    <row r="903" customFormat="false" ht="15" hidden="false" customHeight="false" outlineLevel="0" collapsed="false">
      <c r="A903" s="5" t="str">
        <f aca="false">IF(NOT(ISNUMBER(Macro_Series!$A903)),"",Macro_Series!$A903)</f>
        <v/>
      </c>
      <c r="B903" s="6" t="str">
        <f aca="false">IF(NOT(ISNUMBER(Macro_Series!$C903)),"",Macro_Series!$C903)</f>
        <v/>
      </c>
      <c r="C903" s="6" t="str">
        <f aca="false">IF(NOT(ISNUMBER(Macro_Series!$E903)),"",Macro_Series!$E903)</f>
        <v/>
      </c>
      <c r="D903" s="7" t="str">
        <f aca="false">IF(OR(NOT(ISNUMBER($B903)),NOT(ISNUMBER($C903)),$C903=0),"",$B903/$C903)</f>
        <v/>
      </c>
      <c r="E903" s="7" t="str">
        <f aca="false">IF(NOT(ISNUMBER(Macro_Series!$H903)),"",Macro_Series!$H903)</f>
        <v/>
      </c>
      <c r="F903" s="7" t="str">
        <f aca="false">IF(OR(NOT(ISNUMBER($D903)),NOT(ISNUMBER($E903)),$E903=0),"",$D903/$E903)</f>
        <v/>
      </c>
      <c r="G903" s="8" t="str">
        <f aca="false">IF(OR(NOT(ISNUMBER($B903)),NOT(ISNUMBER($B658)),$B658=0),"",$B903/$B658-1)</f>
        <v/>
      </c>
      <c r="H903" s="8" t="str">
        <f aca="false">IF(OR(NOT(ISNUMBER($D903)),NOT(ISNUMBER($D658)),$D658=0),"",$D903/$D658-1)</f>
        <v/>
      </c>
      <c r="I903" s="8" t="str">
        <f aca="false">IF(OR(NOT(ISNUMBER($G903)),NOT(ISNUMBER($H903))),"",$G903-$H903)</f>
        <v/>
      </c>
    </row>
    <row r="904" customFormat="false" ht="15" hidden="false" customHeight="false" outlineLevel="0" collapsed="false">
      <c r="A904" s="5" t="str">
        <f aca="false">IF(NOT(ISNUMBER(Macro_Series!$A904)),"",Macro_Series!$A904)</f>
        <v/>
      </c>
      <c r="B904" s="6" t="str">
        <f aca="false">IF(NOT(ISNUMBER(Macro_Series!$C904)),"",Macro_Series!$C904)</f>
        <v/>
      </c>
      <c r="C904" s="6" t="str">
        <f aca="false">IF(NOT(ISNUMBER(Macro_Series!$E904)),"",Macro_Series!$E904)</f>
        <v/>
      </c>
      <c r="D904" s="7" t="str">
        <f aca="false">IF(OR(NOT(ISNUMBER($B904)),NOT(ISNUMBER($C904)),$C904=0),"",$B904/$C904)</f>
        <v/>
      </c>
      <c r="E904" s="7" t="str">
        <f aca="false">IF(NOT(ISNUMBER(Macro_Series!$H904)),"",Macro_Series!$H904)</f>
        <v/>
      </c>
      <c r="F904" s="7" t="str">
        <f aca="false">IF(OR(NOT(ISNUMBER($D904)),NOT(ISNUMBER($E904)),$E904=0),"",$D904/$E904)</f>
        <v/>
      </c>
      <c r="G904" s="8" t="str">
        <f aca="false">IF(OR(NOT(ISNUMBER($B904)),NOT(ISNUMBER($B659)),$B659=0),"",$B904/$B659-1)</f>
        <v/>
      </c>
      <c r="H904" s="8" t="str">
        <f aca="false">IF(OR(NOT(ISNUMBER($D904)),NOT(ISNUMBER($D659)),$D659=0),"",$D904/$D659-1)</f>
        <v/>
      </c>
      <c r="I904" s="8" t="str">
        <f aca="false">IF(OR(NOT(ISNUMBER($G904)),NOT(ISNUMBER($H904))),"",$G904-$H904)</f>
        <v/>
      </c>
    </row>
  </sheetData>
  <mergeCells count="2">
    <mergeCell ref="A1:I1"/>
    <mergeCell ref="A2:I2"/>
  </mergeCells>
  <conditionalFormatting sqref="I5:I904">
    <cfRule type="colorScale" priority="2">
      <colorScale>
        <cfvo type="num" val="-0.5"/>
        <cfvo type="num" val="0"/>
        <cfvo type="num" val="0.5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4" min="3" style="0" width="12"/>
    <col collapsed="false" customWidth="true" hidden="false" outlineLevel="0" max="6" min="5" style="0" width="14"/>
    <col collapsed="false" customWidth="true" hidden="false" outlineLevel="0" max="8" min="7" style="0" width="11"/>
    <col collapsed="false" customWidth="true" hidden="false" outlineLevel="0" max="9" min="9" style="0" width="15"/>
    <col collapsed="false" customWidth="true" hidden="false" outlineLevel="0" max="10" min="10" style="0" width="30"/>
  </cols>
  <sheetData>
    <row r="1" customFormat="false" ht="27.75" hidden="false" customHeight="true" outlineLevel="0" collapsed="false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20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0" hidden="false" customHeight="true" outlineLevel="0" collapsed="false">
      <c r="A3" s="3" t="s">
        <v>21</v>
      </c>
      <c r="B3" s="3" t="s">
        <v>22</v>
      </c>
      <c r="C3" s="3" t="s">
        <v>23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</row>
    <row r="4" customFormat="false" ht="21.75" hidden="false" customHeight="true" outlineLevel="0" collapsed="false">
      <c r="A4" s="4" t="s">
        <v>31</v>
      </c>
      <c r="B4" s="4" t="s">
        <v>32</v>
      </c>
      <c r="C4" s="4" t="s">
        <v>33</v>
      </c>
      <c r="D4" s="4" t="s">
        <v>34</v>
      </c>
      <c r="E4" s="4" t="s">
        <v>35</v>
      </c>
      <c r="F4" s="4" t="s">
        <v>35</v>
      </c>
      <c r="G4" s="4" t="s">
        <v>36</v>
      </c>
      <c r="H4" s="4" t="s">
        <v>37</v>
      </c>
      <c r="I4" s="4" t="s">
        <v>38</v>
      </c>
      <c r="J4" s="4" t="s">
        <v>31</v>
      </c>
    </row>
    <row r="5" customFormat="false" ht="24" hidden="false" customHeight="true" outlineLevel="0" collapsed="false">
      <c r="A5" s="9" t="s">
        <v>39</v>
      </c>
      <c r="B5" s="10"/>
      <c r="C5" s="7"/>
      <c r="D5" s="10"/>
      <c r="E5" s="5"/>
      <c r="F5" s="5"/>
      <c r="G5" s="10" t="str">
        <f aca="false">IF(OR(NOT(ISNUMBER($E5)),COUNT(Macro_Series!$A:$A)=0),"",MAX(Macro_Series!$A$5:$A$904)-$E5)</f>
        <v/>
      </c>
      <c r="H5" s="7" t="str">
        <f aca="false">IF(OR(NOT(ISNUMBER($G5)),NOT(ISNUMBER($B5)),$B5=0),"",ROUND($G5*5/7,0)/$B5)</f>
        <v/>
      </c>
      <c r="I5" s="5" t="str">
        <f aca="false">IF(OR(NOT(ISNUMBER($E5)),NOT(ISNUMBER($B5))),"",$E5+ROUND($B5*7/5,0))</f>
        <v/>
      </c>
      <c r="J5" s="11"/>
    </row>
    <row r="6" customFormat="false" ht="24" hidden="false" customHeight="true" outlineLevel="0" collapsed="false">
      <c r="A6" s="9" t="s">
        <v>40</v>
      </c>
      <c r="B6" s="10"/>
      <c r="C6" s="7"/>
      <c r="D6" s="10"/>
      <c r="E6" s="5"/>
      <c r="F6" s="5"/>
      <c r="G6" s="10" t="str">
        <f aca="false">IF(OR(NOT(ISNUMBER($E6)),COUNT(Macro_Series!$A:$A)=0),"",MAX(Macro_Series!$A$5:$A$904)-$E6)</f>
        <v/>
      </c>
      <c r="H6" s="7" t="str">
        <f aca="false">IF(OR(NOT(ISNUMBER($G6)),NOT(ISNUMBER($B6)),$B6=0),"",ROUND($G6*5/7,0)/$B6)</f>
        <v/>
      </c>
      <c r="I6" s="5" t="str">
        <f aca="false">IF(OR(NOT(ISNUMBER($E6)),NOT(ISNUMBER($B6))),"",$E6+ROUND($B6*7/5,0))</f>
        <v/>
      </c>
      <c r="J6" s="11"/>
    </row>
    <row r="7" customFormat="false" ht="24" hidden="false" customHeight="true" outlineLevel="0" collapsed="false">
      <c r="A7" s="9" t="s">
        <v>4</v>
      </c>
      <c r="B7" s="10"/>
      <c r="C7" s="7"/>
      <c r="D7" s="10"/>
      <c r="E7" s="5"/>
      <c r="F7" s="5"/>
      <c r="G7" s="10" t="str">
        <f aca="false">IF(OR(NOT(ISNUMBER($E7)),COUNT(Macro_Series!$A:$A)=0),"",MAX(Macro_Series!$A$5:$A$904)-$E7)</f>
        <v/>
      </c>
      <c r="H7" s="7" t="str">
        <f aca="false">IF(OR(NOT(ISNUMBER($G7)),NOT(ISNUMBER($B7)),$B7=0),"",ROUND($G7*5/7,0)/$B7)</f>
        <v/>
      </c>
      <c r="I7" s="5" t="str">
        <f aca="false">IF(OR(NOT(ISNUMBER($E7)),NOT(ISNUMBER($B7))),"",$E7+ROUND($B7*7/5,0))</f>
        <v/>
      </c>
      <c r="J7" s="11"/>
    </row>
    <row r="8" customFormat="false" ht="24" hidden="false" customHeight="true" outlineLevel="0" collapsed="false">
      <c r="A8" s="9" t="s">
        <v>41</v>
      </c>
      <c r="B8" s="10"/>
      <c r="C8" s="7"/>
      <c r="D8" s="10"/>
      <c r="E8" s="5"/>
      <c r="F8" s="5"/>
      <c r="G8" s="10" t="str">
        <f aca="false">IF(OR(NOT(ISNUMBER($E8)),COUNT(Macro_Series!$A:$A)=0),"",MAX(Macro_Series!$A$5:$A$904)-$E8)</f>
        <v/>
      </c>
      <c r="H8" s="7" t="str">
        <f aca="false">IF(OR(NOT(ISNUMBER($G8)),NOT(ISNUMBER($B8)),$B8=0),"",ROUND($G8*5/7,0)/$B8)</f>
        <v/>
      </c>
      <c r="I8" s="5" t="str">
        <f aca="false">IF(OR(NOT(ISNUMBER($E8)),NOT(ISNUMBER($B8))),"",$E8+ROUND($B8*7/5,0))</f>
        <v/>
      </c>
      <c r="J8" s="11"/>
    </row>
    <row r="9" customFormat="false" ht="24" hidden="false" customHeight="true" outlineLevel="0" collapsed="false">
      <c r="A9" s="9" t="s">
        <v>42</v>
      </c>
      <c r="B9" s="10"/>
      <c r="C9" s="7"/>
      <c r="D9" s="10"/>
      <c r="E9" s="5"/>
      <c r="F9" s="5"/>
      <c r="G9" s="10" t="str">
        <f aca="false">IF(OR(NOT(ISNUMBER($E9)),COUNT(Macro_Series!$A:$A)=0),"",MAX(Macro_Series!$A$5:$A$904)-$E9)</f>
        <v/>
      </c>
      <c r="H9" s="7" t="str">
        <f aca="false">IF(OR(NOT(ISNUMBER($G9)),NOT(ISNUMBER($B9)),$B9=0),"",ROUND($G9*5/7,0)/$B9)</f>
        <v/>
      </c>
      <c r="I9" s="5" t="str">
        <f aca="false">IF(OR(NOT(ISNUMBER($E9)),NOT(ISNUMBER($B9))),"",$E9+ROUND($B9*7/5,0))</f>
        <v/>
      </c>
      <c r="J9" s="11"/>
    </row>
    <row r="10" customFormat="false" ht="24" hidden="false" customHeight="true" outlineLevel="0" collapsed="false">
      <c r="A10" s="9" t="s">
        <v>43</v>
      </c>
      <c r="B10" s="10"/>
      <c r="C10" s="7"/>
      <c r="D10" s="10"/>
      <c r="E10" s="5"/>
      <c r="F10" s="5"/>
      <c r="G10" s="10" t="str">
        <f aca="false">IF(OR(NOT(ISNUMBER($E10)),COUNT(Macro_Series!$A:$A)=0),"",MAX(Macro_Series!$A$5:$A$904)-$E10)</f>
        <v/>
      </c>
      <c r="H10" s="7" t="str">
        <f aca="false">IF(OR(NOT(ISNUMBER($G10)),NOT(ISNUMBER($B10)),$B10=0),"",ROUND($G10*5/7,0)/$B10)</f>
        <v/>
      </c>
      <c r="I10" s="5" t="str">
        <f aca="false">IF(OR(NOT(ISNUMBER($E10)),NOT(ISNUMBER($B10))),"",$E10+ROUND($B10*7/5,0))</f>
        <v/>
      </c>
      <c r="J10" s="11"/>
    </row>
    <row r="11" customFormat="false" ht="24" hidden="false" customHeight="true" outlineLevel="0" collapsed="false">
      <c r="A11" s="9" t="s">
        <v>44</v>
      </c>
      <c r="B11" s="10"/>
      <c r="C11" s="7"/>
      <c r="D11" s="10"/>
      <c r="E11" s="5"/>
      <c r="F11" s="5"/>
      <c r="G11" s="10" t="str">
        <f aca="false">IF(OR(NOT(ISNUMBER($E11)),COUNT(Macro_Series!$A:$A)=0),"",MAX(Macro_Series!$A$5:$A$904)-$E11)</f>
        <v/>
      </c>
      <c r="H11" s="7" t="str">
        <f aca="false">IF(OR(NOT(ISNUMBER($G11)),NOT(ISNUMBER($B11)),$B11=0),"",ROUND($G11*5/7,0)/$B11)</f>
        <v/>
      </c>
      <c r="I11" s="5" t="str">
        <f aca="false">IF(OR(NOT(ISNUMBER($E11)),NOT(ISNUMBER($B11))),"",$E11+ROUND($B11*7/5,0))</f>
        <v/>
      </c>
      <c r="J11" s="11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</cols>
  <sheetData>
    <row r="1" customFormat="false" ht="27.75" hidden="false" customHeight="true" outlineLevel="0" collapsed="false">
      <c r="A1" s="1" t="s">
        <v>45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46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0" hidden="false" customHeight="true" outlineLevel="0" collapsed="false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56</v>
      </c>
    </row>
    <row r="4" customFormat="false" ht="21.75" hidden="false" customHeight="true" outlineLevel="0" collapsed="false">
      <c r="A4" s="4" t="s">
        <v>57</v>
      </c>
      <c r="B4" s="4" t="s">
        <v>57</v>
      </c>
      <c r="C4" s="4" t="s">
        <v>58</v>
      </c>
      <c r="D4" s="4" t="s">
        <v>59</v>
      </c>
      <c r="E4" s="4" t="s">
        <v>60</v>
      </c>
      <c r="F4" s="4" t="s">
        <v>61</v>
      </c>
      <c r="G4" s="4" t="s">
        <v>62</v>
      </c>
      <c r="H4" s="4" t="s">
        <v>31</v>
      </c>
      <c r="I4" s="4" t="s">
        <v>31</v>
      </c>
      <c r="J4" s="4" t="s">
        <v>31</v>
      </c>
    </row>
    <row r="5" customFormat="false" ht="24" hidden="false" customHeight="true" outlineLevel="0" collapsed="false">
      <c r="A5" s="9" t="s">
        <v>4</v>
      </c>
      <c r="B5" s="9" t="s">
        <v>63</v>
      </c>
      <c r="C5" s="10"/>
      <c r="D5" s="7"/>
      <c r="E5" s="7"/>
      <c r="F5" s="7"/>
      <c r="G5" s="10"/>
      <c r="H5" s="10"/>
      <c r="I5" s="10"/>
      <c r="J5" s="11"/>
    </row>
    <row r="6" customFormat="false" ht="24" hidden="false" customHeight="true" outlineLevel="0" collapsed="false">
      <c r="A6" s="9" t="s">
        <v>6</v>
      </c>
      <c r="B6" s="9" t="s">
        <v>63</v>
      </c>
      <c r="C6" s="10"/>
      <c r="D6" s="7"/>
      <c r="E6" s="7"/>
      <c r="F6" s="7"/>
      <c r="G6" s="10"/>
      <c r="H6" s="10"/>
      <c r="I6" s="10"/>
      <c r="J6" s="11"/>
    </row>
    <row r="7" customFormat="false" ht="24" hidden="false" customHeight="true" outlineLevel="0" collapsed="false">
      <c r="A7" s="9" t="s">
        <v>42</v>
      </c>
      <c r="B7" s="9" t="s">
        <v>4</v>
      </c>
      <c r="C7" s="10"/>
      <c r="D7" s="7"/>
      <c r="E7" s="7"/>
      <c r="F7" s="7"/>
      <c r="G7" s="10"/>
      <c r="H7" s="10"/>
      <c r="I7" s="10"/>
      <c r="J7" s="11"/>
    </row>
    <row r="8" customFormat="false" ht="24" hidden="false" customHeight="true" outlineLevel="0" collapsed="false">
      <c r="A8" s="9" t="s">
        <v>4</v>
      </c>
      <c r="B8" s="9" t="s">
        <v>44</v>
      </c>
      <c r="C8" s="10"/>
      <c r="D8" s="7"/>
      <c r="E8" s="7"/>
      <c r="F8" s="7"/>
      <c r="G8" s="10"/>
      <c r="H8" s="10"/>
      <c r="I8" s="10"/>
      <c r="J8" s="11"/>
    </row>
    <row r="9" customFormat="false" ht="24" hidden="false" customHeight="true" outlineLevel="0" collapsed="false">
      <c r="A9" s="9" t="s">
        <v>63</v>
      </c>
      <c r="B9" s="9" t="s">
        <v>40</v>
      </c>
      <c r="C9" s="10"/>
      <c r="D9" s="7"/>
      <c r="E9" s="7"/>
      <c r="F9" s="7"/>
      <c r="G9" s="10"/>
      <c r="H9" s="10"/>
      <c r="I9" s="10"/>
      <c r="J9" s="11"/>
    </row>
    <row r="10" customFormat="false" ht="24" hidden="false" customHeight="true" outlineLevel="0" collapsed="false">
      <c r="A10" s="9" t="s">
        <v>41</v>
      </c>
      <c r="B10" s="9" t="s">
        <v>4</v>
      </c>
      <c r="C10" s="10"/>
      <c r="D10" s="7"/>
      <c r="E10" s="7"/>
      <c r="F10" s="7"/>
      <c r="G10" s="10"/>
      <c r="H10" s="10"/>
      <c r="I10" s="10"/>
      <c r="J10" s="11"/>
    </row>
    <row r="12" customFormat="false" ht="27.75" hidden="false" customHeight="true" outlineLevel="0" collapsed="false">
      <c r="A12" s="12" t="s">
        <v>64</v>
      </c>
      <c r="B12" s="12"/>
      <c r="C12" s="12"/>
      <c r="D12" s="12"/>
      <c r="E12" s="12"/>
      <c r="F12" s="12"/>
      <c r="G12" s="12"/>
      <c r="H12" s="12"/>
      <c r="I12" s="12"/>
      <c r="J12" s="12"/>
    </row>
    <row r="13" customFormat="false" ht="27.75" hidden="false" customHeight="true" outlineLevel="0" collapsed="false">
      <c r="A13" s="12" t="s">
        <v>65</v>
      </c>
      <c r="B13" s="12"/>
      <c r="C13" s="12"/>
      <c r="D13" s="12"/>
      <c r="E13" s="12"/>
      <c r="F13" s="12"/>
      <c r="G13" s="12"/>
      <c r="H13" s="12"/>
      <c r="I13" s="12"/>
      <c r="J13" s="12"/>
    </row>
  </sheetData>
  <mergeCells count="4">
    <mergeCell ref="A1:J1"/>
    <mergeCell ref="A2:J2"/>
    <mergeCell ref="A12:J12"/>
    <mergeCell ref="A13:J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5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40"/>
  </cols>
  <sheetData>
    <row r="1" customFormat="false" ht="27.75" hidden="false" customHeight="true" outlineLevel="0" collapsed="false">
      <c r="A1" s="1" t="s">
        <v>66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67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68</v>
      </c>
      <c r="B3" s="3" t="s">
        <v>69</v>
      </c>
      <c r="C3" s="3" t="s">
        <v>70</v>
      </c>
      <c r="D3" s="3" t="s">
        <v>71</v>
      </c>
      <c r="E3" s="3" t="s">
        <v>72</v>
      </c>
      <c r="F3" s="3" t="s">
        <v>73</v>
      </c>
      <c r="G3" s="3" t="s">
        <v>74</v>
      </c>
      <c r="H3" s="3" t="s">
        <v>54</v>
      </c>
      <c r="I3" s="3" t="s">
        <v>75</v>
      </c>
    </row>
    <row r="4" customFormat="false" ht="21.75" hidden="false" customHeight="true" outlineLevel="0" collapsed="false">
      <c r="A4" s="4" t="s">
        <v>57</v>
      </c>
      <c r="B4" s="4" t="s">
        <v>57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31</v>
      </c>
      <c r="I4" s="4" t="s">
        <v>31</v>
      </c>
    </row>
    <row r="5" customFormat="false" ht="25.5" hidden="false" customHeight="true" outlineLevel="0" collapsed="false">
      <c r="A5" s="9" t="s">
        <v>63</v>
      </c>
      <c r="B5" s="9" t="s">
        <v>4</v>
      </c>
      <c r="C5" s="7"/>
      <c r="D5" s="7"/>
      <c r="E5" s="7"/>
      <c r="F5" s="10"/>
      <c r="G5" s="7"/>
      <c r="H5" s="10"/>
      <c r="I5" s="11"/>
    </row>
    <row r="6" customFormat="false" ht="25.5" hidden="false" customHeight="true" outlineLevel="0" collapsed="false">
      <c r="A6" s="9" t="s">
        <v>63</v>
      </c>
      <c r="B6" s="9" t="s">
        <v>44</v>
      </c>
      <c r="C6" s="7"/>
      <c r="D6" s="7"/>
      <c r="E6" s="7"/>
      <c r="F6" s="10"/>
      <c r="G6" s="7"/>
      <c r="H6" s="10"/>
      <c r="I6" s="11"/>
    </row>
    <row r="7" customFormat="false" ht="25.5" hidden="false" customHeight="true" outlineLevel="0" collapsed="false">
      <c r="A7" s="9" t="s">
        <v>44</v>
      </c>
      <c r="B7" s="9" t="s">
        <v>4</v>
      </c>
      <c r="C7" s="7"/>
      <c r="D7" s="7"/>
      <c r="E7" s="7"/>
      <c r="F7" s="10"/>
      <c r="G7" s="7"/>
      <c r="H7" s="10"/>
      <c r="I7" s="11"/>
    </row>
    <row r="8" customFormat="false" ht="25.5" hidden="false" customHeight="true" outlineLevel="0" collapsed="false">
      <c r="A8" s="9" t="s">
        <v>42</v>
      </c>
      <c r="B8" s="9" t="s">
        <v>4</v>
      </c>
      <c r="C8" s="7"/>
      <c r="D8" s="7"/>
      <c r="E8" s="7"/>
      <c r="F8" s="10"/>
      <c r="G8" s="7"/>
      <c r="H8" s="10"/>
      <c r="I8" s="11"/>
    </row>
    <row r="10" customFormat="false" ht="30" hidden="false" customHeight="true" outlineLevel="0" collapsed="false">
      <c r="A10" s="12" t="s">
        <v>81</v>
      </c>
      <c r="B10" s="12"/>
      <c r="C10" s="12"/>
      <c r="D10" s="12"/>
      <c r="E10" s="12"/>
      <c r="F10" s="12"/>
      <c r="G10" s="12"/>
      <c r="H10" s="12"/>
      <c r="I10" s="12"/>
    </row>
  </sheetData>
  <mergeCells count="3">
    <mergeCell ref="A1:I1"/>
    <mergeCell ref="A2:I2"/>
    <mergeCell ref="A10:I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6" style="0" width="12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83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84</v>
      </c>
      <c r="B3" s="3" t="s">
        <v>85</v>
      </c>
      <c r="C3" s="3" t="s">
        <v>86</v>
      </c>
      <c r="D3" s="3" t="s">
        <v>87</v>
      </c>
      <c r="E3" s="3" t="s">
        <v>88</v>
      </c>
      <c r="F3" s="3" t="s">
        <v>89</v>
      </c>
      <c r="G3" s="3" t="s">
        <v>90</v>
      </c>
      <c r="H3" s="3" t="s">
        <v>91</v>
      </c>
    </row>
    <row r="4" customFormat="false" ht="21.75" hidden="false" customHeight="true" outlineLevel="0" collapsed="false">
      <c r="A4" s="4" t="s">
        <v>57</v>
      </c>
      <c r="B4" s="4" t="s">
        <v>92</v>
      </c>
      <c r="C4" s="4" t="s">
        <v>57</v>
      </c>
      <c r="D4" s="4" t="s">
        <v>57</v>
      </c>
      <c r="E4" s="4" t="s">
        <v>93</v>
      </c>
      <c r="F4" s="4" t="s">
        <v>93</v>
      </c>
      <c r="G4" s="4" t="s">
        <v>93</v>
      </c>
      <c r="H4" s="4" t="s">
        <v>57</v>
      </c>
    </row>
    <row r="5" customFormat="false" ht="15" hidden="false" customHeight="false" outlineLevel="0" collapsed="false">
      <c r="A5" s="13"/>
      <c r="B5" s="10"/>
      <c r="C5" s="14"/>
      <c r="D5" s="14"/>
      <c r="E5" s="8"/>
      <c r="F5" s="8"/>
      <c r="G5" s="8"/>
      <c r="H5" s="14"/>
    </row>
    <row r="6" customFormat="false" ht="15" hidden="false" customHeight="false" outlineLevel="0" collapsed="false">
      <c r="A6" s="13"/>
      <c r="B6" s="10"/>
      <c r="C6" s="14"/>
      <c r="D6" s="14"/>
      <c r="E6" s="8"/>
      <c r="F6" s="8"/>
      <c r="G6" s="8"/>
      <c r="H6" s="14"/>
    </row>
    <row r="7" customFormat="false" ht="15" hidden="false" customHeight="false" outlineLevel="0" collapsed="false">
      <c r="A7" s="13"/>
      <c r="B7" s="10"/>
      <c r="C7" s="14"/>
      <c r="D7" s="14"/>
      <c r="E7" s="8"/>
      <c r="F7" s="8"/>
      <c r="G7" s="8"/>
      <c r="H7" s="14"/>
    </row>
    <row r="8" customFormat="false" ht="15" hidden="false" customHeight="false" outlineLevel="0" collapsed="false">
      <c r="A8" s="13"/>
      <c r="B8" s="10"/>
      <c r="C8" s="14"/>
      <c r="D8" s="14"/>
      <c r="E8" s="8"/>
      <c r="F8" s="8"/>
      <c r="G8" s="8"/>
      <c r="H8" s="14"/>
    </row>
    <row r="9" customFormat="false" ht="15" hidden="false" customHeight="false" outlineLevel="0" collapsed="false">
      <c r="A9" s="13"/>
      <c r="B9" s="10"/>
      <c r="C9" s="14"/>
      <c r="D9" s="14"/>
      <c r="E9" s="8"/>
      <c r="F9" s="8"/>
      <c r="G9" s="8"/>
      <c r="H9" s="14"/>
    </row>
    <row r="10" customFormat="false" ht="15" hidden="false" customHeight="false" outlineLevel="0" collapsed="false">
      <c r="A10" s="13"/>
      <c r="B10" s="10"/>
      <c r="C10" s="14"/>
      <c r="D10" s="14"/>
      <c r="E10" s="8"/>
      <c r="F10" s="8"/>
      <c r="G10" s="8"/>
      <c r="H10" s="14"/>
    </row>
    <row r="11" customFormat="false" ht="15" hidden="false" customHeight="false" outlineLevel="0" collapsed="false">
      <c r="A11" s="13"/>
      <c r="B11" s="10"/>
      <c r="C11" s="14"/>
      <c r="D11" s="14"/>
      <c r="E11" s="8"/>
      <c r="F11" s="8"/>
      <c r="G11" s="8"/>
      <c r="H11" s="14"/>
    </row>
    <row r="12" customFormat="false" ht="15" hidden="false" customHeight="false" outlineLevel="0" collapsed="false">
      <c r="A12" s="13"/>
      <c r="B12" s="10"/>
      <c r="C12" s="14"/>
      <c r="D12" s="14"/>
      <c r="E12" s="8"/>
      <c r="F12" s="8"/>
      <c r="G12" s="8"/>
      <c r="H12" s="14"/>
    </row>
    <row r="13" customFormat="false" ht="15" hidden="false" customHeight="false" outlineLevel="0" collapsed="false">
      <c r="A13" s="13"/>
      <c r="B13" s="10"/>
      <c r="C13" s="14"/>
      <c r="D13" s="14"/>
      <c r="E13" s="8"/>
      <c r="F13" s="8"/>
      <c r="G13" s="8"/>
      <c r="H13" s="14"/>
    </row>
    <row r="14" customFormat="false" ht="15" hidden="false" customHeight="false" outlineLevel="0" collapsed="false">
      <c r="A14" s="13"/>
      <c r="B14" s="10"/>
      <c r="C14" s="14"/>
      <c r="D14" s="14"/>
      <c r="E14" s="8"/>
      <c r="F14" s="8"/>
      <c r="G14" s="8"/>
      <c r="H14" s="14"/>
    </row>
    <row r="15" customFormat="false" ht="15" hidden="false" customHeight="false" outlineLevel="0" collapsed="false">
      <c r="A15" s="13"/>
      <c r="B15" s="10"/>
      <c r="C15" s="14"/>
      <c r="D15" s="14"/>
      <c r="E15" s="8"/>
      <c r="F15" s="8"/>
      <c r="G15" s="8"/>
      <c r="H15" s="14"/>
    </row>
    <row r="16" customFormat="false" ht="15" hidden="false" customHeight="false" outlineLevel="0" collapsed="false">
      <c r="A16" s="13"/>
      <c r="B16" s="10"/>
      <c r="C16" s="14"/>
      <c r="D16" s="14"/>
      <c r="E16" s="8"/>
      <c r="F16" s="8"/>
      <c r="G16" s="8"/>
      <c r="H16" s="14"/>
    </row>
    <row r="17" customFormat="false" ht="15" hidden="false" customHeight="false" outlineLevel="0" collapsed="false">
      <c r="A17" s="13"/>
      <c r="B17" s="10"/>
      <c r="C17" s="14"/>
      <c r="D17" s="14"/>
      <c r="E17" s="8"/>
      <c r="F17" s="8"/>
      <c r="G17" s="8"/>
      <c r="H17" s="14"/>
    </row>
    <row r="18" customFormat="false" ht="15" hidden="false" customHeight="false" outlineLevel="0" collapsed="false">
      <c r="A18" s="13"/>
      <c r="B18" s="10"/>
      <c r="C18" s="14"/>
      <c r="D18" s="14"/>
      <c r="E18" s="8"/>
      <c r="F18" s="8"/>
      <c r="G18" s="8"/>
      <c r="H18" s="14"/>
    </row>
    <row r="19" customFormat="false" ht="15" hidden="false" customHeight="false" outlineLevel="0" collapsed="false">
      <c r="A19" s="13"/>
      <c r="B19" s="10"/>
      <c r="C19" s="14"/>
      <c r="D19" s="14"/>
      <c r="E19" s="8"/>
      <c r="F19" s="8"/>
      <c r="G19" s="8"/>
      <c r="H19" s="14"/>
    </row>
    <row r="20" customFormat="false" ht="15" hidden="false" customHeight="false" outlineLevel="0" collapsed="false">
      <c r="A20" s="13"/>
      <c r="B20" s="10"/>
      <c r="C20" s="14"/>
      <c r="D20" s="14"/>
      <c r="E20" s="8"/>
      <c r="F20" s="8"/>
      <c r="G20" s="8"/>
      <c r="H20" s="14"/>
    </row>
    <row r="21" customFormat="false" ht="15" hidden="false" customHeight="false" outlineLevel="0" collapsed="false">
      <c r="A21" s="13"/>
      <c r="B21" s="10"/>
      <c r="C21" s="14"/>
      <c r="D21" s="14"/>
      <c r="E21" s="8"/>
      <c r="F21" s="8"/>
      <c r="G21" s="8"/>
      <c r="H21" s="14"/>
    </row>
    <row r="22" customFormat="false" ht="15" hidden="false" customHeight="false" outlineLevel="0" collapsed="false">
      <c r="A22" s="13"/>
      <c r="B22" s="10"/>
      <c r="C22" s="14"/>
      <c r="D22" s="14"/>
      <c r="E22" s="8"/>
      <c r="F22" s="8"/>
      <c r="G22" s="8"/>
      <c r="H22" s="14"/>
    </row>
    <row r="23" customFormat="false" ht="15" hidden="false" customHeight="false" outlineLevel="0" collapsed="false">
      <c r="A23" s="13"/>
      <c r="B23" s="10"/>
      <c r="C23" s="14"/>
      <c r="D23" s="14"/>
      <c r="E23" s="8"/>
      <c r="F23" s="8"/>
      <c r="G23" s="8"/>
      <c r="H23" s="14"/>
    </row>
    <row r="24" customFormat="false" ht="15" hidden="false" customHeight="false" outlineLevel="0" collapsed="false">
      <c r="A24" s="13"/>
      <c r="B24" s="10"/>
      <c r="C24" s="14"/>
      <c r="D24" s="14"/>
      <c r="E24" s="8"/>
      <c r="F24" s="8"/>
      <c r="G24" s="8"/>
      <c r="H24" s="14"/>
    </row>
    <row r="25" customFormat="false" ht="15" hidden="false" customHeight="false" outlineLevel="0" collapsed="false">
      <c r="A25" s="13"/>
      <c r="B25" s="10"/>
      <c r="C25" s="14"/>
      <c r="D25" s="14"/>
      <c r="E25" s="8"/>
      <c r="F25" s="8"/>
      <c r="G25" s="8"/>
      <c r="H25" s="14"/>
    </row>
    <row r="26" customFormat="false" ht="15" hidden="false" customHeight="false" outlineLevel="0" collapsed="false">
      <c r="A26" s="13"/>
      <c r="B26" s="10"/>
      <c r="C26" s="14"/>
      <c r="D26" s="14"/>
      <c r="E26" s="8"/>
      <c r="F26" s="8"/>
      <c r="G26" s="8"/>
      <c r="H26" s="14"/>
    </row>
    <row r="27" customFormat="false" ht="15" hidden="false" customHeight="false" outlineLevel="0" collapsed="false">
      <c r="A27" s="13"/>
      <c r="B27" s="10"/>
      <c r="C27" s="14"/>
      <c r="D27" s="14"/>
      <c r="E27" s="8"/>
      <c r="F27" s="8"/>
      <c r="G27" s="8"/>
      <c r="H27" s="14"/>
    </row>
    <row r="28" customFormat="false" ht="15" hidden="false" customHeight="false" outlineLevel="0" collapsed="false">
      <c r="A28" s="13"/>
      <c r="B28" s="10"/>
      <c r="C28" s="14"/>
      <c r="D28" s="14"/>
      <c r="E28" s="8"/>
      <c r="F28" s="8"/>
      <c r="G28" s="8"/>
      <c r="H28" s="14"/>
    </row>
    <row r="29" customFormat="false" ht="15" hidden="false" customHeight="false" outlineLevel="0" collapsed="false">
      <c r="A29" s="13"/>
      <c r="B29" s="10"/>
      <c r="C29" s="14"/>
      <c r="D29" s="14"/>
      <c r="E29" s="8"/>
      <c r="F29" s="8"/>
      <c r="G29" s="8"/>
      <c r="H29" s="14"/>
    </row>
    <row r="30" customFormat="false" ht="15" hidden="false" customHeight="false" outlineLevel="0" collapsed="false">
      <c r="A30" s="13"/>
      <c r="B30" s="10"/>
      <c r="C30" s="14"/>
      <c r="D30" s="14"/>
      <c r="E30" s="8"/>
      <c r="F30" s="8"/>
      <c r="G30" s="8"/>
      <c r="H30" s="14"/>
    </row>
    <row r="31" customFormat="false" ht="15" hidden="false" customHeight="false" outlineLevel="0" collapsed="false">
      <c r="A31" s="13"/>
      <c r="B31" s="10"/>
      <c r="C31" s="14"/>
      <c r="D31" s="14"/>
      <c r="E31" s="8"/>
      <c r="F31" s="8"/>
      <c r="G31" s="8"/>
      <c r="H31" s="14"/>
    </row>
    <row r="32" customFormat="false" ht="15" hidden="false" customHeight="false" outlineLevel="0" collapsed="false">
      <c r="A32" s="13"/>
      <c r="B32" s="10"/>
      <c r="C32" s="14"/>
      <c r="D32" s="14"/>
      <c r="E32" s="8"/>
      <c r="F32" s="8"/>
      <c r="G32" s="8"/>
      <c r="H32" s="14"/>
    </row>
    <row r="33" customFormat="false" ht="15" hidden="false" customHeight="false" outlineLevel="0" collapsed="false">
      <c r="A33" s="13"/>
      <c r="B33" s="10"/>
      <c r="C33" s="14"/>
      <c r="D33" s="14"/>
      <c r="E33" s="8"/>
      <c r="F33" s="8"/>
      <c r="G33" s="8"/>
      <c r="H33" s="14"/>
    </row>
    <row r="34" customFormat="false" ht="15" hidden="false" customHeight="false" outlineLevel="0" collapsed="false">
      <c r="A34" s="13"/>
      <c r="B34" s="10"/>
      <c r="C34" s="14"/>
      <c r="D34" s="14"/>
      <c r="E34" s="8"/>
      <c r="F34" s="8"/>
      <c r="G34" s="8"/>
      <c r="H34" s="14"/>
    </row>
    <row r="35" customFormat="false" ht="15" hidden="false" customHeight="false" outlineLevel="0" collapsed="false">
      <c r="A35" s="13"/>
      <c r="B35" s="10"/>
      <c r="C35" s="14"/>
      <c r="D35" s="14"/>
      <c r="E35" s="8"/>
      <c r="F35" s="8"/>
      <c r="G35" s="8"/>
      <c r="H35" s="14"/>
    </row>
    <row r="36" customFormat="false" ht="15" hidden="false" customHeight="false" outlineLevel="0" collapsed="false">
      <c r="A36" s="13"/>
      <c r="B36" s="10"/>
      <c r="C36" s="14"/>
      <c r="D36" s="14"/>
      <c r="E36" s="8"/>
      <c r="F36" s="8"/>
      <c r="G36" s="8"/>
      <c r="H36" s="14"/>
    </row>
    <row r="37" customFormat="false" ht="15" hidden="false" customHeight="false" outlineLevel="0" collapsed="false">
      <c r="A37" s="13"/>
      <c r="B37" s="10"/>
      <c r="C37" s="14"/>
      <c r="D37" s="14"/>
      <c r="E37" s="8"/>
      <c r="F37" s="8"/>
      <c r="G37" s="8"/>
      <c r="H37" s="14"/>
    </row>
    <row r="38" customFormat="false" ht="15" hidden="false" customHeight="false" outlineLevel="0" collapsed="false">
      <c r="A38" s="13"/>
      <c r="B38" s="10"/>
      <c r="C38" s="14"/>
      <c r="D38" s="14"/>
      <c r="E38" s="8"/>
      <c r="F38" s="8"/>
      <c r="G38" s="8"/>
      <c r="H38" s="14"/>
    </row>
    <row r="39" customFormat="false" ht="15" hidden="false" customHeight="false" outlineLevel="0" collapsed="false">
      <c r="A39" s="13"/>
      <c r="B39" s="10"/>
      <c r="C39" s="14"/>
      <c r="D39" s="14"/>
      <c r="E39" s="8"/>
      <c r="F39" s="8"/>
      <c r="G39" s="8"/>
      <c r="H39" s="14"/>
    </row>
    <row r="40" customFormat="false" ht="15" hidden="false" customHeight="false" outlineLevel="0" collapsed="false">
      <c r="A40" s="13"/>
      <c r="B40" s="10"/>
      <c r="C40" s="14"/>
      <c r="D40" s="14"/>
      <c r="E40" s="8"/>
      <c r="F40" s="8"/>
      <c r="G40" s="8"/>
      <c r="H40" s="14"/>
    </row>
    <row r="41" customFormat="false" ht="15" hidden="false" customHeight="false" outlineLevel="0" collapsed="false">
      <c r="A41" s="13"/>
      <c r="B41" s="10"/>
      <c r="C41" s="14"/>
      <c r="D41" s="14"/>
      <c r="E41" s="8"/>
      <c r="F41" s="8"/>
      <c r="G41" s="8"/>
      <c r="H41" s="14"/>
    </row>
    <row r="42" customFormat="false" ht="15" hidden="false" customHeight="false" outlineLevel="0" collapsed="false">
      <c r="A42" s="13"/>
      <c r="B42" s="10"/>
      <c r="C42" s="14"/>
      <c r="D42" s="14"/>
      <c r="E42" s="8"/>
      <c r="F42" s="8"/>
      <c r="G42" s="8"/>
      <c r="H42" s="14"/>
    </row>
    <row r="43" customFormat="false" ht="15" hidden="false" customHeight="false" outlineLevel="0" collapsed="false">
      <c r="A43" s="13"/>
      <c r="B43" s="10"/>
      <c r="C43" s="14"/>
      <c r="D43" s="14"/>
      <c r="E43" s="8"/>
      <c r="F43" s="8"/>
      <c r="G43" s="8"/>
      <c r="H43" s="14"/>
    </row>
    <row r="44" customFormat="false" ht="15" hidden="false" customHeight="false" outlineLevel="0" collapsed="false">
      <c r="A44" s="13"/>
      <c r="B44" s="10"/>
      <c r="C44" s="14"/>
      <c r="D44" s="14"/>
      <c r="E44" s="8"/>
      <c r="F44" s="8"/>
      <c r="G44" s="8"/>
      <c r="H44" s="14"/>
    </row>
    <row r="45" customFormat="false" ht="15" hidden="false" customHeight="false" outlineLevel="0" collapsed="false">
      <c r="A45" s="13"/>
      <c r="B45" s="10"/>
      <c r="C45" s="14"/>
      <c r="D45" s="14"/>
      <c r="E45" s="8"/>
      <c r="F45" s="8"/>
      <c r="G45" s="8"/>
      <c r="H45" s="14"/>
    </row>
    <row r="46" customFormat="false" ht="15" hidden="false" customHeight="false" outlineLevel="0" collapsed="false">
      <c r="A46" s="13"/>
      <c r="B46" s="10"/>
      <c r="C46" s="14"/>
      <c r="D46" s="14"/>
      <c r="E46" s="8"/>
      <c r="F46" s="8"/>
      <c r="G46" s="8"/>
      <c r="H46" s="14"/>
    </row>
    <row r="47" customFormat="false" ht="15" hidden="false" customHeight="false" outlineLevel="0" collapsed="false">
      <c r="A47" s="13"/>
      <c r="B47" s="10"/>
      <c r="C47" s="14"/>
      <c r="D47" s="14"/>
      <c r="E47" s="8"/>
      <c r="F47" s="8"/>
      <c r="G47" s="8"/>
      <c r="H47" s="14"/>
    </row>
    <row r="48" customFormat="false" ht="15" hidden="false" customHeight="false" outlineLevel="0" collapsed="false">
      <c r="A48" s="13"/>
      <c r="B48" s="10"/>
      <c r="C48" s="14"/>
      <c r="D48" s="14"/>
      <c r="E48" s="8"/>
      <c r="F48" s="8"/>
      <c r="G48" s="8"/>
      <c r="H48" s="14"/>
    </row>
    <row r="49" customFormat="false" ht="15" hidden="false" customHeight="false" outlineLevel="0" collapsed="false">
      <c r="A49" s="13"/>
      <c r="B49" s="10"/>
      <c r="C49" s="14"/>
      <c r="D49" s="14"/>
      <c r="E49" s="8"/>
      <c r="F49" s="8"/>
      <c r="G49" s="8"/>
      <c r="H49" s="14"/>
    </row>
    <row r="50" customFormat="false" ht="15" hidden="false" customHeight="false" outlineLevel="0" collapsed="false">
      <c r="A50" s="13"/>
      <c r="B50" s="10"/>
      <c r="C50" s="14"/>
      <c r="D50" s="14"/>
      <c r="E50" s="8"/>
      <c r="F50" s="8"/>
      <c r="G50" s="8"/>
      <c r="H50" s="14"/>
    </row>
    <row r="51" customFormat="false" ht="15" hidden="false" customHeight="false" outlineLevel="0" collapsed="false">
      <c r="A51" s="13"/>
      <c r="B51" s="10"/>
      <c r="C51" s="14"/>
      <c r="D51" s="14"/>
      <c r="E51" s="8"/>
      <c r="F51" s="8"/>
      <c r="G51" s="8"/>
      <c r="H51" s="14"/>
    </row>
    <row r="52" customFormat="false" ht="15" hidden="false" customHeight="false" outlineLevel="0" collapsed="false">
      <c r="A52" s="13"/>
      <c r="B52" s="10"/>
      <c r="C52" s="14"/>
      <c r="D52" s="14"/>
      <c r="E52" s="8"/>
      <c r="F52" s="8"/>
      <c r="G52" s="8"/>
      <c r="H52" s="14"/>
    </row>
    <row r="53" customFormat="false" ht="15" hidden="false" customHeight="false" outlineLevel="0" collapsed="false">
      <c r="A53" s="13"/>
      <c r="B53" s="10"/>
      <c r="C53" s="14"/>
      <c r="D53" s="14"/>
      <c r="E53" s="8"/>
      <c r="F53" s="8"/>
      <c r="G53" s="8"/>
      <c r="H53" s="14"/>
    </row>
    <row r="54" customFormat="false" ht="15" hidden="false" customHeight="false" outlineLevel="0" collapsed="false">
      <c r="A54" s="13"/>
      <c r="B54" s="10"/>
      <c r="C54" s="14"/>
      <c r="D54" s="14"/>
      <c r="E54" s="8"/>
      <c r="F54" s="8"/>
      <c r="G54" s="8"/>
      <c r="H54" s="14"/>
    </row>
    <row r="55" customFormat="false" ht="15" hidden="false" customHeight="false" outlineLevel="0" collapsed="false">
      <c r="A55" s="13"/>
      <c r="B55" s="10"/>
      <c r="C55" s="14"/>
      <c r="D55" s="14"/>
      <c r="E55" s="8"/>
      <c r="F55" s="8"/>
      <c r="G55" s="8"/>
      <c r="H55" s="14"/>
    </row>
    <row r="56" customFormat="false" ht="15" hidden="false" customHeight="false" outlineLevel="0" collapsed="false">
      <c r="A56" s="13"/>
      <c r="B56" s="10"/>
      <c r="C56" s="14"/>
      <c r="D56" s="14"/>
      <c r="E56" s="8"/>
      <c r="F56" s="8"/>
      <c r="G56" s="8"/>
      <c r="H56" s="14"/>
    </row>
    <row r="57" customFormat="false" ht="15" hidden="false" customHeight="false" outlineLevel="0" collapsed="false">
      <c r="A57" s="13"/>
      <c r="B57" s="10"/>
      <c r="C57" s="14"/>
      <c r="D57" s="14"/>
      <c r="E57" s="8"/>
      <c r="F57" s="8"/>
      <c r="G57" s="8"/>
      <c r="H57" s="14"/>
    </row>
    <row r="58" customFormat="false" ht="15" hidden="false" customHeight="false" outlineLevel="0" collapsed="false">
      <c r="A58" s="13"/>
      <c r="B58" s="10"/>
      <c r="C58" s="14"/>
      <c r="D58" s="14"/>
      <c r="E58" s="8"/>
      <c r="F58" s="8"/>
      <c r="G58" s="8"/>
      <c r="H58" s="14"/>
    </row>
    <row r="59" customFormat="false" ht="15" hidden="false" customHeight="false" outlineLevel="0" collapsed="false">
      <c r="A59" s="13"/>
      <c r="B59" s="10"/>
      <c r="C59" s="14"/>
      <c r="D59" s="14"/>
      <c r="E59" s="8"/>
      <c r="F59" s="8"/>
      <c r="G59" s="8"/>
      <c r="H59" s="14"/>
    </row>
    <row r="60" customFormat="false" ht="15" hidden="false" customHeight="false" outlineLevel="0" collapsed="false">
      <c r="A60" s="13"/>
      <c r="B60" s="10"/>
      <c r="C60" s="14"/>
      <c r="D60" s="14"/>
      <c r="E60" s="8"/>
      <c r="F60" s="8"/>
      <c r="G60" s="8"/>
      <c r="H60" s="14"/>
    </row>
    <row r="61" customFormat="false" ht="15" hidden="false" customHeight="false" outlineLevel="0" collapsed="false">
      <c r="A61" s="13"/>
      <c r="B61" s="10"/>
      <c r="C61" s="14"/>
      <c r="D61" s="14"/>
      <c r="E61" s="8"/>
      <c r="F61" s="8"/>
      <c r="G61" s="8"/>
      <c r="H61" s="14"/>
    </row>
    <row r="62" customFormat="false" ht="15" hidden="false" customHeight="false" outlineLevel="0" collapsed="false">
      <c r="A62" s="13"/>
      <c r="B62" s="10"/>
      <c r="C62" s="14"/>
      <c r="D62" s="14"/>
      <c r="E62" s="8"/>
      <c r="F62" s="8"/>
      <c r="G62" s="8"/>
      <c r="H62" s="14"/>
    </row>
    <row r="63" customFormat="false" ht="15" hidden="false" customHeight="false" outlineLevel="0" collapsed="false">
      <c r="A63" s="13"/>
      <c r="B63" s="10"/>
      <c r="C63" s="14"/>
      <c r="D63" s="14"/>
      <c r="E63" s="8"/>
      <c r="F63" s="8"/>
      <c r="G63" s="8"/>
      <c r="H63" s="14"/>
    </row>
    <row r="64" customFormat="false" ht="15" hidden="false" customHeight="false" outlineLevel="0" collapsed="false">
      <c r="A64" s="13"/>
      <c r="B64" s="10"/>
      <c r="C64" s="14"/>
      <c r="D64" s="14"/>
      <c r="E64" s="8"/>
      <c r="F64" s="8"/>
      <c r="G64" s="8"/>
      <c r="H64" s="14"/>
    </row>
    <row r="66" customFormat="false" ht="30" hidden="false" customHeight="true" outlineLevel="0" collapsed="false">
      <c r="A66" s="12" t="s">
        <v>94</v>
      </c>
      <c r="B66" s="12"/>
      <c r="C66" s="12"/>
      <c r="D66" s="12"/>
      <c r="E66" s="12"/>
      <c r="F66" s="12"/>
      <c r="G66" s="12"/>
      <c r="H66" s="12"/>
    </row>
    <row r="67" customFormat="false" ht="30" hidden="false" customHeight="true" outlineLevel="0" collapsed="false">
      <c r="A67" s="12" t="s">
        <v>95</v>
      </c>
      <c r="B67" s="12"/>
      <c r="C67" s="12"/>
      <c r="D67" s="12"/>
      <c r="E67" s="12"/>
      <c r="F67" s="12"/>
      <c r="G67" s="12"/>
      <c r="H67" s="12"/>
    </row>
    <row r="68" customFormat="false" ht="30" hidden="false" customHeight="true" outlineLevel="0" collapsed="false">
      <c r="A68" s="12" t="s">
        <v>96</v>
      </c>
      <c r="B68" s="12"/>
      <c r="C68" s="12"/>
      <c r="D68" s="12"/>
      <c r="E68" s="12"/>
      <c r="F68" s="12"/>
      <c r="G68" s="12"/>
      <c r="H68" s="12"/>
    </row>
  </sheetData>
  <mergeCells count="5">
    <mergeCell ref="A1:H1"/>
    <mergeCell ref="A2:H2"/>
    <mergeCell ref="A66:H66"/>
    <mergeCell ref="A67:H67"/>
    <mergeCell ref="A68:H68"/>
  </mergeCells>
  <conditionalFormatting sqref="E5:E64">
    <cfRule type="colorScale" priority="2">
      <colorScale>
        <cfvo type="num" val="-0.1"/>
        <cfvo type="num" val="0"/>
        <cfvo type="num" val="0.1"/>
        <color rgb="FFC00000"/>
        <color rgb="FFFFFFFF"/>
        <color rgb="FF00B050"/>
      </colorScale>
    </cfRule>
  </conditionalFormatting>
  <conditionalFormatting sqref="F5:F64">
    <cfRule type="colorScale" priority="3">
      <colorScale>
        <cfvo type="num" val="-0.1"/>
        <cfvo type="num" val="0"/>
        <cfvo type="num" val="0.1"/>
        <color rgb="FFC00000"/>
        <color rgb="FFFFFFFF"/>
        <color rgb="FF00B050"/>
      </colorScale>
    </cfRule>
  </conditionalFormatting>
  <conditionalFormatting sqref="G5:G64">
    <cfRule type="colorScale" priority="4">
      <colorScale>
        <cfvo type="num" val="-0.1"/>
        <cfvo type="num" val="0"/>
        <cfvo type="num" val="0.1"/>
        <color rgb="FFC00000"/>
        <color rgb="FFFFFFFF"/>
        <color rgb="FF00B05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9" min="3" style="0" width="15"/>
  </cols>
  <sheetData>
    <row r="1" customFormat="false" ht="27.75" hidden="false" customHeight="true" outlineLevel="0" collapsed="false">
      <c r="A1" s="1" t="s">
        <v>97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98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84</v>
      </c>
      <c r="B3" s="3" t="s">
        <v>85</v>
      </c>
      <c r="C3" s="3" t="s">
        <v>39</v>
      </c>
      <c r="D3" s="3" t="s">
        <v>40</v>
      </c>
      <c r="E3" s="3" t="s">
        <v>4</v>
      </c>
      <c r="F3" s="3" t="s">
        <v>41</v>
      </c>
      <c r="G3" s="3" t="s">
        <v>42</v>
      </c>
      <c r="H3" s="3" t="s">
        <v>43</v>
      </c>
      <c r="I3" s="3" t="s">
        <v>44</v>
      </c>
    </row>
    <row r="4" customFormat="false" ht="21.75" hidden="false" customHeight="true" outlineLevel="0" collapsed="false">
      <c r="A4" s="4" t="s">
        <v>31</v>
      </c>
      <c r="B4" s="4" t="s">
        <v>31</v>
      </c>
      <c r="C4" s="4" t="s">
        <v>99</v>
      </c>
      <c r="D4" s="4" t="s">
        <v>100</v>
      </c>
      <c r="E4" s="4" t="s">
        <v>101</v>
      </c>
      <c r="F4" s="4" t="s">
        <v>102</v>
      </c>
      <c r="G4" s="4" t="s">
        <v>103</v>
      </c>
      <c r="H4" s="4" t="s">
        <v>104</v>
      </c>
      <c r="I4" s="4" t="s">
        <v>105</v>
      </c>
    </row>
    <row r="5" customFormat="false" ht="15" hidden="false" customHeight="false" outlineLevel="0" collapsed="false">
      <c r="A5" s="13"/>
      <c r="B5" s="14"/>
      <c r="C5" s="15"/>
      <c r="D5" s="15"/>
      <c r="E5" s="15"/>
      <c r="F5" s="15"/>
      <c r="G5" s="15"/>
      <c r="H5" s="15"/>
      <c r="I5" s="15"/>
    </row>
    <row r="6" customFormat="false" ht="15" hidden="false" customHeight="false" outlineLevel="0" collapsed="false">
      <c r="A6" s="13"/>
      <c r="B6" s="14"/>
      <c r="C6" s="15"/>
      <c r="D6" s="15"/>
      <c r="E6" s="15"/>
      <c r="F6" s="15"/>
      <c r="G6" s="15"/>
      <c r="H6" s="15"/>
      <c r="I6" s="15"/>
    </row>
    <row r="7" customFormat="false" ht="15" hidden="false" customHeight="false" outlineLevel="0" collapsed="false">
      <c r="A7" s="13"/>
      <c r="B7" s="14"/>
      <c r="C7" s="15"/>
      <c r="D7" s="15"/>
      <c r="E7" s="15"/>
      <c r="F7" s="15"/>
      <c r="G7" s="15"/>
      <c r="H7" s="15"/>
      <c r="I7" s="15"/>
    </row>
    <row r="8" customFormat="false" ht="15" hidden="false" customHeight="false" outlineLevel="0" collapsed="false">
      <c r="A8" s="13"/>
      <c r="B8" s="14"/>
      <c r="C8" s="15"/>
      <c r="D8" s="15"/>
      <c r="E8" s="15"/>
      <c r="F8" s="15"/>
      <c r="G8" s="15"/>
      <c r="H8" s="15"/>
      <c r="I8" s="15"/>
    </row>
    <row r="9" customFormat="false" ht="15" hidden="false" customHeight="false" outlineLevel="0" collapsed="false">
      <c r="A9" s="13"/>
      <c r="B9" s="14"/>
      <c r="C9" s="15"/>
      <c r="D9" s="15"/>
      <c r="E9" s="15"/>
      <c r="F9" s="15"/>
      <c r="G9" s="15"/>
      <c r="H9" s="15"/>
      <c r="I9" s="15"/>
    </row>
    <row r="10" customFormat="false" ht="15" hidden="false" customHeight="false" outlineLevel="0" collapsed="false">
      <c r="A10" s="13"/>
      <c r="B10" s="14"/>
      <c r="C10" s="15"/>
      <c r="D10" s="15"/>
      <c r="E10" s="15"/>
      <c r="F10" s="15"/>
      <c r="G10" s="15"/>
      <c r="H10" s="15"/>
      <c r="I10" s="15"/>
    </row>
    <row r="11" customFormat="false" ht="15" hidden="false" customHeight="false" outlineLevel="0" collapsed="false">
      <c r="A11" s="13"/>
      <c r="B11" s="14"/>
      <c r="C11" s="15"/>
      <c r="D11" s="15"/>
      <c r="E11" s="15"/>
      <c r="F11" s="15"/>
      <c r="G11" s="15"/>
      <c r="H11" s="15"/>
      <c r="I11" s="15"/>
    </row>
    <row r="12" customFormat="false" ht="15" hidden="false" customHeight="false" outlineLevel="0" collapsed="false">
      <c r="A12" s="13"/>
      <c r="B12" s="14"/>
      <c r="C12" s="15"/>
      <c r="D12" s="15"/>
      <c r="E12" s="15"/>
      <c r="F12" s="15"/>
      <c r="G12" s="15"/>
      <c r="H12" s="15"/>
      <c r="I12" s="15"/>
    </row>
    <row r="13" customFormat="false" ht="15" hidden="false" customHeight="false" outlineLevel="0" collapsed="false">
      <c r="A13" s="13"/>
      <c r="B13" s="14"/>
      <c r="C13" s="15"/>
      <c r="D13" s="15"/>
      <c r="E13" s="15"/>
      <c r="F13" s="15"/>
      <c r="G13" s="15"/>
      <c r="H13" s="15"/>
      <c r="I13" s="15"/>
    </row>
    <row r="14" customFormat="false" ht="15" hidden="false" customHeight="false" outlineLevel="0" collapsed="false">
      <c r="A14" s="13"/>
      <c r="B14" s="14"/>
      <c r="C14" s="15"/>
      <c r="D14" s="15"/>
      <c r="E14" s="15"/>
      <c r="F14" s="15"/>
      <c r="G14" s="15"/>
      <c r="H14" s="15"/>
      <c r="I14" s="15"/>
    </row>
    <row r="15" customFormat="false" ht="15" hidden="false" customHeight="false" outlineLevel="0" collapsed="false">
      <c r="A15" s="13"/>
      <c r="B15" s="14"/>
      <c r="C15" s="15"/>
      <c r="D15" s="15"/>
      <c r="E15" s="15"/>
      <c r="F15" s="15"/>
      <c r="G15" s="15"/>
      <c r="H15" s="15"/>
      <c r="I15" s="15"/>
    </row>
    <row r="16" customFormat="false" ht="15" hidden="false" customHeight="false" outlineLevel="0" collapsed="false">
      <c r="A16" s="13"/>
      <c r="B16" s="14"/>
      <c r="C16" s="15"/>
      <c r="D16" s="15"/>
      <c r="E16" s="15"/>
      <c r="F16" s="15"/>
      <c r="G16" s="15"/>
      <c r="H16" s="15"/>
      <c r="I16" s="15"/>
    </row>
    <row r="17" customFormat="false" ht="15" hidden="false" customHeight="false" outlineLevel="0" collapsed="false">
      <c r="A17" s="13"/>
      <c r="B17" s="14"/>
      <c r="C17" s="15"/>
      <c r="D17" s="15"/>
      <c r="E17" s="15"/>
      <c r="F17" s="15"/>
      <c r="G17" s="15"/>
      <c r="H17" s="15"/>
      <c r="I17" s="15"/>
    </row>
    <row r="18" customFormat="false" ht="15" hidden="false" customHeight="false" outlineLevel="0" collapsed="false">
      <c r="A18" s="13"/>
      <c r="B18" s="14"/>
      <c r="C18" s="15"/>
      <c r="D18" s="15"/>
      <c r="E18" s="15"/>
      <c r="F18" s="15"/>
      <c r="G18" s="15"/>
      <c r="H18" s="15"/>
      <c r="I18" s="15"/>
    </row>
    <row r="19" customFormat="false" ht="15" hidden="false" customHeight="false" outlineLevel="0" collapsed="false">
      <c r="A19" s="13"/>
      <c r="B19" s="14"/>
      <c r="C19" s="15"/>
      <c r="D19" s="15"/>
      <c r="E19" s="15"/>
      <c r="F19" s="15"/>
      <c r="G19" s="15"/>
      <c r="H19" s="15"/>
      <c r="I19" s="15"/>
    </row>
    <row r="20" customFormat="false" ht="15" hidden="false" customHeight="false" outlineLevel="0" collapsed="false">
      <c r="A20" s="13"/>
      <c r="B20" s="14"/>
      <c r="C20" s="15"/>
      <c r="D20" s="15"/>
      <c r="E20" s="15"/>
      <c r="F20" s="15"/>
      <c r="G20" s="15"/>
      <c r="H20" s="15"/>
      <c r="I20" s="15"/>
    </row>
    <row r="21" customFormat="false" ht="15" hidden="false" customHeight="false" outlineLevel="0" collapsed="false">
      <c r="A21" s="13"/>
      <c r="B21" s="14"/>
      <c r="C21" s="15"/>
      <c r="D21" s="15"/>
      <c r="E21" s="15"/>
      <c r="F21" s="15"/>
      <c r="G21" s="15"/>
      <c r="H21" s="15"/>
      <c r="I21" s="15"/>
    </row>
    <row r="22" customFormat="false" ht="15" hidden="false" customHeight="false" outlineLevel="0" collapsed="false">
      <c r="A22" s="13"/>
      <c r="B22" s="14"/>
      <c r="C22" s="15"/>
      <c r="D22" s="15"/>
      <c r="E22" s="15"/>
      <c r="F22" s="15"/>
      <c r="G22" s="15"/>
      <c r="H22" s="15"/>
      <c r="I22" s="15"/>
    </row>
    <row r="23" customFormat="false" ht="15" hidden="false" customHeight="false" outlineLevel="0" collapsed="false">
      <c r="A23" s="13"/>
      <c r="B23" s="14"/>
      <c r="C23" s="15"/>
      <c r="D23" s="15"/>
      <c r="E23" s="15"/>
      <c r="F23" s="15"/>
      <c r="G23" s="15"/>
      <c r="H23" s="15"/>
      <c r="I23" s="15"/>
    </row>
    <row r="24" customFormat="false" ht="15" hidden="false" customHeight="false" outlineLevel="0" collapsed="false">
      <c r="A24" s="13"/>
      <c r="B24" s="14"/>
      <c r="C24" s="15"/>
      <c r="D24" s="15"/>
      <c r="E24" s="15"/>
      <c r="F24" s="15"/>
      <c r="G24" s="15"/>
      <c r="H24" s="15"/>
      <c r="I24" s="15"/>
    </row>
    <row r="25" customFormat="false" ht="15" hidden="false" customHeight="false" outlineLevel="0" collapsed="false">
      <c r="A25" s="13"/>
      <c r="B25" s="14"/>
      <c r="C25" s="15"/>
      <c r="D25" s="15"/>
      <c r="E25" s="15"/>
      <c r="F25" s="15"/>
      <c r="G25" s="15"/>
      <c r="H25" s="15"/>
      <c r="I25" s="15"/>
    </row>
    <row r="26" customFormat="false" ht="15" hidden="false" customHeight="false" outlineLevel="0" collapsed="false">
      <c r="A26" s="13"/>
      <c r="B26" s="14"/>
      <c r="C26" s="15"/>
      <c r="D26" s="15"/>
      <c r="E26" s="15"/>
      <c r="F26" s="15"/>
      <c r="G26" s="15"/>
      <c r="H26" s="15"/>
      <c r="I26" s="15"/>
    </row>
    <row r="27" customFormat="false" ht="15" hidden="false" customHeight="false" outlineLevel="0" collapsed="false">
      <c r="A27" s="13"/>
      <c r="B27" s="14"/>
      <c r="C27" s="15"/>
      <c r="D27" s="15"/>
      <c r="E27" s="15"/>
      <c r="F27" s="15"/>
      <c r="G27" s="15"/>
      <c r="H27" s="15"/>
      <c r="I27" s="15"/>
    </row>
    <row r="28" customFormat="false" ht="15" hidden="false" customHeight="false" outlineLevel="0" collapsed="false">
      <c r="A28" s="13"/>
      <c r="B28" s="14"/>
      <c r="C28" s="15"/>
      <c r="D28" s="15"/>
      <c r="E28" s="15"/>
      <c r="F28" s="15"/>
      <c r="G28" s="15"/>
      <c r="H28" s="15"/>
      <c r="I28" s="15"/>
    </row>
    <row r="29" customFormat="false" ht="15" hidden="false" customHeight="false" outlineLevel="0" collapsed="false">
      <c r="A29" s="13"/>
      <c r="B29" s="14"/>
      <c r="C29" s="15"/>
      <c r="D29" s="15"/>
      <c r="E29" s="15"/>
      <c r="F29" s="15"/>
      <c r="G29" s="15"/>
      <c r="H29" s="15"/>
      <c r="I29" s="15"/>
    </row>
    <row r="30" customFormat="false" ht="15" hidden="false" customHeight="false" outlineLevel="0" collapsed="false">
      <c r="A30" s="13"/>
      <c r="B30" s="14"/>
      <c r="C30" s="15"/>
      <c r="D30" s="15"/>
      <c r="E30" s="15"/>
      <c r="F30" s="15"/>
      <c r="G30" s="15"/>
      <c r="H30" s="15"/>
      <c r="I30" s="15"/>
    </row>
    <row r="31" customFormat="false" ht="15" hidden="false" customHeight="false" outlineLevel="0" collapsed="false">
      <c r="A31" s="13"/>
      <c r="B31" s="14"/>
      <c r="C31" s="15"/>
      <c r="D31" s="15"/>
      <c r="E31" s="15"/>
      <c r="F31" s="15"/>
      <c r="G31" s="15"/>
      <c r="H31" s="15"/>
      <c r="I31" s="15"/>
    </row>
    <row r="32" customFormat="false" ht="15" hidden="false" customHeight="false" outlineLevel="0" collapsed="false">
      <c r="A32" s="13"/>
      <c r="B32" s="14"/>
      <c r="C32" s="15"/>
      <c r="D32" s="15"/>
      <c r="E32" s="15"/>
      <c r="F32" s="15"/>
      <c r="G32" s="15"/>
      <c r="H32" s="15"/>
      <c r="I32" s="15"/>
    </row>
    <row r="33" customFormat="false" ht="15" hidden="false" customHeight="false" outlineLevel="0" collapsed="false">
      <c r="A33" s="13"/>
      <c r="B33" s="14"/>
      <c r="C33" s="15"/>
      <c r="D33" s="15"/>
      <c r="E33" s="15"/>
      <c r="F33" s="15"/>
      <c r="G33" s="15"/>
      <c r="H33" s="15"/>
      <c r="I33" s="15"/>
    </row>
    <row r="34" customFormat="false" ht="15" hidden="false" customHeight="false" outlineLevel="0" collapsed="false">
      <c r="A34" s="13"/>
      <c r="B34" s="14"/>
      <c r="C34" s="15"/>
      <c r="D34" s="15"/>
      <c r="E34" s="15"/>
      <c r="F34" s="15"/>
      <c r="G34" s="15"/>
      <c r="H34" s="15"/>
      <c r="I34" s="15"/>
    </row>
    <row r="35" customFormat="false" ht="15" hidden="false" customHeight="false" outlineLevel="0" collapsed="false">
      <c r="A35" s="13"/>
      <c r="B35" s="14"/>
      <c r="C35" s="15"/>
      <c r="D35" s="15"/>
      <c r="E35" s="15"/>
      <c r="F35" s="15"/>
      <c r="G35" s="15"/>
      <c r="H35" s="15"/>
      <c r="I35" s="15"/>
    </row>
    <row r="36" customFormat="false" ht="15" hidden="false" customHeight="false" outlineLevel="0" collapsed="false">
      <c r="A36" s="13"/>
      <c r="B36" s="14"/>
      <c r="C36" s="15"/>
      <c r="D36" s="15"/>
      <c r="E36" s="15"/>
      <c r="F36" s="15"/>
      <c r="G36" s="15"/>
      <c r="H36" s="15"/>
      <c r="I36" s="15"/>
    </row>
    <row r="37" customFormat="false" ht="15" hidden="false" customHeight="false" outlineLevel="0" collapsed="false">
      <c r="A37" s="13"/>
      <c r="B37" s="14"/>
      <c r="C37" s="15"/>
      <c r="D37" s="15"/>
      <c r="E37" s="15"/>
      <c r="F37" s="15"/>
      <c r="G37" s="15"/>
      <c r="H37" s="15"/>
      <c r="I37" s="15"/>
    </row>
    <row r="38" customFormat="false" ht="15" hidden="false" customHeight="false" outlineLevel="0" collapsed="false">
      <c r="A38" s="13"/>
      <c r="B38" s="14"/>
      <c r="C38" s="15"/>
      <c r="D38" s="15"/>
      <c r="E38" s="15"/>
      <c r="F38" s="15"/>
      <c r="G38" s="15"/>
      <c r="H38" s="15"/>
      <c r="I38" s="15"/>
    </row>
    <row r="39" customFormat="false" ht="15" hidden="false" customHeight="false" outlineLevel="0" collapsed="false">
      <c r="A39" s="13"/>
      <c r="B39" s="14"/>
      <c r="C39" s="15"/>
      <c r="D39" s="15"/>
      <c r="E39" s="15"/>
      <c r="F39" s="15"/>
      <c r="G39" s="15"/>
      <c r="H39" s="15"/>
      <c r="I39" s="15"/>
    </row>
    <row r="40" customFormat="false" ht="15" hidden="false" customHeight="false" outlineLevel="0" collapsed="false">
      <c r="A40" s="13"/>
      <c r="B40" s="14"/>
      <c r="C40" s="15"/>
      <c r="D40" s="15"/>
      <c r="E40" s="15"/>
      <c r="F40" s="15"/>
      <c r="G40" s="15"/>
      <c r="H40" s="15"/>
      <c r="I40" s="15"/>
    </row>
    <row r="41" customFormat="false" ht="15" hidden="false" customHeight="false" outlineLevel="0" collapsed="false">
      <c r="A41" s="13"/>
      <c r="B41" s="14"/>
      <c r="C41" s="15"/>
      <c r="D41" s="15"/>
      <c r="E41" s="15"/>
      <c r="F41" s="15"/>
      <c r="G41" s="15"/>
      <c r="H41" s="15"/>
      <c r="I41" s="15"/>
    </row>
    <row r="42" customFormat="false" ht="15" hidden="false" customHeight="false" outlineLevel="0" collapsed="false">
      <c r="A42" s="13"/>
      <c r="B42" s="14"/>
      <c r="C42" s="15"/>
      <c r="D42" s="15"/>
      <c r="E42" s="15"/>
      <c r="F42" s="15"/>
      <c r="G42" s="15"/>
      <c r="H42" s="15"/>
      <c r="I42" s="15"/>
    </row>
    <row r="43" customFormat="false" ht="15" hidden="false" customHeight="false" outlineLevel="0" collapsed="false">
      <c r="A43" s="13"/>
      <c r="B43" s="14"/>
      <c r="C43" s="15"/>
      <c r="D43" s="15"/>
      <c r="E43" s="15"/>
      <c r="F43" s="15"/>
      <c r="G43" s="15"/>
      <c r="H43" s="15"/>
      <c r="I43" s="15"/>
    </row>
    <row r="44" customFormat="false" ht="15" hidden="false" customHeight="false" outlineLevel="0" collapsed="false">
      <c r="A44" s="13"/>
      <c r="B44" s="14"/>
      <c r="C44" s="15"/>
      <c r="D44" s="15"/>
      <c r="E44" s="15"/>
      <c r="F44" s="15"/>
      <c r="G44" s="15"/>
      <c r="H44" s="15"/>
      <c r="I44" s="15"/>
    </row>
    <row r="45" customFormat="false" ht="15" hidden="false" customHeight="false" outlineLevel="0" collapsed="false">
      <c r="A45" s="13"/>
      <c r="B45" s="14"/>
      <c r="C45" s="15"/>
      <c r="D45" s="15"/>
      <c r="E45" s="15"/>
      <c r="F45" s="15"/>
      <c r="G45" s="15"/>
      <c r="H45" s="15"/>
      <c r="I45" s="15"/>
    </row>
    <row r="46" customFormat="false" ht="15" hidden="false" customHeight="false" outlineLevel="0" collapsed="false">
      <c r="A46" s="13"/>
      <c r="B46" s="14"/>
      <c r="C46" s="15"/>
      <c r="D46" s="15"/>
      <c r="E46" s="15"/>
      <c r="F46" s="15"/>
      <c r="G46" s="15"/>
      <c r="H46" s="15"/>
      <c r="I46" s="15"/>
    </row>
    <row r="47" customFormat="false" ht="15" hidden="false" customHeight="false" outlineLevel="0" collapsed="false">
      <c r="A47" s="13"/>
      <c r="B47" s="14"/>
      <c r="C47" s="15"/>
      <c r="D47" s="15"/>
      <c r="E47" s="15"/>
      <c r="F47" s="15"/>
      <c r="G47" s="15"/>
      <c r="H47" s="15"/>
      <c r="I47" s="15"/>
    </row>
    <row r="48" customFormat="false" ht="15" hidden="false" customHeight="false" outlineLevel="0" collapsed="false">
      <c r="A48" s="13"/>
      <c r="B48" s="14"/>
      <c r="C48" s="15"/>
      <c r="D48" s="15"/>
      <c r="E48" s="15"/>
      <c r="F48" s="15"/>
      <c r="G48" s="15"/>
      <c r="H48" s="15"/>
      <c r="I48" s="15"/>
    </row>
    <row r="49" customFormat="false" ht="15" hidden="false" customHeight="false" outlineLevel="0" collapsed="false">
      <c r="A49" s="13"/>
      <c r="B49" s="14"/>
      <c r="C49" s="15"/>
      <c r="D49" s="15"/>
      <c r="E49" s="15"/>
      <c r="F49" s="15"/>
      <c r="G49" s="15"/>
      <c r="H49" s="15"/>
      <c r="I49" s="15"/>
    </row>
    <row r="50" customFormat="false" ht="15" hidden="false" customHeight="false" outlineLevel="0" collapsed="false">
      <c r="A50" s="13"/>
      <c r="B50" s="14"/>
      <c r="C50" s="15"/>
      <c r="D50" s="15"/>
      <c r="E50" s="15"/>
      <c r="F50" s="15"/>
      <c r="G50" s="15"/>
      <c r="H50" s="15"/>
      <c r="I50" s="15"/>
    </row>
    <row r="51" customFormat="false" ht="15" hidden="false" customHeight="false" outlineLevel="0" collapsed="false">
      <c r="A51" s="13"/>
      <c r="B51" s="14"/>
      <c r="C51" s="15"/>
      <c r="D51" s="15"/>
      <c r="E51" s="15"/>
      <c r="F51" s="15"/>
      <c r="G51" s="15"/>
      <c r="H51" s="15"/>
      <c r="I51" s="15"/>
    </row>
    <row r="52" customFormat="false" ht="15" hidden="false" customHeight="false" outlineLevel="0" collapsed="false">
      <c r="A52" s="13"/>
      <c r="B52" s="14"/>
      <c r="C52" s="15"/>
      <c r="D52" s="15"/>
      <c r="E52" s="15"/>
      <c r="F52" s="15"/>
      <c r="G52" s="15"/>
      <c r="H52" s="15"/>
      <c r="I52" s="15"/>
    </row>
    <row r="53" customFormat="false" ht="15" hidden="false" customHeight="false" outlineLevel="0" collapsed="false">
      <c r="A53" s="13"/>
      <c r="B53" s="14"/>
      <c r="C53" s="15"/>
      <c r="D53" s="15"/>
      <c r="E53" s="15"/>
      <c r="F53" s="15"/>
      <c r="G53" s="15"/>
      <c r="H53" s="15"/>
      <c r="I53" s="15"/>
    </row>
    <row r="54" customFormat="false" ht="15" hidden="false" customHeight="false" outlineLevel="0" collapsed="false">
      <c r="A54" s="13"/>
      <c r="B54" s="14"/>
      <c r="C54" s="15"/>
      <c r="D54" s="15"/>
      <c r="E54" s="15"/>
      <c r="F54" s="15"/>
      <c r="G54" s="15"/>
      <c r="H54" s="15"/>
      <c r="I54" s="15"/>
    </row>
    <row r="55" customFormat="false" ht="15" hidden="false" customHeight="false" outlineLevel="0" collapsed="false">
      <c r="A55" s="13"/>
      <c r="B55" s="14"/>
      <c r="C55" s="15"/>
      <c r="D55" s="15"/>
      <c r="E55" s="15"/>
      <c r="F55" s="15"/>
      <c r="G55" s="15"/>
      <c r="H55" s="15"/>
      <c r="I55" s="15"/>
    </row>
    <row r="56" customFormat="false" ht="15" hidden="false" customHeight="false" outlineLevel="0" collapsed="false">
      <c r="A56" s="13"/>
      <c r="B56" s="14"/>
      <c r="C56" s="15"/>
      <c r="D56" s="15"/>
      <c r="E56" s="15"/>
      <c r="F56" s="15"/>
      <c r="G56" s="15"/>
      <c r="H56" s="15"/>
      <c r="I56" s="15"/>
    </row>
    <row r="57" customFormat="false" ht="15" hidden="false" customHeight="false" outlineLevel="0" collapsed="false">
      <c r="A57" s="13"/>
      <c r="B57" s="14"/>
      <c r="C57" s="15"/>
      <c r="D57" s="15"/>
      <c r="E57" s="15"/>
      <c r="F57" s="15"/>
      <c r="G57" s="15"/>
      <c r="H57" s="15"/>
      <c r="I57" s="15"/>
    </row>
    <row r="58" customFormat="false" ht="15" hidden="false" customHeight="false" outlineLevel="0" collapsed="false">
      <c r="A58" s="13"/>
      <c r="B58" s="14"/>
      <c r="C58" s="15"/>
      <c r="D58" s="15"/>
      <c r="E58" s="15"/>
      <c r="F58" s="15"/>
      <c r="G58" s="15"/>
      <c r="H58" s="15"/>
      <c r="I58" s="15"/>
    </row>
    <row r="59" customFormat="false" ht="15" hidden="false" customHeight="false" outlineLevel="0" collapsed="false">
      <c r="A59" s="13"/>
      <c r="B59" s="14"/>
      <c r="C59" s="15"/>
      <c r="D59" s="15"/>
      <c r="E59" s="15"/>
      <c r="F59" s="15"/>
      <c r="G59" s="15"/>
      <c r="H59" s="15"/>
      <c r="I59" s="15"/>
    </row>
    <row r="60" customFormat="false" ht="15" hidden="false" customHeight="false" outlineLevel="0" collapsed="false">
      <c r="A60" s="13"/>
      <c r="B60" s="14"/>
      <c r="C60" s="15"/>
      <c r="D60" s="15"/>
      <c r="E60" s="15"/>
      <c r="F60" s="15"/>
      <c r="G60" s="15"/>
      <c r="H60" s="15"/>
      <c r="I60" s="15"/>
    </row>
    <row r="61" customFormat="false" ht="15" hidden="false" customHeight="false" outlineLevel="0" collapsed="false">
      <c r="A61" s="13"/>
      <c r="B61" s="14"/>
      <c r="C61" s="15"/>
      <c r="D61" s="15"/>
      <c r="E61" s="15"/>
      <c r="F61" s="15"/>
      <c r="G61" s="15"/>
      <c r="H61" s="15"/>
      <c r="I61" s="15"/>
    </row>
    <row r="62" customFormat="false" ht="15" hidden="false" customHeight="false" outlineLevel="0" collapsed="false">
      <c r="A62" s="13"/>
      <c r="B62" s="14"/>
      <c r="C62" s="15"/>
      <c r="D62" s="15"/>
      <c r="E62" s="15"/>
      <c r="F62" s="15"/>
      <c r="G62" s="15"/>
      <c r="H62" s="15"/>
      <c r="I62" s="15"/>
    </row>
    <row r="63" customFormat="false" ht="15" hidden="false" customHeight="false" outlineLevel="0" collapsed="false">
      <c r="A63" s="13"/>
      <c r="B63" s="14"/>
      <c r="C63" s="15"/>
      <c r="D63" s="15"/>
      <c r="E63" s="15"/>
      <c r="F63" s="15"/>
      <c r="G63" s="15"/>
      <c r="H63" s="15"/>
      <c r="I63" s="15"/>
    </row>
    <row r="64" customFormat="false" ht="15" hidden="false" customHeight="false" outlineLevel="0" collapsed="false">
      <c r="A64" s="13"/>
      <c r="B64" s="14"/>
      <c r="C64" s="15"/>
      <c r="D64" s="15"/>
      <c r="E64" s="15"/>
      <c r="F64" s="15"/>
      <c r="G64" s="15"/>
      <c r="H64" s="15"/>
      <c r="I64" s="15"/>
    </row>
    <row r="65" customFormat="false" ht="15" hidden="false" customHeight="false" outlineLevel="0" collapsed="false">
      <c r="A65" s="13"/>
      <c r="B65" s="14"/>
      <c r="C65" s="15"/>
      <c r="D65" s="15"/>
      <c r="E65" s="15"/>
      <c r="F65" s="15"/>
      <c r="G65" s="15"/>
      <c r="H65" s="15"/>
      <c r="I65" s="15"/>
    </row>
    <row r="66" customFormat="false" ht="15" hidden="false" customHeight="false" outlineLevel="0" collapsed="false">
      <c r="A66" s="13"/>
      <c r="B66" s="14"/>
      <c r="C66" s="15"/>
      <c r="D66" s="15"/>
      <c r="E66" s="15"/>
      <c r="F66" s="15"/>
      <c r="G66" s="15"/>
      <c r="H66" s="15"/>
      <c r="I66" s="15"/>
    </row>
    <row r="67" customFormat="false" ht="15" hidden="false" customHeight="false" outlineLevel="0" collapsed="false">
      <c r="A67" s="13"/>
      <c r="B67" s="14"/>
      <c r="C67" s="15"/>
      <c r="D67" s="15"/>
      <c r="E67" s="15"/>
      <c r="F67" s="15"/>
      <c r="G67" s="15"/>
      <c r="H67" s="15"/>
      <c r="I67" s="15"/>
    </row>
    <row r="68" customFormat="false" ht="15" hidden="false" customHeight="false" outlineLevel="0" collapsed="false">
      <c r="A68" s="13"/>
      <c r="B68" s="14"/>
      <c r="C68" s="15"/>
      <c r="D68" s="15"/>
      <c r="E68" s="15"/>
      <c r="F68" s="15"/>
      <c r="G68" s="15"/>
      <c r="H68" s="15"/>
      <c r="I68" s="15"/>
    </row>
    <row r="69" customFormat="false" ht="15" hidden="false" customHeight="false" outlineLevel="0" collapsed="false">
      <c r="A69" s="13"/>
      <c r="B69" s="14"/>
      <c r="C69" s="15"/>
      <c r="D69" s="15"/>
      <c r="E69" s="15"/>
      <c r="F69" s="15"/>
      <c r="G69" s="15"/>
      <c r="H69" s="15"/>
      <c r="I69" s="15"/>
    </row>
    <row r="70" customFormat="false" ht="15" hidden="false" customHeight="false" outlineLevel="0" collapsed="false">
      <c r="A70" s="13"/>
      <c r="B70" s="14"/>
      <c r="C70" s="15"/>
      <c r="D70" s="15"/>
      <c r="E70" s="15"/>
      <c r="F70" s="15"/>
      <c r="G70" s="15"/>
      <c r="H70" s="15"/>
      <c r="I70" s="15"/>
    </row>
    <row r="71" customFormat="false" ht="15" hidden="false" customHeight="false" outlineLevel="0" collapsed="false">
      <c r="A71" s="13"/>
      <c r="B71" s="14"/>
      <c r="C71" s="15"/>
      <c r="D71" s="15"/>
      <c r="E71" s="15"/>
      <c r="F71" s="15"/>
      <c r="G71" s="15"/>
      <c r="H71" s="15"/>
      <c r="I71" s="15"/>
    </row>
    <row r="72" customFormat="false" ht="15" hidden="false" customHeight="false" outlineLevel="0" collapsed="false">
      <c r="A72" s="13"/>
      <c r="B72" s="14"/>
      <c r="C72" s="15"/>
      <c r="D72" s="15"/>
      <c r="E72" s="15"/>
      <c r="F72" s="15"/>
      <c r="G72" s="15"/>
      <c r="H72" s="15"/>
      <c r="I72" s="15"/>
    </row>
    <row r="73" customFormat="false" ht="15" hidden="false" customHeight="false" outlineLevel="0" collapsed="false">
      <c r="A73" s="13"/>
      <c r="B73" s="14"/>
      <c r="C73" s="15"/>
      <c r="D73" s="15"/>
      <c r="E73" s="15"/>
      <c r="F73" s="15"/>
      <c r="G73" s="15"/>
      <c r="H73" s="15"/>
      <c r="I73" s="15"/>
    </row>
    <row r="74" customFormat="false" ht="15" hidden="false" customHeight="false" outlineLevel="0" collapsed="false">
      <c r="A74" s="13"/>
      <c r="B74" s="14"/>
      <c r="C74" s="15"/>
      <c r="D74" s="15"/>
      <c r="E74" s="15"/>
      <c r="F74" s="15"/>
      <c r="G74" s="15"/>
      <c r="H74" s="15"/>
      <c r="I74" s="15"/>
    </row>
    <row r="75" customFormat="false" ht="15" hidden="false" customHeight="false" outlineLevel="0" collapsed="false">
      <c r="A75" s="13"/>
      <c r="B75" s="14"/>
      <c r="C75" s="15"/>
      <c r="D75" s="15"/>
      <c r="E75" s="15"/>
      <c r="F75" s="15"/>
      <c r="G75" s="15"/>
      <c r="H75" s="15"/>
      <c r="I75" s="15"/>
    </row>
    <row r="76" customFormat="false" ht="15" hidden="false" customHeight="false" outlineLevel="0" collapsed="false">
      <c r="A76" s="13"/>
      <c r="B76" s="14"/>
      <c r="C76" s="15"/>
      <c r="D76" s="15"/>
      <c r="E76" s="15"/>
      <c r="F76" s="15"/>
      <c r="G76" s="15"/>
      <c r="H76" s="15"/>
      <c r="I76" s="15"/>
    </row>
    <row r="77" customFormat="false" ht="15" hidden="false" customHeight="false" outlineLevel="0" collapsed="false">
      <c r="A77" s="13"/>
      <c r="B77" s="14"/>
      <c r="C77" s="15"/>
      <c r="D77" s="15"/>
      <c r="E77" s="15"/>
      <c r="F77" s="15"/>
      <c r="G77" s="15"/>
      <c r="H77" s="15"/>
      <c r="I77" s="15"/>
    </row>
    <row r="78" customFormat="false" ht="15" hidden="false" customHeight="false" outlineLevel="0" collapsed="false">
      <c r="A78" s="13"/>
      <c r="B78" s="14"/>
      <c r="C78" s="15"/>
      <c r="D78" s="15"/>
      <c r="E78" s="15"/>
      <c r="F78" s="15"/>
      <c r="G78" s="15"/>
      <c r="H78" s="15"/>
      <c r="I78" s="15"/>
    </row>
    <row r="79" customFormat="false" ht="15" hidden="false" customHeight="false" outlineLevel="0" collapsed="false">
      <c r="A79" s="13"/>
      <c r="B79" s="14"/>
      <c r="C79" s="15"/>
      <c r="D79" s="15"/>
      <c r="E79" s="15"/>
      <c r="F79" s="15"/>
      <c r="G79" s="15"/>
      <c r="H79" s="15"/>
      <c r="I79" s="15"/>
    </row>
    <row r="80" customFormat="false" ht="15" hidden="false" customHeight="false" outlineLevel="0" collapsed="false">
      <c r="A80" s="13"/>
      <c r="B80" s="14"/>
      <c r="C80" s="15"/>
      <c r="D80" s="15"/>
      <c r="E80" s="15"/>
      <c r="F80" s="15"/>
      <c r="G80" s="15"/>
      <c r="H80" s="15"/>
      <c r="I80" s="15"/>
    </row>
    <row r="81" customFormat="false" ht="15" hidden="false" customHeight="false" outlineLevel="0" collapsed="false">
      <c r="A81" s="13"/>
      <c r="B81" s="14"/>
      <c r="C81" s="15"/>
      <c r="D81" s="15"/>
      <c r="E81" s="15"/>
      <c r="F81" s="15"/>
      <c r="G81" s="15"/>
      <c r="H81" s="15"/>
      <c r="I81" s="15"/>
    </row>
    <row r="82" customFormat="false" ht="15" hidden="false" customHeight="false" outlineLevel="0" collapsed="false">
      <c r="A82" s="13"/>
      <c r="B82" s="14"/>
      <c r="C82" s="15"/>
      <c r="D82" s="15"/>
      <c r="E82" s="15"/>
      <c r="F82" s="15"/>
      <c r="G82" s="15"/>
      <c r="H82" s="15"/>
      <c r="I82" s="15"/>
    </row>
    <row r="83" customFormat="false" ht="15" hidden="false" customHeight="false" outlineLevel="0" collapsed="false">
      <c r="A83" s="13"/>
      <c r="B83" s="14"/>
      <c r="C83" s="15"/>
      <c r="D83" s="15"/>
      <c r="E83" s="15"/>
      <c r="F83" s="15"/>
      <c r="G83" s="15"/>
      <c r="H83" s="15"/>
      <c r="I83" s="15"/>
    </row>
    <row r="84" customFormat="false" ht="15" hidden="false" customHeight="false" outlineLevel="0" collapsed="false">
      <c r="A84" s="13"/>
      <c r="B84" s="14"/>
      <c r="C84" s="15"/>
      <c r="D84" s="15"/>
      <c r="E84" s="15"/>
      <c r="F84" s="15"/>
      <c r="G84" s="15"/>
      <c r="H84" s="15"/>
      <c r="I84" s="15"/>
    </row>
    <row r="85" customFormat="false" ht="15" hidden="false" customHeight="false" outlineLevel="0" collapsed="false">
      <c r="A85" s="13"/>
      <c r="B85" s="14"/>
      <c r="C85" s="15"/>
      <c r="D85" s="15"/>
      <c r="E85" s="15"/>
      <c r="F85" s="15"/>
      <c r="G85" s="15"/>
      <c r="H85" s="15"/>
      <c r="I85" s="15"/>
    </row>
    <row r="86" customFormat="false" ht="15" hidden="false" customHeight="false" outlineLevel="0" collapsed="false">
      <c r="A86" s="13"/>
      <c r="B86" s="14"/>
      <c r="C86" s="15"/>
      <c r="D86" s="15"/>
      <c r="E86" s="15"/>
      <c r="F86" s="15"/>
      <c r="G86" s="15"/>
      <c r="H86" s="15"/>
      <c r="I86" s="15"/>
    </row>
    <row r="87" customFormat="false" ht="15" hidden="false" customHeight="false" outlineLevel="0" collapsed="false">
      <c r="A87" s="13"/>
      <c r="B87" s="14"/>
      <c r="C87" s="15"/>
      <c r="D87" s="15"/>
      <c r="E87" s="15"/>
      <c r="F87" s="15"/>
      <c r="G87" s="15"/>
      <c r="H87" s="15"/>
      <c r="I87" s="15"/>
    </row>
    <row r="88" customFormat="false" ht="15" hidden="false" customHeight="false" outlineLevel="0" collapsed="false">
      <c r="A88" s="13"/>
      <c r="B88" s="14"/>
      <c r="C88" s="15"/>
      <c r="D88" s="15"/>
      <c r="E88" s="15"/>
      <c r="F88" s="15"/>
      <c r="G88" s="15"/>
      <c r="H88" s="15"/>
      <c r="I88" s="15"/>
    </row>
    <row r="89" customFormat="false" ht="15" hidden="false" customHeight="false" outlineLevel="0" collapsed="false">
      <c r="A89" s="13"/>
      <c r="B89" s="14"/>
      <c r="C89" s="15"/>
      <c r="D89" s="15"/>
      <c r="E89" s="15"/>
      <c r="F89" s="15"/>
      <c r="G89" s="15"/>
      <c r="H89" s="15"/>
      <c r="I89" s="15"/>
    </row>
    <row r="90" customFormat="false" ht="15" hidden="false" customHeight="false" outlineLevel="0" collapsed="false">
      <c r="A90" s="13"/>
      <c r="B90" s="14"/>
      <c r="C90" s="15"/>
      <c r="D90" s="15"/>
      <c r="E90" s="15"/>
      <c r="F90" s="15"/>
      <c r="G90" s="15"/>
      <c r="H90" s="15"/>
      <c r="I90" s="15"/>
    </row>
    <row r="91" customFormat="false" ht="15" hidden="false" customHeight="false" outlineLevel="0" collapsed="false">
      <c r="A91" s="13"/>
      <c r="B91" s="14"/>
      <c r="C91" s="15"/>
      <c r="D91" s="15"/>
      <c r="E91" s="15"/>
      <c r="F91" s="15"/>
      <c r="G91" s="15"/>
      <c r="H91" s="15"/>
      <c r="I91" s="15"/>
    </row>
    <row r="92" customFormat="false" ht="15" hidden="false" customHeight="false" outlineLevel="0" collapsed="false">
      <c r="A92" s="13"/>
      <c r="B92" s="14"/>
      <c r="C92" s="15"/>
      <c r="D92" s="15"/>
      <c r="E92" s="15"/>
      <c r="F92" s="15"/>
      <c r="G92" s="15"/>
      <c r="H92" s="15"/>
      <c r="I92" s="15"/>
    </row>
    <row r="93" customFormat="false" ht="15" hidden="false" customHeight="false" outlineLevel="0" collapsed="false">
      <c r="A93" s="13"/>
      <c r="B93" s="14"/>
      <c r="C93" s="15"/>
      <c r="D93" s="15"/>
      <c r="E93" s="15"/>
      <c r="F93" s="15"/>
      <c r="G93" s="15"/>
      <c r="H93" s="15"/>
      <c r="I93" s="15"/>
    </row>
    <row r="94" customFormat="false" ht="15" hidden="false" customHeight="false" outlineLevel="0" collapsed="false">
      <c r="A94" s="13"/>
      <c r="B94" s="14"/>
      <c r="C94" s="15"/>
      <c r="D94" s="15"/>
      <c r="E94" s="15"/>
      <c r="F94" s="15"/>
      <c r="G94" s="15"/>
      <c r="H94" s="15"/>
      <c r="I94" s="15"/>
    </row>
    <row r="95" customFormat="false" ht="15" hidden="false" customHeight="false" outlineLevel="0" collapsed="false">
      <c r="A95" s="13"/>
      <c r="B95" s="14"/>
      <c r="C95" s="15"/>
      <c r="D95" s="15"/>
      <c r="E95" s="15"/>
      <c r="F95" s="15"/>
      <c r="G95" s="15"/>
      <c r="H95" s="15"/>
      <c r="I95" s="15"/>
    </row>
    <row r="96" customFormat="false" ht="15" hidden="false" customHeight="false" outlineLevel="0" collapsed="false">
      <c r="A96" s="13"/>
      <c r="B96" s="14"/>
      <c r="C96" s="15"/>
      <c r="D96" s="15"/>
      <c r="E96" s="15"/>
      <c r="F96" s="15"/>
      <c r="G96" s="15"/>
      <c r="H96" s="15"/>
      <c r="I96" s="15"/>
    </row>
    <row r="97" customFormat="false" ht="15" hidden="false" customHeight="false" outlineLevel="0" collapsed="false">
      <c r="A97" s="13"/>
      <c r="B97" s="14"/>
      <c r="C97" s="15"/>
      <c r="D97" s="15"/>
      <c r="E97" s="15"/>
      <c r="F97" s="15"/>
      <c r="G97" s="15"/>
      <c r="H97" s="15"/>
      <c r="I97" s="15"/>
    </row>
    <row r="98" customFormat="false" ht="15" hidden="false" customHeight="false" outlineLevel="0" collapsed="false">
      <c r="A98" s="13"/>
      <c r="B98" s="14"/>
      <c r="C98" s="15"/>
      <c r="D98" s="15"/>
      <c r="E98" s="15"/>
      <c r="F98" s="15"/>
      <c r="G98" s="15"/>
      <c r="H98" s="15"/>
      <c r="I98" s="15"/>
    </row>
    <row r="99" customFormat="false" ht="15" hidden="false" customHeight="false" outlineLevel="0" collapsed="false">
      <c r="A99" s="13"/>
      <c r="B99" s="14"/>
      <c r="C99" s="15"/>
      <c r="D99" s="15"/>
      <c r="E99" s="15"/>
      <c r="F99" s="15"/>
      <c r="G99" s="15"/>
      <c r="H99" s="15"/>
      <c r="I99" s="15"/>
    </row>
    <row r="100" customFormat="false" ht="15" hidden="false" customHeight="false" outlineLevel="0" collapsed="false">
      <c r="A100" s="13"/>
      <c r="B100" s="14"/>
      <c r="C100" s="15"/>
      <c r="D100" s="15"/>
      <c r="E100" s="15"/>
      <c r="F100" s="15"/>
      <c r="G100" s="15"/>
      <c r="H100" s="15"/>
      <c r="I100" s="15"/>
    </row>
    <row r="101" customFormat="false" ht="15" hidden="false" customHeight="false" outlineLevel="0" collapsed="false">
      <c r="A101" s="13"/>
      <c r="B101" s="14"/>
      <c r="C101" s="15"/>
      <c r="D101" s="15"/>
      <c r="E101" s="15"/>
      <c r="F101" s="15"/>
      <c r="G101" s="15"/>
      <c r="H101" s="15"/>
      <c r="I101" s="15"/>
    </row>
    <row r="102" customFormat="false" ht="15" hidden="false" customHeight="false" outlineLevel="0" collapsed="false">
      <c r="A102" s="13"/>
      <c r="B102" s="14"/>
      <c r="C102" s="15"/>
      <c r="D102" s="15"/>
      <c r="E102" s="15"/>
      <c r="F102" s="15"/>
      <c r="G102" s="15"/>
      <c r="H102" s="15"/>
      <c r="I102" s="15"/>
    </row>
    <row r="103" customFormat="false" ht="15" hidden="false" customHeight="false" outlineLevel="0" collapsed="false">
      <c r="A103" s="13"/>
      <c r="B103" s="14"/>
      <c r="C103" s="15"/>
      <c r="D103" s="15"/>
      <c r="E103" s="15"/>
      <c r="F103" s="15"/>
      <c r="G103" s="15"/>
      <c r="H103" s="15"/>
      <c r="I103" s="15"/>
    </row>
    <row r="104" customFormat="false" ht="15" hidden="false" customHeight="false" outlineLevel="0" collapsed="false">
      <c r="A104" s="13"/>
      <c r="B104" s="14"/>
      <c r="C104" s="15"/>
      <c r="D104" s="15"/>
      <c r="E104" s="15"/>
      <c r="F104" s="15"/>
      <c r="G104" s="15"/>
      <c r="H104" s="15"/>
      <c r="I104" s="15"/>
    </row>
    <row r="105" customFormat="false" ht="15" hidden="false" customHeight="false" outlineLevel="0" collapsed="false">
      <c r="A105" s="13"/>
      <c r="B105" s="14"/>
      <c r="C105" s="15"/>
      <c r="D105" s="15"/>
      <c r="E105" s="15"/>
      <c r="F105" s="15"/>
      <c r="G105" s="15"/>
      <c r="H105" s="15"/>
      <c r="I105" s="15"/>
    </row>
    <row r="106" customFormat="false" ht="15" hidden="false" customHeight="false" outlineLevel="0" collapsed="false">
      <c r="A106" s="13"/>
      <c r="B106" s="14"/>
      <c r="C106" s="15"/>
      <c r="D106" s="15"/>
      <c r="E106" s="15"/>
      <c r="F106" s="15"/>
      <c r="G106" s="15"/>
      <c r="H106" s="15"/>
      <c r="I106" s="15"/>
    </row>
    <row r="107" customFormat="false" ht="15" hidden="false" customHeight="false" outlineLevel="0" collapsed="false">
      <c r="A107" s="13"/>
      <c r="B107" s="14"/>
      <c r="C107" s="15"/>
      <c r="D107" s="15"/>
      <c r="E107" s="15"/>
      <c r="F107" s="15"/>
      <c r="G107" s="15"/>
      <c r="H107" s="15"/>
      <c r="I107" s="15"/>
    </row>
    <row r="108" customFormat="false" ht="15" hidden="false" customHeight="false" outlineLevel="0" collapsed="false">
      <c r="A108" s="13"/>
      <c r="B108" s="14"/>
      <c r="C108" s="15"/>
      <c r="D108" s="15"/>
      <c r="E108" s="15"/>
      <c r="F108" s="15"/>
      <c r="G108" s="15"/>
      <c r="H108" s="15"/>
      <c r="I108" s="15"/>
    </row>
    <row r="109" customFormat="false" ht="15" hidden="false" customHeight="false" outlineLevel="0" collapsed="false">
      <c r="A109" s="13"/>
      <c r="B109" s="14"/>
      <c r="C109" s="15"/>
      <c r="D109" s="15"/>
      <c r="E109" s="15"/>
      <c r="F109" s="15"/>
      <c r="G109" s="15"/>
      <c r="H109" s="15"/>
      <c r="I109" s="15"/>
    </row>
    <row r="110" customFormat="false" ht="15" hidden="false" customHeight="false" outlineLevel="0" collapsed="false">
      <c r="A110" s="13"/>
      <c r="B110" s="14"/>
      <c r="C110" s="15"/>
      <c r="D110" s="15"/>
      <c r="E110" s="15"/>
      <c r="F110" s="15"/>
      <c r="G110" s="15"/>
      <c r="H110" s="15"/>
      <c r="I110" s="15"/>
    </row>
    <row r="111" customFormat="false" ht="15" hidden="false" customHeight="false" outlineLevel="0" collapsed="false">
      <c r="A111" s="13"/>
      <c r="B111" s="14"/>
      <c r="C111" s="15"/>
      <c r="D111" s="15"/>
      <c r="E111" s="15"/>
      <c r="F111" s="15"/>
      <c r="G111" s="15"/>
      <c r="H111" s="15"/>
      <c r="I111" s="15"/>
    </row>
    <row r="112" customFormat="false" ht="15" hidden="false" customHeight="false" outlineLevel="0" collapsed="false">
      <c r="A112" s="13"/>
      <c r="B112" s="14"/>
      <c r="C112" s="15"/>
      <c r="D112" s="15"/>
      <c r="E112" s="15"/>
      <c r="F112" s="15"/>
      <c r="G112" s="15"/>
      <c r="H112" s="15"/>
      <c r="I112" s="15"/>
    </row>
    <row r="113" customFormat="false" ht="15" hidden="false" customHeight="false" outlineLevel="0" collapsed="false">
      <c r="A113" s="13"/>
      <c r="B113" s="14"/>
      <c r="C113" s="15"/>
      <c r="D113" s="15"/>
      <c r="E113" s="15"/>
      <c r="F113" s="15"/>
      <c r="G113" s="15"/>
      <c r="H113" s="15"/>
      <c r="I113" s="15"/>
    </row>
    <row r="114" customFormat="false" ht="15" hidden="false" customHeight="false" outlineLevel="0" collapsed="false">
      <c r="A114" s="13"/>
      <c r="B114" s="14"/>
      <c r="C114" s="15"/>
      <c r="D114" s="15"/>
      <c r="E114" s="15"/>
      <c r="F114" s="15"/>
      <c r="G114" s="15"/>
      <c r="H114" s="15"/>
      <c r="I114" s="15"/>
    </row>
    <row r="115" customFormat="false" ht="15" hidden="false" customHeight="false" outlineLevel="0" collapsed="false">
      <c r="A115" s="13"/>
      <c r="B115" s="14"/>
      <c r="C115" s="15"/>
      <c r="D115" s="15"/>
      <c r="E115" s="15"/>
      <c r="F115" s="15"/>
      <c r="G115" s="15"/>
      <c r="H115" s="15"/>
      <c r="I115" s="15"/>
    </row>
    <row r="116" customFormat="false" ht="15" hidden="false" customHeight="false" outlineLevel="0" collapsed="false">
      <c r="A116" s="13"/>
      <c r="B116" s="14"/>
      <c r="C116" s="15"/>
      <c r="D116" s="15"/>
      <c r="E116" s="15"/>
      <c r="F116" s="15"/>
      <c r="G116" s="15"/>
      <c r="H116" s="15"/>
      <c r="I116" s="15"/>
    </row>
    <row r="117" customFormat="false" ht="15" hidden="false" customHeight="false" outlineLevel="0" collapsed="false">
      <c r="A117" s="13"/>
      <c r="B117" s="14"/>
      <c r="C117" s="15"/>
      <c r="D117" s="15"/>
      <c r="E117" s="15"/>
      <c r="F117" s="15"/>
      <c r="G117" s="15"/>
      <c r="H117" s="15"/>
      <c r="I117" s="15"/>
    </row>
    <row r="118" customFormat="false" ht="15" hidden="false" customHeight="false" outlineLevel="0" collapsed="false">
      <c r="A118" s="13"/>
      <c r="B118" s="14"/>
      <c r="C118" s="15"/>
      <c r="D118" s="15"/>
      <c r="E118" s="15"/>
      <c r="F118" s="15"/>
      <c r="G118" s="15"/>
      <c r="H118" s="15"/>
      <c r="I118" s="15"/>
    </row>
    <row r="119" customFormat="false" ht="15" hidden="false" customHeight="false" outlineLevel="0" collapsed="false">
      <c r="A119" s="13"/>
      <c r="B119" s="14"/>
      <c r="C119" s="15"/>
      <c r="D119" s="15"/>
      <c r="E119" s="15"/>
      <c r="F119" s="15"/>
      <c r="G119" s="15"/>
      <c r="H119" s="15"/>
      <c r="I119" s="15"/>
    </row>
    <row r="120" customFormat="false" ht="15" hidden="false" customHeight="false" outlineLevel="0" collapsed="false">
      <c r="A120" s="13"/>
      <c r="B120" s="14"/>
      <c r="C120" s="15"/>
      <c r="D120" s="15"/>
      <c r="E120" s="15"/>
      <c r="F120" s="15"/>
      <c r="G120" s="15"/>
      <c r="H120" s="15"/>
      <c r="I120" s="15"/>
    </row>
    <row r="121" customFormat="false" ht="15" hidden="false" customHeight="false" outlineLevel="0" collapsed="false">
      <c r="A121" s="13"/>
      <c r="B121" s="14"/>
      <c r="C121" s="15"/>
      <c r="D121" s="15"/>
      <c r="E121" s="15"/>
      <c r="F121" s="15"/>
      <c r="G121" s="15"/>
      <c r="H121" s="15"/>
      <c r="I121" s="15"/>
    </row>
    <row r="122" customFormat="false" ht="15" hidden="false" customHeight="false" outlineLevel="0" collapsed="false">
      <c r="A122" s="13"/>
      <c r="B122" s="14"/>
      <c r="C122" s="15"/>
      <c r="D122" s="15"/>
      <c r="E122" s="15"/>
      <c r="F122" s="15"/>
      <c r="G122" s="15"/>
      <c r="H122" s="15"/>
      <c r="I122" s="15"/>
    </row>
    <row r="123" customFormat="false" ht="15" hidden="false" customHeight="false" outlineLevel="0" collapsed="false">
      <c r="A123" s="13"/>
      <c r="B123" s="14"/>
      <c r="C123" s="15"/>
      <c r="D123" s="15"/>
      <c r="E123" s="15"/>
      <c r="F123" s="15"/>
      <c r="G123" s="15"/>
      <c r="H123" s="15"/>
      <c r="I123" s="15"/>
    </row>
    <row r="124" customFormat="false" ht="15" hidden="false" customHeight="false" outlineLevel="0" collapsed="false">
      <c r="A124" s="13"/>
      <c r="B124" s="14"/>
      <c r="C124" s="15"/>
      <c r="D124" s="15"/>
      <c r="E124" s="15"/>
      <c r="F124" s="15"/>
      <c r="G124" s="15"/>
      <c r="H124" s="15"/>
      <c r="I124" s="15"/>
    </row>
    <row r="125" customFormat="false" ht="15" hidden="false" customHeight="false" outlineLevel="0" collapsed="false">
      <c r="A125" s="13"/>
      <c r="B125" s="14"/>
      <c r="C125" s="15"/>
      <c r="D125" s="15"/>
      <c r="E125" s="15"/>
      <c r="F125" s="15"/>
      <c r="G125" s="15"/>
      <c r="H125" s="15"/>
      <c r="I125" s="15"/>
    </row>
    <row r="126" customFormat="false" ht="15" hidden="false" customHeight="false" outlineLevel="0" collapsed="false">
      <c r="A126" s="13"/>
      <c r="B126" s="14"/>
      <c r="C126" s="15"/>
      <c r="D126" s="15"/>
      <c r="E126" s="15"/>
      <c r="F126" s="15"/>
      <c r="G126" s="15"/>
      <c r="H126" s="15"/>
      <c r="I126" s="15"/>
    </row>
    <row r="127" customFormat="false" ht="15" hidden="false" customHeight="false" outlineLevel="0" collapsed="false">
      <c r="A127" s="13"/>
      <c r="B127" s="14"/>
      <c r="C127" s="15"/>
      <c r="D127" s="15"/>
      <c r="E127" s="15"/>
      <c r="F127" s="15"/>
      <c r="G127" s="15"/>
      <c r="H127" s="15"/>
      <c r="I127" s="15"/>
    </row>
    <row r="128" customFormat="false" ht="15" hidden="false" customHeight="false" outlineLevel="0" collapsed="false">
      <c r="A128" s="13"/>
      <c r="B128" s="14"/>
      <c r="C128" s="15"/>
      <c r="D128" s="15"/>
      <c r="E128" s="15"/>
      <c r="F128" s="15"/>
      <c r="G128" s="15"/>
      <c r="H128" s="15"/>
      <c r="I128" s="15"/>
    </row>
    <row r="129" customFormat="false" ht="15" hidden="false" customHeight="false" outlineLevel="0" collapsed="false">
      <c r="A129" s="13"/>
      <c r="B129" s="14"/>
      <c r="C129" s="15"/>
      <c r="D129" s="15"/>
      <c r="E129" s="15"/>
      <c r="F129" s="15"/>
      <c r="G129" s="15"/>
      <c r="H129" s="15"/>
      <c r="I129" s="15"/>
    </row>
    <row r="130" customFormat="false" ht="15" hidden="false" customHeight="false" outlineLevel="0" collapsed="false">
      <c r="A130" s="13"/>
      <c r="B130" s="14"/>
      <c r="C130" s="15"/>
      <c r="D130" s="15"/>
      <c r="E130" s="15"/>
      <c r="F130" s="15"/>
      <c r="G130" s="15"/>
      <c r="H130" s="15"/>
      <c r="I130" s="15"/>
    </row>
    <row r="131" customFormat="false" ht="15" hidden="false" customHeight="false" outlineLevel="0" collapsed="false">
      <c r="A131" s="13"/>
      <c r="B131" s="14"/>
      <c r="C131" s="15"/>
      <c r="D131" s="15"/>
      <c r="E131" s="15"/>
      <c r="F131" s="15"/>
      <c r="G131" s="15"/>
      <c r="H131" s="15"/>
      <c r="I131" s="15"/>
    </row>
    <row r="132" customFormat="false" ht="15" hidden="false" customHeight="false" outlineLevel="0" collapsed="false">
      <c r="A132" s="13"/>
      <c r="B132" s="14"/>
      <c r="C132" s="15"/>
      <c r="D132" s="15"/>
      <c r="E132" s="15"/>
      <c r="F132" s="15"/>
      <c r="G132" s="15"/>
      <c r="H132" s="15"/>
      <c r="I132" s="15"/>
    </row>
    <row r="133" customFormat="false" ht="15" hidden="false" customHeight="false" outlineLevel="0" collapsed="false">
      <c r="A133" s="13"/>
      <c r="B133" s="14"/>
      <c r="C133" s="15"/>
      <c r="D133" s="15"/>
      <c r="E133" s="15"/>
      <c r="F133" s="15"/>
      <c r="G133" s="15"/>
      <c r="H133" s="15"/>
      <c r="I133" s="15"/>
    </row>
    <row r="134" customFormat="false" ht="15" hidden="false" customHeight="false" outlineLevel="0" collapsed="false">
      <c r="A134" s="13"/>
      <c r="B134" s="14"/>
      <c r="C134" s="15"/>
      <c r="D134" s="15"/>
      <c r="E134" s="15"/>
      <c r="F134" s="15"/>
      <c r="G134" s="15"/>
      <c r="H134" s="15"/>
      <c r="I134" s="15"/>
    </row>
    <row r="135" customFormat="false" ht="15" hidden="false" customHeight="false" outlineLevel="0" collapsed="false">
      <c r="A135" s="13"/>
      <c r="B135" s="14"/>
      <c r="C135" s="15"/>
      <c r="D135" s="15"/>
      <c r="E135" s="15"/>
      <c r="F135" s="15"/>
      <c r="G135" s="15"/>
      <c r="H135" s="15"/>
      <c r="I135" s="15"/>
    </row>
    <row r="136" customFormat="false" ht="15" hidden="false" customHeight="false" outlineLevel="0" collapsed="false">
      <c r="A136" s="13"/>
      <c r="B136" s="14"/>
      <c r="C136" s="15"/>
      <c r="D136" s="15"/>
      <c r="E136" s="15"/>
      <c r="F136" s="15"/>
      <c r="G136" s="15"/>
      <c r="H136" s="15"/>
      <c r="I136" s="15"/>
    </row>
    <row r="137" customFormat="false" ht="15" hidden="false" customHeight="false" outlineLevel="0" collapsed="false">
      <c r="A137" s="13"/>
      <c r="B137" s="14"/>
      <c r="C137" s="15"/>
      <c r="D137" s="15"/>
      <c r="E137" s="15"/>
      <c r="F137" s="15"/>
      <c r="G137" s="15"/>
      <c r="H137" s="15"/>
      <c r="I137" s="15"/>
    </row>
    <row r="138" customFormat="false" ht="15" hidden="false" customHeight="false" outlineLevel="0" collapsed="false">
      <c r="A138" s="13"/>
      <c r="B138" s="14"/>
      <c r="C138" s="15"/>
      <c r="D138" s="15"/>
      <c r="E138" s="15"/>
      <c r="F138" s="15"/>
      <c r="G138" s="15"/>
      <c r="H138" s="15"/>
      <c r="I138" s="15"/>
    </row>
    <row r="139" customFormat="false" ht="15" hidden="false" customHeight="false" outlineLevel="0" collapsed="false">
      <c r="A139" s="13"/>
      <c r="B139" s="14"/>
      <c r="C139" s="15"/>
      <c r="D139" s="15"/>
      <c r="E139" s="15"/>
      <c r="F139" s="15"/>
      <c r="G139" s="15"/>
      <c r="H139" s="15"/>
      <c r="I139" s="15"/>
    </row>
    <row r="140" customFormat="false" ht="15" hidden="false" customHeight="false" outlineLevel="0" collapsed="false">
      <c r="A140" s="13"/>
      <c r="B140" s="14"/>
      <c r="C140" s="15"/>
      <c r="D140" s="15"/>
      <c r="E140" s="15"/>
      <c r="F140" s="15"/>
      <c r="G140" s="15"/>
      <c r="H140" s="15"/>
      <c r="I140" s="15"/>
    </row>
    <row r="141" customFormat="false" ht="15" hidden="false" customHeight="false" outlineLevel="0" collapsed="false">
      <c r="A141" s="13"/>
      <c r="B141" s="14"/>
      <c r="C141" s="15"/>
      <c r="D141" s="15"/>
      <c r="E141" s="15"/>
      <c r="F141" s="15"/>
      <c r="G141" s="15"/>
      <c r="H141" s="15"/>
      <c r="I141" s="15"/>
    </row>
    <row r="142" customFormat="false" ht="15" hidden="false" customHeight="false" outlineLevel="0" collapsed="false">
      <c r="A142" s="13"/>
      <c r="B142" s="14"/>
      <c r="C142" s="15"/>
      <c r="D142" s="15"/>
      <c r="E142" s="15"/>
      <c r="F142" s="15"/>
      <c r="G142" s="15"/>
      <c r="H142" s="15"/>
      <c r="I142" s="15"/>
    </row>
    <row r="143" customFormat="false" ht="15" hidden="false" customHeight="false" outlineLevel="0" collapsed="false">
      <c r="A143" s="13"/>
      <c r="B143" s="14"/>
      <c r="C143" s="15"/>
      <c r="D143" s="15"/>
      <c r="E143" s="15"/>
      <c r="F143" s="15"/>
      <c r="G143" s="15"/>
      <c r="H143" s="15"/>
      <c r="I143" s="15"/>
    </row>
    <row r="144" customFormat="false" ht="15" hidden="false" customHeight="false" outlineLevel="0" collapsed="false">
      <c r="A144" s="13"/>
      <c r="B144" s="14"/>
      <c r="C144" s="15"/>
      <c r="D144" s="15"/>
      <c r="E144" s="15"/>
      <c r="F144" s="15"/>
      <c r="G144" s="15"/>
      <c r="H144" s="15"/>
      <c r="I144" s="15"/>
    </row>
    <row r="145" customFormat="false" ht="15" hidden="false" customHeight="false" outlineLevel="0" collapsed="false">
      <c r="A145" s="13"/>
      <c r="B145" s="14"/>
      <c r="C145" s="15"/>
      <c r="D145" s="15"/>
      <c r="E145" s="15"/>
      <c r="F145" s="15"/>
      <c r="G145" s="15"/>
      <c r="H145" s="15"/>
      <c r="I145" s="15"/>
    </row>
    <row r="146" customFormat="false" ht="15" hidden="false" customHeight="false" outlineLevel="0" collapsed="false">
      <c r="A146" s="13"/>
      <c r="B146" s="14"/>
      <c r="C146" s="15"/>
      <c r="D146" s="15"/>
      <c r="E146" s="15"/>
      <c r="F146" s="15"/>
      <c r="G146" s="15"/>
      <c r="H146" s="15"/>
      <c r="I146" s="15"/>
    </row>
    <row r="147" customFormat="false" ht="15" hidden="false" customHeight="false" outlineLevel="0" collapsed="false">
      <c r="A147" s="13"/>
      <c r="B147" s="14"/>
      <c r="C147" s="15"/>
      <c r="D147" s="15"/>
      <c r="E147" s="15"/>
      <c r="F147" s="15"/>
      <c r="G147" s="15"/>
      <c r="H147" s="15"/>
      <c r="I147" s="15"/>
    </row>
    <row r="148" customFormat="false" ht="15" hidden="false" customHeight="false" outlineLevel="0" collapsed="false">
      <c r="A148" s="13"/>
      <c r="B148" s="14"/>
      <c r="C148" s="15"/>
      <c r="D148" s="15"/>
      <c r="E148" s="15"/>
      <c r="F148" s="15"/>
      <c r="G148" s="15"/>
      <c r="H148" s="15"/>
      <c r="I148" s="15"/>
    </row>
    <row r="149" customFormat="false" ht="15" hidden="false" customHeight="false" outlineLevel="0" collapsed="false">
      <c r="A149" s="13"/>
      <c r="B149" s="14"/>
      <c r="C149" s="15"/>
      <c r="D149" s="15"/>
      <c r="E149" s="15"/>
      <c r="F149" s="15"/>
      <c r="G149" s="15"/>
      <c r="H149" s="15"/>
      <c r="I149" s="15"/>
    </row>
    <row r="150" customFormat="false" ht="15" hidden="false" customHeight="false" outlineLevel="0" collapsed="false">
      <c r="A150" s="13"/>
      <c r="B150" s="14"/>
      <c r="C150" s="15"/>
      <c r="D150" s="15"/>
      <c r="E150" s="15"/>
      <c r="F150" s="15"/>
      <c r="G150" s="15"/>
      <c r="H150" s="15"/>
      <c r="I150" s="15"/>
    </row>
    <row r="151" customFormat="false" ht="15" hidden="false" customHeight="false" outlineLevel="0" collapsed="false">
      <c r="A151" s="13"/>
      <c r="B151" s="14"/>
      <c r="C151" s="15"/>
      <c r="D151" s="15"/>
      <c r="E151" s="15"/>
      <c r="F151" s="15"/>
      <c r="G151" s="15"/>
      <c r="H151" s="15"/>
      <c r="I151" s="15"/>
    </row>
    <row r="152" customFormat="false" ht="15" hidden="false" customHeight="false" outlineLevel="0" collapsed="false">
      <c r="A152" s="13"/>
      <c r="B152" s="14"/>
      <c r="C152" s="15"/>
      <c r="D152" s="15"/>
      <c r="E152" s="15"/>
      <c r="F152" s="15"/>
      <c r="G152" s="15"/>
      <c r="H152" s="15"/>
      <c r="I152" s="15"/>
    </row>
    <row r="153" customFormat="false" ht="15" hidden="false" customHeight="false" outlineLevel="0" collapsed="false">
      <c r="A153" s="13"/>
      <c r="B153" s="14"/>
      <c r="C153" s="15"/>
      <c r="D153" s="15"/>
      <c r="E153" s="15"/>
      <c r="F153" s="15"/>
      <c r="G153" s="15"/>
      <c r="H153" s="15"/>
      <c r="I153" s="15"/>
    </row>
    <row r="154" customFormat="false" ht="15" hidden="false" customHeight="false" outlineLevel="0" collapsed="false">
      <c r="A154" s="13"/>
      <c r="B154" s="14"/>
      <c r="C154" s="15"/>
      <c r="D154" s="15"/>
      <c r="E154" s="15"/>
      <c r="F154" s="15"/>
      <c r="G154" s="15"/>
      <c r="H154" s="15"/>
      <c r="I154" s="15"/>
    </row>
    <row r="155" customFormat="false" ht="15" hidden="false" customHeight="false" outlineLevel="0" collapsed="false">
      <c r="A155" s="13"/>
      <c r="B155" s="14"/>
      <c r="C155" s="15"/>
      <c r="D155" s="15"/>
      <c r="E155" s="15"/>
      <c r="F155" s="15"/>
      <c r="G155" s="15"/>
      <c r="H155" s="15"/>
      <c r="I155" s="15"/>
    </row>
    <row r="156" customFormat="false" ht="15" hidden="false" customHeight="false" outlineLevel="0" collapsed="false">
      <c r="A156" s="13"/>
      <c r="B156" s="14"/>
      <c r="C156" s="15"/>
      <c r="D156" s="15"/>
      <c r="E156" s="15"/>
      <c r="F156" s="15"/>
      <c r="G156" s="15"/>
      <c r="H156" s="15"/>
      <c r="I156" s="15"/>
    </row>
    <row r="157" customFormat="false" ht="15" hidden="false" customHeight="false" outlineLevel="0" collapsed="false">
      <c r="A157" s="13"/>
      <c r="B157" s="14"/>
      <c r="C157" s="15"/>
      <c r="D157" s="15"/>
      <c r="E157" s="15"/>
      <c r="F157" s="15"/>
      <c r="G157" s="15"/>
      <c r="H157" s="15"/>
      <c r="I157" s="15"/>
    </row>
    <row r="158" customFormat="false" ht="15" hidden="false" customHeight="false" outlineLevel="0" collapsed="false">
      <c r="A158" s="13"/>
      <c r="B158" s="14"/>
      <c r="C158" s="15"/>
      <c r="D158" s="15"/>
      <c r="E158" s="15"/>
      <c r="F158" s="15"/>
      <c r="G158" s="15"/>
      <c r="H158" s="15"/>
      <c r="I158" s="15"/>
    </row>
    <row r="159" customFormat="false" ht="15" hidden="false" customHeight="false" outlineLevel="0" collapsed="false">
      <c r="A159" s="13"/>
      <c r="B159" s="14"/>
      <c r="C159" s="15"/>
      <c r="D159" s="15"/>
      <c r="E159" s="15"/>
      <c r="F159" s="15"/>
      <c r="G159" s="15"/>
      <c r="H159" s="15"/>
      <c r="I159" s="15"/>
    </row>
    <row r="160" customFormat="false" ht="15" hidden="false" customHeight="false" outlineLevel="0" collapsed="false">
      <c r="A160" s="13"/>
      <c r="B160" s="14"/>
      <c r="C160" s="15"/>
      <c r="D160" s="15"/>
      <c r="E160" s="15"/>
      <c r="F160" s="15"/>
      <c r="G160" s="15"/>
      <c r="H160" s="15"/>
      <c r="I160" s="15"/>
    </row>
    <row r="161" customFormat="false" ht="15" hidden="false" customHeight="false" outlineLevel="0" collapsed="false">
      <c r="A161" s="13"/>
      <c r="B161" s="14"/>
      <c r="C161" s="15"/>
      <c r="D161" s="15"/>
      <c r="E161" s="15"/>
      <c r="F161" s="15"/>
      <c r="G161" s="15"/>
      <c r="H161" s="15"/>
      <c r="I161" s="15"/>
    </row>
    <row r="162" customFormat="false" ht="15" hidden="false" customHeight="false" outlineLevel="0" collapsed="false">
      <c r="A162" s="13"/>
      <c r="B162" s="14"/>
      <c r="C162" s="15"/>
      <c r="D162" s="15"/>
      <c r="E162" s="15"/>
      <c r="F162" s="15"/>
      <c r="G162" s="15"/>
      <c r="H162" s="15"/>
      <c r="I162" s="15"/>
    </row>
    <row r="163" customFormat="false" ht="15" hidden="false" customHeight="false" outlineLevel="0" collapsed="false">
      <c r="A163" s="13"/>
      <c r="B163" s="14"/>
      <c r="C163" s="15"/>
      <c r="D163" s="15"/>
      <c r="E163" s="15"/>
      <c r="F163" s="15"/>
      <c r="G163" s="15"/>
      <c r="H163" s="15"/>
      <c r="I163" s="15"/>
    </row>
    <row r="164" customFormat="false" ht="15" hidden="false" customHeight="false" outlineLevel="0" collapsed="false">
      <c r="A164" s="13"/>
      <c r="B164" s="14"/>
      <c r="C164" s="15"/>
      <c r="D164" s="15"/>
      <c r="E164" s="15"/>
      <c r="F164" s="15"/>
      <c r="G164" s="15"/>
      <c r="H164" s="15"/>
      <c r="I164" s="15"/>
    </row>
    <row r="165" customFormat="false" ht="15" hidden="false" customHeight="false" outlineLevel="0" collapsed="false">
      <c r="A165" s="13"/>
      <c r="B165" s="14"/>
      <c r="C165" s="15"/>
      <c r="D165" s="15"/>
      <c r="E165" s="15"/>
      <c r="F165" s="15"/>
      <c r="G165" s="15"/>
      <c r="H165" s="15"/>
      <c r="I165" s="15"/>
    </row>
    <row r="166" customFormat="false" ht="15" hidden="false" customHeight="false" outlineLevel="0" collapsed="false">
      <c r="A166" s="13"/>
      <c r="B166" s="14"/>
      <c r="C166" s="15"/>
      <c r="D166" s="15"/>
      <c r="E166" s="15"/>
      <c r="F166" s="15"/>
      <c r="G166" s="15"/>
      <c r="H166" s="15"/>
      <c r="I166" s="15"/>
    </row>
    <row r="167" customFormat="false" ht="15" hidden="false" customHeight="false" outlineLevel="0" collapsed="false">
      <c r="A167" s="13"/>
      <c r="B167" s="14"/>
      <c r="C167" s="15"/>
      <c r="D167" s="15"/>
      <c r="E167" s="15"/>
      <c r="F167" s="15"/>
      <c r="G167" s="15"/>
      <c r="H167" s="15"/>
      <c r="I167" s="15"/>
    </row>
    <row r="168" customFormat="false" ht="15" hidden="false" customHeight="false" outlineLevel="0" collapsed="false">
      <c r="A168" s="13"/>
      <c r="B168" s="14"/>
      <c r="C168" s="15"/>
      <c r="D168" s="15"/>
      <c r="E168" s="15"/>
      <c r="F168" s="15"/>
      <c r="G168" s="15"/>
      <c r="H168" s="15"/>
      <c r="I168" s="15"/>
    </row>
    <row r="169" customFormat="false" ht="15" hidden="false" customHeight="false" outlineLevel="0" collapsed="false">
      <c r="A169" s="13"/>
      <c r="B169" s="14"/>
      <c r="C169" s="15"/>
      <c r="D169" s="15"/>
      <c r="E169" s="15"/>
      <c r="F169" s="15"/>
      <c r="G169" s="15"/>
      <c r="H169" s="15"/>
      <c r="I169" s="15"/>
    </row>
    <row r="170" customFormat="false" ht="15" hidden="false" customHeight="false" outlineLevel="0" collapsed="false">
      <c r="A170" s="13"/>
      <c r="B170" s="14"/>
      <c r="C170" s="15"/>
      <c r="D170" s="15"/>
      <c r="E170" s="15"/>
      <c r="F170" s="15"/>
      <c r="G170" s="15"/>
      <c r="H170" s="15"/>
      <c r="I170" s="15"/>
    </row>
    <row r="171" customFormat="false" ht="15" hidden="false" customHeight="false" outlineLevel="0" collapsed="false">
      <c r="A171" s="13"/>
      <c r="B171" s="14"/>
      <c r="C171" s="15"/>
      <c r="D171" s="15"/>
      <c r="E171" s="15"/>
      <c r="F171" s="15"/>
      <c r="G171" s="15"/>
      <c r="H171" s="15"/>
      <c r="I171" s="15"/>
    </row>
    <row r="172" customFormat="false" ht="15" hidden="false" customHeight="false" outlineLevel="0" collapsed="false">
      <c r="A172" s="13"/>
      <c r="B172" s="14"/>
      <c r="C172" s="15"/>
      <c r="D172" s="15"/>
      <c r="E172" s="15"/>
      <c r="F172" s="15"/>
      <c r="G172" s="15"/>
      <c r="H172" s="15"/>
      <c r="I172" s="15"/>
    </row>
    <row r="173" customFormat="false" ht="15" hidden="false" customHeight="false" outlineLevel="0" collapsed="false">
      <c r="A173" s="13"/>
      <c r="B173" s="14"/>
      <c r="C173" s="15"/>
      <c r="D173" s="15"/>
      <c r="E173" s="15"/>
      <c r="F173" s="15"/>
      <c r="G173" s="15"/>
      <c r="H173" s="15"/>
      <c r="I173" s="15"/>
    </row>
    <row r="174" customFormat="false" ht="15" hidden="false" customHeight="false" outlineLevel="0" collapsed="false">
      <c r="A174" s="13"/>
      <c r="B174" s="14"/>
      <c r="C174" s="15"/>
      <c r="D174" s="15"/>
      <c r="E174" s="15"/>
      <c r="F174" s="15"/>
      <c r="G174" s="15"/>
      <c r="H174" s="15"/>
      <c r="I174" s="15"/>
    </row>
    <row r="175" customFormat="false" ht="15" hidden="false" customHeight="false" outlineLevel="0" collapsed="false">
      <c r="A175" s="13"/>
      <c r="B175" s="14"/>
      <c r="C175" s="15"/>
      <c r="D175" s="15"/>
      <c r="E175" s="15"/>
      <c r="F175" s="15"/>
      <c r="G175" s="15"/>
      <c r="H175" s="15"/>
      <c r="I175" s="15"/>
    </row>
    <row r="176" customFormat="false" ht="15" hidden="false" customHeight="false" outlineLevel="0" collapsed="false">
      <c r="A176" s="13"/>
      <c r="B176" s="14"/>
      <c r="C176" s="15"/>
      <c r="D176" s="15"/>
      <c r="E176" s="15"/>
      <c r="F176" s="15"/>
      <c r="G176" s="15"/>
      <c r="H176" s="15"/>
      <c r="I176" s="15"/>
    </row>
    <row r="177" customFormat="false" ht="15" hidden="false" customHeight="false" outlineLevel="0" collapsed="false">
      <c r="A177" s="13"/>
      <c r="B177" s="14"/>
      <c r="C177" s="15"/>
      <c r="D177" s="15"/>
      <c r="E177" s="15"/>
      <c r="F177" s="15"/>
      <c r="G177" s="15"/>
      <c r="H177" s="15"/>
      <c r="I177" s="15"/>
    </row>
    <row r="178" customFormat="false" ht="15" hidden="false" customHeight="false" outlineLevel="0" collapsed="false">
      <c r="A178" s="13"/>
      <c r="B178" s="14"/>
      <c r="C178" s="15"/>
      <c r="D178" s="15"/>
      <c r="E178" s="15"/>
      <c r="F178" s="15"/>
      <c r="G178" s="15"/>
      <c r="H178" s="15"/>
      <c r="I178" s="15"/>
    </row>
    <row r="179" customFormat="false" ht="15" hidden="false" customHeight="false" outlineLevel="0" collapsed="false">
      <c r="A179" s="13"/>
      <c r="B179" s="14"/>
      <c r="C179" s="15"/>
      <c r="D179" s="15"/>
      <c r="E179" s="15"/>
      <c r="F179" s="15"/>
      <c r="G179" s="15"/>
      <c r="H179" s="15"/>
      <c r="I179" s="15"/>
    </row>
    <row r="180" customFormat="false" ht="15" hidden="false" customHeight="false" outlineLevel="0" collapsed="false">
      <c r="A180" s="13"/>
      <c r="B180" s="14"/>
      <c r="C180" s="15"/>
      <c r="D180" s="15"/>
      <c r="E180" s="15"/>
      <c r="F180" s="15"/>
      <c r="G180" s="15"/>
      <c r="H180" s="15"/>
      <c r="I180" s="15"/>
    </row>
    <row r="181" customFormat="false" ht="15" hidden="false" customHeight="false" outlineLevel="0" collapsed="false">
      <c r="A181" s="13"/>
      <c r="B181" s="14"/>
      <c r="C181" s="15"/>
      <c r="D181" s="15"/>
      <c r="E181" s="15"/>
      <c r="F181" s="15"/>
      <c r="G181" s="15"/>
      <c r="H181" s="15"/>
      <c r="I181" s="15"/>
    </row>
    <row r="182" customFormat="false" ht="15" hidden="false" customHeight="false" outlineLevel="0" collapsed="false">
      <c r="A182" s="13"/>
      <c r="B182" s="14"/>
      <c r="C182" s="15"/>
      <c r="D182" s="15"/>
      <c r="E182" s="15"/>
      <c r="F182" s="15"/>
      <c r="G182" s="15"/>
      <c r="H182" s="15"/>
      <c r="I182" s="15"/>
    </row>
    <row r="183" customFormat="false" ht="15" hidden="false" customHeight="false" outlineLevel="0" collapsed="false">
      <c r="A183" s="13"/>
      <c r="B183" s="14"/>
      <c r="C183" s="15"/>
      <c r="D183" s="15"/>
      <c r="E183" s="15"/>
      <c r="F183" s="15"/>
      <c r="G183" s="15"/>
      <c r="H183" s="15"/>
      <c r="I183" s="15"/>
    </row>
    <row r="184" customFormat="false" ht="15" hidden="false" customHeight="false" outlineLevel="0" collapsed="false">
      <c r="A184" s="13"/>
      <c r="B184" s="14"/>
      <c r="C184" s="15"/>
      <c r="D184" s="15"/>
      <c r="E184" s="15"/>
      <c r="F184" s="15"/>
      <c r="G184" s="15"/>
      <c r="H184" s="15"/>
      <c r="I184" s="15"/>
    </row>
    <row r="185" customFormat="false" ht="15" hidden="false" customHeight="false" outlineLevel="0" collapsed="false">
      <c r="A185" s="13"/>
      <c r="B185" s="14"/>
      <c r="C185" s="15"/>
      <c r="D185" s="15"/>
      <c r="E185" s="15"/>
      <c r="F185" s="15"/>
      <c r="G185" s="15"/>
      <c r="H185" s="15"/>
      <c r="I185" s="15"/>
    </row>
    <row r="186" customFormat="false" ht="15" hidden="false" customHeight="false" outlineLevel="0" collapsed="false">
      <c r="A186" s="13"/>
      <c r="B186" s="14"/>
      <c r="C186" s="15"/>
      <c r="D186" s="15"/>
      <c r="E186" s="15"/>
      <c r="F186" s="15"/>
      <c r="G186" s="15"/>
      <c r="H186" s="15"/>
      <c r="I186" s="15"/>
    </row>
    <row r="187" customFormat="false" ht="15" hidden="false" customHeight="false" outlineLevel="0" collapsed="false">
      <c r="A187" s="13"/>
      <c r="B187" s="14"/>
      <c r="C187" s="15"/>
      <c r="D187" s="15"/>
      <c r="E187" s="15"/>
      <c r="F187" s="15"/>
      <c r="G187" s="15"/>
      <c r="H187" s="15"/>
      <c r="I187" s="15"/>
    </row>
    <row r="188" customFormat="false" ht="15" hidden="false" customHeight="false" outlineLevel="0" collapsed="false">
      <c r="A188" s="13"/>
      <c r="B188" s="14"/>
      <c r="C188" s="15"/>
      <c r="D188" s="15"/>
      <c r="E188" s="15"/>
      <c r="F188" s="15"/>
      <c r="G188" s="15"/>
      <c r="H188" s="15"/>
      <c r="I188" s="15"/>
    </row>
    <row r="189" customFormat="false" ht="15" hidden="false" customHeight="false" outlineLevel="0" collapsed="false">
      <c r="A189" s="13"/>
      <c r="B189" s="14"/>
      <c r="C189" s="15"/>
      <c r="D189" s="15"/>
      <c r="E189" s="15"/>
      <c r="F189" s="15"/>
      <c r="G189" s="15"/>
      <c r="H189" s="15"/>
      <c r="I189" s="15"/>
    </row>
    <row r="190" customFormat="false" ht="15" hidden="false" customHeight="false" outlineLevel="0" collapsed="false">
      <c r="A190" s="13"/>
      <c r="B190" s="14"/>
      <c r="C190" s="15"/>
      <c r="D190" s="15"/>
      <c r="E190" s="15"/>
      <c r="F190" s="15"/>
      <c r="G190" s="15"/>
      <c r="H190" s="15"/>
      <c r="I190" s="15"/>
    </row>
    <row r="191" customFormat="false" ht="15" hidden="false" customHeight="false" outlineLevel="0" collapsed="false">
      <c r="A191" s="13"/>
      <c r="B191" s="14"/>
      <c r="C191" s="15"/>
      <c r="D191" s="15"/>
      <c r="E191" s="15"/>
      <c r="F191" s="15"/>
      <c r="G191" s="15"/>
      <c r="H191" s="15"/>
      <c r="I191" s="15"/>
    </row>
    <row r="192" customFormat="false" ht="15" hidden="false" customHeight="false" outlineLevel="0" collapsed="false">
      <c r="A192" s="13"/>
      <c r="B192" s="14"/>
      <c r="C192" s="15"/>
      <c r="D192" s="15"/>
      <c r="E192" s="15"/>
      <c r="F192" s="15"/>
      <c r="G192" s="15"/>
      <c r="H192" s="15"/>
      <c r="I192" s="15"/>
    </row>
    <row r="193" customFormat="false" ht="15" hidden="false" customHeight="false" outlineLevel="0" collapsed="false">
      <c r="A193" s="13"/>
      <c r="B193" s="14"/>
      <c r="C193" s="15"/>
      <c r="D193" s="15"/>
      <c r="E193" s="15"/>
      <c r="F193" s="15"/>
      <c r="G193" s="15"/>
      <c r="H193" s="15"/>
      <c r="I193" s="15"/>
    </row>
    <row r="194" customFormat="false" ht="15" hidden="false" customHeight="false" outlineLevel="0" collapsed="false">
      <c r="A194" s="13"/>
      <c r="B194" s="14"/>
      <c r="C194" s="15"/>
      <c r="D194" s="15"/>
      <c r="E194" s="15"/>
      <c r="F194" s="15"/>
      <c r="G194" s="15"/>
      <c r="H194" s="15"/>
      <c r="I194" s="15"/>
    </row>
    <row r="195" customFormat="false" ht="15" hidden="false" customHeight="false" outlineLevel="0" collapsed="false">
      <c r="A195" s="13"/>
      <c r="B195" s="14"/>
      <c r="C195" s="15"/>
      <c r="D195" s="15"/>
      <c r="E195" s="15"/>
      <c r="F195" s="15"/>
      <c r="G195" s="15"/>
      <c r="H195" s="15"/>
      <c r="I195" s="15"/>
    </row>
    <row r="196" customFormat="false" ht="15" hidden="false" customHeight="false" outlineLevel="0" collapsed="false">
      <c r="A196" s="13"/>
      <c r="B196" s="14"/>
      <c r="C196" s="15"/>
      <c r="D196" s="15"/>
      <c r="E196" s="15"/>
      <c r="F196" s="15"/>
      <c r="G196" s="15"/>
      <c r="H196" s="15"/>
      <c r="I196" s="15"/>
    </row>
    <row r="197" customFormat="false" ht="15" hidden="false" customHeight="false" outlineLevel="0" collapsed="false">
      <c r="A197" s="13"/>
      <c r="B197" s="14"/>
      <c r="C197" s="15"/>
      <c r="D197" s="15"/>
      <c r="E197" s="15"/>
      <c r="F197" s="15"/>
      <c r="G197" s="15"/>
      <c r="H197" s="15"/>
      <c r="I197" s="15"/>
    </row>
    <row r="198" customFormat="false" ht="15" hidden="false" customHeight="false" outlineLevel="0" collapsed="false">
      <c r="A198" s="13"/>
      <c r="B198" s="14"/>
      <c r="C198" s="15"/>
      <c r="D198" s="15"/>
      <c r="E198" s="15"/>
      <c r="F198" s="15"/>
      <c r="G198" s="15"/>
      <c r="H198" s="15"/>
      <c r="I198" s="15"/>
    </row>
    <row r="199" customFormat="false" ht="15" hidden="false" customHeight="false" outlineLevel="0" collapsed="false">
      <c r="A199" s="13"/>
      <c r="B199" s="14"/>
      <c r="C199" s="15"/>
      <c r="D199" s="15"/>
      <c r="E199" s="15"/>
      <c r="F199" s="15"/>
      <c r="G199" s="15"/>
      <c r="H199" s="15"/>
      <c r="I199" s="15"/>
    </row>
    <row r="200" customFormat="false" ht="15" hidden="false" customHeight="false" outlineLevel="0" collapsed="false">
      <c r="A200" s="13"/>
      <c r="B200" s="14"/>
      <c r="C200" s="15"/>
      <c r="D200" s="15"/>
      <c r="E200" s="15"/>
      <c r="F200" s="15"/>
      <c r="G200" s="15"/>
      <c r="H200" s="15"/>
      <c r="I200" s="15"/>
    </row>
    <row r="201" customFormat="false" ht="15" hidden="false" customHeight="false" outlineLevel="0" collapsed="false">
      <c r="A201" s="13"/>
      <c r="B201" s="14"/>
      <c r="C201" s="15"/>
      <c r="D201" s="15"/>
      <c r="E201" s="15"/>
      <c r="F201" s="15"/>
      <c r="G201" s="15"/>
      <c r="H201" s="15"/>
      <c r="I201" s="15"/>
    </row>
    <row r="202" customFormat="false" ht="15" hidden="false" customHeight="false" outlineLevel="0" collapsed="false">
      <c r="A202" s="13"/>
      <c r="B202" s="14"/>
      <c r="C202" s="15"/>
      <c r="D202" s="15"/>
      <c r="E202" s="15"/>
      <c r="F202" s="15"/>
      <c r="G202" s="15"/>
      <c r="H202" s="15"/>
      <c r="I202" s="15"/>
    </row>
    <row r="203" customFormat="false" ht="15" hidden="false" customHeight="false" outlineLevel="0" collapsed="false">
      <c r="A203" s="13"/>
      <c r="B203" s="14"/>
      <c r="C203" s="15"/>
      <c r="D203" s="15"/>
      <c r="E203" s="15"/>
      <c r="F203" s="15"/>
      <c r="G203" s="15"/>
      <c r="H203" s="15"/>
      <c r="I203" s="15"/>
    </row>
    <row r="204" customFormat="false" ht="15" hidden="false" customHeight="false" outlineLevel="0" collapsed="false">
      <c r="A204" s="13"/>
      <c r="B204" s="14"/>
      <c r="C204" s="15"/>
      <c r="D204" s="15"/>
      <c r="E204" s="15"/>
      <c r="F204" s="15"/>
      <c r="G204" s="15"/>
      <c r="H204" s="15"/>
      <c r="I204" s="15"/>
    </row>
    <row r="205" customFormat="false" ht="15" hidden="false" customHeight="false" outlineLevel="0" collapsed="false">
      <c r="A205" s="13"/>
      <c r="B205" s="14"/>
      <c r="C205" s="15"/>
      <c r="D205" s="15"/>
      <c r="E205" s="15"/>
      <c r="F205" s="15"/>
      <c r="G205" s="15"/>
      <c r="H205" s="15"/>
      <c r="I205" s="15"/>
    </row>
    <row r="206" customFormat="false" ht="15" hidden="false" customHeight="false" outlineLevel="0" collapsed="false">
      <c r="A206" s="13"/>
      <c r="B206" s="14"/>
      <c r="C206" s="15"/>
      <c r="D206" s="15"/>
      <c r="E206" s="15"/>
      <c r="F206" s="15"/>
      <c r="G206" s="15"/>
      <c r="H206" s="15"/>
      <c r="I206" s="15"/>
    </row>
    <row r="207" customFormat="false" ht="15" hidden="false" customHeight="false" outlineLevel="0" collapsed="false">
      <c r="A207" s="13"/>
      <c r="B207" s="14"/>
      <c r="C207" s="15"/>
      <c r="D207" s="15"/>
      <c r="E207" s="15"/>
      <c r="F207" s="15"/>
      <c r="G207" s="15"/>
      <c r="H207" s="15"/>
      <c r="I207" s="15"/>
    </row>
    <row r="208" customFormat="false" ht="15" hidden="false" customHeight="false" outlineLevel="0" collapsed="false">
      <c r="A208" s="13"/>
      <c r="B208" s="14"/>
      <c r="C208" s="15"/>
      <c r="D208" s="15"/>
      <c r="E208" s="15"/>
      <c r="F208" s="15"/>
      <c r="G208" s="15"/>
      <c r="H208" s="15"/>
      <c r="I208" s="15"/>
    </row>
    <row r="209" customFormat="false" ht="15" hidden="false" customHeight="false" outlineLevel="0" collapsed="false">
      <c r="A209" s="13"/>
      <c r="B209" s="14"/>
      <c r="C209" s="15"/>
      <c r="D209" s="15"/>
      <c r="E209" s="15"/>
      <c r="F209" s="15"/>
      <c r="G209" s="15"/>
      <c r="H209" s="15"/>
      <c r="I209" s="15"/>
    </row>
    <row r="210" customFormat="false" ht="15" hidden="false" customHeight="false" outlineLevel="0" collapsed="false">
      <c r="A210" s="13"/>
      <c r="B210" s="14"/>
      <c r="C210" s="15"/>
      <c r="D210" s="15"/>
      <c r="E210" s="15"/>
      <c r="F210" s="15"/>
      <c r="G210" s="15"/>
      <c r="H210" s="15"/>
      <c r="I210" s="15"/>
    </row>
    <row r="211" customFormat="false" ht="15" hidden="false" customHeight="false" outlineLevel="0" collapsed="false">
      <c r="A211" s="13"/>
      <c r="B211" s="14"/>
      <c r="C211" s="15"/>
      <c r="D211" s="15"/>
      <c r="E211" s="15"/>
      <c r="F211" s="15"/>
      <c r="G211" s="15"/>
      <c r="H211" s="15"/>
      <c r="I211" s="15"/>
    </row>
    <row r="212" customFormat="false" ht="15" hidden="false" customHeight="false" outlineLevel="0" collapsed="false">
      <c r="A212" s="13"/>
      <c r="B212" s="14"/>
      <c r="C212" s="15"/>
      <c r="D212" s="15"/>
      <c r="E212" s="15"/>
      <c r="F212" s="15"/>
      <c r="G212" s="15"/>
      <c r="H212" s="15"/>
      <c r="I212" s="15"/>
    </row>
    <row r="213" customFormat="false" ht="15" hidden="false" customHeight="false" outlineLevel="0" collapsed="false">
      <c r="A213" s="13"/>
      <c r="B213" s="14"/>
      <c r="C213" s="15"/>
      <c r="D213" s="15"/>
      <c r="E213" s="15"/>
      <c r="F213" s="15"/>
      <c r="G213" s="15"/>
      <c r="H213" s="15"/>
      <c r="I213" s="15"/>
    </row>
    <row r="214" customFormat="false" ht="15" hidden="false" customHeight="false" outlineLevel="0" collapsed="false">
      <c r="A214" s="13"/>
      <c r="B214" s="14"/>
      <c r="C214" s="15"/>
      <c r="D214" s="15"/>
      <c r="E214" s="15"/>
      <c r="F214" s="15"/>
      <c r="G214" s="15"/>
      <c r="H214" s="15"/>
      <c r="I214" s="15"/>
    </row>
    <row r="215" customFormat="false" ht="15" hidden="false" customHeight="false" outlineLevel="0" collapsed="false">
      <c r="A215" s="13"/>
      <c r="B215" s="14"/>
      <c r="C215" s="15"/>
      <c r="D215" s="15"/>
      <c r="E215" s="15"/>
      <c r="F215" s="15"/>
      <c r="G215" s="15"/>
      <c r="H215" s="15"/>
      <c r="I215" s="15"/>
    </row>
    <row r="216" customFormat="false" ht="15" hidden="false" customHeight="false" outlineLevel="0" collapsed="false">
      <c r="A216" s="13"/>
      <c r="B216" s="14"/>
      <c r="C216" s="15"/>
      <c r="D216" s="15"/>
      <c r="E216" s="15"/>
      <c r="F216" s="15"/>
      <c r="G216" s="15"/>
      <c r="H216" s="15"/>
      <c r="I216" s="15"/>
    </row>
    <row r="217" customFormat="false" ht="15" hidden="false" customHeight="false" outlineLevel="0" collapsed="false">
      <c r="A217" s="13"/>
      <c r="B217" s="14"/>
      <c r="C217" s="15"/>
      <c r="D217" s="15"/>
      <c r="E217" s="15"/>
      <c r="F217" s="15"/>
      <c r="G217" s="15"/>
      <c r="H217" s="15"/>
      <c r="I217" s="15"/>
    </row>
    <row r="218" customFormat="false" ht="15" hidden="false" customHeight="false" outlineLevel="0" collapsed="false">
      <c r="A218" s="13"/>
      <c r="B218" s="14"/>
      <c r="C218" s="15"/>
      <c r="D218" s="15"/>
      <c r="E218" s="15"/>
      <c r="F218" s="15"/>
      <c r="G218" s="15"/>
      <c r="H218" s="15"/>
      <c r="I218" s="15"/>
    </row>
    <row r="219" customFormat="false" ht="15" hidden="false" customHeight="false" outlineLevel="0" collapsed="false">
      <c r="A219" s="13"/>
      <c r="B219" s="14"/>
      <c r="C219" s="15"/>
      <c r="D219" s="15"/>
      <c r="E219" s="15"/>
      <c r="F219" s="15"/>
      <c r="G219" s="15"/>
      <c r="H219" s="15"/>
      <c r="I219" s="15"/>
    </row>
    <row r="220" customFormat="false" ht="15" hidden="false" customHeight="false" outlineLevel="0" collapsed="false">
      <c r="A220" s="13"/>
      <c r="B220" s="14"/>
      <c r="C220" s="15"/>
      <c r="D220" s="15"/>
      <c r="E220" s="15"/>
      <c r="F220" s="15"/>
      <c r="G220" s="15"/>
      <c r="H220" s="15"/>
      <c r="I220" s="15"/>
    </row>
    <row r="221" customFormat="false" ht="15" hidden="false" customHeight="false" outlineLevel="0" collapsed="false">
      <c r="A221" s="13"/>
      <c r="B221" s="14"/>
      <c r="C221" s="15"/>
      <c r="D221" s="15"/>
      <c r="E221" s="15"/>
      <c r="F221" s="15"/>
      <c r="G221" s="15"/>
      <c r="H221" s="15"/>
      <c r="I221" s="15"/>
    </row>
    <row r="222" customFormat="false" ht="15" hidden="false" customHeight="false" outlineLevel="0" collapsed="false">
      <c r="A222" s="13"/>
      <c r="B222" s="14"/>
      <c r="C222" s="15"/>
      <c r="D222" s="15"/>
      <c r="E222" s="15"/>
      <c r="F222" s="15"/>
      <c r="G222" s="15"/>
      <c r="H222" s="15"/>
      <c r="I222" s="15"/>
    </row>
    <row r="223" customFormat="false" ht="15" hidden="false" customHeight="false" outlineLevel="0" collapsed="false">
      <c r="A223" s="13"/>
      <c r="B223" s="14"/>
      <c r="C223" s="15"/>
      <c r="D223" s="15"/>
      <c r="E223" s="15"/>
      <c r="F223" s="15"/>
      <c r="G223" s="15"/>
      <c r="H223" s="15"/>
      <c r="I223" s="15"/>
    </row>
    <row r="224" customFormat="false" ht="15" hidden="false" customHeight="false" outlineLevel="0" collapsed="false">
      <c r="A224" s="13"/>
      <c r="B224" s="14"/>
      <c r="C224" s="15"/>
      <c r="D224" s="15"/>
      <c r="E224" s="15"/>
      <c r="F224" s="15"/>
      <c r="G224" s="15"/>
      <c r="H224" s="15"/>
      <c r="I224" s="15"/>
    </row>
    <row r="225" customFormat="false" ht="15" hidden="false" customHeight="false" outlineLevel="0" collapsed="false">
      <c r="A225" s="13"/>
      <c r="B225" s="14"/>
      <c r="C225" s="15"/>
      <c r="D225" s="15"/>
      <c r="E225" s="15"/>
      <c r="F225" s="15"/>
      <c r="G225" s="15"/>
      <c r="H225" s="15"/>
      <c r="I225" s="15"/>
    </row>
    <row r="226" customFormat="false" ht="15" hidden="false" customHeight="false" outlineLevel="0" collapsed="false">
      <c r="A226" s="13"/>
      <c r="B226" s="14"/>
      <c r="C226" s="15"/>
      <c r="D226" s="15"/>
      <c r="E226" s="15"/>
      <c r="F226" s="15"/>
      <c r="G226" s="15"/>
      <c r="H226" s="15"/>
      <c r="I226" s="15"/>
    </row>
    <row r="227" customFormat="false" ht="15" hidden="false" customHeight="false" outlineLevel="0" collapsed="false">
      <c r="A227" s="13"/>
      <c r="B227" s="14"/>
      <c r="C227" s="15"/>
      <c r="D227" s="15"/>
      <c r="E227" s="15"/>
      <c r="F227" s="15"/>
      <c r="G227" s="15"/>
      <c r="H227" s="15"/>
      <c r="I227" s="15"/>
    </row>
    <row r="228" customFormat="false" ht="15" hidden="false" customHeight="false" outlineLevel="0" collapsed="false">
      <c r="A228" s="13"/>
      <c r="B228" s="14"/>
      <c r="C228" s="15"/>
      <c r="D228" s="15"/>
      <c r="E228" s="15"/>
      <c r="F228" s="15"/>
      <c r="G228" s="15"/>
      <c r="H228" s="15"/>
      <c r="I228" s="15"/>
    </row>
    <row r="229" customFormat="false" ht="15" hidden="false" customHeight="false" outlineLevel="0" collapsed="false">
      <c r="A229" s="13"/>
      <c r="B229" s="14"/>
      <c r="C229" s="15"/>
      <c r="D229" s="15"/>
      <c r="E229" s="15"/>
      <c r="F229" s="15"/>
      <c r="G229" s="15"/>
      <c r="H229" s="15"/>
      <c r="I229" s="15"/>
    </row>
    <row r="230" customFormat="false" ht="15" hidden="false" customHeight="false" outlineLevel="0" collapsed="false">
      <c r="A230" s="13"/>
      <c r="B230" s="14"/>
      <c r="C230" s="15"/>
      <c r="D230" s="15"/>
      <c r="E230" s="15"/>
      <c r="F230" s="15"/>
      <c r="G230" s="15"/>
      <c r="H230" s="15"/>
      <c r="I230" s="15"/>
    </row>
    <row r="231" customFormat="false" ht="15" hidden="false" customHeight="false" outlineLevel="0" collapsed="false">
      <c r="A231" s="13"/>
      <c r="B231" s="14"/>
      <c r="C231" s="15"/>
      <c r="D231" s="15"/>
      <c r="E231" s="15"/>
      <c r="F231" s="15"/>
      <c r="G231" s="15"/>
      <c r="H231" s="15"/>
      <c r="I231" s="15"/>
    </row>
    <row r="232" customFormat="false" ht="15" hidden="false" customHeight="false" outlineLevel="0" collapsed="false">
      <c r="A232" s="13"/>
      <c r="B232" s="14"/>
      <c r="C232" s="15"/>
      <c r="D232" s="15"/>
      <c r="E232" s="15"/>
      <c r="F232" s="15"/>
      <c r="G232" s="15"/>
      <c r="H232" s="15"/>
      <c r="I232" s="15"/>
    </row>
    <row r="233" customFormat="false" ht="15" hidden="false" customHeight="false" outlineLevel="0" collapsed="false">
      <c r="A233" s="13"/>
      <c r="B233" s="14"/>
      <c r="C233" s="15"/>
      <c r="D233" s="15"/>
      <c r="E233" s="15"/>
      <c r="F233" s="15"/>
      <c r="G233" s="15"/>
      <c r="H233" s="15"/>
      <c r="I233" s="15"/>
    </row>
    <row r="234" customFormat="false" ht="15" hidden="false" customHeight="false" outlineLevel="0" collapsed="false">
      <c r="A234" s="13"/>
      <c r="B234" s="14"/>
      <c r="C234" s="15"/>
      <c r="D234" s="15"/>
      <c r="E234" s="15"/>
      <c r="F234" s="15"/>
      <c r="G234" s="15"/>
      <c r="H234" s="15"/>
      <c r="I234" s="15"/>
    </row>
    <row r="235" customFormat="false" ht="15" hidden="false" customHeight="false" outlineLevel="0" collapsed="false">
      <c r="A235" s="13"/>
      <c r="B235" s="14"/>
      <c r="C235" s="15"/>
      <c r="D235" s="15"/>
      <c r="E235" s="15"/>
      <c r="F235" s="15"/>
      <c r="G235" s="15"/>
      <c r="H235" s="15"/>
      <c r="I235" s="15"/>
    </row>
    <row r="236" customFormat="false" ht="15" hidden="false" customHeight="false" outlineLevel="0" collapsed="false">
      <c r="A236" s="13"/>
      <c r="B236" s="14"/>
      <c r="C236" s="15"/>
      <c r="D236" s="15"/>
      <c r="E236" s="15"/>
      <c r="F236" s="15"/>
      <c r="G236" s="15"/>
      <c r="H236" s="15"/>
      <c r="I236" s="15"/>
    </row>
    <row r="237" customFormat="false" ht="15" hidden="false" customHeight="false" outlineLevel="0" collapsed="false">
      <c r="A237" s="13"/>
      <c r="B237" s="14"/>
      <c r="C237" s="15"/>
      <c r="D237" s="15"/>
      <c r="E237" s="15"/>
      <c r="F237" s="15"/>
      <c r="G237" s="15"/>
      <c r="H237" s="15"/>
      <c r="I237" s="15"/>
    </row>
    <row r="238" customFormat="false" ht="15" hidden="false" customHeight="false" outlineLevel="0" collapsed="false">
      <c r="A238" s="13"/>
      <c r="B238" s="14"/>
      <c r="C238" s="15"/>
      <c r="D238" s="15"/>
      <c r="E238" s="15"/>
      <c r="F238" s="15"/>
      <c r="G238" s="15"/>
      <c r="H238" s="15"/>
      <c r="I238" s="15"/>
    </row>
    <row r="239" customFormat="false" ht="15" hidden="false" customHeight="false" outlineLevel="0" collapsed="false">
      <c r="A239" s="13"/>
      <c r="B239" s="14"/>
      <c r="C239" s="15"/>
      <c r="D239" s="15"/>
      <c r="E239" s="15"/>
      <c r="F239" s="15"/>
      <c r="G239" s="15"/>
      <c r="H239" s="15"/>
      <c r="I239" s="15"/>
    </row>
    <row r="240" customFormat="false" ht="15" hidden="false" customHeight="false" outlineLevel="0" collapsed="false">
      <c r="A240" s="13"/>
      <c r="B240" s="14"/>
      <c r="C240" s="15"/>
      <c r="D240" s="15"/>
      <c r="E240" s="15"/>
      <c r="F240" s="15"/>
      <c r="G240" s="15"/>
      <c r="H240" s="15"/>
      <c r="I240" s="15"/>
    </row>
    <row r="241" customFormat="false" ht="15" hidden="false" customHeight="false" outlineLevel="0" collapsed="false">
      <c r="A241" s="13"/>
      <c r="B241" s="14"/>
      <c r="C241" s="15"/>
      <c r="D241" s="15"/>
      <c r="E241" s="15"/>
      <c r="F241" s="15"/>
      <c r="G241" s="15"/>
      <c r="H241" s="15"/>
      <c r="I241" s="15"/>
    </row>
    <row r="242" customFormat="false" ht="15" hidden="false" customHeight="false" outlineLevel="0" collapsed="false">
      <c r="A242" s="13"/>
      <c r="B242" s="14"/>
      <c r="C242" s="15"/>
      <c r="D242" s="15"/>
      <c r="E242" s="15"/>
      <c r="F242" s="15"/>
      <c r="G242" s="15"/>
      <c r="H242" s="15"/>
      <c r="I242" s="15"/>
    </row>
    <row r="243" customFormat="false" ht="15" hidden="false" customHeight="false" outlineLevel="0" collapsed="false">
      <c r="A243" s="13"/>
      <c r="B243" s="14"/>
      <c r="C243" s="15"/>
      <c r="D243" s="15"/>
      <c r="E243" s="15"/>
      <c r="F243" s="15"/>
      <c r="G243" s="15"/>
      <c r="H243" s="15"/>
      <c r="I243" s="15"/>
    </row>
    <row r="244" customFormat="false" ht="15" hidden="false" customHeight="false" outlineLevel="0" collapsed="false">
      <c r="A244" s="13"/>
      <c r="B244" s="14"/>
      <c r="C244" s="15"/>
      <c r="D244" s="15"/>
      <c r="E244" s="15"/>
      <c r="F244" s="15"/>
      <c r="G244" s="15"/>
      <c r="H244" s="15"/>
      <c r="I244" s="15"/>
    </row>
    <row r="245" customFormat="false" ht="15" hidden="false" customHeight="false" outlineLevel="0" collapsed="false">
      <c r="A245" s="13"/>
      <c r="B245" s="14"/>
      <c r="C245" s="15"/>
      <c r="D245" s="15"/>
      <c r="E245" s="15"/>
      <c r="F245" s="15"/>
      <c r="G245" s="15"/>
      <c r="H245" s="15"/>
      <c r="I245" s="15"/>
    </row>
    <row r="246" customFormat="false" ht="15" hidden="false" customHeight="false" outlineLevel="0" collapsed="false">
      <c r="A246" s="13"/>
      <c r="B246" s="14"/>
      <c r="C246" s="15"/>
      <c r="D246" s="15"/>
      <c r="E246" s="15"/>
      <c r="F246" s="15"/>
      <c r="G246" s="15"/>
      <c r="H246" s="15"/>
      <c r="I246" s="15"/>
    </row>
    <row r="247" customFormat="false" ht="15" hidden="false" customHeight="false" outlineLevel="0" collapsed="false">
      <c r="A247" s="13"/>
      <c r="B247" s="14"/>
      <c r="C247" s="15"/>
      <c r="D247" s="15"/>
      <c r="E247" s="15"/>
      <c r="F247" s="15"/>
      <c r="G247" s="15"/>
      <c r="H247" s="15"/>
      <c r="I247" s="15"/>
    </row>
    <row r="248" customFormat="false" ht="15" hidden="false" customHeight="false" outlineLevel="0" collapsed="false">
      <c r="A248" s="13"/>
      <c r="B248" s="14"/>
      <c r="C248" s="15"/>
      <c r="D248" s="15"/>
      <c r="E248" s="15"/>
      <c r="F248" s="15"/>
      <c r="G248" s="15"/>
      <c r="H248" s="15"/>
      <c r="I248" s="15"/>
    </row>
    <row r="249" customFormat="false" ht="15" hidden="false" customHeight="false" outlineLevel="0" collapsed="false">
      <c r="A249" s="13"/>
      <c r="B249" s="14"/>
      <c r="C249" s="15"/>
      <c r="D249" s="15"/>
      <c r="E249" s="15"/>
      <c r="F249" s="15"/>
      <c r="G249" s="15"/>
      <c r="H249" s="15"/>
      <c r="I249" s="15"/>
    </row>
    <row r="250" customFormat="false" ht="15" hidden="false" customHeight="false" outlineLevel="0" collapsed="false">
      <c r="A250" s="13"/>
      <c r="B250" s="14"/>
      <c r="C250" s="15"/>
      <c r="D250" s="15"/>
      <c r="E250" s="15"/>
      <c r="F250" s="15"/>
      <c r="G250" s="15"/>
      <c r="H250" s="15"/>
      <c r="I250" s="15"/>
    </row>
    <row r="251" customFormat="false" ht="15" hidden="false" customHeight="false" outlineLevel="0" collapsed="false">
      <c r="A251" s="13"/>
      <c r="B251" s="14"/>
      <c r="C251" s="15"/>
      <c r="D251" s="15"/>
      <c r="E251" s="15"/>
      <c r="F251" s="15"/>
      <c r="G251" s="15"/>
      <c r="H251" s="15"/>
      <c r="I251" s="15"/>
    </row>
    <row r="252" customFormat="false" ht="15" hidden="false" customHeight="false" outlineLevel="0" collapsed="false">
      <c r="A252" s="13"/>
      <c r="B252" s="14"/>
      <c r="C252" s="15"/>
      <c r="D252" s="15"/>
      <c r="E252" s="15"/>
      <c r="F252" s="15"/>
      <c r="G252" s="15"/>
      <c r="H252" s="15"/>
      <c r="I252" s="15"/>
    </row>
    <row r="253" customFormat="false" ht="15" hidden="false" customHeight="false" outlineLevel="0" collapsed="false">
      <c r="A253" s="13"/>
      <c r="B253" s="14"/>
      <c r="C253" s="15"/>
      <c r="D253" s="15"/>
      <c r="E253" s="15"/>
      <c r="F253" s="15"/>
      <c r="G253" s="15"/>
      <c r="H253" s="15"/>
      <c r="I253" s="15"/>
    </row>
    <row r="254" customFormat="false" ht="15" hidden="false" customHeight="false" outlineLevel="0" collapsed="false">
      <c r="A254" s="13"/>
      <c r="B254" s="14"/>
      <c r="C254" s="15"/>
      <c r="D254" s="15"/>
      <c r="E254" s="15"/>
      <c r="F254" s="15"/>
      <c r="G254" s="15"/>
      <c r="H254" s="15"/>
      <c r="I254" s="15"/>
    </row>
    <row r="255" customFormat="false" ht="15" hidden="false" customHeight="false" outlineLevel="0" collapsed="false">
      <c r="A255" s="13"/>
      <c r="B255" s="14"/>
      <c r="C255" s="15"/>
      <c r="D255" s="15"/>
      <c r="E255" s="15"/>
      <c r="F255" s="15"/>
      <c r="G255" s="15"/>
      <c r="H255" s="15"/>
      <c r="I255" s="15"/>
    </row>
    <row r="256" customFormat="false" ht="15" hidden="false" customHeight="false" outlineLevel="0" collapsed="false">
      <c r="A256" s="13"/>
      <c r="B256" s="14"/>
      <c r="C256" s="15"/>
      <c r="D256" s="15"/>
      <c r="E256" s="15"/>
      <c r="F256" s="15"/>
      <c r="G256" s="15"/>
      <c r="H256" s="15"/>
      <c r="I256" s="15"/>
    </row>
    <row r="257" customFormat="false" ht="15" hidden="false" customHeight="false" outlineLevel="0" collapsed="false">
      <c r="A257" s="13"/>
      <c r="B257" s="14"/>
      <c r="C257" s="15"/>
      <c r="D257" s="15"/>
      <c r="E257" s="15"/>
      <c r="F257" s="15"/>
      <c r="G257" s="15"/>
      <c r="H257" s="15"/>
      <c r="I257" s="15"/>
    </row>
    <row r="258" customFormat="false" ht="15" hidden="false" customHeight="false" outlineLevel="0" collapsed="false">
      <c r="A258" s="13"/>
      <c r="B258" s="14"/>
      <c r="C258" s="15"/>
      <c r="D258" s="15"/>
      <c r="E258" s="15"/>
      <c r="F258" s="15"/>
      <c r="G258" s="15"/>
      <c r="H258" s="15"/>
      <c r="I258" s="15"/>
    </row>
    <row r="259" customFormat="false" ht="15" hidden="false" customHeight="false" outlineLevel="0" collapsed="false">
      <c r="A259" s="13"/>
      <c r="B259" s="14"/>
      <c r="C259" s="15"/>
      <c r="D259" s="15"/>
      <c r="E259" s="15"/>
      <c r="F259" s="15"/>
      <c r="G259" s="15"/>
      <c r="H259" s="15"/>
      <c r="I259" s="15"/>
    </row>
    <row r="260" customFormat="false" ht="15" hidden="false" customHeight="false" outlineLevel="0" collapsed="false">
      <c r="A260" s="13"/>
      <c r="B260" s="14"/>
      <c r="C260" s="15"/>
      <c r="D260" s="15"/>
      <c r="E260" s="15"/>
      <c r="F260" s="15"/>
      <c r="G260" s="15"/>
      <c r="H260" s="15"/>
      <c r="I260" s="15"/>
    </row>
    <row r="261" customFormat="false" ht="15" hidden="false" customHeight="false" outlineLevel="0" collapsed="false">
      <c r="A261" s="13"/>
      <c r="B261" s="14"/>
      <c r="C261" s="15"/>
      <c r="D261" s="15"/>
      <c r="E261" s="15"/>
      <c r="F261" s="15"/>
      <c r="G261" s="15"/>
      <c r="H261" s="15"/>
      <c r="I261" s="15"/>
    </row>
    <row r="262" customFormat="false" ht="15" hidden="false" customHeight="false" outlineLevel="0" collapsed="false">
      <c r="A262" s="13"/>
      <c r="B262" s="14"/>
      <c r="C262" s="15"/>
      <c r="D262" s="15"/>
      <c r="E262" s="15"/>
      <c r="F262" s="15"/>
      <c r="G262" s="15"/>
      <c r="H262" s="15"/>
      <c r="I262" s="15"/>
    </row>
    <row r="263" customFormat="false" ht="15" hidden="false" customHeight="false" outlineLevel="0" collapsed="false">
      <c r="A263" s="13"/>
      <c r="B263" s="14"/>
      <c r="C263" s="15"/>
      <c r="D263" s="15"/>
      <c r="E263" s="15"/>
      <c r="F263" s="15"/>
      <c r="G263" s="15"/>
      <c r="H263" s="15"/>
      <c r="I263" s="15"/>
    </row>
    <row r="264" customFormat="false" ht="15" hidden="false" customHeight="false" outlineLevel="0" collapsed="false">
      <c r="A264" s="13"/>
      <c r="B264" s="14"/>
      <c r="C264" s="15"/>
      <c r="D264" s="15"/>
      <c r="E264" s="15"/>
      <c r="F264" s="15"/>
      <c r="G264" s="15"/>
      <c r="H264" s="15"/>
      <c r="I264" s="15"/>
    </row>
    <row r="265" customFormat="false" ht="15" hidden="false" customHeight="false" outlineLevel="0" collapsed="false">
      <c r="A265" s="13"/>
      <c r="B265" s="14"/>
      <c r="C265" s="15"/>
      <c r="D265" s="15"/>
      <c r="E265" s="15"/>
      <c r="F265" s="15"/>
      <c r="G265" s="15"/>
      <c r="H265" s="15"/>
      <c r="I265" s="15"/>
    </row>
    <row r="266" customFormat="false" ht="15" hidden="false" customHeight="false" outlineLevel="0" collapsed="false">
      <c r="A266" s="13"/>
      <c r="B266" s="14"/>
      <c r="C266" s="15"/>
      <c r="D266" s="15"/>
      <c r="E266" s="15"/>
      <c r="F266" s="15"/>
      <c r="G266" s="15"/>
      <c r="H266" s="15"/>
      <c r="I266" s="15"/>
    </row>
    <row r="267" customFormat="false" ht="15" hidden="false" customHeight="false" outlineLevel="0" collapsed="false">
      <c r="A267" s="13"/>
      <c r="B267" s="14"/>
      <c r="C267" s="15"/>
      <c r="D267" s="15"/>
      <c r="E267" s="15"/>
      <c r="F267" s="15"/>
      <c r="G267" s="15"/>
      <c r="H267" s="15"/>
      <c r="I267" s="15"/>
    </row>
    <row r="268" customFormat="false" ht="15" hidden="false" customHeight="false" outlineLevel="0" collapsed="false">
      <c r="A268" s="13"/>
      <c r="B268" s="14"/>
      <c r="C268" s="15"/>
      <c r="D268" s="15"/>
      <c r="E268" s="15"/>
      <c r="F268" s="15"/>
      <c r="G268" s="15"/>
      <c r="H268" s="15"/>
      <c r="I268" s="15"/>
    </row>
    <row r="269" customFormat="false" ht="15" hidden="false" customHeight="false" outlineLevel="0" collapsed="false">
      <c r="A269" s="13"/>
      <c r="B269" s="14"/>
      <c r="C269" s="15"/>
      <c r="D269" s="15"/>
      <c r="E269" s="15"/>
      <c r="F269" s="15"/>
      <c r="G269" s="15"/>
      <c r="H269" s="15"/>
      <c r="I269" s="15"/>
    </row>
    <row r="270" customFormat="false" ht="15" hidden="false" customHeight="false" outlineLevel="0" collapsed="false">
      <c r="A270" s="13"/>
      <c r="B270" s="14"/>
      <c r="C270" s="15"/>
      <c r="D270" s="15"/>
      <c r="E270" s="15"/>
      <c r="F270" s="15"/>
      <c r="G270" s="15"/>
      <c r="H270" s="15"/>
      <c r="I270" s="15"/>
    </row>
    <row r="271" customFormat="false" ht="15" hidden="false" customHeight="false" outlineLevel="0" collapsed="false">
      <c r="A271" s="13"/>
      <c r="B271" s="14"/>
      <c r="C271" s="15"/>
      <c r="D271" s="15"/>
      <c r="E271" s="15"/>
      <c r="F271" s="15"/>
      <c r="G271" s="15"/>
      <c r="H271" s="15"/>
      <c r="I271" s="15"/>
    </row>
    <row r="272" customFormat="false" ht="15" hidden="false" customHeight="false" outlineLevel="0" collapsed="false">
      <c r="A272" s="13"/>
      <c r="B272" s="14"/>
      <c r="C272" s="15"/>
      <c r="D272" s="15"/>
      <c r="E272" s="15"/>
      <c r="F272" s="15"/>
      <c r="G272" s="15"/>
      <c r="H272" s="15"/>
      <c r="I272" s="15"/>
    </row>
    <row r="273" customFormat="false" ht="15" hidden="false" customHeight="false" outlineLevel="0" collapsed="false">
      <c r="A273" s="13"/>
      <c r="B273" s="14"/>
      <c r="C273" s="15"/>
      <c r="D273" s="15"/>
      <c r="E273" s="15"/>
      <c r="F273" s="15"/>
      <c r="G273" s="15"/>
      <c r="H273" s="15"/>
      <c r="I273" s="15"/>
    </row>
    <row r="274" customFormat="false" ht="15" hidden="false" customHeight="false" outlineLevel="0" collapsed="false">
      <c r="A274" s="13"/>
      <c r="B274" s="14"/>
      <c r="C274" s="15"/>
      <c r="D274" s="15"/>
      <c r="E274" s="15"/>
      <c r="F274" s="15"/>
      <c r="G274" s="15"/>
      <c r="H274" s="15"/>
      <c r="I274" s="15"/>
    </row>
    <row r="275" customFormat="false" ht="15" hidden="false" customHeight="false" outlineLevel="0" collapsed="false">
      <c r="A275" s="13"/>
      <c r="B275" s="14"/>
      <c r="C275" s="15"/>
      <c r="D275" s="15"/>
      <c r="E275" s="15"/>
      <c r="F275" s="15"/>
      <c r="G275" s="15"/>
      <c r="H275" s="15"/>
      <c r="I275" s="15"/>
    </row>
    <row r="276" customFormat="false" ht="15" hidden="false" customHeight="false" outlineLevel="0" collapsed="false">
      <c r="A276" s="13"/>
      <c r="B276" s="14"/>
      <c r="C276" s="15"/>
      <c r="D276" s="15"/>
      <c r="E276" s="15"/>
      <c r="F276" s="15"/>
      <c r="G276" s="15"/>
      <c r="H276" s="15"/>
      <c r="I276" s="15"/>
    </row>
    <row r="277" customFormat="false" ht="15" hidden="false" customHeight="false" outlineLevel="0" collapsed="false">
      <c r="A277" s="13"/>
      <c r="B277" s="14"/>
      <c r="C277" s="15"/>
      <c r="D277" s="15"/>
      <c r="E277" s="15"/>
      <c r="F277" s="15"/>
      <c r="G277" s="15"/>
      <c r="H277" s="15"/>
      <c r="I277" s="15"/>
    </row>
    <row r="278" customFormat="false" ht="15" hidden="false" customHeight="false" outlineLevel="0" collapsed="false">
      <c r="A278" s="13"/>
      <c r="B278" s="14"/>
      <c r="C278" s="15"/>
      <c r="D278" s="15"/>
      <c r="E278" s="15"/>
      <c r="F278" s="15"/>
      <c r="G278" s="15"/>
      <c r="H278" s="15"/>
      <c r="I278" s="15"/>
    </row>
    <row r="279" customFormat="false" ht="15" hidden="false" customHeight="false" outlineLevel="0" collapsed="false">
      <c r="A279" s="13"/>
      <c r="B279" s="14"/>
      <c r="C279" s="15"/>
      <c r="D279" s="15"/>
      <c r="E279" s="15"/>
      <c r="F279" s="15"/>
      <c r="G279" s="15"/>
      <c r="H279" s="15"/>
      <c r="I279" s="15"/>
    </row>
    <row r="280" customFormat="false" ht="15" hidden="false" customHeight="false" outlineLevel="0" collapsed="false">
      <c r="A280" s="13"/>
      <c r="B280" s="14"/>
      <c r="C280" s="15"/>
      <c r="D280" s="15"/>
      <c r="E280" s="15"/>
      <c r="F280" s="15"/>
      <c r="G280" s="15"/>
      <c r="H280" s="15"/>
      <c r="I280" s="15"/>
    </row>
    <row r="281" customFormat="false" ht="15" hidden="false" customHeight="false" outlineLevel="0" collapsed="false">
      <c r="A281" s="13"/>
      <c r="B281" s="14"/>
      <c r="C281" s="15"/>
      <c r="D281" s="15"/>
      <c r="E281" s="15"/>
      <c r="F281" s="15"/>
      <c r="G281" s="15"/>
      <c r="H281" s="15"/>
      <c r="I281" s="15"/>
    </row>
    <row r="282" customFormat="false" ht="15" hidden="false" customHeight="false" outlineLevel="0" collapsed="false">
      <c r="A282" s="13"/>
      <c r="B282" s="14"/>
      <c r="C282" s="15"/>
      <c r="D282" s="15"/>
      <c r="E282" s="15"/>
      <c r="F282" s="15"/>
      <c r="G282" s="15"/>
      <c r="H282" s="15"/>
      <c r="I282" s="15"/>
    </row>
    <row r="283" customFormat="false" ht="15" hidden="false" customHeight="false" outlineLevel="0" collapsed="false">
      <c r="A283" s="13"/>
      <c r="B283" s="14"/>
      <c r="C283" s="15"/>
      <c r="D283" s="15"/>
      <c r="E283" s="15"/>
      <c r="F283" s="15"/>
      <c r="G283" s="15"/>
      <c r="H283" s="15"/>
      <c r="I283" s="15"/>
    </row>
    <row r="284" customFormat="false" ht="15" hidden="false" customHeight="false" outlineLevel="0" collapsed="false">
      <c r="A284" s="13"/>
      <c r="B284" s="14"/>
      <c r="C284" s="15"/>
      <c r="D284" s="15"/>
      <c r="E284" s="15"/>
      <c r="F284" s="15"/>
      <c r="G284" s="15"/>
      <c r="H284" s="15"/>
      <c r="I284" s="15"/>
    </row>
    <row r="285" customFormat="false" ht="15" hidden="false" customHeight="false" outlineLevel="0" collapsed="false">
      <c r="A285" s="13"/>
      <c r="B285" s="14"/>
      <c r="C285" s="15"/>
      <c r="D285" s="15"/>
      <c r="E285" s="15"/>
      <c r="F285" s="15"/>
      <c r="G285" s="15"/>
      <c r="H285" s="15"/>
      <c r="I285" s="15"/>
    </row>
    <row r="286" customFormat="false" ht="15" hidden="false" customHeight="false" outlineLevel="0" collapsed="false">
      <c r="A286" s="13"/>
      <c r="B286" s="14"/>
      <c r="C286" s="15"/>
      <c r="D286" s="15"/>
      <c r="E286" s="15"/>
      <c r="F286" s="15"/>
      <c r="G286" s="15"/>
      <c r="H286" s="15"/>
      <c r="I286" s="15"/>
    </row>
    <row r="287" customFormat="false" ht="15" hidden="false" customHeight="false" outlineLevel="0" collapsed="false">
      <c r="A287" s="13"/>
      <c r="B287" s="14"/>
      <c r="C287" s="15"/>
      <c r="D287" s="15"/>
      <c r="E287" s="15"/>
      <c r="F287" s="15"/>
      <c r="G287" s="15"/>
      <c r="H287" s="15"/>
      <c r="I287" s="15"/>
    </row>
    <row r="288" customFormat="false" ht="15" hidden="false" customHeight="false" outlineLevel="0" collapsed="false">
      <c r="A288" s="13"/>
      <c r="B288" s="14"/>
      <c r="C288" s="15"/>
      <c r="D288" s="15"/>
      <c r="E288" s="15"/>
      <c r="F288" s="15"/>
      <c r="G288" s="15"/>
      <c r="H288" s="15"/>
      <c r="I288" s="15"/>
    </row>
    <row r="289" customFormat="false" ht="15" hidden="false" customHeight="false" outlineLevel="0" collapsed="false">
      <c r="A289" s="13"/>
      <c r="B289" s="14"/>
      <c r="C289" s="15"/>
      <c r="D289" s="15"/>
      <c r="E289" s="15"/>
      <c r="F289" s="15"/>
      <c r="G289" s="15"/>
      <c r="H289" s="15"/>
      <c r="I289" s="15"/>
    </row>
    <row r="290" customFormat="false" ht="15" hidden="false" customHeight="false" outlineLevel="0" collapsed="false">
      <c r="A290" s="13"/>
      <c r="B290" s="14"/>
      <c r="C290" s="15"/>
      <c r="D290" s="15"/>
      <c r="E290" s="15"/>
      <c r="F290" s="15"/>
      <c r="G290" s="15"/>
      <c r="H290" s="15"/>
      <c r="I290" s="15"/>
    </row>
    <row r="291" customFormat="false" ht="15" hidden="false" customHeight="false" outlineLevel="0" collapsed="false">
      <c r="A291" s="13"/>
      <c r="B291" s="14"/>
      <c r="C291" s="15"/>
      <c r="D291" s="15"/>
      <c r="E291" s="15"/>
      <c r="F291" s="15"/>
      <c r="G291" s="15"/>
      <c r="H291" s="15"/>
      <c r="I291" s="15"/>
    </row>
    <row r="292" customFormat="false" ht="15" hidden="false" customHeight="false" outlineLevel="0" collapsed="false">
      <c r="A292" s="13"/>
      <c r="B292" s="14"/>
      <c r="C292" s="15"/>
      <c r="D292" s="15"/>
      <c r="E292" s="15"/>
      <c r="F292" s="15"/>
      <c r="G292" s="15"/>
      <c r="H292" s="15"/>
      <c r="I292" s="15"/>
    </row>
    <row r="293" customFormat="false" ht="15" hidden="false" customHeight="false" outlineLevel="0" collapsed="false">
      <c r="A293" s="13"/>
      <c r="B293" s="14"/>
      <c r="C293" s="15"/>
      <c r="D293" s="15"/>
      <c r="E293" s="15"/>
      <c r="F293" s="15"/>
      <c r="G293" s="15"/>
      <c r="H293" s="15"/>
      <c r="I293" s="15"/>
    </row>
    <row r="294" customFormat="false" ht="15" hidden="false" customHeight="false" outlineLevel="0" collapsed="false">
      <c r="A294" s="13"/>
      <c r="B294" s="14"/>
      <c r="C294" s="15"/>
      <c r="D294" s="15"/>
      <c r="E294" s="15"/>
      <c r="F294" s="15"/>
      <c r="G294" s="15"/>
      <c r="H294" s="15"/>
      <c r="I294" s="15"/>
    </row>
    <row r="295" customFormat="false" ht="15" hidden="false" customHeight="false" outlineLevel="0" collapsed="false">
      <c r="A295" s="13"/>
      <c r="B295" s="14"/>
      <c r="C295" s="15"/>
      <c r="D295" s="15"/>
      <c r="E295" s="15"/>
      <c r="F295" s="15"/>
      <c r="G295" s="15"/>
      <c r="H295" s="15"/>
      <c r="I295" s="15"/>
    </row>
    <row r="296" customFormat="false" ht="15" hidden="false" customHeight="false" outlineLevel="0" collapsed="false">
      <c r="A296" s="13"/>
      <c r="B296" s="14"/>
      <c r="C296" s="15"/>
      <c r="D296" s="15"/>
      <c r="E296" s="15"/>
      <c r="F296" s="15"/>
      <c r="G296" s="15"/>
      <c r="H296" s="15"/>
      <c r="I296" s="15"/>
    </row>
    <row r="297" customFormat="false" ht="15" hidden="false" customHeight="false" outlineLevel="0" collapsed="false">
      <c r="A297" s="13"/>
      <c r="B297" s="14"/>
      <c r="C297" s="15"/>
      <c r="D297" s="15"/>
      <c r="E297" s="15"/>
      <c r="F297" s="15"/>
      <c r="G297" s="15"/>
      <c r="H297" s="15"/>
      <c r="I297" s="15"/>
    </row>
    <row r="298" customFormat="false" ht="15" hidden="false" customHeight="false" outlineLevel="0" collapsed="false">
      <c r="A298" s="13"/>
      <c r="B298" s="14"/>
      <c r="C298" s="15"/>
      <c r="D298" s="15"/>
      <c r="E298" s="15"/>
      <c r="F298" s="15"/>
      <c r="G298" s="15"/>
      <c r="H298" s="15"/>
      <c r="I298" s="15"/>
    </row>
    <row r="299" customFormat="false" ht="15" hidden="false" customHeight="false" outlineLevel="0" collapsed="false">
      <c r="A299" s="13"/>
      <c r="B299" s="14"/>
      <c r="C299" s="15"/>
      <c r="D299" s="15"/>
      <c r="E299" s="15"/>
      <c r="F299" s="15"/>
      <c r="G299" s="15"/>
      <c r="H299" s="15"/>
      <c r="I299" s="15"/>
    </row>
    <row r="300" customFormat="false" ht="15" hidden="false" customHeight="false" outlineLevel="0" collapsed="false">
      <c r="A300" s="13"/>
      <c r="B300" s="14"/>
      <c r="C300" s="15"/>
      <c r="D300" s="15"/>
      <c r="E300" s="15"/>
      <c r="F300" s="15"/>
      <c r="G300" s="15"/>
      <c r="H300" s="15"/>
      <c r="I300" s="15"/>
    </row>
    <row r="301" customFormat="false" ht="15" hidden="false" customHeight="false" outlineLevel="0" collapsed="false">
      <c r="A301" s="13"/>
      <c r="B301" s="14"/>
      <c r="C301" s="15"/>
      <c r="D301" s="15"/>
      <c r="E301" s="15"/>
      <c r="F301" s="15"/>
      <c r="G301" s="15"/>
      <c r="H301" s="15"/>
      <c r="I301" s="15"/>
    </row>
    <row r="302" customFormat="false" ht="15" hidden="false" customHeight="false" outlineLevel="0" collapsed="false">
      <c r="A302" s="13"/>
      <c r="B302" s="14"/>
      <c r="C302" s="15"/>
      <c r="D302" s="15"/>
      <c r="E302" s="15"/>
      <c r="F302" s="15"/>
      <c r="G302" s="15"/>
      <c r="H302" s="15"/>
      <c r="I302" s="15"/>
    </row>
    <row r="303" customFormat="false" ht="15" hidden="false" customHeight="false" outlineLevel="0" collapsed="false">
      <c r="A303" s="13"/>
      <c r="B303" s="14"/>
      <c r="C303" s="15"/>
      <c r="D303" s="15"/>
      <c r="E303" s="15"/>
      <c r="F303" s="15"/>
      <c r="G303" s="15"/>
      <c r="H303" s="15"/>
      <c r="I303" s="15"/>
    </row>
    <row r="304" customFormat="false" ht="15" hidden="false" customHeight="false" outlineLevel="0" collapsed="false">
      <c r="A304" s="13"/>
      <c r="B304" s="14"/>
      <c r="C304" s="15"/>
      <c r="D304" s="15"/>
      <c r="E304" s="15"/>
      <c r="F304" s="15"/>
      <c r="G304" s="15"/>
      <c r="H304" s="15"/>
      <c r="I304" s="15"/>
    </row>
    <row r="305" customFormat="false" ht="15" hidden="false" customHeight="false" outlineLevel="0" collapsed="false">
      <c r="A305" s="13"/>
      <c r="B305" s="14"/>
      <c r="C305" s="15"/>
      <c r="D305" s="15"/>
      <c r="E305" s="15"/>
      <c r="F305" s="15"/>
      <c r="G305" s="15"/>
      <c r="H305" s="15"/>
      <c r="I305" s="15"/>
    </row>
    <row r="306" customFormat="false" ht="15" hidden="false" customHeight="false" outlineLevel="0" collapsed="false">
      <c r="A306" s="13"/>
      <c r="B306" s="14"/>
      <c r="C306" s="15"/>
      <c r="D306" s="15"/>
      <c r="E306" s="15"/>
      <c r="F306" s="15"/>
      <c r="G306" s="15"/>
      <c r="H306" s="15"/>
      <c r="I306" s="15"/>
    </row>
    <row r="307" customFormat="false" ht="15" hidden="false" customHeight="false" outlineLevel="0" collapsed="false">
      <c r="A307" s="13"/>
      <c r="B307" s="14"/>
      <c r="C307" s="15"/>
      <c r="D307" s="15"/>
      <c r="E307" s="15"/>
      <c r="F307" s="15"/>
      <c r="G307" s="15"/>
      <c r="H307" s="15"/>
      <c r="I307" s="15"/>
    </row>
    <row r="308" customFormat="false" ht="15" hidden="false" customHeight="false" outlineLevel="0" collapsed="false">
      <c r="A308" s="13"/>
      <c r="B308" s="14"/>
      <c r="C308" s="15"/>
      <c r="D308" s="15"/>
      <c r="E308" s="15"/>
      <c r="F308" s="15"/>
      <c r="G308" s="15"/>
      <c r="H308" s="15"/>
      <c r="I308" s="15"/>
    </row>
    <row r="309" customFormat="false" ht="15" hidden="false" customHeight="false" outlineLevel="0" collapsed="false">
      <c r="A309" s="13"/>
      <c r="B309" s="14"/>
      <c r="C309" s="15"/>
      <c r="D309" s="15"/>
      <c r="E309" s="15"/>
      <c r="F309" s="15"/>
      <c r="G309" s="15"/>
      <c r="H309" s="15"/>
      <c r="I309" s="15"/>
    </row>
    <row r="310" customFormat="false" ht="15" hidden="false" customHeight="false" outlineLevel="0" collapsed="false">
      <c r="A310" s="13"/>
      <c r="B310" s="14"/>
      <c r="C310" s="15"/>
      <c r="D310" s="15"/>
      <c r="E310" s="15"/>
      <c r="F310" s="15"/>
      <c r="G310" s="15"/>
      <c r="H310" s="15"/>
      <c r="I310" s="15"/>
    </row>
    <row r="311" customFormat="false" ht="15" hidden="false" customHeight="false" outlineLevel="0" collapsed="false">
      <c r="A311" s="13"/>
      <c r="B311" s="14"/>
      <c r="C311" s="15"/>
      <c r="D311" s="15"/>
      <c r="E311" s="15"/>
      <c r="F311" s="15"/>
      <c r="G311" s="15"/>
      <c r="H311" s="15"/>
      <c r="I311" s="15"/>
    </row>
    <row r="312" customFormat="false" ht="15" hidden="false" customHeight="false" outlineLevel="0" collapsed="false">
      <c r="A312" s="13"/>
      <c r="B312" s="14"/>
      <c r="C312" s="15"/>
      <c r="D312" s="15"/>
      <c r="E312" s="15"/>
      <c r="F312" s="15"/>
      <c r="G312" s="15"/>
      <c r="H312" s="15"/>
      <c r="I312" s="15"/>
    </row>
    <row r="313" customFormat="false" ht="15" hidden="false" customHeight="false" outlineLevel="0" collapsed="false">
      <c r="A313" s="13"/>
      <c r="B313" s="14"/>
      <c r="C313" s="15"/>
      <c r="D313" s="15"/>
      <c r="E313" s="15"/>
      <c r="F313" s="15"/>
      <c r="G313" s="15"/>
      <c r="H313" s="15"/>
      <c r="I313" s="15"/>
    </row>
    <row r="314" customFormat="false" ht="15" hidden="false" customHeight="false" outlineLevel="0" collapsed="false">
      <c r="A314" s="13"/>
      <c r="B314" s="14"/>
      <c r="C314" s="15"/>
      <c r="D314" s="15"/>
      <c r="E314" s="15"/>
      <c r="F314" s="15"/>
      <c r="G314" s="15"/>
      <c r="H314" s="15"/>
      <c r="I314" s="15"/>
    </row>
    <row r="315" customFormat="false" ht="15" hidden="false" customHeight="false" outlineLevel="0" collapsed="false">
      <c r="A315" s="13"/>
      <c r="B315" s="14"/>
      <c r="C315" s="15"/>
      <c r="D315" s="15"/>
      <c r="E315" s="15"/>
      <c r="F315" s="15"/>
      <c r="G315" s="15"/>
      <c r="H315" s="15"/>
      <c r="I315" s="15"/>
    </row>
    <row r="316" customFormat="false" ht="15" hidden="false" customHeight="false" outlineLevel="0" collapsed="false">
      <c r="A316" s="13"/>
      <c r="B316" s="14"/>
      <c r="C316" s="15"/>
      <c r="D316" s="15"/>
      <c r="E316" s="15"/>
      <c r="F316" s="15"/>
      <c r="G316" s="15"/>
      <c r="H316" s="15"/>
      <c r="I316" s="15"/>
    </row>
    <row r="317" customFormat="false" ht="15" hidden="false" customHeight="false" outlineLevel="0" collapsed="false">
      <c r="A317" s="13"/>
      <c r="B317" s="14"/>
      <c r="C317" s="15"/>
      <c r="D317" s="15"/>
      <c r="E317" s="15"/>
      <c r="F317" s="15"/>
      <c r="G317" s="15"/>
      <c r="H317" s="15"/>
      <c r="I317" s="15"/>
    </row>
    <row r="318" customFormat="false" ht="15" hidden="false" customHeight="false" outlineLevel="0" collapsed="false">
      <c r="A318" s="13"/>
      <c r="B318" s="14"/>
      <c r="C318" s="15"/>
      <c r="D318" s="15"/>
      <c r="E318" s="15"/>
      <c r="F318" s="15"/>
      <c r="G318" s="15"/>
      <c r="H318" s="15"/>
      <c r="I318" s="15"/>
    </row>
    <row r="319" customFormat="false" ht="15" hidden="false" customHeight="false" outlineLevel="0" collapsed="false">
      <c r="A319" s="13"/>
      <c r="B319" s="14"/>
      <c r="C319" s="15"/>
      <c r="D319" s="15"/>
      <c r="E319" s="15"/>
      <c r="F319" s="15"/>
      <c r="G319" s="15"/>
      <c r="H319" s="15"/>
      <c r="I319" s="15"/>
    </row>
    <row r="320" customFormat="false" ht="15" hidden="false" customHeight="false" outlineLevel="0" collapsed="false">
      <c r="A320" s="13"/>
      <c r="B320" s="14"/>
      <c r="C320" s="15"/>
      <c r="D320" s="15"/>
      <c r="E320" s="15"/>
      <c r="F320" s="15"/>
      <c r="G320" s="15"/>
      <c r="H320" s="15"/>
      <c r="I320" s="15"/>
    </row>
    <row r="321" customFormat="false" ht="15" hidden="false" customHeight="false" outlineLevel="0" collapsed="false">
      <c r="A321" s="13"/>
      <c r="B321" s="14"/>
      <c r="C321" s="15"/>
      <c r="D321" s="15"/>
      <c r="E321" s="15"/>
      <c r="F321" s="15"/>
      <c r="G321" s="15"/>
      <c r="H321" s="15"/>
      <c r="I321" s="15"/>
    </row>
    <row r="322" customFormat="false" ht="15" hidden="false" customHeight="false" outlineLevel="0" collapsed="false">
      <c r="A322" s="13"/>
      <c r="B322" s="14"/>
      <c r="C322" s="15"/>
      <c r="D322" s="15"/>
      <c r="E322" s="15"/>
      <c r="F322" s="15"/>
      <c r="G322" s="15"/>
      <c r="H322" s="15"/>
      <c r="I322" s="15"/>
    </row>
    <row r="323" customFormat="false" ht="15" hidden="false" customHeight="false" outlineLevel="0" collapsed="false">
      <c r="A323" s="13"/>
      <c r="B323" s="14"/>
      <c r="C323" s="15"/>
      <c r="D323" s="15"/>
      <c r="E323" s="15"/>
      <c r="F323" s="15"/>
      <c r="G323" s="15"/>
      <c r="H323" s="15"/>
      <c r="I323" s="15"/>
    </row>
    <row r="324" customFormat="false" ht="15" hidden="false" customHeight="false" outlineLevel="0" collapsed="false">
      <c r="A324" s="13"/>
      <c r="B324" s="14"/>
      <c r="C324" s="15"/>
      <c r="D324" s="15"/>
      <c r="E324" s="15"/>
      <c r="F324" s="15"/>
      <c r="G324" s="15"/>
      <c r="H324" s="15"/>
      <c r="I324" s="15"/>
    </row>
    <row r="325" customFormat="false" ht="15" hidden="false" customHeight="false" outlineLevel="0" collapsed="false">
      <c r="A325" s="13"/>
      <c r="B325" s="14"/>
      <c r="C325" s="15"/>
      <c r="D325" s="15"/>
      <c r="E325" s="15"/>
      <c r="F325" s="15"/>
      <c r="G325" s="15"/>
      <c r="H325" s="15"/>
      <c r="I325" s="15"/>
    </row>
    <row r="326" customFormat="false" ht="15" hidden="false" customHeight="false" outlineLevel="0" collapsed="false">
      <c r="A326" s="13"/>
      <c r="B326" s="14"/>
      <c r="C326" s="15"/>
      <c r="D326" s="15"/>
      <c r="E326" s="15"/>
      <c r="F326" s="15"/>
      <c r="G326" s="15"/>
      <c r="H326" s="15"/>
      <c r="I326" s="15"/>
    </row>
    <row r="327" customFormat="false" ht="15" hidden="false" customHeight="false" outlineLevel="0" collapsed="false">
      <c r="A327" s="13"/>
      <c r="B327" s="14"/>
      <c r="C327" s="15"/>
      <c r="D327" s="15"/>
      <c r="E327" s="15"/>
      <c r="F327" s="15"/>
      <c r="G327" s="15"/>
      <c r="H327" s="15"/>
      <c r="I327" s="15"/>
    </row>
    <row r="328" customFormat="false" ht="15" hidden="false" customHeight="false" outlineLevel="0" collapsed="false">
      <c r="A328" s="13"/>
      <c r="B328" s="14"/>
      <c r="C328" s="15"/>
      <c r="D328" s="15"/>
      <c r="E328" s="15"/>
      <c r="F328" s="15"/>
      <c r="G328" s="15"/>
      <c r="H328" s="15"/>
      <c r="I328" s="15"/>
    </row>
    <row r="329" customFormat="false" ht="15" hidden="false" customHeight="false" outlineLevel="0" collapsed="false">
      <c r="A329" s="13"/>
      <c r="B329" s="14"/>
      <c r="C329" s="15"/>
      <c r="D329" s="15"/>
      <c r="E329" s="15"/>
      <c r="F329" s="15"/>
      <c r="G329" s="15"/>
      <c r="H329" s="15"/>
      <c r="I329" s="15"/>
    </row>
    <row r="330" customFormat="false" ht="15" hidden="false" customHeight="false" outlineLevel="0" collapsed="false">
      <c r="A330" s="13"/>
      <c r="B330" s="14"/>
      <c r="C330" s="15"/>
      <c r="D330" s="15"/>
      <c r="E330" s="15"/>
      <c r="F330" s="15"/>
      <c r="G330" s="15"/>
      <c r="H330" s="15"/>
      <c r="I330" s="15"/>
    </row>
    <row r="331" customFormat="false" ht="15" hidden="false" customHeight="false" outlineLevel="0" collapsed="false">
      <c r="A331" s="13"/>
      <c r="B331" s="14"/>
      <c r="C331" s="15"/>
      <c r="D331" s="15"/>
      <c r="E331" s="15"/>
      <c r="F331" s="15"/>
      <c r="G331" s="15"/>
      <c r="H331" s="15"/>
      <c r="I331" s="15"/>
    </row>
    <row r="332" customFormat="false" ht="15" hidden="false" customHeight="false" outlineLevel="0" collapsed="false">
      <c r="A332" s="13"/>
      <c r="B332" s="14"/>
      <c r="C332" s="15"/>
      <c r="D332" s="15"/>
      <c r="E332" s="15"/>
      <c r="F332" s="15"/>
      <c r="G332" s="15"/>
      <c r="H332" s="15"/>
      <c r="I332" s="15"/>
    </row>
    <row r="333" customFormat="false" ht="15" hidden="false" customHeight="false" outlineLevel="0" collapsed="false">
      <c r="A333" s="13"/>
      <c r="B333" s="14"/>
      <c r="C333" s="15"/>
      <c r="D333" s="15"/>
      <c r="E333" s="15"/>
      <c r="F333" s="15"/>
      <c r="G333" s="15"/>
      <c r="H333" s="15"/>
      <c r="I333" s="15"/>
    </row>
    <row r="334" customFormat="false" ht="15" hidden="false" customHeight="false" outlineLevel="0" collapsed="false">
      <c r="A334" s="13"/>
      <c r="B334" s="14"/>
      <c r="C334" s="15"/>
      <c r="D334" s="15"/>
      <c r="E334" s="15"/>
      <c r="F334" s="15"/>
      <c r="G334" s="15"/>
      <c r="H334" s="15"/>
      <c r="I334" s="15"/>
    </row>
    <row r="335" customFormat="false" ht="15" hidden="false" customHeight="false" outlineLevel="0" collapsed="false">
      <c r="A335" s="13"/>
      <c r="B335" s="14"/>
      <c r="C335" s="15"/>
      <c r="D335" s="15"/>
      <c r="E335" s="15"/>
      <c r="F335" s="15"/>
      <c r="G335" s="15"/>
      <c r="H335" s="15"/>
      <c r="I335" s="15"/>
    </row>
    <row r="336" customFormat="false" ht="15" hidden="false" customHeight="false" outlineLevel="0" collapsed="false">
      <c r="A336" s="13"/>
      <c r="B336" s="14"/>
      <c r="C336" s="15"/>
      <c r="D336" s="15"/>
      <c r="E336" s="15"/>
      <c r="F336" s="15"/>
      <c r="G336" s="15"/>
      <c r="H336" s="15"/>
      <c r="I336" s="15"/>
    </row>
    <row r="337" customFormat="false" ht="15" hidden="false" customHeight="false" outlineLevel="0" collapsed="false">
      <c r="A337" s="13"/>
      <c r="B337" s="14"/>
      <c r="C337" s="15"/>
      <c r="D337" s="15"/>
      <c r="E337" s="15"/>
      <c r="F337" s="15"/>
      <c r="G337" s="15"/>
      <c r="H337" s="15"/>
      <c r="I337" s="15"/>
    </row>
    <row r="338" customFormat="false" ht="15" hidden="false" customHeight="false" outlineLevel="0" collapsed="false">
      <c r="A338" s="13"/>
      <c r="B338" s="14"/>
      <c r="C338" s="15"/>
      <c r="D338" s="15"/>
      <c r="E338" s="15"/>
      <c r="F338" s="15"/>
      <c r="G338" s="15"/>
      <c r="H338" s="15"/>
      <c r="I338" s="15"/>
    </row>
    <row r="339" customFormat="false" ht="15" hidden="false" customHeight="false" outlineLevel="0" collapsed="false">
      <c r="A339" s="13"/>
      <c r="B339" s="14"/>
      <c r="C339" s="15"/>
      <c r="D339" s="15"/>
      <c r="E339" s="15"/>
      <c r="F339" s="15"/>
      <c r="G339" s="15"/>
      <c r="H339" s="15"/>
      <c r="I339" s="15"/>
    </row>
    <row r="340" customFormat="false" ht="15" hidden="false" customHeight="false" outlineLevel="0" collapsed="false">
      <c r="A340" s="13"/>
      <c r="B340" s="14"/>
      <c r="C340" s="15"/>
      <c r="D340" s="15"/>
      <c r="E340" s="15"/>
      <c r="F340" s="15"/>
      <c r="G340" s="15"/>
      <c r="H340" s="15"/>
      <c r="I340" s="15"/>
    </row>
    <row r="341" customFormat="false" ht="15" hidden="false" customHeight="false" outlineLevel="0" collapsed="false">
      <c r="A341" s="13"/>
      <c r="B341" s="14"/>
      <c r="C341" s="15"/>
      <c r="D341" s="15"/>
      <c r="E341" s="15"/>
      <c r="F341" s="15"/>
      <c r="G341" s="15"/>
      <c r="H341" s="15"/>
      <c r="I341" s="15"/>
    </row>
    <row r="342" customFormat="false" ht="15" hidden="false" customHeight="false" outlineLevel="0" collapsed="false">
      <c r="A342" s="13"/>
      <c r="B342" s="14"/>
      <c r="C342" s="15"/>
      <c r="D342" s="15"/>
      <c r="E342" s="15"/>
      <c r="F342" s="15"/>
      <c r="G342" s="15"/>
      <c r="H342" s="15"/>
      <c r="I342" s="15"/>
    </row>
    <row r="343" customFormat="false" ht="15" hidden="false" customHeight="false" outlineLevel="0" collapsed="false">
      <c r="A343" s="13"/>
      <c r="B343" s="14"/>
      <c r="C343" s="15"/>
      <c r="D343" s="15"/>
      <c r="E343" s="15"/>
      <c r="F343" s="15"/>
      <c r="G343" s="15"/>
      <c r="H343" s="15"/>
      <c r="I343" s="15"/>
    </row>
    <row r="344" customFormat="false" ht="15" hidden="false" customHeight="false" outlineLevel="0" collapsed="false">
      <c r="A344" s="13"/>
      <c r="B344" s="14"/>
      <c r="C344" s="15"/>
      <c r="D344" s="15"/>
      <c r="E344" s="15"/>
      <c r="F344" s="15"/>
      <c r="G344" s="15"/>
      <c r="H344" s="15"/>
      <c r="I344" s="15"/>
    </row>
    <row r="345" customFormat="false" ht="15" hidden="false" customHeight="false" outlineLevel="0" collapsed="false">
      <c r="A345" s="13"/>
      <c r="B345" s="14"/>
      <c r="C345" s="15"/>
      <c r="D345" s="15"/>
      <c r="E345" s="15"/>
      <c r="F345" s="15"/>
      <c r="G345" s="15"/>
      <c r="H345" s="15"/>
      <c r="I345" s="15"/>
    </row>
    <row r="346" customFormat="false" ht="15" hidden="false" customHeight="false" outlineLevel="0" collapsed="false">
      <c r="A346" s="13"/>
      <c r="B346" s="14"/>
      <c r="C346" s="15"/>
      <c r="D346" s="15"/>
      <c r="E346" s="15"/>
      <c r="F346" s="15"/>
      <c r="G346" s="15"/>
      <c r="H346" s="15"/>
      <c r="I346" s="15"/>
    </row>
    <row r="347" customFormat="false" ht="15" hidden="false" customHeight="false" outlineLevel="0" collapsed="false">
      <c r="A347" s="13"/>
      <c r="B347" s="14"/>
      <c r="C347" s="15"/>
      <c r="D347" s="15"/>
      <c r="E347" s="15"/>
      <c r="F347" s="15"/>
      <c r="G347" s="15"/>
      <c r="H347" s="15"/>
      <c r="I347" s="15"/>
    </row>
    <row r="348" customFormat="false" ht="15" hidden="false" customHeight="false" outlineLevel="0" collapsed="false">
      <c r="A348" s="13"/>
      <c r="B348" s="14"/>
      <c r="C348" s="15"/>
      <c r="D348" s="15"/>
      <c r="E348" s="15"/>
      <c r="F348" s="15"/>
      <c r="G348" s="15"/>
      <c r="H348" s="15"/>
      <c r="I348" s="15"/>
    </row>
    <row r="349" customFormat="false" ht="15" hidden="false" customHeight="false" outlineLevel="0" collapsed="false">
      <c r="A349" s="13"/>
      <c r="B349" s="14"/>
      <c r="C349" s="15"/>
      <c r="D349" s="15"/>
      <c r="E349" s="15"/>
      <c r="F349" s="15"/>
      <c r="G349" s="15"/>
      <c r="H349" s="15"/>
      <c r="I349" s="15"/>
    </row>
    <row r="350" customFormat="false" ht="15" hidden="false" customHeight="false" outlineLevel="0" collapsed="false">
      <c r="A350" s="13"/>
      <c r="B350" s="14"/>
      <c r="C350" s="15"/>
      <c r="D350" s="15"/>
      <c r="E350" s="15"/>
      <c r="F350" s="15"/>
      <c r="G350" s="15"/>
      <c r="H350" s="15"/>
      <c r="I350" s="15"/>
    </row>
    <row r="351" customFormat="false" ht="15" hidden="false" customHeight="false" outlineLevel="0" collapsed="false">
      <c r="A351" s="13"/>
      <c r="B351" s="14"/>
      <c r="C351" s="15"/>
      <c r="D351" s="15"/>
      <c r="E351" s="15"/>
      <c r="F351" s="15"/>
      <c r="G351" s="15"/>
      <c r="H351" s="15"/>
      <c r="I351" s="15"/>
    </row>
    <row r="352" customFormat="false" ht="15" hidden="false" customHeight="false" outlineLevel="0" collapsed="false">
      <c r="A352" s="13"/>
      <c r="B352" s="14"/>
      <c r="C352" s="15"/>
      <c r="D352" s="15"/>
      <c r="E352" s="15"/>
      <c r="F352" s="15"/>
      <c r="G352" s="15"/>
      <c r="H352" s="15"/>
      <c r="I352" s="15"/>
    </row>
    <row r="353" customFormat="false" ht="15" hidden="false" customHeight="false" outlineLevel="0" collapsed="false">
      <c r="A353" s="13"/>
      <c r="B353" s="14"/>
      <c r="C353" s="15"/>
      <c r="D353" s="15"/>
      <c r="E353" s="15"/>
      <c r="F353" s="15"/>
      <c r="G353" s="15"/>
      <c r="H353" s="15"/>
      <c r="I353" s="15"/>
    </row>
    <row r="354" customFormat="false" ht="15" hidden="false" customHeight="false" outlineLevel="0" collapsed="false">
      <c r="A354" s="13"/>
      <c r="B354" s="14"/>
      <c r="C354" s="15"/>
      <c r="D354" s="15"/>
      <c r="E354" s="15"/>
      <c r="F354" s="15"/>
      <c r="G354" s="15"/>
      <c r="H354" s="15"/>
      <c r="I354" s="15"/>
    </row>
    <row r="355" customFormat="false" ht="15" hidden="false" customHeight="false" outlineLevel="0" collapsed="false">
      <c r="A355" s="13"/>
      <c r="B355" s="14"/>
      <c r="C355" s="15"/>
      <c r="D355" s="15"/>
      <c r="E355" s="15"/>
      <c r="F355" s="15"/>
      <c r="G355" s="15"/>
      <c r="H355" s="15"/>
      <c r="I355" s="15"/>
    </row>
    <row r="356" customFormat="false" ht="15" hidden="false" customHeight="false" outlineLevel="0" collapsed="false">
      <c r="A356" s="13"/>
      <c r="B356" s="14"/>
      <c r="C356" s="15"/>
      <c r="D356" s="15"/>
      <c r="E356" s="15"/>
      <c r="F356" s="15"/>
      <c r="G356" s="15"/>
      <c r="H356" s="15"/>
      <c r="I356" s="15"/>
    </row>
    <row r="357" customFormat="false" ht="15" hidden="false" customHeight="false" outlineLevel="0" collapsed="false">
      <c r="A357" s="13"/>
      <c r="B357" s="14"/>
      <c r="C357" s="15"/>
      <c r="D357" s="15"/>
      <c r="E357" s="15"/>
      <c r="F357" s="15"/>
      <c r="G357" s="15"/>
      <c r="H357" s="15"/>
      <c r="I357" s="15"/>
    </row>
    <row r="358" customFormat="false" ht="15" hidden="false" customHeight="false" outlineLevel="0" collapsed="false">
      <c r="A358" s="13"/>
      <c r="B358" s="14"/>
      <c r="C358" s="15"/>
      <c r="D358" s="15"/>
      <c r="E358" s="15"/>
      <c r="F358" s="15"/>
      <c r="G358" s="15"/>
      <c r="H358" s="15"/>
      <c r="I358" s="15"/>
    </row>
    <row r="359" customFormat="false" ht="15" hidden="false" customHeight="false" outlineLevel="0" collapsed="false">
      <c r="A359" s="13"/>
      <c r="B359" s="14"/>
      <c r="C359" s="15"/>
      <c r="D359" s="15"/>
      <c r="E359" s="15"/>
      <c r="F359" s="15"/>
      <c r="G359" s="15"/>
      <c r="H359" s="15"/>
      <c r="I359" s="15"/>
    </row>
    <row r="360" customFormat="false" ht="15" hidden="false" customHeight="false" outlineLevel="0" collapsed="false">
      <c r="A360" s="13"/>
      <c r="B360" s="14"/>
      <c r="C360" s="15"/>
      <c r="D360" s="15"/>
      <c r="E360" s="15"/>
      <c r="F360" s="15"/>
      <c r="G360" s="15"/>
      <c r="H360" s="15"/>
      <c r="I360" s="15"/>
    </row>
    <row r="361" customFormat="false" ht="15" hidden="false" customHeight="false" outlineLevel="0" collapsed="false">
      <c r="A361" s="13"/>
      <c r="B361" s="14"/>
      <c r="C361" s="15"/>
      <c r="D361" s="15"/>
      <c r="E361" s="15"/>
      <c r="F361" s="15"/>
      <c r="G361" s="15"/>
      <c r="H361" s="15"/>
      <c r="I361" s="15"/>
    </row>
    <row r="362" customFormat="false" ht="15" hidden="false" customHeight="false" outlineLevel="0" collapsed="false">
      <c r="A362" s="13"/>
      <c r="B362" s="14"/>
      <c r="C362" s="15"/>
      <c r="D362" s="15"/>
      <c r="E362" s="15"/>
      <c r="F362" s="15"/>
      <c r="G362" s="15"/>
      <c r="H362" s="15"/>
      <c r="I362" s="15"/>
    </row>
    <row r="363" customFormat="false" ht="15" hidden="false" customHeight="false" outlineLevel="0" collapsed="false">
      <c r="A363" s="13"/>
      <c r="B363" s="14"/>
      <c r="C363" s="15"/>
      <c r="D363" s="15"/>
      <c r="E363" s="15"/>
      <c r="F363" s="15"/>
      <c r="G363" s="15"/>
      <c r="H363" s="15"/>
      <c r="I363" s="15"/>
    </row>
    <row r="364" customFormat="false" ht="15" hidden="false" customHeight="false" outlineLevel="0" collapsed="false">
      <c r="A364" s="13"/>
      <c r="B364" s="14"/>
      <c r="C364" s="15"/>
      <c r="D364" s="15"/>
      <c r="E364" s="15"/>
      <c r="F364" s="15"/>
      <c r="G364" s="15"/>
      <c r="H364" s="15"/>
      <c r="I364" s="15"/>
    </row>
    <row r="365" customFormat="false" ht="15" hidden="false" customHeight="false" outlineLevel="0" collapsed="false">
      <c r="A365" s="13"/>
      <c r="B365" s="14"/>
      <c r="C365" s="15"/>
      <c r="D365" s="15"/>
      <c r="E365" s="15"/>
      <c r="F365" s="15"/>
      <c r="G365" s="15"/>
      <c r="H365" s="15"/>
      <c r="I365" s="15"/>
    </row>
    <row r="366" customFormat="false" ht="15" hidden="false" customHeight="false" outlineLevel="0" collapsed="false">
      <c r="A366" s="13"/>
      <c r="B366" s="14"/>
      <c r="C366" s="15"/>
      <c r="D366" s="15"/>
      <c r="E366" s="15"/>
      <c r="F366" s="15"/>
      <c r="G366" s="15"/>
      <c r="H366" s="15"/>
      <c r="I366" s="15"/>
    </row>
    <row r="367" customFormat="false" ht="15" hidden="false" customHeight="false" outlineLevel="0" collapsed="false">
      <c r="A367" s="13"/>
      <c r="B367" s="14"/>
      <c r="C367" s="15"/>
      <c r="D367" s="15"/>
      <c r="E367" s="15"/>
      <c r="F367" s="15"/>
      <c r="G367" s="15"/>
      <c r="H367" s="15"/>
      <c r="I367" s="15"/>
    </row>
    <row r="368" customFormat="false" ht="15" hidden="false" customHeight="false" outlineLevel="0" collapsed="false">
      <c r="A368" s="13"/>
      <c r="B368" s="14"/>
      <c r="C368" s="15"/>
      <c r="D368" s="15"/>
      <c r="E368" s="15"/>
      <c r="F368" s="15"/>
      <c r="G368" s="15"/>
      <c r="H368" s="15"/>
      <c r="I368" s="15"/>
    </row>
    <row r="369" customFormat="false" ht="15" hidden="false" customHeight="false" outlineLevel="0" collapsed="false">
      <c r="A369" s="13"/>
      <c r="B369" s="14"/>
      <c r="C369" s="15"/>
      <c r="D369" s="15"/>
      <c r="E369" s="15"/>
      <c r="F369" s="15"/>
      <c r="G369" s="15"/>
      <c r="H369" s="15"/>
      <c r="I369" s="15"/>
    </row>
    <row r="370" customFormat="false" ht="15" hidden="false" customHeight="false" outlineLevel="0" collapsed="false">
      <c r="A370" s="13"/>
      <c r="B370" s="14"/>
      <c r="C370" s="15"/>
      <c r="D370" s="15"/>
      <c r="E370" s="15"/>
      <c r="F370" s="15"/>
      <c r="G370" s="15"/>
      <c r="H370" s="15"/>
      <c r="I370" s="15"/>
    </row>
    <row r="371" customFormat="false" ht="15" hidden="false" customHeight="false" outlineLevel="0" collapsed="false">
      <c r="A371" s="13"/>
      <c r="B371" s="14"/>
      <c r="C371" s="15"/>
      <c r="D371" s="15"/>
      <c r="E371" s="15"/>
      <c r="F371" s="15"/>
      <c r="G371" s="15"/>
      <c r="H371" s="15"/>
      <c r="I371" s="15"/>
    </row>
    <row r="372" customFormat="false" ht="15" hidden="false" customHeight="false" outlineLevel="0" collapsed="false">
      <c r="A372" s="13"/>
      <c r="B372" s="14"/>
      <c r="C372" s="15"/>
      <c r="D372" s="15"/>
      <c r="E372" s="15"/>
      <c r="F372" s="15"/>
      <c r="G372" s="15"/>
      <c r="H372" s="15"/>
      <c r="I372" s="15"/>
    </row>
    <row r="373" customFormat="false" ht="15" hidden="false" customHeight="false" outlineLevel="0" collapsed="false">
      <c r="A373" s="13"/>
      <c r="B373" s="14"/>
      <c r="C373" s="15"/>
      <c r="D373" s="15"/>
      <c r="E373" s="15"/>
      <c r="F373" s="15"/>
      <c r="G373" s="15"/>
      <c r="H373" s="15"/>
      <c r="I373" s="15"/>
    </row>
    <row r="374" customFormat="false" ht="15" hidden="false" customHeight="false" outlineLevel="0" collapsed="false">
      <c r="A374" s="13"/>
      <c r="B374" s="14"/>
      <c r="C374" s="15"/>
      <c r="D374" s="15"/>
      <c r="E374" s="15"/>
      <c r="F374" s="15"/>
      <c r="G374" s="15"/>
      <c r="H374" s="15"/>
      <c r="I374" s="15"/>
    </row>
    <row r="375" customFormat="false" ht="15" hidden="false" customHeight="false" outlineLevel="0" collapsed="false">
      <c r="A375" s="13"/>
      <c r="B375" s="14"/>
      <c r="C375" s="15"/>
      <c r="D375" s="15"/>
      <c r="E375" s="15"/>
      <c r="F375" s="15"/>
      <c r="G375" s="15"/>
      <c r="H375" s="15"/>
      <c r="I375" s="15"/>
    </row>
    <row r="376" customFormat="false" ht="15" hidden="false" customHeight="false" outlineLevel="0" collapsed="false">
      <c r="A376" s="13"/>
      <c r="B376" s="14"/>
      <c r="C376" s="15"/>
      <c r="D376" s="15"/>
      <c r="E376" s="15"/>
      <c r="F376" s="15"/>
      <c r="G376" s="15"/>
      <c r="H376" s="15"/>
      <c r="I376" s="15"/>
    </row>
    <row r="377" customFormat="false" ht="15" hidden="false" customHeight="false" outlineLevel="0" collapsed="false">
      <c r="A377" s="13"/>
      <c r="B377" s="14"/>
      <c r="C377" s="15"/>
      <c r="D377" s="15"/>
      <c r="E377" s="15"/>
      <c r="F377" s="15"/>
      <c r="G377" s="15"/>
      <c r="H377" s="15"/>
      <c r="I377" s="15"/>
    </row>
    <row r="378" customFormat="false" ht="15" hidden="false" customHeight="false" outlineLevel="0" collapsed="false">
      <c r="A378" s="13"/>
      <c r="B378" s="14"/>
      <c r="C378" s="15"/>
      <c r="D378" s="15"/>
      <c r="E378" s="15"/>
      <c r="F378" s="15"/>
      <c r="G378" s="15"/>
      <c r="H378" s="15"/>
      <c r="I378" s="15"/>
    </row>
    <row r="379" customFormat="false" ht="15" hidden="false" customHeight="false" outlineLevel="0" collapsed="false">
      <c r="A379" s="13"/>
      <c r="B379" s="14"/>
      <c r="C379" s="15"/>
      <c r="D379" s="15"/>
      <c r="E379" s="15"/>
      <c r="F379" s="15"/>
      <c r="G379" s="15"/>
      <c r="H379" s="15"/>
      <c r="I379" s="15"/>
    </row>
    <row r="380" customFormat="false" ht="15" hidden="false" customHeight="false" outlineLevel="0" collapsed="false">
      <c r="A380" s="13"/>
      <c r="B380" s="14"/>
      <c r="C380" s="15"/>
      <c r="D380" s="15"/>
      <c r="E380" s="15"/>
      <c r="F380" s="15"/>
      <c r="G380" s="15"/>
      <c r="H380" s="15"/>
      <c r="I380" s="15"/>
    </row>
    <row r="381" customFormat="false" ht="15" hidden="false" customHeight="false" outlineLevel="0" collapsed="false">
      <c r="A381" s="13"/>
      <c r="B381" s="14"/>
      <c r="C381" s="15"/>
      <c r="D381" s="15"/>
      <c r="E381" s="15"/>
      <c r="F381" s="15"/>
      <c r="G381" s="15"/>
      <c r="H381" s="15"/>
      <c r="I381" s="15"/>
    </row>
    <row r="382" customFormat="false" ht="15" hidden="false" customHeight="false" outlineLevel="0" collapsed="false">
      <c r="A382" s="13"/>
      <c r="B382" s="14"/>
      <c r="C382" s="15"/>
      <c r="D382" s="15"/>
      <c r="E382" s="15"/>
      <c r="F382" s="15"/>
      <c r="G382" s="15"/>
      <c r="H382" s="15"/>
      <c r="I382" s="15"/>
    </row>
    <row r="383" customFormat="false" ht="15" hidden="false" customHeight="false" outlineLevel="0" collapsed="false">
      <c r="A383" s="13"/>
      <c r="B383" s="14"/>
      <c r="C383" s="15"/>
      <c r="D383" s="15"/>
      <c r="E383" s="15"/>
      <c r="F383" s="15"/>
      <c r="G383" s="15"/>
      <c r="H383" s="15"/>
      <c r="I383" s="15"/>
    </row>
    <row r="384" customFormat="false" ht="15" hidden="false" customHeight="false" outlineLevel="0" collapsed="false">
      <c r="A384" s="13"/>
      <c r="B384" s="14"/>
      <c r="C384" s="15"/>
      <c r="D384" s="15"/>
      <c r="E384" s="15"/>
      <c r="F384" s="15"/>
      <c r="G384" s="15"/>
      <c r="H384" s="15"/>
      <c r="I384" s="15"/>
    </row>
    <row r="385" customFormat="false" ht="15" hidden="false" customHeight="false" outlineLevel="0" collapsed="false">
      <c r="A385" s="13"/>
      <c r="B385" s="14"/>
      <c r="C385" s="15"/>
      <c r="D385" s="15"/>
      <c r="E385" s="15"/>
      <c r="F385" s="15"/>
      <c r="G385" s="15"/>
      <c r="H385" s="15"/>
      <c r="I385" s="15"/>
    </row>
    <row r="386" customFormat="false" ht="15" hidden="false" customHeight="false" outlineLevel="0" collapsed="false">
      <c r="A386" s="13"/>
      <c r="B386" s="14"/>
      <c r="C386" s="15"/>
      <c r="D386" s="15"/>
      <c r="E386" s="15"/>
      <c r="F386" s="15"/>
      <c r="G386" s="15"/>
      <c r="H386" s="15"/>
      <c r="I386" s="15"/>
    </row>
    <row r="387" customFormat="false" ht="15" hidden="false" customHeight="false" outlineLevel="0" collapsed="false">
      <c r="A387" s="13"/>
      <c r="B387" s="14"/>
      <c r="C387" s="15"/>
      <c r="D387" s="15"/>
      <c r="E387" s="15"/>
      <c r="F387" s="15"/>
      <c r="G387" s="15"/>
      <c r="H387" s="15"/>
      <c r="I387" s="15"/>
    </row>
    <row r="388" customFormat="false" ht="15" hidden="false" customHeight="false" outlineLevel="0" collapsed="false">
      <c r="A388" s="13"/>
      <c r="B388" s="14"/>
      <c r="C388" s="15"/>
      <c r="D388" s="15"/>
      <c r="E388" s="15"/>
      <c r="F388" s="15"/>
      <c r="G388" s="15"/>
      <c r="H388" s="15"/>
      <c r="I388" s="15"/>
    </row>
    <row r="389" customFormat="false" ht="15" hidden="false" customHeight="false" outlineLevel="0" collapsed="false">
      <c r="A389" s="13"/>
      <c r="B389" s="14"/>
      <c r="C389" s="15"/>
      <c r="D389" s="15"/>
      <c r="E389" s="15"/>
      <c r="F389" s="15"/>
      <c r="G389" s="15"/>
      <c r="H389" s="15"/>
      <c r="I389" s="15"/>
    </row>
    <row r="390" customFormat="false" ht="15" hidden="false" customHeight="false" outlineLevel="0" collapsed="false">
      <c r="A390" s="13"/>
      <c r="B390" s="14"/>
      <c r="C390" s="15"/>
      <c r="D390" s="15"/>
      <c r="E390" s="15"/>
      <c r="F390" s="15"/>
      <c r="G390" s="15"/>
      <c r="H390" s="15"/>
      <c r="I390" s="15"/>
    </row>
    <row r="391" customFormat="false" ht="15" hidden="false" customHeight="false" outlineLevel="0" collapsed="false">
      <c r="A391" s="13"/>
      <c r="B391" s="14"/>
      <c r="C391" s="15"/>
      <c r="D391" s="15"/>
      <c r="E391" s="15"/>
      <c r="F391" s="15"/>
      <c r="G391" s="15"/>
      <c r="H391" s="15"/>
      <c r="I391" s="15"/>
    </row>
    <row r="392" customFormat="false" ht="15" hidden="false" customHeight="false" outlineLevel="0" collapsed="false">
      <c r="A392" s="13"/>
      <c r="B392" s="14"/>
      <c r="C392" s="15"/>
      <c r="D392" s="15"/>
      <c r="E392" s="15"/>
      <c r="F392" s="15"/>
      <c r="G392" s="15"/>
      <c r="H392" s="15"/>
      <c r="I392" s="15"/>
    </row>
    <row r="393" customFormat="false" ht="15" hidden="false" customHeight="false" outlineLevel="0" collapsed="false">
      <c r="A393" s="13"/>
      <c r="B393" s="14"/>
      <c r="C393" s="15"/>
      <c r="D393" s="15"/>
      <c r="E393" s="15"/>
      <c r="F393" s="15"/>
      <c r="G393" s="15"/>
      <c r="H393" s="15"/>
      <c r="I393" s="15"/>
    </row>
    <row r="394" customFormat="false" ht="15" hidden="false" customHeight="false" outlineLevel="0" collapsed="false">
      <c r="A394" s="13"/>
      <c r="B394" s="14"/>
      <c r="C394" s="15"/>
      <c r="D394" s="15"/>
      <c r="E394" s="15"/>
      <c r="F394" s="15"/>
      <c r="G394" s="15"/>
      <c r="H394" s="15"/>
      <c r="I394" s="15"/>
    </row>
    <row r="395" customFormat="false" ht="15" hidden="false" customHeight="false" outlineLevel="0" collapsed="false">
      <c r="A395" s="13"/>
      <c r="B395" s="14"/>
      <c r="C395" s="15"/>
      <c r="D395" s="15"/>
      <c r="E395" s="15"/>
      <c r="F395" s="15"/>
      <c r="G395" s="15"/>
      <c r="H395" s="15"/>
      <c r="I395" s="15"/>
    </row>
    <row r="396" customFormat="false" ht="15" hidden="false" customHeight="false" outlineLevel="0" collapsed="false">
      <c r="A396" s="13"/>
      <c r="B396" s="14"/>
      <c r="C396" s="15"/>
      <c r="D396" s="15"/>
      <c r="E396" s="15"/>
      <c r="F396" s="15"/>
      <c r="G396" s="15"/>
      <c r="H396" s="15"/>
      <c r="I396" s="15"/>
    </row>
    <row r="397" customFormat="false" ht="15" hidden="false" customHeight="false" outlineLevel="0" collapsed="false">
      <c r="A397" s="13"/>
      <c r="B397" s="14"/>
      <c r="C397" s="15"/>
      <c r="D397" s="15"/>
      <c r="E397" s="15"/>
      <c r="F397" s="15"/>
      <c r="G397" s="15"/>
      <c r="H397" s="15"/>
      <c r="I397" s="15"/>
    </row>
    <row r="398" customFormat="false" ht="15" hidden="false" customHeight="false" outlineLevel="0" collapsed="false">
      <c r="A398" s="13"/>
      <c r="B398" s="14"/>
      <c r="C398" s="15"/>
      <c r="D398" s="15"/>
      <c r="E398" s="15"/>
      <c r="F398" s="15"/>
      <c r="G398" s="15"/>
      <c r="H398" s="15"/>
      <c r="I398" s="15"/>
    </row>
    <row r="399" customFormat="false" ht="15" hidden="false" customHeight="false" outlineLevel="0" collapsed="false">
      <c r="A399" s="13"/>
      <c r="B399" s="14"/>
      <c r="C399" s="15"/>
      <c r="D399" s="15"/>
      <c r="E399" s="15"/>
      <c r="F399" s="15"/>
      <c r="G399" s="15"/>
      <c r="H399" s="15"/>
      <c r="I399" s="15"/>
    </row>
    <row r="400" customFormat="false" ht="15" hidden="false" customHeight="false" outlineLevel="0" collapsed="false">
      <c r="A400" s="13"/>
      <c r="B400" s="14"/>
      <c r="C400" s="15"/>
      <c r="D400" s="15"/>
      <c r="E400" s="15"/>
      <c r="F400" s="15"/>
      <c r="G400" s="15"/>
      <c r="H400" s="15"/>
      <c r="I400" s="15"/>
    </row>
    <row r="401" customFormat="false" ht="15" hidden="false" customHeight="false" outlineLevel="0" collapsed="false">
      <c r="A401" s="13"/>
      <c r="B401" s="14"/>
      <c r="C401" s="15"/>
      <c r="D401" s="15"/>
      <c r="E401" s="15"/>
      <c r="F401" s="15"/>
      <c r="G401" s="15"/>
      <c r="H401" s="15"/>
      <c r="I401" s="15"/>
    </row>
    <row r="402" customFormat="false" ht="15" hidden="false" customHeight="false" outlineLevel="0" collapsed="false">
      <c r="A402" s="13"/>
      <c r="B402" s="14"/>
      <c r="C402" s="15"/>
      <c r="D402" s="15"/>
      <c r="E402" s="15"/>
      <c r="F402" s="15"/>
      <c r="G402" s="15"/>
      <c r="H402" s="15"/>
      <c r="I402" s="15"/>
    </row>
    <row r="403" customFormat="false" ht="15" hidden="false" customHeight="false" outlineLevel="0" collapsed="false">
      <c r="A403" s="13"/>
      <c r="B403" s="14"/>
      <c r="C403" s="15"/>
      <c r="D403" s="15"/>
      <c r="E403" s="15"/>
      <c r="F403" s="15"/>
      <c r="G403" s="15"/>
      <c r="H403" s="15"/>
      <c r="I403" s="15"/>
    </row>
    <row r="404" customFormat="false" ht="15" hidden="false" customHeight="false" outlineLevel="0" collapsed="false">
      <c r="A404" s="13"/>
      <c r="B404" s="14"/>
      <c r="C404" s="15"/>
      <c r="D404" s="15"/>
      <c r="E404" s="15"/>
      <c r="F404" s="15"/>
      <c r="G404" s="15"/>
      <c r="H404" s="15"/>
      <c r="I404" s="15"/>
    </row>
    <row r="405" customFormat="false" ht="15" hidden="false" customHeight="false" outlineLevel="0" collapsed="false">
      <c r="A405" s="13"/>
      <c r="B405" s="14"/>
      <c r="C405" s="15"/>
      <c r="D405" s="15"/>
      <c r="E405" s="15"/>
      <c r="F405" s="15"/>
      <c r="G405" s="15"/>
      <c r="H405" s="15"/>
      <c r="I405" s="15"/>
    </row>
    <row r="406" customFormat="false" ht="15" hidden="false" customHeight="false" outlineLevel="0" collapsed="false">
      <c r="A406" s="13"/>
      <c r="B406" s="14"/>
      <c r="C406" s="15"/>
      <c r="D406" s="15"/>
      <c r="E406" s="15"/>
      <c r="F406" s="15"/>
      <c r="G406" s="15"/>
      <c r="H406" s="15"/>
      <c r="I406" s="15"/>
    </row>
    <row r="407" customFormat="false" ht="15" hidden="false" customHeight="false" outlineLevel="0" collapsed="false">
      <c r="A407" s="13"/>
      <c r="B407" s="14"/>
      <c r="C407" s="15"/>
      <c r="D407" s="15"/>
      <c r="E407" s="15"/>
      <c r="F407" s="15"/>
      <c r="G407" s="15"/>
      <c r="H407" s="15"/>
      <c r="I407" s="15"/>
    </row>
    <row r="408" customFormat="false" ht="15" hidden="false" customHeight="false" outlineLevel="0" collapsed="false">
      <c r="A408" s="13"/>
      <c r="B408" s="14"/>
      <c r="C408" s="15"/>
      <c r="D408" s="15"/>
      <c r="E408" s="15"/>
      <c r="F408" s="15"/>
      <c r="G408" s="15"/>
      <c r="H408" s="15"/>
      <c r="I408" s="15"/>
    </row>
    <row r="409" customFormat="false" ht="15" hidden="false" customHeight="false" outlineLevel="0" collapsed="false">
      <c r="A409" s="13"/>
      <c r="B409" s="14"/>
      <c r="C409" s="15"/>
      <c r="D409" s="15"/>
      <c r="E409" s="15"/>
      <c r="F409" s="15"/>
      <c r="G409" s="15"/>
      <c r="H409" s="15"/>
      <c r="I409" s="15"/>
    </row>
    <row r="410" customFormat="false" ht="15" hidden="false" customHeight="false" outlineLevel="0" collapsed="false">
      <c r="A410" s="13"/>
      <c r="B410" s="14"/>
      <c r="C410" s="15"/>
      <c r="D410" s="15"/>
      <c r="E410" s="15"/>
      <c r="F410" s="15"/>
      <c r="G410" s="15"/>
      <c r="H410" s="15"/>
      <c r="I410" s="15"/>
    </row>
    <row r="411" customFormat="false" ht="15" hidden="false" customHeight="false" outlineLevel="0" collapsed="false">
      <c r="A411" s="13"/>
      <c r="B411" s="14"/>
      <c r="C411" s="15"/>
      <c r="D411" s="15"/>
      <c r="E411" s="15"/>
      <c r="F411" s="15"/>
      <c r="G411" s="15"/>
      <c r="H411" s="15"/>
      <c r="I411" s="15"/>
    </row>
    <row r="412" customFormat="false" ht="15" hidden="false" customHeight="false" outlineLevel="0" collapsed="false">
      <c r="A412" s="13"/>
      <c r="B412" s="14"/>
      <c r="C412" s="15"/>
      <c r="D412" s="15"/>
      <c r="E412" s="15"/>
      <c r="F412" s="15"/>
      <c r="G412" s="15"/>
      <c r="H412" s="15"/>
      <c r="I412" s="15"/>
    </row>
    <row r="413" customFormat="false" ht="15" hidden="false" customHeight="false" outlineLevel="0" collapsed="false">
      <c r="A413" s="13"/>
      <c r="B413" s="14"/>
      <c r="C413" s="15"/>
      <c r="D413" s="15"/>
      <c r="E413" s="15"/>
      <c r="F413" s="15"/>
      <c r="G413" s="15"/>
      <c r="H413" s="15"/>
      <c r="I413" s="15"/>
    </row>
    <row r="414" customFormat="false" ht="15" hidden="false" customHeight="false" outlineLevel="0" collapsed="false">
      <c r="A414" s="13"/>
      <c r="B414" s="14"/>
      <c r="C414" s="15"/>
      <c r="D414" s="15"/>
      <c r="E414" s="15"/>
      <c r="F414" s="15"/>
      <c r="G414" s="15"/>
      <c r="H414" s="15"/>
      <c r="I414" s="15"/>
    </row>
    <row r="415" customFormat="false" ht="15" hidden="false" customHeight="false" outlineLevel="0" collapsed="false">
      <c r="A415" s="13"/>
      <c r="B415" s="14"/>
      <c r="C415" s="15"/>
      <c r="D415" s="15"/>
      <c r="E415" s="15"/>
      <c r="F415" s="15"/>
      <c r="G415" s="15"/>
      <c r="H415" s="15"/>
      <c r="I415" s="15"/>
    </row>
    <row r="416" customFormat="false" ht="15" hidden="false" customHeight="false" outlineLevel="0" collapsed="false">
      <c r="A416" s="13"/>
      <c r="B416" s="14"/>
      <c r="C416" s="15"/>
      <c r="D416" s="15"/>
      <c r="E416" s="15"/>
      <c r="F416" s="15"/>
      <c r="G416" s="15"/>
      <c r="H416" s="15"/>
      <c r="I416" s="15"/>
    </row>
    <row r="417" customFormat="false" ht="15" hidden="false" customHeight="false" outlineLevel="0" collapsed="false">
      <c r="A417" s="13"/>
      <c r="B417" s="14"/>
      <c r="C417" s="15"/>
      <c r="D417" s="15"/>
      <c r="E417" s="15"/>
      <c r="F417" s="15"/>
      <c r="G417" s="15"/>
      <c r="H417" s="15"/>
      <c r="I417" s="15"/>
    </row>
    <row r="418" customFormat="false" ht="15" hidden="false" customHeight="false" outlineLevel="0" collapsed="false">
      <c r="A418" s="13"/>
      <c r="B418" s="14"/>
      <c r="C418" s="15"/>
      <c r="D418" s="15"/>
      <c r="E418" s="15"/>
      <c r="F418" s="15"/>
      <c r="G418" s="15"/>
      <c r="H418" s="15"/>
      <c r="I418" s="15"/>
    </row>
    <row r="419" customFormat="false" ht="15" hidden="false" customHeight="false" outlineLevel="0" collapsed="false">
      <c r="A419" s="13"/>
      <c r="B419" s="14"/>
      <c r="C419" s="15"/>
      <c r="D419" s="15"/>
      <c r="E419" s="15"/>
      <c r="F419" s="15"/>
      <c r="G419" s="15"/>
      <c r="H419" s="15"/>
      <c r="I419" s="15"/>
    </row>
    <row r="420" customFormat="false" ht="15" hidden="false" customHeight="false" outlineLevel="0" collapsed="false">
      <c r="A420" s="13"/>
      <c r="B420" s="14"/>
      <c r="C420" s="15"/>
      <c r="D420" s="15"/>
      <c r="E420" s="15"/>
      <c r="F420" s="15"/>
      <c r="G420" s="15"/>
      <c r="H420" s="15"/>
      <c r="I420" s="15"/>
    </row>
    <row r="421" customFormat="false" ht="15" hidden="false" customHeight="false" outlineLevel="0" collapsed="false">
      <c r="A421" s="13"/>
      <c r="B421" s="14"/>
      <c r="C421" s="15"/>
      <c r="D421" s="15"/>
      <c r="E421" s="15"/>
      <c r="F421" s="15"/>
      <c r="G421" s="15"/>
      <c r="H421" s="15"/>
      <c r="I421" s="15"/>
    </row>
    <row r="422" customFormat="false" ht="15" hidden="false" customHeight="false" outlineLevel="0" collapsed="false">
      <c r="A422" s="13"/>
      <c r="B422" s="14"/>
      <c r="C422" s="15"/>
      <c r="D422" s="15"/>
      <c r="E422" s="15"/>
      <c r="F422" s="15"/>
      <c r="G422" s="15"/>
      <c r="H422" s="15"/>
      <c r="I422" s="15"/>
    </row>
    <row r="423" customFormat="false" ht="15" hidden="false" customHeight="false" outlineLevel="0" collapsed="false">
      <c r="A423" s="13"/>
      <c r="B423" s="14"/>
      <c r="C423" s="15"/>
      <c r="D423" s="15"/>
      <c r="E423" s="15"/>
      <c r="F423" s="15"/>
      <c r="G423" s="15"/>
      <c r="H423" s="15"/>
      <c r="I423" s="15"/>
    </row>
    <row r="424" customFormat="false" ht="15" hidden="false" customHeight="false" outlineLevel="0" collapsed="false">
      <c r="A424" s="13"/>
      <c r="B424" s="14"/>
      <c r="C424" s="15"/>
      <c r="D424" s="15"/>
      <c r="E424" s="15"/>
      <c r="F424" s="15"/>
      <c r="G424" s="15"/>
      <c r="H424" s="15"/>
      <c r="I424" s="15"/>
    </row>
    <row r="425" customFormat="false" ht="15" hidden="false" customHeight="false" outlineLevel="0" collapsed="false">
      <c r="A425" s="13"/>
      <c r="B425" s="14"/>
      <c r="C425" s="15"/>
      <c r="D425" s="15"/>
      <c r="E425" s="15"/>
      <c r="F425" s="15"/>
      <c r="G425" s="15"/>
      <c r="H425" s="15"/>
      <c r="I425" s="15"/>
    </row>
    <row r="426" customFormat="false" ht="15" hidden="false" customHeight="false" outlineLevel="0" collapsed="false">
      <c r="A426" s="13"/>
      <c r="B426" s="14"/>
      <c r="C426" s="15"/>
      <c r="D426" s="15"/>
      <c r="E426" s="15"/>
      <c r="F426" s="15"/>
      <c r="G426" s="15"/>
      <c r="H426" s="15"/>
      <c r="I426" s="15"/>
    </row>
    <row r="427" customFormat="false" ht="15" hidden="false" customHeight="false" outlineLevel="0" collapsed="false">
      <c r="A427" s="13"/>
      <c r="B427" s="14"/>
      <c r="C427" s="15"/>
      <c r="D427" s="15"/>
      <c r="E427" s="15"/>
      <c r="F427" s="15"/>
      <c r="G427" s="15"/>
      <c r="H427" s="15"/>
      <c r="I427" s="15"/>
    </row>
    <row r="428" customFormat="false" ht="15" hidden="false" customHeight="false" outlineLevel="0" collapsed="false">
      <c r="A428" s="13"/>
      <c r="B428" s="14"/>
      <c r="C428" s="15"/>
      <c r="D428" s="15"/>
      <c r="E428" s="15"/>
      <c r="F428" s="15"/>
      <c r="G428" s="15"/>
      <c r="H428" s="15"/>
      <c r="I428" s="15"/>
    </row>
    <row r="429" customFormat="false" ht="15" hidden="false" customHeight="false" outlineLevel="0" collapsed="false">
      <c r="A429" s="13"/>
      <c r="B429" s="14"/>
      <c r="C429" s="15"/>
      <c r="D429" s="15"/>
      <c r="E429" s="15"/>
      <c r="F429" s="15"/>
      <c r="G429" s="15"/>
      <c r="H429" s="15"/>
      <c r="I429" s="15"/>
    </row>
    <row r="430" customFormat="false" ht="15" hidden="false" customHeight="false" outlineLevel="0" collapsed="false">
      <c r="A430" s="13"/>
      <c r="B430" s="14"/>
      <c r="C430" s="15"/>
      <c r="D430" s="15"/>
      <c r="E430" s="15"/>
      <c r="F430" s="15"/>
      <c r="G430" s="15"/>
      <c r="H430" s="15"/>
      <c r="I430" s="15"/>
    </row>
    <row r="431" customFormat="false" ht="15" hidden="false" customHeight="false" outlineLevel="0" collapsed="false">
      <c r="A431" s="13"/>
      <c r="B431" s="14"/>
      <c r="C431" s="15"/>
      <c r="D431" s="15"/>
      <c r="E431" s="15"/>
      <c r="F431" s="15"/>
      <c r="G431" s="15"/>
      <c r="H431" s="15"/>
      <c r="I431" s="15"/>
    </row>
    <row r="432" customFormat="false" ht="15" hidden="false" customHeight="false" outlineLevel="0" collapsed="false">
      <c r="A432" s="13"/>
      <c r="B432" s="14"/>
      <c r="C432" s="15"/>
      <c r="D432" s="15"/>
      <c r="E432" s="15"/>
      <c r="F432" s="15"/>
      <c r="G432" s="15"/>
      <c r="H432" s="15"/>
      <c r="I432" s="15"/>
    </row>
    <row r="433" customFormat="false" ht="15" hidden="false" customHeight="false" outlineLevel="0" collapsed="false">
      <c r="A433" s="13"/>
      <c r="B433" s="14"/>
      <c r="C433" s="15"/>
      <c r="D433" s="15"/>
      <c r="E433" s="15"/>
      <c r="F433" s="15"/>
      <c r="G433" s="15"/>
      <c r="H433" s="15"/>
      <c r="I433" s="15"/>
    </row>
    <row r="434" customFormat="false" ht="15" hidden="false" customHeight="false" outlineLevel="0" collapsed="false">
      <c r="A434" s="13"/>
      <c r="B434" s="14"/>
      <c r="C434" s="15"/>
      <c r="D434" s="15"/>
      <c r="E434" s="15"/>
      <c r="F434" s="15"/>
      <c r="G434" s="15"/>
      <c r="H434" s="15"/>
      <c r="I434" s="15"/>
    </row>
    <row r="435" customFormat="false" ht="15" hidden="false" customHeight="false" outlineLevel="0" collapsed="false">
      <c r="A435" s="13"/>
      <c r="B435" s="14"/>
      <c r="C435" s="15"/>
      <c r="D435" s="15"/>
      <c r="E435" s="15"/>
      <c r="F435" s="15"/>
      <c r="G435" s="15"/>
      <c r="H435" s="15"/>
      <c r="I435" s="15"/>
    </row>
    <row r="436" customFormat="false" ht="15" hidden="false" customHeight="false" outlineLevel="0" collapsed="false">
      <c r="A436" s="13"/>
      <c r="B436" s="14"/>
      <c r="C436" s="15"/>
      <c r="D436" s="15"/>
      <c r="E436" s="15"/>
      <c r="F436" s="15"/>
      <c r="G436" s="15"/>
      <c r="H436" s="15"/>
      <c r="I436" s="15"/>
    </row>
    <row r="437" customFormat="false" ht="15" hidden="false" customHeight="false" outlineLevel="0" collapsed="false">
      <c r="A437" s="13"/>
      <c r="B437" s="14"/>
      <c r="C437" s="15"/>
      <c r="D437" s="15"/>
      <c r="E437" s="15"/>
      <c r="F437" s="15"/>
      <c r="G437" s="15"/>
      <c r="H437" s="15"/>
      <c r="I437" s="15"/>
    </row>
    <row r="438" customFormat="false" ht="15" hidden="false" customHeight="false" outlineLevel="0" collapsed="false">
      <c r="A438" s="13"/>
      <c r="B438" s="14"/>
      <c r="C438" s="15"/>
      <c r="D438" s="15"/>
      <c r="E438" s="15"/>
      <c r="F438" s="15"/>
      <c r="G438" s="15"/>
      <c r="H438" s="15"/>
      <c r="I438" s="15"/>
    </row>
    <row r="439" customFormat="false" ht="15" hidden="false" customHeight="false" outlineLevel="0" collapsed="false">
      <c r="A439" s="13"/>
      <c r="B439" s="14"/>
      <c r="C439" s="15"/>
      <c r="D439" s="15"/>
      <c r="E439" s="15"/>
      <c r="F439" s="15"/>
      <c r="G439" s="15"/>
      <c r="H439" s="15"/>
      <c r="I439" s="15"/>
    </row>
    <row r="440" customFormat="false" ht="15" hidden="false" customHeight="false" outlineLevel="0" collapsed="false">
      <c r="A440" s="13"/>
      <c r="B440" s="14"/>
      <c r="C440" s="15"/>
      <c r="D440" s="15"/>
      <c r="E440" s="15"/>
      <c r="F440" s="15"/>
      <c r="G440" s="15"/>
      <c r="H440" s="15"/>
      <c r="I440" s="15"/>
    </row>
    <row r="441" customFormat="false" ht="15" hidden="false" customHeight="false" outlineLevel="0" collapsed="false">
      <c r="A441" s="13"/>
      <c r="B441" s="14"/>
      <c r="C441" s="15"/>
      <c r="D441" s="15"/>
      <c r="E441" s="15"/>
      <c r="F441" s="15"/>
      <c r="G441" s="15"/>
      <c r="H441" s="15"/>
      <c r="I441" s="15"/>
    </row>
    <row r="442" customFormat="false" ht="15" hidden="false" customHeight="false" outlineLevel="0" collapsed="false">
      <c r="A442" s="13"/>
      <c r="B442" s="14"/>
      <c r="C442" s="15"/>
      <c r="D442" s="15"/>
      <c r="E442" s="15"/>
      <c r="F442" s="15"/>
      <c r="G442" s="15"/>
      <c r="H442" s="15"/>
      <c r="I442" s="15"/>
    </row>
    <row r="443" customFormat="false" ht="15" hidden="false" customHeight="false" outlineLevel="0" collapsed="false">
      <c r="A443" s="13"/>
      <c r="B443" s="14"/>
      <c r="C443" s="15"/>
      <c r="D443" s="15"/>
      <c r="E443" s="15"/>
      <c r="F443" s="15"/>
      <c r="G443" s="15"/>
      <c r="H443" s="15"/>
      <c r="I443" s="15"/>
    </row>
    <row r="444" customFormat="false" ht="15" hidden="false" customHeight="false" outlineLevel="0" collapsed="false">
      <c r="A444" s="13"/>
      <c r="B444" s="14"/>
      <c r="C444" s="15"/>
      <c r="D444" s="15"/>
      <c r="E444" s="15"/>
      <c r="F444" s="15"/>
      <c r="G444" s="15"/>
      <c r="H444" s="15"/>
      <c r="I444" s="15"/>
    </row>
    <row r="445" customFormat="false" ht="15" hidden="false" customHeight="false" outlineLevel="0" collapsed="false">
      <c r="A445" s="13"/>
      <c r="B445" s="14"/>
      <c r="C445" s="15"/>
      <c r="D445" s="15"/>
      <c r="E445" s="15"/>
      <c r="F445" s="15"/>
      <c r="G445" s="15"/>
      <c r="H445" s="15"/>
      <c r="I445" s="15"/>
    </row>
    <row r="446" customFormat="false" ht="15" hidden="false" customHeight="false" outlineLevel="0" collapsed="false">
      <c r="A446" s="13"/>
      <c r="B446" s="14"/>
      <c r="C446" s="15"/>
      <c r="D446" s="15"/>
      <c r="E446" s="15"/>
      <c r="F446" s="15"/>
      <c r="G446" s="15"/>
      <c r="H446" s="15"/>
      <c r="I446" s="15"/>
    </row>
    <row r="447" customFormat="false" ht="15" hidden="false" customHeight="false" outlineLevel="0" collapsed="false">
      <c r="A447" s="13"/>
      <c r="B447" s="14"/>
      <c r="C447" s="15"/>
      <c r="D447" s="15"/>
      <c r="E447" s="15"/>
      <c r="F447" s="15"/>
      <c r="G447" s="15"/>
      <c r="H447" s="15"/>
      <c r="I447" s="15"/>
    </row>
    <row r="448" customFormat="false" ht="15" hidden="false" customHeight="false" outlineLevel="0" collapsed="false">
      <c r="A448" s="13"/>
      <c r="B448" s="14"/>
      <c r="C448" s="15"/>
      <c r="D448" s="15"/>
      <c r="E448" s="15"/>
      <c r="F448" s="15"/>
      <c r="G448" s="15"/>
      <c r="H448" s="15"/>
      <c r="I448" s="15"/>
    </row>
    <row r="449" customFormat="false" ht="15" hidden="false" customHeight="false" outlineLevel="0" collapsed="false">
      <c r="A449" s="13"/>
      <c r="B449" s="14"/>
      <c r="C449" s="15"/>
      <c r="D449" s="15"/>
      <c r="E449" s="15"/>
      <c r="F449" s="15"/>
      <c r="G449" s="15"/>
      <c r="H449" s="15"/>
      <c r="I449" s="15"/>
    </row>
    <row r="450" customFormat="false" ht="15" hidden="false" customHeight="false" outlineLevel="0" collapsed="false">
      <c r="A450" s="13"/>
      <c r="B450" s="14"/>
      <c r="C450" s="15"/>
      <c r="D450" s="15"/>
      <c r="E450" s="15"/>
      <c r="F450" s="15"/>
      <c r="G450" s="15"/>
      <c r="H450" s="15"/>
      <c r="I450" s="15"/>
    </row>
    <row r="451" customFormat="false" ht="15" hidden="false" customHeight="false" outlineLevel="0" collapsed="false">
      <c r="A451" s="13"/>
      <c r="B451" s="14"/>
      <c r="C451" s="15"/>
      <c r="D451" s="15"/>
      <c r="E451" s="15"/>
      <c r="F451" s="15"/>
      <c r="G451" s="15"/>
      <c r="H451" s="15"/>
      <c r="I451" s="15"/>
    </row>
    <row r="452" customFormat="false" ht="15" hidden="false" customHeight="false" outlineLevel="0" collapsed="false">
      <c r="A452" s="13"/>
      <c r="B452" s="14"/>
      <c r="C452" s="15"/>
      <c r="D452" s="15"/>
      <c r="E452" s="15"/>
      <c r="F452" s="15"/>
      <c r="G452" s="15"/>
      <c r="H452" s="15"/>
      <c r="I452" s="15"/>
    </row>
    <row r="453" customFormat="false" ht="15" hidden="false" customHeight="false" outlineLevel="0" collapsed="false">
      <c r="A453" s="13"/>
      <c r="B453" s="14"/>
      <c r="C453" s="15"/>
      <c r="D453" s="15"/>
      <c r="E453" s="15"/>
      <c r="F453" s="15"/>
      <c r="G453" s="15"/>
      <c r="H453" s="15"/>
      <c r="I453" s="15"/>
    </row>
    <row r="454" customFormat="false" ht="15" hidden="false" customHeight="false" outlineLevel="0" collapsed="false">
      <c r="A454" s="13"/>
      <c r="B454" s="14"/>
      <c r="C454" s="15"/>
      <c r="D454" s="15"/>
      <c r="E454" s="15"/>
      <c r="F454" s="15"/>
      <c r="G454" s="15"/>
      <c r="H454" s="15"/>
      <c r="I454" s="15"/>
    </row>
    <row r="455" customFormat="false" ht="15" hidden="false" customHeight="false" outlineLevel="0" collapsed="false">
      <c r="A455" s="13"/>
      <c r="B455" s="14"/>
      <c r="C455" s="15"/>
      <c r="D455" s="15"/>
      <c r="E455" s="15"/>
      <c r="F455" s="15"/>
      <c r="G455" s="15"/>
      <c r="H455" s="15"/>
      <c r="I455" s="15"/>
    </row>
    <row r="456" customFormat="false" ht="15" hidden="false" customHeight="false" outlineLevel="0" collapsed="false">
      <c r="A456" s="13"/>
      <c r="B456" s="14"/>
      <c r="C456" s="15"/>
      <c r="D456" s="15"/>
      <c r="E456" s="15"/>
      <c r="F456" s="15"/>
      <c r="G456" s="15"/>
      <c r="H456" s="15"/>
      <c r="I456" s="15"/>
    </row>
    <row r="457" customFormat="false" ht="15" hidden="false" customHeight="false" outlineLevel="0" collapsed="false">
      <c r="A457" s="13"/>
      <c r="B457" s="14"/>
      <c r="C457" s="15"/>
      <c r="D457" s="15"/>
      <c r="E457" s="15"/>
      <c r="F457" s="15"/>
      <c r="G457" s="15"/>
      <c r="H457" s="15"/>
      <c r="I457" s="15"/>
    </row>
    <row r="458" customFormat="false" ht="15" hidden="false" customHeight="false" outlineLevel="0" collapsed="false">
      <c r="A458" s="13"/>
      <c r="B458" s="14"/>
      <c r="C458" s="15"/>
      <c r="D458" s="15"/>
      <c r="E458" s="15"/>
      <c r="F458" s="15"/>
      <c r="G458" s="15"/>
      <c r="H458" s="15"/>
      <c r="I458" s="15"/>
    </row>
    <row r="459" customFormat="false" ht="15" hidden="false" customHeight="false" outlineLevel="0" collapsed="false">
      <c r="A459" s="13"/>
      <c r="B459" s="14"/>
      <c r="C459" s="15"/>
      <c r="D459" s="15"/>
      <c r="E459" s="15"/>
      <c r="F459" s="15"/>
      <c r="G459" s="15"/>
      <c r="H459" s="15"/>
      <c r="I459" s="15"/>
    </row>
    <row r="460" customFormat="false" ht="15" hidden="false" customHeight="false" outlineLevel="0" collapsed="false">
      <c r="A460" s="13"/>
      <c r="B460" s="14"/>
      <c r="C460" s="15"/>
      <c r="D460" s="15"/>
      <c r="E460" s="15"/>
      <c r="F460" s="15"/>
      <c r="G460" s="15"/>
      <c r="H460" s="15"/>
      <c r="I460" s="15"/>
    </row>
    <row r="461" customFormat="false" ht="15" hidden="false" customHeight="false" outlineLevel="0" collapsed="false">
      <c r="A461" s="13"/>
      <c r="B461" s="14"/>
      <c r="C461" s="15"/>
      <c r="D461" s="15"/>
      <c r="E461" s="15"/>
      <c r="F461" s="15"/>
      <c r="G461" s="15"/>
      <c r="H461" s="15"/>
      <c r="I461" s="15"/>
    </row>
    <row r="462" customFormat="false" ht="15" hidden="false" customHeight="false" outlineLevel="0" collapsed="false">
      <c r="A462" s="13"/>
      <c r="B462" s="14"/>
      <c r="C462" s="15"/>
      <c r="D462" s="15"/>
      <c r="E462" s="15"/>
      <c r="F462" s="15"/>
      <c r="G462" s="15"/>
      <c r="H462" s="15"/>
      <c r="I462" s="15"/>
    </row>
    <row r="463" customFormat="false" ht="15" hidden="false" customHeight="false" outlineLevel="0" collapsed="false">
      <c r="A463" s="13"/>
      <c r="B463" s="14"/>
      <c r="C463" s="15"/>
      <c r="D463" s="15"/>
      <c r="E463" s="15"/>
      <c r="F463" s="15"/>
      <c r="G463" s="15"/>
      <c r="H463" s="15"/>
      <c r="I463" s="15"/>
    </row>
    <row r="464" customFormat="false" ht="15" hidden="false" customHeight="false" outlineLevel="0" collapsed="false">
      <c r="A464" s="13"/>
      <c r="B464" s="14"/>
      <c r="C464" s="15"/>
      <c r="D464" s="15"/>
      <c r="E464" s="15"/>
      <c r="F464" s="15"/>
      <c r="G464" s="15"/>
      <c r="H464" s="15"/>
      <c r="I464" s="15"/>
    </row>
    <row r="465" customFormat="false" ht="15" hidden="false" customHeight="false" outlineLevel="0" collapsed="false">
      <c r="A465" s="13"/>
      <c r="B465" s="14"/>
      <c r="C465" s="15"/>
      <c r="D465" s="15"/>
      <c r="E465" s="15"/>
      <c r="F465" s="15"/>
      <c r="G465" s="15"/>
      <c r="H465" s="15"/>
      <c r="I465" s="15"/>
    </row>
    <row r="466" customFormat="false" ht="15" hidden="false" customHeight="false" outlineLevel="0" collapsed="false">
      <c r="A466" s="13"/>
      <c r="B466" s="14"/>
      <c r="C466" s="15"/>
      <c r="D466" s="15"/>
      <c r="E466" s="15"/>
      <c r="F466" s="15"/>
      <c r="G466" s="15"/>
      <c r="H466" s="15"/>
      <c r="I466" s="15"/>
    </row>
    <row r="467" customFormat="false" ht="15" hidden="false" customHeight="false" outlineLevel="0" collapsed="false">
      <c r="A467" s="13"/>
      <c r="B467" s="14"/>
      <c r="C467" s="15"/>
      <c r="D467" s="15"/>
      <c r="E467" s="15"/>
      <c r="F467" s="15"/>
      <c r="G467" s="15"/>
      <c r="H467" s="15"/>
      <c r="I467" s="15"/>
    </row>
    <row r="468" customFormat="false" ht="15" hidden="false" customHeight="false" outlineLevel="0" collapsed="false">
      <c r="A468" s="13"/>
      <c r="B468" s="14"/>
      <c r="C468" s="15"/>
      <c r="D468" s="15"/>
      <c r="E468" s="15"/>
      <c r="F468" s="15"/>
      <c r="G468" s="15"/>
      <c r="H468" s="15"/>
      <c r="I468" s="15"/>
    </row>
    <row r="469" customFormat="false" ht="15" hidden="false" customHeight="false" outlineLevel="0" collapsed="false">
      <c r="A469" s="13"/>
      <c r="B469" s="14"/>
      <c r="C469" s="15"/>
      <c r="D469" s="15"/>
      <c r="E469" s="15"/>
      <c r="F469" s="15"/>
      <c r="G469" s="15"/>
      <c r="H469" s="15"/>
      <c r="I469" s="15"/>
    </row>
    <row r="470" customFormat="false" ht="15" hidden="false" customHeight="false" outlineLevel="0" collapsed="false">
      <c r="A470" s="13"/>
      <c r="B470" s="14"/>
      <c r="C470" s="15"/>
      <c r="D470" s="15"/>
      <c r="E470" s="15"/>
      <c r="F470" s="15"/>
      <c r="G470" s="15"/>
      <c r="H470" s="15"/>
      <c r="I470" s="15"/>
    </row>
    <row r="471" customFormat="false" ht="15" hidden="false" customHeight="false" outlineLevel="0" collapsed="false">
      <c r="A471" s="13"/>
      <c r="B471" s="14"/>
      <c r="C471" s="15"/>
      <c r="D471" s="15"/>
      <c r="E471" s="15"/>
      <c r="F471" s="15"/>
      <c r="G471" s="15"/>
      <c r="H471" s="15"/>
      <c r="I471" s="15"/>
    </row>
    <row r="472" customFormat="false" ht="15" hidden="false" customHeight="false" outlineLevel="0" collapsed="false">
      <c r="A472" s="13"/>
      <c r="B472" s="14"/>
      <c r="C472" s="15"/>
      <c r="D472" s="15"/>
      <c r="E472" s="15"/>
      <c r="F472" s="15"/>
      <c r="G472" s="15"/>
      <c r="H472" s="15"/>
      <c r="I472" s="15"/>
    </row>
    <row r="473" customFormat="false" ht="15" hidden="false" customHeight="false" outlineLevel="0" collapsed="false">
      <c r="A473" s="13"/>
      <c r="B473" s="14"/>
      <c r="C473" s="15"/>
      <c r="D473" s="15"/>
      <c r="E473" s="15"/>
      <c r="F473" s="15"/>
      <c r="G473" s="15"/>
      <c r="H473" s="15"/>
      <c r="I473" s="15"/>
    </row>
    <row r="474" customFormat="false" ht="15" hidden="false" customHeight="false" outlineLevel="0" collapsed="false">
      <c r="A474" s="13"/>
      <c r="B474" s="14"/>
      <c r="C474" s="15"/>
      <c r="D474" s="15"/>
      <c r="E474" s="15"/>
      <c r="F474" s="15"/>
      <c r="G474" s="15"/>
      <c r="H474" s="15"/>
      <c r="I474" s="15"/>
    </row>
    <row r="475" customFormat="false" ht="15" hidden="false" customHeight="false" outlineLevel="0" collapsed="false">
      <c r="A475" s="13"/>
      <c r="B475" s="14"/>
      <c r="C475" s="15"/>
      <c r="D475" s="15"/>
      <c r="E475" s="15"/>
      <c r="F475" s="15"/>
      <c r="G475" s="15"/>
      <c r="H475" s="15"/>
      <c r="I475" s="15"/>
    </row>
    <row r="476" customFormat="false" ht="15" hidden="false" customHeight="false" outlineLevel="0" collapsed="false">
      <c r="A476" s="13"/>
      <c r="B476" s="14"/>
      <c r="C476" s="15"/>
      <c r="D476" s="15"/>
      <c r="E476" s="15"/>
      <c r="F476" s="15"/>
      <c r="G476" s="15"/>
      <c r="H476" s="15"/>
      <c r="I476" s="15"/>
    </row>
    <row r="477" customFormat="false" ht="15" hidden="false" customHeight="false" outlineLevel="0" collapsed="false">
      <c r="A477" s="13"/>
      <c r="B477" s="14"/>
      <c r="C477" s="15"/>
      <c r="D477" s="15"/>
      <c r="E477" s="15"/>
      <c r="F477" s="15"/>
      <c r="G477" s="15"/>
      <c r="H477" s="15"/>
      <c r="I477" s="15"/>
    </row>
    <row r="478" customFormat="false" ht="15" hidden="false" customHeight="false" outlineLevel="0" collapsed="false">
      <c r="A478" s="13"/>
      <c r="B478" s="14"/>
      <c r="C478" s="15"/>
      <c r="D478" s="15"/>
      <c r="E478" s="15"/>
      <c r="F478" s="15"/>
      <c r="G478" s="15"/>
      <c r="H478" s="15"/>
      <c r="I478" s="15"/>
    </row>
    <row r="479" customFormat="false" ht="15" hidden="false" customHeight="false" outlineLevel="0" collapsed="false">
      <c r="A479" s="13"/>
      <c r="B479" s="14"/>
      <c r="C479" s="15"/>
      <c r="D479" s="15"/>
      <c r="E479" s="15"/>
      <c r="F479" s="15"/>
      <c r="G479" s="15"/>
      <c r="H479" s="15"/>
      <c r="I479" s="15"/>
    </row>
    <row r="480" customFormat="false" ht="15" hidden="false" customHeight="false" outlineLevel="0" collapsed="false">
      <c r="A480" s="13"/>
      <c r="B480" s="14"/>
      <c r="C480" s="15"/>
      <c r="D480" s="15"/>
      <c r="E480" s="15"/>
      <c r="F480" s="15"/>
      <c r="G480" s="15"/>
      <c r="H480" s="15"/>
      <c r="I480" s="15"/>
    </row>
    <row r="481" customFormat="false" ht="15" hidden="false" customHeight="false" outlineLevel="0" collapsed="false">
      <c r="A481" s="13"/>
      <c r="B481" s="14"/>
      <c r="C481" s="15"/>
      <c r="D481" s="15"/>
      <c r="E481" s="15"/>
      <c r="F481" s="15"/>
      <c r="G481" s="15"/>
      <c r="H481" s="15"/>
      <c r="I481" s="15"/>
    </row>
    <row r="482" customFormat="false" ht="15" hidden="false" customHeight="false" outlineLevel="0" collapsed="false">
      <c r="A482" s="13"/>
      <c r="B482" s="14"/>
      <c r="C482" s="15"/>
      <c r="D482" s="15"/>
      <c r="E482" s="15"/>
      <c r="F482" s="15"/>
      <c r="G482" s="15"/>
      <c r="H482" s="15"/>
      <c r="I482" s="15"/>
    </row>
    <row r="483" customFormat="false" ht="15" hidden="false" customHeight="false" outlineLevel="0" collapsed="false">
      <c r="A483" s="13"/>
      <c r="B483" s="14"/>
      <c r="C483" s="15"/>
      <c r="D483" s="15"/>
      <c r="E483" s="15"/>
      <c r="F483" s="15"/>
      <c r="G483" s="15"/>
      <c r="H483" s="15"/>
      <c r="I483" s="15"/>
    </row>
    <row r="484" customFormat="false" ht="15" hidden="false" customHeight="false" outlineLevel="0" collapsed="false">
      <c r="A484" s="13"/>
      <c r="B484" s="14"/>
      <c r="C484" s="15"/>
      <c r="D484" s="15"/>
      <c r="E484" s="15"/>
      <c r="F484" s="15"/>
      <c r="G484" s="15"/>
      <c r="H484" s="15"/>
      <c r="I484" s="15"/>
    </row>
    <row r="485" customFormat="false" ht="15" hidden="false" customHeight="false" outlineLevel="0" collapsed="false">
      <c r="A485" s="13"/>
      <c r="B485" s="14"/>
      <c r="C485" s="15"/>
      <c r="D485" s="15"/>
      <c r="E485" s="15"/>
      <c r="F485" s="15"/>
      <c r="G485" s="15"/>
      <c r="H485" s="15"/>
      <c r="I485" s="15"/>
    </row>
    <row r="486" customFormat="false" ht="15" hidden="false" customHeight="false" outlineLevel="0" collapsed="false">
      <c r="A486" s="13"/>
      <c r="B486" s="14"/>
      <c r="C486" s="15"/>
      <c r="D486" s="15"/>
      <c r="E486" s="15"/>
      <c r="F486" s="15"/>
      <c r="G486" s="15"/>
      <c r="H486" s="15"/>
      <c r="I486" s="15"/>
    </row>
    <row r="487" customFormat="false" ht="15" hidden="false" customHeight="false" outlineLevel="0" collapsed="false">
      <c r="A487" s="13"/>
      <c r="B487" s="14"/>
      <c r="C487" s="15"/>
      <c r="D487" s="15"/>
      <c r="E487" s="15"/>
      <c r="F487" s="15"/>
      <c r="G487" s="15"/>
      <c r="H487" s="15"/>
      <c r="I487" s="15"/>
    </row>
    <row r="488" customFormat="false" ht="15" hidden="false" customHeight="false" outlineLevel="0" collapsed="false">
      <c r="A488" s="13"/>
      <c r="B488" s="14"/>
      <c r="C488" s="15"/>
      <c r="D488" s="15"/>
      <c r="E488" s="15"/>
      <c r="F488" s="15"/>
      <c r="G488" s="15"/>
      <c r="H488" s="15"/>
      <c r="I488" s="15"/>
    </row>
    <row r="489" customFormat="false" ht="15" hidden="false" customHeight="false" outlineLevel="0" collapsed="false">
      <c r="A489" s="13"/>
      <c r="B489" s="14"/>
      <c r="C489" s="15"/>
      <c r="D489" s="15"/>
      <c r="E489" s="15"/>
      <c r="F489" s="15"/>
      <c r="G489" s="15"/>
      <c r="H489" s="15"/>
      <c r="I489" s="15"/>
    </row>
    <row r="490" customFormat="false" ht="15" hidden="false" customHeight="false" outlineLevel="0" collapsed="false">
      <c r="A490" s="13"/>
      <c r="B490" s="14"/>
      <c r="C490" s="15"/>
      <c r="D490" s="15"/>
      <c r="E490" s="15"/>
      <c r="F490" s="15"/>
      <c r="G490" s="15"/>
      <c r="H490" s="15"/>
      <c r="I490" s="15"/>
    </row>
    <row r="491" customFormat="false" ht="15" hidden="false" customHeight="false" outlineLevel="0" collapsed="false">
      <c r="A491" s="13"/>
      <c r="B491" s="14"/>
      <c r="C491" s="15"/>
      <c r="D491" s="15"/>
      <c r="E491" s="15"/>
      <c r="F491" s="15"/>
      <c r="G491" s="15"/>
      <c r="H491" s="15"/>
      <c r="I491" s="15"/>
    </row>
    <row r="492" customFormat="false" ht="15" hidden="false" customHeight="false" outlineLevel="0" collapsed="false">
      <c r="A492" s="13"/>
      <c r="B492" s="14"/>
      <c r="C492" s="15"/>
      <c r="D492" s="15"/>
      <c r="E492" s="15"/>
      <c r="F492" s="15"/>
      <c r="G492" s="15"/>
      <c r="H492" s="15"/>
      <c r="I492" s="15"/>
    </row>
    <row r="493" customFormat="false" ht="15" hidden="false" customHeight="false" outlineLevel="0" collapsed="false">
      <c r="A493" s="13"/>
      <c r="B493" s="14"/>
      <c r="C493" s="15"/>
      <c r="D493" s="15"/>
      <c r="E493" s="15"/>
      <c r="F493" s="15"/>
      <c r="G493" s="15"/>
      <c r="H493" s="15"/>
      <c r="I493" s="15"/>
    </row>
    <row r="494" customFormat="false" ht="15" hidden="false" customHeight="false" outlineLevel="0" collapsed="false">
      <c r="A494" s="13"/>
      <c r="B494" s="14"/>
      <c r="C494" s="15"/>
      <c r="D494" s="15"/>
      <c r="E494" s="15"/>
      <c r="F494" s="15"/>
      <c r="G494" s="15"/>
      <c r="H494" s="15"/>
      <c r="I494" s="15"/>
    </row>
    <row r="495" customFormat="false" ht="15" hidden="false" customHeight="false" outlineLevel="0" collapsed="false">
      <c r="A495" s="13"/>
      <c r="B495" s="14"/>
      <c r="C495" s="15"/>
      <c r="D495" s="15"/>
      <c r="E495" s="15"/>
      <c r="F495" s="15"/>
      <c r="G495" s="15"/>
      <c r="H495" s="15"/>
      <c r="I495" s="15"/>
    </row>
    <row r="496" customFormat="false" ht="15" hidden="false" customHeight="false" outlineLevel="0" collapsed="false">
      <c r="A496" s="13"/>
      <c r="B496" s="14"/>
      <c r="C496" s="15"/>
      <c r="D496" s="15"/>
      <c r="E496" s="15"/>
      <c r="F496" s="15"/>
      <c r="G496" s="15"/>
      <c r="H496" s="15"/>
      <c r="I496" s="15"/>
    </row>
    <row r="497" customFormat="false" ht="15" hidden="false" customHeight="false" outlineLevel="0" collapsed="false">
      <c r="A497" s="13"/>
      <c r="B497" s="14"/>
      <c r="C497" s="15"/>
      <c r="D497" s="15"/>
      <c r="E497" s="15"/>
      <c r="F497" s="15"/>
      <c r="G497" s="15"/>
      <c r="H497" s="15"/>
      <c r="I497" s="15"/>
    </row>
    <row r="498" customFormat="false" ht="15" hidden="false" customHeight="false" outlineLevel="0" collapsed="false">
      <c r="A498" s="13"/>
      <c r="B498" s="14"/>
      <c r="C498" s="15"/>
      <c r="D498" s="15"/>
      <c r="E498" s="15"/>
      <c r="F498" s="15"/>
      <c r="G498" s="15"/>
      <c r="H498" s="15"/>
      <c r="I498" s="15"/>
    </row>
    <row r="499" customFormat="false" ht="15" hidden="false" customHeight="false" outlineLevel="0" collapsed="false">
      <c r="A499" s="13"/>
      <c r="B499" s="14"/>
      <c r="C499" s="15"/>
      <c r="D499" s="15"/>
      <c r="E499" s="15"/>
      <c r="F499" s="15"/>
      <c r="G499" s="15"/>
      <c r="H499" s="15"/>
      <c r="I499" s="15"/>
    </row>
    <row r="500" customFormat="false" ht="15" hidden="false" customHeight="false" outlineLevel="0" collapsed="false">
      <c r="A500" s="13"/>
      <c r="B500" s="14"/>
      <c r="C500" s="15"/>
      <c r="D500" s="15"/>
      <c r="E500" s="15"/>
      <c r="F500" s="15"/>
      <c r="G500" s="15"/>
      <c r="H500" s="15"/>
      <c r="I500" s="15"/>
    </row>
    <row r="501" customFormat="false" ht="15" hidden="false" customHeight="false" outlineLevel="0" collapsed="false">
      <c r="A501" s="13"/>
      <c r="B501" s="14"/>
      <c r="C501" s="15"/>
      <c r="D501" s="15"/>
      <c r="E501" s="15"/>
      <c r="F501" s="15"/>
      <c r="G501" s="15"/>
      <c r="H501" s="15"/>
      <c r="I501" s="15"/>
    </row>
    <row r="502" customFormat="false" ht="15" hidden="false" customHeight="false" outlineLevel="0" collapsed="false">
      <c r="A502" s="13"/>
      <c r="B502" s="14"/>
      <c r="C502" s="15"/>
      <c r="D502" s="15"/>
      <c r="E502" s="15"/>
      <c r="F502" s="15"/>
      <c r="G502" s="15"/>
      <c r="H502" s="15"/>
      <c r="I502" s="15"/>
    </row>
    <row r="503" customFormat="false" ht="15" hidden="false" customHeight="false" outlineLevel="0" collapsed="false">
      <c r="A503" s="13"/>
      <c r="B503" s="14"/>
      <c r="C503" s="15"/>
      <c r="D503" s="15"/>
      <c r="E503" s="15"/>
      <c r="F503" s="15"/>
      <c r="G503" s="15"/>
      <c r="H503" s="15"/>
      <c r="I503" s="15"/>
    </row>
    <row r="504" customFormat="false" ht="15" hidden="false" customHeight="false" outlineLevel="0" collapsed="false">
      <c r="A504" s="13"/>
      <c r="B504" s="14"/>
      <c r="C504" s="15"/>
      <c r="D504" s="15"/>
      <c r="E504" s="15"/>
      <c r="F504" s="15"/>
      <c r="G504" s="15"/>
      <c r="H504" s="15"/>
      <c r="I504" s="15"/>
    </row>
    <row r="505" customFormat="false" ht="15" hidden="false" customHeight="false" outlineLevel="0" collapsed="false">
      <c r="A505" s="13"/>
      <c r="B505" s="14"/>
      <c r="C505" s="15"/>
      <c r="D505" s="15"/>
      <c r="E505" s="15"/>
      <c r="F505" s="15"/>
      <c r="G505" s="15"/>
      <c r="H505" s="15"/>
      <c r="I505" s="15"/>
    </row>
    <row r="506" customFormat="false" ht="15" hidden="false" customHeight="false" outlineLevel="0" collapsed="false">
      <c r="A506" s="13"/>
      <c r="B506" s="14"/>
      <c r="C506" s="15"/>
      <c r="D506" s="15"/>
      <c r="E506" s="15"/>
      <c r="F506" s="15"/>
      <c r="G506" s="15"/>
      <c r="H506" s="15"/>
      <c r="I506" s="15"/>
    </row>
    <row r="507" customFormat="false" ht="15" hidden="false" customHeight="false" outlineLevel="0" collapsed="false">
      <c r="A507" s="13"/>
      <c r="B507" s="14"/>
      <c r="C507" s="15"/>
      <c r="D507" s="15"/>
      <c r="E507" s="15"/>
      <c r="F507" s="15"/>
      <c r="G507" s="15"/>
      <c r="H507" s="15"/>
      <c r="I507" s="15"/>
    </row>
    <row r="508" customFormat="false" ht="15" hidden="false" customHeight="false" outlineLevel="0" collapsed="false">
      <c r="A508" s="13"/>
      <c r="B508" s="14"/>
      <c r="C508" s="15"/>
      <c r="D508" s="15"/>
      <c r="E508" s="15"/>
      <c r="F508" s="15"/>
      <c r="G508" s="15"/>
      <c r="H508" s="15"/>
      <c r="I508" s="15"/>
    </row>
    <row r="509" customFormat="false" ht="15" hidden="false" customHeight="false" outlineLevel="0" collapsed="false">
      <c r="A509" s="13"/>
      <c r="B509" s="14"/>
      <c r="C509" s="15"/>
      <c r="D509" s="15"/>
      <c r="E509" s="15"/>
      <c r="F509" s="15"/>
      <c r="G509" s="15"/>
      <c r="H509" s="15"/>
      <c r="I509" s="15"/>
    </row>
    <row r="510" customFormat="false" ht="15" hidden="false" customHeight="false" outlineLevel="0" collapsed="false">
      <c r="A510" s="13"/>
      <c r="B510" s="14"/>
      <c r="C510" s="15"/>
      <c r="D510" s="15"/>
      <c r="E510" s="15"/>
      <c r="F510" s="15"/>
      <c r="G510" s="15"/>
      <c r="H510" s="15"/>
      <c r="I510" s="15"/>
    </row>
    <row r="511" customFormat="false" ht="15" hidden="false" customHeight="false" outlineLevel="0" collapsed="false">
      <c r="A511" s="13"/>
      <c r="B511" s="14"/>
      <c r="C511" s="15"/>
      <c r="D511" s="15"/>
      <c r="E511" s="15"/>
      <c r="F511" s="15"/>
      <c r="G511" s="15"/>
      <c r="H511" s="15"/>
      <c r="I511" s="15"/>
    </row>
    <row r="512" customFormat="false" ht="15" hidden="false" customHeight="false" outlineLevel="0" collapsed="false">
      <c r="A512" s="13"/>
      <c r="B512" s="14"/>
      <c r="C512" s="15"/>
      <c r="D512" s="15"/>
      <c r="E512" s="15"/>
      <c r="F512" s="15"/>
      <c r="G512" s="15"/>
      <c r="H512" s="15"/>
      <c r="I512" s="15"/>
    </row>
    <row r="513" customFormat="false" ht="15" hidden="false" customHeight="false" outlineLevel="0" collapsed="false">
      <c r="A513" s="13"/>
      <c r="B513" s="14"/>
      <c r="C513" s="15"/>
      <c r="D513" s="15"/>
      <c r="E513" s="15"/>
      <c r="F513" s="15"/>
      <c r="G513" s="15"/>
      <c r="H513" s="15"/>
      <c r="I513" s="15"/>
    </row>
    <row r="514" customFormat="false" ht="15" hidden="false" customHeight="false" outlineLevel="0" collapsed="false">
      <c r="A514" s="13"/>
      <c r="B514" s="14"/>
      <c r="C514" s="15"/>
      <c r="D514" s="15"/>
      <c r="E514" s="15"/>
      <c r="F514" s="15"/>
      <c r="G514" s="15"/>
      <c r="H514" s="15"/>
      <c r="I514" s="15"/>
    </row>
    <row r="515" customFormat="false" ht="15" hidden="false" customHeight="false" outlineLevel="0" collapsed="false">
      <c r="A515" s="13"/>
      <c r="B515" s="14"/>
      <c r="C515" s="15"/>
      <c r="D515" s="15"/>
      <c r="E515" s="15"/>
      <c r="F515" s="15"/>
      <c r="G515" s="15"/>
      <c r="H515" s="15"/>
      <c r="I515" s="15"/>
    </row>
    <row r="516" customFormat="false" ht="15" hidden="false" customHeight="false" outlineLevel="0" collapsed="false">
      <c r="A516" s="13"/>
      <c r="B516" s="14"/>
      <c r="C516" s="15"/>
      <c r="D516" s="15"/>
      <c r="E516" s="15"/>
      <c r="F516" s="15"/>
      <c r="G516" s="15"/>
      <c r="H516" s="15"/>
      <c r="I516" s="15"/>
    </row>
    <row r="517" customFormat="false" ht="15" hidden="false" customHeight="false" outlineLevel="0" collapsed="false">
      <c r="A517" s="13"/>
      <c r="B517" s="14"/>
      <c r="C517" s="15"/>
      <c r="D517" s="15"/>
      <c r="E517" s="15"/>
      <c r="F517" s="15"/>
      <c r="G517" s="15"/>
      <c r="H517" s="15"/>
      <c r="I517" s="15"/>
    </row>
    <row r="518" customFormat="false" ht="15" hidden="false" customHeight="false" outlineLevel="0" collapsed="false">
      <c r="A518" s="13"/>
      <c r="B518" s="14"/>
      <c r="C518" s="15"/>
      <c r="D518" s="15"/>
      <c r="E518" s="15"/>
      <c r="F518" s="15"/>
      <c r="G518" s="15"/>
      <c r="H518" s="15"/>
      <c r="I518" s="15"/>
    </row>
    <row r="519" customFormat="false" ht="15" hidden="false" customHeight="false" outlineLevel="0" collapsed="false">
      <c r="A519" s="13"/>
      <c r="B519" s="14"/>
      <c r="C519" s="15"/>
      <c r="D519" s="15"/>
      <c r="E519" s="15"/>
      <c r="F519" s="15"/>
      <c r="G519" s="15"/>
      <c r="H519" s="15"/>
      <c r="I519" s="15"/>
    </row>
    <row r="520" customFormat="false" ht="15" hidden="false" customHeight="false" outlineLevel="0" collapsed="false">
      <c r="A520" s="13"/>
      <c r="B520" s="14"/>
      <c r="C520" s="15"/>
      <c r="D520" s="15"/>
      <c r="E520" s="15"/>
      <c r="F520" s="15"/>
      <c r="G520" s="15"/>
      <c r="H520" s="15"/>
      <c r="I520" s="15"/>
    </row>
    <row r="521" customFormat="false" ht="15" hidden="false" customHeight="false" outlineLevel="0" collapsed="false">
      <c r="A521" s="13"/>
      <c r="B521" s="14"/>
      <c r="C521" s="15"/>
      <c r="D521" s="15"/>
      <c r="E521" s="15"/>
      <c r="F521" s="15"/>
      <c r="G521" s="15"/>
      <c r="H521" s="15"/>
      <c r="I521" s="15"/>
    </row>
    <row r="522" customFormat="false" ht="15" hidden="false" customHeight="false" outlineLevel="0" collapsed="false">
      <c r="A522" s="13"/>
      <c r="B522" s="14"/>
      <c r="C522" s="15"/>
      <c r="D522" s="15"/>
      <c r="E522" s="15"/>
      <c r="F522" s="15"/>
      <c r="G522" s="15"/>
      <c r="H522" s="15"/>
      <c r="I522" s="15"/>
    </row>
    <row r="523" customFormat="false" ht="15" hidden="false" customHeight="false" outlineLevel="0" collapsed="false">
      <c r="A523" s="13"/>
      <c r="B523" s="14"/>
      <c r="C523" s="15"/>
      <c r="D523" s="15"/>
      <c r="E523" s="15"/>
      <c r="F523" s="15"/>
      <c r="G523" s="15"/>
      <c r="H523" s="15"/>
      <c r="I523" s="15"/>
    </row>
    <row r="524" customFormat="false" ht="15" hidden="false" customHeight="false" outlineLevel="0" collapsed="false">
      <c r="A524" s="13"/>
      <c r="B524" s="14"/>
      <c r="C524" s="15"/>
      <c r="D524" s="15"/>
      <c r="E524" s="15"/>
      <c r="F524" s="15"/>
      <c r="G524" s="15"/>
      <c r="H524" s="15"/>
      <c r="I524" s="15"/>
    </row>
    <row r="525" customFormat="false" ht="15" hidden="false" customHeight="false" outlineLevel="0" collapsed="false">
      <c r="A525" s="13"/>
      <c r="B525" s="14"/>
      <c r="C525" s="15"/>
      <c r="D525" s="15"/>
      <c r="E525" s="15"/>
      <c r="F525" s="15"/>
      <c r="G525" s="15"/>
      <c r="H525" s="15"/>
      <c r="I525" s="15"/>
    </row>
    <row r="526" customFormat="false" ht="15" hidden="false" customHeight="false" outlineLevel="0" collapsed="false">
      <c r="A526" s="13"/>
      <c r="B526" s="14"/>
      <c r="C526" s="15"/>
      <c r="D526" s="15"/>
      <c r="E526" s="15"/>
      <c r="F526" s="15"/>
      <c r="G526" s="15"/>
      <c r="H526" s="15"/>
      <c r="I526" s="15"/>
    </row>
    <row r="527" customFormat="false" ht="15" hidden="false" customHeight="false" outlineLevel="0" collapsed="false">
      <c r="A527" s="13"/>
      <c r="B527" s="14"/>
      <c r="C527" s="15"/>
      <c r="D527" s="15"/>
      <c r="E527" s="15"/>
      <c r="F527" s="15"/>
      <c r="G527" s="15"/>
      <c r="H527" s="15"/>
      <c r="I527" s="15"/>
    </row>
    <row r="528" customFormat="false" ht="15" hidden="false" customHeight="false" outlineLevel="0" collapsed="false">
      <c r="A528" s="13"/>
      <c r="B528" s="14"/>
      <c r="C528" s="15"/>
      <c r="D528" s="15"/>
      <c r="E528" s="15"/>
      <c r="F528" s="15"/>
      <c r="G528" s="15"/>
      <c r="H528" s="15"/>
      <c r="I528" s="15"/>
    </row>
    <row r="529" customFormat="false" ht="15" hidden="false" customHeight="false" outlineLevel="0" collapsed="false">
      <c r="A529" s="13"/>
      <c r="B529" s="14"/>
      <c r="C529" s="15"/>
      <c r="D529" s="15"/>
      <c r="E529" s="15"/>
      <c r="F529" s="15"/>
      <c r="G529" s="15"/>
      <c r="H529" s="15"/>
      <c r="I529" s="15"/>
    </row>
    <row r="530" customFormat="false" ht="15" hidden="false" customHeight="false" outlineLevel="0" collapsed="false">
      <c r="A530" s="13"/>
      <c r="B530" s="14"/>
      <c r="C530" s="15"/>
      <c r="D530" s="15"/>
      <c r="E530" s="15"/>
      <c r="F530" s="15"/>
      <c r="G530" s="15"/>
      <c r="H530" s="15"/>
      <c r="I530" s="15"/>
    </row>
    <row r="531" customFormat="false" ht="15" hidden="false" customHeight="false" outlineLevel="0" collapsed="false">
      <c r="A531" s="13"/>
      <c r="B531" s="14"/>
      <c r="C531" s="15"/>
      <c r="D531" s="15"/>
      <c r="E531" s="15"/>
      <c r="F531" s="15"/>
      <c r="G531" s="15"/>
      <c r="H531" s="15"/>
      <c r="I531" s="15"/>
    </row>
    <row r="532" customFormat="false" ht="15" hidden="false" customHeight="false" outlineLevel="0" collapsed="false">
      <c r="A532" s="13"/>
      <c r="B532" s="14"/>
      <c r="C532" s="15"/>
      <c r="D532" s="15"/>
      <c r="E532" s="15"/>
      <c r="F532" s="15"/>
      <c r="G532" s="15"/>
      <c r="H532" s="15"/>
      <c r="I532" s="15"/>
    </row>
    <row r="533" customFormat="false" ht="15" hidden="false" customHeight="false" outlineLevel="0" collapsed="false">
      <c r="A533" s="13"/>
      <c r="B533" s="14"/>
      <c r="C533" s="15"/>
      <c r="D533" s="15"/>
      <c r="E533" s="15"/>
      <c r="F533" s="15"/>
      <c r="G533" s="15"/>
      <c r="H533" s="15"/>
      <c r="I533" s="15"/>
    </row>
    <row r="534" customFormat="false" ht="15" hidden="false" customHeight="false" outlineLevel="0" collapsed="false">
      <c r="A534" s="13"/>
      <c r="B534" s="14"/>
      <c r="C534" s="15"/>
      <c r="D534" s="15"/>
      <c r="E534" s="15"/>
      <c r="F534" s="15"/>
      <c r="G534" s="15"/>
      <c r="H534" s="15"/>
      <c r="I534" s="15"/>
    </row>
    <row r="535" customFormat="false" ht="15" hidden="false" customHeight="false" outlineLevel="0" collapsed="false">
      <c r="A535" s="13"/>
      <c r="B535" s="14"/>
      <c r="C535" s="15"/>
      <c r="D535" s="15"/>
      <c r="E535" s="15"/>
      <c r="F535" s="15"/>
      <c r="G535" s="15"/>
      <c r="H535" s="15"/>
      <c r="I535" s="15"/>
    </row>
    <row r="536" customFormat="false" ht="15" hidden="false" customHeight="false" outlineLevel="0" collapsed="false">
      <c r="A536" s="13"/>
      <c r="B536" s="14"/>
      <c r="C536" s="15"/>
      <c r="D536" s="15"/>
      <c r="E536" s="15"/>
      <c r="F536" s="15"/>
      <c r="G536" s="15"/>
      <c r="H536" s="15"/>
      <c r="I536" s="15"/>
    </row>
    <row r="537" customFormat="false" ht="15" hidden="false" customHeight="false" outlineLevel="0" collapsed="false">
      <c r="A537" s="13"/>
      <c r="B537" s="14"/>
      <c r="C537" s="15"/>
      <c r="D537" s="15"/>
      <c r="E537" s="15"/>
      <c r="F537" s="15"/>
      <c r="G537" s="15"/>
      <c r="H537" s="15"/>
      <c r="I537" s="15"/>
    </row>
    <row r="538" customFormat="false" ht="15" hidden="false" customHeight="false" outlineLevel="0" collapsed="false">
      <c r="A538" s="13"/>
      <c r="B538" s="14"/>
      <c r="C538" s="15"/>
      <c r="D538" s="15"/>
      <c r="E538" s="15"/>
      <c r="F538" s="15"/>
      <c r="G538" s="15"/>
      <c r="H538" s="15"/>
      <c r="I538" s="15"/>
    </row>
    <row r="539" customFormat="false" ht="15" hidden="false" customHeight="false" outlineLevel="0" collapsed="false">
      <c r="A539" s="13"/>
      <c r="B539" s="14"/>
      <c r="C539" s="15"/>
      <c r="D539" s="15"/>
      <c r="E539" s="15"/>
      <c r="F539" s="15"/>
      <c r="G539" s="15"/>
      <c r="H539" s="15"/>
      <c r="I539" s="15"/>
    </row>
    <row r="540" customFormat="false" ht="15" hidden="false" customHeight="false" outlineLevel="0" collapsed="false">
      <c r="A540" s="13"/>
      <c r="B540" s="14"/>
      <c r="C540" s="15"/>
      <c r="D540" s="15"/>
      <c r="E540" s="15"/>
      <c r="F540" s="15"/>
      <c r="G540" s="15"/>
      <c r="H540" s="15"/>
      <c r="I540" s="15"/>
    </row>
    <row r="541" customFormat="false" ht="15" hidden="false" customHeight="false" outlineLevel="0" collapsed="false">
      <c r="A541" s="13"/>
      <c r="B541" s="14"/>
      <c r="C541" s="15"/>
      <c r="D541" s="15"/>
      <c r="E541" s="15"/>
      <c r="F541" s="15"/>
      <c r="G541" s="15"/>
      <c r="H541" s="15"/>
      <c r="I541" s="15"/>
    </row>
    <row r="542" customFormat="false" ht="15" hidden="false" customHeight="false" outlineLevel="0" collapsed="false">
      <c r="A542" s="13"/>
      <c r="B542" s="14"/>
      <c r="C542" s="15"/>
      <c r="D542" s="15"/>
      <c r="E542" s="15"/>
      <c r="F542" s="15"/>
      <c r="G542" s="15"/>
      <c r="H542" s="15"/>
      <c r="I542" s="15"/>
    </row>
    <row r="543" customFormat="false" ht="15" hidden="false" customHeight="false" outlineLevel="0" collapsed="false">
      <c r="A543" s="13"/>
      <c r="B543" s="14"/>
      <c r="C543" s="15"/>
      <c r="D543" s="15"/>
      <c r="E543" s="15"/>
      <c r="F543" s="15"/>
      <c r="G543" s="15"/>
      <c r="H543" s="15"/>
      <c r="I543" s="15"/>
    </row>
    <row r="544" customFormat="false" ht="15" hidden="false" customHeight="false" outlineLevel="0" collapsed="false">
      <c r="A544" s="13"/>
      <c r="B544" s="14"/>
      <c r="C544" s="15"/>
      <c r="D544" s="15"/>
      <c r="E544" s="15"/>
      <c r="F544" s="15"/>
      <c r="G544" s="15"/>
      <c r="H544" s="15"/>
      <c r="I544" s="15"/>
    </row>
    <row r="545" customFormat="false" ht="15" hidden="false" customHeight="false" outlineLevel="0" collapsed="false">
      <c r="A545" s="13"/>
      <c r="B545" s="14"/>
      <c r="C545" s="15"/>
      <c r="D545" s="15"/>
      <c r="E545" s="15"/>
      <c r="F545" s="15"/>
      <c r="G545" s="15"/>
      <c r="H545" s="15"/>
      <c r="I545" s="15"/>
    </row>
    <row r="546" customFormat="false" ht="15" hidden="false" customHeight="false" outlineLevel="0" collapsed="false">
      <c r="A546" s="13"/>
      <c r="B546" s="14"/>
      <c r="C546" s="15"/>
      <c r="D546" s="15"/>
      <c r="E546" s="15"/>
      <c r="F546" s="15"/>
      <c r="G546" s="15"/>
      <c r="H546" s="15"/>
      <c r="I546" s="15"/>
    </row>
    <row r="547" customFormat="false" ht="15" hidden="false" customHeight="false" outlineLevel="0" collapsed="false">
      <c r="A547" s="13"/>
      <c r="B547" s="14"/>
      <c r="C547" s="15"/>
      <c r="D547" s="15"/>
      <c r="E547" s="15"/>
      <c r="F547" s="15"/>
      <c r="G547" s="15"/>
      <c r="H547" s="15"/>
      <c r="I547" s="15"/>
    </row>
    <row r="548" customFormat="false" ht="15" hidden="false" customHeight="false" outlineLevel="0" collapsed="false">
      <c r="A548" s="13"/>
      <c r="B548" s="14"/>
      <c r="C548" s="15"/>
      <c r="D548" s="15"/>
      <c r="E548" s="15"/>
      <c r="F548" s="15"/>
      <c r="G548" s="15"/>
      <c r="H548" s="15"/>
      <c r="I548" s="15"/>
    </row>
    <row r="549" customFormat="false" ht="15" hidden="false" customHeight="false" outlineLevel="0" collapsed="false">
      <c r="A549" s="13"/>
      <c r="B549" s="14"/>
      <c r="C549" s="15"/>
      <c r="D549" s="15"/>
      <c r="E549" s="15"/>
      <c r="F549" s="15"/>
      <c r="G549" s="15"/>
      <c r="H549" s="15"/>
      <c r="I549" s="15"/>
    </row>
    <row r="550" customFormat="false" ht="15" hidden="false" customHeight="false" outlineLevel="0" collapsed="false">
      <c r="A550" s="13"/>
      <c r="B550" s="14"/>
      <c r="C550" s="15"/>
      <c r="D550" s="15"/>
      <c r="E550" s="15"/>
      <c r="F550" s="15"/>
      <c r="G550" s="15"/>
      <c r="H550" s="15"/>
      <c r="I550" s="15"/>
    </row>
    <row r="551" customFormat="false" ht="15" hidden="false" customHeight="false" outlineLevel="0" collapsed="false">
      <c r="A551" s="13"/>
      <c r="B551" s="14"/>
      <c r="C551" s="15"/>
      <c r="D551" s="15"/>
      <c r="E551" s="15"/>
      <c r="F551" s="15"/>
      <c r="G551" s="15"/>
      <c r="H551" s="15"/>
      <c r="I551" s="15"/>
    </row>
    <row r="552" customFormat="false" ht="15" hidden="false" customHeight="false" outlineLevel="0" collapsed="false">
      <c r="A552" s="13"/>
      <c r="B552" s="14"/>
      <c r="C552" s="15"/>
      <c r="D552" s="15"/>
      <c r="E552" s="15"/>
      <c r="F552" s="15"/>
      <c r="G552" s="15"/>
      <c r="H552" s="15"/>
      <c r="I552" s="15"/>
    </row>
    <row r="553" customFormat="false" ht="15" hidden="false" customHeight="false" outlineLevel="0" collapsed="false">
      <c r="A553" s="13"/>
      <c r="B553" s="14"/>
      <c r="C553" s="15"/>
      <c r="D553" s="15"/>
      <c r="E553" s="15"/>
      <c r="F553" s="15"/>
      <c r="G553" s="15"/>
      <c r="H553" s="15"/>
      <c r="I553" s="15"/>
    </row>
    <row r="554" customFormat="false" ht="15" hidden="false" customHeight="false" outlineLevel="0" collapsed="false">
      <c r="A554" s="13"/>
      <c r="B554" s="14"/>
      <c r="C554" s="15"/>
      <c r="D554" s="15"/>
      <c r="E554" s="15"/>
      <c r="F554" s="15"/>
      <c r="G554" s="15"/>
      <c r="H554" s="15"/>
      <c r="I554" s="15"/>
    </row>
    <row r="555" customFormat="false" ht="15" hidden="false" customHeight="false" outlineLevel="0" collapsed="false">
      <c r="A555" s="13"/>
      <c r="B555" s="14"/>
      <c r="C555" s="15"/>
      <c r="D555" s="15"/>
      <c r="E555" s="15"/>
      <c r="F555" s="15"/>
      <c r="G555" s="15"/>
      <c r="H555" s="15"/>
      <c r="I555" s="15"/>
    </row>
    <row r="556" customFormat="false" ht="15" hidden="false" customHeight="false" outlineLevel="0" collapsed="false">
      <c r="A556" s="13"/>
      <c r="B556" s="14"/>
      <c r="C556" s="15"/>
      <c r="D556" s="15"/>
      <c r="E556" s="15"/>
      <c r="F556" s="15"/>
      <c r="G556" s="15"/>
      <c r="H556" s="15"/>
      <c r="I556" s="15"/>
    </row>
    <row r="557" customFormat="false" ht="15" hidden="false" customHeight="false" outlineLevel="0" collapsed="false">
      <c r="A557" s="13"/>
      <c r="B557" s="14"/>
      <c r="C557" s="15"/>
      <c r="D557" s="15"/>
      <c r="E557" s="15"/>
      <c r="F557" s="15"/>
      <c r="G557" s="15"/>
      <c r="H557" s="15"/>
      <c r="I557" s="15"/>
    </row>
    <row r="558" customFormat="false" ht="15" hidden="false" customHeight="false" outlineLevel="0" collapsed="false">
      <c r="A558" s="13"/>
      <c r="B558" s="14"/>
      <c r="C558" s="15"/>
      <c r="D558" s="15"/>
      <c r="E558" s="15"/>
      <c r="F558" s="15"/>
      <c r="G558" s="15"/>
      <c r="H558" s="15"/>
      <c r="I558" s="15"/>
    </row>
    <row r="559" customFormat="false" ht="15" hidden="false" customHeight="false" outlineLevel="0" collapsed="false">
      <c r="A559" s="13"/>
      <c r="B559" s="14"/>
      <c r="C559" s="15"/>
      <c r="D559" s="15"/>
      <c r="E559" s="15"/>
      <c r="F559" s="15"/>
      <c r="G559" s="15"/>
      <c r="H559" s="15"/>
      <c r="I559" s="15"/>
    </row>
    <row r="560" customFormat="false" ht="15" hidden="false" customHeight="false" outlineLevel="0" collapsed="false">
      <c r="A560" s="13"/>
      <c r="B560" s="14"/>
      <c r="C560" s="15"/>
      <c r="D560" s="15"/>
      <c r="E560" s="15"/>
      <c r="F560" s="15"/>
      <c r="G560" s="15"/>
      <c r="H560" s="15"/>
      <c r="I560" s="15"/>
    </row>
    <row r="561" customFormat="false" ht="15" hidden="false" customHeight="false" outlineLevel="0" collapsed="false">
      <c r="A561" s="13"/>
      <c r="B561" s="14"/>
      <c r="C561" s="15"/>
      <c r="D561" s="15"/>
      <c r="E561" s="15"/>
      <c r="F561" s="15"/>
      <c r="G561" s="15"/>
      <c r="H561" s="15"/>
      <c r="I561" s="15"/>
    </row>
    <row r="562" customFormat="false" ht="15" hidden="false" customHeight="false" outlineLevel="0" collapsed="false">
      <c r="A562" s="13"/>
      <c r="B562" s="14"/>
      <c r="C562" s="15"/>
      <c r="D562" s="15"/>
      <c r="E562" s="15"/>
      <c r="F562" s="15"/>
      <c r="G562" s="15"/>
      <c r="H562" s="15"/>
      <c r="I562" s="15"/>
    </row>
    <row r="563" customFormat="false" ht="15" hidden="false" customHeight="false" outlineLevel="0" collapsed="false">
      <c r="A563" s="13"/>
      <c r="B563" s="14"/>
      <c r="C563" s="15"/>
      <c r="D563" s="15"/>
      <c r="E563" s="15"/>
      <c r="F563" s="15"/>
      <c r="G563" s="15"/>
      <c r="H563" s="15"/>
      <c r="I563" s="15"/>
    </row>
    <row r="564" customFormat="false" ht="15" hidden="false" customHeight="false" outlineLevel="0" collapsed="false">
      <c r="A564" s="13"/>
      <c r="B564" s="14"/>
      <c r="C564" s="15"/>
      <c r="D564" s="15"/>
      <c r="E564" s="15"/>
      <c r="F564" s="15"/>
      <c r="G564" s="15"/>
      <c r="H564" s="15"/>
      <c r="I564" s="15"/>
    </row>
    <row r="565" customFormat="false" ht="15" hidden="false" customHeight="false" outlineLevel="0" collapsed="false">
      <c r="A565" s="13"/>
      <c r="B565" s="14"/>
      <c r="C565" s="15"/>
      <c r="D565" s="15"/>
      <c r="E565" s="15"/>
      <c r="F565" s="15"/>
      <c r="G565" s="15"/>
      <c r="H565" s="15"/>
      <c r="I565" s="15"/>
    </row>
    <row r="566" customFormat="false" ht="15" hidden="false" customHeight="false" outlineLevel="0" collapsed="false">
      <c r="A566" s="13"/>
      <c r="B566" s="14"/>
      <c r="C566" s="15"/>
      <c r="D566" s="15"/>
      <c r="E566" s="15"/>
      <c r="F566" s="15"/>
      <c r="G566" s="15"/>
      <c r="H566" s="15"/>
      <c r="I566" s="15"/>
    </row>
    <row r="567" customFormat="false" ht="15" hidden="false" customHeight="false" outlineLevel="0" collapsed="false">
      <c r="A567" s="13"/>
      <c r="B567" s="14"/>
      <c r="C567" s="15"/>
      <c r="D567" s="15"/>
      <c r="E567" s="15"/>
      <c r="F567" s="15"/>
      <c r="G567" s="15"/>
      <c r="H567" s="15"/>
      <c r="I567" s="15"/>
    </row>
    <row r="568" customFormat="false" ht="15" hidden="false" customHeight="false" outlineLevel="0" collapsed="false">
      <c r="A568" s="13"/>
      <c r="B568" s="14"/>
      <c r="C568" s="15"/>
      <c r="D568" s="15"/>
      <c r="E568" s="15"/>
      <c r="F568" s="15"/>
      <c r="G568" s="15"/>
      <c r="H568" s="15"/>
      <c r="I568" s="15"/>
    </row>
    <row r="569" customFormat="false" ht="15" hidden="false" customHeight="false" outlineLevel="0" collapsed="false">
      <c r="A569" s="13"/>
      <c r="B569" s="14"/>
      <c r="C569" s="15"/>
      <c r="D569" s="15"/>
      <c r="E569" s="15"/>
      <c r="F569" s="15"/>
      <c r="G569" s="15"/>
      <c r="H569" s="15"/>
      <c r="I569" s="15"/>
    </row>
    <row r="570" customFormat="false" ht="15" hidden="false" customHeight="false" outlineLevel="0" collapsed="false">
      <c r="A570" s="13"/>
      <c r="B570" s="14"/>
      <c r="C570" s="15"/>
      <c r="D570" s="15"/>
      <c r="E570" s="15"/>
      <c r="F570" s="15"/>
      <c r="G570" s="15"/>
      <c r="H570" s="15"/>
      <c r="I570" s="15"/>
    </row>
    <row r="571" customFormat="false" ht="15" hidden="false" customHeight="false" outlineLevel="0" collapsed="false">
      <c r="A571" s="13"/>
      <c r="B571" s="14"/>
      <c r="C571" s="15"/>
      <c r="D571" s="15"/>
      <c r="E571" s="15"/>
      <c r="F571" s="15"/>
      <c r="G571" s="15"/>
      <c r="H571" s="15"/>
      <c r="I571" s="15"/>
    </row>
    <row r="572" customFormat="false" ht="15" hidden="false" customHeight="false" outlineLevel="0" collapsed="false">
      <c r="A572" s="13"/>
      <c r="B572" s="14"/>
      <c r="C572" s="15"/>
      <c r="D572" s="15"/>
      <c r="E572" s="15"/>
      <c r="F572" s="15"/>
      <c r="G572" s="15"/>
      <c r="H572" s="15"/>
      <c r="I572" s="15"/>
    </row>
    <row r="573" customFormat="false" ht="15" hidden="false" customHeight="false" outlineLevel="0" collapsed="false">
      <c r="A573" s="13"/>
      <c r="B573" s="14"/>
      <c r="C573" s="15"/>
      <c r="D573" s="15"/>
      <c r="E573" s="15"/>
      <c r="F573" s="15"/>
      <c r="G573" s="15"/>
      <c r="H573" s="15"/>
      <c r="I573" s="15"/>
    </row>
    <row r="574" customFormat="false" ht="15" hidden="false" customHeight="false" outlineLevel="0" collapsed="false">
      <c r="A574" s="13"/>
      <c r="B574" s="14"/>
      <c r="C574" s="15"/>
      <c r="D574" s="15"/>
      <c r="E574" s="15"/>
      <c r="F574" s="15"/>
      <c r="G574" s="15"/>
      <c r="H574" s="15"/>
      <c r="I574" s="15"/>
    </row>
    <row r="575" customFormat="false" ht="15" hidden="false" customHeight="false" outlineLevel="0" collapsed="false">
      <c r="A575" s="13"/>
      <c r="B575" s="14"/>
      <c r="C575" s="15"/>
      <c r="D575" s="15"/>
      <c r="E575" s="15"/>
      <c r="F575" s="15"/>
      <c r="G575" s="15"/>
      <c r="H575" s="15"/>
      <c r="I575" s="15"/>
    </row>
    <row r="576" customFormat="false" ht="15" hidden="false" customHeight="false" outlineLevel="0" collapsed="false">
      <c r="A576" s="13"/>
      <c r="B576" s="14"/>
      <c r="C576" s="15"/>
      <c r="D576" s="15"/>
      <c r="E576" s="15"/>
      <c r="F576" s="15"/>
      <c r="G576" s="15"/>
      <c r="H576" s="15"/>
      <c r="I576" s="15"/>
    </row>
    <row r="577" customFormat="false" ht="15" hidden="false" customHeight="false" outlineLevel="0" collapsed="false">
      <c r="A577" s="13"/>
      <c r="B577" s="14"/>
      <c r="C577" s="15"/>
      <c r="D577" s="15"/>
      <c r="E577" s="15"/>
      <c r="F577" s="15"/>
      <c r="G577" s="15"/>
      <c r="H577" s="15"/>
      <c r="I577" s="15"/>
    </row>
    <row r="578" customFormat="false" ht="15" hidden="false" customHeight="false" outlineLevel="0" collapsed="false">
      <c r="A578" s="13"/>
      <c r="B578" s="14"/>
      <c r="C578" s="15"/>
      <c r="D578" s="15"/>
      <c r="E578" s="15"/>
      <c r="F578" s="15"/>
      <c r="G578" s="15"/>
      <c r="H578" s="15"/>
      <c r="I578" s="15"/>
    </row>
    <row r="579" customFormat="false" ht="15" hidden="false" customHeight="false" outlineLevel="0" collapsed="false">
      <c r="A579" s="13"/>
      <c r="B579" s="14"/>
      <c r="C579" s="15"/>
      <c r="D579" s="15"/>
      <c r="E579" s="15"/>
      <c r="F579" s="15"/>
      <c r="G579" s="15"/>
      <c r="H579" s="15"/>
      <c r="I579" s="15"/>
    </row>
    <row r="580" customFormat="false" ht="15" hidden="false" customHeight="false" outlineLevel="0" collapsed="false">
      <c r="A580" s="13"/>
      <c r="B580" s="14"/>
      <c r="C580" s="15"/>
      <c r="D580" s="15"/>
      <c r="E580" s="15"/>
      <c r="F580" s="15"/>
      <c r="G580" s="15"/>
      <c r="H580" s="15"/>
      <c r="I580" s="15"/>
    </row>
    <row r="581" customFormat="false" ht="15" hidden="false" customHeight="false" outlineLevel="0" collapsed="false">
      <c r="A581" s="13"/>
      <c r="B581" s="14"/>
      <c r="C581" s="15"/>
      <c r="D581" s="15"/>
      <c r="E581" s="15"/>
      <c r="F581" s="15"/>
      <c r="G581" s="15"/>
      <c r="H581" s="15"/>
      <c r="I581" s="15"/>
    </row>
    <row r="582" customFormat="false" ht="15" hidden="false" customHeight="false" outlineLevel="0" collapsed="false">
      <c r="A582" s="13"/>
      <c r="B582" s="14"/>
      <c r="C582" s="15"/>
      <c r="D582" s="15"/>
      <c r="E582" s="15"/>
      <c r="F582" s="15"/>
      <c r="G582" s="15"/>
      <c r="H582" s="15"/>
      <c r="I582" s="15"/>
    </row>
    <row r="583" customFormat="false" ht="15" hidden="false" customHeight="false" outlineLevel="0" collapsed="false">
      <c r="A583" s="13"/>
      <c r="B583" s="14"/>
      <c r="C583" s="15"/>
      <c r="D583" s="15"/>
      <c r="E583" s="15"/>
      <c r="F583" s="15"/>
      <c r="G583" s="15"/>
      <c r="H583" s="15"/>
      <c r="I583" s="15"/>
    </row>
    <row r="584" customFormat="false" ht="15" hidden="false" customHeight="false" outlineLevel="0" collapsed="false">
      <c r="A584" s="13"/>
      <c r="B584" s="14"/>
      <c r="C584" s="15"/>
      <c r="D584" s="15"/>
      <c r="E584" s="15"/>
      <c r="F584" s="15"/>
      <c r="G584" s="15"/>
      <c r="H584" s="15"/>
      <c r="I584" s="15"/>
    </row>
    <row r="585" customFormat="false" ht="15" hidden="false" customHeight="false" outlineLevel="0" collapsed="false">
      <c r="A585" s="13"/>
      <c r="B585" s="14"/>
      <c r="C585" s="15"/>
      <c r="D585" s="15"/>
      <c r="E585" s="15"/>
      <c r="F585" s="15"/>
      <c r="G585" s="15"/>
      <c r="H585" s="15"/>
      <c r="I585" s="15"/>
    </row>
    <row r="586" customFormat="false" ht="15" hidden="false" customHeight="false" outlineLevel="0" collapsed="false">
      <c r="A586" s="13"/>
      <c r="B586" s="14"/>
      <c r="C586" s="15"/>
      <c r="D586" s="15"/>
      <c r="E586" s="15"/>
      <c r="F586" s="15"/>
      <c r="G586" s="15"/>
      <c r="H586" s="15"/>
      <c r="I586" s="15"/>
    </row>
    <row r="587" customFormat="false" ht="15" hidden="false" customHeight="false" outlineLevel="0" collapsed="false">
      <c r="A587" s="13"/>
      <c r="B587" s="14"/>
      <c r="C587" s="15"/>
      <c r="D587" s="15"/>
      <c r="E587" s="15"/>
      <c r="F587" s="15"/>
      <c r="G587" s="15"/>
      <c r="H587" s="15"/>
      <c r="I587" s="15"/>
    </row>
    <row r="588" customFormat="false" ht="15" hidden="false" customHeight="false" outlineLevel="0" collapsed="false">
      <c r="A588" s="13"/>
      <c r="B588" s="14"/>
      <c r="C588" s="15"/>
      <c r="D588" s="15"/>
      <c r="E588" s="15"/>
      <c r="F588" s="15"/>
      <c r="G588" s="15"/>
      <c r="H588" s="15"/>
      <c r="I588" s="15"/>
    </row>
    <row r="589" customFormat="false" ht="15" hidden="false" customHeight="false" outlineLevel="0" collapsed="false">
      <c r="A589" s="13"/>
      <c r="B589" s="14"/>
      <c r="C589" s="15"/>
      <c r="D589" s="15"/>
      <c r="E589" s="15"/>
      <c r="F589" s="15"/>
      <c r="G589" s="15"/>
      <c r="H589" s="15"/>
      <c r="I589" s="15"/>
    </row>
    <row r="590" customFormat="false" ht="15" hidden="false" customHeight="false" outlineLevel="0" collapsed="false">
      <c r="A590" s="13"/>
      <c r="B590" s="14"/>
      <c r="C590" s="15"/>
      <c r="D590" s="15"/>
      <c r="E590" s="15"/>
      <c r="F590" s="15"/>
      <c r="G590" s="15"/>
      <c r="H590" s="15"/>
      <c r="I590" s="15"/>
    </row>
    <row r="591" customFormat="false" ht="15" hidden="false" customHeight="false" outlineLevel="0" collapsed="false">
      <c r="A591" s="13"/>
      <c r="B591" s="14"/>
      <c r="C591" s="15"/>
      <c r="D591" s="15"/>
      <c r="E591" s="15"/>
      <c r="F591" s="15"/>
      <c r="G591" s="15"/>
      <c r="H591" s="15"/>
      <c r="I591" s="15"/>
    </row>
    <row r="592" customFormat="false" ht="15" hidden="false" customHeight="false" outlineLevel="0" collapsed="false">
      <c r="A592" s="13"/>
      <c r="B592" s="14"/>
      <c r="C592" s="15"/>
      <c r="D592" s="15"/>
      <c r="E592" s="15"/>
      <c r="F592" s="15"/>
      <c r="G592" s="15"/>
      <c r="H592" s="15"/>
      <c r="I592" s="15"/>
    </row>
    <row r="593" customFormat="false" ht="15" hidden="false" customHeight="false" outlineLevel="0" collapsed="false">
      <c r="A593" s="13"/>
      <c r="B593" s="14"/>
      <c r="C593" s="15"/>
      <c r="D593" s="15"/>
      <c r="E593" s="15"/>
      <c r="F593" s="15"/>
      <c r="G593" s="15"/>
      <c r="H593" s="15"/>
      <c r="I593" s="15"/>
    </row>
    <row r="594" customFormat="false" ht="15" hidden="false" customHeight="false" outlineLevel="0" collapsed="false">
      <c r="A594" s="13"/>
      <c r="B594" s="14"/>
      <c r="C594" s="15"/>
      <c r="D594" s="15"/>
      <c r="E594" s="15"/>
      <c r="F594" s="15"/>
      <c r="G594" s="15"/>
      <c r="H594" s="15"/>
      <c r="I594" s="15"/>
    </row>
    <row r="595" customFormat="false" ht="15" hidden="false" customHeight="false" outlineLevel="0" collapsed="false">
      <c r="A595" s="13"/>
      <c r="B595" s="14"/>
      <c r="C595" s="15"/>
      <c r="D595" s="15"/>
      <c r="E595" s="15"/>
      <c r="F595" s="15"/>
      <c r="G595" s="15"/>
      <c r="H595" s="15"/>
      <c r="I595" s="15"/>
    </row>
    <row r="596" customFormat="false" ht="15" hidden="false" customHeight="false" outlineLevel="0" collapsed="false">
      <c r="A596" s="13"/>
      <c r="B596" s="14"/>
      <c r="C596" s="15"/>
      <c r="D596" s="15"/>
      <c r="E596" s="15"/>
      <c r="F596" s="15"/>
      <c r="G596" s="15"/>
      <c r="H596" s="15"/>
      <c r="I596" s="15"/>
    </row>
    <row r="597" customFormat="false" ht="15" hidden="false" customHeight="false" outlineLevel="0" collapsed="false">
      <c r="A597" s="13"/>
      <c r="B597" s="14"/>
      <c r="C597" s="15"/>
      <c r="D597" s="15"/>
      <c r="E597" s="15"/>
      <c r="F597" s="15"/>
      <c r="G597" s="15"/>
      <c r="H597" s="15"/>
      <c r="I597" s="15"/>
    </row>
    <row r="598" customFormat="false" ht="15" hidden="false" customHeight="false" outlineLevel="0" collapsed="false">
      <c r="A598" s="13"/>
      <c r="B598" s="14"/>
      <c r="C598" s="15"/>
      <c r="D598" s="15"/>
      <c r="E598" s="15"/>
      <c r="F598" s="15"/>
      <c r="G598" s="15"/>
      <c r="H598" s="15"/>
      <c r="I598" s="15"/>
    </row>
    <row r="599" customFormat="false" ht="15" hidden="false" customHeight="false" outlineLevel="0" collapsed="false">
      <c r="A599" s="13"/>
      <c r="B599" s="14"/>
      <c r="C599" s="15"/>
      <c r="D599" s="15"/>
      <c r="E599" s="15"/>
      <c r="F599" s="15"/>
      <c r="G599" s="15"/>
      <c r="H599" s="15"/>
      <c r="I599" s="15"/>
    </row>
    <row r="600" customFormat="false" ht="15" hidden="false" customHeight="false" outlineLevel="0" collapsed="false">
      <c r="A600" s="13"/>
      <c r="B600" s="14"/>
      <c r="C600" s="15"/>
      <c r="D600" s="15"/>
      <c r="E600" s="15"/>
      <c r="F600" s="15"/>
      <c r="G600" s="15"/>
      <c r="H600" s="15"/>
      <c r="I600" s="15"/>
    </row>
    <row r="601" customFormat="false" ht="15" hidden="false" customHeight="false" outlineLevel="0" collapsed="false">
      <c r="A601" s="13"/>
      <c r="B601" s="14"/>
      <c r="C601" s="15"/>
      <c r="D601" s="15"/>
      <c r="E601" s="15"/>
      <c r="F601" s="15"/>
      <c r="G601" s="15"/>
      <c r="H601" s="15"/>
      <c r="I601" s="15"/>
    </row>
    <row r="602" customFormat="false" ht="15" hidden="false" customHeight="false" outlineLevel="0" collapsed="false">
      <c r="A602" s="13"/>
      <c r="B602" s="14"/>
      <c r="C602" s="15"/>
      <c r="D602" s="15"/>
      <c r="E602" s="15"/>
      <c r="F602" s="15"/>
      <c r="G602" s="15"/>
      <c r="H602" s="15"/>
      <c r="I602" s="15"/>
    </row>
    <row r="603" customFormat="false" ht="15" hidden="false" customHeight="false" outlineLevel="0" collapsed="false">
      <c r="A603" s="13"/>
      <c r="B603" s="14"/>
      <c r="C603" s="15"/>
      <c r="D603" s="15"/>
      <c r="E603" s="15"/>
      <c r="F603" s="15"/>
      <c r="G603" s="15"/>
      <c r="H603" s="15"/>
      <c r="I603" s="15"/>
    </row>
    <row r="604" customFormat="false" ht="15" hidden="false" customHeight="false" outlineLevel="0" collapsed="false">
      <c r="A604" s="13"/>
      <c r="B604" s="14"/>
      <c r="C604" s="15"/>
      <c r="D604" s="15"/>
      <c r="E604" s="15"/>
      <c r="F604" s="15"/>
      <c r="G604" s="15"/>
      <c r="H604" s="15"/>
      <c r="I604" s="15"/>
    </row>
    <row r="605" customFormat="false" ht="15" hidden="false" customHeight="false" outlineLevel="0" collapsed="false">
      <c r="A605" s="13"/>
      <c r="B605" s="14"/>
      <c r="C605" s="15"/>
      <c r="D605" s="15"/>
      <c r="E605" s="15"/>
      <c r="F605" s="15"/>
      <c r="G605" s="15"/>
      <c r="H605" s="15"/>
      <c r="I605" s="15"/>
    </row>
    <row r="606" customFormat="false" ht="15" hidden="false" customHeight="false" outlineLevel="0" collapsed="false">
      <c r="A606" s="13"/>
      <c r="B606" s="14"/>
      <c r="C606" s="15"/>
      <c r="D606" s="15"/>
      <c r="E606" s="15"/>
      <c r="F606" s="15"/>
      <c r="G606" s="15"/>
      <c r="H606" s="15"/>
      <c r="I606" s="15"/>
    </row>
    <row r="607" customFormat="false" ht="15" hidden="false" customHeight="false" outlineLevel="0" collapsed="false">
      <c r="A607" s="13"/>
      <c r="B607" s="14"/>
      <c r="C607" s="15"/>
      <c r="D607" s="15"/>
      <c r="E607" s="15"/>
      <c r="F607" s="15"/>
      <c r="G607" s="15"/>
      <c r="H607" s="15"/>
      <c r="I607" s="15"/>
    </row>
    <row r="608" customFormat="false" ht="15" hidden="false" customHeight="false" outlineLevel="0" collapsed="false">
      <c r="A608" s="13"/>
      <c r="B608" s="14"/>
      <c r="C608" s="15"/>
      <c r="D608" s="15"/>
      <c r="E608" s="15"/>
      <c r="F608" s="15"/>
      <c r="G608" s="15"/>
      <c r="H608" s="15"/>
      <c r="I608" s="15"/>
    </row>
    <row r="609" customFormat="false" ht="15" hidden="false" customHeight="false" outlineLevel="0" collapsed="false">
      <c r="A609" s="13"/>
      <c r="B609" s="14"/>
      <c r="C609" s="15"/>
      <c r="D609" s="15"/>
      <c r="E609" s="15"/>
      <c r="F609" s="15"/>
      <c r="G609" s="15"/>
      <c r="H609" s="15"/>
      <c r="I609" s="15"/>
    </row>
    <row r="610" customFormat="false" ht="15" hidden="false" customHeight="false" outlineLevel="0" collapsed="false">
      <c r="A610" s="13"/>
      <c r="B610" s="14"/>
      <c r="C610" s="15"/>
      <c r="D610" s="15"/>
      <c r="E610" s="15"/>
      <c r="F610" s="15"/>
      <c r="G610" s="15"/>
      <c r="H610" s="15"/>
      <c r="I610" s="15"/>
    </row>
    <row r="611" customFormat="false" ht="15" hidden="false" customHeight="false" outlineLevel="0" collapsed="false">
      <c r="A611" s="13"/>
      <c r="B611" s="14"/>
      <c r="C611" s="15"/>
      <c r="D611" s="15"/>
      <c r="E611" s="15"/>
      <c r="F611" s="15"/>
      <c r="G611" s="15"/>
      <c r="H611" s="15"/>
      <c r="I611" s="15"/>
    </row>
    <row r="612" customFormat="false" ht="15" hidden="false" customHeight="false" outlineLevel="0" collapsed="false">
      <c r="A612" s="13"/>
      <c r="B612" s="14"/>
      <c r="C612" s="15"/>
      <c r="D612" s="15"/>
      <c r="E612" s="15"/>
      <c r="F612" s="15"/>
      <c r="G612" s="15"/>
      <c r="H612" s="15"/>
      <c r="I612" s="15"/>
    </row>
    <row r="613" customFormat="false" ht="15" hidden="false" customHeight="false" outlineLevel="0" collapsed="false">
      <c r="A613" s="13"/>
      <c r="B613" s="14"/>
      <c r="C613" s="15"/>
      <c r="D613" s="15"/>
      <c r="E613" s="15"/>
      <c r="F613" s="15"/>
      <c r="G613" s="15"/>
      <c r="H613" s="15"/>
      <c r="I613" s="15"/>
    </row>
    <row r="614" customFormat="false" ht="15" hidden="false" customHeight="false" outlineLevel="0" collapsed="false">
      <c r="A614" s="13"/>
      <c r="B614" s="14"/>
      <c r="C614" s="15"/>
      <c r="D614" s="15"/>
      <c r="E614" s="15"/>
      <c r="F614" s="15"/>
      <c r="G614" s="15"/>
      <c r="H614" s="15"/>
      <c r="I614" s="15"/>
    </row>
    <row r="615" customFormat="false" ht="15" hidden="false" customHeight="false" outlineLevel="0" collapsed="false">
      <c r="A615" s="13"/>
      <c r="B615" s="14"/>
      <c r="C615" s="15"/>
      <c r="D615" s="15"/>
      <c r="E615" s="15"/>
      <c r="F615" s="15"/>
      <c r="G615" s="15"/>
      <c r="H615" s="15"/>
      <c r="I615" s="15"/>
    </row>
    <row r="616" customFormat="false" ht="15" hidden="false" customHeight="false" outlineLevel="0" collapsed="false">
      <c r="A616" s="13"/>
      <c r="B616" s="14"/>
      <c r="C616" s="15"/>
      <c r="D616" s="15"/>
      <c r="E616" s="15"/>
      <c r="F616" s="15"/>
      <c r="G616" s="15"/>
      <c r="H616" s="15"/>
      <c r="I616" s="15"/>
    </row>
    <row r="617" customFormat="false" ht="15" hidden="false" customHeight="false" outlineLevel="0" collapsed="false">
      <c r="A617" s="13"/>
      <c r="B617" s="14"/>
      <c r="C617" s="15"/>
      <c r="D617" s="15"/>
      <c r="E617" s="15"/>
      <c r="F617" s="15"/>
      <c r="G617" s="15"/>
      <c r="H617" s="15"/>
      <c r="I617" s="15"/>
    </row>
    <row r="618" customFormat="false" ht="15" hidden="false" customHeight="false" outlineLevel="0" collapsed="false">
      <c r="A618" s="13"/>
      <c r="B618" s="14"/>
      <c r="C618" s="15"/>
      <c r="D618" s="15"/>
      <c r="E618" s="15"/>
      <c r="F618" s="15"/>
      <c r="G618" s="15"/>
      <c r="H618" s="15"/>
      <c r="I618" s="15"/>
    </row>
    <row r="619" customFormat="false" ht="15" hidden="false" customHeight="false" outlineLevel="0" collapsed="false">
      <c r="A619" s="13"/>
      <c r="B619" s="14"/>
      <c r="C619" s="15"/>
      <c r="D619" s="15"/>
      <c r="E619" s="15"/>
      <c r="F619" s="15"/>
      <c r="G619" s="15"/>
      <c r="H619" s="15"/>
      <c r="I619" s="15"/>
    </row>
    <row r="620" customFormat="false" ht="15" hidden="false" customHeight="false" outlineLevel="0" collapsed="false">
      <c r="A620" s="13"/>
      <c r="B620" s="14"/>
      <c r="C620" s="15"/>
      <c r="D620" s="15"/>
      <c r="E620" s="15"/>
      <c r="F620" s="15"/>
      <c r="G620" s="15"/>
      <c r="H620" s="15"/>
      <c r="I620" s="15"/>
    </row>
    <row r="621" customFormat="false" ht="15" hidden="false" customHeight="false" outlineLevel="0" collapsed="false">
      <c r="A621" s="13"/>
      <c r="B621" s="14"/>
      <c r="C621" s="15"/>
      <c r="D621" s="15"/>
      <c r="E621" s="15"/>
      <c r="F621" s="15"/>
      <c r="G621" s="15"/>
      <c r="H621" s="15"/>
      <c r="I621" s="15"/>
    </row>
    <row r="622" customFormat="false" ht="15" hidden="false" customHeight="false" outlineLevel="0" collapsed="false">
      <c r="A622" s="13"/>
      <c r="B622" s="14"/>
      <c r="C622" s="15"/>
      <c r="D622" s="15"/>
      <c r="E622" s="15"/>
      <c r="F622" s="15"/>
      <c r="G622" s="15"/>
      <c r="H622" s="15"/>
      <c r="I622" s="15"/>
    </row>
    <row r="623" customFormat="false" ht="15" hidden="false" customHeight="false" outlineLevel="0" collapsed="false">
      <c r="A623" s="13"/>
      <c r="B623" s="14"/>
      <c r="C623" s="15"/>
      <c r="D623" s="15"/>
      <c r="E623" s="15"/>
      <c r="F623" s="15"/>
      <c r="G623" s="15"/>
      <c r="H623" s="15"/>
      <c r="I623" s="15"/>
    </row>
    <row r="624" customFormat="false" ht="15" hidden="false" customHeight="false" outlineLevel="0" collapsed="false">
      <c r="A624" s="13"/>
      <c r="B624" s="14"/>
      <c r="C624" s="15"/>
      <c r="D624" s="15"/>
      <c r="E624" s="15"/>
      <c r="F624" s="15"/>
      <c r="G624" s="15"/>
      <c r="H624" s="15"/>
      <c r="I624" s="15"/>
    </row>
    <row r="625" customFormat="false" ht="15" hidden="false" customHeight="false" outlineLevel="0" collapsed="false">
      <c r="A625" s="13"/>
      <c r="B625" s="14"/>
      <c r="C625" s="15"/>
      <c r="D625" s="15"/>
      <c r="E625" s="15"/>
      <c r="F625" s="15"/>
      <c r="G625" s="15"/>
      <c r="H625" s="15"/>
      <c r="I625" s="15"/>
    </row>
    <row r="626" customFormat="false" ht="15" hidden="false" customHeight="false" outlineLevel="0" collapsed="false">
      <c r="A626" s="13"/>
      <c r="B626" s="14"/>
      <c r="C626" s="15"/>
      <c r="D626" s="15"/>
      <c r="E626" s="15"/>
      <c r="F626" s="15"/>
      <c r="G626" s="15"/>
      <c r="H626" s="15"/>
      <c r="I626" s="15"/>
    </row>
    <row r="627" customFormat="false" ht="15" hidden="false" customHeight="false" outlineLevel="0" collapsed="false">
      <c r="A627" s="13"/>
      <c r="B627" s="14"/>
      <c r="C627" s="15"/>
      <c r="D627" s="15"/>
      <c r="E627" s="15"/>
      <c r="F627" s="15"/>
      <c r="G627" s="15"/>
      <c r="H627" s="15"/>
      <c r="I627" s="15"/>
    </row>
    <row r="628" customFormat="false" ht="15" hidden="false" customHeight="false" outlineLevel="0" collapsed="false">
      <c r="A628" s="13"/>
      <c r="B628" s="14"/>
      <c r="C628" s="15"/>
      <c r="D628" s="15"/>
      <c r="E628" s="15"/>
      <c r="F628" s="15"/>
      <c r="G628" s="15"/>
      <c r="H628" s="15"/>
      <c r="I628" s="15"/>
    </row>
    <row r="629" customFormat="false" ht="15" hidden="false" customHeight="false" outlineLevel="0" collapsed="false">
      <c r="A629" s="13"/>
      <c r="B629" s="14"/>
      <c r="C629" s="15"/>
      <c r="D629" s="15"/>
      <c r="E629" s="15"/>
      <c r="F629" s="15"/>
      <c r="G629" s="15"/>
      <c r="H629" s="15"/>
      <c r="I629" s="15"/>
    </row>
    <row r="630" customFormat="false" ht="15" hidden="false" customHeight="false" outlineLevel="0" collapsed="false">
      <c r="A630" s="13"/>
      <c r="B630" s="14"/>
      <c r="C630" s="15"/>
      <c r="D630" s="15"/>
      <c r="E630" s="15"/>
      <c r="F630" s="15"/>
      <c r="G630" s="15"/>
      <c r="H630" s="15"/>
      <c r="I630" s="15"/>
    </row>
    <row r="631" customFormat="false" ht="15" hidden="false" customHeight="false" outlineLevel="0" collapsed="false">
      <c r="A631" s="13"/>
      <c r="B631" s="14"/>
      <c r="C631" s="15"/>
      <c r="D631" s="15"/>
      <c r="E631" s="15"/>
      <c r="F631" s="15"/>
      <c r="G631" s="15"/>
      <c r="H631" s="15"/>
      <c r="I631" s="15"/>
    </row>
    <row r="632" customFormat="false" ht="15" hidden="false" customHeight="false" outlineLevel="0" collapsed="false">
      <c r="A632" s="13"/>
      <c r="B632" s="14"/>
      <c r="C632" s="15"/>
      <c r="D632" s="15"/>
      <c r="E632" s="15"/>
      <c r="F632" s="15"/>
      <c r="G632" s="15"/>
      <c r="H632" s="15"/>
      <c r="I632" s="15"/>
    </row>
    <row r="633" customFormat="false" ht="15" hidden="false" customHeight="false" outlineLevel="0" collapsed="false">
      <c r="A633" s="13"/>
      <c r="B633" s="14"/>
      <c r="C633" s="15"/>
      <c r="D633" s="15"/>
      <c r="E633" s="15"/>
      <c r="F633" s="15"/>
      <c r="G633" s="15"/>
      <c r="H633" s="15"/>
      <c r="I633" s="15"/>
    </row>
    <row r="634" customFormat="false" ht="15" hidden="false" customHeight="false" outlineLevel="0" collapsed="false">
      <c r="A634" s="13"/>
      <c r="B634" s="14"/>
      <c r="C634" s="15"/>
      <c r="D634" s="15"/>
      <c r="E634" s="15"/>
      <c r="F634" s="15"/>
      <c r="G634" s="15"/>
      <c r="H634" s="15"/>
      <c r="I634" s="15"/>
    </row>
    <row r="635" customFormat="false" ht="15" hidden="false" customHeight="false" outlineLevel="0" collapsed="false">
      <c r="A635" s="13"/>
      <c r="B635" s="14"/>
      <c r="C635" s="15"/>
      <c r="D635" s="15"/>
      <c r="E635" s="15"/>
      <c r="F635" s="15"/>
      <c r="G635" s="15"/>
      <c r="H635" s="15"/>
      <c r="I635" s="15"/>
    </row>
    <row r="636" customFormat="false" ht="15" hidden="false" customHeight="false" outlineLevel="0" collapsed="false">
      <c r="A636" s="13"/>
      <c r="B636" s="14"/>
      <c r="C636" s="15"/>
      <c r="D636" s="15"/>
      <c r="E636" s="15"/>
      <c r="F636" s="15"/>
      <c r="G636" s="15"/>
      <c r="H636" s="15"/>
      <c r="I636" s="15"/>
    </row>
    <row r="637" customFormat="false" ht="15" hidden="false" customHeight="false" outlineLevel="0" collapsed="false">
      <c r="A637" s="13"/>
      <c r="B637" s="14"/>
      <c r="C637" s="15"/>
      <c r="D637" s="15"/>
      <c r="E637" s="15"/>
      <c r="F637" s="15"/>
      <c r="G637" s="15"/>
      <c r="H637" s="15"/>
      <c r="I637" s="15"/>
    </row>
    <row r="638" customFormat="false" ht="15" hidden="false" customHeight="false" outlineLevel="0" collapsed="false">
      <c r="A638" s="13"/>
      <c r="B638" s="14"/>
      <c r="C638" s="15"/>
      <c r="D638" s="15"/>
      <c r="E638" s="15"/>
      <c r="F638" s="15"/>
      <c r="G638" s="15"/>
      <c r="H638" s="15"/>
      <c r="I638" s="15"/>
    </row>
    <row r="639" customFormat="false" ht="15" hidden="false" customHeight="false" outlineLevel="0" collapsed="false">
      <c r="A639" s="13"/>
      <c r="B639" s="14"/>
      <c r="C639" s="15"/>
      <c r="D639" s="15"/>
      <c r="E639" s="15"/>
      <c r="F639" s="15"/>
      <c r="G639" s="15"/>
      <c r="H639" s="15"/>
      <c r="I639" s="15"/>
    </row>
    <row r="640" customFormat="false" ht="15" hidden="false" customHeight="false" outlineLevel="0" collapsed="false">
      <c r="A640" s="13"/>
      <c r="B640" s="14"/>
      <c r="C640" s="15"/>
      <c r="D640" s="15"/>
      <c r="E640" s="15"/>
      <c r="F640" s="15"/>
      <c r="G640" s="15"/>
      <c r="H640" s="15"/>
      <c r="I640" s="15"/>
    </row>
    <row r="641" customFormat="false" ht="15" hidden="false" customHeight="false" outlineLevel="0" collapsed="false">
      <c r="A641" s="13"/>
      <c r="B641" s="14"/>
      <c r="C641" s="15"/>
      <c r="D641" s="15"/>
      <c r="E641" s="15"/>
      <c r="F641" s="15"/>
      <c r="G641" s="15"/>
      <c r="H641" s="15"/>
      <c r="I641" s="15"/>
    </row>
    <row r="642" customFormat="false" ht="15" hidden="false" customHeight="false" outlineLevel="0" collapsed="false">
      <c r="A642" s="13"/>
      <c r="B642" s="14"/>
      <c r="C642" s="15"/>
      <c r="D642" s="15"/>
      <c r="E642" s="15"/>
      <c r="F642" s="15"/>
      <c r="G642" s="15"/>
      <c r="H642" s="15"/>
      <c r="I642" s="15"/>
    </row>
    <row r="643" customFormat="false" ht="15" hidden="false" customHeight="false" outlineLevel="0" collapsed="false">
      <c r="A643" s="13"/>
      <c r="B643" s="14"/>
      <c r="C643" s="15"/>
      <c r="D643" s="15"/>
      <c r="E643" s="15"/>
      <c r="F643" s="15"/>
      <c r="G643" s="15"/>
      <c r="H643" s="15"/>
      <c r="I643" s="15"/>
    </row>
    <row r="644" customFormat="false" ht="15" hidden="false" customHeight="false" outlineLevel="0" collapsed="false">
      <c r="A644" s="13"/>
      <c r="B644" s="14"/>
      <c r="C644" s="15"/>
      <c r="D644" s="15"/>
      <c r="E644" s="15"/>
      <c r="F644" s="15"/>
      <c r="G644" s="15"/>
      <c r="H644" s="15"/>
      <c r="I644" s="15"/>
    </row>
    <row r="645" customFormat="false" ht="15" hidden="false" customHeight="false" outlineLevel="0" collapsed="false">
      <c r="A645" s="13"/>
      <c r="B645" s="14"/>
      <c r="C645" s="15"/>
      <c r="D645" s="15"/>
      <c r="E645" s="15"/>
      <c r="F645" s="15"/>
      <c r="G645" s="15"/>
      <c r="H645" s="15"/>
      <c r="I645" s="15"/>
    </row>
    <row r="646" customFormat="false" ht="15" hidden="false" customHeight="false" outlineLevel="0" collapsed="false">
      <c r="A646" s="13"/>
      <c r="B646" s="14"/>
      <c r="C646" s="15"/>
      <c r="D646" s="15"/>
      <c r="E646" s="15"/>
      <c r="F646" s="15"/>
      <c r="G646" s="15"/>
      <c r="H646" s="15"/>
      <c r="I646" s="15"/>
    </row>
    <row r="647" customFormat="false" ht="15" hidden="false" customHeight="false" outlineLevel="0" collapsed="false">
      <c r="A647" s="13"/>
      <c r="B647" s="14"/>
      <c r="C647" s="15"/>
      <c r="D647" s="15"/>
      <c r="E647" s="15"/>
      <c r="F647" s="15"/>
      <c r="G647" s="15"/>
      <c r="H647" s="15"/>
      <c r="I647" s="15"/>
    </row>
    <row r="648" customFormat="false" ht="15" hidden="false" customHeight="false" outlineLevel="0" collapsed="false">
      <c r="A648" s="13"/>
      <c r="B648" s="14"/>
      <c r="C648" s="15"/>
      <c r="D648" s="15"/>
      <c r="E648" s="15"/>
      <c r="F648" s="15"/>
      <c r="G648" s="15"/>
      <c r="H648" s="15"/>
      <c r="I648" s="15"/>
    </row>
    <row r="649" customFormat="false" ht="15" hidden="false" customHeight="false" outlineLevel="0" collapsed="false">
      <c r="A649" s="13"/>
      <c r="B649" s="14"/>
      <c r="C649" s="15"/>
      <c r="D649" s="15"/>
      <c r="E649" s="15"/>
      <c r="F649" s="15"/>
      <c r="G649" s="15"/>
      <c r="H649" s="15"/>
      <c r="I649" s="15"/>
    </row>
    <row r="650" customFormat="false" ht="15" hidden="false" customHeight="false" outlineLevel="0" collapsed="false">
      <c r="A650" s="13"/>
      <c r="B650" s="14"/>
      <c r="C650" s="15"/>
      <c r="D650" s="15"/>
      <c r="E650" s="15"/>
      <c r="F650" s="15"/>
      <c r="G650" s="15"/>
      <c r="H650" s="15"/>
      <c r="I650" s="15"/>
    </row>
    <row r="651" customFormat="false" ht="15" hidden="false" customHeight="false" outlineLevel="0" collapsed="false">
      <c r="A651" s="13"/>
      <c r="B651" s="14"/>
      <c r="C651" s="15"/>
      <c r="D651" s="15"/>
      <c r="E651" s="15"/>
      <c r="F651" s="15"/>
      <c r="G651" s="15"/>
      <c r="H651" s="15"/>
      <c r="I651" s="15"/>
    </row>
    <row r="652" customFormat="false" ht="15" hidden="false" customHeight="false" outlineLevel="0" collapsed="false">
      <c r="A652" s="13"/>
      <c r="B652" s="14"/>
      <c r="C652" s="15"/>
      <c r="D652" s="15"/>
      <c r="E652" s="15"/>
      <c r="F652" s="15"/>
      <c r="G652" s="15"/>
      <c r="H652" s="15"/>
      <c r="I652" s="15"/>
    </row>
    <row r="653" customFormat="false" ht="15" hidden="false" customHeight="false" outlineLevel="0" collapsed="false">
      <c r="A653" s="13"/>
      <c r="B653" s="14"/>
      <c r="C653" s="15"/>
      <c r="D653" s="15"/>
      <c r="E653" s="15"/>
      <c r="F653" s="15"/>
      <c r="G653" s="15"/>
      <c r="H653" s="15"/>
      <c r="I653" s="15"/>
    </row>
    <row r="654" customFormat="false" ht="15" hidden="false" customHeight="false" outlineLevel="0" collapsed="false">
      <c r="A654" s="13"/>
      <c r="B654" s="14"/>
      <c r="C654" s="15"/>
      <c r="D654" s="15"/>
      <c r="E654" s="15"/>
      <c r="F654" s="15"/>
      <c r="G654" s="15"/>
      <c r="H654" s="15"/>
      <c r="I654" s="15"/>
    </row>
    <row r="655" customFormat="false" ht="15" hidden="false" customHeight="false" outlineLevel="0" collapsed="false">
      <c r="A655" s="13"/>
      <c r="B655" s="14"/>
      <c r="C655" s="15"/>
      <c r="D655" s="15"/>
      <c r="E655" s="15"/>
      <c r="F655" s="15"/>
      <c r="G655" s="15"/>
      <c r="H655" s="15"/>
      <c r="I655" s="15"/>
    </row>
    <row r="656" customFormat="false" ht="15" hidden="false" customHeight="false" outlineLevel="0" collapsed="false">
      <c r="A656" s="13"/>
      <c r="B656" s="14"/>
      <c r="C656" s="15"/>
      <c r="D656" s="15"/>
      <c r="E656" s="15"/>
      <c r="F656" s="15"/>
      <c r="G656" s="15"/>
      <c r="H656" s="15"/>
      <c r="I656" s="15"/>
    </row>
    <row r="657" customFormat="false" ht="15" hidden="false" customHeight="false" outlineLevel="0" collapsed="false">
      <c r="A657" s="13"/>
      <c r="B657" s="14"/>
      <c r="C657" s="15"/>
      <c r="D657" s="15"/>
      <c r="E657" s="15"/>
      <c r="F657" s="15"/>
      <c r="G657" s="15"/>
      <c r="H657" s="15"/>
      <c r="I657" s="15"/>
    </row>
    <row r="658" customFormat="false" ht="15" hidden="false" customHeight="false" outlineLevel="0" collapsed="false">
      <c r="A658" s="13"/>
      <c r="B658" s="14"/>
      <c r="C658" s="15"/>
      <c r="D658" s="15"/>
      <c r="E658" s="15"/>
      <c r="F658" s="15"/>
      <c r="G658" s="15"/>
      <c r="H658" s="15"/>
      <c r="I658" s="15"/>
    </row>
    <row r="659" customFormat="false" ht="15" hidden="false" customHeight="false" outlineLevel="0" collapsed="false">
      <c r="A659" s="13"/>
      <c r="B659" s="14"/>
      <c r="C659" s="15"/>
      <c r="D659" s="15"/>
      <c r="E659" s="15"/>
      <c r="F659" s="15"/>
      <c r="G659" s="15"/>
      <c r="H659" s="15"/>
      <c r="I659" s="15"/>
    </row>
    <row r="660" customFormat="false" ht="15" hidden="false" customHeight="false" outlineLevel="0" collapsed="false">
      <c r="A660" s="13"/>
      <c r="B660" s="14"/>
      <c r="C660" s="15"/>
      <c r="D660" s="15"/>
      <c r="E660" s="15"/>
      <c r="F660" s="15"/>
      <c r="G660" s="15"/>
      <c r="H660" s="15"/>
      <c r="I660" s="15"/>
    </row>
    <row r="661" customFormat="false" ht="15" hidden="false" customHeight="false" outlineLevel="0" collapsed="false">
      <c r="A661" s="13"/>
      <c r="B661" s="14"/>
      <c r="C661" s="15"/>
      <c r="D661" s="15"/>
      <c r="E661" s="15"/>
      <c r="F661" s="15"/>
      <c r="G661" s="15"/>
      <c r="H661" s="15"/>
      <c r="I661" s="15"/>
    </row>
    <row r="662" customFormat="false" ht="15" hidden="false" customHeight="false" outlineLevel="0" collapsed="false">
      <c r="A662" s="13"/>
      <c r="B662" s="14"/>
      <c r="C662" s="15"/>
      <c r="D662" s="15"/>
      <c r="E662" s="15"/>
      <c r="F662" s="15"/>
      <c r="G662" s="15"/>
      <c r="H662" s="15"/>
      <c r="I662" s="15"/>
    </row>
    <row r="663" customFormat="false" ht="15" hidden="false" customHeight="false" outlineLevel="0" collapsed="false">
      <c r="A663" s="13"/>
      <c r="B663" s="14"/>
      <c r="C663" s="15"/>
      <c r="D663" s="15"/>
      <c r="E663" s="15"/>
      <c r="F663" s="15"/>
      <c r="G663" s="15"/>
      <c r="H663" s="15"/>
      <c r="I663" s="15"/>
    </row>
    <row r="664" customFormat="false" ht="15" hidden="false" customHeight="false" outlineLevel="0" collapsed="false">
      <c r="A664" s="13"/>
      <c r="B664" s="14"/>
      <c r="C664" s="15"/>
      <c r="D664" s="15"/>
      <c r="E664" s="15"/>
      <c r="F664" s="15"/>
      <c r="G664" s="15"/>
      <c r="H664" s="15"/>
      <c r="I664" s="15"/>
    </row>
    <row r="665" customFormat="false" ht="15" hidden="false" customHeight="false" outlineLevel="0" collapsed="false">
      <c r="A665" s="13"/>
      <c r="B665" s="14"/>
      <c r="C665" s="15"/>
      <c r="D665" s="15"/>
      <c r="E665" s="15"/>
      <c r="F665" s="15"/>
      <c r="G665" s="15"/>
      <c r="H665" s="15"/>
      <c r="I665" s="15"/>
    </row>
    <row r="666" customFormat="false" ht="15" hidden="false" customHeight="false" outlineLevel="0" collapsed="false">
      <c r="A666" s="13"/>
      <c r="B666" s="14"/>
      <c r="C666" s="15"/>
      <c r="D666" s="15"/>
      <c r="E666" s="15"/>
      <c r="F666" s="15"/>
      <c r="G666" s="15"/>
      <c r="H666" s="15"/>
      <c r="I666" s="15"/>
    </row>
    <row r="667" customFormat="false" ht="15" hidden="false" customHeight="false" outlineLevel="0" collapsed="false">
      <c r="A667" s="13"/>
      <c r="B667" s="14"/>
      <c r="C667" s="15"/>
      <c r="D667" s="15"/>
      <c r="E667" s="15"/>
      <c r="F667" s="15"/>
      <c r="G667" s="15"/>
      <c r="H667" s="15"/>
      <c r="I667" s="15"/>
    </row>
    <row r="668" customFormat="false" ht="15" hidden="false" customHeight="false" outlineLevel="0" collapsed="false">
      <c r="A668" s="13"/>
      <c r="B668" s="14"/>
      <c r="C668" s="15"/>
      <c r="D668" s="15"/>
      <c r="E668" s="15"/>
      <c r="F668" s="15"/>
      <c r="G668" s="15"/>
      <c r="H668" s="15"/>
      <c r="I668" s="15"/>
    </row>
    <row r="669" customFormat="false" ht="15" hidden="false" customHeight="false" outlineLevel="0" collapsed="false">
      <c r="A669" s="13"/>
      <c r="B669" s="14"/>
      <c r="C669" s="15"/>
      <c r="D669" s="15"/>
      <c r="E669" s="15"/>
      <c r="F669" s="15"/>
      <c r="G669" s="15"/>
      <c r="H669" s="15"/>
      <c r="I669" s="15"/>
    </row>
    <row r="670" customFormat="false" ht="15" hidden="false" customHeight="false" outlineLevel="0" collapsed="false">
      <c r="A670" s="13"/>
      <c r="B670" s="14"/>
      <c r="C670" s="15"/>
      <c r="D670" s="15"/>
      <c r="E670" s="15"/>
      <c r="F670" s="15"/>
      <c r="G670" s="15"/>
      <c r="H670" s="15"/>
      <c r="I670" s="15"/>
    </row>
    <row r="671" customFormat="false" ht="15" hidden="false" customHeight="false" outlineLevel="0" collapsed="false">
      <c r="A671" s="13"/>
      <c r="B671" s="14"/>
      <c r="C671" s="15"/>
      <c r="D671" s="15"/>
      <c r="E671" s="15"/>
      <c r="F671" s="15"/>
      <c r="G671" s="15"/>
      <c r="H671" s="15"/>
      <c r="I671" s="15"/>
    </row>
    <row r="672" customFormat="false" ht="15" hidden="false" customHeight="false" outlineLevel="0" collapsed="false">
      <c r="A672" s="13"/>
      <c r="B672" s="14"/>
      <c r="C672" s="15"/>
      <c r="D672" s="15"/>
      <c r="E672" s="15"/>
      <c r="F672" s="15"/>
      <c r="G672" s="15"/>
      <c r="H672" s="15"/>
      <c r="I672" s="15"/>
    </row>
    <row r="673" customFormat="false" ht="15" hidden="false" customHeight="false" outlineLevel="0" collapsed="false">
      <c r="A673" s="13"/>
      <c r="B673" s="14"/>
      <c r="C673" s="15"/>
      <c r="D673" s="15"/>
      <c r="E673" s="15"/>
      <c r="F673" s="15"/>
      <c r="G673" s="15"/>
      <c r="H673" s="15"/>
      <c r="I673" s="15"/>
    </row>
    <row r="674" customFormat="false" ht="15" hidden="false" customHeight="false" outlineLevel="0" collapsed="false">
      <c r="A674" s="13"/>
      <c r="B674" s="14"/>
      <c r="C674" s="15"/>
      <c r="D674" s="15"/>
      <c r="E674" s="15"/>
      <c r="F674" s="15"/>
      <c r="G674" s="15"/>
      <c r="H674" s="15"/>
      <c r="I674" s="15"/>
    </row>
    <row r="675" customFormat="false" ht="15" hidden="false" customHeight="false" outlineLevel="0" collapsed="false">
      <c r="A675" s="13"/>
      <c r="B675" s="14"/>
      <c r="C675" s="15"/>
      <c r="D675" s="15"/>
      <c r="E675" s="15"/>
      <c r="F675" s="15"/>
      <c r="G675" s="15"/>
      <c r="H675" s="15"/>
      <c r="I675" s="15"/>
    </row>
    <row r="676" customFormat="false" ht="15" hidden="false" customHeight="false" outlineLevel="0" collapsed="false">
      <c r="A676" s="13"/>
      <c r="B676" s="14"/>
      <c r="C676" s="15"/>
      <c r="D676" s="15"/>
      <c r="E676" s="15"/>
      <c r="F676" s="15"/>
      <c r="G676" s="15"/>
      <c r="H676" s="15"/>
      <c r="I676" s="15"/>
    </row>
    <row r="677" customFormat="false" ht="15" hidden="false" customHeight="false" outlineLevel="0" collapsed="false">
      <c r="A677" s="13"/>
      <c r="B677" s="14"/>
      <c r="C677" s="15"/>
      <c r="D677" s="15"/>
      <c r="E677" s="15"/>
      <c r="F677" s="15"/>
      <c r="G677" s="15"/>
      <c r="H677" s="15"/>
      <c r="I677" s="15"/>
    </row>
    <row r="678" customFormat="false" ht="15" hidden="false" customHeight="false" outlineLevel="0" collapsed="false">
      <c r="A678" s="13"/>
      <c r="B678" s="14"/>
      <c r="C678" s="15"/>
      <c r="D678" s="15"/>
      <c r="E678" s="15"/>
      <c r="F678" s="15"/>
      <c r="G678" s="15"/>
      <c r="H678" s="15"/>
      <c r="I678" s="15"/>
    </row>
    <row r="679" customFormat="false" ht="15" hidden="false" customHeight="false" outlineLevel="0" collapsed="false">
      <c r="A679" s="13"/>
      <c r="B679" s="14"/>
      <c r="C679" s="15"/>
      <c r="D679" s="15"/>
      <c r="E679" s="15"/>
      <c r="F679" s="15"/>
      <c r="G679" s="15"/>
      <c r="H679" s="15"/>
      <c r="I679" s="15"/>
    </row>
    <row r="680" customFormat="false" ht="15" hidden="false" customHeight="false" outlineLevel="0" collapsed="false">
      <c r="A680" s="13"/>
      <c r="B680" s="14"/>
      <c r="C680" s="15"/>
      <c r="D680" s="15"/>
      <c r="E680" s="15"/>
      <c r="F680" s="15"/>
      <c r="G680" s="15"/>
      <c r="H680" s="15"/>
      <c r="I680" s="15"/>
    </row>
    <row r="681" customFormat="false" ht="15" hidden="false" customHeight="false" outlineLevel="0" collapsed="false">
      <c r="A681" s="13"/>
      <c r="B681" s="14"/>
      <c r="C681" s="15"/>
      <c r="D681" s="15"/>
      <c r="E681" s="15"/>
      <c r="F681" s="15"/>
      <c r="G681" s="15"/>
      <c r="H681" s="15"/>
      <c r="I681" s="15"/>
    </row>
    <row r="682" customFormat="false" ht="15" hidden="false" customHeight="false" outlineLevel="0" collapsed="false">
      <c r="A682" s="13"/>
      <c r="B682" s="14"/>
      <c r="C682" s="15"/>
      <c r="D682" s="15"/>
      <c r="E682" s="15"/>
      <c r="F682" s="15"/>
      <c r="G682" s="15"/>
      <c r="H682" s="15"/>
      <c r="I682" s="15"/>
    </row>
    <row r="683" customFormat="false" ht="15" hidden="false" customHeight="false" outlineLevel="0" collapsed="false">
      <c r="A683" s="13"/>
      <c r="B683" s="14"/>
      <c r="C683" s="15"/>
      <c r="D683" s="15"/>
      <c r="E683" s="15"/>
      <c r="F683" s="15"/>
      <c r="G683" s="15"/>
      <c r="H683" s="15"/>
      <c r="I683" s="15"/>
    </row>
    <row r="684" customFormat="false" ht="15" hidden="false" customHeight="false" outlineLevel="0" collapsed="false">
      <c r="A684" s="13"/>
      <c r="B684" s="14"/>
      <c r="C684" s="15"/>
      <c r="D684" s="15"/>
      <c r="E684" s="15"/>
      <c r="F684" s="15"/>
      <c r="G684" s="15"/>
      <c r="H684" s="15"/>
      <c r="I684" s="15"/>
    </row>
    <row r="685" customFormat="false" ht="15" hidden="false" customHeight="false" outlineLevel="0" collapsed="false">
      <c r="A685" s="13"/>
      <c r="B685" s="14"/>
      <c r="C685" s="15"/>
      <c r="D685" s="15"/>
      <c r="E685" s="15"/>
      <c r="F685" s="15"/>
      <c r="G685" s="15"/>
      <c r="H685" s="15"/>
      <c r="I685" s="15"/>
    </row>
    <row r="686" customFormat="false" ht="15" hidden="false" customHeight="false" outlineLevel="0" collapsed="false">
      <c r="A686" s="13"/>
      <c r="B686" s="14"/>
      <c r="C686" s="15"/>
      <c r="D686" s="15"/>
      <c r="E686" s="15"/>
      <c r="F686" s="15"/>
      <c r="G686" s="15"/>
      <c r="H686" s="15"/>
      <c r="I686" s="15"/>
    </row>
    <row r="687" customFormat="false" ht="15" hidden="false" customHeight="false" outlineLevel="0" collapsed="false">
      <c r="A687" s="13"/>
      <c r="B687" s="14"/>
      <c r="C687" s="15"/>
      <c r="D687" s="15"/>
      <c r="E687" s="15"/>
      <c r="F687" s="15"/>
      <c r="G687" s="15"/>
      <c r="H687" s="15"/>
      <c r="I687" s="15"/>
    </row>
    <row r="688" customFormat="false" ht="15" hidden="false" customHeight="false" outlineLevel="0" collapsed="false">
      <c r="A688" s="13"/>
      <c r="B688" s="14"/>
      <c r="C688" s="15"/>
      <c r="D688" s="15"/>
      <c r="E688" s="15"/>
      <c r="F688" s="15"/>
      <c r="G688" s="15"/>
      <c r="H688" s="15"/>
      <c r="I688" s="15"/>
    </row>
    <row r="689" customFormat="false" ht="15" hidden="false" customHeight="false" outlineLevel="0" collapsed="false">
      <c r="A689" s="13"/>
      <c r="B689" s="14"/>
      <c r="C689" s="15"/>
      <c r="D689" s="15"/>
      <c r="E689" s="15"/>
      <c r="F689" s="15"/>
      <c r="G689" s="15"/>
      <c r="H689" s="15"/>
      <c r="I689" s="15"/>
    </row>
    <row r="690" customFormat="false" ht="15" hidden="false" customHeight="false" outlineLevel="0" collapsed="false">
      <c r="A690" s="13"/>
      <c r="B690" s="14"/>
      <c r="C690" s="15"/>
      <c r="D690" s="15"/>
      <c r="E690" s="15"/>
      <c r="F690" s="15"/>
      <c r="G690" s="15"/>
      <c r="H690" s="15"/>
      <c r="I690" s="15"/>
    </row>
    <row r="691" customFormat="false" ht="15" hidden="false" customHeight="false" outlineLevel="0" collapsed="false">
      <c r="A691" s="13"/>
      <c r="B691" s="14"/>
      <c r="C691" s="15"/>
      <c r="D691" s="15"/>
      <c r="E691" s="15"/>
      <c r="F691" s="15"/>
      <c r="G691" s="15"/>
      <c r="H691" s="15"/>
      <c r="I691" s="15"/>
    </row>
    <row r="692" customFormat="false" ht="15" hidden="false" customHeight="false" outlineLevel="0" collapsed="false">
      <c r="A692" s="13"/>
      <c r="B692" s="14"/>
      <c r="C692" s="15"/>
      <c r="D692" s="15"/>
      <c r="E692" s="15"/>
      <c r="F692" s="15"/>
      <c r="G692" s="15"/>
      <c r="H692" s="15"/>
      <c r="I692" s="15"/>
    </row>
    <row r="693" customFormat="false" ht="15" hidden="false" customHeight="false" outlineLevel="0" collapsed="false">
      <c r="A693" s="13"/>
      <c r="B693" s="14"/>
      <c r="C693" s="15"/>
      <c r="D693" s="15"/>
      <c r="E693" s="15"/>
      <c r="F693" s="15"/>
      <c r="G693" s="15"/>
      <c r="H693" s="15"/>
      <c r="I693" s="15"/>
    </row>
    <row r="694" customFormat="false" ht="15" hidden="false" customHeight="false" outlineLevel="0" collapsed="false">
      <c r="A694" s="13"/>
      <c r="B694" s="14"/>
      <c r="C694" s="15"/>
      <c r="D694" s="15"/>
      <c r="E694" s="15"/>
      <c r="F694" s="15"/>
      <c r="G694" s="15"/>
      <c r="H694" s="15"/>
      <c r="I694" s="15"/>
    </row>
    <row r="695" customFormat="false" ht="15" hidden="false" customHeight="false" outlineLevel="0" collapsed="false">
      <c r="A695" s="13"/>
      <c r="B695" s="14"/>
      <c r="C695" s="15"/>
      <c r="D695" s="15"/>
      <c r="E695" s="15"/>
      <c r="F695" s="15"/>
      <c r="G695" s="15"/>
      <c r="H695" s="15"/>
      <c r="I695" s="15"/>
    </row>
    <row r="696" customFormat="false" ht="15" hidden="false" customHeight="false" outlineLevel="0" collapsed="false">
      <c r="A696" s="13"/>
      <c r="B696" s="14"/>
      <c r="C696" s="15"/>
      <c r="D696" s="15"/>
      <c r="E696" s="15"/>
      <c r="F696" s="15"/>
      <c r="G696" s="15"/>
      <c r="H696" s="15"/>
      <c r="I696" s="15"/>
    </row>
    <row r="697" customFormat="false" ht="15" hidden="false" customHeight="false" outlineLevel="0" collapsed="false">
      <c r="A697" s="13"/>
      <c r="B697" s="14"/>
      <c r="C697" s="15"/>
      <c r="D697" s="15"/>
      <c r="E697" s="15"/>
      <c r="F697" s="15"/>
      <c r="G697" s="15"/>
      <c r="H697" s="15"/>
      <c r="I697" s="15"/>
    </row>
    <row r="698" customFormat="false" ht="15" hidden="false" customHeight="false" outlineLevel="0" collapsed="false">
      <c r="A698" s="13"/>
      <c r="B698" s="14"/>
      <c r="C698" s="15"/>
      <c r="D698" s="15"/>
      <c r="E698" s="15"/>
      <c r="F698" s="15"/>
      <c r="G698" s="15"/>
      <c r="H698" s="15"/>
      <c r="I698" s="15"/>
    </row>
    <row r="699" customFormat="false" ht="15" hidden="false" customHeight="false" outlineLevel="0" collapsed="false">
      <c r="A699" s="13"/>
      <c r="B699" s="14"/>
      <c r="C699" s="15"/>
      <c r="D699" s="15"/>
      <c r="E699" s="15"/>
      <c r="F699" s="15"/>
      <c r="G699" s="15"/>
      <c r="H699" s="15"/>
      <c r="I699" s="15"/>
    </row>
    <row r="700" customFormat="false" ht="15" hidden="false" customHeight="false" outlineLevel="0" collapsed="false">
      <c r="A700" s="13"/>
      <c r="B700" s="14"/>
      <c r="C700" s="15"/>
      <c r="D700" s="15"/>
      <c r="E700" s="15"/>
      <c r="F700" s="15"/>
      <c r="G700" s="15"/>
      <c r="H700" s="15"/>
      <c r="I700" s="15"/>
    </row>
    <row r="701" customFormat="false" ht="15" hidden="false" customHeight="false" outlineLevel="0" collapsed="false">
      <c r="A701" s="13"/>
      <c r="B701" s="14"/>
      <c r="C701" s="15"/>
      <c r="D701" s="15"/>
      <c r="E701" s="15"/>
      <c r="F701" s="15"/>
      <c r="G701" s="15"/>
      <c r="H701" s="15"/>
      <c r="I701" s="15"/>
    </row>
    <row r="702" customFormat="false" ht="15" hidden="false" customHeight="false" outlineLevel="0" collapsed="false">
      <c r="A702" s="13"/>
      <c r="B702" s="14"/>
      <c r="C702" s="15"/>
      <c r="D702" s="15"/>
      <c r="E702" s="15"/>
      <c r="F702" s="15"/>
      <c r="G702" s="15"/>
      <c r="H702" s="15"/>
      <c r="I702" s="15"/>
    </row>
    <row r="703" customFormat="false" ht="15" hidden="false" customHeight="false" outlineLevel="0" collapsed="false">
      <c r="A703" s="13"/>
      <c r="B703" s="14"/>
      <c r="C703" s="15"/>
      <c r="D703" s="15"/>
      <c r="E703" s="15"/>
      <c r="F703" s="15"/>
      <c r="G703" s="15"/>
      <c r="H703" s="15"/>
      <c r="I703" s="15"/>
    </row>
    <row r="704" customFormat="false" ht="15" hidden="false" customHeight="false" outlineLevel="0" collapsed="false">
      <c r="A704" s="13"/>
      <c r="B704" s="14"/>
      <c r="C704" s="15"/>
      <c r="D704" s="15"/>
      <c r="E704" s="15"/>
      <c r="F704" s="15"/>
      <c r="G704" s="15"/>
      <c r="H704" s="15"/>
      <c r="I704" s="15"/>
    </row>
    <row r="705" customFormat="false" ht="15" hidden="false" customHeight="false" outlineLevel="0" collapsed="false">
      <c r="A705" s="13"/>
      <c r="B705" s="14"/>
      <c r="C705" s="15"/>
      <c r="D705" s="15"/>
      <c r="E705" s="15"/>
      <c r="F705" s="15"/>
      <c r="G705" s="15"/>
      <c r="H705" s="15"/>
      <c r="I705" s="15"/>
    </row>
    <row r="706" customFormat="false" ht="15" hidden="false" customHeight="false" outlineLevel="0" collapsed="false">
      <c r="A706" s="13"/>
      <c r="B706" s="14"/>
      <c r="C706" s="15"/>
      <c r="D706" s="15"/>
      <c r="E706" s="15"/>
      <c r="F706" s="15"/>
      <c r="G706" s="15"/>
      <c r="H706" s="15"/>
      <c r="I706" s="15"/>
    </row>
    <row r="707" customFormat="false" ht="15" hidden="false" customHeight="false" outlineLevel="0" collapsed="false">
      <c r="A707" s="13"/>
      <c r="B707" s="14"/>
      <c r="C707" s="15"/>
      <c r="D707" s="15"/>
      <c r="E707" s="15"/>
      <c r="F707" s="15"/>
      <c r="G707" s="15"/>
      <c r="H707" s="15"/>
      <c r="I707" s="15"/>
    </row>
    <row r="708" customFormat="false" ht="15" hidden="false" customHeight="false" outlineLevel="0" collapsed="false">
      <c r="A708" s="13"/>
      <c r="B708" s="14"/>
      <c r="C708" s="15"/>
      <c r="D708" s="15"/>
      <c r="E708" s="15"/>
      <c r="F708" s="15"/>
      <c r="G708" s="15"/>
      <c r="H708" s="15"/>
      <c r="I708" s="15"/>
    </row>
    <row r="709" customFormat="false" ht="15" hidden="false" customHeight="false" outlineLevel="0" collapsed="false">
      <c r="A709" s="13"/>
      <c r="B709" s="14"/>
      <c r="C709" s="15"/>
      <c r="D709" s="15"/>
      <c r="E709" s="15"/>
      <c r="F709" s="15"/>
      <c r="G709" s="15"/>
      <c r="H709" s="15"/>
      <c r="I709" s="15"/>
    </row>
    <row r="710" customFormat="false" ht="15" hidden="false" customHeight="false" outlineLevel="0" collapsed="false">
      <c r="A710" s="13"/>
      <c r="B710" s="14"/>
      <c r="C710" s="15"/>
      <c r="D710" s="15"/>
      <c r="E710" s="15"/>
      <c r="F710" s="15"/>
      <c r="G710" s="15"/>
      <c r="H710" s="15"/>
      <c r="I710" s="15"/>
    </row>
    <row r="711" customFormat="false" ht="15" hidden="false" customHeight="false" outlineLevel="0" collapsed="false">
      <c r="A711" s="13"/>
      <c r="B711" s="14"/>
      <c r="C711" s="15"/>
      <c r="D711" s="15"/>
      <c r="E711" s="15"/>
      <c r="F711" s="15"/>
      <c r="G711" s="15"/>
      <c r="H711" s="15"/>
      <c r="I711" s="15"/>
    </row>
    <row r="712" customFormat="false" ht="15" hidden="false" customHeight="false" outlineLevel="0" collapsed="false">
      <c r="A712" s="13"/>
      <c r="B712" s="14"/>
      <c r="C712" s="15"/>
      <c r="D712" s="15"/>
      <c r="E712" s="15"/>
      <c r="F712" s="15"/>
      <c r="G712" s="15"/>
      <c r="H712" s="15"/>
      <c r="I712" s="15"/>
    </row>
    <row r="713" customFormat="false" ht="15" hidden="false" customHeight="false" outlineLevel="0" collapsed="false">
      <c r="A713" s="13"/>
      <c r="B713" s="14"/>
      <c r="C713" s="15"/>
      <c r="D713" s="15"/>
      <c r="E713" s="15"/>
      <c r="F713" s="15"/>
      <c r="G713" s="15"/>
      <c r="H713" s="15"/>
      <c r="I713" s="15"/>
    </row>
    <row r="714" customFormat="false" ht="15" hidden="false" customHeight="false" outlineLevel="0" collapsed="false">
      <c r="A714" s="13"/>
      <c r="B714" s="14"/>
      <c r="C714" s="15"/>
      <c r="D714" s="15"/>
      <c r="E714" s="15"/>
      <c r="F714" s="15"/>
      <c r="G714" s="15"/>
      <c r="H714" s="15"/>
      <c r="I714" s="15"/>
    </row>
    <row r="715" customFormat="false" ht="15" hidden="false" customHeight="false" outlineLevel="0" collapsed="false">
      <c r="A715" s="13"/>
      <c r="B715" s="14"/>
      <c r="C715" s="15"/>
      <c r="D715" s="15"/>
      <c r="E715" s="15"/>
      <c r="F715" s="15"/>
      <c r="G715" s="15"/>
      <c r="H715" s="15"/>
      <c r="I715" s="15"/>
    </row>
    <row r="716" customFormat="false" ht="15" hidden="false" customHeight="false" outlineLevel="0" collapsed="false">
      <c r="A716" s="13"/>
      <c r="B716" s="14"/>
      <c r="C716" s="15"/>
      <c r="D716" s="15"/>
      <c r="E716" s="15"/>
      <c r="F716" s="15"/>
      <c r="G716" s="15"/>
      <c r="H716" s="15"/>
      <c r="I716" s="15"/>
    </row>
    <row r="717" customFormat="false" ht="15" hidden="false" customHeight="false" outlineLevel="0" collapsed="false">
      <c r="A717" s="13"/>
      <c r="B717" s="14"/>
      <c r="C717" s="15"/>
      <c r="D717" s="15"/>
      <c r="E717" s="15"/>
      <c r="F717" s="15"/>
      <c r="G717" s="15"/>
      <c r="H717" s="15"/>
      <c r="I717" s="15"/>
    </row>
    <row r="718" customFormat="false" ht="15" hidden="false" customHeight="false" outlineLevel="0" collapsed="false">
      <c r="A718" s="13"/>
      <c r="B718" s="14"/>
      <c r="C718" s="15"/>
      <c r="D718" s="15"/>
      <c r="E718" s="15"/>
      <c r="F718" s="15"/>
      <c r="G718" s="15"/>
      <c r="H718" s="15"/>
      <c r="I718" s="15"/>
    </row>
    <row r="719" customFormat="false" ht="15" hidden="false" customHeight="false" outlineLevel="0" collapsed="false">
      <c r="A719" s="13"/>
      <c r="B719" s="14"/>
      <c r="C719" s="15"/>
      <c r="D719" s="15"/>
      <c r="E719" s="15"/>
      <c r="F719" s="15"/>
      <c r="G719" s="15"/>
      <c r="H719" s="15"/>
      <c r="I719" s="15"/>
    </row>
    <row r="720" customFormat="false" ht="15" hidden="false" customHeight="false" outlineLevel="0" collapsed="false">
      <c r="A720" s="13"/>
      <c r="B720" s="14"/>
      <c r="C720" s="15"/>
      <c r="D720" s="15"/>
      <c r="E720" s="15"/>
      <c r="F720" s="15"/>
      <c r="G720" s="15"/>
      <c r="H720" s="15"/>
      <c r="I720" s="15"/>
    </row>
    <row r="721" customFormat="false" ht="15" hidden="false" customHeight="false" outlineLevel="0" collapsed="false">
      <c r="A721" s="13"/>
      <c r="B721" s="14"/>
      <c r="C721" s="15"/>
      <c r="D721" s="15"/>
      <c r="E721" s="15"/>
      <c r="F721" s="15"/>
      <c r="G721" s="15"/>
      <c r="H721" s="15"/>
      <c r="I721" s="15"/>
    </row>
    <row r="722" customFormat="false" ht="15" hidden="false" customHeight="false" outlineLevel="0" collapsed="false">
      <c r="A722" s="13"/>
      <c r="B722" s="14"/>
      <c r="C722" s="15"/>
      <c r="D722" s="15"/>
      <c r="E722" s="15"/>
      <c r="F722" s="15"/>
      <c r="G722" s="15"/>
      <c r="H722" s="15"/>
      <c r="I722" s="15"/>
    </row>
    <row r="723" customFormat="false" ht="15" hidden="false" customHeight="false" outlineLevel="0" collapsed="false">
      <c r="A723" s="13"/>
      <c r="B723" s="14"/>
      <c r="C723" s="15"/>
      <c r="D723" s="15"/>
      <c r="E723" s="15"/>
      <c r="F723" s="15"/>
      <c r="G723" s="15"/>
      <c r="H723" s="15"/>
      <c r="I723" s="15"/>
    </row>
    <row r="724" customFormat="false" ht="15" hidden="false" customHeight="false" outlineLevel="0" collapsed="false">
      <c r="A724" s="13"/>
      <c r="B724" s="14"/>
      <c r="C724" s="15"/>
      <c r="D724" s="15"/>
      <c r="E724" s="15"/>
      <c r="F724" s="15"/>
      <c r="G724" s="15"/>
      <c r="H724" s="15"/>
      <c r="I724" s="15"/>
    </row>
    <row r="725" customFormat="false" ht="15" hidden="false" customHeight="false" outlineLevel="0" collapsed="false">
      <c r="A725" s="13"/>
      <c r="B725" s="14"/>
      <c r="C725" s="15"/>
      <c r="D725" s="15"/>
      <c r="E725" s="15"/>
      <c r="F725" s="15"/>
      <c r="G725" s="15"/>
      <c r="H725" s="15"/>
      <c r="I725" s="15"/>
    </row>
    <row r="726" customFormat="false" ht="15" hidden="false" customHeight="false" outlineLevel="0" collapsed="false">
      <c r="A726" s="13"/>
      <c r="B726" s="14"/>
      <c r="C726" s="15"/>
      <c r="D726" s="15"/>
      <c r="E726" s="15"/>
      <c r="F726" s="15"/>
      <c r="G726" s="15"/>
      <c r="H726" s="15"/>
      <c r="I726" s="15"/>
    </row>
    <row r="727" customFormat="false" ht="15" hidden="false" customHeight="false" outlineLevel="0" collapsed="false">
      <c r="A727" s="13"/>
      <c r="B727" s="14"/>
      <c r="C727" s="15"/>
      <c r="D727" s="15"/>
      <c r="E727" s="15"/>
      <c r="F727" s="15"/>
      <c r="G727" s="15"/>
      <c r="H727" s="15"/>
      <c r="I727" s="15"/>
    </row>
    <row r="728" customFormat="false" ht="15" hidden="false" customHeight="false" outlineLevel="0" collapsed="false">
      <c r="A728" s="13"/>
      <c r="B728" s="14"/>
      <c r="C728" s="15"/>
      <c r="D728" s="15"/>
      <c r="E728" s="15"/>
      <c r="F728" s="15"/>
      <c r="G728" s="15"/>
      <c r="H728" s="15"/>
      <c r="I728" s="15"/>
    </row>
    <row r="729" customFormat="false" ht="15" hidden="false" customHeight="false" outlineLevel="0" collapsed="false">
      <c r="A729" s="13"/>
      <c r="B729" s="14"/>
      <c r="C729" s="15"/>
      <c r="D729" s="15"/>
      <c r="E729" s="15"/>
      <c r="F729" s="15"/>
      <c r="G729" s="15"/>
      <c r="H729" s="15"/>
      <c r="I729" s="15"/>
    </row>
    <row r="730" customFormat="false" ht="15" hidden="false" customHeight="false" outlineLevel="0" collapsed="false">
      <c r="A730" s="13"/>
      <c r="B730" s="14"/>
      <c r="C730" s="15"/>
      <c r="D730" s="15"/>
      <c r="E730" s="15"/>
      <c r="F730" s="15"/>
      <c r="G730" s="15"/>
      <c r="H730" s="15"/>
      <c r="I730" s="15"/>
    </row>
    <row r="731" customFormat="false" ht="15" hidden="false" customHeight="false" outlineLevel="0" collapsed="false">
      <c r="A731" s="13"/>
      <c r="B731" s="14"/>
      <c r="C731" s="15"/>
      <c r="D731" s="15"/>
      <c r="E731" s="15"/>
      <c r="F731" s="15"/>
      <c r="G731" s="15"/>
      <c r="H731" s="15"/>
      <c r="I731" s="15"/>
    </row>
    <row r="732" customFormat="false" ht="15" hidden="false" customHeight="false" outlineLevel="0" collapsed="false">
      <c r="A732" s="13"/>
      <c r="B732" s="14"/>
      <c r="C732" s="15"/>
      <c r="D732" s="15"/>
      <c r="E732" s="15"/>
      <c r="F732" s="15"/>
      <c r="G732" s="15"/>
      <c r="H732" s="15"/>
      <c r="I732" s="15"/>
    </row>
    <row r="733" customFormat="false" ht="15" hidden="false" customHeight="false" outlineLevel="0" collapsed="false">
      <c r="A733" s="13"/>
      <c r="B733" s="14"/>
      <c r="C733" s="15"/>
      <c r="D733" s="15"/>
      <c r="E733" s="15"/>
      <c r="F733" s="15"/>
      <c r="G733" s="15"/>
      <c r="H733" s="15"/>
      <c r="I733" s="15"/>
    </row>
    <row r="734" customFormat="false" ht="15" hidden="false" customHeight="false" outlineLevel="0" collapsed="false">
      <c r="A734" s="13"/>
      <c r="B734" s="14"/>
      <c r="C734" s="15"/>
      <c r="D734" s="15"/>
      <c r="E734" s="15"/>
      <c r="F734" s="15"/>
      <c r="G734" s="15"/>
      <c r="H734" s="15"/>
      <c r="I734" s="15"/>
    </row>
    <row r="735" customFormat="false" ht="15" hidden="false" customHeight="false" outlineLevel="0" collapsed="false">
      <c r="A735" s="13"/>
      <c r="B735" s="14"/>
      <c r="C735" s="15"/>
      <c r="D735" s="15"/>
      <c r="E735" s="15"/>
      <c r="F735" s="15"/>
      <c r="G735" s="15"/>
      <c r="H735" s="15"/>
      <c r="I735" s="15"/>
    </row>
    <row r="736" customFormat="false" ht="15" hidden="false" customHeight="false" outlineLevel="0" collapsed="false">
      <c r="A736" s="13"/>
      <c r="B736" s="14"/>
      <c r="C736" s="15"/>
      <c r="D736" s="15"/>
      <c r="E736" s="15"/>
      <c r="F736" s="15"/>
      <c r="G736" s="15"/>
      <c r="H736" s="15"/>
      <c r="I736" s="15"/>
    </row>
    <row r="737" customFormat="false" ht="15" hidden="false" customHeight="false" outlineLevel="0" collapsed="false">
      <c r="A737" s="13"/>
      <c r="B737" s="14"/>
      <c r="C737" s="15"/>
      <c r="D737" s="15"/>
      <c r="E737" s="15"/>
      <c r="F737" s="15"/>
      <c r="G737" s="15"/>
      <c r="H737" s="15"/>
      <c r="I737" s="15"/>
    </row>
    <row r="738" customFormat="false" ht="15" hidden="false" customHeight="false" outlineLevel="0" collapsed="false">
      <c r="A738" s="13"/>
      <c r="B738" s="14"/>
      <c r="C738" s="15"/>
      <c r="D738" s="15"/>
      <c r="E738" s="15"/>
      <c r="F738" s="15"/>
      <c r="G738" s="15"/>
      <c r="H738" s="15"/>
      <c r="I738" s="15"/>
    </row>
    <row r="739" customFormat="false" ht="15" hidden="false" customHeight="false" outlineLevel="0" collapsed="false">
      <c r="A739" s="13"/>
      <c r="B739" s="14"/>
      <c r="C739" s="15"/>
      <c r="D739" s="15"/>
      <c r="E739" s="15"/>
      <c r="F739" s="15"/>
      <c r="G739" s="15"/>
      <c r="H739" s="15"/>
      <c r="I739" s="15"/>
    </row>
    <row r="740" customFormat="false" ht="15" hidden="false" customHeight="false" outlineLevel="0" collapsed="false">
      <c r="A740" s="13"/>
      <c r="B740" s="14"/>
      <c r="C740" s="15"/>
      <c r="D740" s="15"/>
      <c r="E740" s="15"/>
      <c r="F740" s="15"/>
      <c r="G740" s="15"/>
      <c r="H740" s="15"/>
      <c r="I740" s="15"/>
    </row>
    <row r="741" customFormat="false" ht="15" hidden="false" customHeight="false" outlineLevel="0" collapsed="false">
      <c r="A741" s="13"/>
      <c r="B741" s="14"/>
      <c r="C741" s="15"/>
      <c r="D741" s="15"/>
      <c r="E741" s="15"/>
      <c r="F741" s="15"/>
      <c r="G741" s="15"/>
      <c r="H741" s="15"/>
      <c r="I741" s="15"/>
    </row>
    <row r="742" customFormat="false" ht="15" hidden="false" customHeight="false" outlineLevel="0" collapsed="false">
      <c r="A742" s="13"/>
      <c r="B742" s="14"/>
      <c r="C742" s="15"/>
      <c r="D742" s="15"/>
      <c r="E742" s="15"/>
      <c r="F742" s="15"/>
      <c r="G742" s="15"/>
      <c r="H742" s="15"/>
      <c r="I742" s="15"/>
    </row>
    <row r="743" customFormat="false" ht="15" hidden="false" customHeight="false" outlineLevel="0" collapsed="false">
      <c r="A743" s="13"/>
      <c r="B743" s="14"/>
      <c r="C743" s="15"/>
      <c r="D743" s="15"/>
      <c r="E743" s="15"/>
      <c r="F743" s="15"/>
      <c r="G743" s="15"/>
      <c r="H743" s="15"/>
      <c r="I743" s="15"/>
    </row>
    <row r="744" customFormat="false" ht="15" hidden="false" customHeight="false" outlineLevel="0" collapsed="false">
      <c r="A744" s="13"/>
      <c r="B744" s="14"/>
      <c r="C744" s="15"/>
      <c r="D744" s="15"/>
      <c r="E744" s="15"/>
      <c r="F744" s="15"/>
      <c r="G744" s="15"/>
      <c r="H744" s="15"/>
      <c r="I744" s="15"/>
    </row>
    <row r="745" customFormat="false" ht="15" hidden="false" customHeight="false" outlineLevel="0" collapsed="false">
      <c r="A745" s="13"/>
      <c r="B745" s="14"/>
      <c r="C745" s="15"/>
      <c r="D745" s="15"/>
      <c r="E745" s="15"/>
      <c r="F745" s="15"/>
      <c r="G745" s="15"/>
      <c r="H745" s="15"/>
      <c r="I745" s="15"/>
    </row>
    <row r="746" customFormat="false" ht="15" hidden="false" customHeight="false" outlineLevel="0" collapsed="false">
      <c r="A746" s="13"/>
      <c r="B746" s="14"/>
      <c r="C746" s="15"/>
      <c r="D746" s="15"/>
      <c r="E746" s="15"/>
      <c r="F746" s="15"/>
      <c r="G746" s="15"/>
      <c r="H746" s="15"/>
      <c r="I746" s="15"/>
    </row>
    <row r="747" customFormat="false" ht="15" hidden="false" customHeight="false" outlineLevel="0" collapsed="false">
      <c r="A747" s="13"/>
      <c r="B747" s="14"/>
      <c r="C747" s="15"/>
      <c r="D747" s="15"/>
      <c r="E747" s="15"/>
      <c r="F747" s="15"/>
      <c r="G747" s="15"/>
      <c r="H747" s="15"/>
      <c r="I747" s="15"/>
    </row>
    <row r="748" customFormat="false" ht="15" hidden="false" customHeight="false" outlineLevel="0" collapsed="false">
      <c r="A748" s="13"/>
      <c r="B748" s="14"/>
      <c r="C748" s="15"/>
      <c r="D748" s="15"/>
      <c r="E748" s="15"/>
      <c r="F748" s="15"/>
      <c r="G748" s="15"/>
      <c r="H748" s="15"/>
      <c r="I748" s="15"/>
    </row>
    <row r="749" customFormat="false" ht="15" hidden="false" customHeight="false" outlineLevel="0" collapsed="false">
      <c r="A749" s="13"/>
      <c r="B749" s="14"/>
      <c r="C749" s="15"/>
      <c r="D749" s="15"/>
      <c r="E749" s="15"/>
      <c r="F749" s="15"/>
      <c r="G749" s="15"/>
      <c r="H749" s="15"/>
      <c r="I749" s="15"/>
    </row>
    <row r="750" customFormat="false" ht="15" hidden="false" customHeight="false" outlineLevel="0" collapsed="false">
      <c r="A750" s="13"/>
      <c r="B750" s="14"/>
      <c r="C750" s="15"/>
      <c r="D750" s="15"/>
      <c r="E750" s="15"/>
      <c r="F750" s="15"/>
      <c r="G750" s="15"/>
      <c r="H750" s="15"/>
      <c r="I750" s="15"/>
    </row>
    <row r="751" customFormat="false" ht="15" hidden="false" customHeight="false" outlineLevel="0" collapsed="false">
      <c r="A751" s="13"/>
      <c r="B751" s="14"/>
      <c r="C751" s="15"/>
      <c r="D751" s="15"/>
      <c r="E751" s="15"/>
      <c r="F751" s="15"/>
      <c r="G751" s="15"/>
      <c r="H751" s="15"/>
      <c r="I751" s="15"/>
    </row>
    <row r="752" customFormat="false" ht="15" hidden="false" customHeight="false" outlineLevel="0" collapsed="false">
      <c r="A752" s="13"/>
      <c r="B752" s="14"/>
      <c r="C752" s="15"/>
      <c r="D752" s="15"/>
      <c r="E752" s="15"/>
      <c r="F752" s="15"/>
      <c r="G752" s="15"/>
      <c r="H752" s="15"/>
      <c r="I752" s="15"/>
    </row>
    <row r="753" customFormat="false" ht="15" hidden="false" customHeight="false" outlineLevel="0" collapsed="false">
      <c r="A753" s="13"/>
      <c r="B753" s="14"/>
      <c r="C753" s="15"/>
      <c r="D753" s="15"/>
      <c r="E753" s="15"/>
      <c r="F753" s="15"/>
      <c r="G753" s="15"/>
      <c r="H753" s="15"/>
      <c r="I753" s="15"/>
    </row>
    <row r="754" customFormat="false" ht="15" hidden="false" customHeight="false" outlineLevel="0" collapsed="false">
      <c r="A754" s="13"/>
      <c r="B754" s="14"/>
      <c r="C754" s="15"/>
      <c r="D754" s="15"/>
      <c r="E754" s="15"/>
      <c r="F754" s="15"/>
      <c r="G754" s="15"/>
      <c r="H754" s="15"/>
      <c r="I754" s="15"/>
    </row>
    <row r="755" customFormat="false" ht="15" hidden="false" customHeight="false" outlineLevel="0" collapsed="false">
      <c r="A755" s="13"/>
      <c r="B755" s="14"/>
      <c r="C755" s="15"/>
      <c r="D755" s="15"/>
      <c r="E755" s="15"/>
      <c r="F755" s="15"/>
      <c r="G755" s="15"/>
      <c r="H755" s="15"/>
      <c r="I755" s="15"/>
    </row>
    <row r="756" customFormat="false" ht="15" hidden="false" customHeight="false" outlineLevel="0" collapsed="false">
      <c r="A756" s="13"/>
      <c r="B756" s="14"/>
      <c r="C756" s="15"/>
      <c r="D756" s="15"/>
      <c r="E756" s="15"/>
      <c r="F756" s="15"/>
      <c r="G756" s="15"/>
      <c r="H756" s="15"/>
      <c r="I756" s="15"/>
    </row>
    <row r="757" customFormat="false" ht="15" hidden="false" customHeight="false" outlineLevel="0" collapsed="false">
      <c r="A757" s="13"/>
      <c r="B757" s="14"/>
      <c r="C757" s="15"/>
      <c r="D757" s="15"/>
      <c r="E757" s="15"/>
      <c r="F757" s="15"/>
      <c r="G757" s="15"/>
      <c r="H757" s="15"/>
      <c r="I757" s="15"/>
    </row>
    <row r="758" customFormat="false" ht="15" hidden="false" customHeight="false" outlineLevel="0" collapsed="false">
      <c r="A758" s="13"/>
      <c r="B758" s="14"/>
      <c r="C758" s="15"/>
      <c r="D758" s="15"/>
      <c r="E758" s="15"/>
      <c r="F758" s="15"/>
      <c r="G758" s="15"/>
      <c r="H758" s="15"/>
      <c r="I758" s="15"/>
    </row>
    <row r="759" customFormat="false" ht="15" hidden="false" customHeight="false" outlineLevel="0" collapsed="false">
      <c r="A759" s="13"/>
      <c r="B759" s="14"/>
      <c r="C759" s="15"/>
      <c r="D759" s="15"/>
      <c r="E759" s="15"/>
      <c r="F759" s="15"/>
      <c r="G759" s="15"/>
      <c r="H759" s="15"/>
      <c r="I759" s="15"/>
    </row>
    <row r="760" customFormat="false" ht="15" hidden="false" customHeight="false" outlineLevel="0" collapsed="false">
      <c r="A760" s="13"/>
      <c r="B760" s="14"/>
      <c r="C760" s="15"/>
      <c r="D760" s="15"/>
      <c r="E760" s="15"/>
      <c r="F760" s="15"/>
      <c r="G760" s="15"/>
      <c r="H760" s="15"/>
      <c r="I760" s="15"/>
    </row>
    <row r="761" customFormat="false" ht="15" hidden="false" customHeight="false" outlineLevel="0" collapsed="false">
      <c r="A761" s="13"/>
      <c r="B761" s="14"/>
      <c r="C761" s="15"/>
      <c r="D761" s="15"/>
      <c r="E761" s="15"/>
      <c r="F761" s="15"/>
      <c r="G761" s="15"/>
      <c r="H761" s="15"/>
      <c r="I761" s="15"/>
    </row>
    <row r="762" customFormat="false" ht="15" hidden="false" customHeight="false" outlineLevel="0" collapsed="false">
      <c r="A762" s="13"/>
      <c r="B762" s="14"/>
      <c r="C762" s="15"/>
      <c r="D762" s="15"/>
      <c r="E762" s="15"/>
      <c r="F762" s="15"/>
      <c r="G762" s="15"/>
      <c r="H762" s="15"/>
      <c r="I762" s="15"/>
    </row>
    <row r="763" customFormat="false" ht="15" hidden="false" customHeight="false" outlineLevel="0" collapsed="false">
      <c r="A763" s="13"/>
      <c r="B763" s="14"/>
      <c r="C763" s="15"/>
      <c r="D763" s="15"/>
      <c r="E763" s="15"/>
      <c r="F763" s="15"/>
      <c r="G763" s="15"/>
      <c r="H763" s="15"/>
      <c r="I763" s="15"/>
    </row>
    <row r="764" customFormat="false" ht="15" hidden="false" customHeight="false" outlineLevel="0" collapsed="false">
      <c r="A764" s="13"/>
      <c r="B764" s="14"/>
      <c r="C764" s="15"/>
      <c r="D764" s="15"/>
      <c r="E764" s="15"/>
      <c r="F764" s="15"/>
      <c r="G764" s="15"/>
      <c r="H764" s="15"/>
      <c r="I764" s="15"/>
    </row>
    <row r="765" customFormat="false" ht="15" hidden="false" customHeight="false" outlineLevel="0" collapsed="false">
      <c r="A765" s="13"/>
      <c r="B765" s="14"/>
      <c r="C765" s="15"/>
      <c r="D765" s="15"/>
      <c r="E765" s="15"/>
      <c r="F765" s="15"/>
      <c r="G765" s="15"/>
      <c r="H765" s="15"/>
      <c r="I765" s="15"/>
    </row>
    <row r="766" customFormat="false" ht="15" hidden="false" customHeight="false" outlineLevel="0" collapsed="false">
      <c r="A766" s="13"/>
      <c r="B766" s="14"/>
      <c r="C766" s="15"/>
      <c r="D766" s="15"/>
      <c r="E766" s="15"/>
      <c r="F766" s="15"/>
      <c r="G766" s="15"/>
      <c r="H766" s="15"/>
      <c r="I766" s="15"/>
    </row>
    <row r="767" customFormat="false" ht="15" hidden="false" customHeight="false" outlineLevel="0" collapsed="false">
      <c r="A767" s="13"/>
      <c r="B767" s="14"/>
      <c r="C767" s="15"/>
      <c r="D767" s="15"/>
      <c r="E767" s="15"/>
      <c r="F767" s="15"/>
      <c r="G767" s="15"/>
      <c r="H767" s="15"/>
      <c r="I767" s="15"/>
    </row>
    <row r="768" customFormat="false" ht="15" hidden="false" customHeight="false" outlineLevel="0" collapsed="false">
      <c r="A768" s="13"/>
      <c r="B768" s="14"/>
      <c r="C768" s="15"/>
      <c r="D768" s="15"/>
      <c r="E768" s="15"/>
      <c r="F768" s="15"/>
      <c r="G768" s="15"/>
      <c r="H768" s="15"/>
      <c r="I768" s="15"/>
    </row>
    <row r="769" customFormat="false" ht="15" hidden="false" customHeight="false" outlineLevel="0" collapsed="false">
      <c r="A769" s="13"/>
      <c r="B769" s="14"/>
      <c r="C769" s="15"/>
      <c r="D769" s="15"/>
      <c r="E769" s="15"/>
      <c r="F769" s="15"/>
      <c r="G769" s="15"/>
      <c r="H769" s="15"/>
      <c r="I769" s="15"/>
    </row>
    <row r="770" customFormat="false" ht="15" hidden="false" customHeight="false" outlineLevel="0" collapsed="false">
      <c r="A770" s="13"/>
      <c r="B770" s="14"/>
      <c r="C770" s="15"/>
      <c r="D770" s="15"/>
      <c r="E770" s="15"/>
      <c r="F770" s="15"/>
      <c r="G770" s="15"/>
      <c r="H770" s="15"/>
      <c r="I770" s="15"/>
    </row>
    <row r="771" customFormat="false" ht="15" hidden="false" customHeight="false" outlineLevel="0" collapsed="false">
      <c r="A771" s="13"/>
      <c r="B771" s="14"/>
      <c r="C771" s="15"/>
      <c r="D771" s="15"/>
      <c r="E771" s="15"/>
      <c r="F771" s="15"/>
      <c r="G771" s="15"/>
      <c r="H771" s="15"/>
      <c r="I771" s="15"/>
    </row>
    <row r="772" customFormat="false" ht="15" hidden="false" customHeight="false" outlineLevel="0" collapsed="false">
      <c r="A772" s="13"/>
      <c r="B772" s="14"/>
      <c r="C772" s="15"/>
      <c r="D772" s="15"/>
      <c r="E772" s="15"/>
      <c r="F772" s="15"/>
      <c r="G772" s="15"/>
      <c r="H772" s="15"/>
      <c r="I772" s="15"/>
    </row>
    <row r="773" customFormat="false" ht="15" hidden="false" customHeight="false" outlineLevel="0" collapsed="false">
      <c r="A773" s="13"/>
      <c r="B773" s="14"/>
      <c r="C773" s="15"/>
      <c r="D773" s="15"/>
      <c r="E773" s="15"/>
      <c r="F773" s="15"/>
      <c r="G773" s="15"/>
      <c r="H773" s="15"/>
      <c r="I773" s="15"/>
    </row>
    <row r="774" customFormat="false" ht="15" hidden="false" customHeight="false" outlineLevel="0" collapsed="false">
      <c r="A774" s="13"/>
      <c r="B774" s="14"/>
      <c r="C774" s="15"/>
      <c r="D774" s="15"/>
      <c r="E774" s="15"/>
      <c r="F774" s="15"/>
      <c r="G774" s="15"/>
      <c r="H774" s="15"/>
      <c r="I774" s="15"/>
    </row>
    <row r="775" customFormat="false" ht="15" hidden="false" customHeight="false" outlineLevel="0" collapsed="false">
      <c r="A775" s="13"/>
      <c r="B775" s="14"/>
      <c r="C775" s="15"/>
      <c r="D775" s="15"/>
      <c r="E775" s="15"/>
      <c r="F775" s="15"/>
      <c r="G775" s="15"/>
      <c r="H775" s="15"/>
      <c r="I775" s="15"/>
    </row>
    <row r="776" customFormat="false" ht="15" hidden="false" customHeight="false" outlineLevel="0" collapsed="false">
      <c r="A776" s="13"/>
      <c r="B776" s="14"/>
      <c r="C776" s="15"/>
      <c r="D776" s="15"/>
      <c r="E776" s="15"/>
      <c r="F776" s="15"/>
      <c r="G776" s="15"/>
      <c r="H776" s="15"/>
      <c r="I776" s="15"/>
    </row>
    <row r="777" customFormat="false" ht="15" hidden="false" customHeight="false" outlineLevel="0" collapsed="false">
      <c r="A777" s="13"/>
      <c r="B777" s="14"/>
      <c r="C777" s="15"/>
      <c r="D777" s="15"/>
      <c r="E777" s="15"/>
      <c r="F777" s="15"/>
      <c r="G777" s="15"/>
      <c r="H777" s="15"/>
      <c r="I777" s="15"/>
    </row>
    <row r="778" customFormat="false" ht="15" hidden="false" customHeight="false" outlineLevel="0" collapsed="false">
      <c r="A778" s="13"/>
      <c r="B778" s="14"/>
      <c r="C778" s="15"/>
      <c r="D778" s="15"/>
      <c r="E778" s="15"/>
      <c r="F778" s="15"/>
      <c r="G778" s="15"/>
      <c r="H778" s="15"/>
      <c r="I778" s="15"/>
    </row>
    <row r="779" customFormat="false" ht="15" hidden="false" customHeight="false" outlineLevel="0" collapsed="false">
      <c r="A779" s="13"/>
      <c r="B779" s="14"/>
      <c r="C779" s="15"/>
      <c r="D779" s="15"/>
      <c r="E779" s="15"/>
      <c r="F779" s="15"/>
      <c r="G779" s="15"/>
      <c r="H779" s="15"/>
      <c r="I779" s="15"/>
    </row>
    <row r="780" customFormat="false" ht="15" hidden="false" customHeight="false" outlineLevel="0" collapsed="false">
      <c r="A780" s="13"/>
      <c r="B780" s="14"/>
      <c r="C780" s="15"/>
      <c r="D780" s="15"/>
      <c r="E780" s="15"/>
      <c r="F780" s="15"/>
      <c r="G780" s="15"/>
      <c r="H780" s="15"/>
      <c r="I780" s="15"/>
    </row>
    <row r="781" customFormat="false" ht="15" hidden="false" customHeight="false" outlineLevel="0" collapsed="false">
      <c r="A781" s="13"/>
      <c r="B781" s="14"/>
      <c r="C781" s="15"/>
      <c r="D781" s="15"/>
      <c r="E781" s="15"/>
      <c r="F781" s="15"/>
      <c r="G781" s="15"/>
      <c r="H781" s="15"/>
      <c r="I781" s="15"/>
    </row>
    <row r="782" customFormat="false" ht="15" hidden="false" customHeight="false" outlineLevel="0" collapsed="false">
      <c r="A782" s="13"/>
      <c r="B782" s="14"/>
      <c r="C782" s="15"/>
      <c r="D782" s="15"/>
      <c r="E782" s="15"/>
      <c r="F782" s="15"/>
      <c r="G782" s="15"/>
      <c r="H782" s="15"/>
      <c r="I782" s="15"/>
    </row>
    <row r="783" customFormat="false" ht="15" hidden="false" customHeight="false" outlineLevel="0" collapsed="false">
      <c r="A783" s="13"/>
      <c r="B783" s="14"/>
      <c r="C783" s="15"/>
      <c r="D783" s="15"/>
      <c r="E783" s="15"/>
      <c r="F783" s="15"/>
      <c r="G783" s="15"/>
      <c r="H783" s="15"/>
      <c r="I783" s="15"/>
    </row>
    <row r="784" customFormat="false" ht="15" hidden="false" customHeight="false" outlineLevel="0" collapsed="false">
      <c r="A784" s="13"/>
      <c r="B784" s="14"/>
      <c r="C784" s="15"/>
      <c r="D784" s="15"/>
      <c r="E784" s="15"/>
      <c r="F784" s="15"/>
      <c r="G784" s="15"/>
      <c r="H784" s="15"/>
      <c r="I784" s="15"/>
    </row>
    <row r="785" customFormat="false" ht="15" hidden="false" customHeight="false" outlineLevel="0" collapsed="false">
      <c r="A785" s="13"/>
      <c r="B785" s="14"/>
      <c r="C785" s="15"/>
      <c r="D785" s="15"/>
      <c r="E785" s="15"/>
      <c r="F785" s="15"/>
      <c r="G785" s="15"/>
      <c r="H785" s="15"/>
      <c r="I785" s="15"/>
    </row>
    <row r="786" customFormat="false" ht="15" hidden="false" customHeight="false" outlineLevel="0" collapsed="false">
      <c r="A786" s="13"/>
      <c r="B786" s="14"/>
      <c r="C786" s="15"/>
      <c r="D786" s="15"/>
      <c r="E786" s="15"/>
      <c r="F786" s="15"/>
      <c r="G786" s="15"/>
      <c r="H786" s="15"/>
      <c r="I786" s="15"/>
    </row>
    <row r="787" customFormat="false" ht="15" hidden="false" customHeight="false" outlineLevel="0" collapsed="false">
      <c r="A787" s="13"/>
      <c r="B787" s="14"/>
      <c r="C787" s="15"/>
      <c r="D787" s="15"/>
      <c r="E787" s="15"/>
      <c r="F787" s="15"/>
      <c r="G787" s="15"/>
      <c r="H787" s="15"/>
      <c r="I787" s="15"/>
    </row>
    <row r="788" customFormat="false" ht="15" hidden="false" customHeight="false" outlineLevel="0" collapsed="false">
      <c r="A788" s="13"/>
      <c r="B788" s="14"/>
      <c r="C788" s="15"/>
      <c r="D788" s="15"/>
      <c r="E788" s="15"/>
      <c r="F788" s="15"/>
      <c r="G788" s="15"/>
      <c r="H788" s="15"/>
      <c r="I788" s="15"/>
    </row>
    <row r="789" customFormat="false" ht="15" hidden="false" customHeight="false" outlineLevel="0" collapsed="false">
      <c r="A789" s="13"/>
      <c r="B789" s="14"/>
      <c r="C789" s="15"/>
      <c r="D789" s="15"/>
      <c r="E789" s="15"/>
      <c r="F789" s="15"/>
      <c r="G789" s="15"/>
      <c r="H789" s="15"/>
      <c r="I789" s="15"/>
    </row>
    <row r="790" customFormat="false" ht="15" hidden="false" customHeight="false" outlineLevel="0" collapsed="false">
      <c r="A790" s="13"/>
      <c r="B790" s="14"/>
      <c r="C790" s="15"/>
      <c r="D790" s="15"/>
      <c r="E790" s="15"/>
      <c r="F790" s="15"/>
      <c r="G790" s="15"/>
      <c r="H790" s="15"/>
      <c r="I790" s="15"/>
    </row>
    <row r="791" customFormat="false" ht="15" hidden="false" customHeight="false" outlineLevel="0" collapsed="false">
      <c r="A791" s="13"/>
      <c r="B791" s="14"/>
      <c r="C791" s="15"/>
      <c r="D791" s="15"/>
      <c r="E791" s="15"/>
      <c r="F791" s="15"/>
      <c r="G791" s="15"/>
      <c r="H791" s="15"/>
      <c r="I791" s="15"/>
    </row>
    <row r="792" customFormat="false" ht="15" hidden="false" customHeight="false" outlineLevel="0" collapsed="false">
      <c r="A792" s="13"/>
      <c r="B792" s="14"/>
      <c r="C792" s="15"/>
      <c r="D792" s="15"/>
      <c r="E792" s="15"/>
      <c r="F792" s="15"/>
      <c r="G792" s="15"/>
      <c r="H792" s="15"/>
      <c r="I792" s="15"/>
    </row>
    <row r="793" customFormat="false" ht="15" hidden="false" customHeight="false" outlineLevel="0" collapsed="false">
      <c r="A793" s="13"/>
      <c r="B793" s="14"/>
      <c r="C793" s="15"/>
      <c r="D793" s="15"/>
      <c r="E793" s="15"/>
      <c r="F793" s="15"/>
      <c r="G793" s="15"/>
      <c r="H793" s="15"/>
      <c r="I793" s="15"/>
    </row>
    <row r="794" customFormat="false" ht="15" hidden="false" customHeight="false" outlineLevel="0" collapsed="false">
      <c r="A794" s="13"/>
      <c r="B794" s="14"/>
      <c r="C794" s="15"/>
      <c r="D794" s="15"/>
      <c r="E794" s="15"/>
      <c r="F794" s="15"/>
      <c r="G794" s="15"/>
      <c r="H794" s="15"/>
      <c r="I794" s="15"/>
    </row>
    <row r="795" customFormat="false" ht="15" hidden="false" customHeight="false" outlineLevel="0" collapsed="false">
      <c r="A795" s="13"/>
      <c r="B795" s="14"/>
      <c r="C795" s="15"/>
      <c r="D795" s="15"/>
      <c r="E795" s="15"/>
      <c r="F795" s="15"/>
      <c r="G795" s="15"/>
      <c r="H795" s="15"/>
      <c r="I795" s="15"/>
    </row>
    <row r="796" customFormat="false" ht="15" hidden="false" customHeight="false" outlineLevel="0" collapsed="false">
      <c r="A796" s="13"/>
      <c r="B796" s="14"/>
      <c r="C796" s="15"/>
      <c r="D796" s="15"/>
      <c r="E796" s="15"/>
      <c r="F796" s="15"/>
      <c r="G796" s="15"/>
      <c r="H796" s="15"/>
      <c r="I796" s="15"/>
    </row>
    <row r="797" customFormat="false" ht="15" hidden="false" customHeight="false" outlineLevel="0" collapsed="false">
      <c r="A797" s="13"/>
      <c r="B797" s="14"/>
      <c r="C797" s="15"/>
      <c r="D797" s="15"/>
      <c r="E797" s="15"/>
      <c r="F797" s="15"/>
      <c r="G797" s="15"/>
      <c r="H797" s="15"/>
      <c r="I797" s="15"/>
    </row>
    <row r="798" customFormat="false" ht="15" hidden="false" customHeight="false" outlineLevel="0" collapsed="false">
      <c r="A798" s="13"/>
      <c r="B798" s="14"/>
      <c r="C798" s="15"/>
      <c r="D798" s="15"/>
      <c r="E798" s="15"/>
      <c r="F798" s="15"/>
      <c r="G798" s="15"/>
      <c r="H798" s="15"/>
      <c r="I798" s="15"/>
    </row>
    <row r="799" customFormat="false" ht="15" hidden="false" customHeight="false" outlineLevel="0" collapsed="false">
      <c r="A799" s="13"/>
      <c r="B799" s="14"/>
      <c r="C799" s="15"/>
      <c r="D799" s="15"/>
      <c r="E799" s="15"/>
      <c r="F799" s="15"/>
      <c r="G799" s="15"/>
      <c r="H799" s="15"/>
      <c r="I799" s="15"/>
    </row>
    <row r="800" customFormat="false" ht="15" hidden="false" customHeight="false" outlineLevel="0" collapsed="false">
      <c r="A800" s="13"/>
      <c r="B800" s="14"/>
      <c r="C800" s="15"/>
      <c r="D800" s="15"/>
      <c r="E800" s="15"/>
      <c r="F800" s="15"/>
      <c r="G800" s="15"/>
      <c r="H800" s="15"/>
      <c r="I800" s="15"/>
    </row>
    <row r="801" customFormat="false" ht="15" hidden="false" customHeight="false" outlineLevel="0" collapsed="false">
      <c r="A801" s="13"/>
      <c r="B801" s="14"/>
      <c r="C801" s="15"/>
      <c r="D801" s="15"/>
      <c r="E801" s="15"/>
      <c r="F801" s="15"/>
      <c r="G801" s="15"/>
      <c r="H801" s="15"/>
      <c r="I801" s="15"/>
    </row>
    <row r="802" customFormat="false" ht="15" hidden="false" customHeight="false" outlineLevel="0" collapsed="false">
      <c r="A802" s="13"/>
      <c r="B802" s="14"/>
      <c r="C802" s="15"/>
      <c r="D802" s="15"/>
      <c r="E802" s="15"/>
      <c r="F802" s="15"/>
      <c r="G802" s="15"/>
      <c r="H802" s="15"/>
      <c r="I802" s="15"/>
    </row>
    <row r="803" customFormat="false" ht="15" hidden="false" customHeight="false" outlineLevel="0" collapsed="false">
      <c r="A803" s="13"/>
      <c r="B803" s="14"/>
      <c r="C803" s="15"/>
      <c r="D803" s="15"/>
      <c r="E803" s="15"/>
      <c r="F803" s="15"/>
      <c r="G803" s="15"/>
      <c r="H803" s="15"/>
      <c r="I803" s="15"/>
    </row>
    <row r="804" customFormat="false" ht="15" hidden="false" customHeight="false" outlineLevel="0" collapsed="false">
      <c r="A804" s="13"/>
      <c r="B804" s="14"/>
      <c r="C804" s="15"/>
      <c r="D804" s="15"/>
      <c r="E804" s="15"/>
      <c r="F804" s="15"/>
      <c r="G804" s="15"/>
      <c r="H804" s="15"/>
      <c r="I804" s="15"/>
    </row>
    <row r="805" customFormat="false" ht="15" hidden="false" customHeight="false" outlineLevel="0" collapsed="false">
      <c r="A805" s="13"/>
      <c r="B805" s="14"/>
      <c r="C805" s="15"/>
      <c r="D805" s="15"/>
      <c r="E805" s="15"/>
      <c r="F805" s="15"/>
      <c r="G805" s="15"/>
      <c r="H805" s="15"/>
      <c r="I805" s="15"/>
    </row>
    <row r="806" customFormat="false" ht="15" hidden="false" customHeight="false" outlineLevel="0" collapsed="false">
      <c r="A806" s="13"/>
      <c r="B806" s="14"/>
      <c r="C806" s="15"/>
      <c r="D806" s="15"/>
      <c r="E806" s="15"/>
      <c r="F806" s="15"/>
      <c r="G806" s="15"/>
      <c r="H806" s="15"/>
      <c r="I806" s="15"/>
    </row>
    <row r="807" customFormat="false" ht="15" hidden="false" customHeight="false" outlineLevel="0" collapsed="false">
      <c r="A807" s="13"/>
      <c r="B807" s="14"/>
      <c r="C807" s="15"/>
      <c r="D807" s="15"/>
      <c r="E807" s="15"/>
      <c r="F807" s="15"/>
      <c r="G807" s="15"/>
      <c r="H807" s="15"/>
      <c r="I807" s="15"/>
    </row>
    <row r="808" customFormat="false" ht="15" hidden="false" customHeight="false" outlineLevel="0" collapsed="false">
      <c r="A808" s="13"/>
      <c r="B808" s="14"/>
      <c r="C808" s="15"/>
      <c r="D808" s="15"/>
      <c r="E808" s="15"/>
      <c r="F808" s="15"/>
      <c r="G808" s="15"/>
      <c r="H808" s="15"/>
      <c r="I808" s="15"/>
    </row>
    <row r="809" customFormat="false" ht="15" hidden="false" customHeight="false" outlineLevel="0" collapsed="false">
      <c r="A809" s="13"/>
      <c r="B809" s="14"/>
      <c r="C809" s="15"/>
      <c r="D809" s="15"/>
      <c r="E809" s="15"/>
      <c r="F809" s="15"/>
      <c r="G809" s="15"/>
      <c r="H809" s="15"/>
      <c r="I809" s="15"/>
    </row>
    <row r="810" customFormat="false" ht="15" hidden="false" customHeight="false" outlineLevel="0" collapsed="false">
      <c r="A810" s="13"/>
      <c r="B810" s="14"/>
      <c r="C810" s="15"/>
      <c r="D810" s="15"/>
      <c r="E810" s="15"/>
      <c r="F810" s="15"/>
      <c r="G810" s="15"/>
      <c r="H810" s="15"/>
      <c r="I810" s="15"/>
    </row>
    <row r="811" customFormat="false" ht="15" hidden="false" customHeight="false" outlineLevel="0" collapsed="false">
      <c r="A811" s="13"/>
      <c r="B811" s="14"/>
      <c r="C811" s="15"/>
      <c r="D811" s="15"/>
      <c r="E811" s="15"/>
      <c r="F811" s="15"/>
      <c r="G811" s="15"/>
      <c r="H811" s="15"/>
      <c r="I811" s="15"/>
    </row>
    <row r="812" customFormat="false" ht="15" hidden="false" customHeight="false" outlineLevel="0" collapsed="false">
      <c r="A812" s="13"/>
      <c r="B812" s="14"/>
      <c r="C812" s="15"/>
      <c r="D812" s="15"/>
      <c r="E812" s="15"/>
      <c r="F812" s="15"/>
      <c r="G812" s="15"/>
      <c r="H812" s="15"/>
      <c r="I812" s="15"/>
    </row>
    <row r="813" customFormat="false" ht="15" hidden="false" customHeight="false" outlineLevel="0" collapsed="false">
      <c r="A813" s="13"/>
      <c r="B813" s="14"/>
      <c r="C813" s="15"/>
      <c r="D813" s="15"/>
      <c r="E813" s="15"/>
      <c r="F813" s="15"/>
      <c r="G813" s="15"/>
      <c r="H813" s="15"/>
      <c r="I813" s="15"/>
    </row>
    <row r="814" customFormat="false" ht="15" hidden="false" customHeight="false" outlineLevel="0" collapsed="false">
      <c r="A814" s="13"/>
      <c r="B814" s="14"/>
      <c r="C814" s="15"/>
      <c r="D814" s="15"/>
      <c r="E814" s="15"/>
      <c r="F814" s="15"/>
      <c r="G814" s="15"/>
      <c r="H814" s="15"/>
      <c r="I814" s="15"/>
    </row>
    <row r="815" customFormat="false" ht="15" hidden="false" customHeight="false" outlineLevel="0" collapsed="false">
      <c r="A815" s="13"/>
      <c r="B815" s="14"/>
      <c r="C815" s="15"/>
      <c r="D815" s="15"/>
      <c r="E815" s="15"/>
      <c r="F815" s="15"/>
      <c r="G815" s="15"/>
      <c r="H815" s="15"/>
      <c r="I815" s="15"/>
    </row>
    <row r="816" customFormat="false" ht="15" hidden="false" customHeight="false" outlineLevel="0" collapsed="false">
      <c r="A816" s="13"/>
      <c r="B816" s="14"/>
      <c r="C816" s="15"/>
      <c r="D816" s="15"/>
      <c r="E816" s="15"/>
      <c r="F816" s="15"/>
      <c r="G816" s="15"/>
      <c r="H816" s="15"/>
      <c r="I816" s="15"/>
    </row>
    <row r="817" customFormat="false" ht="15" hidden="false" customHeight="false" outlineLevel="0" collapsed="false">
      <c r="A817" s="13"/>
      <c r="B817" s="14"/>
      <c r="C817" s="15"/>
      <c r="D817" s="15"/>
      <c r="E817" s="15"/>
      <c r="F817" s="15"/>
      <c r="G817" s="15"/>
      <c r="H817" s="15"/>
      <c r="I817" s="15"/>
    </row>
    <row r="818" customFormat="false" ht="15" hidden="false" customHeight="false" outlineLevel="0" collapsed="false">
      <c r="A818" s="13"/>
      <c r="B818" s="14"/>
      <c r="C818" s="15"/>
      <c r="D818" s="15"/>
      <c r="E818" s="15"/>
      <c r="F818" s="15"/>
      <c r="G818" s="15"/>
      <c r="H818" s="15"/>
      <c r="I818" s="15"/>
    </row>
    <row r="819" customFormat="false" ht="15" hidden="false" customHeight="false" outlineLevel="0" collapsed="false">
      <c r="A819" s="13"/>
      <c r="B819" s="14"/>
      <c r="C819" s="15"/>
      <c r="D819" s="15"/>
      <c r="E819" s="15"/>
      <c r="F819" s="15"/>
      <c r="G819" s="15"/>
      <c r="H819" s="15"/>
      <c r="I819" s="15"/>
    </row>
    <row r="820" customFormat="false" ht="15" hidden="false" customHeight="false" outlineLevel="0" collapsed="false">
      <c r="A820" s="13"/>
      <c r="B820" s="14"/>
      <c r="C820" s="15"/>
      <c r="D820" s="15"/>
      <c r="E820" s="15"/>
      <c r="F820" s="15"/>
      <c r="G820" s="15"/>
      <c r="H820" s="15"/>
      <c r="I820" s="15"/>
    </row>
    <row r="821" customFormat="false" ht="15" hidden="false" customHeight="false" outlineLevel="0" collapsed="false">
      <c r="A821" s="13"/>
      <c r="B821" s="14"/>
      <c r="C821" s="15"/>
      <c r="D821" s="15"/>
      <c r="E821" s="15"/>
      <c r="F821" s="15"/>
      <c r="G821" s="15"/>
      <c r="H821" s="15"/>
      <c r="I821" s="15"/>
    </row>
    <row r="822" customFormat="false" ht="15" hidden="false" customHeight="false" outlineLevel="0" collapsed="false">
      <c r="A822" s="13"/>
      <c r="B822" s="14"/>
      <c r="C822" s="15"/>
      <c r="D822" s="15"/>
      <c r="E822" s="15"/>
      <c r="F822" s="15"/>
      <c r="G822" s="15"/>
      <c r="H822" s="15"/>
      <c r="I822" s="15"/>
    </row>
    <row r="823" customFormat="false" ht="15" hidden="false" customHeight="false" outlineLevel="0" collapsed="false">
      <c r="A823" s="13"/>
      <c r="B823" s="14"/>
      <c r="C823" s="15"/>
      <c r="D823" s="15"/>
      <c r="E823" s="15"/>
      <c r="F823" s="15"/>
      <c r="G823" s="15"/>
      <c r="H823" s="15"/>
      <c r="I823" s="15"/>
    </row>
    <row r="824" customFormat="false" ht="15" hidden="false" customHeight="false" outlineLevel="0" collapsed="false">
      <c r="A824" s="13"/>
      <c r="B824" s="14"/>
      <c r="C824" s="15"/>
      <c r="D824" s="15"/>
      <c r="E824" s="15"/>
      <c r="F824" s="15"/>
      <c r="G824" s="15"/>
      <c r="H824" s="15"/>
      <c r="I824" s="15"/>
    </row>
    <row r="825" customFormat="false" ht="15" hidden="false" customHeight="false" outlineLevel="0" collapsed="false">
      <c r="A825" s="13"/>
      <c r="B825" s="14"/>
      <c r="C825" s="15"/>
      <c r="D825" s="15"/>
      <c r="E825" s="15"/>
      <c r="F825" s="15"/>
      <c r="G825" s="15"/>
      <c r="H825" s="15"/>
      <c r="I825" s="15"/>
    </row>
    <row r="826" customFormat="false" ht="15" hidden="false" customHeight="false" outlineLevel="0" collapsed="false">
      <c r="A826" s="13"/>
      <c r="B826" s="14"/>
      <c r="C826" s="15"/>
      <c r="D826" s="15"/>
      <c r="E826" s="15"/>
      <c r="F826" s="15"/>
      <c r="G826" s="15"/>
      <c r="H826" s="15"/>
      <c r="I826" s="15"/>
    </row>
    <row r="827" customFormat="false" ht="15" hidden="false" customHeight="false" outlineLevel="0" collapsed="false">
      <c r="A827" s="13"/>
      <c r="B827" s="14"/>
      <c r="C827" s="15"/>
      <c r="D827" s="15"/>
      <c r="E827" s="15"/>
      <c r="F827" s="15"/>
      <c r="G827" s="15"/>
      <c r="H827" s="15"/>
      <c r="I827" s="15"/>
    </row>
    <row r="828" customFormat="false" ht="15" hidden="false" customHeight="false" outlineLevel="0" collapsed="false">
      <c r="A828" s="13"/>
      <c r="B828" s="14"/>
      <c r="C828" s="15"/>
      <c r="D828" s="15"/>
      <c r="E828" s="15"/>
      <c r="F828" s="15"/>
      <c r="G828" s="15"/>
      <c r="H828" s="15"/>
      <c r="I828" s="15"/>
    </row>
    <row r="829" customFormat="false" ht="15" hidden="false" customHeight="false" outlineLevel="0" collapsed="false">
      <c r="A829" s="13"/>
      <c r="B829" s="14"/>
      <c r="C829" s="15"/>
      <c r="D829" s="15"/>
      <c r="E829" s="15"/>
      <c r="F829" s="15"/>
      <c r="G829" s="15"/>
      <c r="H829" s="15"/>
      <c r="I829" s="15"/>
    </row>
    <row r="830" customFormat="false" ht="15" hidden="false" customHeight="false" outlineLevel="0" collapsed="false">
      <c r="A830" s="13"/>
      <c r="B830" s="14"/>
      <c r="C830" s="15"/>
      <c r="D830" s="15"/>
      <c r="E830" s="15"/>
      <c r="F830" s="15"/>
      <c r="G830" s="15"/>
      <c r="H830" s="15"/>
      <c r="I830" s="15"/>
    </row>
    <row r="831" customFormat="false" ht="15" hidden="false" customHeight="false" outlineLevel="0" collapsed="false">
      <c r="A831" s="13"/>
      <c r="B831" s="14"/>
      <c r="C831" s="15"/>
      <c r="D831" s="15"/>
      <c r="E831" s="15"/>
      <c r="F831" s="15"/>
      <c r="G831" s="15"/>
      <c r="H831" s="15"/>
      <c r="I831" s="15"/>
    </row>
    <row r="832" customFormat="false" ht="15" hidden="false" customHeight="false" outlineLevel="0" collapsed="false">
      <c r="A832" s="13"/>
      <c r="B832" s="14"/>
      <c r="C832" s="15"/>
      <c r="D832" s="15"/>
      <c r="E832" s="15"/>
      <c r="F832" s="15"/>
      <c r="G832" s="15"/>
      <c r="H832" s="15"/>
      <c r="I832" s="15"/>
    </row>
    <row r="833" customFormat="false" ht="15" hidden="false" customHeight="false" outlineLevel="0" collapsed="false">
      <c r="A833" s="13"/>
      <c r="B833" s="14"/>
      <c r="C833" s="15"/>
      <c r="D833" s="15"/>
      <c r="E833" s="15"/>
      <c r="F833" s="15"/>
      <c r="G833" s="15"/>
      <c r="H833" s="15"/>
      <c r="I833" s="15"/>
    </row>
    <row r="834" customFormat="false" ht="15" hidden="false" customHeight="false" outlineLevel="0" collapsed="false">
      <c r="A834" s="13"/>
      <c r="B834" s="14"/>
      <c r="C834" s="15"/>
      <c r="D834" s="15"/>
      <c r="E834" s="15"/>
      <c r="F834" s="15"/>
      <c r="G834" s="15"/>
      <c r="H834" s="15"/>
      <c r="I834" s="15"/>
    </row>
    <row r="835" customFormat="false" ht="15" hidden="false" customHeight="false" outlineLevel="0" collapsed="false">
      <c r="A835" s="13"/>
      <c r="B835" s="14"/>
      <c r="C835" s="15"/>
      <c r="D835" s="15"/>
      <c r="E835" s="15"/>
      <c r="F835" s="15"/>
      <c r="G835" s="15"/>
      <c r="H835" s="15"/>
      <c r="I835" s="15"/>
    </row>
    <row r="836" customFormat="false" ht="15" hidden="false" customHeight="false" outlineLevel="0" collapsed="false">
      <c r="A836" s="13"/>
      <c r="B836" s="14"/>
      <c r="C836" s="15"/>
      <c r="D836" s="15"/>
      <c r="E836" s="15"/>
      <c r="F836" s="15"/>
      <c r="G836" s="15"/>
      <c r="H836" s="15"/>
      <c r="I836" s="15"/>
    </row>
    <row r="837" customFormat="false" ht="15" hidden="false" customHeight="false" outlineLevel="0" collapsed="false">
      <c r="A837" s="13"/>
      <c r="B837" s="14"/>
      <c r="C837" s="15"/>
      <c r="D837" s="15"/>
      <c r="E837" s="15"/>
      <c r="F837" s="15"/>
      <c r="G837" s="15"/>
      <c r="H837" s="15"/>
      <c r="I837" s="15"/>
    </row>
    <row r="838" customFormat="false" ht="15" hidden="false" customHeight="false" outlineLevel="0" collapsed="false">
      <c r="A838" s="13"/>
      <c r="B838" s="14"/>
      <c r="C838" s="15"/>
      <c r="D838" s="15"/>
      <c r="E838" s="15"/>
      <c r="F838" s="15"/>
      <c r="G838" s="15"/>
      <c r="H838" s="15"/>
      <c r="I838" s="15"/>
    </row>
    <row r="839" customFormat="false" ht="15" hidden="false" customHeight="false" outlineLevel="0" collapsed="false">
      <c r="A839" s="13"/>
      <c r="B839" s="14"/>
      <c r="C839" s="15"/>
      <c r="D839" s="15"/>
      <c r="E839" s="15"/>
      <c r="F839" s="15"/>
      <c r="G839" s="15"/>
      <c r="H839" s="15"/>
      <c r="I839" s="15"/>
    </row>
    <row r="840" customFormat="false" ht="15" hidden="false" customHeight="false" outlineLevel="0" collapsed="false">
      <c r="A840" s="13"/>
      <c r="B840" s="14"/>
      <c r="C840" s="15"/>
      <c r="D840" s="15"/>
      <c r="E840" s="15"/>
      <c r="F840" s="15"/>
      <c r="G840" s="15"/>
      <c r="H840" s="15"/>
      <c r="I840" s="15"/>
    </row>
    <row r="841" customFormat="false" ht="15" hidden="false" customHeight="false" outlineLevel="0" collapsed="false">
      <c r="A841" s="13"/>
      <c r="B841" s="14"/>
      <c r="C841" s="15"/>
      <c r="D841" s="15"/>
      <c r="E841" s="15"/>
      <c r="F841" s="15"/>
      <c r="G841" s="15"/>
      <c r="H841" s="15"/>
      <c r="I841" s="15"/>
    </row>
    <row r="842" customFormat="false" ht="15" hidden="false" customHeight="false" outlineLevel="0" collapsed="false">
      <c r="A842" s="13"/>
      <c r="B842" s="14"/>
      <c r="C842" s="15"/>
      <c r="D842" s="15"/>
      <c r="E842" s="15"/>
      <c r="F842" s="15"/>
      <c r="G842" s="15"/>
      <c r="H842" s="15"/>
      <c r="I842" s="15"/>
    </row>
    <row r="843" customFormat="false" ht="15" hidden="false" customHeight="false" outlineLevel="0" collapsed="false">
      <c r="A843" s="13"/>
      <c r="B843" s="14"/>
      <c r="C843" s="15"/>
      <c r="D843" s="15"/>
      <c r="E843" s="15"/>
      <c r="F843" s="15"/>
      <c r="G843" s="15"/>
      <c r="H843" s="15"/>
      <c r="I843" s="15"/>
    </row>
    <row r="844" customFormat="false" ht="15" hidden="false" customHeight="false" outlineLevel="0" collapsed="false">
      <c r="A844" s="13"/>
      <c r="B844" s="14"/>
      <c r="C844" s="15"/>
      <c r="D844" s="15"/>
      <c r="E844" s="15"/>
      <c r="F844" s="15"/>
      <c r="G844" s="15"/>
      <c r="H844" s="15"/>
      <c r="I844" s="15"/>
    </row>
    <row r="845" customFormat="false" ht="15" hidden="false" customHeight="false" outlineLevel="0" collapsed="false">
      <c r="A845" s="13"/>
      <c r="B845" s="14"/>
      <c r="C845" s="15"/>
      <c r="D845" s="15"/>
      <c r="E845" s="15"/>
      <c r="F845" s="15"/>
      <c r="G845" s="15"/>
      <c r="H845" s="15"/>
      <c r="I845" s="15"/>
    </row>
    <row r="846" customFormat="false" ht="15" hidden="false" customHeight="false" outlineLevel="0" collapsed="false">
      <c r="A846" s="13"/>
      <c r="B846" s="14"/>
      <c r="C846" s="15"/>
      <c r="D846" s="15"/>
      <c r="E846" s="15"/>
      <c r="F846" s="15"/>
      <c r="G846" s="15"/>
      <c r="H846" s="15"/>
      <c r="I846" s="15"/>
    </row>
    <row r="847" customFormat="false" ht="15" hidden="false" customHeight="false" outlineLevel="0" collapsed="false">
      <c r="A847" s="13"/>
      <c r="B847" s="14"/>
      <c r="C847" s="15"/>
      <c r="D847" s="15"/>
      <c r="E847" s="15"/>
      <c r="F847" s="15"/>
      <c r="G847" s="15"/>
      <c r="H847" s="15"/>
      <c r="I847" s="15"/>
    </row>
    <row r="848" customFormat="false" ht="15" hidden="false" customHeight="false" outlineLevel="0" collapsed="false">
      <c r="A848" s="13"/>
      <c r="B848" s="14"/>
      <c r="C848" s="15"/>
      <c r="D848" s="15"/>
      <c r="E848" s="15"/>
      <c r="F848" s="15"/>
      <c r="G848" s="15"/>
      <c r="H848" s="15"/>
      <c r="I848" s="15"/>
    </row>
    <row r="849" customFormat="false" ht="15" hidden="false" customHeight="false" outlineLevel="0" collapsed="false">
      <c r="A849" s="13"/>
      <c r="B849" s="14"/>
      <c r="C849" s="15"/>
      <c r="D849" s="15"/>
      <c r="E849" s="15"/>
      <c r="F849" s="15"/>
      <c r="G849" s="15"/>
      <c r="H849" s="15"/>
      <c r="I849" s="15"/>
    </row>
    <row r="850" customFormat="false" ht="15" hidden="false" customHeight="false" outlineLevel="0" collapsed="false">
      <c r="A850" s="13"/>
      <c r="B850" s="14"/>
      <c r="C850" s="15"/>
      <c r="D850" s="15"/>
      <c r="E850" s="15"/>
      <c r="F850" s="15"/>
      <c r="G850" s="15"/>
      <c r="H850" s="15"/>
      <c r="I850" s="15"/>
    </row>
    <row r="851" customFormat="false" ht="15" hidden="false" customHeight="false" outlineLevel="0" collapsed="false">
      <c r="A851" s="13"/>
      <c r="B851" s="14"/>
      <c r="C851" s="15"/>
      <c r="D851" s="15"/>
      <c r="E851" s="15"/>
      <c r="F851" s="15"/>
      <c r="G851" s="15"/>
      <c r="H851" s="15"/>
      <c r="I851" s="15"/>
    </row>
    <row r="852" customFormat="false" ht="15" hidden="false" customHeight="false" outlineLevel="0" collapsed="false">
      <c r="A852" s="13"/>
      <c r="B852" s="14"/>
      <c r="C852" s="15"/>
      <c r="D852" s="15"/>
      <c r="E852" s="15"/>
      <c r="F852" s="15"/>
      <c r="G852" s="15"/>
      <c r="H852" s="15"/>
      <c r="I852" s="15"/>
    </row>
    <row r="853" customFormat="false" ht="15" hidden="false" customHeight="false" outlineLevel="0" collapsed="false">
      <c r="A853" s="13"/>
      <c r="B853" s="14"/>
      <c r="C853" s="15"/>
      <c r="D853" s="15"/>
      <c r="E853" s="15"/>
      <c r="F853" s="15"/>
      <c r="G853" s="15"/>
      <c r="H853" s="15"/>
      <c r="I853" s="15"/>
    </row>
    <row r="854" customFormat="false" ht="15" hidden="false" customHeight="false" outlineLevel="0" collapsed="false">
      <c r="A854" s="13"/>
      <c r="B854" s="14"/>
      <c r="C854" s="15"/>
      <c r="D854" s="15"/>
      <c r="E854" s="15"/>
      <c r="F854" s="15"/>
      <c r="G854" s="15"/>
      <c r="H854" s="15"/>
      <c r="I854" s="15"/>
    </row>
    <row r="855" customFormat="false" ht="15" hidden="false" customHeight="false" outlineLevel="0" collapsed="false">
      <c r="A855" s="13"/>
      <c r="B855" s="14"/>
      <c r="C855" s="15"/>
      <c r="D855" s="15"/>
      <c r="E855" s="15"/>
      <c r="F855" s="15"/>
      <c r="G855" s="15"/>
      <c r="H855" s="15"/>
      <c r="I855" s="15"/>
    </row>
    <row r="856" customFormat="false" ht="15" hidden="false" customHeight="false" outlineLevel="0" collapsed="false">
      <c r="A856" s="13"/>
      <c r="B856" s="14"/>
      <c r="C856" s="15"/>
      <c r="D856" s="15"/>
      <c r="E856" s="15"/>
      <c r="F856" s="15"/>
      <c r="G856" s="15"/>
      <c r="H856" s="15"/>
      <c r="I856" s="15"/>
    </row>
    <row r="857" customFormat="false" ht="15" hidden="false" customHeight="false" outlineLevel="0" collapsed="false">
      <c r="A857" s="13"/>
      <c r="B857" s="14"/>
      <c r="C857" s="15"/>
      <c r="D857" s="15"/>
      <c r="E857" s="15"/>
      <c r="F857" s="15"/>
      <c r="G857" s="15"/>
      <c r="H857" s="15"/>
      <c r="I857" s="15"/>
    </row>
    <row r="858" customFormat="false" ht="15" hidden="false" customHeight="false" outlineLevel="0" collapsed="false">
      <c r="A858" s="13"/>
      <c r="B858" s="14"/>
      <c r="C858" s="15"/>
      <c r="D858" s="15"/>
      <c r="E858" s="15"/>
      <c r="F858" s="15"/>
      <c r="G858" s="15"/>
      <c r="H858" s="15"/>
      <c r="I858" s="15"/>
    </row>
    <row r="859" customFormat="false" ht="15" hidden="false" customHeight="false" outlineLevel="0" collapsed="false">
      <c r="A859" s="13"/>
      <c r="B859" s="14"/>
      <c r="C859" s="15"/>
      <c r="D859" s="15"/>
      <c r="E859" s="15"/>
      <c r="F859" s="15"/>
      <c r="G859" s="15"/>
      <c r="H859" s="15"/>
      <c r="I859" s="15"/>
    </row>
    <row r="860" customFormat="false" ht="15" hidden="false" customHeight="false" outlineLevel="0" collapsed="false">
      <c r="A860" s="13"/>
      <c r="B860" s="14"/>
      <c r="C860" s="15"/>
      <c r="D860" s="15"/>
      <c r="E860" s="15"/>
      <c r="F860" s="15"/>
      <c r="G860" s="15"/>
      <c r="H860" s="15"/>
      <c r="I860" s="15"/>
    </row>
    <row r="861" customFormat="false" ht="15" hidden="false" customHeight="false" outlineLevel="0" collapsed="false">
      <c r="A861" s="13"/>
      <c r="B861" s="14"/>
      <c r="C861" s="15"/>
      <c r="D861" s="15"/>
      <c r="E861" s="15"/>
      <c r="F861" s="15"/>
      <c r="G861" s="15"/>
      <c r="H861" s="15"/>
      <c r="I861" s="15"/>
    </row>
    <row r="862" customFormat="false" ht="15" hidden="false" customHeight="false" outlineLevel="0" collapsed="false">
      <c r="A862" s="13"/>
      <c r="B862" s="14"/>
      <c r="C862" s="15"/>
      <c r="D862" s="15"/>
      <c r="E862" s="15"/>
      <c r="F862" s="15"/>
      <c r="G862" s="15"/>
      <c r="H862" s="15"/>
      <c r="I862" s="15"/>
    </row>
    <row r="863" customFormat="false" ht="15" hidden="false" customHeight="false" outlineLevel="0" collapsed="false">
      <c r="A863" s="13"/>
      <c r="B863" s="14"/>
      <c r="C863" s="15"/>
      <c r="D863" s="15"/>
      <c r="E863" s="15"/>
      <c r="F863" s="15"/>
      <c r="G863" s="15"/>
      <c r="H863" s="15"/>
      <c r="I863" s="15"/>
    </row>
    <row r="864" customFormat="false" ht="15" hidden="false" customHeight="false" outlineLevel="0" collapsed="false">
      <c r="A864" s="13"/>
      <c r="B864" s="14"/>
      <c r="C864" s="15"/>
      <c r="D864" s="15"/>
      <c r="E864" s="15"/>
      <c r="F864" s="15"/>
      <c r="G864" s="15"/>
      <c r="H864" s="15"/>
      <c r="I864" s="15"/>
    </row>
    <row r="865" customFormat="false" ht="15" hidden="false" customHeight="false" outlineLevel="0" collapsed="false">
      <c r="A865" s="13"/>
      <c r="B865" s="14"/>
      <c r="C865" s="15"/>
      <c r="D865" s="15"/>
      <c r="E865" s="15"/>
      <c r="F865" s="15"/>
      <c r="G865" s="15"/>
      <c r="H865" s="15"/>
      <c r="I865" s="15"/>
    </row>
    <row r="866" customFormat="false" ht="15" hidden="false" customHeight="false" outlineLevel="0" collapsed="false">
      <c r="A866" s="13"/>
      <c r="B866" s="14"/>
      <c r="C866" s="15"/>
      <c r="D866" s="15"/>
      <c r="E866" s="15"/>
      <c r="F866" s="15"/>
      <c r="G866" s="15"/>
      <c r="H866" s="15"/>
      <c r="I866" s="15"/>
    </row>
    <row r="867" customFormat="false" ht="15" hidden="false" customHeight="false" outlineLevel="0" collapsed="false">
      <c r="A867" s="13"/>
      <c r="B867" s="14"/>
      <c r="C867" s="15"/>
      <c r="D867" s="15"/>
      <c r="E867" s="15"/>
      <c r="F867" s="15"/>
      <c r="G867" s="15"/>
      <c r="H867" s="15"/>
      <c r="I867" s="15"/>
    </row>
    <row r="868" customFormat="false" ht="15" hidden="false" customHeight="false" outlineLevel="0" collapsed="false">
      <c r="A868" s="13"/>
      <c r="B868" s="14"/>
      <c r="C868" s="15"/>
      <c r="D868" s="15"/>
      <c r="E868" s="15"/>
      <c r="F868" s="15"/>
      <c r="G868" s="15"/>
      <c r="H868" s="15"/>
      <c r="I868" s="15"/>
    </row>
    <row r="869" customFormat="false" ht="15" hidden="false" customHeight="false" outlineLevel="0" collapsed="false">
      <c r="A869" s="13"/>
      <c r="B869" s="14"/>
      <c r="C869" s="15"/>
      <c r="D869" s="15"/>
      <c r="E869" s="15"/>
      <c r="F869" s="15"/>
      <c r="G869" s="15"/>
      <c r="H869" s="15"/>
      <c r="I869" s="15"/>
    </row>
    <row r="870" customFormat="false" ht="15" hidden="false" customHeight="false" outlineLevel="0" collapsed="false">
      <c r="A870" s="13"/>
      <c r="B870" s="14"/>
      <c r="C870" s="15"/>
      <c r="D870" s="15"/>
      <c r="E870" s="15"/>
      <c r="F870" s="15"/>
      <c r="G870" s="15"/>
      <c r="H870" s="15"/>
      <c r="I870" s="15"/>
    </row>
    <row r="871" customFormat="false" ht="15" hidden="false" customHeight="false" outlineLevel="0" collapsed="false">
      <c r="A871" s="13"/>
      <c r="B871" s="14"/>
      <c r="C871" s="15"/>
      <c r="D871" s="15"/>
      <c r="E871" s="15"/>
      <c r="F871" s="15"/>
      <c r="G871" s="15"/>
      <c r="H871" s="15"/>
      <c r="I871" s="15"/>
    </row>
    <row r="872" customFormat="false" ht="15" hidden="false" customHeight="false" outlineLevel="0" collapsed="false">
      <c r="A872" s="13"/>
      <c r="B872" s="14"/>
      <c r="C872" s="15"/>
      <c r="D872" s="15"/>
      <c r="E872" s="15"/>
      <c r="F872" s="15"/>
      <c r="G872" s="15"/>
      <c r="H872" s="15"/>
      <c r="I872" s="15"/>
    </row>
    <row r="873" customFormat="false" ht="15" hidden="false" customHeight="false" outlineLevel="0" collapsed="false">
      <c r="A873" s="13"/>
      <c r="B873" s="14"/>
      <c r="C873" s="15"/>
      <c r="D873" s="15"/>
      <c r="E873" s="15"/>
      <c r="F873" s="15"/>
      <c r="G873" s="15"/>
      <c r="H873" s="15"/>
      <c r="I873" s="15"/>
    </row>
    <row r="874" customFormat="false" ht="15" hidden="false" customHeight="false" outlineLevel="0" collapsed="false">
      <c r="A874" s="13"/>
      <c r="B874" s="14"/>
      <c r="C874" s="15"/>
      <c r="D874" s="15"/>
      <c r="E874" s="15"/>
      <c r="F874" s="15"/>
      <c r="G874" s="15"/>
      <c r="H874" s="15"/>
      <c r="I874" s="15"/>
    </row>
    <row r="875" customFormat="false" ht="15" hidden="false" customHeight="false" outlineLevel="0" collapsed="false">
      <c r="A875" s="13"/>
      <c r="B875" s="14"/>
      <c r="C875" s="15"/>
      <c r="D875" s="15"/>
      <c r="E875" s="15"/>
      <c r="F875" s="15"/>
      <c r="G875" s="15"/>
      <c r="H875" s="15"/>
      <c r="I875" s="15"/>
    </row>
    <row r="876" customFormat="false" ht="15" hidden="false" customHeight="false" outlineLevel="0" collapsed="false">
      <c r="A876" s="13"/>
      <c r="B876" s="14"/>
      <c r="C876" s="15"/>
      <c r="D876" s="15"/>
      <c r="E876" s="15"/>
      <c r="F876" s="15"/>
      <c r="G876" s="15"/>
      <c r="H876" s="15"/>
      <c r="I876" s="15"/>
    </row>
    <row r="877" customFormat="false" ht="15" hidden="false" customHeight="false" outlineLevel="0" collapsed="false">
      <c r="A877" s="13"/>
      <c r="B877" s="14"/>
      <c r="C877" s="15"/>
      <c r="D877" s="15"/>
      <c r="E877" s="15"/>
      <c r="F877" s="15"/>
      <c r="G877" s="15"/>
      <c r="H877" s="15"/>
      <c r="I877" s="15"/>
    </row>
    <row r="878" customFormat="false" ht="15" hidden="false" customHeight="false" outlineLevel="0" collapsed="false">
      <c r="A878" s="13"/>
      <c r="B878" s="14"/>
      <c r="C878" s="15"/>
      <c r="D878" s="15"/>
      <c r="E878" s="15"/>
      <c r="F878" s="15"/>
      <c r="G878" s="15"/>
      <c r="H878" s="15"/>
      <c r="I878" s="15"/>
    </row>
    <row r="879" customFormat="false" ht="15" hidden="false" customHeight="false" outlineLevel="0" collapsed="false">
      <c r="A879" s="13"/>
      <c r="B879" s="14"/>
      <c r="C879" s="15"/>
      <c r="D879" s="15"/>
      <c r="E879" s="15"/>
      <c r="F879" s="15"/>
      <c r="G879" s="15"/>
      <c r="H879" s="15"/>
      <c r="I879" s="15"/>
    </row>
    <row r="880" customFormat="false" ht="15" hidden="false" customHeight="false" outlineLevel="0" collapsed="false">
      <c r="A880" s="13"/>
      <c r="B880" s="14"/>
      <c r="C880" s="15"/>
      <c r="D880" s="15"/>
      <c r="E880" s="15"/>
      <c r="F880" s="15"/>
      <c r="G880" s="15"/>
      <c r="H880" s="15"/>
      <c r="I880" s="15"/>
    </row>
    <row r="881" customFormat="false" ht="15" hidden="false" customHeight="false" outlineLevel="0" collapsed="false">
      <c r="A881" s="13"/>
      <c r="B881" s="14"/>
      <c r="C881" s="15"/>
      <c r="D881" s="15"/>
      <c r="E881" s="15"/>
      <c r="F881" s="15"/>
      <c r="G881" s="15"/>
      <c r="H881" s="15"/>
      <c r="I881" s="15"/>
    </row>
    <row r="882" customFormat="false" ht="15" hidden="false" customHeight="false" outlineLevel="0" collapsed="false">
      <c r="A882" s="13"/>
      <c r="B882" s="14"/>
      <c r="C882" s="15"/>
      <c r="D882" s="15"/>
      <c r="E882" s="15"/>
      <c r="F882" s="15"/>
      <c r="G882" s="15"/>
      <c r="H882" s="15"/>
      <c r="I882" s="15"/>
    </row>
    <row r="883" customFormat="false" ht="15" hidden="false" customHeight="false" outlineLevel="0" collapsed="false">
      <c r="A883" s="13"/>
      <c r="B883" s="14"/>
      <c r="C883" s="15"/>
      <c r="D883" s="15"/>
      <c r="E883" s="15"/>
      <c r="F883" s="15"/>
      <c r="G883" s="15"/>
      <c r="H883" s="15"/>
      <c r="I883" s="15"/>
    </row>
    <row r="884" customFormat="false" ht="15" hidden="false" customHeight="false" outlineLevel="0" collapsed="false">
      <c r="A884" s="13"/>
      <c r="B884" s="14"/>
      <c r="C884" s="15"/>
      <c r="D884" s="15"/>
      <c r="E884" s="15"/>
      <c r="F884" s="15"/>
      <c r="G884" s="15"/>
      <c r="H884" s="15"/>
      <c r="I884" s="15"/>
    </row>
    <row r="885" customFormat="false" ht="15" hidden="false" customHeight="false" outlineLevel="0" collapsed="false">
      <c r="A885" s="13"/>
      <c r="B885" s="14"/>
      <c r="C885" s="15"/>
      <c r="D885" s="15"/>
      <c r="E885" s="15"/>
      <c r="F885" s="15"/>
      <c r="G885" s="15"/>
      <c r="H885" s="15"/>
      <c r="I885" s="15"/>
    </row>
    <row r="886" customFormat="false" ht="15" hidden="false" customHeight="false" outlineLevel="0" collapsed="false">
      <c r="A886" s="13"/>
      <c r="B886" s="14"/>
      <c r="C886" s="15"/>
      <c r="D886" s="15"/>
      <c r="E886" s="15"/>
      <c r="F886" s="15"/>
      <c r="G886" s="15"/>
      <c r="H886" s="15"/>
      <c r="I886" s="15"/>
    </row>
    <row r="887" customFormat="false" ht="15" hidden="false" customHeight="false" outlineLevel="0" collapsed="false">
      <c r="A887" s="13"/>
      <c r="B887" s="14"/>
      <c r="C887" s="15"/>
      <c r="D887" s="15"/>
      <c r="E887" s="15"/>
      <c r="F887" s="15"/>
      <c r="G887" s="15"/>
      <c r="H887" s="15"/>
      <c r="I887" s="15"/>
    </row>
    <row r="888" customFormat="false" ht="15" hidden="false" customHeight="false" outlineLevel="0" collapsed="false">
      <c r="A888" s="13"/>
      <c r="B888" s="14"/>
      <c r="C888" s="15"/>
      <c r="D888" s="15"/>
      <c r="E888" s="15"/>
      <c r="F888" s="15"/>
      <c r="G888" s="15"/>
      <c r="H888" s="15"/>
      <c r="I888" s="15"/>
    </row>
    <row r="889" customFormat="false" ht="15" hidden="false" customHeight="false" outlineLevel="0" collapsed="false">
      <c r="A889" s="13"/>
      <c r="B889" s="14"/>
      <c r="C889" s="15"/>
      <c r="D889" s="15"/>
      <c r="E889" s="15"/>
      <c r="F889" s="15"/>
      <c r="G889" s="15"/>
      <c r="H889" s="15"/>
      <c r="I889" s="15"/>
    </row>
    <row r="890" customFormat="false" ht="15" hidden="false" customHeight="false" outlineLevel="0" collapsed="false">
      <c r="A890" s="13"/>
      <c r="B890" s="14"/>
      <c r="C890" s="15"/>
      <c r="D890" s="15"/>
      <c r="E890" s="15"/>
      <c r="F890" s="15"/>
      <c r="G890" s="15"/>
      <c r="H890" s="15"/>
      <c r="I890" s="15"/>
    </row>
    <row r="891" customFormat="false" ht="15" hidden="false" customHeight="false" outlineLevel="0" collapsed="false">
      <c r="A891" s="13"/>
      <c r="B891" s="14"/>
      <c r="C891" s="15"/>
      <c r="D891" s="15"/>
      <c r="E891" s="15"/>
      <c r="F891" s="15"/>
      <c r="G891" s="15"/>
      <c r="H891" s="15"/>
      <c r="I891" s="15"/>
    </row>
    <row r="892" customFormat="false" ht="15" hidden="false" customHeight="false" outlineLevel="0" collapsed="false">
      <c r="A892" s="13"/>
      <c r="B892" s="14"/>
      <c r="C892" s="15"/>
      <c r="D892" s="15"/>
      <c r="E892" s="15"/>
      <c r="F892" s="15"/>
      <c r="G892" s="15"/>
      <c r="H892" s="15"/>
      <c r="I892" s="15"/>
    </row>
    <row r="893" customFormat="false" ht="15" hidden="false" customHeight="false" outlineLevel="0" collapsed="false">
      <c r="A893" s="13"/>
      <c r="B893" s="14"/>
      <c r="C893" s="15"/>
      <c r="D893" s="15"/>
      <c r="E893" s="15"/>
      <c r="F893" s="15"/>
      <c r="G893" s="15"/>
      <c r="H893" s="15"/>
      <c r="I893" s="15"/>
    </row>
    <row r="894" customFormat="false" ht="15" hidden="false" customHeight="false" outlineLevel="0" collapsed="false">
      <c r="A894" s="13"/>
      <c r="B894" s="14"/>
      <c r="C894" s="15"/>
      <c r="D894" s="15"/>
      <c r="E894" s="15"/>
      <c r="F894" s="15"/>
      <c r="G894" s="15"/>
      <c r="H894" s="15"/>
      <c r="I894" s="15"/>
    </row>
    <row r="895" customFormat="false" ht="15" hidden="false" customHeight="false" outlineLevel="0" collapsed="false">
      <c r="A895" s="13"/>
      <c r="B895" s="14"/>
      <c r="C895" s="15"/>
      <c r="D895" s="15"/>
      <c r="E895" s="15"/>
      <c r="F895" s="15"/>
      <c r="G895" s="15"/>
      <c r="H895" s="15"/>
      <c r="I895" s="15"/>
    </row>
    <row r="896" customFormat="false" ht="15" hidden="false" customHeight="false" outlineLevel="0" collapsed="false">
      <c r="A896" s="13"/>
      <c r="B896" s="14"/>
      <c r="C896" s="15"/>
      <c r="D896" s="15"/>
      <c r="E896" s="15"/>
      <c r="F896" s="15"/>
      <c r="G896" s="15"/>
      <c r="H896" s="15"/>
      <c r="I896" s="15"/>
    </row>
    <row r="897" customFormat="false" ht="15" hidden="false" customHeight="false" outlineLevel="0" collapsed="false">
      <c r="A897" s="13"/>
      <c r="B897" s="14"/>
      <c r="C897" s="15"/>
      <c r="D897" s="15"/>
      <c r="E897" s="15"/>
      <c r="F897" s="15"/>
      <c r="G897" s="15"/>
      <c r="H897" s="15"/>
      <c r="I897" s="15"/>
    </row>
    <row r="898" customFormat="false" ht="15" hidden="false" customHeight="false" outlineLevel="0" collapsed="false">
      <c r="A898" s="13"/>
      <c r="B898" s="14"/>
      <c r="C898" s="15"/>
      <c r="D898" s="15"/>
      <c r="E898" s="15"/>
      <c r="F898" s="15"/>
      <c r="G898" s="15"/>
      <c r="H898" s="15"/>
      <c r="I898" s="15"/>
    </row>
    <row r="899" customFormat="false" ht="15" hidden="false" customHeight="false" outlineLevel="0" collapsed="false">
      <c r="A899" s="13"/>
      <c r="B899" s="14"/>
      <c r="C899" s="15"/>
      <c r="D899" s="15"/>
      <c r="E899" s="15"/>
      <c r="F899" s="15"/>
      <c r="G899" s="15"/>
      <c r="H899" s="15"/>
      <c r="I899" s="15"/>
    </row>
    <row r="900" customFormat="false" ht="15" hidden="false" customHeight="false" outlineLevel="0" collapsed="false">
      <c r="A900" s="13"/>
      <c r="B900" s="14"/>
      <c r="C900" s="15"/>
      <c r="D900" s="15"/>
      <c r="E900" s="15"/>
      <c r="F900" s="15"/>
      <c r="G900" s="15"/>
      <c r="H900" s="15"/>
      <c r="I900" s="15"/>
    </row>
    <row r="901" customFormat="false" ht="15" hidden="false" customHeight="false" outlineLevel="0" collapsed="false">
      <c r="A901" s="13"/>
      <c r="B901" s="14"/>
      <c r="C901" s="15"/>
      <c r="D901" s="15"/>
      <c r="E901" s="15"/>
      <c r="F901" s="15"/>
      <c r="G901" s="15"/>
      <c r="H901" s="15"/>
      <c r="I901" s="15"/>
    </row>
    <row r="902" customFormat="false" ht="15" hidden="false" customHeight="false" outlineLevel="0" collapsed="false">
      <c r="A902" s="13"/>
      <c r="B902" s="14"/>
      <c r="C902" s="15"/>
      <c r="D902" s="15"/>
      <c r="E902" s="15"/>
      <c r="F902" s="15"/>
      <c r="G902" s="15"/>
      <c r="H902" s="15"/>
      <c r="I902" s="15"/>
    </row>
    <row r="903" customFormat="false" ht="15" hidden="false" customHeight="false" outlineLevel="0" collapsed="false">
      <c r="A903" s="13"/>
      <c r="B903" s="14"/>
      <c r="C903" s="15"/>
      <c r="D903" s="15"/>
      <c r="E903" s="15"/>
      <c r="F903" s="15"/>
      <c r="G903" s="15"/>
      <c r="H903" s="15"/>
      <c r="I903" s="15"/>
    </row>
    <row r="904" customFormat="false" ht="15" hidden="false" customHeight="false" outlineLevel="0" collapsed="false">
      <c r="A904" s="13"/>
      <c r="B904" s="14"/>
      <c r="C904" s="15"/>
      <c r="D904" s="15"/>
      <c r="E904" s="15"/>
      <c r="F904" s="15"/>
      <c r="G904" s="15"/>
      <c r="H904" s="15"/>
      <c r="I904" s="15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7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5" min="14" style="0" width="14"/>
    <col collapsed="false" customWidth="true" hidden="false" outlineLevel="0" max="17" min="16" style="0" width="12"/>
    <col collapsed="false" customWidth="true" hidden="false" outlineLevel="0" max="21" min="18" style="0" width="11"/>
    <col collapsed="false" customWidth="true" hidden="false" outlineLevel="0" max="22" min="22" style="0" width="12"/>
    <col collapsed="false" customWidth="true" hidden="false" outlineLevel="0" max="23" min="23" style="0" width="16"/>
    <col collapsed="false" customWidth="true" hidden="false" outlineLevel="0" max="26" min="26" style="0" width="20"/>
    <col collapsed="false" customWidth="true" hidden="false" outlineLevel="0" max="28" min="28" style="0" width="12"/>
  </cols>
  <sheetData>
    <row r="1" customFormat="false" ht="27.75" hidden="false" customHeight="true" outlineLevel="0" collapsed="false">
      <c r="A1" s="1" t="s">
        <v>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8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customFormat="false" ht="30" hidden="false" customHeight="true" outlineLevel="0" collapsed="false">
      <c r="A3" s="3" t="s">
        <v>108</v>
      </c>
      <c r="B3" s="3" t="s">
        <v>109</v>
      </c>
      <c r="C3" s="3" t="s">
        <v>110</v>
      </c>
      <c r="D3" s="3" t="s">
        <v>111</v>
      </c>
      <c r="E3" s="3" t="s">
        <v>112</v>
      </c>
      <c r="F3" s="3" t="s">
        <v>113</v>
      </c>
      <c r="G3" s="3" t="s">
        <v>114</v>
      </c>
      <c r="H3" s="3" t="s">
        <v>28</v>
      </c>
      <c r="I3" s="3" t="s">
        <v>115</v>
      </c>
      <c r="J3" s="3" t="s">
        <v>116</v>
      </c>
      <c r="K3" s="3" t="s">
        <v>117</v>
      </c>
      <c r="L3" s="3" t="s">
        <v>118</v>
      </c>
      <c r="M3" s="3" t="s">
        <v>119</v>
      </c>
      <c r="N3" s="3" t="s">
        <v>120</v>
      </c>
      <c r="O3" s="3" t="s">
        <v>121</v>
      </c>
      <c r="P3" s="3" t="s">
        <v>122</v>
      </c>
      <c r="Q3" s="3" t="s">
        <v>123</v>
      </c>
      <c r="R3" s="3" t="s">
        <v>124</v>
      </c>
      <c r="S3" s="3" t="s">
        <v>125</v>
      </c>
      <c r="T3" s="3" t="s">
        <v>126</v>
      </c>
      <c r="U3" s="3" t="s">
        <v>127</v>
      </c>
      <c r="V3" s="3" t="s">
        <v>128</v>
      </c>
      <c r="W3" s="3" t="s">
        <v>129</v>
      </c>
      <c r="Z3" s="16" t="s">
        <v>130</v>
      </c>
      <c r="AB3" s="16" t="s">
        <v>131</v>
      </c>
    </row>
    <row r="4" customFormat="false" ht="21.75" hidden="false" customHeight="true" outlineLevel="0" collapsed="false">
      <c r="A4" s="4" t="s">
        <v>132</v>
      </c>
      <c r="B4" s="4" t="s">
        <v>133</v>
      </c>
      <c r="C4" s="4" t="s">
        <v>133</v>
      </c>
      <c r="D4" s="4" t="s">
        <v>134</v>
      </c>
      <c r="E4" s="4" t="s">
        <v>135</v>
      </c>
      <c r="F4" s="4" t="s">
        <v>136</v>
      </c>
      <c r="G4" s="4" t="s">
        <v>137</v>
      </c>
      <c r="H4" s="4" t="s">
        <v>138</v>
      </c>
      <c r="I4" s="4" t="s">
        <v>139</v>
      </c>
      <c r="J4" s="4" t="s">
        <v>140</v>
      </c>
      <c r="K4" s="4" t="s">
        <v>141</v>
      </c>
      <c r="L4" s="4" t="s">
        <v>142</v>
      </c>
      <c r="M4" s="4" t="s">
        <v>133</v>
      </c>
      <c r="N4" s="4" t="s">
        <v>143</v>
      </c>
      <c r="O4" s="4" t="s">
        <v>144</v>
      </c>
      <c r="P4" s="4" t="s">
        <v>133</v>
      </c>
      <c r="Q4" s="4" t="s">
        <v>133</v>
      </c>
      <c r="R4" s="4" t="s">
        <v>133</v>
      </c>
      <c r="S4" s="4" t="s">
        <v>145</v>
      </c>
      <c r="T4" s="4" t="s">
        <v>146</v>
      </c>
      <c r="U4" s="4" t="s">
        <v>147</v>
      </c>
      <c r="V4" s="4" t="s">
        <v>148</v>
      </c>
      <c r="W4" s="4" t="s">
        <v>149</v>
      </c>
      <c r="Z4" s="17" t="s">
        <v>150</v>
      </c>
    </row>
    <row r="5" customFormat="false" ht="15" hidden="false" customHeight="false" outlineLevel="0" collapsed="false">
      <c r="A5" s="18" t="s">
        <v>151</v>
      </c>
      <c r="B5" s="19" t="n">
        <v>46172</v>
      </c>
      <c r="C5" s="19" t="n">
        <v>46239</v>
      </c>
      <c r="D5" s="20" t="n">
        <v>80</v>
      </c>
      <c r="E5" s="21"/>
      <c r="F5" s="22" t="n">
        <f aca="false">IF($A5="","",IFERROR(E5-B5,""))</f>
        <v>-46172</v>
      </c>
      <c r="G5" s="22" t="n">
        <f aca="false">IF($A5="","",IFERROR(ROUND(F5*5/7,0),""))</f>
        <v>-32980</v>
      </c>
      <c r="H5" s="23" t="n">
        <f aca="false">IF($A5="","",IFERROR(G5/D5,""))</f>
        <v>-412.25</v>
      </c>
      <c r="I5" s="24" t="n">
        <f aca="false">IF($A5="","",IFERROR(B5+ROUND(D5*7/5,0),""))</f>
        <v>46284</v>
      </c>
      <c r="J5" s="22" t="n">
        <f aca="false">IF($A5="","",IFERROR(I5-E5,""))</f>
        <v>46284</v>
      </c>
      <c r="K5" s="22" t="n">
        <f aca="false">IF($A5="","",IFERROR(IF(G5-INDEX($AB$5:$AB$13,MATCH(G5,$AB$5:$AB$13,1))&lt;=INDEX($AB$5:$AB$13,MIN(MATCH(G5,$AB$5:$AB$13,1)+1,9))-G5,INDEX($AB$5:$AB$13,MATCH(G5,$AB$5:$AB$13,1)),INDEX($AB$5:$AB$13,MIN(MATCH(G5,$AB$5:$AB$13,1)+1,9))),30))</f>
        <v>30</v>
      </c>
      <c r="L5" s="22" t="n">
        <f aca="false">IF($A5="","",IFERROR(ABS(G5-K5),""))</f>
        <v>33010</v>
      </c>
      <c r="M5" s="20" t="n">
        <v>34</v>
      </c>
      <c r="N5" s="22" t="n">
        <f aca="false">IF($A5="","",IFERROR(ROUND(M5*1.618,0),""))</f>
        <v>55</v>
      </c>
      <c r="O5" s="24" t="n">
        <f aca="false">IF($A5="","",IFERROR(C5+ROUND(N5*7/5,0),""))</f>
        <v>46316</v>
      </c>
      <c r="P5" s="25"/>
      <c r="Q5" s="25"/>
      <c r="R5" s="20"/>
      <c r="S5" s="26" t="n">
        <f aca="false">IF($A5="","",IF(OR(D5="",H5=""),0,IF(OR(H5&lt;=0.15,H5&gt;=0.9),4,IF(AND(H5&gt;=0.35,H5&lt;=0.6),-3,IF(H5&lt;0.35,2,-1)))))</f>
        <v>4</v>
      </c>
      <c r="T5" s="26" t="n">
        <f aca="false">IF($A5="","",IF(OR(L5="",L5&gt;TIME_TOL),0,IF(S5&gt;0,2,-2)))</f>
        <v>0</v>
      </c>
      <c r="U5" s="26" t="n">
        <f aca="false">IF($A5="","",IF(P5="",0,(IF(P5="3",4,IF(P5="1",2,IF(P5="2",1,IF(P5="4",1,IF(P5="5",-1,IF(P5="A",-3,IF(P5="B",-2,IF(P5="C",-4,0)))))))))*IF(R5="",0.6,R5/5)))</f>
        <v>0</v>
      </c>
      <c r="V5" s="26" t="n">
        <f aca="false">IF($A5="","",MAX(-10,MIN(10,S5+T5+U5)))</f>
        <v>4</v>
      </c>
      <c r="W5" s="27" t="str">
        <f aca="false">IF($A5="","",IF(W_TIME=0,"غیرفعال (وزن صفر)","فعال"))</f>
        <v>غیرفعال (وزن صفر)</v>
      </c>
      <c r="Z5" s="28" t="s">
        <v>152</v>
      </c>
      <c r="AB5" s="29" t="n">
        <v>30</v>
      </c>
    </row>
    <row r="6" customFormat="false" ht="15" hidden="false" customHeight="false" outlineLevel="0" collapsed="false">
      <c r="A6" s="18" t="s">
        <v>153</v>
      </c>
      <c r="B6" s="19" t="n">
        <v>46256</v>
      </c>
      <c r="C6" s="19" t="n">
        <v>46104</v>
      </c>
      <c r="D6" s="20" t="n">
        <v>80</v>
      </c>
      <c r="E6" s="21"/>
      <c r="F6" s="22" t="n">
        <f aca="false">IF($A6="","",IFERROR(E6-B6,""))</f>
        <v>-46256</v>
      </c>
      <c r="G6" s="22" t="n">
        <f aca="false">IF($A6="","",IFERROR(ROUND(F6*5/7,0),""))</f>
        <v>-33040</v>
      </c>
      <c r="H6" s="23" t="n">
        <f aca="false">IF($A6="","",IFERROR(G6/D6,""))</f>
        <v>-413</v>
      </c>
      <c r="I6" s="24" t="n">
        <f aca="false">IF($A6="","",IFERROR(B6+ROUND(D6*7/5,0),""))</f>
        <v>46368</v>
      </c>
      <c r="J6" s="22" t="n">
        <f aca="false">IF($A6="","",IFERROR(I6-E6,""))</f>
        <v>46368</v>
      </c>
      <c r="K6" s="22" t="n">
        <f aca="false">IF($A6="","",IFERROR(IF(G6-INDEX($AB$5:$AB$13,MATCH(G6,$AB$5:$AB$13,1))&lt;=INDEX($AB$5:$AB$13,MIN(MATCH(G6,$AB$5:$AB$13,1)+1,9))-G6,INDEX($AB$5:$AB$13,MATCH(G6,$AB$5:$AB$13,1)),INDEX($AB$5:$AB$13,MIN(MATCH(G6,$AB$5:$AB$13,1)+1,9))),30))</f>
        <v>30</v>
      </c>
      <c r="L6" s="22" t="n">
        <f aca="false">IF($A6="","",IFERROR(ABS(G6-K6),""))</f>
        <v>33070</v>
      </c>
      <c r="M6" s="20" t="n">
        <v>34</v>
      </c>
      <c r="N6" s="22" t="n">
        <f aca="false">IF($A6="","",IFERROR(ROUND(M6*1.618,0),""))</f>
        <v>55</v>
      </c>
      <c r="O6" s="24" t="n">
        <f aca="false">IF($A6="","",IFERROR(C6+ROUND(N6*7/5,0),""))</f>
        <v>46181</v>
      </c>
      <c r="P6" s="25"/>
      <c r="Q6" s="25"/>
      <c r="R6" s="20"/>
      <c r="S6" s="26" t="n">
        <f aca="false">IF($A6="","",IF(OR(D6="",H6=""),0,IF(OR(H6&lt;=0.15,H6&gt;=0.9),4,IF(AND(H6&gt;=0.35,H6&lt;=0.6),-3,IF(H6&lt;0.35,2,-1)))))</f>
        <v>4</v>
      </c>
      <c r="T6" s="26" t="n">
        <f aca="false">IF($A6="","",IF(OR(L6="",L6&gt;TIME_TOL),0,IF(S6&gt;0,2,-2)))</f>
        <v>0</v>
      </c>
      <c r="U6" s="26" t="n">
        <f aca="false">IF($A6="","",IF(P6="",0,(IF(P6="3",4,IF(P6="1",2,IF(P6="2",1,IF(P6="4",1,IF(P6="5",-1,IF(P6="A",-3,IF(P6="B",-2,IF(P6="C",-4,0)))))))))*IF(R6="",0.6,R6/5)))</f>
        <v>0</v>
      </c>
      <c r="V6" s="26" t="n">
        <f aca="false">IF($A6="","",MAX(-10,MIN(10,S6+T6+U6)))</f>
        <v>4</v>
      </c>
      <c r="W6" s="27" t="str">
        <f aca="false">IF($A6="","",IF(W_TIME=0,"غیرفعال (وزن صفر)","فعال"))</f>
        <v>غیرفعال (وزن صفر)</v>
      </c>
      <c r="Z6" s="28" t="s">
        <v>154</v>
      </c>
      <c r="AB6" s="29" t="n">
        <v>45</v>
      </c>
    </row>
    <row r="7" customFormat="false" ht="15" hidden="false" customHeight="false" outlineLevel="0" collapsed="false">
      <c r="A7" s="18" t="s">
        <v>155</v>
      </c>
      <c r="B7" s="19" t="n">
        <v>46256</v>
      </c>
      <c r="C7" s="19" t="n">
        <v>46141</v>
      </c>
      <c r="D7" s="20" t="n">
        <v>80</v>
      </c>
      <c r="E7" s="21"/>
      <c r="F7" s="22" t="n">
        <f aca="false">IF($A7="","",IFERROR(E7-B7,""))</f>
        <v>-46256</v>
      </c>
      <c r="G7" s="22" t="n">
        <f aca="false">IF($A7="","",IFERROR(ROUND(F7*5/7,0),""))</f>
        <v>-33040</v>
      </c>
      <c r="H7" s="23" t="n">
        <f aca="false">IF($A7="","",IFERROR(G7/D7,""))</f>
        <v>-413</v>
      </c>
      <c r="I7" s="24" t="n">
        <f aca="false">IF($A7="","",IFERROR(B7+ROUND(D7*7/5,0),""))</f>
        <v>46368</v>
      </c>
      <c r="J7" s="22" t="n">
        <f aca="false">IF($A7="","",IFERROR(I7-E7,""))</f>
        <v>46368</v>
      </c>
      <c r="K7" s="22" t="n">
        <f aca="false">IF($A7="","",IFERROR(IF(G7-INDEX($AB$5:$AB$13,MATCH(G7,$AB$5:$AB$13,1))&lt;=INDEX($AB$5:$AB$13,MIN(MATCH(G7,$AB$5:$AB$13,1)+1,9))-G7,INDEX($AB$5:$AB$13,MATCH(G7,$AB$5:$AB$13,1)),INDEX($AB$5:$AB$13,MIN(MATCH(G7,$AB$5:$AB$13,1)+1,9))),30))</f>
        <v>30</v>
      </c>
      <c r="L7" s="22" t="n">
        <f aca="false">IF($A7="","",IFERROR(ABS(G7-K7),""))</f>
        <v>33070</v>
      </c>
      <c r="M7" s="20" t="n">
        <v>34</v>
      </c>
      <c r="N7" s="22" t="n">
        <f aca="false">IF($A7="","",IFERROR(ROUND(M7*1.618,0),""))</f>
        <v>55</v>
      </c>
      <c r="O7" s="24" t="n">
        <f aca="false">IF($A7="","",IFERROR(C7+ROUND(N7*7/5,0),""))</f>
        <v>46218</v>
      </c>
      <c r="P7" s="25"/>
      <c r="Q7" s="25"/>
      <c r="R7" s="20"/>
      <c r="S7" s="26" t="n">
        <f aca="false">IF($A7="","",IF(OR(D7="",H7=""),0,IF(OR(H7&lt;=0.15,H7&gt;=0.9),4,IF(AND(H7&gt;=0.35,H7&lt;=0.6),-3,IF(H7&lt;0.35,2,-1)))))</f>
        <v>4</v>
      </c>
      <c r="T7" s="26" t="n">
        <f aca="false">IF($A7="","",IF(OR(L7="",L7&gt;TIME_TOL),0,IF(S7&gt;0,2,-2)))</f>
        <v>0</v>
      </c>
      <c r="U7" s="26" t="n">
        <f aca="false">IF($A7="","",IF(P7="",0,(IF(P7="3",4,IF(P7="1",2,IF(P7="2",1,IF(P7="4",1,IF(P7="5",-1,IF(P7="A",-3,IF(P7="B",-2,IF(P7="C",-4,0)))))))))*IF(R7="",0.6,R7/5)))</f>
        <v>0</v>
      </c>
      <c r="V7" s="26" t="n">
        <f aca="false">IF($A7="","",MAX(-10,MIN(10,S7+T7+U7)))</f>
        <v>4</v>
      </c>
      <c r="W7" s="27" t="str">
        <f aca="false">IF($A7="","",IF(W_TIME=0,"غیرفعال (وزن صفر)","فعال"))</f>
        <v>غیرفعال (وزن صفر)</v>
      </c>
      <c r="Z7" s="28" t="s">
        <v>156</v>
      </c>
      <c r="AB7" s="29" t="n">
        <v>60</v>
      </c>
    </row>
    <row r="8" customFormat="false" ht="15" hidden="false" customHeight="false" outlineLevel="0" collapsed="false">
      <c r="A8" s="18" t="s">
        <v>157</v>
      </c>
      <c r="B8" s="19" t="n">
        <v>46175</v>
      </c>
      <c r="C8" s="19" t="n">
        <v>46130</v>
      </c>
      <c r="D8" s="20" t="n">
        <v>80</v>
      </c>
      <c r="E8" s="21"/>
      <c r="F8" s="22" t="n">
        <f aca="false">IF($A8="","",IFERROR(E8-B8,""))</f>
        <v>-46175</v>
      </c>
      <c r="G8" s="22" t="n">
        <f aca="false">IF($A8="","",IFERROR(ROUND(F8*5/7,0),""))</f>
        <v>-32982</v>
      </c>
      <c r="H8" s="23" t="n">
        <f aca="false">IF($A8="","",IFERROR(G8/D8,""))</f>
        <v>-412.275</v>
      </c>
      <c r="I8" s="24" t="n">
        <f aca="false">IF($A8="","",IFERROR(B8+ROUND(D8*7/5,0),""))</f>
        <v>46287</v>
      </c>
      <c r="J8" s="22" t="n">
        <f aca="false">IF($A8="","",IFERROR(I8-E8,""))</f>
        <v>46287</v>
      </c>
      <c r="K8" s="22" t="n">
        <f aca="false">IF($A8="","",IFERROR(IF(G8-INDEX($AB$5:$AB$13,MATCH(G8,$AB$5:$AB$13,1))&lt;=INDEX($AB$5:$AB$13,MIN(MATCH(G8,$AB$5:$AB$13,1)+1,9))-G8,INDEX($AB$5:$AB$13,MATCH(G8,$AB$5:$AB$13,1)),INDEX($AB$5:$AB$13,MIN(MATCH(G8,$AB$5:$AB$13,1)+1,9))),30))</f>
        <v>30</v>
      </c>
      <c r="L8" s="22" t="n">
        <f aca="false">IF($A8="","",IFERROR(ABS(G8-K8),""))</f>
        <v>33012</v>
      </c>
      <c r="M8" s="20" t="n">
        <v>34</v>
      </c>
      <c r="N8" s="22" t="n">
        <f aca="false">IF($A8="","",IFERROR(ROUND(M8*1.618,0),""))</f>
        <v>55</v>
      </c>
      <c r="O8" s="24" t="n">
        <f aca="false">IF($A8="","",IFERROR(C8+ROUND(N8*7/5,0),""))</f>
        <v>46207</v>
      </c>
      <c r="P8" s="25"/>
      <c r="Q8" s="25"/>
      <c r="R8" s="20"/>
      <c r="S8" s="26" t="n">
        <f aca="false">IF($A8="","",IF(OR(D8="",H8=""),0,IF(OR(H8&lt;=0.15,H8&gt;=0.9),4,IF(AND(H8&gt;=0.35,H8&lt;=0.6),-3,IF(H8&lt;0.35,2,-1)))))</f>
        <v>4</v>
      </c>
      <c r="T8" s="26" t="n">
        <f aca="false">IF($A8="","",IF(OR(L8="",L8&gt;TIME_TOL),0,IF(S8&gt;0,2,-2)))</f>
        <v>0</v>
      </c>
      <c r="U8" s="26" t="n">
        <f aca="false">IF($A8="","",IF(P8="",0,(IF(P8="3",4,IF(P8="1",2,IF(P8="2",1,IF(P8="4",1,IF(P8="5",-1,IF(P8="A",-3,IF(P8="B",-2,IF(P8="C",-4,0)))))))))*IF(R8="",0.6,R8/5)))</f>
        <v>0</v>
      </c>
      <c r="V8" s="26" t="n">
        <f aca="false">IF($A8="","",MAX(-10,MIN(10,S8+T8+U8)))</f>
        <v>4</v>
      </c>
      <c r="W8" s="27" t="str">
        <f aca="false">IF($A8="","",IF(W_TIME=0,"غیرفعال (وزن صفر)","فعال"))</f>
        <v>غیرفعال (وزن صفر)</v>
      </c>
      <c r="Z8" s="28" t="s">
        <v>158</v>
      </c>
      <c r="AB8" s="29" t="n">
        <v>90</v>
      </c>
    </row>
    <row r="9" customFormat="false" ht="15" hidden="false" customHeight="false" outlineLevel="0" collapsed="false">
      <c r="A9" s="18" t="s">
        <v>159</v>
      </c>
      <c r="B9" s="19" t="n">
        <v>46258</v>
      </c>
      <c r="C9" s="19" t="n">
        <v>46230</v>
      </c>
      <c r="D9" s="20" t="n">
        <v>80</v>
      </c>
      <c r="E9" s="21"/>
      <c r="F9" s="22" t="n">
        <f aca="false">IF($A9="","",IFERROR(E9-B9,""))</f>
        <v>-46258</v>
      </c>
      <c r="G9" s="22" t="n">
        <f aca="false">IF($A9="","",IFERROR(ROUND(F9*5/7,0),""))</f>
        <v>-33041</v>
      </c>
      <c r="H9" s="23" t="n">
        <f aca="false">IF($A9="","",IFERROR(G9/D9,""))</f>
        <v>-413.0125</v>
      </c>
      <c r="I9" s="24" t="n">
        <f aca="false">IF($A9="","",IFERROR(B9+ROUND(D9*7/5,0),""))</f>
        <v>46370</v>
      </c>
      <c r="J9" s="22" t="n">
        <f aca="false">IF($A9="","",IFERROR(I9-E9,""))</f>
        <v>46370</v>
      </c>
      <c r="K9" s="22" t="n">
        <f aca="false">IF($A9="","",IFERROR(IF(G9-INDEX($AB$5:$AB$13,MATCH(G9,$AB$5:$AB$13,1))&lt;=INDEX($AB$5:$AB$13,MIN(MATCH(G9,$AB$5:$AB$13,1)+1,9))-G9,INDEX($AB$5:$AB$13,MATCH(G9,$AB$5:$AB$13,1)),INDEX($AB$5:$AB$13,MIN(MATCH(G9,$AB$5:$AB$13,1)+1,9))),30))</f>
        <v>30</v>
      </c>
      <c r="L9" s="22" t="n">
        <f aca="false">IF($A9="","",IFERROR(ABS(G9-K9),""))</f>
        <v>33071</v>
      </c>
      <c r="M9" s="20" t="n">
        <v>34</v>
      </c>
      <c r="N9" s="22" t="n">
        <f aca="false">IF($A9="","",IFERROR(ROUND(M9*1.618,0),""))</f>
        <v>55</v>
      </c>
      <c r="O9" s="24" t="n">
        <f aca="false">IF($A9="","",IFERROR(C9+ROUND(N9*7/5,0),""))</f>
        <v>46307</v>
      </c>
      <c r="P9" s="25"/>
      <c r="Q9" s="25"/>
      <c r="R9" s="20"/>
      <c r="S9" s="26" t="n">
        <f aca="false">IF($A9="","",IF(OR(D9="",H9=""),0,IF(OR(H9&lt;=0.15,H9&gt;=0.9),4,IF(AND(H9&gt;=0.35,H9&lt;=0.6),-3,IF(H9&lt;0.35,2,-1)))))</f>
        <v>4</v>
      </c>
      <c r="T9" s="26" t="n">
        <f aca="false">IF($A9="","",IF(OR(L9="",L9&gt;TIME_TOL),0,IF(S9&gt;0,2,-2)))</f>
        <v>0</v>
      </c>
      <c r="U9" s="26" t="n">
        <f aca="false">IF($A9="","",IF(P9="",0,(IF(P9="3",4,IF(P9="1",2,IF(P9="2",1,IF(P9="4",1,IF(P9="5",-1,IF(P9="A",-3,IF(P9="B",-2,IF(P9="C",-4,0)))))))))*IF(R9="",0.6,R9/5)))</f>
        <v>0</v>
      </c>
      <c r="V9" s="26" t="n">
        <f aca="false">IF($A9="","",MAX(-10,MIN(10,S9+T9+U9)))</f>
        <v>4</v>
      </c>
      <c r="W9" s="27" t="str">
        <f aca="false">IF($A9="","",IF(W_TIME=0,"غیرفعال (وزن صفر)","فعال"))</f>
        <v>غیرفعال (وزن صفر)</v>
      </c>
      <c r="Z9" s="28" t="s">
        <v>160</v>
      </c>
      <c r="AB9" s="29" t="n">
        <v>120</v>
      </c>
    </row>
    <row r="10" customFormat="false" ht="15" hidden="false" customHeight="false" outlineLevel="0" collapsed="false">
      <c r="A10" s="18" t="s">
        <v>161</v>
      </c>
      <c r="B10" s="19" t="n">
        <v>46195</v>
      </c>
      <c r="C10" s="19" t="n">
        <v>46253</v>
      </c>
      <c r="D10" s="20" t="n">
        <v>80</v>
      </c>
      <c r="E10" s="21"/>
      <c r="F10" s="22" t="n">
        <f aca="false">IF($A10="","",IFERROR(E10-B10,""))</f>
        <v>-46195</v>
      </c>
      <c r="G10" s="22" t="n">
        <f aca="false">IF($A10="","",IFERROR(ROUND(F10*5/7,0),""))</f>
        <v>-32996</v>
      </c>
      <c r="H10" s="23" t="n">
        <f aca="false">IF($A10="","",IFERROR(G10/D10,""))</f>
        <v>-412.45</v>
      </c>
      <c r="I10" s="24" t="n">
        <f aca="false">IF($A10="","",IFERROR(B10+ROUND(D10*7/5,0),""))</f>
        <v>46307</v>
      </c>
      <c r="J10" s="22" t="n">
        <f aca="false">IF($A10="","",IFERROR(I10-E10,""))</f>
        <v>46307</v>
      </c>
      <c r="K10" s="22" t="n">
        <f aca="false">IF($A10="","",IFERROR(IF(G10-INDEX($AB$5:$AB$13,MATCH(G10,$AB$5:$AB$13,1))&lt;=INDEX($AB$5:$AB$13,MIN(MATCH(G10,$AB$5:$AB$13,1)+1,9))-G10,INDEX($AB$5:$AB$13,MATCH(G10,$AB$5:$AB$13,1)),INDEX($AB$5:$AB$13,MIN(MATCH(G10,$AB$5:$AB$13,1)+1,9))),30))</f>
        <v>30</v>
      </c>
      <c r="L10" s="22" t="n">
        <f aca="false">IF($A10="","",IFERROR(ABS(G10-K10),""))</f>
        <v>33026</v>
      </c>
      <c r="M10" s="20" t="n">
        <v>34</v>
      </c>
      <c r="N10" s="22" t="n">
        <f aca="false">IF($A10="","",IFERROR(ROUND(M10*1.618,0),""))</f>
        <v>55</v>
      </c>
      <c r="O10" s="24" t="n">
        <f aca="false">IF($A10="","",IFERROR(C10+ROUND(N10*7/5,0),""))</f>
        <v>46330</v>
      </c>
      <c r="P10" s="25"/>
      <c r="Q10" s="25"/>
      <c r="R10" s="20"/>
      <c r="S10" s="26" t="n">
        <f aca="false">IF($A10="","",IF(OR(D10="",H10=""),0,IF(OR(H10&lt;=0.15,H10&gt;=0.9),4,IF(AND(H10&gt;=0.35,H10&lt;=0.6),-3,IF(H10&lt;0.35,2,-1)))))</f>
        <v>4</v>
      </c>
      <c r="T10" s="26" t="n">
        <f aca="false">IF($A10="","",IF(OR(L10="",L10&gt;TIME_TOL),0,IF(S10&gt;0,2,-2)))</f>
        <v>0</v>
      </c>
      <c r="U10" s="26" t="n">
        <f aca="false">IF($A10="","",IF(P10="",0,(IF(P10="3",4,IF(P10="1",2,IF(P10="2",1,IF(P10="4",1,IF(P10="5",-1,IF(P10="A",-3,IF(P10="B",-2,IF(P10="C",-4,0)))))))))*IF(R10="",0.6,R10/5)))</f>
        <v>0</v>
      </c>
      <c r="V10" s="26" t="n">
        <f aca="false">IF($A10="","",MAX(-10,MIN(10,S10+T10+U10)))</f>
        <v>4</v>
      </c>
      <c r="W10" s="27" t="str">
        <f aca="false">IF($A10="","",IF(W_TIME=0,"غیرفعال (وزن صفر)","فعال"))</f>
        <v>غیرفعال (وزن صفر)</v>
      </c>
      <c r="Z10" s="28" t="s">
        <v>162</v>
      </c>
      <c r="AB10" s="29" t="n">
        <v>144</v>
      </c>
    </row>
    <row r="11" customFormat="false" ht="15" hidden="false" customHeight="false" outlineLevel="0" collapsed="false">
      <c r="A11" s="18" t="s">
        <v>163</v>
      </c>
      <c r="B11" s="19" t="n">
        <v>46237</v>
      </c>
      <c r="C11" s="19" t="n">
        <v>46102</v>
      </c>
      <c r="D11" s="20" t="n">
        <v>80</v>
      </c>
      <c r="E11" s="21"/>
      <c r="F11" s="22" t="n">
        <f aca="false">IF($A11="","",IFERROR(E11-B11,""))</f>
        <v>-46237</v>
      </c>
      <c r="G11" s="22" t="n">
        <f aca="false">IF($A11="","",IFERROR(ROUND(F11*5/7,0),""))</f>
        <v>-33026</v>
      </c>
      <c r="H11" s="23" t="n">
        <f aca="false">IF($A11="","",IFERROR(G11/D11,""))</f>
        <v>-412.825</v>
      </c>
      <c r="I11" s="24" t="n">
        <f aca="false">IF($A11="","",IFERROR(B11+ROUND(D11*7/5,0),""))</f>
        <v>46349</v>
      </c>
      <c r="J11" s="22" t="n">
        <f aca="false">IF($A11="","",IFERROR(I11-E11,""))</f>
        <v>46349</v>
      </c>
      <c r="K11" s="22" t="n">
        <f aca="false">IF($A11="","",IFERROR(IF(G11-INDEX($AB$5:$AB$13,MATCH(G11,$AB$5:$AB$13,1))&lt;=INDEX($AB$5:$AB$13,MIN(MATCH(G11,$AB$5:$AB$13,1)+1,9))-G11,INDEX($AB$5:$AB$13,MATCH(G11,$AB$5:$AB$13,1)),INDEX($AB$5:$AB$13,MIN(MATCH(G11,$AB$5:$AB$13,1)+1,9))),30))</f>
        <v>30</v>
      </c>
      <c r="L11" s="22" t="n">
        <f aca="false">IF($A11="","",IFERROR(ABS(G11-K11),""))</f>
        <v>33056</v>
      </c>
      <c r="M11" s="20" t="n">
        <v>34</v>
      </c>
      <c r="N11" s="22" t="n">
        <f aca="false">IF($A11="","",IFERROR(ROUND(M11*1.618,0),""))</f>
        <v>55</v>
      </c>
      <c r="O11" s="24" t="n">
        <f aca="false">IF($A11="","",IFERROR(C11+ROUND(N11*7/5,0),""))</f>
        <v>46179</v>
      </c>
      <c r="P11" s="25"/>
      <c r="Q11" s="25"/>
      <c r="R11" s="20"/>
      <c r="S11" s="26" t="n">
        <f aca="false">IF($A11="","",IF(OR(D11="",H11=""),0,IF(OR(H11&lt;=0.15,H11&gt;=0.9),4,IF(AND(H11&gt;=0.35,H11&lt;=0.6),-3,IF(H11&lt;0.35,2,-1)))))</f>
        <v>4</v>
      </c>
      <c r="T11" s="26" t="n">
        <f aca="false">IF($A11="","",IF(OR(L11="",L11&gt;TIME_TOL),0,IF(S11&gt;0,2,-2)))</f>
        <v>0</v>
      </c>
      <c r="U11" s="26" t="n">
        <f aca="false">IF($A11="","",IF(P11="",0,(IF(P11="3",4,IF(P11="1",2,IF(P11="2",1,IF(P11="4",1,IF(P11="5",-1,IF(P11="A",-3,IF(P11="B",-2,IF(P11="C",-4,0)))))))))*IF(R11="",0.6,R11/5)))</f>
        <v>0</v>
      </c>
      <c r="V11" s="26" t="n">
        <f aca="false">IF($A11="","",MAX(-10,MIN(10,S11+T11+U11)))</f>
        <v>4</v>
      </c>
      <c r="W11" s="27" t="str">
        <f aca="false">IF($A11="","",IF(W_TIME=0,"غیرفعال (وزن صفر)","فعال"))</f>
        <v>غیرفعال (وزن صفر)</v>
      </c>
      <c r="Z11" s="28" t="s">
        <v>164</v>
      </c>
      <c r="AB11" s="29" t="n">
        <v>180</v>
      </c>
    </row>
    <row r="12" customFormat="false" ht="15" hidden="false" customHeight="false" outlineLevel="0" collapsed="false">
      <c r="A12" s="18" t="s">
        <v>165</v>
      </c>
      <c r="B12" s="19" t="n">
        <v>46267</v>
      </c>
      <c r="C12" s="19" t="n">
        <v>46180</v>
      </c>
      <c r="D12" s="20" t="n">
        <v>80</v>
      </c>
      <c r="E12" s="21"/>
      <c r="F12" s="22" t="n">
        <f aca="false">IF($A12="","",IFERROR(E12-B12,""))</f>
        <v>-46267</v>
      </c>
      <c r="G12" s="22" t="n">
        <f aca="false">IF($A12="","",IFERROR(ROUND(F12*5/7,0),""))</f>
        <v>-33048</v>
      </c>
      <c r="H12" s="23" t="n">
        <f aca="false">IF($A12="","",IFERROR(G12/D12,""))</f>
        <v>-413.1</v>
      </c>
      <c r="I12" s="24" t="n">
        <f aca="false">IF($A12="","",IFERROR(B12+ROUND(D12*7/5,0),""))</f>
        <v>46379</v>
      </c>
      <c r="J12" s="22" t="n">
        <f aca="false">IF($A12="","",IFERROR(I12-E12,""))</f>
        <v>46379</v>
      </c>
      <c r="K12" s="22" t="n">
        <f aca="false">IF($A12="","",IFERROR(IF(G12-INDEX($AB$5:$AB$13,MATCH(G12,$AB$5:$AB$13,1))&lt;=INDEX($AB$5:$AB$13,MIN(MATCH(G12,$AB$5:$AB$13,1)+1,9))-G12,INDEX($AB$5:$AB$13,MATCH(G12,$AB$5:$AB$13,1)),INDEX($AB$5:$AB$13,MIN(MATCH(G12,$AB$5:$AB$13,1)+1,9))),30))</f>
        <v>30</v>
      </c>
      <c r="L12" s="22" t="n">
        <f aca="false">IF($A12="","",IFERROR(ABS(G12-K12),""))</f>
        <v>33078</v>
      </c>
      <c r="M12" s="20" t="n">
        <v>34</v>
      </c>
      <c r="N12" s="22" t="n">
        <f aca="false">IF($A12="","",IFERROR(ROUND(M12*1.618,0),""))</f>
        <v>55</v>
      </c>
      <c r="O12" s="24" t="n">
        <f aca="false">IF($A12="","",IFERROR(C12+ROUND(N12*7/5,0),""))</f>
        <v>46257</v>
      </c>
      <c r="P12" s="25"/>
      <c r="Q12" s="25"/>
      <c r="R12" s="20"/>
      <c r="S12" s="26" t="n">
        <f aca="false">IF($A12="","",IF(OR(D12="",H12=""),0,IF(OR(H12&lt;=0.15,H12&gt;=0.9),4,IF(AND(H12&gt;=0.35,H12&lt;=0.6),-3,IF(H12&lt;0.35,2,-1)))))</f>
        <v>4</v>
      </c>
      <c r="T12" s="26" t="n">
        <f aca="false">IF($A12="","",IF(OR(L12="",L12&gt;TIME_TOL),0,IF(S12&gt;0,2,-2)))</f>
        <v>0</v>
      </c>
      <c r="U12" s="26" t="n">
        <f aca="false">IF($A12="","",IF(P12="",0,(IF(P12="3",4,IF(P12="1",2,IF(P12="2",1,IF(P12="4",1,IF(P12="5",-1,IF(P12="A",-3,IF(P12="B",-2,IF(P12="C",-4,0)))))))))*IF(R12="",0.6,R12/5)))</f>
        <v>0</v>
      </c>
      <c r="V12" s="26" t="n">
        <f aca="false">IF($A12="","",MAX(-10,MIN(10,S12+T12+U12)))</f>
        <v>4</v>
      </c>
      <c r="W12" s="27" t="str">
        <f aca="false">IF($A12="","",IF(W_TIME=0,"غیرفعال (وزن صفر)","فعال"))</f>
        <v>غیرفعال (وزن صفر)</v>
      </c>
      <c r="Z12" s="28" t="s">
        <v>166</v>
      </c>
      <c r="AB12" s="29" t="n">
        <v>270</v>
      </c>
    </row>
    <row r="13" customFormat="false" ht="15" hidden="false" customHeight="false" outlineLevel="0" collapsed="false">
      <c r="A13" s="18"/>
      <c r="B13" s="19"/>
      <c r="C13" s="19"/>
      <c r="D13" s="20"/>
      <c r="E13" s="21"/>
      <c r="F13" s="22" t="str">
        <f aca="false">IF($A13="","",IFERROR(E13-B13,""))</f>
        <v/>
      </c>
      <c r="G13" s="22" t="str">
        <f aca="false">IF($A13="","",IFERROR(ROUND(F13*5/7,0),""))</f>
        <v/>
      </c>
      <c r="H13" s="23" t="str">
        <f aca="false">IF($A13="","",IFERROR(G13/D13,""))</f>
        <v/>
      </c>
      <c r="I13" s="24" t="str">
        <f aca="false">IF($A13="","",IFERROR(B13+ROUND(D13*7/5,0),""))</f>
        <v/>
      </c>
      <c r="J13" s="22" t="str">
        <f aca="false">IF($A13="","",IFERROR(I13-E13,""))</f>
        <v/>
      </c>
      <c r="K13" s="22" t="str">
        <f aca="false">IF($A13="","",IFERROR(IF(G13-INDEX($AB$5:$AB$13,MATCH(G13,$AB$5:$AB$13,1))&lt;=INDEX($AB$5:$AB$13,MIN(MATCH(G13,$AB$5:$AB$13,1)+1,9))-G13,INDEX($AB$5:$AB$13,MATCH(G13,$AB$5:$AB$13,1)),INDEX($AB$5:$AB$13,MIN(MATCH(G13,$AB$5:$AB$13,1)+1,9))),30))</f>
        <v/>
      </c>
      <c r="L13" s="22" t="str">
        <f aca="false">IF($A13="","",IFERROR(ABS(G13-K13),""))</f>
        <v/>
      </c>
      <c r="M13" s="20"/>
      <c r="N13" s="22" t="str">
        <f aca="false">IF($A13="","",IFERROR(ROUND(M13*1.618,0),""))</f>
        <v/>
      </c>
      <c r="O13" s="24" t="str">
        <f aca="false">IF($A13="","",IFERROR(C13+ROUND(N13*7/5,0),""))</f>
        <v/>
      </c>
      <c r="P13" s="25"/>
      <c r="Q13" s="25"/>
      <c r="R13" s="20"/>
      <c r="S13" s="26" t="str">
        <f aca="false">IF($A13="","",IF(OR(D13="",H13=""),0,IF(OR(H13&lt;=0.15,H13&gt;=0.9),4,IF(AND(H13&gt;=0.35,H13&lt;=0.6),-3,IF(H13&lt;0.35,2,-1)))))</f>
        <v/>
      </c>
      <c r="T13" s="26" t="str">
        <f aca="false">IF($A13="","",IF(OR(L13="",L13&gt;TIME_TOL),0,IF(S13&gt;0,2,-2)))</f>
        <v/>
      </c>
      <c r="U13" s="26" t="str">
        <f aca="false">IF($A13="","",IF(P13="",0,(IF(P13="3",4,IF(P13="1",2,IF(P13="2",1,IF(P13="4",1,IF(P13="5",-1,IF(P13="A",-3,IF(P13="B",-2,IF(P13="C",-4,0)))))))))*IF(R13="",0.6,R13/5)))</f>
        <v/>
      </c>
      <c r="V13" s="26" t="str">
        <f aca="false">IF($A13="","",MAX(-10,MIN(10,S13+T13+U13)))</f>
        <v/>
      </c>
      <c r="W13" s="27" t="str">
        <f aca="false">IF($A13="","",IF(W_TIME=0,"غیرفعال (وزن صفر)","فعال"))</f>
        <v/>
      </c>
      <c r="Z13" s="30"/>
      <c r="AB13" s="29" t="n">
        <v>360</v>
      </c>
    </row>
    <row r="14" customFormat="false" ht="15" hidden="false" customHeight="false" outlineLevel="0" collapsed="false">
      <c r="A14" s="18"/>
      <c r="B14" s="19"/>
      <c r="C14" s="19"/>
      <c r="D14" s="20"/>
      <c r="E14" s="21"/>
      <c r="F14" s="22" t="str">
        <f aca="false">IF($A14="","",IFERROR(E14-B14,""))</f>
        <v/>
      </c>
      <c r="G14" s="22" t="str">
        <f aca="false">IF($A14="","",IFERROR(ROUND(F14*5/7,0),""))</f>
        <v/>
      </c>
      <c r="H14" s="23" t="str">
        <f aca="false">IF($A14="","",IFERROR(G14/D14,""))</f>
        <v/>
      </c>
      <c r="I14" s="24" t="str">
        <f aca="false">IF($A14="","",IFERROR(B14+ROUND(D14*7/5,0),""))</f>
        <v/>
      </c>
      <c r="J14" s="22" t="str">
        <f aca="false">IF($A14="","",IFERROR(I14-E14,""))</f>
        <v/>
      </c>
      <c r="K14" s="22" t="str">
        <f aca="false">IF($A14="","",IFERROR(IF(G14-INDEX($AB$5:$AB$13,MATCH(G14,$AB$5:$AB$13,1))&lt;=INDEX($AB$5:$AB$13,MIN(MATCH(G14,$AB$5:$AB$13,1)+1,9))-G14,INDEX($AB$5:$AB$13,MATCH(G14,$AB$5:$AB$13,1)),INDEX($AB$5:$AB$13,MIN(MATCH(G14,$AB$5:$AB$13,1)+1,9))),30))</f>
        <v/>
      </c>
      <c r="L14" s="22" t="str">
        <f aca="false">IF($A14="","",IFERROR(ABS(G14-K14),""))</f>
        <v/>
      </c>
      <c r="M14" s="20"/>
      <c r="N14" s="22" t="str">
        <f aca="false">IF($A14="","",IFERROR(ROUND(M14*1.618,0),""))</f>
        <v/>
      </c>
      <c r="O14" s="24" t="str">
        <f aca="false">IF($A14="","",IFERROR(C14+ROUND(N14*7/5,0),""))</f>
        <v/>
      </c>
      <c r="P14" s="25"/>
      <c r="Q14" s="25"/>
      <c r="R14" s="20"/>
      <c r="S14" s="26" t="str">
        <f aca="false">IF($A14="","",IF(OR(D14="",H14=""),0,IF(OR(H14&lt;=0.15,H14&gt;=0.9),4,IF(AND(H14&gt;=0.35,H14&lt;=0.6),-3,IF(H14&lt;0.35,2,-1)))))</f>
        <v/>
      </c>
      <c r="T14" s="26" t="str">
        <f aca="false">IF($A14="","",IF(OR(L14="",L14&gt;TIME_TOL),0,IF(S14&gt;0,2,-2)))</f>
        <v/>
      </c>
      <c r="U14" s="26" t="str">
        <f aca="false">IF($A14="","",IF(P14="",0,(IF(P14="3",4,IF(P14="1",2,IF(P14="2",1,IF(P14="4",1,IF(P14="5",-1,IF(P14="A",-3,IF(P14="B",-2,IF(P14="C",-4,0)))))))))*IF(R14="",0.6,R14/5)))</f>
        <v/>
      </c>
      <c r="V14" s="26" t="str">
        <f aca="false">IF($A14="","",MAX(-10,MIN(10,S14+T14+U14)))</f>
        <v/>
      </c>
      <c r="W14" s="27" t="str">
        <f aca="false">IF($A14="","",IF(W_TIME=0,"غیرفعال (وزن صفر)","فعال"))</f>
        <v/>
      </c>
      <c r="Z14" s="30"/>
    </row>
    <row r="15" customFormat="false" ht="15" hidden="false" customHeight="false" outlineLevel="0" collapsed="false">
      <c r="A15" s="18"/>
      <c r="B15" s="19"/>
      <c r="C15" s="19"/>
      <c r="D15" s="20"/>
      <c r="E15" s="21"/>
      <c r="F15" s="22" t="str">
        <f aca="false">IF($A15="","",IFERROR(E15-B15,""))</f>
        <v/>
      </c>
      <c r="G15" s="22" t="str">
        <f aca="false">IF($A15="","",IFERROR(ROUND(F15*5/7,0),""))</f>
        <v/>
      </c>
      <c r="H15" s="23" t="str">
        <f aca="false">IF($A15="","",IFERROR(G15/D15,""))</f>
        <v/>
      </c>
      <c r="I15" s="24" t="str">
        <f aca="false">IF($A15="","",IFERROR(B15+ROUND(D15*7/5,0),""))</f>
        <v/>
      </c>
      <c r="J15" s="22" t="str">
        <f aca="false">IF($A15="","",IFERROR(I15-E15,""))</f>
        <v/>
      </c>
      <c r="K15" s="22" t="str">
        <f aca="false">IF($A15="","",IFERROR(IF(G15-INDEX($AB$5:$AB$13,MATCH(G15,$AB$5:$AB$13,1))&lt;=INDEX($AB$5:$AB$13,MIN(MATCH(G15,$AB$5:$AB$13,1)+1,9))-G15,INDEX($AB$5:$AB$13,MATCH(G15,$AB$5:$AB$13,1)),INDEX($AB$5:$AB$13,MIN(MATCH(G15,$AB$5:$AB$13,1)+1,9))),30))</f>
        <v/>
      </c>
      <c r="L15" s="22" t="str">
        <f aca="false">IF($A15="","",IFERROR(ABS(G15-K15),""))</f>
        <v/>
      </c>
      <c r="M15" s="20"/>
      <c r="N15" s="22" t="str">
        <f aca="false">IF($A15="","",IFERROR(ROUND(M15*1.618,0),""))</f>
        <v/>
      </c>
      <c r="O15" s="24" t="str">
        <f aca="false">IF($A15="","",IFERROR(C15+ROUND(N15*7/5,0),""))</f>
        <v/>
      </c>
      <c r="P15" s="25"/>
      <c r="Q15" s="25"/>
      <c r="R15" s="20"/>
      <c r="S15" s="26" t="str">
        <f aca="false">IF($A15="","",IF(OR(D15="",H15=""),0,IF(OR(H15&lt;=0.15,H15&gt;=0.9),4,IF(AND(H15&gt;=0.35,H15&lt;=0.6),-3,IF(H15&lt;0.35,2,-1)))))</f>
        <v/>
      </c>
      <c r="T15" s="26" t="str">
        <f aca="false">IF($A15="","",IF(OR(L15="",L15&gt;TIME_TOL),0,IF(S15&gt;0,2,-2)))</f>
        <v/>
      </c>
      <c r="U15" s="26" t="str">
        <f aca="false">IF($A15="","",IF(P15="",0,(IF(P15="3",4,IF(P15="1",2,IF(P15="2",1,IF(P15="4",1,IF(P15="5",-1,IF(P15="A",-3,IF(P15="B",-2,IF(P15="C",-4,0)))))))))*IF(R15="",0.6,R15/5)))</f>
        <v/>
      </c>
      <c r="V15" s="26" t="str">
        <f aca="false">IF($A15="","",MAX(-10,MIN(10,S15+T15+U15)))</f>
        <v/>
      </c>
      <c r="W15" s="27" t="str">
        <f aca="false">IF($A15="","",IF(W_TIME=0,"غیرفعال (وزن صفر)","فعال"))</f>
        <v/>
      </c>
      <c r="Z15" s="30"/>
    </row>
    <row r="16" customFormat="false" ht="15" hidden="false" customHeight="false" outlineLevel="0" collapsed="false">
      <c r="A16" s="18"/>
      <c r="B16" s="19"/>
      <c r="C16" s="19"/>
      <c r="D16" s="20"/>
      <c r="E16" s="21"/>
      <c r="F16" s="22" t="str">
        <f aca="false">IF($A16="","",IFERROR(E16-B16,""))</f>
        <v/>
      </c>
      <c r="G16" s="22" t="str">
        <f aca="false">IF($A16="","",IFERROR(ROUND(F16*5/7,0),""))</f>
        <v/>
      </c>
      <c r="H16" s="23" t="str">
        <f aca="false">IF($A16="","",IFERROR(G16/D16,""))</f>
        <v/>
      </c>
      <c r="I16" s="24" t="str">
        <f aca="false">IF($A16="","",IFERROR(B16+ROUND(D16*7/5,0),""))</f>
        <v/>
      </c>
      <c r="J16" s="22" t="str">
        <f aca="false">IF($A16="","",IFERROR(I16-E16,""))</f>
        <v/>
      </c>
      <c r="K16" s="22" t="str">
        <f aca="false">IF($A16="","",IFERROR(IF(G16-INDEX($AB$5:$AB$13,MATCH(G16,$AB$5:$AB$13,1))&lt;=INDEX($AB$5:$AB$13,MIN(MATCH(G16,$AB$5:$AB$13,1)+1,9))-G16,INDEX($AB$5:$AB$13,MATCH(G16,$AB$5:$AB$13,1)),INDEX($AB$5:$AB$13,MIN(MATCH(G16,$AB$5:$AB$13,1)+1,9))),30))</f>
        <v/>
      </c>
      <c r="L16" s="22" t="str">
        <f aca="false">IF($A16="","",IFERROR(ABS(G16-K16),""))</f>
        <v/>
      </c>
      <c r="M16" s="20"/>
      <c r="N16" s="22" t="str">
        <f aca="false">IF($A16="","",IFERROR(ROUND(M16*1.618,0),""))</f>
        <v/>
      </c>
      <c r="O16" s="24" t="str">
        <f aca="false">IF($A16="","",IFERROR(C16+ROUND(N16*7/5,0),""))</f>
        <v/>
      </c>
      <c r="P16" s="25"/>
      <c r="Q16" s="25"/>
      <c r="R16" s="20"/>
      <c r="S16" s="26" t="str">
        <f aca="false">IF($A16="","",IF(OR(D16="",H16=""),0,IF(OR(H16&lt;=0.15,H16&gt;=0.9),4,IF(AND(H16&gt;=0.35,H16&lt;=0.6),-3,IF(H16&lt;0.35,2,-1)))))</f>
        <v/>
      </c>
      <c r="T16" s="26" t="str">
        <f aca="false">IF($A16="","",IF(OR(L16="",L16&gt;TIME_TOL),0,IF(S16&gt;0,2,-2)))</f>
        <v/>
      </c>
      <c r="U16" s="26" t="str">
        <f aca="false">IF($A16="","",IF(P16="",0,(IF(P16="3",4,IF(P16="1",2,IF(P16="2",1,IF(P16="4",1,IF(P16="5",-1,IF(P16="A",-3,IF(P16="B",-2,IF(P16="C",-4,0)))))))))*IF(R16="",0.6,R16/5)))</f>
        <v/>
      </c>
      <c r="V16" s="26" t="str">
        <f aca="false">IF($A16="","",MAX(-10,MIN(10,S16+T16+U16)))</f>
        <v/>
      </c>
      <c r="W16" s="27" t="str">
        <f aca="false">IF($A16="","",IF(W_TIME=0,"غیرفعال (وزن صفر)","فعال"))</f>
        <v/>
      </c>
      <c r="Z16" s="30"/>
    </row>
    <row r="17" customFormat="false" ht="15" hidden="false" customHeight="false" outlineLevel="0" collapsed="false">
      <c r="A17" s="18"/>
      <c r="B17" s="19"/>
      <c r="C17" s="19"/>
      <c r="D17" s="20"/>
      <c r="E17" s="21"/>
      <c r="F17" s="22" t="str">
        <f aca="false">IF($A17="","",IFERROR(E17-B17,""))</f>
        <v/>
      </c>
      <c r="G17" s="22" t="str">
        <f aca="false">IF($A17="","",IFERROR(ROUND(F17*5/7,0),""))</f>
        <v/>
      </c>
      <c r="H17" s="23" t="str">
        <f aca="false">IF($A17="","",IFERROR(G17/D17,""))</f>
        <v/>
      </c>
      <c r="I17" s="24" t="str">
        <f aca="false">IF($A17="","",IFERROR(B17+ROUND(D17*7/5,0),""))</f>
        <v/>
      </c>
      <c r="J17" s="22" t="str">
        <f aca="false">IF($A17="","",IFERROR(I17-E17,""))</f>
        <v/>
      </c>
      <c r="K17" s="22" t="str">
        <f aca="false">IF($A17="","",IFERROR(IF(G17-INDEX($AB$5:$AB$13,MATCH(G17,$AB$5:$AB$13,1))&lt;=INDEX($AB$5:$AB$13,MIN(MATCH(G17,$AB$5:$AB$13,1)+1,9))-G17,INDEX($AB$5:$AB$13,MATCH(G17,$AB$5:$AB$13,1)),INDEX($AB$5:$AB$13,MIN(MATCH(G17,$AB$5:$AB$13,1)+1,9))),30))</f>
        <v/>
      </c>
      <c r="L17" s="22" t="str">
        <f aca="false">IF($A17="","",IFERROR(ABS(G17-K17),""))</f>
        <v/>
      </c>
      <c r="M17" s="20"/>
      <c r="N17" s="22" t="str">
        <f aca="false">IF($A17="","",IFERROR(ROUND(M17*1.618,0),""))</f>
        <v/>
      </c>
      <c r="O17" s="24" t="str">
        <f aca="false">IF($A17="","",IFERROR(C17+ROUND(N17*7/5,0),""))</f>
        <v/>
      </c>
      <c r="P17" s="25"/>
      <c r="Q17" s="25"/>
      <c r="R17" s="20"/>
      <c r="S17" s="26" t="str">
        <f aca="false">IF($A17="","",IF(OR(D17="",H17=""),0,IF(OR(H17&lt;=0.15,H17&gt;=0.9),4,IF(AND(H17&gt;=0.35,H17&lt;=0.6),-3,IF(H17&lt;0.35,2,-1)))))</f>
        <v/>
      </c>
      <c r="T17" s="26" t="str">
        <f aca="false">IF($A17="","",IF(OR(L17="",L17&gt;TIME_TOL),0,IF(S17&gt;0,2,-2)))</f>
        <v/>
      </c>
      <c r="U17" s="26" t="str">
        <f aca="false">IF($A17="","",IF(P17="",0,(IF(P17="3",4,IF(P17="1",2,IF(P17="2",1,IF(P17="4",1,IF(P17="5",-1,IF(P17="A",-3,IF(P17="B",-2,IF(P17="C",-4,0)))))))))*IF(R17="",0.6,R17/5)))</f>
        <v/>
      </c>
      <c r="V17" s="26" t="str">
        <f aca="false">IF($A17="","",MAX(-10,MIN(10,S17+T17+U17)))</f>
        <v/>
      </c>
      <c r="W17" s="27" t="str">
        <f aca="false">IF($A17="","",IF(W_TIME=0,"غیرفعال (وزن صفر)","فعال"))</f>
        <v/>
      </c>
      <c r="Z17" s="30"/>
    </row>
    <row r="18" customFormat="false" ht="15" hidden="false" customHeight="false" outlineLevel="0" collapsed="false">
      <c r="A18" s="18"/>
      <c r="B18" s="19"/>
      <c r="C18" s="19"/>
      <c r="D18" s="20"/>
      <c r="E18" s="21"/>
      <c r="F18" s="22" t="str">
        <f aca="false">IF($A18="","",IFERROR(E18-B18,""))</f>
        <v/>
      </c>
      <c r="G18" s="22" t="str">
        <f aca="false">IF($A18="","",IFERROR(ROUND(F18*5/7,0),""))</f>
        <v/>
      </c>
      <c r="H18" s="23" t="str">
        <f aca="false">IF($A18="","",IFERROR(G18/D18,""))</f>
        <v/>
      </c>
      <c r="I18" s="24" t="str">
        <f aca="false">IF($A18="","",IFERROR(B18+ROUND(D18*7/5,0),""))</f>
        <v/>
      </c>
      <c r="J18" s="22" t="str">
        <f aca="false">IF($A18="","",IFERROR(I18-E18,""))</f>
        <v/>
      </c>
      <c r="K18" s="22" t="str">
        <f aca="false">IF($A18="","",IFERROR(IF(G18-INDEX($AB$5:$AB$13,MATCH(G18,$AB$5:$AB$13,1))&lt;=INDEX($AB$5:$AB$13,MIN(MATCH(G18,$AB$5:$AB$13,1)+1,9))-G18,INDEX($AB$5:$AB$13,MATCH(G18,$AB$5:$AB$13,1)),INDEX($AB$5:$AB$13,MIN(MATCH(G18,$AB$5:$AB$13,1)+1,9))),30))</f>
        <v/>
      </c>
      <c r="L18" s="22" t="str">
        <f aca="false">IF($A18="","",IFERROR(ABS(G18-K18),""))</f>
        <v/>
      </c>
      <c r="M18" s="20"/>
      <c r="N18" s="22" t="str">
        <f aca="false">IF($A18="","",IFERROR(ROUND(M18*1.618,0),""))</f>
        <v/>
      </c>
      <c r="O18" s="24" t="str">
        <f aca="false">IF($A18="","",IFERROR(C18+ROUND(N18*7/5,0),""))</f>
        <v/>
      </c>
      <c r="P18" s="25"/>
      <c r="Q18" s="25"/>
      <c r="R18" s="20"/>
      <c r="S18" s="26" t="str">
        <f aca="false">IF($A18="","",IF(OR(D18="",H18=""),0,IF(OR(H18&lt;=0.15,H18&gt;=0.9),4,IF(AND(H18&gt;=0.35,H18&lt;=0.6),-3,IF(H18&lt;0.35,2,-1)))))</f>
        <v/>
      </c>
      <c r="T18" s="26" t="str">
        <f aca="false">IF($A18="","",IF(OR(L18="",L18&gt;TIME_TOL),0,IF(S18&gt;0,2,-2)))</f>
        <v/>
      </c>
      <c r="U18" s="26" t="str">
        <f aca="false">IF($A18="","",IF(P18="",0,(IF(P18="3",4,IF(P18="1",2,IF(P18="2",1,IF(P18="4",1,IF(P18="5",-1,IF(P18="A",-3,IF(P18="B",-2,IF(P18="C",-4,0)))))))))*IF(R18="",0.6,R18/5)))</f>
        <v/>
      </c>
      <c r="V18" s="26" t="str">
        <f aca="false">IF($A18="","",MAX(-10,MIN(10,S18+T18+U18)))</f>
        <v/>
      </c>
      <c r="W18" s="27" t="str">
        <f aca="false">IF($A18="","",IF(W_TIME=0,"غیرفعال (وزن صفر)","فعال"))</f>
        <v/>
      </c>
      <c r="Z18" s="30"/>
    </row>
    <row r="19" customFormat="false" ht="15" hidden="false" customHeight="false" outlineLevel="0" collapsed="false">
      <c r="A19" s="18"/>
      <c r="B19" s="19"/>
      <c r="C19" s="19"/>
      <c r="D19" s="20"/>
      <c r="E19" s="21"/>
      <c r="F19" s="22" t="str">
        <f aca="false">IF($A19="","",IFERROR(E19-B19,""))</f>
        <v/>
      </c>
      <c r="G19" s="22" t="str">
        <f aca="false">IF($A19="","",IFERROR(ROUND(F19*5/7,0),""))</f>
        <v/>
      </c>
      <c r="H19" s="23" t="str">
        <f aca="false">IF($A19="","",IFERROR(G19/D19,""))</f>
        <v/>
      </c>
      <c r="I19" s="24" t="str">
        <f aca="false">IF($A19="","",IFERROR(B19+ROUND(D19*7/5,0),""))</f>
        <v/>
      </c>
      <c r="J19" s="22" t="str">
        <f aca="false">IF($A19="","",IFERROR(I19-E19,""))</f>
        <v/>
      </c>
      <c r="K19" s="22" t="str">
        <f aca="false">IF($A19="","",IFERROR(IF(G19-INDEX($AB$5:$AB$13,MATCH(G19,$AB$5:$AB$13,1))&lt;=INDEX($AB$5:$AB$13,MIN(MATCH(G19,$AB$5:$AB$13,1)+1,9))-G19,INDEX($AB$5:$AB$13,MATCH(G19,$AB$5:$AB$13,1)),INDEX($AB$5:$AB$13,MIN(MATCH(G19,$AB$5:$AB$13,1)+1,9))),30))</f>
        <v/>
      </c>
      <c r="L19" s="22" t="str">
        <f aca="false">IF($A19="","",IFERROR(ABS(G19-K19),""))</f>
        <v/>
      </c>
      <c r="M19" s="20"/>
      <c r="N19" s="22" t="str">
        <f aca="false">IF($A19="","",IFERROR(ROUND(M19*1.618,0),""))</f>
        <v/>
      </c>
      <c r="O19" s="24" t="str">
        <f aca="false">IF($A19="","",IFERROR(C19+ROUND(N19*7/5,0),""))</f>
        <v/>
      </c>
      <c r="P19" s="25"/>
      <c r="Q19" s="25"/>
      <c r="R19" s="20"/>
      <c r="S19" s="26" t="str">
        <f aca="false">IF($A19="","",IF(OR(D19="",H19=""),0,IF(OR(H19&lt;=0.15,H19&gt;=0.9),4,IF(AND(H19&gt;=0.35,H19&lt;=0.6),-3,IF(H19&lt;0.35,2,-1)))))</f>
        <v/>
      </c>
      <c r="T19" s="26" t="str">
        <f aca="false">IF($A19="","",IF(OR(L19="",L19&gt;TIME_TOL),0,IF(S19&gt;0,2,-2)))</f>
        <v/>
      </c>
      <c r="U19" s="26" t="str">
        <f aca="false">IF($A19="","",IF(P19="",0,(IF(P19="3",4,IF(P19="1",2,IF(P19="2",1,IF(P19="4",1,IF(P19="5",-1,IF(P19="A",-3,IF(P19="B",-2,IF(P19="C",-4,0)))))))))*IF(R19="",0.6,R19/5)))</f>
        <v/>
      </c>
      <c r="V19" s="26" t="str">
        <f aca="false">IF($A19="","",MAX(-10,MIN(10,S19+T19+U19)))</f>
        <v/>
      </c>
      <c r="W19" s="27" t="str">
        <f aca="false">IF($A19="","",IF(W_TIME=0,"غیرفعال (وزن صفر)","فعال"))</f>
        <v/>
      </c>
      <c r="Z19" s="30"/>
    </row>
    <row r="20" customFormat="false" ht="15" hidden="false" customHeight="false" outlineLevel="0" collapsed="false">
      <c r="A20" s="18"/>
      <c r="B20" s="19"/>
      <c r="C20" s="19"/>
      <c r="D20" s="20"/>
      <c r="E20" s="21"/>
      <c r="F20" s="22" t="str">
        <f aca="false">IF($A20="","",IFERROR(E20-B20,""))</f>
        <v/>
      </c>
      <c r="G20" s="22" t="str">
        <f aca="false">IF($A20="","",IFERROR(ROUND(F20*5/7,0),""))</f>
        <v/>
      </c>
      <c r="H20" s="23" t="str">
        <f aca="false">IF($A20="","",IFERROR(G20/D20,""))</f>
        <v/>
      </c>
      <c r="I20" s="24" t="str">
        <f aca="false">IF($A20="","",IFERROR(B20+ROUND(D20*7/5,0),""))</f>
        <v/>
      </c>
      <c r="J20" s="22" t="str">
        <f aca="false">IF($A20="","",IFERROR(I20-E20,""))</f>
        <v/>
      </c>
      <c r="K20" s="22" t="str">
        <f aca="false">IF($A20="","",IFERROR(IF(G20-INDEX($AB$5:$AB$13,MATCH(G20,$AB$5:$AB$13,1))&lt;=INDEX($AB$5:$AB$13,MIN(MATCH(G20,$AB$5:$AB$13,1)+1,9))-G20,INDEX($AB$5:$AB$13,MATCH(G20,$AB$5:$AB$13,1)),INDEX($AB$5:$AB$13,MIN(MATCH(G20,$AB$5:$AB$13,1)+1,9))),30))</f>
        <v/>
      </c>
      <c r="L20" s="22" t="str">
        <f aca="false">IF($A20="","",IFERROR(ABS(G20-K20),""))</f>
        <v/>
      </c>
      <c r="M20" s="20"/>
      <c r="N20" s="22" t="str">
        <f aca="false">IF($A20="","",IFERROR(ROUND(M20*1.618,0),""))</f>
        <v/>
      </c>
      <c r="O20" s="24" t="str">
        <f aca="false">IF($A20="","",IFERROR(C20+ROUND(N20*7/5,0),""))</f>
        <v/>
      </c>
      <c r="P20" s="25"/>
      <c r="Q20" s="25"/>
      <c r="R20" s="20"/>
      <c r="S20" s="26" t="str">
        <f aca="false">IF($A20="","",IF(OR(D20="",H20=""),0,IF(OR(H20&lt;=0.15,H20&gt;=0.9),4,IF(AND(H20&gt;=0.35,H20&lt;=0.6),-3,IF(H20&lt;0.35,2,-1)))))</f>
        <v/>
      </c>
      <c r="T20" s="26" t="str">
        <f aca="false">IF($A20="","",IF(OR(L20="",L20&gt;TIME_TOL),0,IF(S20&gt;0,2,-2)))</f>
        <v/>
      </c>
      <c r="U20" s="26" t="str">
        <f aca="false">IF($A20="","",IF(P20="",0,(IF(P20="3",4,IF(P20="1",2,IF(P20="2",1,IF(P20="4",1,IF(P20="5",-1,IF(P20="A",-3,IF(P20="B",-2,IF(P20="C",-4,0)))))))))*IF(R20="",0.6,R20/5)))</f>
        <v/>
      </c>
      <c r="V20" s="26" t="str">
        <f aca="false">IF($A20="","",MAX(-10,MIN(10,S20+T20+U20)))</f>
        <v/>
      </c>
      <c r="W20" s="27" t="str">
        <f aca="false">IF($A20="","",IF(W_TIME=0,"غیرفعال (وزن صفر)","فعال"))</f>
        <v/>
      </c>
      <c r="Z20" s="30"/>
    </row>
    <row r="21" customFormat="false" ht="15" hidden="false" customHeight="false" outlineLevel="0" collapsed="false">
      <c r="A21" s="18"/>
      <c r="B21" s="19"/>
      <c r="C21" s="19"/>
      <c r="D21" s="20"/>
      <c r="E21" s="21"/>
      <c r="F21" s="22" t="str">
        <f aca="false">IF($A21="","",IFERROR(E21-B21,""))</f>
        <v/>
      </c>
      <c r="G21" s="22" t="str">
        <f aca="false">IF($A21="","",IFERROR(ROUND(F21*5/7,0),""))</f>
        <v/>
      </c>
      <c r="H21" s="23" t="str">
        <f aca="false">IF($A21="","",IFERROR(G21/D21,""))</f>
        <v/>
      </c>
      <c r="I21" s="24" t="str">
        <f aca="false">IF($A21="","",IFERROR(B21+ROUND(D21*7/5,0),""))</f>
        <v/>
      </c>
      <c r="J21" s="22" t="str">
        <f aca="false">IF($A21="","",IFERROR(I21-E21,""))</f>
        <v/>
      </c>
      <c r="K21" s="22" t="str">
        <f aca="false">IF($A21="","",IFERROR(IF(G21-INDEX($AB$5:$AB$13,MATCH(G21,$AB$5:$AB$13,1))&lt;=INDEX($AB$5:$AB$13,MIN(MATCH(G21,$AB$5:$AB$13,1)+1,9))-G21,INDEX($AB$5:$AB$13,MATCH(G21,$AB$5:$AB$13,1)),INDEX($AB$5:$AB$13,MIN(MATCH(G21,$AB$5:$AB$13,1)+1,9))),30))</f>
        <v/>
      </c>
      <c r="L21" s="22" t="str">
        <f aca="false">IF($A21="","",IFERROR(ABS(G21-K21),""))</f>
        <v/>
      </c>
      <c r="M21" s="20"/>
      <c r="N21" s="22" t="str">
        <f aca="false">IF($A21="","",IFERROR(ROUND(M21*1.618,0),""))</f>
        <v/>
      </c>
      <c r="O21" s="24" t="str">
        <f aca="false">IF($A21="","",IFERROR(C21+ROUND(N21*7/5,0),""))</f>
        <v/>
      </c>
      <c r="P21" s="25"/>
      <c r="Q21" s="25"/>
      <c r="R21" s="20"/>
      <c r="S21" s="26" t="str">
        <f aca="false">IF($A21="","",IF(OR(D21="",H21=""),0,IF(OR(H21&lt;=0.15,H21&gt;=0.9),4,IF(AND(H21&gt;=0.35,H21&lt;=0.6),-3,IF(H21&lt;0.35,2,-1)))))</f>
        <v/>
      </c>
      <c r="T21" s="26" t="str">
        <f aca="false">IF($A21="","",IF(OR(L21="",L21&gt;TIME_TOL),0,IF(S21&gt;0,2,-2)))</f>
        <v/>
      </c>
      <c r="U21" s="26" t="str">
        <f aca="false">IF($A21="","",IF(P21="",0,(IF(P21="3",4,IF(P21="1",2,IF(P21="2",1,IF(P21="4",1,IF(P21="5",-1,IF(P21="A",-3,IF(P21="B",-2,IF(P21="C",-4,0)))))))))*IF(R21="",0.6,R21/5)))</f>
        <v/>
      </c>
      <c r="V21" s="26" t="str">
        <f aca="false">IF($A21="","",MAX(-10,MIN(10,S21+T21+U21)))</f>
        <v/>
      </c>
      <c r="W21" s="27" t="str">
        <f aca="false">IF($A21="","",IF(W_TIME=0,"غیرفعال (وزن صفر)","فعال"))</f>
        <v/>
      </c>
      <c r="Z21" s="30"/>
    </row>
    <row r="22" customFormat="false" ht="15" hidden="false" customHeight="false" outlineLevel="0" collapsed="false">
      <c r="A22" s="18"/>
      <c r="B22" s="19"/>
      <c r="C22" s="19"/>
      <c r="D22" s="20"/>
      <c r="E22" s="21"/>
      <c r="F22" s="22" t="str">
        <f aca="false">IF($A22="","",IFERROR(E22-B22,""))</f>
        <v/>
      </c>
      <c r="G22" s="22" t="str">
        <f aca="false">IF($A22="","",IFERROR(ROUND(F22*5/7,0),""))</f>
        <v/>
      </c>
      <c r="H22" s="23" t="str">
        <f aca="false">IF($A22="","",IFERROR(G22/D22,""))</f>
        <v/>
      </c>
      <c r="I22" s="24" t="str">
        <f aca="false">IF($A22="","",IFERROR(B22+ROUND(D22*7/5,0),""))</f>
        <v/>
      </c>
      <c r="J22" s="22" t="str">
        <f aca="false">IF($A22="","",IFERROR(I22-E22,""))</f>
        <v/>
      </c>
      <c r="K22" s="22" t="str">
        <f aca="false">IF($A22="","",IFERROR(IF(G22-INDEX($AB$5:$AB$13,MATCH(G22,$AB$5:$AB$13,1))&lt;=INDEX($AB$5:$AB$13,MIN(MATCH(G22,$AB$5:$AB$13,1)+1,9))-G22,INDEX($AB$5:$AB$13,MATCH(G22,$AB$5:$AB$13,1)),INDEX($AB$5:$AB$13,MIN(MATCH(G22,$AB$5:$AB$13,1)+1,9))),30))</f>
        <v/>
      </c>
      <c r="L22" s="22" t="str">
        <f aca="false">IF($A22="","",IFERROR(ABS(G22-K22),""))</f>
        <v/>
      </c>
      <c r="M22" s="20"/>
      <c r="N22" s="22" t="str">
        <f aca="false">IF($A22="","",IFERROR(ROUND(M22*1.618,0),""))</f>
        <v/>
      </c>
      <c r="O22" s="24" t="str">
        <f aca="false">IF($A22="","",IFERROR(C22+ROUND(N22*7/5,0),""))</f>
        <v/>
      </c>
      <c r="P22" s="25"/>
      <c r="Q22" s="25"/>
      <c r="R22" s="20"/>
      <c r="S22" s="26" t="str">
        <f aca="false">IF($A22="","",IF(OR(D22="",H22=""),0,IF(OR(H22&lt;=0.15,H22&gt;=0.9),4,IF(AND(H22&gt;=0.35,H22&lt;=0.6),-3,IF(H22&lt;0.35,2,-1)))))</f>
        <v/>
      </c>
      <c r="T22" s="26" t="str">
        <f aca="false">IF($A22="","",IF(OR(L22="",L22&gt;TIME_TOL),0,IF(S22&gt;0,2,-2)))</f>
        <v/>
      </c>
      <c r="U22" s="26" t="str">
        <f aca="false">IF($A22="","",IF(P22="",0,(IF(P22="3",4,IF(P22="1",2,IF(P22="2",1,IF(P22="4",1,IF(P22="5",-1,IF(P22="A",-3,IF(P22="B",-2,IF(P22="C",-4,0)))))))))*IF(R22="",0.6,R22/5)))</f>
        <v/>
      </c>
      <c r="V22" s="26" t="str">
        <f aca="false">IF($A22="","",MAX(-10,MIN(10,S22+T22+U22)))</f>
        <v/>
      </c>
      <c r="W22" s="27" t="str">
        <f aca="false">IF($A22="","",IF(W_TIME=0,"غیرفعال (وزن صفر)","فعال"))</f>
        <v/>
      </c>
      <c r="Z22" s="30"/>
    </row>
    <row r="23" customFormat="false" ht="15" hidden="false" customHeight="false" outlineLevel="0" collapsed="false">
      <c r="A23" s="18"/>
      <c r="B23" s="19"/>
      <c r="C23" s="19"/>
      <c r="D23" s="20"/>
      <c r="E23" s="21"/>
      <c r="F23" s="22" t="str">
        <f aca="false">IF($A23="","",IFERROR(E23-B23,""))</f>
        <v/>
      </c>
      <c r="G23" s="22" t="str">
        <f aca="false">IF($A23="","",IFERROR(ROUND(F23*5/7,0),""))</f>
        <v/>
      </c>
      <c r="H23" s="23" t="str">
        <f aca="false">IF($A23="","",IFERROR(G23/D23,""))</f>
        <v/>
      </c>
      <c r="I23" s="24" t="str">
        <f aca="false">IF($A23="","",IFERROR(B23+ROUND(D23*7/5,0),""))</f>
        <v/>
      </c>
      <c r="J23" s="22" t="str">
        <f aca="false">IF($A23="","",IFERROR(I23-E23,""))</f>
        <v/>
      </c>
      <c r="K23" s="22" t="str">
        <f aca="false">IF($A23="","",IFERROR(IF(G23-INDEX($AB$5:$AB$13,MATCH(G23,$AB$5:$AB$13,1))&lt;=INDEX($AB$5:$AB$13,MIN(MATCH(G23,$AB$5:$AB$13,1)+1,9))-G23,INDEX($AB$5:$AB$13,MATCH(G23,$AB$5:$AB$13,1)),INDEX($AB$5:$AB$13,MIN(MATCH(G23,$AB$5:$AB$13,1)+1,9))),30))</f>
        <v/>
      </c>
      <c r="L23" s="22" t="str">
        <f aca="false">IF($A23="","",IFERROR(ABS(G23-K23),""))</f>
        <v/>
      </c>
      <c r="M23" s="20"/>
      <c r="N23" s="22" t="str">
        <f aca="false">IF($A23="","",IFERROR(ROUND(M23*1.618,0),""))</f>
        <v/>
      </c>
      <c r="O23" s="24" t="str">
        <f aca="false">IF($A23="","",IFERROR(C23+ROUND(N23*7/5,0),""))</f>
        <v/>
      </c>
      <c r="P23" s="25"/>
      <c r="Q23" s="25"/>
      <c r="R23" s="20"/>
      <c r="S23" s="26" t="str">
        <f aca="false">IF($A23="","",IF(OR(D23="",H23=""),0,IF(OR(H23&lt;=0.15,H23&gt;=0.9),4,IF(AND(H23&gt;=0.35,H23&lt;=0.6),-3,IF(H23&lt;0.35,2,-1)))))</f>
        <v/>
      </c>
      <c r="T23" s="26" t="str">
        <f aca="false">IF($A23="","",IF(OR(L23="",L23&gt;TIME_TOL),0,IF(S23&gt;0,2,-2)))</f>
        <v/>
      </c>
      <c r="U23" s="26" t="str">
        <f aca="false">IF($A23="","",IF(P23="",0,(IF(P23="3",4,IF(P23="1",2,IF(P23="2",1,IF(P23="4",1,IF(P23="5",-1,IF(P23="A",-3,IF(P23="B",-2,IF(P23="C",-4,0)))))))))*IF(R23="",0.6,R23/5)))</f>
        <v/>
      </c>
      <c r="V23" s="26" t="str">
        <f aca="false">IF($A23="","",MAX(-10,MIN(10,S23+T23+U23)))</f>
        <v/>
      </c>
      <c r="W23" s="27" t="str">
        <f aca="false">IF($A23="","",IF(W_TIME=0,"غیرفعال (وزن صفر)","فعال"))</f>
        <v/>
      </c>
      <c r="Z23" s="30"/>
    </row>
    <row r="24" customFormat="false" ht="15" hidden="false" customHeight="false" outlineLevel="0" collapsed="false">
      <c r="A24" s="18"/>
      <c r="B24" s="19"/>
      <c r="C24" s="19"/>
      <c r="D24" s="20"/>
      <c r="E24" s="21"/>
      <c r="F24" s="22" t="str">
        <f aca="false">IF($A24="","",IFERROR(E24-B24,""))</f>
        <v/>
      </c>
      <c r="G24" s="22" t="str">
        <f aca="false">IF($A24="","",IFERROR(ROUND(F24*5/7,0),""))</f>
        <v/>
      </c>
      <c r="H24" s="23" t="str">
        <f aca="false">IF($A24="","",IFERROR(G24/D24,""))</f>
        <v/>
      </c>
      <c r="I24" s="24" t="str">
        <f aca="false">IF($A24="","",IFERROR(B24+ROUND(D24*7/5,0),""))</f>
        <v/>
      </c>
      <c r="J24" s="22" t="str">
        <f aca="false">IF($A24="","",IFERROR(I24-E24,""))</f>
        <v/>
      </c>
      <c r="K24" s="22" t="str">
        <f aca="false">IF($A24="","",IFERROR(IF(G24-INDEX($AB$5:$AB$13,MATCH(G24,$AB$5:$AB$13,1))&lt;=INDEX($AB$5:$AB$13,MIN(MATCH(G24,$AB$5:$AB$13,1)+1,9))-G24,INDEX($AB$5:$AB$13,MATCH(G24,$AB$5:$AB$13,1)),INDEX($AB$5:$AB$13,MIN(MATCH(G24,$AB$5:$AB$13,1)+1,9))),30))</f>
        <v/>
      </c>
      <c r="L24" s="22" t="str">
        <f aca="false">IF($A24="","",IFERROR(ABS(G24-K24),""))</f>
        <v/>
      </c>
      <c r="M24" s="20"/>
      <c r="N24" s="22" t="str">
        <f aca="false">IF($A24="","",IFERROR(ROUND(M24*1.618,0),""))</f>
        <v/>
      </c>
      <c r="O24" s="24" t="str">
        <f aca="false">IF($A24="","",IFERROR(C24+ROUND(N24*7/5,0),""))</f>
        <v/>
      </c>
      <c r="P24" s="25"/>
      <c r="Q24" s="25"/>
      <c r="R24" s="20"/>
      <c r="S24" s="26" t="str">
        <f aca="false">IF($A24="","",IF(OR(D24="",H24=""),0,IF(OR(H24&lt;=0.15,H24&gt;=0.9),4,IF(AND(H24&gt;=0.35,H24&lt;=0.6),-3,IF(H24&lt;0.35,2,-1)))))</f>
        <v/>
      </c>
      <c r="T24" s="26" t="str">
        <f aca="false">IF($A24="","",IF(OR(L24="",L24&gt;TIME_TOL),0,IF(S24&gt;0,2,-2)))</f>
        <v/>
      </c>
      <c r="U24" s="26" t="str">
        <f aca="false">IF($A24="","",IF(P24="",0,(IF(P24="3",4,IF(P24="1",2,IF(P24="2",1,IF(P24="4",1,IF(P24="5",-1,IF(P24="A",-3,IF(P24="B",-2,IF(P24="C",-4,0)))))))))*IF(R24="",0.6,R24/5)))</f>
        <v/>
      </c>
      <c r="V24" s="26" t="str">
        <f aca="false">IF($A24="","",MAX(-10,MIN(10,S24+T24+U24)))</f>
        <v/>
      </c>
      <c r="W24" s="27" t="str">
        <f aca="false">IF($A24="","",IF(W_TIME=0,"غیرفعال (وزن صفر)","فعال"))</f>
        <v/>
      </c>
      <c r="Z24" s="30"/>
    </row>
    <row r="25" customFormat="false" ht="15" hidden="false" customHeight="false" outlineLevel="0" collapsed="false">
      <c r="A25" s="18"/>
      <c r="B25" s="19"/>
      <c r="C25" s="19"/>
      <c r="D25" s="20"/>
      <c r="E25" s="21"/>
      <c r="F25" s="22" t="str">
        <f aca="false">IF($A25="","",IFERROR(E25-B25,""))</f>
        <v/>
      </c>
      <c r="G25" s="22" t="str">
        <f aca="false">IF($A25="","",IFERROR(ROUND(F25*5/7,0),""))</f>
        <v/>
      </c>
      <c r="H25" s="23" t="str">
        <f aca="false">IF($A25="","",IFERROR(G25/D25,""))</f>
        <v/>
      </c>
      <c r="I25" s="24" t="str">
        <f aca="false">IF($A25="","",IFERROR(B25+ROUND(D25*7/5,0),""))</f>
        <v/>
      </c>
      <c r="J25" s="22" t="str">
        <f aca="false">IF($A25="","",IFERROR(I25-E25,""))</f>
        <v/>
      </c>
      <c r="K25" s="22" t="str">
        <f aca="false">IF($A25="","",IFERROR(IF(G25-INDEX($AB$5:$AB$13,MATCH(G25,$AB$5:$AB$13,1))&lt;=INDEX($AB$5:$AB$13,MIN(MATCH(G25,$AB$5:$AB$13,1)+1,9))-G25,INDEX($AB$5:$AB$13,MATCH(G25,$AB$5:$AB$13,1)),INDEX($AB$5:$AB$13,MIN(MATCH(G25,$AB$5:$AB$13,1)+1,9))),30))</f>
        <v/>
      </c>
      <c r="L25" s="22" t="str">
        <f aca="false">IF($A25="","",IFERROR(ABS(G25-K25),""))</f>
        <v/>
      </c>
      <c r="M25" s="20"/>
      <c r="N25" s="22" t="str">
        <f aca="false">IF($A25="","",IFERROR(ROUND(M25*1.618,0),""))</f>
        <v/>
      </c>
      <c r="O25" s="24" t="str">
        <f aca="false">IF($A25="","",IFERROR(C25+ROUND(N25*7/5,0),""))</f>
        <v/>
      </c>
      <c r="P25" s="25"/>
      <c r="Q25" s="25"/>
      <c r="R25" s="20"/>
      <c r="S25" s="26" t="str">
        <f aca="false">IF($A25="","",IF(OR(D25="",H25=""),0,IF(OR(H25&lt;=0.15,H25&gt;=0.9),4,IF(AND(H25&gt;=0.35,H25&lt;=0.6),-3,IF(H25&lt;0.35,2,-1)))))</f>
        <v/>
      </c>
      <c r="T25" s="26" t="str">
        <f aca="false">IF($A25="","",IF(OR(L25="",L25&gt;TIME_TOL),0,IF(S25&gt;0,2,-2)))</f>
        <v/>
      </c>
      <c r="U25" s="26" t="str">
        <f aca="false">IF($A25="","",IF(P25="",0,(IF(P25="3",4,IF(P25="1",2,IF(P25="2",1,IF(P25="4",1,IF(P25="5",-1,IF(P25="A",-3,IF(P25="B",-2,IF(P25="C",-4,0)))))))))*IF(R25="",0.6,R25/5)))</f>
        <v/>
      </c>
      <c r="V25" s="26" t="str">
        <f aca="false">IF($A25="","",MAX(-10,MIN(10,S25+T25+U25)))</f>
        <v/>
      </c>
      <c r="W25" s="27" t="str">
        <f aca="false">IF($A25="","",IF(W_TIME=0,"غیرفعال (وزن صفر)","فعال"))</f>
        <v/>
      </c>
      <c r="Z25" s="30"/>
    </row>
    <row r="26" customFormat="false" ht="15" hidden="false" customHeight="false" outlineLevel="0" collapsed="false">
      <c r="A26" s="18"/>
      <c r="B26" s="19"/>
      <c r="C26" s="19"/>
      <c r="D26" s="20"/>
      <c r="E26" s="21"/>
      <c r="F26" s="22" t="str">
        <f aca="false">IF($A26="","",IFERROR(E26-B26,""))</f>
        <v/>
      </c>
      <c r="G26" s="22" t="str">
        <f aca="false">IF($A26="","",IFERROR(ROUND(F26*5/7,0),""))</f>
        <v/>
      </c>
      <c r="H26" s="23" t="str">
        <f aca="false">IF($A26="","",IFERROR(G26/D26,""))</f>
        <v/>
      </c>
      <c r="I26" s="24" t="str">
        <f aca="false">IF($A26="","",IFERROR(B26+ROUND(D26*7/5,0),""))</f>
        <v/>
      </c>
      <c r="J26" s="22" t="str">
        <f aca="false">IF($A26="","",IFERROR(I26-E26,""))</f>
        <v/>
      </c>
      <c r="K26" s="22" t="str">
        <f aca="false">IF($A26="","",IFERROR(IF(G26-INDEX($AB$5:$AB$13,MATCH(G26,$AB$5:$AB$13,1))&lt;=INDEX($AB$5:$AB$13,MIN(MATCH(G26,$AB$5:$AB$13,1)+1,9))-G26,INDEX($AB$5:$AB$13,MATCH(G26,$AB$5:$AB$13,1)),INDEX($AB$5:$AB$13,MIN(MATCH(G26,$AB$5:$AB$13,1)+1,9))),30))</f>
        <v/>
      </c>
      <c r="L26" s="22" t="str">
        <f aca="false">IF($A26="","",IFERROR(ABS(G26-K26),""))</f>
        <v/>
      </c>
      <c r="M26" s="20"/>
      <c r="N26" s="22" t="str">
        <f aca="false">IF($A26="","",IFERROR(ROUND(M26*1.618,0),""))</f>
        <v/>
      </c>
      <c r="O26" s="24" t="str">
        <f aca="false">IF($A26="","",IFERROR(C26+ROUND(N26*7/5,0),""))</f>
        <v/>
      </c>
      <c r="P26" s="25"/>
      <c r="Q26" s="25"/>
      <c r="R26" s="20"/>
      <c r="S26" s="26" t="str">
        <f aca="false">IF($A26="","",IF(OR(D26="",H26=""),0,IF(OR(H26&lt;=0.15,H26&gt;=0.9),4,IF(AND(H26&gt;=0.35,H26&lt;=0.6),-3,IF(H26&lt;0.35,2,-1)))))</f>
        <v/>
      </c>
      <c r="T26" s="26" t="str">
        <f aca="false">IF($A26="","",IF(OR(L26="",L26&gt;TIME_TOL),0,IF(S26&gt;0,2,-2)))</f>
        <v/>
      </c>
      <c r="U26" s="26" t="str">
        <f aca="false">IF($A26="","",IF(P26="",0,(IF(P26="3",4,IF(P26="1",2,IF(P26="2",1,IF(P26="4",1,IF(P26="5",-1,IF(P26="A",-3,IF(P26="B",-2,IF(P26="C",-4,0)))))))))*IF(R26="",0.6,R26/5)))</f>
        <v/>
      </c>
      <c r="V26" s="26" t="str">
        <f aca="false">IF($A26="","",MAX(-10,MIN(10,S26+T26+U26)))</f>
        <v/>
      </c>
      <c r="W26" s="27" t="str">
        <f aca="false">IF($A26="","",IF(W_TIME=0,"غیرفعال (وزن صفر)","فعال"))</f>
        <v/>
      </c>
      <c r="Z26" s="30"/>
    </row>
    <row r="27" customFormat="false" ht="15" hidden="false" customHeight="false" outlineLevel="0" collapsed="false">
      <c r="A27" s="18"/>
      <c r="B27" s="19"/>
      <c r="C27" s="19"/>
      <c r="D27" s="20"/>
      <c r="E27" s="21"/>
      <c r="F27" s="22" t="str">
        <f aca="false">IF($A27="","",IFERROR(E27-B27,""))</f>
        <v/>
      </c>
      <c r="G27" s="22" t="str">
        <f aca="false">IF($A27="","",IFERROR(ROUND(F27*5/7,0),""))</f>
        <v/>
      </c>
      <c r="H27" s="23" t="str">
        <f aca="false">IF($A27="","",IFERROR(G27/D27,""))</f>
        <v/>
      </c>
      <c r="I27" s="24" t="str">
        <f aca="false">IF($A27="","",IFERROR(B27+ROUND(D27*7/5,0),""))</f>
        <v/>
      </c>
      <c r="J27" s="22" t="str">
        <f aca="false">IF($A27="","",IFERROR(I27-E27,""))</f>
        <v/>
      </c>
      <c r="K27" s="22" t="str">
        <f aca="false">IF($A27="","",IFERROR(IF(G27-INDEX($AB$5:$AB$13,MATCH(G27,$AB$5:$AB$13,1))&lt;=INDEX($AB$5:$AB$13,MIN(MATCH(G27,$AB$5:$AB$13,1)+1,9))-G27,INDEX($AB$5:$AB$13,MATCH(G27,$AB$5:$AB$13,1)),INDEX($AB$5:$AB$13,MIN(MATCH(G27,$AB$5:$AB$13,1)+1,9))),30))</f>
        <v/>
      </c>
      <c r="L27" s="22" t="str">
        <f aca="false">IF($A27="","",IFERROR(ABS(G27-K27),""))</f>
        <v/>
      </c>
      <c r="M27" s="20"/>
      <c r="N27" s="22" t="str">
        <f aca="false">IF($A27="","",IFERROR(ROUND(M27*1.618,0),""))</f>
        <v/>
      </c>
      <c r="O27" s="24" t="str">
        <f aca="false">IF($A27="","",IFERROR(C27+ROUND(N27*7/5,0),""))</f>
        <v/>
      </c>
      <c r="P27" s="25"/>
      <c r="Q27" s="25"/>
      <c r="R27" s="20"/>
      <c r="S27" s="26" t="str">
        <f aca="false">IF($A27="","",IF(OR(D27="",H27=""),0,IF(OR(H27&lt;=0.15,H27&gt;=0.9),4,IF(AND(H27&gt;=0.35,H27&lt;=0.6),-3,IF(H27&lt;0.35,2,-1)))))</f>
        <v/>
      </c>
      <c r="T27" s="26" t="str">
        <f aca="false">IF($A27="","",IF(OR(L27="",L27&gt;TIME_TOL),0,IF(S27&gt;0,2,-2)))</f>
        <v/>
      </c>
      <c r="U27" s="26" t="str">
        <f aca="false">IF($A27="","",IF(P27="",0,(IF(P27="3",4,IF(P27="1",2,IF(P27="2",1,IF(P27="4",1,IF(P27="5",-1,IF(P27="A",-3,IF(P27="B",-2,IF(P27="C",-4,0)))))))))*IF(R27="",0.6,R27/5)))</f>
        <v/>
      </c>
      <c r="V27" s="26" t="str">
        <f aca="false">IF($A27="","",MAX(-10,MIN(10,S27+T27+U27)))</f>
        <v/>
      </c>
      <c r="W27" s="27" t="str">
        <f aca="false">IF($A27="","",IF(W_TIME=0,"غیرفعال (وزن صفر)","فعال"))</f>
        <v/>
      </c>
      <c r="Z27" s="30"/>
    </row>
    <row r="28" customFormat="false" ht="15" hidden="false" customHeight="false" outlineLevel="0" collapsed="false">
      <c r="A28" s="18"/>
      <c r="B28" s="19"/>
      <c r="C28" s="19"/>
      <c r="D28" s="20"/>
      <c r="E28" s="21"/>
      <c r="F28" s="22" t="str">
        <f aca="false">IF($A28="","",IFERROR(E28-B28,""))</f>
        <v/>
      </c>
      <c r="G28" s="22" t="str">
        <f aca="false">IF($A28="","",IFERROR(ROUND(F28*5/7,0),""))</f>
        <v/>
      </c>
      <c r="H28" s="23" t="str">
        <f aca="false">IF($A28="","",IFERROR(G28/D28,""))</f>
        <v/>
      </c>
      <c r="I28" s="24" t="str">
        <f aca="false">IF($A28="","",IFERROR(B28+ROUND(D28*7/5,0),""))</f>
        <v/>
      </c>
      <c r="J28" s="22" t="str">
        <f aca="false">IF($A28="","",IFERROR(I28-E28,""))</f>
        <v/>
      </c>
      <c r="K28" s="22" t="str">
        <f aca="false">IF($A28="","",IFERROR(IF(G28-INDEX($AB$5:$AB$13,MATCH(G28,$AB$5:$AB$13,1))&lt;=INDEX($AB$5:$AB$13,MIN(MATCH(G28,$AB$5:$AB$13,1)+1,9))-G28,INDEX($AB$5:$AB$13,MATCH(G28,$AB$5:$AB$13,1)),INDEX($AB$5:$AB$13,MIN(MATCH(G28,$AB$5:$AB$13,1)+1,9))),30))</f>
        <v/>
      </c>
      <c r="L28" s="22" t="str">
        <f aca="false">IF($A28="","",IFERROR(ABS(G28-K28),""))</f>
        <v/>
      </c>
      <c r="M28" s="20"/>
      <c r="N28" s="22" t="str">
        <f aca="false">IF($A28="","",IFERROR(ROUND(M28*1.618,0),""))</f>
        <v/>
      </c>
      <c r="O28" s="24" t="str">
        <f aca="false">IF($A28="","",IFERROR(C28+ROUND(N28*7/5,0),""))</f>
        <v/>
      </c>
      <c r="P28" s="25"/>
      <c r="Q28" s="25"/>
      <c r="R28" s="20"/>
      <c r="S28" s="26" t="str">
        <f aca="false">IF($A28="","",IF(OR(D28="",H28=""),0,IF(OR(H28&lt;=0.15,H28&gt;=0.9),4,IF(AND(H28&gt;=0.35,H28&lt;=0.6),-3,IF(H28&lt;0.35,2,-1)))))</f>
        <v/>
      </c>
      <c r="T28" s="26" t="str">
        <f aca="false">IF($A28="","",IF(OR(L28="",L28&gt;TIME_TOL),0,IF(S28&gt;0,2,-2)))</f>
        <v/>
      </c>
      <c r="U28" s="26" t="str">
        <f aca="false">IF($A28="","",IF(P28="",0,(IF(P28="3",4,IF(P28="1",2,IF(P28="2",1,IF(P28="4",1,IF(P28="5",-1,IF(P28="A",-3,IF(P28="B",-2,IF(P28="C",-4,0)))))))))*IF(R28="",0.6,R28/5)))</f>
        <v/>
      </c>
      <c r="V28" s="26" t="str">
        <f aca="false">IF($A28="","",MAX(-10,MIN(10,S28+T28+U28)))</f>
        <v/>
      </c>
      <c r="W28" s="27" t="str">
        <f aca="false">IF($A28="","",IF(W_TIME=0,"غیرفعال (وزن صفر)","فعال"))</f>
        <v/>
      </c>
      <c r="Z28" s="30"/>
    </row>
    <row r="29" customFormat="false" ht="15" hidden="false" customHeight="false" outlineLevel="0" collapsed="false">
      <c r="A29" s="18"/>
      <c r="B29" s="19"/>
      <c r="C29" s="19"/>
      <c r="D29" s="20"/>
      <c r="E29" s="21"/>
      <c r="F29" s="22" t="str">
        <f aca="false">IF($A29="","",IFERROR(E29-B29,""))</f>
        <v/>
      </c>
      <c r="G29" s="22" t="str">
        <f aca="false">IF($A29="","",IFERROR(ROUND(F29*5/7,0),""))</f>
        <v/>
      </c>
      <c r="H29" s="23" t="str">
        <f aca="false">IF($A29="","",IFERROR(G29/D29,""))</f>
        <v/>
      </c>
      <c r="I29" s="24" t="str">
        <f aca="false">IF($A29="","",IFERROR(B29+ROUND(D29*7/5,0),""))</f>
        <v/>
      </c>
      <c r="J29" s="22" t="str">
        <f aca="false">IF($A29="","",IFERROR(I29-E29,""))</f>
        <v/>
      </c>
      <c r="K29" s="22" t="str">
        <f aca="false">IF($A29="","",IFERROR(IF(G29-INDEX($AB$5:$AB$13,MATCH(G29,$AB$5:$AB$13,1))&lt;=INDEX($AB$5:$AB$13,MIN(MATCH(G29,$AB$5:$AB$13,1)+1,9))-G29,INDEX($AB$5:$AB$13,MATCH(G29,$AB$5:$AB$13,1)),INDEX($AB$5:$AB$13,MIN(MATCH(G29,$AB$5:$AB$13,1)+1,9))),30))</f>
        <v/>
      </c>
      <c r="L29" s="22" t="str">
        <f aca="false">IF($A29="","",IFERROR(ABS(G29-K29),""))</f>
        <v/>
      </c>
      <c r="M29" s="20"/>
      <c r="N29" s="22" t="str">
        <f aca="false">IF($A29="","",IFERROR(ROUND(M29*1.618,0),""))</f>
        <v/>
      </c>
      <c r="O29" s="24" t="str">
        <f aca="false">IF($A29="","",IFERROR(C29+ROUND(N29*7/5,0),""))</f>
        <v/>
      </c>
      <c r="P29" s="25"/>
      <c r="Q29" s="25"/>
      <c r="R29" s="20"/>
      <c r="S29" s="26" t="str">
        <f aca="false">IF($A29="","",IF(OR(D29="",H29=""),0,IF(OR(H29&lt;=0.15,H29&gt;=0.9),4,IF(AND(H29&gt;=0.35,H29&lt;=0.6),-3,IF(H29&lt;0.35,2,-1)))))</f>
        <v/>
      </c>
      <c r="T29" s="26" t="str">
        <f aca="false">IF($A29="","",IF(OR(L29="",L29&gt;TIME_TOL),0,IF(S29&gt;0,2,-2)))</f>
        <v/>
      </c>
      <c r="U29" s="26" t="str">
        <f aca="false">IF($A29="","",IF(P29="",0,(IF(P29="3",4,IF(P29="1",2,IF(P29="2",1,IF(P29="4",1,IF(P29="5",-1,IF(P29="A",-3,IF(P29="B",-2,IF(P29="C",-4,0)))))))))*IF(R29="",0.6,R29/5)))</f>
        <v/>
      </c>
      <c r="V29" s="26" t="str">
        <f aca="false">IF($A29="","",MAX(-10,MIN(10,S29+T29+U29)))</f>
        <v/>
      </c>
      <c r="W29" s="27" t="str">
        <f aca="false">IF($A29="","",IF(W_TIME=0,"غیرفعال (وزن صفر)","فعال"))</f>
        <v/>
      </c>
      <c r="Z29" s="30"/>
    </row>
    <row r="30" customFormat="false" ht="15" hidden="false" customHeight="false" outlineLevel="0" collapsed="false">
      <c r="A30" s="18"/>
      <c r="B30" s="19"/>
      <c r="C30" s="19"/>
      <c r="D30" s="20"/>
      <c r="E30" s="21"/>
      <c r="F30" s="22" t="str">
        <f aca="false">IF($A30="","",IFERROR(E30-B30,""))</f>
        <v/>
      </c>
      <c r="G30" s="22" t="str">
        <f aca="false">IF($A30="","",IFERROR(ROUND(F30*5/7,0),""))</f>
        <v/>
      </c>
      <c r="H30" s="23" t="str">
        <f aca="false">IF($A30="","",IFERROR(G30/D30,""))</f>
        <v/>
      </c>
      <c r="I30" s="24" t="str">
        <f aca="false">IF($A30="","",IFERROR(B30+ROUND(D30*7/5,0),""))</f>
        <v/>
      </c>
      <c r="J30" s="22" t="str">
        <f aca="false">IF($A30="","",IFERROR(I30-E30,""))</f>
        <v/>
      </c>
      <c r="K30" s="22" t="str">
        <f aca="false">IF($A30="","",IFERROR(IF(G30-INDEX($AB$5:$AB$13,MATCH(G30,$AB$5:$AB$13,1))&lt;=INDEX($AB$5:$AB$13,MIN(MATCH(G30,$AB$5:$AB$13,1)+1,9))-G30,INDEX($AB$5:$AB$13,MATCH(G30,$AB$5:$AB$13,1)),INDEX($AB$5:$AB$13,MIN(MATCH(G30,$AB$5:$AB$13,1)+1,9))),30))</f>
        <v/>
      </c>
      <c r="L30" s="22" t="str">
        <f aca="false">IF($A30="","",IFERROR(ABS(G30-K30),""))</f>
        <v/>
      </c>
      <c r="M30" s="20"/>
      <c r="N30" s="22" t="str">
        <f aca="false">IF($A30="","",IFERROR(ROUND(M30*1.618,0),""))</f>
        <v/>
      </c>
      <c r="O30" s="24" t="str">
        <f aca="false">IF($A30="","",IFERROR(C30+ROUND(N30*7/5,0),""))</f>
        <v/>
      </c>
      <c r="P30" s="25"/>
      <c r="Q30" s="25"/>
      <c r="R30" s="20"/>
      <c r="S30" s="26" t="str">
        <f aca="false">IF($A30="","",IF(OR(D30="",H30=""),0,IF(OR(H30&lt;=0.15,H30&gt;=0.9),4,IF(AND(H30&gt;=0.35,H30&lt;=0.6),-3,IF(H30&lt;0.35,2,-1)))))</f>
        <v/>
      </c>
      <c r="T30" s="26" t="str">
        <f aca="false">IF($A30="","",IF(OR(L30="",L30&gt;TIME_TOL),0,IF(S30&gt;0,2,-2)))</f>
        <v/>
      </c>
      <c r="U30" s="26" t="str">
        <f aca="false">IF($A30="","",IF(P30="",0,(IF(P30="3",4,IF(P30="1",2,IF(P30="2",1,IF(P30="4",1,IF(P30="5",-1,IF(P30="A",-3,IF(P30="B",-2,IF(P30="C",-4,0)))))))))*IF(R30="",0.6,R30/5)))</f>
        <v/>
      </c>
      <c r="V30" s="26" t="str">
        <f aca="false">IF($A30="","",MAX(-10,MIN(10,S30+T30+U30)))</f>
        <v/>
      </c>
      <c r="W30" s="27" t="str">
        <f aca="false">IF($A30="","",IF(W_TIME=0,"غیرفعال (وزن صفر)","فعال"))</f>
        <v/>
      </c>
      <c r="Z30" s="30"/>
    </row>
    <row r="31" customFormat="false" ht="15" hidden="false" customHeight="false" outlineLevel="0" collapsed="false">
      <c r="A31" s="18"/>
      <c r="B31" s="19"/>
      <c r="C31" s="19"/>
      <c r="D31" s="20"/>
      <c r="E31" s="21"/>
      <c r="F31" s="22" t="str">
        <f aca="false">IF($A31="","",IFERROR(E31-B31,""))</f>
        <v/>
      </c>
      <c r="G31" s="22" t="str">
        <f aca="false">IF($A31="","",IFERROR(ROUND(F31*5/7,0),""))</f>
        <v/>
      </c>
      <c r="H31" s="23" t="str">
        <f aca="false">IF($A31="","",IFERROR(G31/D31,""))</f>
        <v/>
      </c>
      <c r="I31" s="24" t="str">
        <f aca="false">IF($A31="","",IFERROR(B31+ROUND(D31*7/5,0),""))</f>
        <v/>
      </c>
      <c r="J31" s="22" t="str">
        <f aca="false">IF($A31="","",IFERROR(I31-E31,""))</f>
        <v/>
      </c>
      <c r="K31" s="22" t="str">
        <f aca="false">IF($A31="","",IFERROR(IF(G31-INDEX($AB$5:$AB$13,MATCH(G31,$AB$5:$AB$13,1))&lt;=INDEX($AB$5:$AB$13,MIN(MATCH(G31,$AB$5:$AB$13,1)+1,9))-G31,INDEX($AB$5:$AB$13,MATCH(G31,$AB$5:$AB$13,1)),INDEX($AB$5:$AB$13,MIN(MATCH(G31,$AB$5:$AB$13,1)+1,9))),30))</f>
        <v/>
      </c>
      <c r="L31" s="22" t="str">
        <f aca="false">IF($A31="","",IFERROR(ABS(G31-K31),""))</f>
        <v/>
      </c>
      <c r="M31" s="20"/>
      <c r="N31" s="22" t="str">
        <f aca="false">IF($A31="","",IFERROR(ROUND(M31*1.618,0),""))</f>
        <v/>
      </c>
      <c r="O31" s="24" t="str">
        <f aca="false">IF($A31="","",IFERROR(C31+ROUND(N31*7/5,0),""))</f>
        <v/>
      </c>
      <c r="P31" s="25"/>
      <c r="Q31" s="25"/>
      <c r="R31" s="20"/>
      <c r="S31" s="26" t="str">
        <f aca="false">IF($A31="","",IF(OR(D31="",H31=""),0,IF(OR(H31&lt;=0.15,H31&gt;=0.9),4,IF(AND(H31&gt;=0.35,H31&lt;=0.6),-3,IF(H31&lt;0.35,2,-1)))))</f>
        <v/>
      </c>
      <c r="T31" s="26" t="str">
        <f aca="false">IF($A31="","",IF(OR(L31="",L31&gt;TIME_TOL),0,IF(S31&gt;0,2,-2)))</f>
        <v/>
      </c>
      <c r="U31" s="26" t="str">
        <f aca="false">IF($A31="","",IF(P31="",0,(IF(P31="3",4,IF(P31="1",2,IF(P31="2",1,IF(P31="4",1,IF(P31="5",-1,IF(P31="A",-3,IF(P31="B",-2,IF(P31="C",-4,0)))))))))*IF(R31="",0.6,R31/5)))</f>
        <v/>
      </c>
      <c r="V31" s="26" t="str">
        <f aca="false">IF($A31="","",MAX(-10,MIN(10,S31+T31+U31)))</f>
        <v/>
      </c>
      <c r="W31" s="27" t="str">
        <f aca="false">IF($A31="","",IF(W_TIME=0,"غیرفعال (وزن صفر)","فعال"))</f>
        <v/>
      </c>
      <c r="Z31" s="30"/>
    </row>
    <row r="32" customFormat="false" ht="15" hidden="false" customHeight="false" outlineLevel="0" collapsed="false">
      <c r="A32" s="18"/>
      <c r="B32" s="19"/>
      <c r="C32" s="19"/>
      <c r="D32" s="20"/>
      <c r="E32" s="21"/>
      <c r="F32" s="22" t="str">
        <f aca="false">IF($A32="","",IFERROR(E32-B32,""))</f>
        <v/>
      </c>
      <c r="G32" s="22" t="str">
        <f aca="false">IF($A32="","",IFERROR(ROUND(F32*5/7,0),""))</f>
        <v/>
      </c>
      <c r="H32" s="23" t="str">
        <f aca="false">IF($A32="","",IFERROR(G32/D32,""))</f>
        <v/>
      </c>
      <c r="I32" s="24" t="str">
        <f aca="false">IF($A32="","",IFERROR(B32+ROUND(D32*7/5,0),""))</f>
        <v/>
      </c>
      <c r="J32" s="22" t="str">
        <f aca="false">IF($A32="","",IFERROR(I32-E32,""))</f>
        <v/>
      </c>
      <c r="K32" s="22" t="str">
        <f aca="false">IF($A32="","",IFERROR(IF(G32-INDEX($AB$5:$AB$13,MATCH(G32,$AB$5:$AB$13,1))&lt;=INDEX($AB$5:$AB$13,MIN(MATCH(G32,$AB$5:$AB$13,1)+1,9))-G32,INDEX($AB$5:$AB$13,MATCH(G32,$AB$5:$AB$13,1)),INDEX($AB$5:$AB$13,MIN(MATCH(G32,$AB$5:$AB$13,1)+1,9))),30))</f>
        <v/>
      </c>
      <c r="L32" s="22" t="str">
        <f aca="false">IF($A32="","",IFERROR(ABS(G32-K32),""))</f>
        <v/>
      </c>
      <c r="M32" s="20"/>
      <c r="N32" s="22" t="str">
        <f aca="false">IF($A32="","",IFERROR(ROUND(M32*1.618,0),""))</f>
        <v/>
      </c>
      <c r="O32" s="24" t="str">
        <f aca="false">IF($A32="","",IFERROR(C32+ROUND(N32*7/5,0),""))</f>
        <v/>
      </c>
      <c r="P32" s="25"/>
      <c r="Q32" s="25"/>
      <c r="R32" s="20"/>
      <c r="S32" s="26" t="str">
        <f aca="false">IF($A32="","",IF(OR(D32="",H32=""),0,IF(OR(H32&lt;=0.15,H32&gt;=0.9),4,IF(AND(H32&gt;=0.35,H32&lt;=0.6),-3,IF(H32&lt;0.35,2,-1)))))</f>
        <v/>
      </c>
      <c r="T32" s="26" t="str">
        <f aca="false">IF($A32="","",IF(OR(L32="",L32&gt;TIME_TOL),0,IF(S32&gt;0,2,-2)))</f>
        <v/>
      </c>
      <c r="U32" s="26" t="str">
        <f aca="false">IF($A32="","",IF(P32="",0,(IF(P32="3",4,IF(P32="1",2,IF(P32="2",1,IF(P32="4",1,IF(P32="5",-1,IF(P32="A",-3,IF(P32="B",-2,IF(P32="C",-4,0)))))))))*IF(R32="",0.6,R32/5)))</f>
        <v/>
      </c>
      <c r="V32" s="26" t="str">
        <f aca="false">IF($A32="","",MAX(-10,MIN(10,S32+T32+U32)))</f>
        <v/>
      </c>
      <c r="W32" s="27" t="str">
        <f aca="false">IF($A32="","",IF(W_TIME=0,"غیرفعال (وزن صفر)","فعال"))</f>
        <v/>
      </c>
      <c r="Z32" s="30"/>
    </row>
    <row r="33" customFormat="false" ht="15" hidden="false" customHeight="false" outlineLevel="0" collapsed="false">
      <c r="A33" s="18"/>
      <c r="B33" s="19"/>
      <c r="C33" s="19"/>
      <c r="D33" s="20"/>
      <c r="E33" s="21"/>
      <c r="F33" s="22" t="str">
        <f aca="false">IF($A33="","",IFERROR(E33-B33,""))</f>
        <v/>
      </c>
      <c r="G33" s="22" t="str">
        <f aca="false">IF($A33="","",IFERROR(ROUND(F33*5/7,0),""))</f>
        <v/>
      </c>
      <c r="H33" s="23" t="str">
        <f aca="false">IF($A33="","",IFERROR(G33/D33,""))</f>
        <v/>
      </c>
      <c r="I33" s="24" t="str">
        <f aca="false">IF($A33="","",IFERROR(B33+ROUND(D33*7/5,0),""))</f>
        <v/>
      </c>
      <c r="J33" s="22" t="str">
        <f aca="false">IF($A33="","",IFERROR(I33-E33,""))</f>
        <v/>
      </c>
      <c r="K33" s="22" t="str">
        <f aca="false">IF($A33="","",IFERROR(IF(G33-INDEX($AB$5:$AB$13,MATCH(G33,$AB$5:$AB$13,1))&lt;=INDEX($AB$5:$AB$13,MIN(MATCH(G33,$AB$5:$AB$13,1)+1,9))-G33,INDEX($AB$5:$AB$13,MATCH(G33,$AB$5:$AB$13,1)),INDEX($AB$5:$AB$13,MIN(MATCH(G33,$AB$5:$AB$13,1)+1,9))),30))</f>
        <v/>
      </c>
      <c r="L33" s="22" t="str">
        <f aca="false">IF($A33="","",IFERROR(ABS(G33-K33),""))</f>
        <v/>
      </c>
      <c r="M33" s="20"/>
      <c r="N33" s="22" t="str">
        <f aca="false">IF($A33="","",IFERROR(ROUND(M33*1.618,0),""))</f>
        <v/>
      </c>
      <c r="O33" s="24" t="str">
        <f aca="false">IF($A33="","",IFERROR(C33+ROUND(N33*7/5,0),""))</f>
        <v/>
      </c>
      <c r="P33" s="25"/>
      <c r="Q33" s="25"/>
      <c r="R33" s="20"/>
      <c r="S33" s="26" t="str">
        <f aca="false">IF($A33="","",IF(OR(D33="",H33=""),0,IF(OR(H33&lt;=0.15,H33&gt;=0.9),4,IF(AND(H33&gt;=0.35,H33&lt;=0.6),-3,IF(H33&lt;0.35,2,-1)))))</f>
        <v/>
      </c>
      <c r="T33" s="26" t="str">
        <f aca="false">IF($A33="","",IF(OR(L33="",L33&gt;TIME_TOL),0,IF(S33&gt;0,2,-2)))</f>
        <v/>
      </c>
      <c r="U33" s="26" t="str">
        <f aca="false">IF($A33="","",IF(P33="",0,(IF(P33="3",4,IF(P33="1",2,IF(P33="2",1,IF(P33="4",1,IF(P33="5",-1,IF(P33="A",-3,IF(P33="B",-2,IF(P33="C",-4,0)))))))))*IF(R33="",0.6,R33/5)))</f>
        <v/>
      </c>
      <c r="V33" s="26" t="str">
        <f aca="false">IF($A33="","",MAX(-10,MIN(10,S33+T33+U33)))</f>
        <v/>
      </c>
      <c r="W33" s="27" t="str">
        <f aca="false">IF($A33="","",IF(W_TIME=0,"غیرفعال (وزن صفر)","فعال"))</f>
        <v/>
      </c>
      <c r="Z33" s="30"/>
    </row>
    <row r="34" customFormat="false" ht="15" hidden="false" customHeight="false" outlineLevel="0" collapsed="false">
      <c r="A34" s="18"/>
      <c r="B34" s="19"/>
      <c r="C34" s="19"/>
      <c r="D34" s="20"/>
      <c r="E34" s="21"/>
      <c r="F34" s="22" t="str">
        <f aca="false">IF($A34="","",IFERROR(E34-B34,""))</f>
        <v/>
      </c>
      <c r="G34" s="22" t="str">
        <f aca="false">IF($A34="","",IFERROR(ROUND(F34*5/7,0),""))</f>
        <v/>
      </c>
      <c r="H34" s="23" t="str">
        <f aca="false">IF($A34="","",IFERROR(G34/D34,""))</f>
        <v/>
      </c>
      <c r="I34" s="24" t="str">
        <f aca="false">IF($A34="","",IFERROR(B34+ROUND(D34*7/5,0),""))</f>
        <v/>
      </c>
      <c r="J34" s="22" t="str">
        <f aca="false">IF($A34="","",IFERROR(I34-E34,""))</f>
        <v/>
      </c>
      <c r="K34" s="22" t="str">
        <f aca="false">IF($A34="","",IFERROR(IF(G34-INDEX($AB$5:$AB$13,MATCH(G34,$AB$5:$AB$13,1))&lt;=INDEX($AB$5:$AB$13,MIN(MATCH(G34,$AB$5:$AB$13,1)+1,9))-G34,INDEX($AB$5:$AB$13,MATCH(G34,$AB$5:$AB$13,1)),INDEX($AB$5:$AB$13,MIN(MATCH(G34,$AB$5:$AB$13,1)+1,9))),30))</f>
        <v/>
      </c>
      <c r="L34" s="22" t="str">
        <f aca="false">IF($A34="","",IFERROR(ABS(G34-K34),""))</f>
        <v/>
      </c>
      <c r="M34" s="20"/>
      <c r="N34" s="22" t="str">
        <f aca="false">IF($A34="","",IFERROR(ROUND(M34*1.618,0),""))</f>
        <v/>
      </c>
      <c r="O34" s="24" t="str">
        <f aca="false">IF($A34="","",IFERROR(C34+ROUND(N34*7/5,0),""))</f>
        <v/>
      </c>
      <c r="P34" s="25"/>
      <c r="Q34" s="25"/>
      <c r="R34" s="20"/>
      <c r="S34" s="26" t="str">
        <f aca="false">IF($A34="","",IF(OR(D34="",H34=""),0,IF(OR(H34&lt;=0.15,H34&gt;=0.9),4,IF(AND(H34&gt;=0.35,H34&lt;=0.6),-3,IF(H34&lt;0.35,2,-1)))))</f>
        <v/>
      </c>
      <c r="T34" s="26" t="str">
        <f aca="false">IF($A34="","",IF(OR(L34="",L34&gt;TIME_TOL),0,IF(S34&gt;0,2,-2)))</f>
        <v/>
      </c>
      <c r="U34" s="26" t="str">
        <f aca="false">IF($A34="","",IF(P34="",0,(IF(P34="3",4,IF(P34="1",2,IF(P34="2",1,IF(P34="4",1,IF(P34="5",-1,IF(P34="A",-3,IF(P34="B",-2,IF(P34="C",-4,0)))))))))*IF(R34="",0.6,R34/5)))</f>
        <v/>
      </c>
      <c r="V34" s="26" t="str">
        <f aca="false">IF($A34="","",MAX(-10,MIN(10,S34+T34+U34)))</f>
        <v/>
      </c>
      <c r="W34" s="27" t="str">
        <f aca="false">IF($A34="","",IF(W_TIME=0,"غیرفعال (وزن صفر)","فعال"))</f>
        <v/>
      </c>
      <c r="Z34" s="30"/>
    </row>
    <row r="35" customFormat="false" ht="15" hidden="false" customHeight="false" outlineLevel="0" collapsed="false">
      <c r="A35" s="18"/>
      <c r="B35" s="19"/>
      <c r="C35" s="19"/>
      <c r="D35" s="20"/>
      <c r="E35" s="21"/>
      <c r="F35" s="22" t="str">
        <f aca="false">IF($A35="","",IFERROR(E35-B35,""))</f>
        <v/>
      </c>
      <c r="G35" s="22" t="str">
        <f aca="false">IF($A35="","",IFERROR(ROUND(F35*5/7,0),""))</f>
        <v/>
      </c>
      <c r="H35" s="23" t="str">
        <f aca="false">IF($A35="","",IFERROR(G35/D35,""))</f>
        <v/>
      </c>
      <c r="I35" s="24" t="str">
        <f aca="false">IF($A35="","",IFERROR(B35+ROUND(D35*7/5,0),""))</f>
        <v/>
      </c>
      <c r="J35" s="22" t="str">
        <f aca="false">IF($A35="","",IFERROR(I35-E35,""))</f>
        <v/>
      </c>
      <c r="K35" s="22" t="str">
        <f aca="false">IF($A35="","",IFERROR(IF(G35-INDEX($AB$5:$AB$13,MATCH(G35,$AB$5:$AB$13,1))&lt;=INDEX($AB$5:$AB$13,MIN(MATCH(G35,$AB$5:$AB$13,1)+1,9))-G35,INDEX($AB$5:$AB$13,MATCH(G35,$AB$5:$AB$13,1)),INDEX($AB$5:$AB$13,MIN(MATCH(G35,$AB$5:$AB$13,1)+1,9))),30))</f>
        <v/>
      </c>
      <c r="L35" s="22" t="str">
        <f aca="false">IF($A35="","",IFERROR(ABS(G35-K35),""))</f>
        <v/>
      </c>
      <c r="M35" s="20"/>
      <c r="N35" s="22" t="str">
        <f aca="false">IF($A35="","",IFERROR(ROUND(M35*1.618,0),""))</f>
        <v/>
      </c>
      <c r="O35" s="24" t="str">
        <f aca="false">IF($A35="","",IFERROR(C35+ROUND(N35*7/5,0),""))</f>
        <v/>
      </c>
      <c r="P35" s="25"/>
      <c r="Q35" s="25"/>
      <c r="R35" s="20"/>
      <c r="S35" s="26" t="str">
        <f aca="false">IF($A35="","",IF(OR(D35="",H35=""),0,IF(OR(H35&lt;=0.15,H35&gt;=0.9),4,IF(AND(H35&gt;=0.35,H35&lt;=0.6),-3,IF(H35&lt;0.35,2,-1)))))</f>
        <v/>
      </c>
      <c r="T35" s="26" t="str">
        <f aca="false">IF($A35="","",IF(OR(L35="",L35&gt;TIME_TOL),0,IF(S35&gt;0,2,-2)))</f>
        <v/>
      </c>
      <c r="U35" s="26" t="str">
        <f aca="false">IF($A35="","",IF(P35="",0,(IF(P35="3",4,IF(P35="1",2,IF(P35="2",1,IF(P35="4",1,IF(P35="5",-1,IF(P35="A",-3,IF(P35="B",-2,IF(P35="C",-4,0)))))))))*IF(R35="",0.6,R35/5)))</f>
        <v/>
      </c>
      <c r="V35" s="26" t="str">
        <f aca="false">IF($A35="","",MAX(-10,MIN(10,S35+T35+U35)))</f>
        <v/>
      </c>
      <c r="W35" s="27" t="str">
        <f aca="false">IF($A35="","",IF(W_TIME=0,"غیرفعال (وزن صفر)","فعال"))</f>
        <v/>
      </c>
      <c r="Z35" s="30"/>
    </row>
    <row r="36" customFormat="false" ht="15" hidden="false" customHeight="false" outlineLevel="0" collapsed="false">
      <c r="A36" s="18"/>
      <c r="B36" s="19"/>
      <c r="C36" s="19"/>
      <c r="D36" s="20"/>
      <c r="E36" s="21"/>
      <c r="F36" s="22" t="str">
        <f aca="false">IF($A36="","",IFERROR(E36-B36,""))</f>
        <v/>
      </c>
      <c r="G36" s="22" t="str">
        <f aca="false">IF($A36="","",IFERROR(ROUND(F36*5/7,0),""))</f>
        <v/>
      </c>
      <c r="H36" s="23" t="str">
        <f aca="false">IF($A36="","",IFERROR(G36/D36,""))</f>
        <v/>
      </c>
      <c r="I36" s="24" t="str">
        <f aca="false">IF($A36="","",IFERROR(B36+ROUND(D36*7/5,0),""))</f>
        <v/>
      </c>
      <c r="J36" s="22" t="str">
        <f aca="false">IF($A36="","",IFERROR(I36-E36,""))</f>
        <v/>
      </c>
      <c r="K36" s="22" t="str">
        <f aca="false">IF($A36="","",IFERROR(IF(G36-INDEX($AB$5:$AB$13,MATCH(G36,$AB$5:$AB$13,1))&lt;=INDEX($AB$5:$AB$13,MIN(MATCH(G36,$AB$5:$AB$13,1)+1,9))-G36,INDEX($AB$5:$AB$13,MATCH(G36,$AB$5:$AB$13,1)),INDEX($AB$5:$AB$13,MIN(MATCH(G36,$AB$5:$AB$13,1)+1,9))),30))</f>
        <v/>
      </c>
      <c r="L36" s="22" t="str">
        <f aca="false">IF($A36="","",IFERROR(ABS(G36-K36),""))</f>
        <v/>
      </c>
      <c r="M36" s="20"/>
      <c r="N36" s="22" t="str">
        <f aca="false">IF($A36="","",IFERROR(ROUND(M36*1.618,0),""))</f>
        <v/>
      </c>
      <c r="O36" s="24" t="str">
        <f aca="false">IF($A36="","",IFERROR(C36+ROUND(N36*7/5,0),""))</f>
        <v/>
      </c>
      <c r="P36" s="25"/>
      <c r="Q36" s="25"/>
      <c r="R36" s="20"/>
      <c r="S36" s="26" t="str">
        <f aca="false">IF($A36="","",IF(OR(D36="",H36=""),0,IF(OR(H36&lt;=0.15,H36&gt;=0.9),4,IF(AND(H36&gt;=0.35,H36&lt;=0.6),-3,IF(H36&lt;0.35,2,-1)))))</f>
        <v/>
      </c>
      <c r="T36" s="26" t="str">
        <f aca="false">IF($A36="","",IF(OR(L36="",L36&gt;TIME_TOL),0,IF(S36&gt;0,2,-2)))</f>
        <v/>
      </c>
      <c r="U36" s="26" t="str">
        <f aca="false">IF($A36="","",IF(P36="",0,(IF(P36="3",4,IF(P36="1",2,IF(P36="2",1,IF(P36="4",1,IF(P36="5",-1,IF(P36="A",-3,IF(P36="B",-2,IF(P36="C",-4,0)))))))))*IF(R36="",0.6,R36/5)))</f>
        <v/>
      </c>
      <c r="V36" s="26" t="str">
        <f aca="false">IF($A36="","",MAX(-10,MIN(10,S36+T36+U36)))</f>
        <v/>
      </c>
      <c r="W36" s="27" t="str">
        <f aca="false">IF($A36="","",IF(W_TIME=0,"غیرفعال (وزن صفر)","فعال"))</f>
        <v/>
      </c>
      <c r="Z36" s="30"/>
    </row>
    <row r="37" customFormat="false" ht="15" hidden="false" customHeight="false" outlineLevel="0" collapsed="false">
      <c r="A37" s="18"/>
      <c r="B37" s="19"/>
      <c r="C37" s="19"/>
      <c r="D37" s="20"/>
      <c r="E37" s="21"/>
      <c r="F37" s="22" t="str">
        <f aca="false">IF($A37="","",IFERROR(E37-B37,""))</f>
        <v/>
      </c>
      <c r="G37" s="22" t="str">
        <f aca="false">IF($A37="","",IFERROR(ROUND(F37*5/7,0),""))</f>
        <v/>
      </c>
      <c r="H37" s="23" t="str">
        <f aca="false">IF($A37="","",IFERROR(G37/D37,""))</f>
        <v/>
      </c>
      <c r="I37" s="24" t="str">
        <f aca="false">IF($A37="","",IFERROR(B37+ROUND(D37*7/5,0),""))</f>
        <v/>
      </c>
      <c r="J37" s="22" t="str">
        <f aca="false">IF($A37="","",IFERROR(I37-E37,""))</f>
        <v/>
      </c>
      <c r="K37" s="22" t="str">
        <f aca="false">IF($A37="","",IFERROR(IF(G37-INDEX($AB$5:$AB$13,MATCH(G37,$AB$5:$AB$13,1))&lt;=INDEX($AB$5:$AB$13,MIN(MATCH(G37,$AB$5:$AB$13,1)+1,9))-G37,INDEX($AB$5:$AB$13,MATCH(G37,$AB$5:$AB$13,1)),INDEX($AB$5:$AB$13,MIN(MATCH(G37,$AB$5:$AB$13,1)+1,9))),30))</f>
        <v/>
      </c>
      <c r="L37" s="22" t="str">
        <f aca="false">IF($A37="","",IFERROR(ABS(G37-K37),""))</f>
        <v/>
      </c>
      <c r="M37" s="20"/>
      <c r="N37" s="22" t="str">
        <f aca="false">IF($A37="","",IFERROR(ROUND(M37*1.618,0),""))</f>
        <v/>
      </c>
      <c r="O37" s="24" t="str">
        <f aca="false">IF($A37="","",IFERROR(C37+ROUND(N37*7/5,0),""))</f>
        <v/>
      </c>
      <c r="P37" s="25"/>
      <c r="Q37" s="25"/>
      <c r="R37" s="20"/>
      <c r="S37" s="26" t="str">
        <f aca="false">IF($A37="","",IF(OR(D37="",H37=""),0,IF(OR(H37&lt;=0.15,H37&gt;=0.9),4,IF(AND(H37&gt;=0.35,H37&lt;=0.6),-3,IF(H37&lt;0.35,2,-1)))))</f>
        <v/>
      </c>
      <c r="T37" s="26" t="str">
        <f aca="false">IF($A37="","",IF(OR(L37="",L37&gt;TIME_TOL),0,IF(S37&gt;0,2,-2)))</f>
        <v/>
      </c>
      <c r="U37" s="26" t="str">
        <f aca="false">IF($A37="","",IF(P37="",0,(IF(P37="3",4,IF(P37="1",2,IF(P37="2",1,IF(P37="4",1,IF(P37="5",-1,IF(P37="A",-3,IF(P37="B",-2,IF(P37="C",-4,0)))))))))*IF(R37="",0.6,R37/5)))</f>
        <v/>
      </c>
      <c r="V37" s="26" t="str">
        <f aca="false">IF($A37="","",MAX(-10,MIN(10,S37+T37+U37)))</f>
        <v/>
      </c>
      <c r="W37" s="27" t="str">
        <f aca="false">IF($A37="","",IF(W_TIME=0,"غیرفعال (وزن صفر)","فعال"))</f>
        <v/>
      </c>
      <c r="Z37" s="30"/>
    </row>
    <row r="38" customFormat="false" ht="15" hidden="false" customHeight="false" outlineLevel="0" collapsed="false">
      <c r="A38" s="18"/>
      <c r="B38" s="19"/>
      <c r="C38" s="19"/>
      <c r="D38" s="20"/>
      <c r="E38" s="21"/>
      <c r="F38" s="22" t="str">
        <f aca="false">IF($A38="","",IFERROR(E38-B38,""))</f>
        <v/>
      </c>
      <c r="G38" s="22" t="str">
        <f aca="false">IF($A38="","",IFERROR(ROUND(F38*5/7,0),""))</f>
        <v/>
      </c>
      <c r="H38" s="23" t="str">
        <f aca="false">IF($A38="","",IFERROR(G38/D38,""))</f>
        <v/>
      </c>
      <c r="I38" s="24" t="str">
        <f aca="false">IF($A38="","",IFERROR(B38+ROUND(D38*7/5,0),""))</f>
        <v/>
      </c>
      <c r="J38" s="22" t="str">
        <f aca="false">IF($A38="","",IFERROR(I38-E38,""))</f>
        <v/>
      </c>
      <c r="K38" s="22" t="str">
        <f aca="false">IF($A38="","",IFERROR(IF(G38-INDEX($AB$5:$AB$13,MATCH(G38,$AB$5:$AB$13,1))&lt;=INDEX($AB$5:$AB$13,MIN(MATCH(G38,$AB$5:$AB$13,1)+1,9))-G38,INDEX($AB$5:$AB$13,MATCH(G38,$AB$5:$AB$13,1)),INDEX($AB$5:$AB$13,MIN(MATCH(G38,$AB$5:$AB$13,1)+1,9))),30))</f>
        <v/>
      </c>
      <c r="L38" s="22" t="str">
        <f aca="false">IF($A38="","",IFERROR(ABS(G38-K38),""))</f>
        <v/>
      </c>
      <c r="M38" s="20"/>
      <c r="N38" s="22" t="str">
        <f aca="false">IF($A38="","",IFERROR(ROUND(M38*1.618,0),""))</f>
        <v/>
      </c>
      <c r="O38" s="24" t="str">
        <f aca="false">IF($A38="","",IFERROR(C38+ROUND(N38*7/5,0),""))</f>
        <v/>
      </c>
      <c r="P38" s="25"/>
      <c r="Q38" s="25"/>
      <c r="R38" s="20"/>
      <c r="S38" s="26" t="str">
        <f aca="false">IF($A38="","",IF(OR(D38="",H38=""),0,IF(OR(H38&lt;=0.15,H38&gt;=0.9),4,IF(AND(H38&gt;=0.35,H38&lt;=0.6),-3,IF(H38&lt;0.35,2,-1)))))</f>
        <v/>
      </c>
      <c r="T38" s="26" t="str">
        <f aca="false">IF($A38="","",IF(OR(L38="",L38&gt;TIME_TOL),0,IF(S38&gt;0,2,-2)))</f>
        <v/>
      </c>
      <c r="U38" s="26" t="str">
        <f aca="false">IF($A38="","",IF(P38="",0,(IF(P38="3",4,IF(P38="1",2,IF(P38="2",1,IF(P38="4",1,IF(P38="5",-1,IF(P38="A",-3,IF(P38="B",-2,IF(P38="C",-4,0)))))))))*IF(R38="",0.6,R38/5)))</f>
        <v/>
      </c>
      <c r="V38" s="26" t="str">
        <f aca="false">IF($A38="","",MAX(-10,MIN(10,S38+T38+U38)))</f>
        <v/>
      </c>
      <c r="W38" s="27" t="str">
        <f aca="false">IF($A38="","",IF(W_TIME=0,"غیرفعال (وزن صفر)","فعال"))</f>
        <v/>
      </c>
      <c r="Z38" s="30"/>
    </row>
    <row r="39" customFormat="false" ht="15" hidden="false" customHeight="false" outlineLevel="0" collapsed="false">
      <c r="A39" s="18"/>
      <c r="B39" s="19"/>
      <c r="C39" s="19"/>
      <c r="D39" s="20"/>
      <c r="E39" s="21"/>
      <c r="F39" s="22" t="str">
        <f aca="false">IF($A39="","",IFERROR(E39-B39,""))</f>
        <v/>
      </c>
      <c r="G39" s="22" t="str">
        <f aca="false">IF($A39="","",IFERROR(ROUND(F39*5/7,0),""))</f>
        <v/>
      </c>
      <c r="H39" s="23" t="str">
        <f aca="false">IF($A39="","",IFERROR(G39/D39,""))</f>
        <v/>
      </c>
      <c r="I39" s="24" t="str">
        <f aca="false">IF($A39="","",IFERROR(B39+ROUND(D39*7/5,0),""))</f>
        <v/>
      </c>
      <c r="J39" s="22" t="str">
        <f aca="false">IF($A39="","",IFERROR(I39-E39,""))</f>
        <v/>
      </c>
      <c r="K39" s="22" t="str">
        <f aca="false">IF($A39="","",IFERROR(IF(G39-INDEX($AB$5:$AB$13,MATCH(G39,$AB$5:$AB$13,1))&lt;=INDEX($AB$5:$AB$13,MIN(MATCH(G39,$AB$5:$AB$13,1)+1,9))-G39,INDEX($AB$5:$AB$13,MATCH(G39,$AB$5:$AB$13,1)),INDEX($AB$5:$AB$13,MIN(MATCH(G39,$AB$5:$AB$13,1)+1,9))),30))</f>
        <v/>
      </c>
      <c r="L39" s="22" t="str">
        <f aca="false">IF($A39="","",IFERROR(ABS(G39-K39),""))</f>
        <v/>
      </c>
      <c r="M39" s="20"/>
      <c r="N39" s="22" t="str">
        <f aca="false">IF($A39="","",IFERROR(ROUND(M39*1.618,0),""))</f>
        <v/>
      </c>
      <c r="O39" s="24" t="str">
        <f aca="false">IF($A39="","",IFERROR(C39+ROUND(N39*7/5,0),""))</f>
        <v/>
      </c>
      <c r="P39" s="25"/>
      <c r="Q39" s="25"/>
      <c r="R39" s="20"/>
      <c r="S39" s="26" t="str">
        <f aca="false">IF($A39="","",IF(OR(D39="",H39=""),0,IF(OR(H39&lt;=0.15,H39&gt;=0.9),4,IF(AND(H39&gt;=0.35,H39&lt;=0.6),-3,IF(H39&lt;0.35,2,-1)))))</f>
        <v/>
      </c>
      <c r="T39" s="26" t="str">
        <f aca="false">IF($A39="","",IF(OR(L39="",L39&gt;TIME_TOL),0,IF(S39&gt;0,2,-2)))</f>
        <v/>
      </c>
      <c r="U39" s="26" t="str">
        <f aca="false">IF($A39="","",IF(P39="",0,(IF(P39="3",4,IF(P39="1",2,IF(P39="2",1,IF(P39="4",1,IF(P39="5",-1,IF(P39="A",-3,IF(P39="B",-2,IF(P39="C",-4,0)))))))))*IF(R39="",0.6,R39/5)))</f>
        <v/>
      </c>
      <c r="V39" s="26" t="str">
        <f aca="false">IF($A39="","",MAX(-10,MIN(10,S39+T39+U39)))</f>
        <v/>
      </c>
      <c r="W39" s="27" t="str">
        <f aca="false">IF($A39="","",IF(W_TIME=0,"غیرفعال (وزن صفر)","فعال"))</f>
        <v/>
      </c>
      <c r="Z39" s="30"/>
    </row>
    <row r="40" customFormat="false" ht="15" hidden="false" customHeight="false" outlineLevel="0" collapsed="false">
      <c r="A40" s="18"/>
      <c r="B40" s="19"/>
      <c r="C40" s="19"/>
      <c r="D40" s="20"/>
      <c r="E40" s="21"/>
      <c r="F40" s="22" t="str">
        <f aca="false">IF($A40="","",IFERROR(E40-B40,""))</f>
        <v/>
      </c>
      <c r="G40" s="22" t="str">
        <f aca="false">IF($A40="","",IFERROR(ROUND(F40*5/7,0),""))</f>
        <v/>
      </c>
      <c r="H40" s="23" t="str">
        <f aca="false">IF($A40="","",IFERROR(G40/D40,""))</f>
        <v/>
      </c>
      <c r="I40" s="24" t="str">
        <f aca="false">IF($A40="","",IFERROR(B40+ROUND(D40*7/5,0),""))</f>
        <v/>
      </c>
      <c r="J40" s="22" t="str">
        <f aca="false">IF($A40="","",IFERROR(I40-E40,""))</f>
        <v/>
      </c>
      <c r="K40" s="22" t="str">
        <f aca="false">IF($A40="","",IFERROR(IF(G40-INDEX($AB$5:$AB$13,MATCH(G40,$AB$5:$AB$13,1))&lt;=INDEX($AB$5:$AB$13,MIN(MATCH(G40,$AB$5:$AB$13,1)+1,9))-G40,INDEX($AB$5:$AB$13,MATCH(G40,$AB$5:$AB$13,1)),INDEX($AB$5:$AB$13,MIN(MATCH(G40,$AB$5:$AB$13,1)+1,9))),30))</f>
        <v/>
      </c>
      <c r="L40" s="22" t="str">
        <f aca="false">IF($A40="","",IFERROR(ABS(G40-K40),""))</f>
        <v/>
      </c>
      <c r="M40" s="20"/>
      <c r="N40" s="22" t="str">
        <f aca="false">IF($A40="","",IFERROR(ROUND(M40*1.618,0),""))</f>
        <v/>
      </c>
      <c r="O40" s="24" t="str">
        <f aca="false">IF($A40="","",IFERROR(C40+ROUND(N40*7/5,0),""))</f>
        <v/>
      </c>
      <c r="P40" s="25"/>
      <c r="Q40" s="25"/>
      <c r="R40" s="20"/>
      <c r="S40" s="26" t="str">
        <f aca="false">IF($A40="","",IF(OR(D40="",H40=""),0,IF(OR(H40&lt;=0.15,H40&gt;=0.9),4,IF(AND(H40&gt;=0.35,H40&lt;=0.6),-3,IF(H40&lt;0.35,2,-1)))))</f>
        <v/>
      </c>
      <c r="T40" s="26" t="str">
        <f aca="false">IF($A40="","",IF(OR(L40="",L40&gt;TIME_TOL),0,IF(S40&gt;0,2,-2)))</f>
        <v/>
      </c>
      <c r="U40" s="26" t="str">
        <f aca="false">IF($A40="","",IF(P40="",0,(IF(P40="3",4,IF(P40="1",2,IF(P40="2",1,IF(P40="4",1,IF(P40="5",-1,IF(P40="A",-3,IF(P40="B",-2,IF(P40="C",-4,0)))))))))*IF(R40="",0.6,R40/5)))</f>
        <v/>
      </c>
      <c r="V40" s="26" t="str">
        <f aca="false">IF($A40="","",MAX(-10,MIN(10,S40+T40+U40)))</f>
        <v/>
      </c>
      <c r="W40" s="27" t="str">
        <f aca="false">IF($A40="","",IF(W_TIME=0,"غیرفعال (وزن صفر)","فعال"))</f>
        <v/>
      </c>
      <c r="Z40" s="30"/>
    </row>
    <row r="41" customFormat="false" ht="15" hidden="false" customHeight="false" outlineLevel="0" collapsed="false">
      <c r="A41" s="18"/>
      <c r="B41" s="19"/>
      <c r="C41" s="19"/>
      <c r="D41" s="20"/>
      <c r="E41" s="21"/>
      <c r="F41" s="22" t="str">
        <f aca="false">IF($A41="","",IFERROR(E41-B41,""))</f>
        <v/>
      </c>
      <c r="G41" s="22" t="str">
        <f aca="false">IF($A41="","",IFERROR(ROUND(F41*5/7,0),""))</f>
        <v/>
      </c>
      <c r="H41" s="23" t="str">
        <f aca="false">IF($A41="","",IFERROR(G41/D41,""))</f>
        <v/>
      </c>
      <c r="I41" s="24" t="str">
        <f aca="false">IF($A41="","",IFERROR(B41+ROUND(D41*7/5,0),""))</f>
        <v/>
      </c>
      <c r="J41" s="22" t="str">
        <f aca="false">IF($A41="","",IFERROR(I41-E41,""))</f>
        <v/>
      </c>
      <c r="K41" s="22" t="str">
        <f aca="false">IF($A41="","",IFERROR(IF(G41-INDEX($AB$5:$AB$13,MATCH(G41,$AB$5:$AB$13,1))&lt;=INDEX($AB$5:$AB$13,MIN(MATCH(G41,$AB$5:$AB$13,1)+1,9))-G41,INDEX($AB$5:$AB$13,MATCH(G41,$AB$5:$AB$13,1)),INDEX($AB$5:$AB$13,MIN(MATCH(G41,$AB$5:$AB$13,1)+1,9))),30))</f>
        <v/>
      </c>
      <c r="L41" s="22" t="str">
        <f aca="false">IF($A41="","",IFERROR(ABS(G41-K41),""))</f>
        <v/>
      </c>
      <c r="M41" s="20"/>
      <c r="N41" s="22" t="str">
        <f aca="false">IF($A41="","",IFERROR(ROUND(M41*1.618,0),""))</f>
        <v/>
      </c>
      <c r="O41" s="24" t="str">
        <f aca="false">IF($A41="","",IFERROR(C41+ROUND(N41*7/5,0),""))</f>
        <v/>
      </c>
      <c r="P41" s="25"/>
      <c r="Q41" s="25"/>
      <c r="R41" s="20"/>
      <c r="S41" s="26" t="str">
        <f aca="false">IF($A41="","",IF(OR(D41="",H41=""),0,IF(OR(H41&lt;=0.15,H41&gt;=0.9),4,IF(AND(H41&gt;=0.35,H41&lt;=0.6),-3,IF(H41&lt;0.35,2,-1)))))</f>
        <v/>
      </c>
      <c r="T41" s="26" t="str">
        <f aca="false">IF($A41="","",IF(OR(L41="",L41&gt;TIME_TOL),0,IF(S41&gt;0,2,-2)))</f>
        <v/>
      </c>
      <c r="U41" s="26" t="str">
        <f aca="false">IF($A41="","",IF(P41="",0,(IF(P41="3",4,IF(P41="1",2,IF(P41="2",1,IF(P41="4",1,IF(P41="5",-1,IF(P41="A",-3,IF(P41="B",-2,IF(P41="C",-4,0)))))))))*IF(R41="",0.6,R41/5)))</f>
        <v/>
      </c>
      <c r="V41" s="26" t="str">
        <f aca="false">IF($A41="","",MAX(-10,MIN(10,S41+T41+U41)))</f>
        <v/>
      </c>
      <c r="W41" s="27" t="str">
        <f aca="false">IF($A41="","",IF(W_TIME=0,"غیرفعال (وزن صفر)","فعال"))</f>
        <v/>
      </c>
      <c r="Z41" s="30"/>
    </row>
    <row r="42" customFormat="false" ht="15" hidden="false" customHeight="false" outlineLevel="0" collapsed="false">
      <c r="A42" s="18"/>
      <c r="B42" s="19"/>
      <c r="C42" s="19"/>
      <c r="D42" s="20"/>
      <c r="E42" s="21"/>
      <c r="F42" s="22" t="str">
        <f aca="false">IF($A42="","",IFERROR(E42-B42,""))</f>
        <v/>
      </c>
      <c r="G42" s="22" t="str">
        <f aca="false">IF($A42="","",IFERROR(ROUND(F42*5/7,0),""))</f>
        <v/>
      </c>
      <c r="H42" s="23" t="str">
        <f aca="false">IF($A42="","",IFERROR(G42/D42,""))</f>
        <v/>
      </c>
      <c r="I42" s="24" t="str">
        <f aca="false">IF($A42="","",IFERROR(B42+ROUND(D42*7/5,0),""))</f>
        <v/>
      </c>
      <c r="J42" s="22" t="str">
        <f aca="false">IF($A42="","",IFERROR(I42-E42,""))</f>
        <v/>
      </c>
      <c r="K42" s="22" t="str">
        <f aca="false">IF($A42="","",IFERROR(IF(G42-INDEX($AB$5:$AB$13,MATCH(G42,$AB$5:$AB$13,1))&lt;=INDEX($AB$5:$AB$13,MIN(MATCH(G42,$AB$5:$AB$13,1)+1,9))-G42,INDEX($AB$5:$AB$13,MATCH(G42,$AB$5:$AB$13,1)),INDEX($AB$5:$AB$13,MIN(MATCH(G42,$AB$5:$AB$13,1)+1,9))),30))</f>
        <v/>
      </c>
      <c r="L42" s="22" t="str">
        <f aca="false">IF($A42="","",IFERROR(ABS(G42-K42),""))</f>
        <v/>
      </c>
      <c r="M42" s="20"/>
      <c r="N42" s="22" t="str">
        <f aca="false">IF($A42="","",IFERROR(ROUND(M42*1.618,0),""))</f>
        <v/>
      </c>
      <c r="O42" s="24" t="str">
        <f aca="false">IF($A42="","",IFERROR(C42+ROUND(N42*7/5,0),""))</f>
        <v/>
      </c>
      <c r="P42" s="25"/>
      <c r="Q42" s="25"/>
      <c r="R42" s="20"/>
      <c r="S42" s="26" t="str">
        <f aca="false">IF($A42="","",IF(OR(D42="",H42=""),0,IF(OR(H42&lt;=0.15,H42&gt;=0.9),4,IF(AND(H42&gt;=0.35,H42&lt;=0.6),-3,IF(H42&lt;0.35,2,-1)))))</f>
        <v/>
      </c>
      <c r="T42" s="26" t="str">
        <f aca="false">IF($A42="","",IF(OR(L42="",L42&gt;TIME_TOL),0,IF(S42&gt;0,2,-2)))</f>
        <v/>
      </c>
      <c r="U42" s="26" t="str">
        <f aca="false">IF($A42="","",IF(P42="",0,(IF(P42="3",4,IF(P42="1",2,IF(P42="2",1,IF(P42="4",1,IF(P42="5",-1,IF(P42="A",-3,IF(P42="B",-2,IF(P42="C",-4,0)))))))))*IF(R42="",0.6,R42/5)))</f>
        <v/>
      </c>
      <c r="V42" s="26" t="str">
        <f aca="false">IF($A42="","",MAX(-10,MIN(10,S42+T42+U42)))</f>
        <v/>
      </c>
      <c r="W42" s="27" t="str">
        <f aca="false">IF($A42="","",IF(W_TIME=0,"غیرفعال (وزن صفر)","فعال"))</f>
        <v/>
      </c>
      <c r="Z42" s="30"/>
    </row>
    <row r="43" customFormat="false" ht="15" hidden="false" customHeight="false" outlineLevel="0" collapsed="false">
      <c r="A43" s="18"/>
      <c r="B43" s="19"/>
      <c r="C43" s="19"/>
      <c r="D43" s="20"/>
      <c r="E43" s="21"/>
      <c r="F43" s="22" t="str">
        <f aca="false">IF($A43="","",IFERROR(E43-B43,""))</f>
        <v/>
      </c>
      <c r="G43" s="22" t="str">
        <f aca="false">IF($A43="","",IFERROR(ROUND(F43*5/7,0),""))</f>
        <v/>
      </c>
      <c r="H43" s="23" t="str">
        <f aca="false">IF($A43="","",IFERROR(G43/D43,""))</f>
        <v/>
      </c>
      <c r="I43" s="24" t="str">
        <f aca="false">IF($A43="","",IFERROR(B43+ROUND(D43*7/5,0),""))</f>
        <v/>
      </c>
      <c r="J43" s="22" t="str">
        <f aca="false">IF($A43="","",IFERROR(I43-E43,""))</f>
        <v/>
      </c>
      <c r="K43" s="22" t="str">
        <f aca="false">IF($A43="","",IFERROR(IF(G43-INDEX($AB$5:$AB$13,MATCH(G43,$AB$5:$AB$13,1))&lt;=INDEX($AB$5:$AB$13,MIN(MATCH(G43,$AB$5:$AB$13,1)+1,9))-G43,INDEX($AB$5:$AB$13,MATCH(G43,$AB$5:$AB$13,1)),INDEX($AB$5:$AB$13,MIN(MATCH(G43,$AB$5:$AB$13,1)+1,9))),30))</f>
        <v/>
      </c>
      <c r="L43" s="22" t="str">
        <f aca="false">IF($A43="","",IFERROR(ABS(G43-K43),""))</f>
        <v/>
      </c>
      <c r="M43" s="20"/>
      <c r="N43" s="22" t="str">
        <f aca="false">IF($A43="","",IFERROR(ROUND(M43*1.618,0),""))</f>
        <v/>
      </c>
      <c r="O43" s="24" t="str">
        <f aca="false">IF($A43="","",IFERROR(C43+ROUND(N43*7/5,0),""))</f>
        <v/>
      </c>
      <c r="P43" s="25"/>
      <c r="Q43" s="25"/>
      <c r="R43" s="20"/>
      <c r="S43" s="26" t="str">
        <f aca="false">IF($A43="","",IF(OR(D43="",H43=""),0,IF(OR(H43&lt;=0.15,H43&gt;=0.9),4,IF(AND(H43&gt;=0.35,H43&lt;=0.6),-3,IF(H43&lt;0.35,2,-1)))))</f>
        <v/>
      </c>
      <c r="T43" s="26" t="str">
        <f aca="false">IF($A43="","",IF(OR(L43="",L43&gt;TIME_TOL),0,IF(S43&gt;0,2,-2)))</f>
        <v/>
      </c>
      <c r="U43" s="26" t="str">
        <f aca="false">IF($A43="","",IF(P43="",0,(IF(P43="3",4,IF(P43="1",2,IF(P43="2",1,IF(P43="4",1,IF(P43="5",-1,IF(P43="A",-3,IF(P43="B",-2,IF(P43="C",-4,0)))))))))*IF(R43="",0.6,R43/5)))</f>
        <v/>
      </c>
      <c r="V43" s="26" t="str">
        <f aca="false">IF($A43="","",MAX(-10,MIN(10,S43+T43+U43)))</f>
        <v/>
      </c>
      <c r="W43" s="27" t="str">
        <f aca="false">IF($A43="","",IF(W_TIME=0,"غیرفعال (وزن صفر)","فعال"))</f>
        <v/>
      </c>
      <c r="Z43" s="30"/>
    </row>
    <row r="44" customFormat="false" ht="15" hidden="false" customHeight="false" outlineLevel="0" collapsed="false">
      <c r="A44" s="18"/>
      <c r="B44" s="19"/>
      <c r="C44" s="19"/>
      <c r="D44" s="20"/>
      <c r="E44" s="21"/>
      <c r="F44" s="22" t="str">
        <f aca="false">IF($A44="","",IFERROR(E44-B44,""))</f>
        <v/>
      </c>
      <c r="G44" s="22" t="str">
        <f aca="false">IF($A44="","",IFERROR(ROUND(F44*5/7,0),""))</f>
        <v/>
      </c>
      <c r="H44" s="23" t="str">
        <f aca="false">IF($A44="","",IFERROR(G44/D44,""))</f>
        <v/>
      </c>
      <c r="I44" s="24" t="str">
        <f aca="false">IF($A44="","",IFERROR(B44+ROUND(D44*7/5,0),""))</f>
        <v/>
      </c>
      <c r="J44" s="22" t="str">
        <f aca="false">IF($A44="","",IFERROR(I44-E44,""))</f>
        <v/>
      </c>
      <c r="K44" s="22" t="str">
        <f aca="false">IF($A44="","",IFERROR(IF(G44-INDEX($AB$5:$AB$13,MATCH(G44,$AB$5:$AB$13,1))&lt;=INDEX($AB$5:$AB$13,MIN(MATCH(G44,$AB$5:$AB$13,1)+1,9))-G44,INDEX($AB$5:$AB$13,MATCH(G44,$AB$5:$AB$13,1)),INDEX($AB$5:$AB$13,MIN(MATCH(G44,$AB$5:$AB$13,1)+1,9))),30))</f>
        <v/>
      </c>
      <c r="L44" s="22" t="str">
        <f aca="false">IF($A44="","",IFERROR(ABS(G44-K44),""))</f>
        <v/>
      </c>
      <c r="M44" s="20"/>
      <c r="N44" s="22" t="str">
        <f aca="false">IF($A44="","",IFERROR(ROUND(M44*1.618,0),""))</f>
        <v/>
      </c>
      <c r="O44" s="24" t="str">
        <f aca="false">IF($A44="","",IFERROR(C44+ROUND(N44*7/5,0),""))</f>
        <v/>
      </c>
      <c r="P44" s="25"/>
      <c r="Q44" s="25"/>
      <c r="R44" s="20"/>
      <c r="S44" s="26" t="str">
        <f aca="false">IF($A44="","",IF(OR(D44="",H44=""),0,IF(OR(H44&lt;=0.15,H44&gt;=0.9),4,IF(AND(H44&gt;=0.35,H44&lt;=0.6),-3,IF(H44&lt;0.35,2,-1)))))</f>
        <v/>
      </c>
      <c r="T44" s="26" t="str">
        <f aca="false">IF($A44="","",IF(OR(L44="",L44&gt;TIME_TOL),0,IF(S44&gt;0,2,-2)))</f>
        <v/>
      </c>
      <c r="U44" s="26" t="str">
        <f aca="false">IF($A44="","",IF(P44="",0,(IF(P44="3",4,IF(P44="1",2,IF(P44="2",1,IF(P44="4",1,IF(P44="5",-1,IF(P44="A",-3,IF(P44="B",-2,IF(P44="C",-4,0)))))))))*IF(R44="",0.6,R44/5)))</f>
        <v/>
      </c>
      <c r="V44" s="26" t="str">
        <f aca="false">IF($A44="","",MAX(-10,MIN(10,S44+T44+U44)))</f>
        <v/>
      </c>
      <c r="W44" s="27" t="str">
        <f aca="false">IF($A44="","",IF(W_TIME=0,"غیرفعال (وزن صفر)","فعال"))</f>
        <v/>
      </c>
      <c r="Z44" s="30"/>
    </row>
    <row r="45" customFormat="false" ht="15" hidden="false" customHeight="false" outlineLevel="0" collapsed="false">
      <c r="A45" s="18"/>
      <c r="B45" s="19"/>
      <c r="C45" s="19"/>
      <c r="D45" s="20"/>
      <c r="E45" s="21"/>
      <c r="F45" s="22" t="str">
        <f aca="false">IF($A45="","",IFERROR(E45-B45,""))</f>
        <v/>
      </c>
      <c r="G45" s="22" t="str">
        <f aca="false">IF($A45="","",IFERROR(ROUND(F45*5/7,0),""))</f>
        <v/>
      </c>
      <c r="H45" s="23" t="str">
        <f aca="false">IF($A45="","",IFERROR(G45/D45,""))</f>
        <v/>
      </c>
      <c r="I45" s="24" t="str">
        <f aca="false">IF($A45="","",IFERROR(B45+ROUND(D45*7/5,0),""))</f>
        <v/>
      </c>
      <c r="J45" s="22" t="str">
        <f aca="false">IF($A45="","",IFERROR(I45-E45,""))</f>
        <v/>
      </c>
      <c r="K45" s="22" t="str">
        <f aca="false">IF($A45="","",IFERROR(IF(G45-INDEX($AB$5:$AB$13,MATCH(G45,$AB$5:$AB$13,1))&lt;=INDEX($AB$5:$AB$13,MIN(MATCH(G45,$AB$5:$AB$13,1)+1,9))-G45,INDEX($AB$5:$AB$13,MATCH(G45,$AB$5:$AB$13,1)),INDEX($AB$5:$AB$13,MIN(MATCH(G45,$AB$5:$AB$13,1)+1,9))),30))</f>
        <v/>
      </c>
      <c r="L45" s="22" t="str">
        <f aca="false">IF($A45="","",IFERROR(ABS(G45-K45),""))</f>
        <v/>
      </c>
      <c r="M45" s="20"/>
      <c r="N45" s="22" t="str">
        <f aca="false">IF($A45="","",IFERROR(ROUND(M45*1.618,0),""))</f>
        <v/>
      </c>
      <c r="O45" s="24" t="str">
        <f aca="false">IF($A45="","",IFERROR(C45+ROUND(N45*7/5,0),""))</f>
        <v/>
      </c>
      <c r="P45" s="25"/>
      <c r="Q45" s="25"/>
      <c r="R45" s="20"/>
      <c r="S45" s="26" t="str">
        <f aca="false">IF($A45="","",IF(OR(D45="",H45=""),0,IF(OR(H45&lt;=0.15,H45&gt;=0.9),4,IF(AND(H45&gt;=0.35,H45&lt;=0.6),-3,IF(H45&lt;0.35,2,-1)))))</f>
        <v/>
      </c>
      <c r="T45" s="26" t="str">
        <f aca="false">IF($A45="","",IF(OR(L45="",L45&gt;TIME_TOL),0,IF(S45&gt;0,2,-2)))</f>
        <v/>
      </c>
      <c r="U45" s="26" t="str">
        <f aca="false">IF($A45="","",IF(P45="",0,(IF(P45="3",4,IF(P45="1",2,IF(P45="2",1,IF(P45="4",1,IF(P45="5",-1,IF(P45="A",-3,IF(P45="B",-2,IF(P45="C",-4,0)))))))))*IF(R45="",0.6,R45/5)))</f>
        <v/>
      </c>
      <c r="V45" s="26" t="str">
        <f aca="false">IF($A45="","",MAX(-10,MIN(10,S45+T45+U45)))</f>
        <v/>
      </c>
      <c r="W45" s="27" t="str">
        <f aca="false">IF($A45="","",IF(W_TIME=0,"غیرفعال (وزن صفر)","فعال"))</f>
        <v/>
      </c>
      <c r="Z45" s="30"/>
    </row>
    <row r="46" customFormat="false" ht="15" hidden="false" customHeight="false" outlineLevel="0" collapsed="false">
      <c r="A46" s="18"/>
      <c r="B46" s="19"/>
      <c r="C46" s="19"/>
      <c r="D46" s="20"/>
      <c r="E46" s="21"/>
      <c r="F46" s="22" t="str">
        <f aca="false">IF($A46="","",IFERROR(E46-B46,""))</f>
        <v/>
      </c>
      <c r="G46" s="22" t="str">
        <f aca="false">IF($A46="","",IFERROR(ROUND(F46*5/7,0),""))</f>
        <v/>
      </c>
      <c r="H46" s="23" t="str">
        <f aca="false">IF($A46="","",IFERROR(G46/D46,""))</f>
        <v/>
      </c>
      <c r="I46" s="24" t="str">
        <f aca="false">IF($A46="","",IFERROR(B46+ROUND(D46*7/5,0),""))</f>
        <v/>
      </c>
      <c r="J46" s="22" t="str">
        <f aca="false">IF($A46="","",IFERROR(I46-E46,""))</f>
        <v/>
      </c>
      <c r="K46" s="22" t="str">
        <f aca="false">IF($A46="","",IFERROR(IF(G46-INDEX($AB$5:$AB$13,MATCH(G46,$AB$5:$AB$13,1))&lt;=INDEX($AB$5:$AB$13,MIN(MATCH(G46,$AB$5:$AB$13,1)+1,9))-G46,INDEX($AB$5:$AB$13,MATCH(G46,$AB$5:$AB$13,1)),INDEX($AB$5:$AB$13,MIN(MATCH(G46,$AB$5:$AB$13,1)+1,9))),30))</f>
        <v/>
      </c>
      <c r="L46" s="22" t="str">
        <f aca="false">IF($A46="","",IFERROR(ABS(G46-K46),""))</f>
        <v/>
      </c>
      <c r="M46" s="20"/>
      <c r="N46" s="22" t="str">
        <f aca="false">IF($A46="","",IFERROR(ROUND(M46*1.618,0),""))</f>
        <v/>
      </c>
      <c r="O46" s="24" t="str">
        <f aca="false">IF($A46="","",IFERROR(C46+ROUND(N46*7/5,0),""))</f>
        <v/>
      </c>
      <c r="P46" s="25"/>
      <c r="Q46" s="25"/>
      <c r="R46" s="20"/>
      <c r="S46" s="26" t="str">
        <f aca="false">IF($A46="","",IF(OR(D46="",H46=""),0,IF(OR(H46&lt;=0.15,H46&gt;=0.9),4,IF(AND(H46&gt;=0.35,H46&lt;=0.6),-3,IF(H46&lt;0.35,2,-1)))))</f>
        <v/>
      </c>
      <c r="T46" s="26" t="str">
        <f aca="false">IF($A46="","",IF(OR(L46="",L46&gt;TIME_TOL),0,IF(S46&gt;0,2,-2)))</f>
        <v/>
      </c>
      <c r="U46" s="26" t="str">
        <f aca="false">IF($A46="","",IF(P46="",0,(IF(P46="3",4,IF(P46="1",2,IF(P46="2",1,IF(P46="4",1,IF(P46="5",-1,IF(P46="A",-3,IF(P46="B",-2,IF(P46="C",-4,0)))))))))*IF(R46="",0.6,R46/5)))</f>
        <v/>
      </c>
      <c r="V46" s="26" t="str">
        <f aca="false">IF($A46="","",MAX(-10,MIN(10,S46+T46+U46)))</f>
        <v/>
      </c>
      <c r="W46" s="27" t="str">
        <f aca="false">IF($A46="","",IF(W_TIME=0,"غیرفعال (وزن صفر)","فعال"))</f>
        <v/>
      </c>
      <c r="Z46" s="30"/>
    </row>
    <row r="47" customFormat="false" ht="15" hidden="false" customHeight="false" outlineLevel="0" collapsed="false">
      <c r="A47" s="18"/>
      <c r="B47" s="19"/>
      <c r="C47" s="19"/>
      <c r="D47" s="20"/>
      <c r="E47" s="21"/>
      <c r="F47" s="22" t="str">
        <f aca="false">IF($A47="","",IFERROR(E47-B47,""))</f>
        <v/>
      </c>
      <c r="G47" s="22" t="str">
        <f aca="false">IF($A47="","",IFERROR(ROUND(F47*5/7,0),""))</f>
        <v/>
      </c>
      <c r="H47" s="23" t="str">
        <f aca="false">IF($A47="","",IFERROR(G47/D47,""))</f>
        <v/>
      </c>
      <c r="I47" s="24" t="str">
        <f aca="false">IF($A47="","",IFERROR(B47+ROUND(D47*7/5,0),""))</f>
        <v/>
      </c>
      <c r="J47" s="22" t="str">
        <f aca="false">IF($A47="","",IFERROR(I47-E47,""))</f>
        <v/>
      </c>
      <c r="K47" s="22" t="str">
        <f aca="false">IF($A47="","",IFERROR(IF(G47-INDEX($AB$5:$AB$13,MATCH(G47,$AB$5:$AB$13,1))&lt;=INDEX($AB$5:$AB$13,MIN(MATCH(G47,$AB$5:$AB$13,1)+1,9))-G47,INDEX($AB$5:$AB$13,MATCH(G47,$AB$5:$AB$13,1)),INDEX($AB$5:$AB$13,MIN(MATCH(G47,$AB$5:$AB$13,1)+1,9))),30))</f>
        <v/>
      </c>
      <c r="L47" s="22" t="str">
        <f aca="false">IF($A47="","",IFERROR(ABS(G47-K47),""))</f>
        <v/>
      </c>
      <c r="M47" s="20"/>
      <c r="N47" s="22" t="str">
        <f aca="false">IF($A47="","",IFERROR(ROUND(M47*1.618,0),""))</f>
        <v/>
      </c>
      <c r="O47" s="24" t="str">
        <f aca="false">IF($A47="","",IFERROR(C47+ROUND(N47*7/5,0),""))</f>
        <v/>
      </c>
      <c r="P47" s="25"/>
      <c r="Q47" s="25"/>
      <c r="R47" s="20"/>
      <c r="S47" s="26" t="str">
        <f aca="false">IF($A47="","",IF(OR(D47="",H47=""),0,IF(OR(H47&lt;=0.15,H47&gt;=0.9),4,IF(AND(H47&gt;=0.35,H47&lt;=0.6),-3,IF(H47&lt;0.35,2,-1)))))</f>
        <v/>
      </c>
      <c r="T47" s="26" t="str">
        <f aca="false">IF($A47="","",IF(OR(L47="",L47&gt;TIME_TOL),0,IF(S47&gt;0,2,-2)))</f>
        <v/>
      </c>
      <c r="U47" s="26" t="str">
        <f aca="false">IF($A47="","",IF(P47="",0,(IF(P47="3",4,IF(P47="1",2,IF(P47="2",1,IF(P47="4",1,IF(P47="5",-1,IF(P47="A",-3,IF(P47="B",-2,IF(P47="C",-4,0)))))))))*IF(R47="",0.6,R47/5)))</f>
        <v/>
      </c>
      <c r="V47" s="26" t="str">
        <f aca="false">IF($A47="","",MAX(-10,MIN(10,S47+T47+U47)))</f>
        <v/>
      </c>
      <c r="W47" s="27" t="str">
        <f aca="false">IF($A47="","",IF(W_TIME=0,"غیرفعال (وزن صفر)","فعال"))</f>
        <v/>
      </c>
      <c r="Z47" s="30"/>
    </row>
    <row r="48" customFormat="false" ht="15" hidden="false" customHeight="false" outlineLevel="0" collapsed="false">
      <c r="A48" s="18"/>
      <c r="B48" s="19"/>
      <c r="C48" s="19"/>
      <c r="D48" s="20"/>
      <c r="E48" s="21"/>
      <c r="F48" s="22" t="str">
        <f aca="false">IF($A48="","",IFERROR(E48-B48,""))</f>
        <v/>
      </c>
      <c r="G48" s="22" t="str">
        <f aca="false">IF($A48="","",IFERROR(ROUND(F48*5/7,0),""))</f>
        <v/>
      </c>
      <c r="H48" s="23" t="str">
        <f aca="false">IF($A48="","",IFERROR(G48/D48,""))</f>
        <v/>
      </c>
      <c r="I48" s="24" t="str">
        <f aca="false">IF($A48="","",IFERROR(B48+ROUND(D48*7/5,0),""))</f>
        <v/>
      </c>
      <c r="J48" s="22" t="str">
        <f aca="false">IF($A48="","",IFERROR(I48-E48,""))</f>
        <v/>
      </c>
      <c r="K48" s="22" t="str">
        <f aca="false">IF($A48="","",IFERROR(IF(G48-INDEX($AB$5:$AB$13,MATCH(G48,$AB$5:$AB$13,1))&lt;=INDEX($AB$5:$AB$13,MIN(MATCH(G48,$AB$5:$AB$13,1)+1,9))-G48,INDEX($AB$5:$AB$13,MATCH(G48,$AB$5:$AB$13,1)),INDEX($AB$5:$AB$13,MIN(MATCH(G48,$AB$5:$AB$13,1)+1,9))),30))</f>
        <v/>
      </c>
      <c r="L48" s="22" t="str">
        <f aca="false">IF($A48="","",IFERROR(ABS(G48-K48),""))</f>
        <v/>
      </c>
      <c r="M48" s="20"/>
      <c r="N48" s="22" t="str">
        <f aca="false">IF($A48="","",IFERROR(ROUND(M48*1.618,0),""))</f>
        <v/>
      </c>
      <c r="O48" s="24" t="str">
        <f aca="false">IF($A48="","",IFERROR(C48+ROUND(N48*7/5,0),""))</f>
        <v/>
      </c>
      <c r="P48" s="25"/>
      <c r="Q48" s="25"/>
      <c r="R48" s="20"/>
      <c r="S48" s="26" t="str">
        <f aca="false">IF($A48="","",IF(OR(D48="",H48=""),0,IF(OR(H48&lt;=0.15,H48&gt;=0.9),4,IF(AND(H48&gt;=0.35,H48&lt;=0.6),-3,IF(H48&lt;0.35,2,-1)))))</f>
        <v/>
      </c>
      <c r="T48" s="26" t="str">
        <f aca="false">IF($A48="","",IF(OR(L48="",L48&gt;TIME_TOL),0,IF(S48&gt;0,2,-2)))</f>
        <v/>
      </c>
      <c r="U48" s="26" t="str">
        <f aca="false">IF($A48="","",IF(P48="",0,(IF(P48="3",4,IF(P48="1",2,IF(P48="2",1,IF(P48="4",1,IF(P48="5",-1,IF(P48="A",-3,IF(P48="B",-2,IF(P48="C",-4,0)))))))))*IF(R48="",0.6,R48/5)))</f>
        <v/>
      </c>
      <c r="V48" s="26" t="str">
        <f aca="false">IF($A48="","",MAX(-10,MIN(10,S48+T48+U48)))</f>
        <v/>
      </c>
      <c r="W48" s="27" t="str">
        <f aca="false">IF($A48="","",IF(W_TIME=0,"غیرفعال (وزن صفر)","فعال"))</f>
        <v/>
      </c>
      <c r="Z48" s="30"/>
    </row>
    <row r="49" customFormat="false" ht="15" hidden="false" customHeight="false" outlineLevel="0" collapsed="false">
      <c r="A49" s="18"/>
      <c r="B49" s="19"/>
      <c r="C49" s="19"/>
      <c r="D49" s="20"/>
      <c r="E49" s="21"/>
      <c r="F49" s="22" t="str">
        <f aca="false">IF($A49="","",IFERROR(E49-B49,""))</f>
        <v/>
      </c>
      <c r="G49" s="22" t="str">
        <f aca="false">IF($A49="","",IFERROR(ROUND(F49*5/7,0),""))</f>
        <v/>
      </c>
      <c r="H49" s="23" t="str">
        <f aca="false">IF($A49="","",IFERROR(G49/D49,""))</f>
        <v/>
      </c>
      <c r="I49" s="24" t="str">
        <f aca="false">IF($A49="","",IFERROR(B49+ROUND(D49*7/5,0),""))</f>
        <v/>
      </c>
      <c r="J49" s="22" t="str">
        <f aca="false">IF($A49="","",IFERROR(I49-E49,""))</f>
        <v/>
      </c>
      <c r="K49" s="22" t="str">
        <f aca="false">IF($A49="","",IFERROR(IF(G49-INDEX($AB$5:$AB$13,MATCH(G49,$AB$5:$AB$13,1))&lt;=INDEX($AB$5:$AB$13,MIN(MATCH(G49,$AB$5:$AB$13,1)+1,9))-G49,INDEX($AB$5:$AB$13,MATCH(G49,$AB$5:$AB$13,1)),INDEX($AB$5:$AB$13,MIN(MATCH(G49,$AB$5:$AB$13,1)+1,9))),30))</f>
        <v/>
      </c>
      <c r="L49" s="22" t="str">
        <f aca="false">IF($A49="","",IFERROR(ABS(G49-K49),""))</f>
        <v/>
      </c>
      <c r="M49" s="20"/>
      <c r="N49" s="22" t="str">
        <f aca="false">IF($A49="","",IFERROR(ROUND(M49*1.618,0),""))</f>
        <v/>
      </c>
      <c r="O49" s="24" t="str">
        <f aca="false">IF($A49="","",IFERROR(C49+ROUND(N49*7/5,0),""))</f>
        <v/>
      </c>
      <c r="P49" s="25"/>
      <c r="Q49" s="25"/>
      <c r="R49" s="20"/>
      <c r="S49" s="26" t="str">
        <f aca="false">IF($A49="","",IF(OR(D49="",H49=""),0,IF(OR(H49&lt;=0.15,H49&gt;=0.9),4,IF(AND(H49&gt;=0.35,H49&lt;=0.6),-3,IF(H49&lt;0.35,2,-1)))))</f>
        <v/>
      </c>
      <c r="T49" s="26" t="str">
        <f aca="false">IF($A49="","",IF(OR(L49="",L49&gt;TIME_TOL),0,IF(S49&gt;0,2,-2)))</f>
        <v/>
      </c>
      <c r="U49" s="26" t="str">
        <f aca="false">IF($A49="","",IF(P49="",0,(IF(P49="3",4,IF(P49="1",2,IF(P49="2",1,IF(P49="4",1,IF(P49="5",-1,IF(P49="A",-3,IF(P49="B",-2,IF(P49="C",-4,0)))))))))*IF(R49="",0.6,R49/5)))</f>
        <v/>
      </c>
      <c r="V49" s="26" t="str">
        <f aca="false">IF($A49="","",MAX(-10,MIN(10,S49+T49+U49)))</f>
        <v/>
      </c>
      <c r="W49" s="27" t="str">
        <f aca="false">IF($A49="","",IF(W_TIME=0,"غیرفعال (وزن صفر)","فعال"))</f>
        <v/>
      </c>
      <c r="Z49" s="30"/>
    </row>
    <row r="50" customFormat="false" ht="15" hidden="false" customHeight="false" outlineLevel="0" collapsed="false">
      <c r="A50" s="18"/>
      <c r="B50" s="19"/>
      <c r="C50" s="19"/>
      <c r="D50" s="20"/>
      <c r="E50" s="21"/>
      <c r="F50" s="22" t="str">
        <f aca="false">IF($A50="","",IFERROR(E50-B50,""))</f>
        <v/>
      </c>
      <c r="G50" s="22" t="str">
        <f aca="false">IF($A50="","",IFERROR(ROUND(F50*5/7,0),""))</f>
        <v/>
      </c>
      <c r="H50" s="23" t="str">
        <f aca="false">IF($A50="","",IFERROR(G50/D50,""))</f>
        <v/>
      </c>
      <c r="I50" s="24" t="str">
        <f aca="false">IF($A50="","",IFERROR(B50+ROUND(D50*7/5,0),""))</f>
        <v/>
      </c>
      <c r="J50" s="22" t="str">
        <f aca="false">IF($A50="","",IFERROR(I50-E50,""))</f>
        <v/>
      </c>
      <c r="K50" s="22" t="str">
        <f aca="false">IF($A50="","",IFERROR(IF(G50-INDEX($AB$5:$AB$13,MATCH(G50,$AB$5:$AB$13,1))&lt;=INDEX($AB$5:$AB$13,MIN(MATCH(G50,$AB$5:$AB$13,1)+1,9))-G50,INDEX($AB$5:$AB$13,MATCH(G50,$AB$5:$AB$13,1)),INDEX($AB$5:$AB$13,MIN(MATCH(G50,$AB$5:$AB$13,1)+1,9))),30))</f>
        <v/>
      </c>
      <c r="L50" s="22" t="str">
        <f aca="false">IF($A50="","",IFERROR(ABS(G50-K50),""))</f>
        <v/>
      </c>
      <c r="M50" s="20"/>
      <c r="N50" s="22" t="str">
        <f aca="false">IF($A50="","",IFERROR(ROUND(M50*1.618,0),""))</f>
        <v/>
      </c>
      <c r="O50" s="24" t="str">
        <f aca="false">IF($A50="","",IFERROR(C50+ROUND(N50*7/5,0),""))</f>
        <v/>
      </c>
      <c r="P50" s="25"/>
      <c r="Q50" s="25"/>
      <c r="R50" s="20"/>
      <c r="S50" s="26" t="str">
        <f aca="false">IF($A50="","",IF(OR(D50="",H50=""),0,IF(OR(H50&lt;=0.15,H50&gt;=0.9),4,IF(AND(H50&gt;=0.35,H50&lt;=0.6),-3,IF(H50&lt;0.35,2,-1)))))</f>
        <v/>
      </c>
      <c r="T50" s="26" t="str">
        <f aca="false">IF($A50="","",IF(OR(L50="",L50&gt;TIME_TOL),0,IF(S50&gt;0,2,-2)))</f>
        <v/>
      </c>
      <c r="U50" s="26" t="str">
        <f aca="false">IF($A50="","",IF(P50="",0,(IF(P50="3",4,IF(P50="1",2,IF(P50="2",1,IF(P50="4",1,IF(P50="5",-1,IF(P50="A",-3,IF(P50="B",-2,IF(P50="C",-4,0)))))))))*IF(R50="",0.6,R50/5)))</f>
        <v/>
      </c>
      <c r="V50" s="26" t="str">
        <f aca="false">IF($A50="","",MAX(-10,MIN(10,S50+T50+U50)))</f>
        <v/>
      </c>
      <c r="W50" s="27" t="str">
        <f aca="false">IF($A50="","",IF(W_TIME=0,"غیرفعال (وزن صفر)","فعال"))</f>
        <v/>
      </c>
      <c r="Z50" s="30"/>
    </row>
    <row r="51" customFormat="false" ht="15" hidden="false" customHeight="false" outlineLevel="0" collapsed="false">
      <c r="A51" s="18"/>
      <c r="B51" s="19"/>
      <c r="C51" s="19"/>
      <c r="D51" s="20"/>
      <c r="E51" s="21"/>
      <c r="F51" s="22" t="str">
        <f aca="false">IF($A51="","",IFERROR(E51-B51,""))</f>
        <v/>
      </c>
      <c r="G51" s="22" t="str">
        <f aca="false">IF($A51="","",IFERROR(ROUND(F51*5/7,0),""))</f>
        <v/>
      </c>
      <c r="H51" s="23" t="str">
        <f aca="false">IF($A51="","",IFERROR(G51/D51,""))</f>
        <v/>
      </c>
      <c r="I51" s="24" t="str">
        <f aca="false">IF($A51="","",IFERROR(B51+ROUND(D51*7/5,0),""))</f>
        <v/>
      </c>
      <c r="J51" s="22" t="str">
        <f aca="false">IF($A51="","",IFERROR(I51-E51,""))</f>
        <v/>
      </c>
      <c r="K51" s="22" t="str">
        <f aca="false">IF($A51="","",IFERROR(IF(G51-INDEX($AB$5:$AB$13,MATCH(G51,$AB$5:$AB$13,1))&lt;=INDEX($AB$5:$AB$13,MIN(MATCH(G51,$AB$5:$AB$13,1)+1,9))-G51,INDEX($AB$5:$AB$13,MATCH(G51,$AB$5:$AB$13,1)),INDEX($AB$5:$AB$13,MIN(MATCH(G51,$AB$5:$AB$13,1)+1,9))),30))</f>
        <v/>
      </c>
      <c r="L51" s="22" t="str">
        <f aca="false">IF($A51="","",IFERROR(ABS(G51-K51),""))</f>
        <v/>
      </c>
      <c r="M51" s="20"/>
      <c r="N51" s="22" t="str">
        <f aca="false">IF($A51="","",IFERROR(ROUND(M51*1.618,0),""))</f>
        <v/>
      </c>
      <c r="O51" s="24" t="str">
        <f aca="false">IF($A51="","",IFERROR(C51+ROUND(N51*7/5,0),""))</f>
        <v/>
      </c>
      <c r="P51" s="25"/>
      <c r="Q51" s="25"/>
      <c r="R51" s="20"/>
      <c r="S51" s="26" t="str">
        <f aca="false">IF($A51="","",IF(OR(D51="",H51=""),0,IF(OR(H51&lt;=0.15,H51&gt;=0.9),4,IF(AND(H51&gt;=0.35,H51&lt;=0.6),-3,IF(H51&lt;0.35,2,-1)))))</f>
        <v/>
      </c>
      <c r="T51" s="26" t="str">
        <f aca="false">IF($A51="","",IF(OR(L51="",L51&gt;TIME_TOL),0,IF(S51&gt;0,2,-2)))</f>
        <v/>
      </c>
      <c r="U51" s="26" t="str">
        <f aca="false">IF($A51="","",IF(P51="",0,(IF(P51="3",4,IF(P51="1",2,IF(P51="2",1,IF(P51="4",1,IF(P51="5",-1,IF(P51="A",-3,IF(P51="B",-2,IF(P51="C",-4,0)))))))))*IF(R51="",0.6,R51/5)))</f>
        <v/>
      </c>
      <c r="V51" s="26" t="str">
        <f aca="false">IF($A51="","",MAX(-10,MIN(10,S51+T51+U51)))</f>
        <v/>
      </c>
      <c r="W51" s="27" t="str">
        <f aca="false">IF($A51="","",IF(W_TIME=0,"غیرفعال (وزن صفر)","فعال"))</f>
        <v/>
      </c>
      <c r="Z51" s="30"/>
    </row>
    <row r="52" customFormat="false" ht="15" hidden="false" customHeight="false" outlineLevel="0" collapsed="false">
      <c r="A52" s="18"/>
      <c r="B52" s="19"/>
      <c r="C52" s="19"/>
      <c r="D52" s="20"/>
      <c r="E52" s="21"/>
      <c r="F52" s="22" t="str">
        <f aca="false">IF($A52="","",IFERROR(E52-B52,""))</f>
        <v/>
      </c>
      <c r="G52" s="22" t="str">
        <f aca="false">IF($A52="","",IFERROR(ROUND(F52*5/7,0),""))</f>
        <v/>
      </c>
      <c r="H52" s="23" t="str">
        <f aca="false">IF($A52="","",IFERROR(G52/D52,""))</f>
        <v/>
      </c>
      <c r="I52" s="24" t="str">
        <f aca="false">IF($A52="","",IFERROR(B52+ROUND(D52*7/5,0),""))</f>
        <v/>
      </c>
      <c r="J52" s="22" t="str">
        <f aca="false">IF($A52="","",IFERROR(I52-E52,""))</f>
        <v/>
      </c>
      <c r="K52" s="22" t="str">
        <f aca="false">IF($A52="","",IFERROR(IF(G52-INDEX($AB$5:$AB$13,MATCH(G52,$AB$5:$AB$13,1))&lt;=INDEX($AB$5:$AB$13,MIN(MATCH(G52,$AB$5:$AB$13,1)+1,9))-G52,INDEX($AB$5:$AB$13,MATCH(G52,$AB$5:$AB$13,1)),INDEX($AB$5:$AB$13,MIN(MATCH(G52,$AB$5:$AB$13,1)+1,9))),30))</f>
        <v/>
      </c>
      <c r="L52" s="22" t="str">
        <f aca="false">IF($A52="","",IFERROR(ABS(G52-K52),""))</f>
        <v/>
      </c>
      <c r="M52" s="20"/>
      <c r="N52" s="22" t="str">
        <f aca="false">IF($A52="","",IFERROR(ROUND(M52*1.618,0),""))</f>
        <v/>
      </c>
      <c r="O52" s="24" t="str">
        <f aca="false">IF($A52="","",IFERROR(C52+ROUND(N52*7/5,0),""))</f>
        <v/>
      </c>
      <c r="P52" s="25"/>
      <c r="Q52" s="25"/>
      <c r="R52" s="20"/>
      <c r="S52" s="26" t="str">
        <f aca="false">IF($A52="","",IF(OR(D52="",H52=""),0,IF(OR(H52&lt;=0.15,H52&gt;=0.9),4,IF(AND(H52&gt;=0.35,H52&lt;=0.6),-3,IF(H52&lt;0.35,2,-1)))))</f>
        <v/>
      </c>
      <c r="T52" s="26" t="str">
        <f aca="false">IF($A52="","",IF(OR(L52="",L52&gt;TIME_TOL),0,IF(S52&gt;0,2,-2)))</f>
        <v/>
      </c>
      <c r="U52" s="26" t="str">
        <f aca="false">IF($A52="","",IF(P52="",0,(IF(P52="3",4,IF(P52="1",2,IF(P52="2",1,IF(P52="4",1,IF(P52="5",-1,IF(P52="A",-3,IF(P52="B",-2,IF(P52="C",-4,0)))))))))*IF(R52="",0.6,R52/5)))</f>
        <v/>
      </c>
      <c r="V52" s="26" t="str">
        <f aca="false">IF($A52="","",MAX(-10,MIN(10,S52+T52+U52)))</f>
        <v/>
      </c>
      <c r="W52" s="27" t="str">
        <f aca="false">IF($A52="","",IF(W_TIME=0,"غیرفعال (وزن صفر)","فعال"))</f>
        <v/>
      </c>
      <c r="Z52" s="30"/>
    </row>
    <row r="53" customFormat="false" ht="15" hidden="false" customHeight="false" outlineLevel="0" collapsed="false">
      <c r="A53" s="18"/>
      <c r="B53" s="19"/>
      <c r="C53" s="19"/>
      <c r="D53" s="20"/>
      <c r="E53" s="21"/>
      <c r="F53" s="22" t="str">
        <f aca="false">IF($A53="","",IFERROR(E53-B53,""))</f>
        <v/>
      </c>
      <c r="G53" s="22" t="str">
        <f aca="false">IF($A53="","",IFERROR(ROUND(F53*5/7,0),""))</f>
        <v/>
      </c>
      <c r="H53" s="23" t="str">
        <f aca="false">IF($A53="","",IFERROR(G53/D53,""))</f>
        <v/>
      </c>
      <c r="I53" s="24" t="str">
        <f aca="false">IF($A53="","",IFERROR(B53+ROUND(D53*7/5,0),""))</f>
        <v/>
      </c>
      <c r="J53" s="22" t="str">
        <f aca="false">IF($A53="","",IFERROR(I53-E53,""))</f>
        <v/>
      </c>
      <c r="K53" s="22" t="str">
        <f aca="false">IF($A53="","",IFERROR(IF(G53-INDEX($AB$5:$AB$13,MATCH(G53,$AB$5:$AB$13,1))&lt;=INDEX($AB$5:$AB$13,MIN(MATCH(G53,$AB$5:$AB$13,1)+1,9))-G53,INDEX($AB$5:$AB$13,MATCH(G53,$AB$5:$AB$13,1)),INDEX($AB$5:$AB$13,MIN(MATCH(G53,$AB$5:$AB$13,1)+1,9))),30))</f>
        <v/>
      </c>
      <c r="L53" s="22" t="str">
        <f aca="false">IF($A53="","",IFERROR(ABS(G53-K53),""))</f>
        <v/>
      </c>
      <c r="M53" s="20"/>
      <c r="N53" s="22" t="str">
        <f aca="false">IF($A53="","",IFERROR(ROUND(M53*1.618,0),""))</f>
        <v/>
      </c>
      <c r="O53" s="24" t="str">
        <f aca="false">IF($A53="","",IFERROR(C53+ROUND(N53*7/5,0),""))</f>
        <v/>
      </c>
      <c r="P53" s="25"/>
      <c r="Q53" s="25"/>
      <c r="R53" s="20"/>
      <c r="S53" s="26" t="str">
        <f aca="false">IF($A53="","",IF(OR(D53="",H53=""),0,IF(OR(H53&lt;=0.15,H53&gt;=0.9),4,IF(AND(H53&gt;=0.35,H53&lt;=0.6),-3,IF(H53&lt;0.35,2,-1)))))</f>
        <v/>
      </c>
      <c r="T53" s="26" t="str">
        <f aca="false">IF($A53="","",IF(OR(L53="",L53&gt;TIME_TOL),0,IF(S53&gt;0,2,-2)))</f>
        <v/>
      </c>
      <c r="U53" s="26" t="str">
        <f aca="false">IF($A53="","",IF(P53="",0,(IF(P53="3",4,IF(P53="1",2,IF(P53="2",1,IF(P53="4",1,IF(P53="5",-1,IF(P53="A",-3,IF(P53="B",-2,IF(P53="C",-4,0)))))))))*IF(R53="",0.6,R53/5)))</f>
        <v/>
      </c>
      <c r="V53" s="26" t="str">
        <f aca="false">IF($A53="","",MAX(-10,MIN(10,S53+T53+U53)))</f>
        <v/>
      </c>
      <c r="W53" s="27" t="str">
        <f aca="false">IF($A53="","",IF(W_TIME=0,"غیرفعال (وزن صفر)","فعال"))</f>
        <v/>
      </c>
      <c r="Z53" s="30"/>
    </row>
    <row r="54" customFormat="false" ht="15" hidden="false" customHeight="false" outlineLevel="0" collapsed="false">
      <c r="A54" s="18"/>
      <c r="B54" s="19"/>
      <c r="C54" s="19"/>
      <c r="D54" s="20"/>
      <c r="E54" s="21"/>
      <c r="F54" s="22" t="str">
        <f aca="false">IF($A54="","",IFERROR(E54-B54,""))</f>
        <v/>
      </c>
      <c r="G54" s="22" t="str">
        <f aca="false">IF($A54="","",IFERROR(ROUND(F54*5/7,0),""))</f>
        <v/>
      </c>
      <c r="H54" s="23" t="str">
        <f aca="false">IF($A54="","",IFERROR(G54/D54,""))</f>
        <v/>
      </c>
      <c r="I54" s="24" t="str">
        <f aca="false">IF($A54="","",IFERROR(B54+ROUND(D54*7/5,0),""))</f>
        <v/>
      </c>
      <c r="J54" s="22" t="str">
        <f aca="false">IF($A54="","",IFERROR(I54-E54,""))</f>
        <v/>
      </c>
      <c r="K54" s="22" t="str">
        <f aca="false">IF($A54="","",IFERROR(IF(G54-INDEX($AB$5:$AB$13,MATCH(G54,$AB$5:$AB$13,1))&lt;=INDEX($AB$5:$AB$13,MIN(MATCH(G54,$AB$5:$AB$13,1)+1,9))-G54,INDEX($AB$5:$AB$13,MATCH(G54,$AB$5:$AB$13,1)),INDEX($AB$5:$AB$13,MIN(MATCH(G54,$AB$5:$AB$13,1)+1,9))),30))</f>
        <v/>
      </c>
      <c r="L54" s="22" t="str">
        <f aca="false">IF($A54="","",IFERROR(ABS(G54-K54),""))</f>
        <v/>
      </c>
      <c r="M54" s="20"/>
      <c r="N54" s="22" t="str">
        <f aca="false">IF($A54="","",IFERROR(ROUND(M54*1.618,0),""))</f>
        <v/>
      </c>
      <c r="O54" s="24" t="str">
        <f aca="false">IF($A54="","",IFERROR(C54+ROUND(N54*7/5,0),""))</f>
        <v/>
      </c>
      <c r="P54" s="25"/>
      <c r="Q54" s="25"/>
      <c r="R54" s="20"/>
      <c r="S54" s="26" t="str">
        <f aca="false">IF($A54="","",IF(OR(D54="",H54=""),0,IF(OR(H54&lt;=0.15,H54&gt;=0.9),4,IF(AND(H54&gt;=0.35,H54&lt;=0.6),-3,IF(H54&lt;0.35,2,-1)))))</f>
        <v/>
      </c>
      <c r="T54" s="26" t="str">
        <f aca="false">IF($A54="","",IF(OR(L54="",L54&gt;TIME_TOL),0,IF(S54&gt;0,2,-2)))</f>
        <v/>
      </c>
      <c r="U54" s="26" t="str">
        <f aca="false">IF($A54="","",IF(P54="",0,(IF(P54="3",4,IF(P54="1",2,IF(P54="2",1,IF(P54="4",1,IF(P54="5",-1,IF(P54="A",-3,IF(P54="B",-2,IF(P54="C",-4,0)))))))))*IF(R54="",0.6,R54/5)))</f>
        <v/>
      </c>
      <c r="V54" s="26" t="str">
        <f aca="false">IF($A54="","",MAX(-10,MIN(10,S54+T54+U54)))</f>
        <v/>
      </c>
      <c r="W54" s="27" t="str">
        <f aca="false">IF($A54="","",IF(W_TIME=0,"غیرفعال (وزن صفر)","فعال"))</f>
        <v/>
      </c>
      <c r="Z54" s="30"/>
    </row>
    <row r="55" customFormat="false" ht="15" hidden="false" customHeight="false" outlineLevel="0" collapsed="false">
      <c r="A55" s="18"/>
      <c r="B55" s="19"/>
      <c r="C55" s="19"/>
      <c r="D55" s="20"/>
      <c r="E55" s="21"/>
      <c r="F55" s="22" t="str">
        <f aca="false">IF($A55="","",IFERROR(E55-B55,""))</f>
        <v/>
      </c>
      <c r="G55" s="22" t="str">
        <f aca="false">IF($A55="","",IFERROR(ROUND(F55*5/7,0),""))</f>
        <v/>
      </c>
      <c r="H55" s="23" t="str">
        <f aca="false">IF($A55="","",IFERROR(G55/D55,""))</f>
        <v/>
      </c>
      <c r="I55" s="24" t="str">
        <f aca="false">IF($A55="","",IFERROR(B55+ROUND(D55*7/5,0),""))</f>
        <v/>
      </c>
      <c r="J55" s="22" t="str">
        <f aca="false">IF($A55="","",IFERROR(I55-E55,""))</f>
        <v/>
      </c>
      <c r="K55" s="22" t="str">
        <f aca="false">IF($A55="","",IFERROR(IF(G55-INDEX($AB$5:$AB$13,MATCH(G55,$AB$5:$AB$13,1))&lt;=INDEX($AB$5:$AB$13,MIN(MATCH(G55,$AB$5:$AB$13,1)+1,9))-G55,INDEX($AB$5:$AB$13,MATCH(G55,$AB$5:$AB$13,1)),INDEX($AB$5:$AB$13,MIN(MATCH(G55,$AB$5:$AB$13,1)+1,9))),30))</f>
        <v/>
      </c>
      <c r="L55" s="22" t="str">
        <f aca="false">IF($A55="","",IFERROR(ABS(G55-K55),""))</f>
        <v/>
      </c>
      <c r="M55" s="20"/>
      <c r="N55" s="22" t="str">
        <f aca="false">IF($A55="","",IFERROR(ROUND(M55*1.618,0),""))</f>
        <v/>
      </c>
      <c r="O55" s="24" t="str">
        <f aca="false">IF($A55="","",IFERROR(C55+ROUND(N55*7/5,0),""))</f>
        <v/>
      </c>
      <c r="P55" s="25"/>
      <c r="Q55" s="25"/>
      <c r="R55" s="20"/>
      <c r="S55" s="26" t="str">
        <f aca="false">IF($A55="","",IF(OR(D55="",H55=""),0,IF(OR(H55&lt;=0.15,H55&gt;=0.9),4,IF(AND(H55&gt;=0.35,H55&lt;=0.6),-3,IF(H55&lt;0.35,2,-1)))))</f>
        <v/>
      </c>
      <c r="T55" s="26" t="str">
        <f aca="false">IF($A55="","",IF(OR(L55="",L55&gt;TIME_TOL),0,IF(S55&gt;0,2,-2)))</f>
        <v/>
      </c>
      <c r="U55" s="26" t="str">
        <f aca="false">IF($A55="","",IF(P55="",0,(IF(P55="3",4,IF(P55="1",2,IF(P55="2",1,IF(P55="4",1,IF(P55="5",-1,IF(P55="A",-3,IF(P55="B",-2,IF(P55="C",-4,0)))))))))*IF(R55="",0.6,R55/5)))</f>
        <v/>
      </c>
      <c r="V55" s="26" t="str">
        <f aca="false">IF($A55="","",MAX(-10,MIN(10,S55+T55+U55)))</f>
        <v/>
      </c>
      <c r="W55" s="27" t="str">
        <f aca="false">IF($A55="","",IF(W_TIME=0,"غیرفعال (وزن صفر)","فعال"))</f>
        <v/>
      </c>
      <c r="Z55" s="30"/>
    </row>
    <row r="56" customFormat="false" ht="15" hidden="false" customHeight="false" outlineLevel="0" collapsed="false">
      <c r="A56" s="18"/>
      <c r="B56" s="19"/>
      <c r="C56" s="19"/>
      <c r="D56" s="20"/>
      <c r="E56" s="21"/>
      <c r="F56" s="22" t="str">
        <f aca="false">IF($A56="","",IFERROR(E56-B56,""))</f>
        <v/>
      </c>
      <c r="G56" s="22" t="str">
        <f aca="false">IF($A56="","",IFERROR(ROUND(F56*5/7,0),""))</f>
        <v/>
      </c>
      <c r="H56" s="23" t="str">
        <f aca="false">IF($A56="","",IFERROR(G56/D56,""))</f>
        <v/>
      </c>
      <c r="I56" s="24" t="str">
        <f aca="false">IF($A56="","",IFERROR(B56+ROUND(D56*7/5,0),""))</f>
        <v/>
      </c>
      <c r="J56" s="22" t="str">
        <f aca="false">IF($A56="","",IFERROR(I56-E56,""))</f>
        <v/>
      </c>
      <c r="K56" s="22" t="str">
        <f aca="false">IF($A56="","",IFERROR(IF(G56-INDEX($AB$5:$AB$13,MATCH(G56,$AB$5:$AB$13,1))&lt;=INDEX($AB$5:$AB$13,MIN(MATCH(G56,$AB$5:$AB$13,1)+1,9))-G56,INDEX($AB$5:$AB$13,MATCH(G56,$AB$5:$AB$13,1)),INDEX($AB$5:$AB$13,MIN(MATCH(G56,$AB$5:$AB$13,1)+1,9))),30))</f>
        <v/>
      </c>
      <c r="L56" s="22" t="str">
        <f aca="false">IF($A56="","",IFERROR(ABS(G56-K56),""))</f>
        <v/>
      </c>
      <c r="M56" s="20"/>
      <c r="N56" s="22" t="str">
        <f aca="false">IF($A56="","",IFERROR(ROUND(M56*1.618,0),""))</f>
        <v/>
      </c>
      <c r="O56" s="24" t="str">
        <f aca="false">IF($A56="","",IFERROR(C56+ROUND(N56*7/5,0),""))</f>
        <v/>
      </c>
      <c r="P56" s="25"/>
      <c r="Q56" s="25"/>
      <c r="R56" s="20"/>
      <c r="S56" s="26" t="str">
        <f aca="false">IF($A56="","",IF(OR(D56="",H56=""),0,IF(OR(H56&lt;=0.15,H56&gt;=0.9),4,IF(AND(H56&gt;=0.35,H56&lt;=0.6),-3,IF(H56&lt;0.35,2,-1)))))</f>
        <v/>
      </c>
      <c r="T56" s="26" t="str">
        <f aca="false">IF($A56="","",IF(OR(L56="",L56&gt;TIME_TOL),0,IF(S56&gt;0,2,-2)))</f>
        <v/>
      </c>
      <c r="U56" s="26" t="str">
        <f aca="false">IF($A56="","",IF(P56="",0,(IF(P56="3",4,IF(P56="1",2,IF(P56="2",1,IF(P56="4",1,IF(P56="5",-1,IF(P56="A",-3,IF(P56="B",-2,IF(P56="C",-4,0)))))))))*IF(R56="",0.6,R56/5)))</f>
        <v/>
      </c>
      <c r="V56" s="26" t="str">
        <f aca="false">IF($A56="","",MAX(-10,MIN(10,S56+T56+U56)))</f>
        <v/>
      </c>
      <c r="W56" s="27" t="str">
        <f aca="false">IF($A56="","",IF(W_TIME=0,"غیرفعال (وزن صفر)","فعال"))</f>
        <v/>
      </c>
      <c r="Z56" s="30"/>
    </row>
    <row r="57" customFormat="false" ht="15" hidden="false" customHeight="false" outlineLevel="0" collapsed="false">
      <c r="A57" s="18"/>
      <c r="B57" s="19"/>
      <c r="C57" s="19"/>
      <c r="D57" s="20"/>
      <c r="E57" s="21"/>
      <c r="F57" s="22" t="str">
        <f aca="false">IF($A57="","",IFERROR(E57-B57,""))</f>
        <v/>
      </c>
      <c r="G57" s="22" t="str">
        <f aca="false">IF($A57="","",IFERROR(ROUND(F57*5/7,0),""))</f>
        <v/>
      </c>
      <c r="H57" s="23" t="str">
        <f aca="false">IF($A57="","",IFERROR(G57/D57,""))</f>
        <v/>
      </c>
      <c r="I57" s="24" t="str">
        <f aca="false">IF($A57="","",IFERROR(B57+ROUND(D57*7/5,0),""))</f>
        <v/>
      </c>
      <c r="J57" s="22" t="str">
        <f aca="false">IF($A57="","",IFERROR(I57-E57,""))</f>
        <v/>
      </c>
      <c r="K57" s="22" t="str">
        <f aca="false">IF($A57="","",IFERROR(IF(G57-INDEX($AB$5:$AB$13,MATCH(G57,$AB$5:$AB$13,1))&lt;=INDEX($AB$5:$AB$13,MIN(MATCH(G57,$AB$5:$AB$13,1)+1,9))-G57,INDEX($AB$5:$AB$13,MATCH(G57,$AB$5:$AB$13,1)),INDEX($AB$5:$AB$13,MIN(MATCH(G57,$AB$5:$AB$13,1)+1,9))),30))</f>
        <v/>
      </c>
      <c r="L57" s="22" t="str">
        <f aca="false">IF($A57="","",IFERROR(ABS(G57-K57),""))</f>
        <v/>
      </c>
      <c r="M57" s="20"/>
      <c r="N57" s="22" t="str">
        <f aca="false">IF($A57="","",IFERROR(ROUND(M57*1.618,0),""))</f>
        <v/>
      </c>
      <c r="O57" s="24" t="str">
        <f aca="false">IF($A57="","",IFERROR(C57+ROUND(N57*7/5,0),""))</f>
        <v/>
      </c>
      <c r="P57" s="25"/>
      <c r="Q57" s="25"/>
      <c r="R57" s="20"/>
      <c r="S57" s="26" t="str">
        <f aca="false">IF($A57="","",IF(OR(D57="",H57=""),0,IF(OR(H57&lt;=0.15,H57&gt;=0.9),4,IF(AND(H57&gt;=0.35,H57&lt;=0.6),-3,IF(H57&lt;0.35,2,-1)))))</f>
        <v/>
      </c>
      <c r="T57" s="26" t="str">
        <f aca="false">IF($A57="","",IF(OR(L57="",L57&gt;TIME_TOL),0,IF(S57&gt;0,2,-2)))</f>
        <v/>
      </c>
      <c r="U57" s="26" t="str">
        <f aca="false">IF($A57="","",IF(P57="",0,(IF(P57="3",4,IF(P57="1",2,IF(P57="2",1,IF(P57="4",1,IF(P57="5",-1,IF(P57="A",-3,IF(P57="B",-2,IF(P57="C",-4,0)))))))))*IF(R57="",0.6,R57/5)))</f>
        <v/>
      </c>
      <c r="V57" s="26" t="str">
        <f aca="false">IF($A57="","",MAX(-10,MIN(10,S57+T57+U57)))</f>
        <v/>
      </c>
      <c r="W57" s="27" t="str">
        <f aca="false">IF($A57="","",IF(W_TIME=0,"غیرفعال (وزن صفر)","فعال"))</f>
        <v/>
      </c>
      <c r="Z57" s="30"/>
    </row>
    <row r="58" customFormat="false" ht="15" hidden="false" customHeight="false" outlineLevel="0" collapsed="false">
      <c r="A58" s="18"/>
      <c r="B58" s="19"/>
      <c r="C58" s="19"/>
      <c r="D58" s="20"/>
      <c r="E58" s="21"/>
      <c r="F58" s="22" t="str">
        <f aca="false">IF($A58="","",IFERROR(E58-B58,""))</f>
        <v/>
      </c>
      <c r="G58" s="22" t="str">
        <f aca="false">IF($A58="","",IFERROR(ROUND(F58*5/7,0),""))</f>
        <v/>
      </c>
      <c r="H58" s="23" t="str">
        <f aca="false">IF($A58="","",IFERROR(G58/D58,""))</f>
        <v/>
      </c>
      <c r="I58" s="24" t="str">
        <f aca="false">IF($A58="","",IFERROR(B58+ROUND(D58*7/5,0),""))</f>
        <v/>
      </c>
      <c r="J58" s="22" t="str">
        <f aca="false">IF($A58="","",IFERROR(I58-E58,""))</f>
        <v/>
      </c>
      <c r="K58" s="22" t="str">
        <f aca="false">IF($A58="","",IFERROR(IF(G58-INDEX($AB$5:$AB$13,MATCH(G58,$AB$5:$AB$13,1))&lt;=INDEX($AB$5:$AB$13,MIN(MATCH(G58,$AB$5:$AB$13,1)+1,9))-G58,INDEX($AB$5:$AB$13,MATCH(G58,$AB$5:$AB$13,1)),INDEX($AB$5:$AB$13,MIN(MATCH(G58,$AB$5:$AB$13,1)+1,9))),30))</f>
        <v/>
      </c>
      <c r="L58" s="22" t="str">
        <f aca="false">IF($A58="","",IFERROR(ABS(G58-K58),""))</f>
        <v/>
      </c>
      <c r="M58" s="20"/>
      <c r="N58" s="22" t="str">
        <f aca="false">IF($A58="","",IFERROR(ROUND(M58*1.618,0),""))</f>
        <v/>
      </c>
      <c r="O58" s="24" t="str">
        <f aca="false">IF($A58="","",IFERROR(C58+ROUND(N58*7/5,0),""))</f>
        <v/>
      </c>
      <c r="P58" s="25"/>
      <c r="Q58" s="25"/>
      <c r="R58" s="20"/>
      <c r="S58" s="26" t="str">
        <f aca="false">IF($A58="","",IF(OR(D58="",H58=""),0,IF(OR(H58&lt;=0.15,H58&gt;=0.9),4,IF(AND(H58&gt;=0.35,H58&lt;=0.6),-3,IF(H58&lt;0.35,2,-1)))))</f>
        <v/>
      </c>
      <c r="T58" s="26" t="str">
        <f aca="false">IF($A58="","",IF(OR(L58="",L58&gt;TIME_TOL),0,IF(S58&gt;0,2,-2)))</f>
        <v/>
      </c>
      <c r="U58" s="26" t="str">
        <f aca="false">IF($A58="","",IF(P58="",0,(IF(P58="3",4,IF(P58="1",2,IF(P58="2",1,IF(P58="4",1,IF(P58="5",-1,IF(P58="A",-3,IF(P58="B",-2,IF(P58="C",-4,0)))))))))*IF(R58="",0.6,R58/5)))</f>
        <v/>
      </c>
      <c r="V58" s="26" t="str">
        <f aca="false">IF($A58="","",MAX(-10,MIN(10,S58+T58+U58)))</f>
        <v/>
      </c>
      <c r="W58" s="27" t="str">
        <f aca="false">IF($A58="","",IF(W_TIME=0,"غیرفعال (وزن صفر)","فعال"))</f>
        <v/>
      </c>
      <c r="Z58" s="30"/>
    </row>
    <row r="59" customFormat="false" ht="15" hidden="false" customHeight="false" outlineLevel="0" collapsed="false">
      <c r="A59" s="18"/>
      <c r="B59" s="19"/>
      <c r="C59" s="19"/>
      <c r="D59" s="20"/>
      <c r="E59" s="21"/>
      <c r="F59" s="22" t="str">
        <f aca="false">IF($A59="","",IFERROR(E59-B59,""))</f>
        <v/>
      </c>
      <c r="G59" s="22" t="str">
        <f aca="false">IF($A59="","",IFERROR(ROUND(F59*5/7,0),""))</f>
        <v/>
      </c>
      <c r="H59" s="23" t="str">
        <f aca="false">IF($A59="","",IFERROR(G59/D59,""))</f>
        <v/>
      </c>
      <c r="I59" s="24" t="str">
        <f aca="false">IF($A59="","",IFERROR(B59+ROUND(D59*7/5,0),""))</f>
        <v/>
      </c>
      <c r="J59" s="22" t="str">
        <f aca="false">IF($A59="","",IFERROR(I59-E59,""))</f>
        <v/>
      </c>
      <c r="K59" s="22" t="str">
        <f aca="false">IF($A59="","",IFERROR(IF(G59-INDEX($AB$5:$AB$13,MATCH(G59,$AB$5:$AB$13,1))&lt;=INDEX($AB$5:$AB$13,MIN(MATCH(G59,$AB$5:$AB$13,1)+1,9))-G59,INDEX($AB$5:$AB$13,MATCH(G59,$AB$5:$AB$13,1)),INDEX($AB$5:$AB$13,MIN(MATCH(G59,$AB$5:$AB$13,1)+1,9))),30))</f>
        <v/>
      </c>
      <c r="L59" s="22" t="str">
        <f aca="false">IF($A59="","",IFERROR(ABS(G59-K59),""))</f>
        <v/>
      </c>
      <c r="M59" s="20"/>
      <c r="N59" s="22" t="str">
        <f aca="false">IF($A59="","",IFERROR(ROUND(M59*1.618,0),""))</f>
        <v/>
      </c>
      <c r="O59" s="24" t="str">
        <f aca="false">IF($A59="","",IFERROR(C59+ROUND(N59*7/5,0),""))</f>
        <v/>
      </c>
      <c r="P59" s="25"/>
      <c r="Q59" s="25"/>
      <c r="R59" s="20"/>
      <c r="S59" s="26" t="str">
        <f aca="false">IF($A59="","",IF(OR(D59="",H59=""),0,IF(OR(H59&lt;=0.15,H59&gt;=0.9),4,IF(AND(H59&gt;=0.35,H59&lt;=0.6),-3,IF(H59&lt;0.35,2,-1)))))</f>
        <v/>
      </c>
      <c r="T59" s="26" t="str">
        <f aca="false">IF($A59="","",IF(OR(L59="",L59&gt;TIME_TOL),0,IF(S59&gt;0,2,-2)))</f>
        <v/>
      </c>
      <c r="U59" s="26" t="str">
        <f aca="false">IF($A59="","",IF(P59="",0,(IF(P59="3",4,IF(P59="1",2,IF(P59="2",1,IF(P59="4",1,IF(P59="5",-1,IF(P59="A",-3,IF(P59="B",-2,IF(P59="C",-4,0)))))))))*IF(R59="",0.6,R59/5)))</f>
        <v/>
      </c>
      <c r="V59" s="26" t="str">
        <f aca="false">IF($A59="","",MAX(-10,MIN(10,S59+T59+U59)))</f>
        <v/>
      </c>
      <c r="W59" s="27" t="str">
        <f aca="false">IF($A59="","",IF(W_TIME=0,"غیرفعال (وزن صفر)","فعال"))</f>
        <v/>
      </c>
      <c r="Z59" s="30"/>
    </row>
    <row r="60" customFormat="false" ht="15" hidden="false" customHeight="false" outlineLevel="0" collapsed="false">
      <c r="A60" s="18"/>
      <c r="B60" s="19"/>
      <c r="C60" s="19"/>
      <c r="D60" s="20"/>
      <c r="E60" s="21"/>
      <c r="F60" s="22" t="str">
        <f aca="false">IF($A60="","",IFERROR(E60-B60,""))</f>
        <v/>
      </c>
      <c r="G60" s="22" t="str">
        <f aca="false">IF($A60="","",IFERROR(ROUND(F60*5/7,0),""))</f>
        <v/>
      </c>
      <c r="H60" s="23" t="str">
        <f aca="false">IF($A60="","",IFERROR(G60/D60,""))</f>
        <v/>
      </c>
      <c r="I60" s="24" t="str">
        <f aca="false">IF($A60="","",IFERROR(B60+ROUND(D60*7/5,0),""))</f>
        <v/>
      </c>
      <c r="J60" s="22" t="str">
        <f aca="false">IF($A60="","",IFERROR(I60-E60,""))</f>
        <v/>
      </c>
      <c r="K60" s="22" t="str">
        <f aca="false">IF($A60="","",IFERROR(IF(G60-INDEX($AB$5:$AB$13,MATCH(G60,$AB$5:$AB$13,1))&lt;=INDEX($AB$5:$AB$13,MIN(MATCH(G60,$AB$5:$AB$13,1)+1,9))-G60,INDEX($AB$5:$AB$13,MATCH(G60,$AB$5:$AB$13,1)),INDEX($AB$5:$AB$13,MIN(MATCH(G60,$AB$5:$AB$13,1)+1,9))),30))</f>
        <v/>
      </c>
      <c r="L60" s="22" t="str">
        <f aca="false">IF($A60="","",IFERROR(ABS(G60-K60),""))</f>
        <v/>
      </c>
      <c r="M60" s="20"/>
      <c r="N60" s="22" t="str">
        <f aca="false">IF($A60="","",IFERROR(ROUND(M60*1.618,0),""))</f>
        <v/>
      </c>
      <c r="O60" s="24" t="str">
        <f aca="false">IF($A60="","",IFERROR(C60+ROUND(N60*7/5,0),""))</f>
        <v/>
      </c>
      <c r="P60" s="25"/>
      <c r="Q60" s="25"/>
      <c r="R60" s="20"/>
      <c r="S60" s="26" t="str">
        <f aca="false">IF($A60="","",IF(OR(D60="",H60=""),0,IF(OR(H60&lt;=0.15,H60&gt;=0.9),4,IF(AND(H60&gt;=0.35,H60&lt;=0.6),-3,IF(H60&lt;0.35,2,-1)))))</f>
        <v/>
      </c>
      <c r="T60" s="26" t="str">
        <f aca="false">IF($A60="","",IF(OR(L60="",L60&gt;TIME_TOL),0,IF(S60&gt;0,2,-2)))</f>
        <v/>
      </c>
      <c r="U60" s="26" t="str">
        <f aca="false">IF($A60="","",IF(P60="",0,(IF(P60="3",4,IF(P60="1",2,IF(P60="2",1,IF(P60="4",1,IF(P60="5",-1,IF(P60="A",-3,IF(P60="B",-2,IF(P60="C",-4,0)))))))))*IF(R60="",0.6,R60/5)))</f>
        <v/>
      </c>
      <c r="V60" s="26" t="str">
        <f aca="false">IF($A60="","",MAX(-10,MIN(10,S60+T60+U60)))</f>
        <v/>
      </c>
      <c r="W60" s="27" t="str">
        <f aca="false">IF($A60="","",IF(W_TIME=0,"غیرفعال (وزن صفر)","فعال"))</f>
        <v/>
      </c>
      <c r="Z60" s="30"/>
    </row>
    <row r="61" customFormat="false" ht="15" hidden="false" customHeight="false" outlineLevel="0" collapsed="false">
      <c r="A61" s="18"/>
      <c r="B61" s="19"/>
      <c r="C61" s="19"/>
      <c r="D61" s="20"/>
      <c r="E61" s="21"/>
      <c r="F61" s="22" t="str">
        <f aca="false">IF($A61="","",IFERROR(E61-B61,""))</f>
        <v/>
      </c>
      <c r="G61" s="22" t="str">
        <f aca="false">IF($A61="","",IFERROR(ROUND(F61*5/7,0),""))</f>
        <v/>
      </c>
      <c r="H61" s="23" t="str">
        <f aca="false">IF($A61="","",IFERROR(G61/D61,""))</f>
        <v/>
      </c>
      <c r="I61" s="24" t="str">
        <f aca="false">IF($A61="","",IFERROR(B61+ROUND(D61*7/5,0),""))</f>
        <v/>
      </c>
      <c r="J61" s="22" t="str">
        <f aca="false">IF($A61="","",IFERROR(I61-E61,""))</f>
        <v/>
      </c>
      <c r="K61" s="22" t="str">
        <f aca="false">IF($A61="","",IFERROR(IF(G61-INDEX($AB$5:$AB$13,MATCH(G61,$AB$5:$AB$13,1))&lt;=INDEX($AB$5:$AB$13,MIN(MATCH(G61,$AB$5:$AB$13,1)+1,9))-G61,INDEX($AB$5:$AB$13,MATCH(G61,$AB$5:$AB$13,1)),INDEX($AB$5:$AB$13,MIN(MATCH(G61,$AB$5:$AB$13,1)+1,9))),30))</f>
        <v/>
      </c>
      <c r="L61" s="22" t="str">
        <f aca="false">IF($A61="","",IFERROR(ABS(G61-K61),""))</f>
        <v/>
      </c>
      <c r="M61" s="20"/>
      <c r="N61" s="22" t="str">
        <f aca="false">IF($A61="","",IFERROR(ROUND(M61*1.618,0),""))</f>
        <v/>
      </c>
      <c r="O61" s="24" t="str">
        <f aca="false">IF($A61="","",IFERROR(C61+ROUND(N61*7/5,0),""))</f>
        <v/>
      </c>
      <c r="P61" s="25"/>
      <c r="Q61" s="25"/>
      <c r="R61" s="20"/>
      <c r="S61" s="26" t="str">
        <f aca="false">IF($A61="","",IF(OR(D61="",H61=""),0,IF(OR(H61&lt;=0.15,H61&gt;=0.9),4,IF(AND(H61&gt;=0.35,H61&lt;=0.6),-3,IF(H61&lt;0.35,2,-1)))))</f>
        <v/>
      </c>
      <c r="T61" s="26" t="str">
        <f aca="false">IF($A61="","",IF(OR(L61="",L61&gt;TIME_TOL),0,IF(S61&gt;0,2,-2)))</f>
        <v/>
      </c>
      <c r="U61" s="26" t="str">
        <f aca="false">IF($A61="","",IF(P61="",0,(IF(P61="3",4,IF(P61="1",2,IF(P61="2",1,IF(P61="4",1,IF(P61="5",-1,IF(P61="A",-3,IF(P61="B",-2,IF(P61="C",-4,0)))))))))*IF(R61="",0.6,R61/5)))</f>
        <v/>
      </c>
      <c r="V61" s="26" t="str">
        <f aca="false">IF($A61="","",MAX(-10,MIN(10,S61+T61+U61)))</f>
        <v/>
      </c>
      <c r="W61" s="27" t="str">
        <f aca="false">IF($A61="","",IF(W_TIME=0,"غیرفعال (وزن صفر)","فعال"))</f>
        <v/>
      </c>
      <c r="Z61" s="30"/>
    </row>
    <row r="62" customFormat="false" ht="15" hidden="false" customHeight="false" outlineLevel="0" collapsed="false">
      <c r="A62" s="18"/>
      <c r="B62" s="19"/>
      <c r="C62" s="19"/>
      <c r="D62" s="20"/>
      <c r="E62" s="21"/>
      <c r="F62" s="22" t="str">
        <f aca="false">IF($A62="","",IFERROR(E62-B62,""))</f>
        <v/>
      </c>
      <c r="G62" s="22" t="str">
        <f aca="false">IF($A62="","",IFERROR(ROUND(F62*5/7,0),""))</f>
        <v/>
      </c>
      <c r="H62" s="23" t="str">
        <f aca="false">IF($A62="","",IFERROR(G62/D62,""))</f>
        <v/>
      </c>
      <c r="I62" s="24" t="str">
        <f aca="false">IF($A62="","",IFERROR(B62+ROUND(D62*7/5,0),""))</f>
        <v/>
      </c>
      <c r="J62" s="22" t="str">
        <f aca="false">IF($A62="","",IFERROR(I62-E62,""))</f>
        <v/>
      </c>
      <c r="K62" s="22" t="str">
        <f aca="false">IF($A62="","",IFERROR(IF(G62-INDEX($AB$5:$AB$13,MATCH(G62,$AB$5:$AB$13,1))&lt;=INDEX($AB$5:$AB$13,MIN(MATCH(G62,$AB$5:$AB$13,1)+1,9))-G62,INDEX($AB$5:$AB$13,MATCH(G62,$AB$5:$AB$13,1)),INDEX($AB$5:$AB$13,MIN(MATCH(G62,$AB$5:$AB$13,1)+1,9))),30))</f>
        <v/>
      </c>
      <c r="L62" s="22" t="str">
        <f aca="false">IF($A62="","",IFERROR(ABS(G62-K62),""))</f>
        <v/>
      </c>
      <c r="M62" s="20"/>
      <c r="N62" s="22" t="str">
        <f aca="false">IF($A62="","",IFERROR(ROUND(M62*1.618,0),""))</f>
        <v/>
      </c>
      <c r="O62" s="24" t="str">
        <f aca="false">IF($A62="","",IFERROR(C62+ROUND(N62*7/5,0),""))</f>
        <v/>
      </c>
      <c r="P62" s="25"/>
      <c r="Q62" s="25"/>
      <c r="R62" s="20"/>
      <c r="S62" s="26" t="str">
        <f aca="false">IF($A62="","",IF(OR(D62="",H62=""),0,IF(OR(H62&lt;=0.15,H62&gt;=0.9),4,IF(AND(H62&gt;=0.35,H62&lt;=0.6),-3,IF(H62&lt;0.35,2,-1)))))</f>
        <v/>
      </c>
      <c r="T62" s="26" t="str">
        <f aca="false">IF($A62="","",IF(OR(L62="",L62&gt;TIME_TOL),0,IF(S62&gt;0,2,-2)))</f>
        <v/>
      </c>
      <c r="U62" s="26" t="str">
        <f aca="false">IF($A62="","",IF(P62="",0,(IF(P62="3",4,IF(P62="1",2,IF(P62="2",1,IF(P62="4",1,IF(P62="5",-1,IF(P62="A",-3,IF(P62="B",-2,IF(P62="C",-4,0)))))))))*IF(R62="",0.6,R62/5)))</f>
        <v/>
      </c>
      <c r="V62" s="26" t="str">
        <f aca="false">IF($A62="","",MAX(-10,MIN(10,S62+T62+U62)))</f>
        <v/>
      </c>
      <c r="W62" s="27" t="str">
        <f aca="false">IF($A62="","",IF(W_TIME=0,"غیرفعال (وزن صفر)","فعال"))</f>
        <v/>
      </c>
      <c r="Z62" s="30"/>
    </row>
    <row r="63" customFormat="false" ht="15" hidden="false" customHeight="false" outlineLevel="0" collapsed="false">
      <c r="A63" s="18"/>
      <c r="B63" s="19"/>
      <c r="C63" s="19"/>
      <c r="D63" s="20"/>
      <c r="E63" s="21"/>
      <c r="F63" s="22" t="str">
        <f aca="false">IF($A63="","",IFERROR(E63-B63,""))</f>
        <v/>
      </c>
      <c r="G63" s="22" t="str">
        <f aca="false">IF($A63="","",IFERROR(ROUND(F63*5/7,0),""))</f>
        <v/>
      </c>
      <c r="H63" s="23" t="str">
        <f aca="false">IF($A63="","",IFERROR(G63/D63,""))</f>
        <v/>
      </c>
      <c r="I63" s="24" t="str">
        <f aca="false">IF($A63="","",IFERROR(B63+ROUND(D63*7/5,0),""))</f>
        <v/>
      </c>
      <c r="J63" s="22" t="str">
        <f aca="false">IF($A63="","",IFERROR(I63-E63,""))</f>
        <v/>
      </c>
      <c r="K63" s="22" t="str">
        <f aca="false">IF($A63="","",IFERROR(IF(G63-INDEX($AB$5:$AB$13,MATCH(G63,$AB$5:$AB$13,1))&lt;=INDEX($AB$5:$AB$13,MIN(MATCH(G63,$AB$5:$AB$13,1)+1,9))-G63,INDEX($AB$5:$AB$13,MATCH(G63,$AB$5:$AB$13,1)),INDEX($AB$5:$AB$13,MIN(MATCH(G63,$AB$5:$AB$13,1)+1,9))),30))</f>
        <v/>
      </c>
      <c r="L63" s="22" t="str">
        <f aca="false">IF($A63="","",IFERROR(ABS(G63-K63),""))</f>
        <v/>
      </c>
      <c r="M63" s="20"/>
      <c r="N63" s="22" t="str">
        <f aca="false">IF($A63="","",IFERROR(ROUND(M63*1.618,0),""))</f>
        <v/>
      </c>
      <c r="O63" s="24" t="str">
        <f aca="false">IF($A63="","",IFERROR(C63+ROUND(N63*7/5,0),""))</f>
        <v/>
      </c>
      <c r="P63" s="25"/>
      <c r="Q63" s="25"/>
      <c r="R63" s="20"/>
      <c r="S63" s="26" t="str">
        <f aca="false">IF($A63="","",IF(OR(D63="",H63=""),0,IF(OR(H63&lt;=0.15,H63&gt;=0.9),4,IF(AND(H63&gt;=0.35,H63&lt;=0.6),-3,IF(H63&lt;0.35,2,-1)))))</f>
        <v/>
      </c>
      <c r="T63" s="26" t="str">
        <f aca="false">IF($A63="","",IF(OR(L63="",L63&gt;TIME_TOL),0,IF(S63&gt;0,2,-2)))</f>
        <v/>
      </c>
      <c r="U63" s="26" t="str">
        <f aca="false">IF($A63="","",IF(P63="",0,(IF(P63="3",4,IF(P63="1",2,IF(P63="2",1,IF(P63="4",1,IF(P63="5",-1,IF(P63="A",-3,IF(P63="B",-2,IF(P63="C",-4,0)))))))))*IF(R63="",0.6,R63/5)))</f>
        <v/>
      </c>
      <c r="V63" s="26" t="str">
        <f aca="false">IF($A63="","",MAX(-10,MIN(10,S63+T63+U63)))</f>
        <v/>
      </c>
      <c r="W63" s="27" t="str">
        <f aca="false">IF($A63="","",IF(W_TIME=0,"غیرفعال (وزن صفر)","فعال"))</f>
        <v/>
      </c>
      <c r="Z63" s="30"/>
    </row>
    <row r="64" customFormat="false" ht="15" hidden="false" customHeight="false" outlineLevel="0" collapsed="false">
      <c r="A64" s="18"/>
      <c r="B64" s="19"/>
      <c r="C64" s="19"/>
      <c r="D64" s="20"/>
      <c r="E64" s="21"/>
      <c r="F64" s="22" t="str">
        <f aca="false">IF($A64="","",IFERROR(E64-B64,""))</f>
        <v/>
      </c>
      <c r="G64" s="22" t="str">
        <f aca="false">IF($A64="","",IFERROR(ROUND(F64*5/7,0),""))</f>
        <v/>
      </c>
      <c r="H64" s="23" t="str">
        <f aca="false">IF($A64="","",IFERROR(G64/D64,""))</f>
        <v/>
      </c>
      <c r="I64" s="24" t="str">
        <f aca="false">IF($A64="","",IFERROR(B64+ROUND(D64*7/5,0),""))</f>
        <v/>
      </c>
      <c r="J64" s="22" t="str">
        <f aca="false">IF($A64="","",IFERROR(I64-E64,""))</f>
        <v/>
      </c>
      <c r="K64" s="22" t="str">
        <f aca="false">IF($A64="","",IFERROR(IF(G64-INDEX($AB$5:$AB$13,MATCH(G64,$AB$5:$AB$13,1))&lt;=INDEX($AB$5:$AB$13,MIN(MATCH(G64,$AB$5:$AB$13,1)+1,9))-G64,INDEX($AB$5:$AB$13,MATCH(G64,$AB$5:$AB$13,1)),INDEX($AB$5:$AB$13,MIN(MATCH(G64,$AB$5:$AB$13,1)+1,9))),30))</f>
        <v/>
      </c>
      <c r="L64" s="22" t="str">
        <f aca="false">IF($A64="","",IFERROR(ABS(G64-K64),""))</f>
        <v/>
      </c>
      <c r="M64" s="20"/>
      <c r="N64" s="22" t="str">
        <f aca="false">IF($A64="","",IFERROR(ROUND(M64*1.618,0),""))</f>
        <v/>
      </c>
      <c r="O64" s="24" t="str">
        <f aca="false">IF($A64="","",IFERROR(C64+ROUND(N64*7/5,0),""))</f>
        <v/>
      </c>
      <c r="P64" s="25"/>
      <c r="Q64" s="25"/>
      <c r="R64" s="20"/>
      <c r="S64" s="26" t="str">
        <f aca="false">IF($A64="","",IF(OR(D64="",H64=""),0,IF(OR(H64&lt;=0.15,H64&gt;=0.9),4,IF(AND(H64&gt;=0.35,H64&lt;=0.6),-3,IF(H64&lt;0.35,2,-1)))))</f>
        <v/>
      </c>
      <c r="T64" s="26" t="str">
        <f aca="false">IF($A64="","",IF(OR(L64="",L64&gt;TIME_TOL),0,IF(S64&gt;0,2,-2)))</f>
        <v/>
      </c>
      <c r="U64" s="26" t="str">
        <f aca="false">IF($A64="","",IF(P64="",0,(IF(P64="3",4,IF(P64="1",2,IF(P64="2",1,IF(P64="4",1,IF(P64="5",-1,IF(P64="A",-3,IF(P64="B",-2,IF(P64="C",-4,0)))))))))*IF(R64="",0.6,R64/5)))</f>
        <v/>
      </c>
      <c r="V64" s="26" t="str">
        <f aca="false">IF($A64="","",MAX(-10,MIN(10,S64+T64+U64)))</f>
        <v/>
      </c>
      <c r="W64" s="27" t="str">
        <f aca="false">IF($A64="","",IF(W_TIME=0,"غیرفعال (وزن صفر)","فعال"))</f>
        <v/>
      </c>
      <c r="Z64" s="30"/>
    </row>
    <row r="66" customFormat="false" ht="15" hidden="false" customHeight="true" outlineLevel="0" collapsed="false">
      <c r="A66" s="31" t="s">
        <v>167</v>
      </c>
      <c r="B66" s="31"/>
      <c r="C66" s="31"/>
      <c r="D66" s="31"/>
      <c r="E66" s="31"/>
      <c r="F66" s="31"/>
      <c r="G66" s="31"/>
      <c r="H66" s="31"/>
      <c r="I66" s="31"/>
      <c r="J66" s="31"/>
    </row>
    <row r="67" customFormat="false" ht="15" hidden="false" customHeight="true" outlineLevel="0" collapsed="false">
      <c r="A67" s="32" t="s">
        <v>168</v>
      </c>
      <c r="B67" s="32"/>
      <c r="C67" s="32"/>
      <c r="D67" s="32"/>
      <c r="E67" s="32"/>
      <c r="F67" s="32"/>
      <c r="G67" s="32"/>
      <c r="H67" s="32"/>
      <c r="I67" s="32"/>
      <c r="J67" s="32"/>
    </row>
    <row r="68" customFormat="false" ht="15" hidden="false" customHeight="true" outlineLevel="0" collapsed="false">
      <c r="A68" s="32" t="s">
        <v>169</v>
      </c>
      <c r="B68" s="32"/>
      <c r="C68" s="32"/>
      <c r="D68" s="32"/>
      <c r="E68" s="32"/>
      <c r="F68" s="32"/>
      <c r="G68" s="32"/>
      <c r="H68" s="32"/>
      <c r="I68" s="32"/>
      <c r="J68" s="32"/>
    </row>
    <row r="69" customFormat="false" ht="15" hidden="false" customHeight="true" outlineLevel="0" collapsed="false">
      <c r="A69" s="32" t="s">
        <v>170</v>
      </c>
      <c r="B69" s="32"/>
      <c r="C69" s="32"/>
      <c r="D69" s="32"/>
      <c r="E69" s="32"/>
      <c r="F69" s="32"/>
      <c r="G69" s="32"/>
      <c r="H69" s="32"/>
      <c r="I69" s="32"/>
      <c r="J69" s="32"/>
    </row>
    <row r="70" customFormat="false" ht="15" hidden="false" customHeight="true" outlineLevel="0" collapsed="false">
      <c r="A70" s="32" t="s">
        <v>171</v>
      </c>
      <c r="B70" s="32"/>
      <c r="C70" s="32"/>
      <c r="D70" s="32"/>
      <c r="E70" s="32"/>
      <c r="F70" s="32"/>
      <c r="G70" s="32"/>
      <c r="H70" s="32"/>
      <c r="I70" s="32"/>
      <c r="J70" s="32"/>
    </row>
    <row r="71" customFormat="false" ht="15" hidden="false" customHeight="true" outlineLevel="0" collapsed="false">
      <c r="A71" s="32" t="s">
        <v>172</v>
      </c>
      <c r="B71" s="32"/>
      <c r="C71" s="32"/>
      <c r="D71" s="32"/>
      <c r="E71" s="32"/>
      <c r="F71" s="32"/>
      <c r="G71" s="32"/>
      <c r="H71" s="32"/>
      <c r="I71" s="32"/>
      <c r="J71" s="32"/>
    </row>
    <row r="72" customFormat="false" ht="15" hidden="false" customHeight="true" outlineLevel="0" collapsed="false">
      <c r="A72" s="31" t="s">
        <v>173</v>
      </c>
      <c r="B72" s="31"/>
      <c r="C72" s="31"/>
      <c r="D72" s="31"/>
      <c r="E72" s="31"/>
      <c r="F72" s="31"/>
      <c r="G72" s="31"/>
      <c r="H72" s="31"/>
      <c r="I72" s="31"/>
      <c r="J72" s="31"/>
    </row>
  </sheetData>
  <mergeCells count="9">
    <mergeCell ref="A1:W1"/>
    <mergeCell ref="A2:W2"/>
    <mergeCell ref="A66:J66"/>
    <mergeCell ref="A67:J67"/>
    <mergeCell ref="A68:J68"/>
    <mergeCell ref="A69:J69"/>
    <mergeCell ref="A70:J70"/>
    <mergeCell ref="A71:J71"/>
    <mergeCell ref="A72:J72"/>
  </mergeCells>
  <conditionalFormatting sqref="V5:V64">
    <cfRule type="colorScale" priority="2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dataValidations count="3">
    <dataValidation allowBlank="true" errorStyle="stop" operator="between" showDropDown="false" showErrorMessage="false" showInputMessage="false" sqref="P5:P64" type="list">
      <formula1>"1,2,3,4,5,A,B,C"</formula1>
      <formula2>0</formula2>
    </dataValidation>
    <dataValidation allowBlank="true" errorStyle="stop" operator="between" showDropDown="false" showErrorMessage="false" showInputMessage="false" sqref="Q5:Q64" type="list">
      <formula1>"ریزموج,فرعی,میانی,اولیه,چرخه‌ای,ابرچرخه"</formula1>
      <formula2>0</formula2>
    </dataValidation>
    <dataValidation allowBlank="true" errorStyle="stop" operator="between" showDropDown="false" showErrorMessage="false" showInputMessage="false" sqref="R5:R6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5" min="4" style="0" width="16"/>
    <col collapsed="false" customWidth="true" hidden="false" outlineLevel="0" max="7" min="6" style="0" width="12"/>
    <col collapsed="false" customWidth="true" hidden="false" outlineLevel="0" max="9" min="8" style="0" width="14"/>
    <col collapsed="false" customWidth="true" hidden="false" outlineLevel="0" max="11" min="10" style="0" width="17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4" min="14" style="0" width="40"/>
  </cols>
  <sheetData>
    <row r="1" customFormat="false" ht="27.75" hidden="false" customHeight="true" outlineLevel="0" collapsed="false">
      <c r="A1" s="1" t="s">
        <v>174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8" hidden="false" customHeight="true" outlineLevel="0" collapsed="false">
      <c r="A2" s="2" t="s">
        <v>175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0" hidden="false" customHeight="true" outlineLevel="0" collapsed="false">
      <c r="A3" s="3" t="s">
        <v>176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183</v>
      </c>
      <c r="I3" s="3" t="s">
        <v>184</v>
      </c>
      <c r="J3" s="3" t="s">
        <v>185</v>
      </c>
      <c r="K3" s="3" t="s">
        <v>186</v>
      </c>
      <c r="L3" s="3" t="s">
        <v>187</v>
      </c>
      <c r="M3" s="3" t="s">
        <v>188</v>
      </c>
      <c r="N3" s="3" t="s">
        <v>189</v>
      </c>
    </row>
    <row r="4" customFormat="false" ht="21.75" hidden="false" customHeight="true" outlineLevel="0" collapsed="false">
      <c r="A4" s="4" t="s">
        <v>31</v>
      </c>
      <c r="B4" s="4" t="s">
        <v>190</v>
      </c>
      <c r="C4" s="4" t="s">
        <v>191</v>
      </c>
      <c r="D4" s="4" t="s">
        <v>192</v>
      </c>
      <c r="E4" s="4" t="s">
        <v>192</v>
      </c>
      <c r="F4" s="4" t="s">
        <v>192</v>
      </c>
      <c r="G4" s="4" t="s">
        <v>192</v>
      </c>
      <c r="H4" s="4" t="s">
        <v>193</v>
      </c>
      <c r="I4" s="4" t="s">
        <v>193</v>
      </c>
      <c r="J4" s="4" t="s">
        <v>194</v>
      </c>
      <c r="K4" s="4" t="s">
        <v>195</v>
      </c>
      <c r="L4" s="4" t="s">
        <v>196</v>
      </c>
      <c r="M4" s="4" t="s">
        <v>197</v>
      </c>
      <c r="N4" s="4" t="s">
        <v>31</v>
      </c>
    </row>
    <row r="5" customFormat="false" ht="25.5" hidden="false" customHeight="true" outlineLevel="0" collapsed="false">
      <c r="A5" s="9" t="s">
        <v>39</v>
      </c>
      <c r="B5" s="10"/>
      <c r="C5" s="8"/>
      <c r="D5" s="8"/>
      <c r="E5" s="8"/>
      <c r="F5" s="8"/>
      <c r="G5" s="8"/>
      <c r="H5" s="33"/>
      <c r="I5" s="33"/>
      <c r="J5" s="8"/>
      <c r="K5" s="8"/>
      <c r="L5" s="8"/>
      <c r="M5" s="34"/>
      <c r="N5" s="11"/>
    </row>
    <row r="6" customFormat="false" ht="25.5" hidden="false" customHeight="true" outlineLevel="0" collapsed="false">
      <c r="A6" s="9" t="s">
        <v>4</v>
      </c>
      <c r="B6" s="10"/>
      <c r="C6" s="8"/>
      <c r="D6" s="8"/>
      <c r="E6" s="8"/>
      <c r="F6" s="8"/>
      <c r="G6" s="8"/>
      <c r="H6" s="33"/>
      <c r="I6" s="33"/>
      <c r="J6" s="8"/>
      <c r="K6" s="8"/>
      <c r="L6" s="8"/>
      <c r="M6" s="34"/>
      <c r="N6" s="11"/>
    </row>
    <row r="7" customFormat="false" ht="25.5" hidden="false" customHeight="true" outlineLevel="0" collapsed="false">
      <c r="A7" s="9" t="s">
        <v>6</v>
      </c>
      <c r="B7" s="10"/>
      <c r="C7" s="8"/>
      <c r="D7" s="8"/>
      <c r="E7" s="8"/>
      <c r="F7" s="8"/>
      <c r="G7" s="8"/>
      <c r="H7" s="33"/>
      <c r="I7" s="33"/>
      <c r="J7" s="8"/>
      <c r="K7" s="8"/>
      <c r="L7" s="8"/>
      <c r="M7" s="34"/>
      <c r="N7" s="11"/>
    </row>
    <row r="8" customFormat="false" ht="25.5" hidden="false" customHeight="true" outlineLevel="0" collapsed="false">
      <c r="A8" s="9" t="s">
        <v>44</v>
      </c>
      <c r="B8" s="10"/>
      <c r="C8" s="8"/>
      <c r="D8" s="8"/>
      <c r="E8" s="8"/>
      <c r="F8" s="8"/>
      <c r="G8" s="8"/>
      <c r="H8" s="33"/>
      <c r="I8" s="33"/>
      <c r="J8" s="8"/>
      <c r="K8" s="8"/>
      <c r="L8" s="8"/>
      <c r="M8" s="34"/>
      <c r="N8" s="11"/>
    </row>
    <row r="10" customFormat="false" ht="31.5" hidden="false" customHeight="true" outlineLevel="0" collapsed="false">
      <c r="A10" s="12" t="s">
        <v>198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customFormat="false" ht="31.5" hidden="false" customHeight="true" outlineLevel="0" collapsed="false">
      <c r="A11" s="12" t="s">
        <v>199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customFormat="false" ht="31.5" hidden="false" customHeight="true" outlineLevel="0" collapsed="false">
      <c r="A12" s="12" t="s">
        <v>200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customFormat="false" ht="31.5" hidden="false" customHeight="true" outlineLevel="0" collapsed="false">
      <c r="A13" s="12" t="s">
        <v>201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</sheetData>
  <mergeCells count="6">
    <mergeCell ref="A1:N1"/>
    <mergeCell ref="A2:N2"/>
    <mergeCell ref="A10:N10"/>
    <mergeCell ref="A11:N11"/>
    <mergeCell ref="A12:N12"/>
    <mergeCell ref="A13:N13"/>
  </mergeCells>
  <conditionalFormatting sqref="C5:C8">
    <cfRule type="colorScale" priority="2">
      <colorScale>
        <cfvo type="num" val="0"/>
        <cfvo type="num" val="0.5"/>
        <cfvo type="num" val="1"/>
        <color rgb="FF00B050"/>
        <color rgb="FFFFFFFF"/>
        <color rgb="FFC00000"/>
      </colorScale>
    </cfRule>
  </conditionalFormatting>
  <conditionalFormatting sqref="J5:J8">
    <cfRule type="colorScale" priority="3">
      <colorScale>
        <cfvo type="num" val="0"/>
        <cfvo type="num" val="0.5"/>
        <cfvo type="num" val="1"/>
        <color rgb="FF00B050"/>
        <color rgb="FFFFFFFF"/>
        <color rgb="FFC00000"/>
      </colorScale>
    </cfRule>
  </conditionalFormatting>
  <conditionalFormatting sqref="K5:K8">
    <cfRule type="colorScale" priority="4">
      <colorScale>
        <cfvo type="num" val="0"/>
        <cfvo type="num" val="0.5"/>
        <cfvo type="num" val="1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4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34"/>
    <col collapsed="false" customWidth="true" hidden="false" outlineLevel="0" max="6" min="6" style="0" width="88"/>
  </cols>
  <sheetData>
    <row r="1" customFormat="false" ht="27.75" hidden="false" customHeight="true" outlineLevel="0" collapsed="false">
      <c r="A1" s="1" t="s">
        <v>202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203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204</v>
      </c>
      <c r="B3" s="3" t="s">
        <v>205</v>
      </c>
      <c r="C3" s="3" t="s">
        <v>206</v>
      </c>
      <c r="D3" s="3" t="s">
        <v>207</v>
      </c>
      <c r="E3" s="3" t="s">
        <v>208</v>
      </c>
      <c r="F3" s="3" t="s">
        <v>91</v>
      </c>
    </row>
    <row r="4" customFormat="false" ht="21.75" hidden="false" customHeight="true" outlineLevel="0" collapsed="false">
      <c r="A4" s="4" t="s">
        <v>31</v>
      </c>
      <c r="B4" s="4" t="s">
        <v>31</v>
      </c>
      <c r="C4" s="4" t="s">
        <v>31</v>
      </c>
      <c r="D4" s="4" t="s">
        <v>31</v>
      </c>
      <c r="E4" s="4" t="s">
        <v>209</v>
      </c>
      <c r="F4" s="4" t="s">
        <v>31</v>
      </c>
    </row>
    <row r="5" customFormat="false" ht="30" hidden="false" customHeight="true" outlineLevel="0" collapsed="false">
      <c r="A5" s="35" t="s">
        <v>210</v>
      </c>
      <c r="B5" s="35" t="s">
        <v>211</v>
      </c>
      <c r="C5" s="36" t="n">
        <v>2000</v>
      </c>
      <c r="D5" s="36" t="s">
        <v>212</v>
      </c>
      <c r="E5" s="35" t="s">
        <v>213</v>
      </c>
      <c r="F5" s="35" t="s">
        <v>214</v>
      </c>
    </row>
    <row r="6" customFormat="false" ht="30" hidden="false" customHeight="true" outlineLevel="0" collapsed="false">
      <c r="A6" s="35" t="s">
        <v>215</v>
      </c>
      <c r="B6" s="35" t="s">
        <v>216</v>
      </c>
      <c r="C6" s="36" t="n">
        <v>2014</v>
      </c>
      <c r="D6" s="36" t="s">
        <v>212</v>
      </c>
      <c r="E6" s="35" t="s">
        <v>213</v>
      </c>
      <c r="F6" s="35" t="s">
        <v>217</v>
      </c>
    </row>
    <row r="7" customFormat="false" ht="30" hidden="false" customHeight="true" outlineLevel="0" collapsed="false">
      <c r="A7" s="35" t="s">
        <v>218</v>
      </c>
      <c r="B7" s="35" t="s">
        <v>219</v>
      </c>
      <c r="C7" s="36" t="n">
        <v>2014</v>
      </c>
      <c r="D7" s="36" t="s">
        <v>212</v>
      </c>
      <c r="E7" s="35" t="s">
        <v>213</v>
      </c>
      <c r="F7" s="35" t="s">
        <v>220</v>
      </c>
    </row>
    <row r="8" customFormat="false" ht="30" hidden="false" customHeight="true" outlineLevel="0" collapsed="false">
      <c r="A8" s="35" t="s">
        <v>221</v>
      </c>
      <c r="B8" s="35" t="s">
        <v>222</v>
      </c>
      <c r="C8" s="36" t="n">
        <v>2007</v>
      </c>
      <c r="D8" s="36" t="s">
        <v>223</v>
      </c>
      <c r="E8" s="35" t="s">
        <v>224</v>
      </c>
      <c r="F8" s="35" t="s">
        <v>225</v>
      </c>
    </row>
    <row r="9" customFormat="false" ht="30" hidden="false" customHeight="true" outlineLevel="0" collapsed="false">
      <c r="A9" s="35" t="s">
        <v>226</v>
      </c>
      <c r="B9" s="35" t="s">
        <v>227</v>
      </c>
      <c r="C9" s="36" t="n">
        <v>1982</v>
      </c>
      <c r="D9" s="36" t="s">
        <v>228</v>
      </c>
      <c r="E9" s="35" t="s">
        <v>213</v>
      </c>
      <c r="F9" s="35" t="s">
        <v>229</v>
      </c>
    </row>
    <row r="10" customFormat="false" ht="30" hidden="false" customHeight="true" outlineLevel="0" collapsed="false">
      <c r="A10" s="35" t="s">
        <v>230</v>
      </c>
      <c r="B10" s="35" t="s">
        <v>231</v>
      </c>
      <c r="C10" s="36" t="n">
        <v>1986</v>
      </c>
      <c r="D10" s="36" t="s">
        <v>228</v>
      </c>
      <c r="E10" s="35" t="s">
        <v>213</v>
      </c>
      <c r="F10" s="35" t="s">
        <v>232</v>
      </c>
    </row>
    <row r="11" customFormat="false" ht="30" hidden="false" customHeight="true" outlineLevel="0" collapsed="false">
      <c r="A11" s="35" t="s">
        <v>233</v>
      </c>
      <c r="B11" s="35" t="s">
        <v>234</v>
      </c>
      <c r="C11" s="36" t="n">
        <v>1950</v>
      </c>
      <c r="D11" s="36" t="s">
        <v>235</v>
      </c>
      <c r="E11" s="35" t="s">
        <v>213</v>
      </c>
      <c r="F11" s="35" t="s">
        <v>236</v>
      </c>
    </row>
    <row r="12" customFormat="false" ht="30" hidden="false" customHeight="true" outlineLevel="0" collapsed="false">
      <c r="A12" s="35" t="s">
        <v>237</v>
      </c>
      <c r="B12" s="35" t="s">
        <v>238</v>
      </c>
      <c r="C12" s="36" t="n">
        <v>1973</v>
      </c>
      <c r="D12" s="36" t="s">
        <v>235</v>
      </c>
      <c r="E12" s="35" t="s">
        <v>213</v>
      </c>
      <c r="F12" s="35" t="s">
        <v>239</v>
      </c>
    </row>
    <row r="13" customFormat="false" ht="30" hidden="false" customHeight="true" outlineLevel="0" collapsed="false">
      <c r="A13" s="35" t="s">
        <v>240</v>
      </c>
      <c r="B13" s="35" t="s">
        <v>241</v>
      </c>
      <c r="C13" s="36" t="n">
        <v>1988</v>
      </c>
      <c r="D13" s="36" t="s">
        <v>235</v>
      </c>
      <c r="E13" s="35" t="s">
        <v>213</v>
      </c>
      <c r="F13" s="35" t="s">
        <v>242</v>
      </c>
    </row>
    <row r="14" customFormat="false" ht="30" hidden="false" customHeight="true" outlineLevel="0" collapsed="false">
      <c r="A14" s="35" t="s">
        <v>243</v>
      </c>
      <c r="B14" s="35" t="s">
        <v>244</v>
      </c>
      <c r="C14" s="36" t="n">
        <v>1995</v>
      </c>
      <c r="D14" s="36" t="s">
        <v>235</v>
      </c>
      <c r="E14" s="35" t="s">
        <v>213</v>
      </c>
      <c r="F14" s="35" t="s">
        <v>245</v>
      </c>
    </row>
    <row r="15" customFormat="false" ht="30" hidden="false" customHeight="true" outlineLevel="0" collapsed="false">
      <c r="A15" s="35" t="s">
        <v>246</v>
      </c>
      <c r="B15" s="35" t="s">
        <v>247</v>
      </c>
      <c r="C15" s="36" t="n">
        <v>2004</v>
      </c>
      <c r="D15" s="36" t="s">
        <v>235</v>
      </c>
      <c r="E15" s="35" t="s">
        <v>224</v>
      </c>
      <c r="F15" s="35" t="s">
        <v>248</v>
      </c>
    </row>
    <row r="16" customFormat="false" ht="30" hidden="false" customHeight="true" outlineLevel="0" collapsed="false">
      <c r="A16" s="35" t="s">
        <v>249</v>
      </c>
      <c r="B16" s="35" t="s">
        <v>250</v>
      </c>
      <c r="C16" s="36" t="n">
        <v>2005</v>
      </c>
      <c r="D16" s="36" t="s">
        <v>235</v>
      </c>
      <c r="E16" s="35" t="s">
        <v>213</v>
      </c>
      <c r="F16" s="35" t="s">
        <v>251</v>
      </c>
    </row>
    <row r="17" customFormat="false" ht="30" hidden="false" customHeight="true" outlineLevel="0" collapsed="false">
      <c r="A17" s="35" t="s">
        <v>252</v>
      </c>
      <c r="B17" s="35" t="s">
        <v>253</v>
      </c>
      <c r="C17" s="36" t="n">
        <v>2008</v>
      </c>
      <c r="D17" s="36" t="s">
        <v>235</v>
      </c>
      <c r="E17" s="35" t="s">
        <v>213</v>
      </c>
      <c r="F17" s="35" t="s">
        <v>254</v>
      </c>
    </row>
    <row r="18" customFormat="false" ht="30" hidden="false" customHeight="true" outlineLevel="0" collapsed="false">
      <c r="A18" s="35" t="s">
        <v>255</v>
      </c>
      <c r="B18" s="35" t="s">
        <v>256</v>
      </c>
      <c r="C18" s="36" t="n">
        <v>2015</v>
      </c>
      <c r="D18" s="36" t="s">
        <v>235</v>
      </c>
      <c r="E18" s="35" t="s">
        <v>213</v>
      </c>
      <c r="F18" s="35" t="s">
        <v>257</v>
      </c>
    </row>
    <row r="19" customFormat="false" ht="30" hidden="false" customHeight="true" outlineLevel="0" collapsed="false">
      <c r="A19" s="35" t="s">
        <v>258</v>
      </c>
      <c r="B19" s="35" t="s">
        <v>259</v>
      </c>
      <c r="C19" s="36" t="n">
        <v>1862</v>
      </c>
      <c r="D19" s="36" t="s">
        <v>260</v>
      </c>
      <c r="E19" s="35" t="s">
        <v>213</v>
      </c>
      <c r="F19" s="35" t="s">
        <v>261</v>
      </c>
    </row>
    <row r="20" customFormat="false" ht="30" hidden="false" customHeight="true" outlineLevel="0" collapsed="false">
      <c r="A20" s="35" t="s">
        <v>262</v>
      </c>
      <c r="B20" s="35" t="s">
        <v>263</v>
      </c>
      <c r="C20" s="36" t="n">
        <v>1939</v>
      </c>
      <c r="D20" s="36" t="s">
        <v>260</v>
      </c>
      <c r="E20" s="35" t="s">
        <v>224</v>
      </c>
      <c r="F20" s="35" t="s">
        <v>264</v>
      </c>
    </row>
    <row r="21" customFormat="false" ht="30" hidden="false" customHeight="true" outlineLevel="0" collapsed="false">
      <c r="A21" s="35" t="s">
        <v>265</v>
      </c>
      <c r="B21" s="35" t="s">
        <v>266</v>
      </c>
      <c r="C21" s="36" t="n">
        <v>1989</v>
      </c>
      <c r="D21" s="36" t="s">
        <v>260</v>
      </c>
      <c r="E21" s="35" t="s">
        <v>213</v>
      </c>
      <c r="F21" s="35" t="s">
        <v>267</v>
      </c>
    </row>
    <row r="22" customFormat="false" ht="30" hidden="false" customHeight="true" outlineLevel="0" collapsed="false">
      <c r="A22" s="35" t="s">
        <v>268</v>
      </c>
      <c r="B22" s="35" t="s">
        <v>269</v>
      </c>
      <c r="C22" s="36" t="n">
        <v>1998</v>
      </c>
      <c r="D22" s="36" t="s">
        <v>260</v>
      </c>
      <c r="E22" s="35" t="s">
        <v>213</v>
      </c>
      <c r="F22" s="35" t="s">
        <v>270</v>
      </c>
    </row>
    <row r="23" customFormat="false" ht="30" hidden="false" customHeight="true" outlineLevel="0" collapsed="false">
      <c r="A23" s="35" t="s">
        <v>271</v>
      </c>
      <c r="B23" s="35" t="s">
        <v>272</v>
      </c>
      <c r="C23" s="36" t="n">
        <v>2002</v>
      </c>
      <c r="D23" s="36" t="s">
        <v>260</v>
      </c>
      <c r="E23" s="35" t="s">
        <v>224</v>
      </c>
      <c r="F23" s="35" t="s">
        <v>273</v>
      </c>
    </row>
    <row r="24" customFormat="false" ht="30" hidden="false" customHeight="true" outlineLevel="0" collapsed="false">
      <c r="A24" s="35" t="s">
        <v>274</v>
      </c>
      <c r="B24" s="35" t="s">
        <v>275</v>
      </c>
      <c r="C24" s="36" t="n">
        <v>2016</v>
      </c>
      <c r="D24" s="36" t="s">
        <v>260</v>
      </c>
      <c r="E24" s="35" t="s">
        <v>224</v>
      </c>
      <c r="F24" s="35" t="s">
        <v>276</v>
      </c>
    </row>
    <row r="25" customFormat="false" ht="30" hidden="false" customHeight="true" outlineLevel="0" collapsed="false">
      <c r="A25" s="35" t="s">
        <v>277</v>
      </c>
      <c r="B25" s="35" t="s">
        <v>278</v>
      </c>
      <c r="C25" s="36" t="n">
        <v>1927</v>
      </c>
      <c r="D25" s="36" t="s">
        <v>279</v>
      </c>
      <c r="E25" s="37" t="s">
        <v>280</v>
      </c>
      <c r="F25" s="35" t="s">
        <v>281</v>
      </c>
    </row>
    <row r="26" customFormat="false" ht="30" hidden="false" customHeight="true" outlineLevel="0" collapsed="false">
      <c r="A26" s="35" t="s">
        <v>277</v>
      </c>
      <c r="B26" s="35" t="s">
        <v>282</v>
      </c>
      <c r="C26" s="36" t="n">
        <v>1941</v>
      </c>
      <c r="D26" s="36" t="s">
        <v>279</v>
      </c>
      <c r="E26" s="37" t="s">
        <v>280</v>
      </c>
      <c r="F26" s="35" t="s">
        <v>283</v>
      </c>
    </row>
    <row r="27" customFormat="false" ht="30" hidden="false" customHeight="true" outlineLevel="0" collapsed="false">
      <c r="A27" s="35" t="s">
        <v>284</v>
      </c>
      <c r="B27" s="35" t="s">
        <v>285</v>
      </c>
      <c r="C27" s="36" t="n">
        <v>1970</v>
      </c>
      <c r="D27" s="36" t="s">
        <v>279</v>
      </c>
      <c r="E27" s="37" t="s">
        <v>280</v>
      </c>
      <c r="F27" s="35" t="s">
        <v>286</v>
      </c>
    </row>
    <row r="28" customFormat="false" ht="30" hidden="false" customHeight="true" outlineLevel="0" collapsed="false">
      <c r="A28" s="35" t="s">
        <v>287</v>
      </c>
      <c r="B28" s="35" t="s">
        <v>288</v>
      </c>
      <c r="C28" s="36" t="n">
        <v>1978</v>
      </c>
      <c r="D28" s="36" t="s">
        <v>279</v>
      </c>
      <c r="E28" s="37" t="s">
        <v>280</v>
      </c>
      <c r="F28" s="35" t="s">
        <v>289</v>
      </c>
    </row>
    <row r="29" customFormat="false" ht="30" hidden="false" customHeight="true" outlineLevel="0" collapsed="false">
      <c r="A29" s="35" t="s">
        <v>290</v>
      </c>
      <c r="B29" s="35" t="s">
        <v>291</v>
      </c>
      <c r="C29" s="36" t="n">
        <v>1998</v>
      </c>
      <c r="D29" s="36" t="s">
        <v>279</v>
      </c>
      <c r="E29" s="37" t="s">
        <v>280</v>
      </c>
      <c r="F29" s="35" t="s">
        <v>292</v>
      </c>
    </row>
    <row r="30" customFormat="false" ht="30" hidden="false" customHeight="true" outlineLevel="0" collapsed="false">
      <c r="A30" s="35" t="s">
        <v>293</v>
      </c>
      <c r="B30" s="35" t="s">
        <v>294</v>
      </c>
      <c r="C30" s="36" t="n">
        <v>2003</v>
      </c>
      <c r="D30" s="36" t="s">
        <v>279</v>
      </c>
      <c r="E30" s="37" t="s">
        <v>280</v>
      </c>
      <c r="F30" s="35" t="s">
        <v>295</v>
      </c>
    </row>
    <row r="31" customFormat="false" ht="30" hidden="false" customHeight="true" outlineLevel="0" collapsed="false">
      <c r="A31" s="35" t="s">
        <v>296</v>
      </c>
      <c r="B31" s="35" t="s">
        <v>297</v>
      </c>
      <c r="C31" s="36" t="n">
        <v>2011</v>
      </c>
      <c r="D31" s="36" t="s">
        <v>279</v>
      </c>
      <c r="E31" s="37" t="s">
        <v>280</v>
      </c>
      <c r="F31" s="35" t="s">
        <v>298</v>
      </c>
    </row>
    <row r="32" customFormat="false" ht="30" hidden="false" customHeight="true" outlineLevel="0" collapsed="false">
      <c r="A32" s="35" t="s">
        <v>299</v>
      </c>
      <c r="B32" s="35" t="s">
        <v>300</v>
      </c>
      <c r="C32" s="36" t="n">
        <v>2011</v>
      </c>
      <c r="D32" s="36" t="s">
        <v>279</v>
      </c>
      <c r="E32" s="37" t="s">
        <v>280</v>
      </c>
      <c r="F32" s="35" t="s">
        <v>301</v>
      </c>
    </row>
    <row r="33" customFormat="false" ht="30" hidden="false" customHeight="true" outlineLevel="0" collapsed="false">
      <c r="A33" s="35" t="s">
        <v>302</v>
      </c>
      <c r="B33" s="35" t="s">
        <v>303</v>
      </c>
      <c r="C33" s="36" t="n">
        <v>1987</v>
      </c>
      <c r="D33" s="36" t="s">
        <v>304</v>
      </c>
      <c r="E33" s="35" t="s">
        <v>224</v>
      </c>
      <c r="F33" s="35" t="s">
        <v>305</v>
      </c>
    </row>
    <row r="34" customFormat="false" ht="30" hidden="false" customHeight="true" outlineLevel="0" collapsed="false">
      <c r="A34" s="35" t="s">
        <v>306</v>
      </c>
      <c r="B34" s="35" t="s">
        <v>307</v>
      </c>
      <c r="C34" s="36" t="n">
        <v>1988</v>
      </c>
      <c r="D34" s="36" t="s">
        <v>304</v>
      </c>
      <c r="E34" s="35" t="s">
        <v>224</v>
      </c>
      <c r="F34" s="35" t="s">
        <v>308</v>
      </c>
    </row>
    <row r="35" customFormat="false" ht="30" hidden="false" customHeight="true" outlineLevel="0" collapsed="false">
      <c r="A35" s="35" t="s">
        <v>309</v>
      </c>
      <c r="B35" s="35" t="s">
        <v>310</v>
      </c>
      <c r="C35" s="36" t="n">
        <v>2021</v>
      </c>
      <c r="D35" s="36" t="s">
        <v>304</v>
      </c>
      <c r="E35" s="37" t="s">
        <v>311</v>
      </c>
      <c r="F35" s="35" t="s">
        <v>312</v>
      </c>
    </row>
    <row r="36" customFormat="false" ht="30" hidden="false" customHeight="true" outlineLevel="0" collapsed="false">
      <c r="A36" s="35" t="s">
        <v>313</v>
      </c>
      <c r="B36" s="35" t="s">
        <v>314</v>
      </c>
      <c r="C36" s="36" t="n">
        <v>2023</v>
      </c>
      <c r="D36" s="36" t="s">
        <v>304</v>
      </c>
      <c r="E36" s="37" t="s">
        <v>311</v>
      </c>
      <c r="F36" s="35" t="s">
        <v>315</v>
      </c>
    </row>
    <row r="38" customFormat="false" ht="15" hidden="false" customHeight="true" outlineLevel="0" collapsed="false">
      <c r="A38" s="38" t="s">
        <v>316</v>
      </c>
      <c r="B38" s="38"/>
      <c r="C38" s="38"/>
      <c r="D38" s="38"/>
      <c r="E38" s="38"/>
      <c r="F38" s="38"/>
    </row>
  </sheetData>
  <mergeCells count="3">
    <mergeCell ref="A1:F1"/>
    <mergeCell ref="A2:F2"/>
    <mergeCell ref="A38:F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3"/>
  </cols>
  <sheetData>
    <row r="1" customFormat="false" ht="27.75" hidden="false" customHeight="true" outlineLevel="0" collapsed="false">
      <c r="A1" s="1" t="s">
        <v>317</v>
      </c>
      <c r="B1" s="1"/>
      <c r="C1" s="1"/>
      <c r="D1" s="1"/>
      <c r="E1" s="1"/>
    </row>
    <row r="2" customFormat="false" ht="18" hidden="false" customHeight="true" outlineLevel="0" collapsed="false">
      <c r="A2" s="2" t="s">
        <v>318</v>
      </c>
      <c r="B2" s="2"/>
      <c r="C2" s="2"/>
      <c r="D2" s="2"/>
      <c r="E2" s="2"/>
    </row>
    <row r="4" customFormat="false" ht="19.5" hidden="false" customHeight="true" outlineLevel="0" collapsed="false">
      <c r="B4" s="39" t="s">
        <v>319</v>
      </c>
      <c r="C4" s="39"/>
      <c r="D4" s="39"/>
    </row>
    <row r="5" customFormat="false" ht="15" hidden="false" customHeight="false" outlineLevel="0" collapsed="false">
      <c r="B5" s="40" t="s">
        <v>320</v>
      </c>
      <c r="C5" s="41" t="n">
        <v>20</v>
      </c>
      <c r="D5" s="42" t="s">
        <v>321</v>
      </c>
    </row>
    <row r="6" customFormat="false" ht="15" hidden="false" customHeight="false" outlineLevel="0" collapsed="false">
      <c r="B6" s="40" t="s">
        <v>322</v>
      </c>
      <c r="C6" s="41" t="n">
        <v>50</v>
      </c>
      <c r="D6" s="42" t="s">
        <v>323</v>
      </c>
    </row>
    <row r="7" customFormat="false" ht="15" hidden="false" customHeight="false" outlineLevel="0" collapsed="false">
      <c r="B7" s="40" t="s">
        <v>324</v>
      </c>
      <c r="C7" s="41" t="n">
        <v>100</v>
      </c>
      <c r="D7" s="42"/>
    </row>
    <row r="8" customFormat="false" ht="15" hidden="false" customHeight="false" outlineLevel="0" collapsed="false">
      <c r="B8" s="40" t="s">
        <v>325</v>
      </c>
      <c r="C8" s="41" t="n">
        <v>200</v>
      </c>
      <c r="D8" s="42" t="s">
        <v>326</v>
      </c>
    </row>
    <row r="9" customFormat="false" ht="15" hidden="false" customHeight="false" outlineLevel="0" collapsed="false">
      <c r="B9" s="40" t="s">
        <v>327</v>
      </c>
      <c r="C9" s="41" t="n">
        <v>14</v>
      </c>
      <c r="D9" s="42" t="s">
        <v>328</v>
      </c>
    </row>
    <row r="10" customFormat="false" ht="15" hidden="false" customHeight="false" outlineLevel="0" collapsed="false">
      <c r="B10" s="40" t="s">
        <v>329</v>
      </c>
      <c r="C10" s="43" t="n">
        <v>2</v>
      </c>
      <c r="D10" s="42" t="s">
        <v>330</v>
      </c>
    </row>
    <row r="12" customFormat="false" ht="19.5" hidden="false" customHeight="true" outlineLevel="0" collapsed="false">
      <c r="B12" s="39" t="s">
        <v>331</v>
      </c>
      <c r="C12" s="39"/>
      <c r="D12" s="39"/>
    </row>
    <row r="13" customFormat="false" ht="15" hidden="false" customHeight="false" outlineLevel="0" collapsed="false">
      <c r="B13" s="40" t="s">
        <v>332</v>
      </c>
      <c r="C13" s="44" t="n">
        <v>0.35</v>
      </c>
      <c r="D13" s="42"/>
    </row>
    <row r="14" customFormat="false" ht="15" hidden="false" customHeight="false" outlineLevel="0" collapsed="false">
      <c r="B14" s="40" t="s">
        <v>333</v>
      </c>
      <c r="C14" s="44" t="n">
        <v>0.3</v>
      </c>
      <c r="D14" s="42"/>
    </row>
    <row r="15" customFormat="false" ht="15" hidden="false" customHeight="false" outlineLevel="0" collapsed="false">
      <c r="B15" s="40" t="s">
        <v>334</v>
      </c>
      <c r="C15" s="44" t="n">
        <v>0.15</v>
      </c>
      <c r="D15" s="42"/>
    </row>
    <row r="16" customFormat="false" ht="15" hidden="false" customHeight="false" outlineLevel="0" collapsed="false">
      <c r="B16" s="40" t="s">
        <v>335</v>
      </c>
      <c r="C16" s="44" t="n">
        <v>0.1</v>
      </c>
      <c r="D16" s="42"/>
    </row>
    <row r="17" customFormat="false" ht="15" hidden="false" customHeight="false" outlineLevel="0" collapsed="false">
      <c r="B17" s="40" t="s">
        <v>336</v>
      </c>
      <c r="C17" s="44" t="n">
        <v>0.1</v>
      </c>
      <c r="D17" s="42"/>
    </row>
    <row r="18" customFormat="false" ht="15" hidden="false" customHeight="false" outlineLevel="0" collapsed="false">
      <c r="B18" s="40" t="s">
        <v>337</v>
      </c>
      <c r="C18" s="44" t="n">
        <v>0</v>
      </c>
      <c r="D18" s="42" t="s">
        <v>338</v>
      </c>
    </row>
    <row r="19" customFormat="false" ht="15" hidden="false" customHeight="false" outlineLevel="0" collapsed="false">
      <c r="B19" s="40" t="s">
        <v>339</v>
      </c>
      <c r="C19" s="45" t="n">
        <f aca="false">SUM(C13:C18)</f>
        <v>1</v>
      </c>
      <c r="D19" s="46" t="str">
        <f aca="false">IF(ROUND(C19,6)=1,"✔ وزن‌ها معتبر است","✘ خطا: جمع وزن‌ها باید ۱۰۰٪ باشد")</f>
        <v>✔ وزن‌ها معتبر است</v>
      </c>
    </row>
    <row r="21" customFormat="false" ht="19.5" hidden="false" customHeight="true" outlineLevel="0" collapsed="false">
      <c r="B21" s="39" t="s">
        <v>340</v>
      </c>
      <c r="C21" s="39"/>
      <c r="D21" s="39"/>
    </row>
    <row r="22" customFormat="false" ht="15" hidden="false" customHeight="false" outlineLevel="0" collapsed="false">
      <c r="B22" s="40" t="s">
        <v>341</v>
      </c>
      <c r="C22" s="41" t="n">
        <v>20</v>
      </c>
      <c r="D22" s="42" t="s">
        <v>342</v>
      </c>
    </row>
    <row r="23" customFormat="false" ht="15" hidden="false" customHeight="false" outlineLevel="0" collapsed="false">
      <c r="B23" s="40" t="s">
        <v>343</v>
      </c>
      <c r="C23" s="41" t="n">
        <v>40</v>
      </c>
      <c r="D23" s="42"/>
    </row>
    <row r="24" customFormat="false" ht="15" hidden="false" customHeight="false" outlineLevel="0" collapsed="false">
      <c r="B24" s="40" t="s">
        <v>344</v>
      </c>
      <c r="C24" s="41" t="n">
        <v>80</v>
      </c>
      <c r="D24" s="42"/>
    </row>
    <row r="25" customFormat="false" ht="15" hidden="false" customHeight="false" outlineLevel="0" collapsed="false">
      <c r="B25" s="40" t="s">
        <v>345</v>
      </c>
      <c r="C25" s="41" t="n">
        <v>160</v>
      </c>
      <c r="D25" s="42"/>
    </row>
    <row r="26" customFormat="false" ht="15" hidden="false" customHeight="false" outlineLevel="0" collapsed="false">
      <c r="B26" s="40" t="s">
        <v>346</v>
      </c>
      <c r="C26" s="41" t="n">
        <v>3</v>
      </c>
      <c r="D26" s="42" t="s">
        <v>347</v>
      </c>
    </row>
    <row r="28" customFormat="false" ht="19.5" hidden="false" customHeight="true" outlineLevel="0" collapsed="false">
      <c r="B28" s="39" t="s">
        <v>348</v>
      </c>
      <c r="C28" s="39"/>
      <c r="D28" s="39"/>
    </row>
    <row r="29" customFormat="false" ht="15" hidden="false" customHeight="false" outlineLevel="0" collapsed="false">
      <c r="B29" s="40" t="s">
        <v>349</v>
      </c>
      <c r="C29" s="41" t="n">
        <v>20</v>
      </c>
      <c r="D29" s="42" t="s">
        <v>350</v>
      </c>
    </row>
    <row r="30" customFormat="false" ht="15" hidden="false" customHeight="false" outlineLevel="0" collapsed="false">
      <c r="B30" s="40" t="s">
        <v>351</v>
      </c>
      <c r="C30" s="41" t="n">
        <v>60</v>
      </c>
      <c r="D30" s="42" t="s">
        <v>352</v>
      </c>
    </row>
    <row r="31" customFormat="false" ht="15" hidden="false" customHeight="false" outlineLevel="0" collapsed="false">
      <c r="B31" s="40" t="s">
        <v>353</v>
      </c>
      <c r="C31" s="44" t="n">
        <v>0.07</v>
      </c>
      <c r="D31" s="42" t="s">
        <v>354</v>
      </c>
    </row>
    <row r="32" customFormat="false" ht="15" hidden="false" customHeight="false" outlineLevel="0" collapsed="false">
      <c r="B32" s="40" t="s">
        <v>355</v>
      </c>
      <c r="C32" s="41" t="n">
        <v>50</v>
      </c>
      <c r="D32" s="42" t="s">
        <v>356</v>
      </c>
    </row>
    <row r="34" customFormat="false" ht="15" hidden="false" customHeight="true" outlineLevel="0" collapsed="false">
      <c r="B34" s="38" t="s">
        <v>357</v>
      </c>
      <c r="C34" s="38"/>
      <c r="D34" s="38"/>
    </row>
  </sheetData>
  <mergeCells count="3">
    <mergeCell ref="A1:E1"/>
    <mergeCell ref="A2:E2"/>
    <mergeCell ref="B34:D34"/>
  </mergeCells>
  <conditionalFormatting sqref="D19">
    <cfRule type="expression" priority="2" aboveAverage="0" equalAverage="0" bottom="0" percent="0" rank="0" text="" dxfId="0">
      <formula>ISNUMBER(SEARCH("خطا",D19))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8"/>
    <col collapsed="false" customWidth="true" hidden="false" outlineLevel="0" max="8" min="3" style="0" width="3"/>
  </cols>
  <sheetData>
    <row r="1" customFormat="false" ht="30" hidden="false" customHeight="true" outlineLevel="0" collapsed="false">
      <c r="A1" s="1" t="s">
        <v>358</v>
      </c>
      <c r="B1" s="1"/>
    </row>
    <row r="2" customFormat="false" ht="30" hidden="false" customHeight="true" outlineLevel="0" collapsed="false">
      <c r="A2" s="47" t="s">
        <v>359</v>
      </c>
      <c r="B2" s="47"/>
    </row>
    <row r="3" customFormat="false" ht="33.75" hidden="false" customHeight="true" outlineLevel="0" collapsed="false">
      <c r="A3" s="48" t="s">
        <v>360</v>
      </c>
      <c r="B3" s="48"/>
    </row>
    <row r="4" customFormat="false" ht="24" hidden="false" customHeight="true" outlineLevel="0" collapsed="false">
      <c r="A4" s="49" t="s">
        <v>361</v>
      </c>
      <c r="B4" s="49"/>
    </row>
    <row r="5" customFormat="false" ht="30" hidden="false" customHeight="true" outlineLevel="0" collapsed="false">
      <c r="A5" s="47" t="s">
        <v>362</v>
      </c>
      <c r="B5" s="47"/>
    </row>
    <row r="6" customFormat="false" ht="18" hidden="false" customHeight="true" outlineLevel="0" collapsed="false">
      <c r="A6" s="50" t="s">
        <v>363</v>
      </c>
      <c r="B6" s="50"/>
    </row>
    <row r="7" customFormat="false" ht="18" hidden="false" customHeight="true" outlineLevel="0" collapsed="false">
      <c r="A7" s="50" t="s">
        <v>364</v>
      </c>
      <c r="B7" s="50"/>
    </row>
    <row r="8" customFormat="false" ht="18" hidden="false" customHeight="true" outlineLevel="0" collapsed="false">
      <c r="A8" s="50" t="s">
        <v>365</v>
      </c>
      <c r="B8" s="50"/>
    </row>
    <row r="9" customFormat="false" ht="30" hidden="false" customHeight="true" outlineLevel="0" collapsed="false">
      <c r="A9" s="47" t="s">
        <v>366</v>
      </c>
      <c r="B9" s="47"/>
    </row>
    <row r="10" customFormat="false" ht="24" hidden="false" customHeight="true" outlineLevel="0" collapsed="false">
      <c r="A10" s="49" t="s">
        <v>367</v>
      </c>
      <c r="B10" s="49"/>
    </row>
    <row r="11" customFormat="false" ht="30" hidden="false" customHeight="true" outlineLevel="0" collapsed="false">
      <c r="A11" s="47" t="s">
        <v>368</v>
      </c>
      <c r="B11" s="47"/>
    </row>
    <row r="12" customFormat="false" ht="30" hidden="false" customHeight="true" outlineLevel="0" collapsed="false">
      <c r="A12" s="47" t="s">
        <v>369</v>
      </c>
      <c r="B12" s="47"/>
    </row>
    <row r="13" customFormat="false" ht="18" hidden="false" customHeight="true" outlineLevel="0" collapsed="false">
      <c r="A13" s="50" t="s">
        <v>370</v>
      </c>
      <c r="B13" s="50"/>
    </row>
    <row r="14" customFormat="false" ht="18" hidden="false" customHeight="true" outlineLevel="0" collapsed="false">
      <c r="A14" s="50" t="s">
        <v>371</v>
      </c>
      <c r="B14" s="50"/>
    </row>
    <row r="15" customFormat="false" ht="18" hidden="false" customHeight="true" outlineLevel="0" collapsed="false">
      <c r="A15" s="50" t="s">
        <v>372</v>
      </c>
      <c r="B15" s="50"/>
    </row>
    <row r="16" customFormat="false" ht="24" hidden="false" customHeight="true" outlineLevel="0" collapsed="false">
      <c r="A16" s="49" t="s">
        <v>373</v>
      </c>
      <c r="B16" s="49"/>
    </row>
    <row r="17" customFormat="false" ht="18" hidden="false" customHeight="true" outlineLevel="0" collapsed="false">
      <c r="A17" s="50" t="s">
        <v>374</v>
      </c>
      <c r="B17" s="50"/>
    </row>
    <row r="18" customFormat="false" ht="18" hidden="false" customHeight="true" outlineLevel="0" collapsed="false">
      <c r="A18" s="50" t="s">
        <v>375</v>
      </c>
      <c r="B18" s="50"/>
    </row>
    <row r="19" customFormat="false" ht="18" hidden="false" customHeight="true" outlineLevel="0" collapsed="false">
      <c r="A19" s="50" t="s">
        <v>376</v>
      </c>
      <c r="B19" s="50"/>
    </row>
    <row r="20" customFormat="false" ht="18" hidden="false" customHeight="true" outlineLevel="0" collapsed="false">
      <c r="A20" s="50" t="s">
        <v>377</v>
      </c>
      <c r="B20" s="50"/>
    </row>
    <row r="21" customFormat="false" ht="18" hidden="false" customHeight="true" outlineLevel="0" collapsed="false">
      <c r="A21" s="50" t="s">
        <v>378</v>
      </c>
      <c r="B21" s="50"/>
    </row>
    <row r="22" customFormat="false" ht="18" hidden="false" customHeight="true" outlineLevel="0" collapsed="false">
      <c r="A22" s="50" t="s">
        <v>379</v>
      </c>
      <c r="B22" s="50"/>
    </row>
    <row r="23" customFormat="false" ht="24" hidden="false" customHeight="true" outlineLevel="0" collapsed="false">
      <c r="A23" s="49" t="s">
        <v>380</v>
      </c>
      <c r="B23" s="49"/>
    </row>
    <row r="24" customFormat="false" ht="18" hidden="false" customHeight="true" outlineLevel="0" collapsed="false">
      <c r="A24" s="50" t="s">
        <v>381</v>
      </c>
      <c r="B24" s="50"/>
    </row>
    <row r="25" customFormat="false" ht="18" hidden="false" customHeight="true" outlineLevel="0" collapsed="false">
      <c r="A25" s="50" t="s">
        <v>382</v>
      </c>
      <c r="B25" s="50"/>
    </row>
    <row r="26" customFormat="false" ht="18" hidden="false" customHeight="true" outlineLevel="0" collapsed="false">
      <c r="A26" s="50" t="s">
        <v>383</v>
      </c>
      <c r="B26" s="50"/>
    </row>
    <row r="27" customFormat="false" ht="18" hidden="false" customHeight="true" outlineLevel="0" collapsed="false">
      <c r="A27" s="50" t="s">
        <v>384</v>
      </c>
      <c r="B27" s="50"/>
    </row>
    <row r="28" customFormat="false" ht="24" hidden="false" customHeight="true" outlineLevel="0" collapsed="false">
      <c r="A28" s="49" t="s">
        <v>385</v>
      </c>
      <c r="B28" s="49"/>
    </row>
    <row r="29" customFormat="false" ht="30" hidden="false" customHeight="true" outlineLevel="0" collapsed="false">
      <c r="A29" s="47" t="s">
        <v>386</v>
      </c>
      <c r="B29" s="47"/>
    </row>
    <row r="30" customFormat="false" ht="15" hidden="false" customHeight="false" outlineLevel="0" collapsed="false">
      <c r="A30" s="51" t="s">
        <v>387</v>
      </c>
      <c r="B30" s="51"/>
    </row>
    <row r="31" customFormat="false" ht="30" hidden="false" customHeight="true" outlineLevel="0" collapsed="false">
      <c r="A31" s="47" t="s">
        <v>388</v>
      </c>
      <c r="B31" s="47"/>
    </row>
    <row r="32" customFormat="false" ht="30" hidden="false" customHeight="true" outlineLevel="0" collapsed="false">
      <c r="A32" s="47" t="s">
        <v>389</v>
      </c>
      <c r="B32" s="47"/>
    </row>
  </sheetData>
  <mergeCells count="32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2026-09-07T08:12:01Z</dcterms:created>
  <dc:creator>openpyxl</dc:creator>
  <dc:description/>
  <dc:language>en-US</dc:language>
  <cp:lastModifiedBy/>
  <dcterms:modified xsi:type="dcterms:W3CDTF">2026-09-07T08:12:03Z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