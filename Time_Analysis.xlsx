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ime_Cycles" sheetId="1" state="visible" r:id="rId3"/>
    <sheet name="Macro_Cycles" sheetId="2" state="visible" r:id="rId4"/>
    <sheet name="Forecast" sheetId="3" state="visible" r:id="rId5"/>
    <sheet name="Sources" sheetId="4" state="visible" r:id="rId6"/>
    <sheet name="Settings" sheetId="5" state="visible" r:id="rId7"/>
    <sheet name="Documentation" sheetId="6" state="visible" r:id="rId8"/>
  </sheets>
  <definedNames>
    <definedName function="false" hidden="false" name="ATR_PER" vbProcedure="false">Settings!$C$9</definedName>
    <definedName function="false" hidden="false" name="ATR_STOP_MULT" vbProcedure="false">Settings!$C$10</definedName>
    <definedName function="false" hidden="false" name="CYC_1" vbProcedure="false">Settings!$C$22</definedName>
    <definedName function="false" hidden="false" name="CYC_2" vbProcedure="false">Settings!$C$23</definedName>
    <definedName function="false" hidden="false" name="CYC_3" vbProcedure="false">Settings!$C$24</definedName>
    <definedName function="false" hidden="false" name="CYC_4" vbProcedure="false">Settings!$C$25</definedName>
    <definedName function="false" hidden="false" name="MA_LONG1" vbProcedure="false">Settings!$C$7</definedName>
    <definedName function="false" hidden="false" name="MA_LONG2" vbProcedure="false">Settings!$C$8</definedName>
    <definedName function="false" hidden="false" name="MA_MED" vbProcedure="false">Settings!$C$6</definedName>
    <definedName function="false" hidden="false" name="MA_SHORT" vbProcedure="false">Settings!$C$5</definedName>
    <definedName function="false" hidden="false" name="MIN_LIQ_B" vbProcedure="false">Settings!$C$32</definedName>
    <definedName function="false" hidden="false" name="PRICE_BAND" vbProcedure="false">Settings!$C$31</definedName>
    <definedName function="false" hidden="false" name="STRUCT_L" vbProcedure="false">Settings!$C$30</definedName>
    <definedName function="false" hidden="false" name="STRUCT_S" vbProcedure="false">Settings!$C$29</definedName>
    <definedName function="false" hidden="false" name="TIME_TOL" vbProcedure="false">Settings!$C$26</definedName>
    <definedName function="false" hidden="false" name="W_MA" vbProcedure="false">Settings!$C$15</definedName>
    <definedName function="false" hidden="false" name="W_MARKET" vbProcedure="false">Settings!$C$17</definedName>
    <definedName function="false" hidden="false" name="W_SMART" vbProcedure="false">Settings!$C$14</definedName>
    <definedName function="false" hidden="false" name="W_SUM" vbProcedure="false">Settings!$C$19</definedName>
    <definedName function="false" hidden="false" name="W_TIME" vbProcedure="false">Settings!$C$18</definedName>
    <definedName function="false" hidden="false" name="W_TREND" vbProcedure="false">Settings!$C$13</definedName>
    <definedName function="false" hidden="false" name="W_VOL" vbProcedure="false">Settings!$C$16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<sst xmlns="http://schemas.openxmlformats.org/spreadsheetml/2006/main" count="330" uniqueCount="264">
  <si>
    <t xml:space="preserve">لایه زمانی — چرخه‌های هرست، گن، فیبوناچی زمانی و الیوت</t>
  </si>
  <si>
    <t xml:space="preserve">این لایه امروز با وزن صفر ساخته شده است: ساختار و فرمول‌ها زنده‌اند ولی روی سیگنال اثر ندارند. برای فعال‌سازی، W_TIME را در Settings بزرگ‌تر از صفر کنید.</t>
  </si>
  <si>
    <t xml:space="preserve">نماد</t>
  </si>
  <si>
    <t xml:space="preserve">تاریخ کف چرخه اخیر</t>
  </si>
  <si>
    <t xml:space="preserve">تاریخ سقف چرخه اخیر</t>
  </si>
  <si>
    <t xml:space="preserve">طول چرخه غالب (روز معاملاتی)</t>
  </si>
  <si>
    <t xml:space="preserve">تاریخ آخرین داده</t>
  </si>
  <si>
    <t xml:space="preserve">روز تقویمی از کف</t>
  </si>
  <si>
    <t xml:space="preserve">روز معاملاتی از کف</t>
  </si>
  <si>
    <t xml:space="preserve">فاز چرخه</t>
  </si>
  <si>
    <t xml:space="preserve">کف بعدی (پیش‌بینی)</t>
  </si>
  <si>
    <t xml:space="preserve">روز تا کف بعدی</t>
  </si>
  <si>
    <t xml:space="preserve">نزدیک‌ترین عدد گن</t>
  </si>
  <si>
    <t xml:space="preserve">فاصله تا عدد گن</t>
  </si>
  <si>
    <t xml:space="preserve">طول سوئینگ قبلی (روز)</t>
  </si>
  <si>
    <t xml:space="preserve">پروجکشن زمانی فیبوناچی ۱٫۶۱۸</t>
  </si>
  <si>
    <t xml:space="preserve">تاریخ پروجکشن فیبوناچی</t>
  </si>
  <si>
    <t xml:space="preserve">برچسب موج الیوت</t>
  </si>
  <si>
    <t xml:space="preserve">درجه موج</t>
  </si>
  <si>
    <t xml:space="preserve">اطمینان (۱ تا ۵)</t>
  </si>
  <si>
    <t xml:space="preserve">امتیاز فاز چرخه</t>
  </si>
  <si>
    <t xml:space="preserve">امتیاز پنجره گن</t>
  </si>
  <si>
    <t xml:space="preserve">امتیاز الیوت</t>
  </si>
  <si>
    <t xml:space="preserve">امتیاز زمان (Z)</t>
  </si>
  <si>
    <t xml:space="preserve">وضعیت لایه</t>
  </si>
  <si>
    <t xml:space="preserve">کد نماد (InsCode)</t>
  </si>
  <si>
    <t xml:space="preserve">اعداد کلیدی گن</t>
  </si>
  <si>
    <t xml:space="preserve">از Watchlist</t>
  </si>
  <si>
    <t xml:space="preserve">ورودی دستی</t>
  </si>
  <si>
    <t xml:space="preserve">ورودی / CYC_3</t>
  </si>
  <si>
    <t xml:space="preserve">Daily_History</t>
  </si>
  <si>
    <t xml:space="preserve">last − low</t>
  </si>
  <si>
    <t xml:space="preserve">×۵÷۷</t>
  </si>
  <si>
    <t xml:space="preserve">سپری‌شده ÷ طول</t>
  </si>
  <si>
    <t xml:space="preserve">low + طول چرخه</t>
  </si>
  <si>
    <t xml:space="preserve">تقویمی</t>
  </si>
  <si>
    <t xml:space="preserve">۳۰/۴۵/۶۰/۹۰/۱۲۰/۱۴۴/۱۸۰/۲۷۰/۳۶۰</t>
  </si>
  <si>
    <t xml:space="preserve">روز</t>
  </si>
  <si>
    <t xml:space="preserve">swing × ۱٫۶۱۸</t>
  </si>
  <si>
    <t xml:space="preserve">از سقف اخیر</t>
  </si>
  <si>
    <t xml:space="preserve">هرست</t>
  </si>
  <si>
    <t xml:space="preserve">±۲</t>
  </si>
  <si>
    <t xml:space="preserve">×اطمینان</t>
  </si>
  <si>
    <t xml:space="preserve">−۱۰ تا +۱۰</t>
  </si>
  <si>
    <t xml:space="preserve">W_TIME</t>
  </si>
  <si>
    <t xml:space="preserve">برای دکمه ماکرو</t>
  </si>
  <si>
    <t xml:space="preserve">فولاد</t>
  </si>
  <si>
    <t xml:space="preserve">46348559193224090</t>
  </si>
  <si>
    <t xml:space="preserve">فملي</t>
  </si>
  <si>
    <t xml:space="preserve">35425587644337450</t>
  </si>
  <si>
    <t xml:space="preserve">شپنا</t>
  </si>
  <si>
    <t xml:space="preserve">7745894403636165</t>
  </si>
  <si>
    <t xml:space="preserve">خودرو</t>
  </si>
  <si>
    <t xml:space="preserve">65883838195688438</t>
  </si>
  <si>
    <t xml:space="preserve">وبملت</t>
  </si>
  <si>
    <t xml:space="preserve">778253364357513</t>
  </si>
  <si>
    <t xml:space="preserve">شستا</t>
  </si>
  <si>
    <t xml:space="preserve">2400322364771558</t>
  </si>
  <si>
    <t xml:space="preserve">اخابر</t>
  </si>
  <si>
    <t xml:space="preserve">22811176775480091</t>
  </si>
  <si>
    <t xml:space="preserve">كگل</t>
  </si>
  <si>
    <t xml:space="preserve">35700344742885862</t>
  </si>
  <si>
    <t xml:space="preserve">منابع مرجع این لایه (برای توسعه آینده):</t>
  </si>
  <si>
    <t xml:space="preserve">• J.M. Hurst — The Profit Magic of Stock Transaction Timing  ·  مدل چرخه‌های اسمی و FLD</t>
  </si>
  <si>
    <t xml:space="preserve">• Christopher Grafton — Mastering Hurst Cycle Analysis  ·  اعتبارسنجی چرخه‌ها</t>
  </si>
  <si>
    <t xml:space="preserve">• James A. Hyerczyk — Pattern, Price &amp; Time  ·  شمارش‌های زمانی گن</t>
  </si>
  <si>
    <t xml:space="preserve">• Lars von Thienen — Decoding the Hidden Market Rhythm  ·  استخراج چرخه غالب با تحلیل طیفی</t>
  </si>
  <si>
    <t xml:space="preserve">• Frost &amp; Prechter — Elliott Wave Principle  ·  برچسب‌گذاری موج</t>
  </si>
  <si>
    <t xml:space="preserve">گام بعدی پیشنهادی: طول چرخه غالب (ستون D) به‌جای ورود دستی، با تحلیل طیفی در پایتون محاسبه و اینجا نوشته شود.</t>
  </si>
  <si>
    <t xml:space="preserve">چرخه‌های بلند اقتصادی و ژئوپلیتیک</t>
  </si>
  <si>
    <t xml:space="preserve">وضعیت جاری امواج کندراتیف، پرز، دالیو، هاو و تقویم ساختاری ایران</t>
  </si>
  <si>
    <t xml:space="preserve">این شیت را اسکریپت پایتون می‌سازد. تا آن زمان خالی است.</t>
  </si>
  <si>
    <t xml:space="preserve">python -m timeframe export --workbook Time_Analysis.xlsx --data Stocks_Signals.xlsx</t>
  </si>
  <si>
    <t xml:space="preserve">چشم‌انداز احتمالاتی</t>
  </si>
  <si>
    <t xml:space="preserve">مدل رژیم مارکوف، نرخ پایه تجربی، توزیع افت و دفتر پیش‌بینی</t>
  </si>
  <si>
    <t xml:space="preserve">منابع لایه زمانی و روش‌شناسی</t>
  </si>
  <si>
    <t xml:space="preserve">هر چارچوب یک برچسب جایگاه دارد. تفکیک «دارای پشتوانه تجربی» از «چارچوب روایی» شرط خواندن درست خروجی است.</t>
  </si>
  <si>
    <t xml:space="preserve">نویسنده</t>
  </si>
  <si>
    <t xml:space="preserve">اثر</t>
  </si>
  <si>
    <t xml:space="preserve">سال</t>
  </si>
  <si>
    <t xml:space="preserve">حوزه</t>
  </si>
  <si>
    <t xml:space="preserve">جایگاه علمی</t>
  </si>
  <si>
    <t xml:space="preserve">یادداشت</t>
  </si>
  <si>
    <t xml:space="preserve">-</t>
  </si>
  <si>
    <t xml:space="preserve">EMPIRICAL/DEBATED/HETERODOX/NARRATIVE</t>
  </si>
  <si>
    <t xml:space="preserve">Halbert White</t>
  </si>
  <si>
    <t xml:space="preserve">A Reality Check for Data Snooping</t>
  </si>
  <si>
    <t xml:space="preserve">بک‌تست</t>
  </si>
  <si>
    <t xml:space="preserve">دارای پشتوانه تجربی متعارف</t>
  </si>
  <si>
    <t xml:space="preserve">آزمون معناداری وقتی چندین استراتژی روی یک داده امتحان شده‌اند. معادل تصحیح چندگانگی، ولی برای بک‌تست.</t>
  </si>
  <si>
    <t xml:space="preserve">David H. Bailey, Jonathan Borwein, Marcos López de Prado &amp; Qiji Jim Zhu</t>
  </si>
  <si>
    <t xml:space="preserve">Pseudo-Mathematics and Financial Charlatanism: The Effects of Backtest Overfitting on Out-of-Sample Performance</t>
  </si>
  <si>
    <t xml:space="preserve">با کافی‌بودن تعداد تلاش، همیشه می‌توان یک استراتژی با شارپ بالا در نمونه ساخت که خارج از نمونه بی‌ارزش است. مبنای «نسبت شارپ تعدیل‌شده» و ثبت تعداد تلاش در بک‌تستر.</t>
  </si>
  <si>
    <t xml:space="preserve">David H. Bailey &amp; Marcos López de Prado</t>
  </si>
  <si>
    <t xml:space="preserve">The Deflated Sharpe Ratio: Correcting for Selection Bias, Backtest Overfitting and Non-Normality</t>
  </si>
  <si>
    <t xml:space="preserve">شارپ تعدیل‌شده بابت تعداد تلاش، چولگی و کشیدگی. عددی که در این پکیج به‌جای شارپ خام گزارش می‌شود.</t>
  </si>
  <si>
    <t xml:space="preserve">Nassim Nicholas Taleb</t>
  </si>
  <si>
    <t xml:space="preserve">The Black Swan / Dynamic Hedging</t>
  </si>
  <si>
    <t xml:space="preserve">ریسک</t>
  </si>
  <si>
    <t xml:space="preserve">در ادبیات تخصصی مطرح ولی مورد مناقشه</t>
  </si>
  <si>
    <t xml:space="preserve">دم‌های ضخیم و ناارگودیک‌بودن. برای بازار ایران به‌ویژه مهم: توزیع بازده به‌شدت غیرنرمال است و معیارهای مبتنی بر واریانس ریسک را کم‌برآورد می‌کنند.</t>
  </si>
  <si>
    <t xml:space="preserve">Robert F. Engle</t>
  </si>
  <si>
    <t xml:space="preserve">Autoregressive Conditional Heteroscedasticity with Estimates of the Variance of United Kingdom Inflation</t>
  </si>
  <si>
    <t xml:space="preserve">نوسان</t>
  </si>
  <si>
    <t xml:space="preserve">خوشه‌ای‌بودن نوسان. یکی از مستحکم‌ترین یافته‌های مالی: نوسان پیش‌بینی‌پذیر است حتی وقتی جهت بازده نیست.</t>
  </si>
  <si>
    <t xml:space="preserve">Tim Bollerslev</t>
  </si>
  <si>
    <t xml:space="preserve">Generalized Autoregressive Conditional Heteroskedasticity</t>
  </si>
  <si>
    <t xml:space="preserve">GARCH — تعمیم ARCH. مبنای برآورد احتمال افت شدید در افق کوتاه.</t>
  </si>
  <si>
    <t xml:space="preserve">Glenn W. Brier</t>
  </si>
  <si>
    <t xml:space="preserve">Verification of Forecasts Expressed in Terms of Probability</t>
  </si>
  <si>
    <t xml:space="preserve">پیش‌بینی</t>
  </si>
  <si>
    <t xml:space="preserve">امتیاز بریر: تنها راه صادقانه سنجش پیش‌بینی احتمالاتی. بدون آن، هر پیش‌بینی‌کننده‌ای می‌تواند خودش را موفق بداند.</t>
  </si>
  <si>
    <t xml:space="preserve">Allan H. Murphy</t>
  </si>
  <si>
    <t xml:space="preserve">A New Vector Partition of the Probability Score</t>
  </si>
  <si>
    <t xml:space="preserve">تجزیه بریر به سه جزء: کالیبراسیون، تفکیک‌پذیری و عدم‌قطعیت ذاتی. نشان می‌دهد یک پیش‌بینی می‌تواند کالیبره ولی بی‌فایده باشد.</t>
  </si>
  <si>
    <t xml:space="preserve">John Y. Campbell &amp; Robert J. Shiller</t>
  </si>
  <si>
    <t xml:space="preserve">Stock Prices, Earnings, and Expected Dividends</t>
  </si>
  <si>
    <t xml:space="preserve">نسبت‌های ارزش‌گذاری بازده بلندمدت را پیش‌بینی می‌کنند، نه کوتاه‌مدت. افق مهم است: آنچه در ۱۰ سال کار می‌کند در ۳ ماه کار نمی‌کند.</t>
  </si>
  <si>
    <t xml:space="preserve">Francis X. Diebold &amp; Roberto S. Mariano</t>
  </si>
  <si>
    <t xml:space="preserve">Comparing Predictive Accuracy</t>
  </si>
  <si>
    <t xml:space="preserve">آزمون معناداری تفاوت دقت دو پیش‌بینی. بدون آن، «مدل من بهتر است» یک ادعای بدون پشتوانه آماری است.</t>
  </si>
  <si>
    <t xml:space="preserve">Andrew W. Lo</t>
  </si>
  <si>
    <t xml:space="preserve">The Adaptive Markets Hypothesis</t>
  </si>
  <si>
    <t xml:space="preserve">کارایی بازار مطلق نیست بلکه به شرایط و رقابت بستگی دارد؛ لبه‌ها وجود دارند ولی فرسوده می‌شوند. توضیح می‌دهد چرا یک استراتژی که در گذشته کار کرده ممکن است دیگر کار نکند.</t>
  </si>
  <si>
    <t xml:space="preserve">Philip E. Tetlock</t>
  </si>
  <si>
    <t xml:space="preserve">Expert Political Judgment</t>
  </si>
  <si>
    <t xml:space="preserve">بیست سال ردیابی ۲۸ هزار پیش‌بینی از ۲۸۴ کارشناس: دقت کارشناسان سیاسی به‌سختی از حدس تصادفی بهتر بود و کارشناسان مشهورتر بدتر عمل کردند. این مطالعه، پایه‌ی تصمیمِ ما برای نساختن «مدل پیش‌بینی رویداد سیاسی» است.</t>
  </si>
  <si>
    <t xml:space="preserve">Ivo Welch &amp; Amit Goyal</t>
  </si>
  <si>
    <t xml:space="preserve">A Comprehensive Look at the Empirical Performance of Equity Premium Prediction</t>
  </si>
  <si>
    <t xml:space="preserve">بررسی گسترده متغیرهای پیش‌بین بازده سهام: تقریباً همه در خارج از نمونه شکست می‌خورند و از میانگین ساده تاریخی بدتر عمل می‌کنند. این مقاله، دلیل اصلی وجود بخش «مقایسه با معیار بی‌اثر» در بک‌تستر ماست.</t>
  </si>
  <si>
    <t xml:space="preserve">Philip E. Tetlock &amp; Dan Gardner</t>
  </si>
  <si>
    <t xml:space="preserve">Superforecasting</t>
  </si>
  <si>
    <t xml:space="preserve">یافته تورنمنت IARPA: آنچه دقت را بالا می‌برد مدل نیست — تجزیه سؤال، شروع از نرخ پایه، احتمال عددی صریح، به‌روزرسانی مکرر و کوچک، و سنجش کالیبراسیون است. معماری ماژول judgment از همین‌جا می‌آید.</t>
  </si>
  <si>
    <t xml:space="preserve">Clément Juglar</t>
  </si>
  <si>
    <t xml:space="preserve">Des crises commerciales et de leur retour périodique</t>
  </si>
  <si>
    <t xml:space="preserve">چرخه اقتصادی</t>
  </si>
  <si>
    <t xml:space="preserve">نخستین مستندسازی چرخه تجاری ۷ تا ۱۱ ساله. وجود چرخه تجاری در اقتصاد جریان اصلی پذیرفته است؛ دوره ثابت آن نه.</t>
  </si>
  <si>
    <t xml:space="preserve">Joseph Schumpeter</t>
  </si>
  <si>
    <t xml:space="preserve">Business Cycles</t>
  </si>
  <si>
    <t xml:space="preserve">طرح سه‌چرخه‌ای کیچین/ژوگلار/کندراتیف و تخریب خلاق. مفهوم تخریب خلاق پذیرفته‌شده است؛ طرح سه‌چرخه‌ای منظم نه.</t>
  </si>
  <si>
    <t xml:space="preserve">James D. Hamilton</t>
  </si>
  <si>
    <t xml:space="preserve">A New Approach to the Economic Analysis of Nonstationary Time Series and the Business Cycle</t>
  </si>
  <si>
    <t xml:space="preserve">مدل مارکوف رژیم‌سوئیچینگ. روش استاندارد جریان اصلی برای تخمین احتمال قرارگرفتن اقتصاد/بازار در رژیم رکودی. مبنای ماژول regime.</t>
  </si>
  <si>
    <t xml:space="preserve">Arturo Estrella &amp; Frederic S. Mishkin</t>
  </si>
  <si>
    <t xml:space="preserve">Predicting U.S. Recessions: Financial Variables as Leading Indicators</t>
  </si>
  <si>
    <t xml:space="preserve">شیب منحنی بازده بهترین پیش‌بین منفرد رکود آمریکاست، با افق ۱۲ تا ۱۸ ماه — نه سه ماه. برای ایران معادل تقریبی آن ساختار زمانی بازدهی اخزاست.</t>
  </si>
  <si>
    <t xml:space="preserve">Carlota Perez</t>
  </si>
  <si>
    <t xml:space="preserve">Technological Revolutions and Financial Capital</t>
  </si>
  <si>
    <t xml:space="preserve">پارادایم‌های فناورانه-اقتصادی. تاریخ‌های آغاز پنج موج صریحاً در کتاب آمده.</t>
  </si>
  <si>
    <t xml:space="preserve">Leonid Grinin, Andrey Korotayev, Arno Tausch</t>
  </si>
  <si>
    <t xml:space="preserve">Economic Cycles, Crises, and the Global Periphery</t>
  </si>
  <si>
    <t xml:space="preserve">دیتینگ استاندارد امواج کندراتیف و پیوند آن با بحران‌های پیرامون.</t>
  </si>
  <si>
    <t xml:space="preserve">W.D. Gann</t>
  </si>
  <si>
    <t xml:space="preserve">The Tunnel Thru the Air</t>
  </si>
  <si>
    <t xml:space="preserve">چرخه بازار</t>
  </si>
  <si>
    <t xml:space="preserve">خارج از جریان اصلی؛ اجماع علمی ندارد</t>
  </si>
  <si>
    <t xml:space="preserve">رمان با لایه رمزی چرخه‌های زمانی. منبع اولیه ادعاهای چرخه طبیعی گن.</t>
  </si>
  <si>
    <t xml:space="preserve">How to Make Profits Trading in Commodities</t>
  </si>
  <si>
    <t xml:space="preserve">شمارش‌های زمانی و سالگردها. هیچ توجیه علّی برای اعداد ارائه نمی‌شود.</t>
  </si>
  <si>
    <t xml:space="preserve">J.M. Hurst</t>
  </si>
  <si>
    <t xml:space="preserve">The Profit Magic of Stock Transaction Timing</t>
  </si>
  <si>
    <t xml:space="preserve">مدل چرخه‌های اسمی و اصول هشت‌گانه. مبنای ریاضی روشن دارد ولی اعتبارسنجی مستقل و منتشرشده‌ای که سودآوری آن را تأیید کند در دست نیست.</t>
  </si>
  <si>
    <t xml:space="preserve">A.J. Frost &amp; Robert Prechter</t>
  </si>
  <si>
    <t xml:space="preserve">Elliott Wave Principle: Key to Market Behavior</t>
  </si>
  <si>
    <t xml:space="preserve">سه قاعده سخت قابل آزمون‌اند؛ اما برچسب‌گذاری چندگانه است و همین، ابطال‌پذیری چارچوب را تضعیف می‌کند.</t>
  </si>
  <si>
    <t xml:space="preserve">James A. Hyerczyk</t>
  </si>
  <si>
    <t xml:space="preserve">Pattern, Price &amp; Time: Using Gann Theory</t>
  </si>
  <si>
    <t xml:space="preserve">منظم‌ترین تدوین نظریه گن برای استفاده عملی.</t>
  </si>
  <si>
    <t xml:space="preserve">Robert Prechter</t>
  </si>
  <si>
    <t xml:space="preserve">Beautiful Pictures from the Gallery of Phinance</t>
  </si>
  <si>
    <t xml:space="preserve">نسبت‌های فیبوناچی در ساختار قیمت و زمان.</t>
  </si>
  <si>
    <t xml:space="preserve">Christopher Grafton</t>
  </si>
  <si>
    <t xml:space="preserve">Mastering Hurst Cycle Analysis</t>
  </si>
  <si>
    <t xml:space="preserve">تدوین عملیاتی روش هرست: FLD، VTL و فازبندی.</t>
  </si>
  <si>
    <t xml:space="preserve">Lars von Thienen</t>
  </si>
  <si>
    <t xml:space="preserve">Decoding the Hidden Market Rhythm — Part 1: Dynamic Cycles</t>
  </si>
  <si>
    <t xml:space="preserve">تحلیل طیفی و آزمون معناداری چرخه. روش آماری آن (آزمون بارتلز) معتبر است؛ آنچه مورد مناقشه است، پایداری چرخه‌های یافته‌شده در آینده است.</t>
  </si>
  <si>
    <t xml:space="preserve">Paul Kennedy</t>
  </si>
  <si>
    <t xml:space="preserve">The Rise and Fall of the Great Powers</t>
  </si>
  <si>
    <t xml:space="preserve">ژئوپلیتیک</t>
  </si>
  <si>
    <t xml:space="preserve">تز «کشیدگی امپراتوری»: نسبت پایه اقتصادی به تعهدات نظامی. تاریخ‌نگاری جدی است ولی چرخه با دوره ثابت ارائه نمی‌دهد.</t>
  </si>
  <si>
    <t xml:space="preserve">Joshua S. Goldstein</t>
  </si>
  <si>
    <t xml:space="preserve">Long Cycles: Prosperity and War in the Modern Age</t>
  </si>
  <si>
    <t xml:space="preserve">پیوند موج بلند با شدت جنگ قدرت‌های بزرگ؛ داده‌های کمی از ۱۴۹۵ به بعد.</t>
  </si>
  <si>
    <t xml:space="preserve">Ray Dalio</t>
  </si>
  <si>
    <t xml:space="preserve">Principles for Dealing with the Changing World Order</t>
  </si>
  <si>
    <t xml:space="preserve">چارچوب روایی/دوره‌بندی تاریخی، نه مدل آماری آزموده</t>
  </si>
  <si>
    <t xml:space="preserve">چرخه بزرگ امپراتوری‌ها و هشت سنجه قدرت. دوره‌بندی پس‌نگر است و پیش‌بینی‌های آن آزمون بیرونی نشده‌اند.</t>
  </si>
  <si>
    <t xml:space="preserve">Neil Howe</t>
  </si>
  <si>
    <t xml:space="preserve">The Fourth Turning Is Here</t>
  </si>
  <si>
    <t xml:space="preserve">ساکولوم ۸۰ تا ۱۰۰ ساله و چهار چرخش نسلی. نقدهای جدی روش‌شناختی به آن وارد شده؛ به‌عنوان چارچوب روایی بخوانید، نه تقویم.</t>
  </si>
  <si>
    <t xml:space="preserve">فهرست کامل با  python -m timeframe sources  هم قابل دریافت است.</t>
  </si>
  <si>
    <t xml:space="preserve">تنظیمات و پارامترهای سیستم</t>
  </si>
  <si>
    <t xml:space="preserve">هر عدد آبی‌رنگ قابل تغییر است؛ همه فرمول‌های فایل از همین سلول‌ها می‌خوانند.</t>
  </si>
  <si>
    <t xml:space="preserve">۱) پارامترهای میانگین متحرک و نوسان</t>
  </si>
  <si>
    <t xml:space="preserve">دوره میانگین متحرک کوتاه</t>
  </si>
  <si>
    <t xml:space="preserve">روزهای معاملاتی</t>
  </si>
  <si>
    <t xml:space="preserve">دوره میانگین متحرک میان‌مدت</t>
  </si>
  <si>
    <t xml:space="preserve">ستون فقرات تشخیص روند میان‌مدت</t>
  </si>
  <si>
    <t xml:space="preserve">دوره میانگین متحرک بلند ۱</t>
  </si>
  <si>
    <t xml:space="preserve">دوره میانگین متحرک بلند ۲</t>
  </si>
  <si>
    <t xml:space="preserve">مرز روند بلندمدت</t>
  </si>
  <si>
    <t xml:space="preserve">دوره ATR</t>
  </si>
  <si>
    <t xml:space="preserve">برای حد ضرر و نرمال‌سازی نوسان</t>
  </si>
  <si>
    <t xml:space="preserve">ضریب حد ضرر بر مبنای ATR</t>
  </si>
  <si>
    <t xml:space="preserve">حد ضرر = قیمت − ضریب × ATR</t>
  </si>
  <si>
    <t xml:space="preserve">۴) وزن معیارها — جمع باید دقیقاً ۱۰۰٪ شود</t>
  </si>
  <si>
    <t xml:space="preserve">وزن روند قیمتی سهم</t>
  </si>
  <si>
    <t xml:space="preserve">وزن جریان پول هوشمند</t>
  </si>
  <si>
    <t xml:space="preserve">وزن وضعیت میانگین‌های متحرک</t>
  </si>
  <si>
    <t xml:space="preserve">وزن حجم معاملات</t>
  </si>
  <si>
    <t xml:space="preserve">وزن روند کل بازار (شاخص)</t>
  </si>
  <si>
    <t xml:space="preserve">وزن لایه زمانی (Hurst/Gann/Fib/Elliott)</t>
  </si>
  <si>
    <t xml:space="preserve">پیش‌فرض صفر — ساختار آماده، غیرفعال</t>
  </si>
  <si>
    <t xml:space="preserve">جمع وزن‌ها</t>
  </si>
  <si>
    <t xml:space="preserve">۷) لایه زمانی — چرخه‌های اسمی (فعلاً غیرفعال)</t>
  </si>
  <si>
    <t xml:space="preserve">چرخه اسمی ۱ (روز معاملاتی)</t>
  </si>
  <si>
    <t xml:space="preserve">مدل چرخه‌های اسمی هرست</t>
  </si>
  <si>
    <t xml:space="preserve">چرخه اسمی ۲</t>
  </si>
  <si>
    <t xml:space="preserve">چرخه اسمی ۳ (چرخه اصلی)</t>
  </si>
  <si>
    <t xml:space="preserve">چرخه اسمی ۴</t>
  </si>
  <si>
    <t xml:space="preserve">پنجره تحمل زمانی (± روز)</t>
  </si>
  <si>
    <t xml:space="preserve">برای تطبیق تاریخ‌های Gann/Fibonacci</t>
  </si>
  <si>
    <t xml:space="preserve">۸) سایر</t>
  </si>
  <si>
    <t xml:space="preserve">پنجره ساختار روند کوتاه (سقف/کف)</t>
  </si>
  <si>
    <t xml:space="preserve">برای تشخیص Higher High / Lower Low</t>
  </si>
  <si>
    <t xml:space="preserve">پنجره ساختار روند بلند (سقف/کف)</t>
  </si>
  <si>
    <t xml:space="preserve">روند میان‌مدت</t>
  </si>
  <si>
    <t xml:space="preserve">دامنه نوسان روزانه بازار</t>
  </si>
  <si>
    <t xml:space="preserve">⚠️ مقدار جاری را تأیید کنید</t>
  </si>
  <si>
    <t xml:space="preserve">حداقل ارزش معاملات روزانه معتبر (میلیارد ریال)</t>
  </si>
  <si>
    <t xml:space="preserve">زیر این حد، سیگنال «کم‌اعتبار» علامت می‌خورد</t>
  </si>
  <si>
    <t xml:space="preserve">راهنمای رنگ: سلول زرد با متن آبی = ورودی قابل تغییر شما · متن مشکی = فرمول · متن سبز = ارجاع به شیت دیگر.</t>
  </si>
  <si>
    <t xml:space="preserve">راهنمای سیستم سیگنال‌دهی بازار سرمایه ایران</t>
  </si>
  <si>
    <t xml:space="preserve">نسخه ۱٫۰ · ساخته‌شده در ۱۴۰۵/۰۶/۱۴ · بدون VBA · همه محاسبات با فرمول اکسل</t>
  </si>
  <si>
    <t xml:space="preserve">⚠️ داده‌های داخل فایل نمونه (DEMO) و ساختگی‌اند. هیچ عددی در این فایل داده واقعی بازار نیست. InsCode و ISIN نمادها هم تأییدنشده‌اند. پیش از هر تصمیم معاملاتی، داده‌ها را با scripts/tse_updater.py جایگزین کنید.</t>
  </si>
  <si>
    <t xml:space="preserve">۱) فلسفه طراحی</t>
  </si>
  <si>
    <t xml:space="preserve">این فایل برای معامله‌گر میان‌مدت ساخته شده، نه روزانه. سه پرسش را پشت سر هم می‌پرسد:</t>
  </si>
  <si>
    <t xml:space="preserve">۱. بازار کجاست؟ (رژیم بازار از شاخص کل و هم‌وزن) — اگر بازار نزولی است، سیگنال خرید تک‌سهم کم‌ارزش‌تر است.</t>
  </si>
  <si>
    <t xml:space="preserve">۲. سهم در چه روندی است؟ (میانگین‌های متحرک + ساختار سقف/کف + شیب)</t>
  </si>
  <si>
    <t xml:space="preserve">۳. پول هوشمند چه می‌کند؟ (سرانه خرید و فروش حقیقی، خالص جریان نرمال‌شده)</t>
  </si>
  <si>
    <t xml:space="preserve">تحلیل بنیادی عمداً وارد نشده است. این یک انتخاب است، نه فراموشی.</t>
  </si>
  <si>
    <t xml:space="preserve">۶) لایه زمانی — وضعیت فعلی و مسیر توسعه</t>
  </si>
  <si>
    <t xml:space="preserve">شیت Time_Cycles امروز کامل ساخته شده ولی وزنش صفر است؛ یعنی محاسبه می‌شود، نمایش داده می‌شود، اما روی سیگنال اثر ندارد. این عمدی است: یک لایه زمانی که ورودی‌هایش دستی و تأییدنشده است نباید سیگنال معاملاتی را جابه‌جا کند.</t>
  </si>
  <si>
    <t xml:space="preserve">برای فعال‌سازی واقعی، به‌ترتیب این سه کار لازم است:</t>
  </si>
  <si>
    <t xml:space="preserve">۱. طول چرخه غالب (ستون D) به‌جای عدد ثابت ۸۰، با تحلیل طیفی روی سری قیمت در پایتون استخراج شود (روش von Thienen).</t>
  </si>
  <si>
    <t xml:space="preserve">۲. تاریخ کف و سقف چرخه به‌صورت خودکار با الگوریتم تشخیص نقاط چرخش پر شود، نه چشمی.</t>
  </si>
  <si>
    <t xml:space="preserve">۳. برچسب موج الیوت دستی بماند — این تنها بخشی است که خودکارسازی‌اش بیشتر خطا می‌آورد تا فایده.</t>
  </si>
  <si>
    <t xml:space="preserve">۸) محدودیت‌هایی که باید بدانید</t>
  </si>
  <si>
    <t xml:space="preserve">• سیستم trend-following است. در بازار رِنج، سیگنال‌های کاذب می‌دهد و این ذاتی روش است، نه ایراد فایل.</t>
  </si>
  <si>
    <t xml:space="preserve">• هیچ بک‌تستی روی این وزن‌ها انجام نشده. وزن‌های پیش‌فرض بر پایه استدلال ساختاری‌اند، نه بهینه‌سازی تاریخی.</t>
  </si>
  <si>
    <t xml:space="preserve">• نمادهای متوقف: ستون cEtavalTitle را چک کنید. برای نماد متوقف، خالی‌بودن داده تاریخی طبیعی است.</t>
  </si>
  <si>
    <t xml:space="preserve">• صف خرید/فروش: endpoint مربوطه یک delta feed است نه اسنپ‌شات؛ بازسازی دقیق عمق بازار نیاز به نگهداری وضعیت دارد.</t>
  </si>
  <si>
    <t xml:space="preserve">• تعدیل قیمت (افزایش سرمایه/سود نقدی) در تاریخچه لحاظ نشده — میانگین‌های متحرک پس از تعدیل چند روز نامعتبرند.</t>
  </si>
  <si>
    <t xml:space="preserve">• بلک-شولز در شیت آپشن برای اختیار اروپایی است و قیمت نظری اختیار فروش آمریکایی را کم‌برآورد می‌کند.</t>
  </si>
  <si>
    <t xml:space="preserve">۹) گام بعدی پیشنهادی</t>
  </si>
  <si>
    <t xml:space="preserve">۱. اجرای اسکریپت به‌روزرسانی و تأیید نام فیلدهای علامت‌خورده «نیازمند تأیید» در شیت API_Map.</t>
  </si>
  <si>
    <t xml:space="preserve">۲. افزودن ۳۰ تا ۵۰ نماد به Watchlist — سیستم با ۸ نماد نمونه ساخته شده ولی برای غربال‌گری واقعی به عمق نیاز دارد.</t>
  </si>
  <si>
    <t xml:space="preserve">۳. بک‌تست وزن‌ها روی دو سال داده تاریخی، پیش از اتکای جدی به آستانه‌های TH_*.</t>
  </si>
  <si>
    <t xml:space="preserve">۴. فعال‌سازی تدریجی لایه زمانی با وزن کوچک (۵٪ تا ۱۰٪) و مقایسه نتیجه با حالت خاموش.</t>
  </si>
  <si>
    <t xml:space="preserve">۹) اتصال این فایل به بقیه مجموعه</t>
  </si>
  <si>
    <t xml:space="preserve">این فایل تاریخچه قیمت ندارد. موتور پایتون داده را از فایل سیگنال سهام می‌خواند، تحلیل می‌کند و نتیجه را اینجا می‌نویسد:</t>
  </si>
  <si>
    <t xml:space="preserve">و امتیاز زمانی هر نماد در شیت Time_Link فایل سیگنال سهام نوشته می‌شود تا در امتیاز نهایی وارد شود (با وزن W_TIME که پیش‌فرضش صفر است).</t>
  </si>
  <si>
    <t xml:space="preserve">چرا ارجاع بین‌فایلی اکسل به‌کار نرفت: فرمول ارجاع به فایل دیگر وقتی فایل مبدأ باز نباشد فقط مقدار کش‌شده را نشان می‌دهد، و با بازنویسی توسط openpyxl کاملاً از بین می‌رود. پل داده‌ای پایدارتر است.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</si>
</sst>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"/>
    <numFmt numFmtId="167" formatCode="0.0%;\(0.0%\);\-"/>
    <numFmt numFmtId="168" formatCode="0.0;\(0.0\);\-"/>
    <numFmt numFmtId="169" formatCode="#,##0;\(#,##0\);\-"/>
    <numFmt numFmtId="170" formatCode="0.00\x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7"/>
      <color rgb="FF80808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0000FF"/>
      <name val="Arial"/>
      <family val="0"/>
      <charset val="1"/>
    </font>
    <font>
      <sz val="8"/>
      <name val="Arial"/>
      <family val="0"/>
      <charset val="1"/>
    </font>
    <font>
      <b val="true"/>
      <i val="true"/>
      <sz val="9"/>
      <color rgb="FF40404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sz val="10"/>
      <name val="Consolas"/>
      <family val="0"/>
      <charset val="1"/>
    </font>
    <font>
      <sz val="8"/>
      <color rgb="FF000000"/>
      <name val="Arial"/>
      <family val="0"/>
      <charset val="1"/>
    </font>
    <font>
      <sz val="8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2E5C8A"/>
        <bgColor rgb="FF1F3864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5" min="14" style="0" width="14"/>
    <col collapsed="false" customWidth="true" hidden="false" outlineLevel="0" max="17" min="16" style="0" width="12"/>
    <col collapsed="false" customWidth="true" hidden="false" outlineLevel="0" max="21" min="18" style="0" width="11"/>
    <col collapsed="false" customWidth="true" hidden="false" outlineLevel="0" max="22" min="22" style="0" width="12"/>
    <col collapsed="false" customWidth="true" hidden="false" outlineLevel="0" max="23" min="23" style="0" width="16"/>
    <col collapsed="false" customWidth="true" hidden="false" outlineLevel="0" max="26" min="26" style="0" width="20"/>
    <col collapsed="false" customWidth="true" hidden="false" outlineLevel="0" max="28" min="28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Z3" s="4" t="s">
        <v>25</v>
      </c>
      <c r="AB3" s="4" t="s">
        <v>26</v>
      </c>
    </row>
    <row r="4" customFormat="false" ht="21.75" hidden="false" customHeight="true" outlineLevel="0" collapsed="false">
      <c r="A4" s="5" t="s">
        <v>27</v>
      </c>
      <c r="B4" s="5" t="s">
        <v>28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28</v>
      </c>
      <c r="N4" s="5" t="s">
        <v>38</v>
      </c>
      <c r="O4" s="5" t="s">
        <v>39</v>
      </c>
      <c r="P4" s="5" t="s">
        <v>28</v>
      </c>
      <c r="Q4" s="5" t="s">
        <v>28</v>
      </c>
      <c r="R4" s="5" t="s">
        <v>28</v>
      </c>
      <c r="S4" s="5" t="s">
        <v>40</v>
      </c>
      <c r="T4" s="5" t="s">
        <v>41</v>
      </c>
      <c r="U4" s="5" t="s">
        <v>42</v>
      </c>
      <c r="V4" s="5" t="s">
        <v>43</v>
      </c>
      <c r="W4" s="5" t="s">
        <v>44</v>
      </c>
      <c r="Z4" s="6" t="s">
        <v>45</v>
      </c>
    </row>
    <row r="5" customFormat="false" ht="15" hidden="false" customHeight="false" outlineLevel="0" collapsed="false">
      <c r="A5" s="7" t="s">
        <v>46</v>
      </c>
      <c r="B5" s="8" t="n">
        <v>46172</v>
      </c>
      <c r="C5" s="8" t="n">
        <v>46239</v>
      </c>
      <c r="D5" s="9" t="n">
        <v>80</v>
      </c>
      <c r="E5" s="10"/>
      <c r="F5" s="11" t="n">
        <f aca="false">IF($A5="","",IFERROR(E5-B5,""))</f>
        <v>-46172</v>
      </c>
      <c r="G5" s="11" t="n">
        <f aca="false">IF($A5="","",IFERROR(ROUND(F5*5/7,0),""))</f>
        <v>-32980</v>
      </c>
      <c r="H5" s="12" t="n">
        <f aca="false">IF($A5="","",IFERROR(G5/D5,""))</f>
        <v>-412.25</v>
      </c>
      <c r="I5" s="13" t="n">
        <f aca="false">IF($A5="","",IFERROR(B5+ROUND(D5*7/5,0),""))</f>
        <v>46284</v>
      </c>
      <c r="J5" s="11" t="n">
        <f aca="false">IF($A5="","",IFERROR(I5-E5,""))</f>
        <v>46284</v>
      </c>
      <c r="K5" s="11" t="n">
        <f aca="false">IF($A5="","",IFERROR(IF(G5-INDEX($AB$5:$AB$13,MATCH(G5,$AB$5:$AB$13,1))&lt;=INDEX($AB$5:$AB$13,MIN(MATCH(G5,$AB$5:$AB$13,1)+1,9))-G5,INDEX($AB$5:$AB$13,MATCH(G5,$AB$5:$AB$13,1)),INDEX($AB$5:$AB$13,MIN(MATCH(G5,$AB$5:$AB$13,1)+1,9))),30))</f>
        <v>30</v>
      </c>
      <c r="L5" s="11" t="n">
        <f aca="false">IF($A5="","",IFERROR(ABS(G5-K5),""))</f>
        <v>33010</v>
      </c>
      <c r="M5" s="9" t="n">
        <v>34</v>
      </c>
      <c r="N5" s="11" t="n">
        <f aca="false">IF($A5="","",IFERROR(ROUND(M5*1.618,0),""))</f>
        <v>55</v>
      </c>
      <c r="O5" s="13" t="n">
        <f aca="false">IF($A5="","",IFERROR(C5+ROUND(N5*7/5,0),""))</f>
        <v>46316</v>
      </c>
      <c r="P5" s="14"/>
      <c r="Q5" s="14"/>
      <c r="R5" s="9"/>
      <c r="S5" s="15" t="n">
        <f aca="false">IF($A5="","",IF(OR(D5="",H5=""),0,IF(OR(H5&lt;=0.15,H5&gt;=0.9),4,IF(AND(H5&gt;=0.35,H5&lt;=0.6),-3,IF(H5&lt;0.35,2,-1)))))</f>
        <v>4</v>
      </c>
      <c r="T5" s="15" t="n">
        <f aca="false">IF($A5="","",IF(OR(L5="",L5&gt;TIME_TOL),0,IF(S5&gt;0,2,-2)))</f>
        <v>0</v>
      </c>
      <c r="U5" s="15" t="n">
        <f aca="false">IF($A5="","",IF(P5="",0,(IF(P5="3",4,IF(P5="1",2,IF(P5="2",1,IF(P5="4",1,IF(P5="5",-1,IF(P5="A",-3,IF(P5="B",-2,IF(P5="C",-4,0)))))))))*IF(R5="",0.6,R5/5)))</f>
        <v>0</v>
      </c>
      <c r="V5" s="15" t="n">
        <f aca="false">IF($A5="","",MAX(-10,MIN(10,S5+T5+U5)))</f>
        <v>4</v>
      </c>
      <c r="W5" s="16" t="str">
        <f aca="false">IF($A5="","",IF(W_TIME=0,"غیرفعال (وزن صفر)","فعال"))</f>
        <v>غیرفعال (وزن صفر)</v>
      </c>
      <c r="Z5" s="17" t="s">
        <v>47</v>
      </c>
      <c r="AB5" s="18" t="n">
        <v>30</v>
      </c>
    </row>
    <row r="6" customFormat="false" ht="15" hidden="false" customHeight="false" outlineLevel="0" collapsed="false">
      <c r="A6" s="7" t="s">
        <v>48</v>
      </c>
      <c r="B6" s="8" t="n">
        <v>46256</v>
      </c>
      <c r="C6" s="8" t="n">
        <v>46104</v>
      </c>
      <c r="D6" s="9" t="n">
        <v>80</v>
      </c>
      <c r="E6" s="10"/>
      <c r="F6" s="11" t="n">
        <f aca="false">IF($A6="","",IFERROR(E6-B6,""))</f>
        <v>-46256</v>
      </c>
      <c r="G6" s="11" t="n">
        <f aca="false">IF($A6="","",IFERROR(ROUND(F6*5/7,0),""))</f>
        <v>-33040</v>
      </c>
      <c r="H6" s="12" t="n">
        <f aca="false">IF($A6="","",IFERROR(G6/D6,""))</f>
        <v>-413</v>
      </c>
      <c r="I6" s="13" t="n">
        <f aca="false">IF($A6="","",IFERROR(B6+ROUND(D6*7/5,0),""))</f>
        <v>46368</v>
      </c>
      <c r="J6" s="11" t="n">
        <f aca="false">IF($A6="","",IFERROR(I6-E6,""))</f>
        <v>46368</v>
      </c>
      <c r="K6" s="11" t="n">
        <f aca="false">IF($A6="","",IFERROR(IF(G6-INDEX($AB$5:$AB$13,MATCH(G6,$AB$5:$AB$13,1))&lt;=INDEX($AB$5:$AB$13,MIN(MATCH(G6,$AB$5:$AB$13,1)+1,9))-G6,INDEX($AB$5:$AB$13,MATCH(G6,$AB$5:$AB$13,1)),INDEX($AB$5:$AB$13,MIN(MATCH(G6,$AB$5:$AB$13,1)+1,9))),30))</f>
        <v>30</v>
      </c>
      <c r="L6" s="11" t="n">
        <f aca="false">IF($A6="","",IFERROR(ABS(G6-K6),""))</f>
        <v>33070</v>
      </c>
      <c r="M6" s="9" t="n">
        <v>34</v>
      </c>
      <c r="N6" s="11" t="n">
        <f aca="false">IF($A6="","",IFERROR(ROUND(M6*1.618,0),""))</f>
        <v>55</v>
      </c>
      <c r="O6" s="13" t="n">
        <f aca="false">IF($A6="","",IFERROR(C6+ROUND(N6*7/5,0),""))</f>
        <v>46181</v>
      </c>
      <c r="P6" s="14"/>
      <c r="Q6" s="14"/>
      <c r="R6" s="9"/>
      <c r="S6" s="15" t="n">
        <f aca="false">IF($A6="","",IF(OR(D6="",H6=""),0,IF(OR(H6&lt;=0.15,H6&gt;=0.9),4,IF(AND(H6&gt;=0.35,H6&lt;=0.6),-3,IF(H6&lt;0.35,2,-1)))))</f>
        <v>4</v>
      </c>
      <c r="T6" s="15" t="n">
        <f aca="false">IF($A6="","",IF(OR(L6="",L6&gt;TIME_TOL),0,IF(S6&gt;0,2,-2)))</f>
        <v>0</v>
      </c>
      <c r="U6" s="15" t="n">
        <f aca="false">IF($A6="","",IF(P6="",0,(IF(P6="3",4,IF(P6="1",2,IF(P6="2",1,IF(P6="4",1,IF(P6="5",-1,IF(P6="A",-3,IF(P6="B",-2,IF(P6="C",-4,0)))))))))*IF(R6="",0.6,R6/5)))</f>
        <v>0</v>
      </c>
      <c r="V6" s="15" t="n">
        <f aca="false">IF($A6="","",MAX(-10,MIN(10,S6+T6+U6)))</f>
        <v>4</v>
      </c>
      <c r="W6" s="16" t="str">
        <f aca="false">IF($A6="","",IF(W_TIME=0,"غیرفعال (وزن صفر)","فعال"))</f>
        <v>غیرفعال (وزن صفر)</v>
      </c>
      <c r="Z6" s="17" t="s">
        <v>49</v>
      </c>
      <c r="AB6" s="18" t="n">
        <v>45</v>
      </c>
    </row>
    <row r="7" customFormat="false" ht="15" hidden="false" customHeight="false" outlineLevel="0" collapsed="false">
      <c r="A7" s="7" t="s">
        <v>50</v>
      </c>
      <c r="B7" s="8" t="n">
        <v>46256</v>
      </c>
      <c r="C7" s="8" t="n">
        <v>46141</v>
      </c>
      <c r="D7" s="9" t="n">
        <v>80</v>
      </c>
      <c r="E7" s="10"/>
      <c r="F7" s="11" t="n">
        <f aca="false">IF($A7="","",IFERROR(E7-B7,""))</f>
        <v>-46256</v>
      </c>
      <c r="G7" s="11" t="n">
        <f aca="false">IF($A7="","",IFERROR(ROUND(F7*5/7,0),""))</f>
        <v>-33040</v>
      </c>
      <c r="H7" s="12" t="n">
        <f aca="false">IF($A7="","",IFERROR(G7/D7,""))</f>
        <v>-413</v>
      </c>
      <c r="I7" s="13" t="n">
        <f aca="false">IF($A7="","",IFERROR(B7+ROUND(D7*7/5,0),""))</f>
        <v>46368</v>
      </c>
      <c r="J7" s="11" t="n">
        <f aca="false">IF($A7="","",IFERROR(I7-E7,""))</f>
        <v>46368</v>
      </c>
      <c r="K7" s="11" t="n">
        <f aca="false">IF($A7="","",IFERROR(IF(G7-INDEX($AB$5:$AB$13,MATCH(G7,$AB$5:$AB$13,1))&lt;=INDEX($AB$5:$AB$13,MIN(MATCH(G7,$AB$5:$AB$13,1)+1,9))-G7,INDEX($AB$5:$AB$13,MATCH(G7,$AB$5:$AB$13,1)),INDEX($AB$5:$AB$13,MIN(MATCH(G7,$AB$5:$AB$13,1)+1,9))),30))</f>
        <v>30</v>
      </c>
      <c r="L7" s="11" t="n">
        <f aca="false">IF($A7="","",IFERROR(ABS(G7-K7),""))</f>
        <v>33070</v>
      </c>
      <c r="M7" s="9" t="n">
        <v>34</v>
      </c>
      <c r="N7" s="11" t="n">
        <f aca="false">IF($A7="","",IFERROR(ROUND(M7*1.618,0),""))</f>
        <v>55</v>
      </c>
      <c r="O7" s="13" t="n">
        <f aca="false">IF($A7="","",IFERROR(C7+ROUND(N7*7/5,0),""))</f>
        <v>46218</v>
      </c>
      <c r="P7" s="14"/>
      <c r="Q7" s="14"/>
      <c r="R7" s="9"/>
      <c r="S7" s="15" t="n">
        <f aca="false">IF($A7="","",IF(OR(D7="",H7=""),0,IF(OR(H7&lt;=0.15,H7&gt;=0.9),4,IF(AND(H7&gt;=0.35,H7&lt;=0.6),-3,IF(H7&lt;0.35,2,-1)))))</f>
        <v>4</v>
      </c>
      <c r="T7" s="15" t="n">
        <f aca="false">IF($A7="","",IF(OR(L7="",L7&gt;TIME_TOL),0,IF(S7&gt;0,2,-2)))</f>
        <v>0</v>
      </c>
      <c r="U7" s="15" t="n">
        <f aca="false">IF($A7="","",IF(P7="",0,(IF(P7="3",4,IF(P7="1",2,IF(P7="2",1,IF(P7="4",1,IF(P7="5",-1,IF(P7="A",-3,IF(P7="B",-2,IF(P7="C",-4,0)))))))))*IF(R7="",0.6,R7/5)))</f>
        <v>0</v>
      </c>
      <c r="V7" s="15" t="n">
        <f aca="false">IF($A7="","",MAX(-10,MIN(10,S7+T7+U7)))</f>
        <v>4</v>
      </c>
      <c r="W7" s="16" t="str">
        <f aca="false">IF($A7="","",IF(W_TIME=0,"غیرفعال (وزن صفر)","فعال"))</f>
        <v>غیرفعال (وزن صفر)</v>
      </c>
      <c r="Z7" s="17" t="s">
        <v>51</v>
      </c>
      <c r="AB7" s="18" t="n">
        <v>60</v>
      </c>
    </row>
    <row r="8" customFormat="false" ht="15" hidden="false" customHeight="false" outlineLevel="0" collapsed="false">
      <c r="A8" s="7" t="s">
        <v>52</v>
      </c>
      <c r="B8" s="8" t="n">
        <v>46175</v>
      </c>
      <c r="C8" s="8" t="n">
        <v>46130</v>
      </c>
      <c r="D8" s="9" t="n">
        <v>80</v>
      </c>
      <c r="E8" s="10"/>
      <c r="F8" s="11" t="n">
        <f aca="false">IF($A8="","",IFERROR(E8-B8,""))</f>
        <v>-46175</v>
      </c>
      <c r="G8" s="11" t="n">
        <f aca="false">IF($A8="","",IFERROR(ROUND(F8*5/7,0),""))</f>
        <v>-32982</v>
      </c>
      <c r="H8" s="12" t="n">
        <f aca="false">IF($A8="","",IFERROR(G8/D8,""))</f>
        <v>-412.275</v>
      </c>
      <c r="I8" s="13" t="n">
        <f aca="false">IF($A8="","",IFERROR(B8+ROUND(D8*7/5,0),""))</f>
        <v>46287</v>
      </c>
      <c r="J8" s="11" t="n">
        <f aca="false">IF($A8="","",IFERROR(I8-E8,""))</f>
        <v>46287</v>
      </c>
      <c r="K8" s="11" t="n">
        <f aca="false">IF($A8="","",IFERROR(IF(G8-INDEX($AB$5:$AB$13,MATCH(G8,$AB$5:$AB$13,1))&lt;=INDEX($AB$5:$AB$13,MIN(MATCH(G8,$AB$5:$AB$13,1)+1,9))-G8,INDEX($AB$5:$AB$13,MATCH(G8,$AB$5:$AB$13,1)),INDEX($AB$5:$AB$13,MIN(MATCH(G8,$AB$5:$AB$13,1)+1,9))),30))</f>
        <v>30</v>
      </c>
      <c r="L8" s="11" t="n">
        <f aca="false">IF($A8="","",IFERROR(ABS(G8-K8),""))</f>
        <v>33012</v>
      </c>
      <c r="M8" s="9" t="n">
        <v>34</v>
      </c>
      <c r="N8" s="11" t="n">
        <f aca="false">IF($A8="","",IFERROR(ROUND(M8*1.618,0),""))</f>
        <v>55</v>
      </c>
      <c r="O8" s="13" t="n">
        <f aca="false">IF($A8="","",IFERROR(C8+ROUND(N8*7/5,0),""))</f>
        <v>46207</v>
      </c>
      <c r="P8" s="14"/>
      <c r="Q8" s="14"/>
      <c r="R8" s="9"/>
      <c r="S8" s="15" t="n">
        <f aca="false">IF($A8="","",IF(OR(D8="",H8=""),0,IF(OR(H8&lt;=0.15,H8&gt;=0.9),4,IF(AND(H8&gt;=0.35,H8&lt;=0.6),-3,IF(H8&lt;0.35,2,-1)))))</f>
        <v>4</v>
      </c>
      <c r="T8" s="15" t="n">
        <f aca="false">IF($A8="","",IF(OR(L8="",L8&gt;TIME_TOL),0,IF(S8&gt;0,2,-2)))</f>
        <v>0</v>
      </c>
      <c r="U8" s="15" t="n">
        <f aca="false">IF($A8="","",IF(P8="",0,(IF(P8="3",4,IF(P8="1",2,IF(P8="2",1,IF(P8="4",1,IF(P8="5",-1,IF(P8="A",-3,IF(P8="B",-2,IF(P8="C",-4,0)))))))))*IF(R8="",0.6,R8/5)))</f>
        <v>0</v>
      </c>
      <c r="V8" s="15" t="n">
        <f aca="false">IF($A8="","",MAX(-10,MIN(10,S8+T8+U8)))</f>
        <v>4</v>
      </c>
      <c r="W8" s="16" t="str">
        <f aca="false">IF($A8="","",IF(W_TIME=0,"غیرفعال (وزن صفر)","فعال"))</f>
        <v>غیرفعال (وزن صفر)</v>
      </c>
      <c r="Z8" s="17" t="s">
        <v>53</v>
      </c>
      <c r="AB8" s="18" t="n">
        <v>90</v>
      </c>
    </row>
    <row r="9" customFormat="false" ht="15" hidden="false" customHeight="false" outlineLevel="0" collapsed="false">
      <c r="A9" s="7" t="s">
        <v>54</v>
      </c>
      <c r="B9" s="8" t="n">
        <v>46258</v>
      </c>
      <c r="C9" s="8" t="n">
        <v>46230</v>
      </c>
      <c r="D9" s="9" t="n">
        <v>80</v>
      </c>
      <c r="E9" s="10"/>
      <c r="F9" s="11" t="n">
        <f aca="false">IF($A9="","",IFERROR(E9-B9,""))</f>
        <v>-46258</v>
      </c>
      <c r="G9" s="11" t="n">
        <f aca="false">IF($A9="","",IFERROR(ROUND(F9*5/7,0),""))</f>
        <v>-33041</v>
      </c>
      <c r="H9" s="12" t="n">
        <f aca="false">IF($A9="","",IFERROR(G9/D9,""))</f>
        <v>-413.0125</v>
      </c>
      <c r="I9" s="13" t="n">
        <f aca="false">IF($A9="","",IFERROR(B9+ROUND(D9*7/5,0),""))</f>
        <v>46370</v>
      </c>
      <c r="J9" s="11" t="n">
        <f aca="false">IF($A9="","",IFERROR(I9-E9,""))</f>
        <v>46370</v>
      </c>
      <c r="K9" s="11" t="n">
        <f aca="false">IF($A9="","",IFERROR(IF(G9-INDEX($AB$5:$AB$13,MATCH(G9,$AB$5:$AB$13,1))&lt;=INDEX($AB$5:$AB$13,MIN(MATCH(G9,$AB$5:$AB$13,1)+1,9))-G9,INDEX($AB$5:$AB$13,MATCH(G9,$AB$5:$AB$13,1)),INDEX($AB$5:$AB$13,MIN(MATCH(G9,$AB$5:$AB$13,1)+1,9))),30))</f>
        <v>30</v>
      </c>
      <c r="L9" s="11" t="n">
        <f aca="false">IF($A9="","",IFERROR(ABS(G9-K9),""))</f>
        <v>33071</v>
      </c>
      <c r="M9" s="9" t="n">
        <v>34</v>
      </c>
      <c r="N9" s="11" t="n">
        <f aca="false">IF($A9="","",IFERROR(ROUND(M9*1.618,0),""))</f>
        <v>55</v>
      </c>
      <c r="O9" s="13" t="n">
        <f aca="false">IF($A9="","",IFERROR(C9+ROUND(N9*7/5,0),""))</f>
        <v>46307</v>
      </c>
      <c r="P9" s="14"/>
      <c r="Q9" s="14"/>
      <c r="R9" s="9"/>
      <c r="S9" s="15" t="n">
        <f aca="false">IF($A9="","",IF(OR(D9="",H9=""),0,IF(OR(H9&lt;=0.15,H9&gt;=0.9),4,IF(AND(H9&gt;=0.35,H9&lt;=0.6),-3,IF(H9&lt;0.35,2,-1)))))</f>
        <v>4</v>
      </c>
      <c r="T9" s="15" t="n">
        <f aca="false">IF($A9="","",IF(OR(L9="",L9&gt;TIME_TOL),0,IF(S9&gt;0,2,-2)))</f>
        <v>0</v>
      </c>
      <c r="U9" s="15" t="n">
        <f aca="false">IF($A9="","",IF(P9="",0,(IF(P9="3",4,IF(P9="1",2,IF(P9="2",1,IF(P9="4",1,IF(P9="5",-1,IF(P9="A",-3,IF(P9="B",-2,IF(P9="C",-4,0)))))))))*IF(R9="",0.6,R9/5)))</f>
        <v>0</v>
      </c>
      <c r="V9" s="15" t="n">
        <f aca="false">IF($A9="","",MAX(-10,MIN(10,S9+T9+U9)))</f>
        <v>4</v>
      </c>
      <c r="W9" s="16" t="str">
        <f aca="false">IF($A9="","",IF(W_TIME=0,"غیرفعال (وزن صفر)","فعال"))</f>
        <v>غیرفعال (وزن صفر)</v>
      </c>
      <c r="Z9" s="17" t="s">
        <v>55</v>
      </c>
      <c r="AB9" s="18" t="n">
        <v>120</v>
      </c>
    </row>
    <row r="10" customFormat="false" ht="15" hidden="false" customHeight="false" outlineLevel="0" collapsed="false">
      <c r="A10" s="7" t="s">
        <v>56</v>
      </c>
      <c r="B10" s="8" t="n">
        <v>46195</v>
      </c>
      <c r="C10" s="8" t="n">
        <v>46253</v>
      </c>
      <c r="D10" s="9" t="n">
        <v>80</v>
      </c>
      <c r="E10" s="10"/>
      <c r="F10" s="11" t="n">
        <f aca="false">IF($A10="","",IFERROR(E10-B10,""))</f>
        <v>-46195</v>
      </c>
      <c r="G10" s="11" t="n">
        <f aca="false">IF($A10="","",IFERROR(ROUND(F10*5/7,0),""))</f>
        <v>-32996</v>
      </c>
      <c r="H10" s="12" t="n">
        <f aca="false">IF($A10="","",IFERROR(G10/D10,""))</f>
        <v>-412.45</v>
      </c>
      <c r="I10" s="13" t="n">
        <f aca="false">IF($A10="","",IFERROR(B10+ROUND(D10*7/5,0),""))</f>
        <v>46307</v>
      </c>
      <c r="J10" s="11" t="n">
        <f aca="false">IF($A10="","",IFERROR(I10-E10,""))</f>
        <v>46307</v>
      </c>
      <c r="K10" s="11" t="n">
        <f aca="false">IF($A10="","",IFERROR(IF(G10-INDEX($AB$5:$AB$13,MATCH(G10,$AB$5:$AB$13,1))&lt;=INDEX($AB$5:$AB$13,MIN(MATCH(G10,$AB$5:$AB$13,1)+1,9))-G10,INDEX($AB$5:$AB$13,MATCH(G10,$AB$5:$AB$13,1)),INDEX($AB$5:$AB$13,MIN(MATCH(G10,$AB$5:$AB$13,1)+1,9))),30))</f>
        <v>30</v>
      </c>
      <c r="L10" s="11" t="n">
        <f aca="false">IF($A10="","",IFERROR(ABS(G10-K10),""))</f>
        <v>33026</v>
      </c>
      <c r="M10" s="9" t="n">
        <v>34</v>
      </c>
      <c r="N10" s="11" t="n">
        <f aca="false">IF($A10="","",IFERROR(ROUND(M10*1.618,0),""))</f>
        <v>55</v>
      </c>
      <c r="O10" s="13" t="n">
        <f aca="false">IF($A10="","",IFERROR(C10+ROUND(N10*7/5,0),""))</f>
        <v>46330</v>
      </c>
      <c r="P10" s="14"/>
      <c r="Q10" s="14"/>
      <c r="R10" s="9"/>
      <c r="S10" s="15" t="n">
        <f aca="false">IF($A10="","",IF(OR(D10="",H10=""),0,IF(OR(H10&lt;=0.15,H10&gt;=0.9),4,IF(AND(H10&gt;=0.35,H10&lt;=0.6),-3,IF(H10&lt;0.35,2,-1)))))</f>
        <v>4</v>
      </c>
      <c r="T10" s="15" t="n">
        <f aca="false">IF($A10="","",IF(OR(L10="",L10&gt;TIME_TOL),0,IF(S10&gt;0,2,-2)))</f>
        <v>0</v>
      </c>
      <c r="U10" s="15" t="n">
        <f aca="false">IF($A10="","",IF(P10="",0,(IF(P10="3",4,IF(P10="1",2,IF(P10="2",1,IF(P10="4",1,IF(P10="5",-1,IF(P10="A",-3,IF(P10="B",-2,IF(P10="C",-4,0)))))))))*IF(R10="",0.6,R10/5)))</f>
        <v>0</v>
      </c>
      <c r="V10" s="15" t="n">
        <f aca="false">IF($A10="","",MAX(-10,MIN(10,S10+T10+U10)))</f>
        <v>4</v>
      </c>
      <c r="W10" s="16" t="str">
        <f aca="false">IF($A10="","",IF(W_TIME=0,"غیرفعال (وزن صفر)","فعال"))</f>
        <v>غیرفعال (وزن صفر)</v>
      </c>
      <c r="Z10" s="17" t="s">
        <v>57</v>
      </c>
      <c r="AB10" s="18" t="n">
        <v>144</v>
      </c>
    </row>
    <row r="11" customFormat="false" ht="15" hidden="false" customHeight="false" outlineLevel="0" collapsed="false">
      <c r="A11" s="7" t="s">
        <v>58</v>
      </c>
      <c r="B11" s="8" t="n">
        <v>46237</v>
      </c>
      <c r="C11" s="8" t="n">
        <v>46102</v>
      </c>
      <c r="D11" s="9" t="n">
        <v>80</v>
      </c>
      <c r="E11" s="10"/>
      <c r="F11" s="11" t="n">
        <f aca="false">IF($A11="","",IFERROR(E11-B11,""))</f>
        <v>-46237</v>
      </c>
      <c r="G11" s="11" t="n">
        <f aca="false">IF($A11="","",IFERROR(ROUND(F11*5/7,0),""))</f>
        <v>-33026</v>
      </c>
      <c r="H11" s="12" t="n">
        <f aca="false">IF($A11="","",IFERROR(G11/D11,""))</f>
        <v>-412.825</v>
      </c>
      <c r="I11" s="13" t="n">
        <f aca="false">IF($A11="","",IFERROR(B11+ROUND(D11*7/5,0),""))</f>
        <v>46349</v>
      </c>
      <c r="J11" s="11" t="n">
        <f aca="false">IF($A11="","",IFERROR(I11-E11,""))</f>
        <v>46349</v>
      </c>
      <c r="K11" s="11" t="n">
        <f aca="false">IF($A11="","",IFERROR(IF(G11-INDEX($AB$5:$AB$13,MATCH(G11,$AB$5:$AB$13,1))&lt;=INDEX($AB$5:$AB$13,MIN(MATCH(G11,$AB$5:$AB$13,1)+1,9))-G11,INDEX($AB$5:$AB$13,MATCH(G11,$AB$5:$AB$13,1)),INDEX($AB$5:$AB$13,MIN(MATCH(G11,$AB$5:$AB$13,1)+1,9))),30))</f>
        <v>30</v>
      </c>
      <c r="L11" s="11" t="n">
        <f aca="false">IF($A11="","",IFERROR(ABS(G11-K11),""))</f>
        <v>33056</v>
      </c>
      <c r="M11" s="9" t="n">
        <v>34</v>
      </c>
      <c r="N11" s="11" t="n">
        <f aca="false">IF($A11="","",IFERROR(ROUND(M11*1.618,0),""))</f>
        <v>55</v>
      </c>
      <c r="O11" s="13" t="n">
        <f aca="false">IF($A11="","",IFERROR(C11+ROUND(N11*7/5,0),""))</f>
        <v>46179</v>
      </c>
      <c r="P11" s="14"/>
      <c r="Q11" s="14"/>
      <c r="R11" s="9"/>
      <c r="S11" s="15" t="n">
        <f aca="false">IF($A11="","",IF(OR(D11="",H11=""),0,IF(OR(H11&lt;=0.15,H11&gt;=0.9),4,IF(AND(H11&gt;=0.35,H11&lt;=0.6),-3,IF(H11&lt;0.35,2,-1)))))</f>
        <v>4</v>
      </c>
      <c r="T11" s="15" t="n">
        <f aca="false">IF($A11="","",IF(OR(L11="",L11&gt;TIME_TOL),0,IF(S11&gt;0,2,-2)))</f>
        <v>0</v>
      </c>
      <c r="U11" s="15" t="n">
        <f aca="false">IF($A11="","",IF(P11="",0,(IF(P11="3",4,IF(P11="1",2,IF(P11="2",1,IF(P11="4",1,IF(P11="5",-1,IF(P11="A",-3,IF(P11="B",-2,IF(P11="C",-4,0)))))))))*IF(R11="",0.6,R11/5)))</f>
        <v>0</v>
      </c>
      <c r="V11" s="15" t="n">
        <f aca="false">IF($A11="","",MAX(-10,MIN(10,S11+T11+U11)))</f>
        <v>4</v>
      </c>
      <c r="W11" s="16" t="str">
        <f aca="false">IF($A11="","",IF(W_TIME=0,"غیرفعال (وزن صفر)","فعال"))</f>
        <v>غیرفعال (وزن صفر)</v>
      </c>
      <c r="Z11" s="17" t="s">
        <v>59</v>
      </c>
      <c r="AB11" s="18" t="n">
        <v>180</v>
      </c>
    </row>
    <row r="12" customFormat="false" ht="15" hidden="false" customHeight="false" outlineLevel="0" collapsed="false">
      <c r="A12" s="7" t="s">
        <v>60</v>
      </c>
      <c r="B12" s="8" t="n">
        <v>46267</v>
      </c>
      <c r="C12" s="8" t="n">
        <v>46180</v>
      </c>
      <c r="D12" s="9" t="n">
        <v>80</v>
      </c>
      <c r="E12" s="10"/>
      <c r="F12" s="11" t="n">
        <f aca="false">IF($A12="","",IFERROR(E12-B12,""))</f>
        <v>-46267</v>
      </c>
      <c r="G12" s="11" t="n">
        <f aca="false">IF($A12="","",IFERROR(ROUND(F12*5/7,0),""))</f>
        <v>-33048</v>
      </c>
      <c r="H12" s="12" t="n">
        <f aca="false">IF($A12="","",IFERROR(G12/D12,""))</f>
        <v>-413.1</v>
      </c>
      <c r="I12" s="13" t="n">
        <f aca="false">IF($A12="","",IFERROR(B12+ROUND(D12*7/5,0),""))</f>
        <v>46379</v>
      </c>
      <c r="J12" s="11" t="n">
        <f aca="false">IF($A12="","",IFERROR(I12-E12,""))</f>
        <v>46379</v>
      </c>
      <c r="K12" s="11" t="n">
        <f aca="false">IF($A12="","",IFERROR(IF(G12-INDEX($AB$5:$AB$13,MATCH(G12,$AB$5:$AB$13,1))&lt;=INDEX($AB$5:$AB$13,MIN(MATCH(G12,$AB$5:$AB$13,1)+1,9))-G12,INDEX($AB$5:$AB$13,MATCH(G12,$AB$5:$AB$13,1)),INDEX($AB$5:$AB$13,MIN(MATCH(G12,$AB$5:$AB$13,1)+1,9))),30))</f>
        <v>30</v>
      </c>
      <c r="L12" s="11" t="n">
        <f aca="false">IF($A12="","",IFERROR(ABS(G12-K12),""))</f>
        <v>33078</v>
      </c>
      <c r="M12" s="9" t="n">
        <v>34</v>
      </c>
      <c r="N12" s="11" t="n">
        <f aca="false">IF($A12="","",IFERROR(ROUND(M12*1.618,0),""))</f>
        <v>55</v>
      </c>
      <c r="O12" s="13" t="n">
        <f aca="false">IF($A12="","",IFERROR(C12+ROUND(N12*7/5,0),""))</f>
        <v>46257</v>
      </c>
      <c r="P12" s="14"/>
      <c r="Q12" s="14"/>
      <c r="R12" s="9"/>
      <c r="S12" s="15" t="n">
        <f aca="false">IF($A12="","",IF(OR(D12="",H12=""),0,IF(OR(H12&lt;=0.15,H12&gt;=0.9),4,IF(AND(H12&gt;=0.35,H12&lt;=0.6),-3,IF(H12&lt;0.35,2,-1)))))</f>
        <v>4</v>
      </c>
      <c r="T12" s="15" t="n">
        <f aca="false">IF($A12="","",IF(OR(L12="",L12&gt;TIME_TOL),0,IF(S12&gt;0,2,-2)))</f>
        <v>0</v>
      </c>
      <c r="U12" s="15" t="n">
        <f aca="false">IF($A12="","",IF(P12="",0,(IF(P12="3",4,IF(P12="1",2,IF(P12="2",1,IF(P12="4",1,IF(P12="5",-1,IF(P12="A",-3,IF(P12="B",-2,IF(P12="C",-4,0)))))))))*IF(R12="",0.6,R12/5)))</f>
        <v>0</v>
      </c>
      <c r="V12" s="15" t="n">
        <f aca="false">IF($A12="","",MAX(-10,MIN(10,S12+T12+U12)))</f>
        <v>4</v>
      </c>
      <c r="W12" s="16" t="str">
        <f aca="false">IF($A12="","",IF(W_TIME=0,"غیرفعال (وزن صفر)","فعال"))</f>
        <v>غیرفعال (وزن صفر)</v>
      </c>
      <c r="Z12" s="17" t="s">
        <v>61</v>
      </c>
      <c r="AB12" s="18" t="n">
        <v>270</v>
      </c>
    </row>
    <row r="13" customFormat="false" ht="15" hidden="false" customHeight="false" outlineLevel="0" collapsed="false">
      <c r="A13" s="7"/>
      <c r="B13" s="8"/>
      <c r="C13" s="8"/>
      <c r="D13" s="9"/>
      <c r="E13" s="10"/>
      <c r="F13" s="11" t="str">
        <f aca="false">IF($A13="","",IFERROR(E13-B13,""))</f>
        <v/>
      </c>
      <c r="G13" s="11" t="str">
        <f aca="false">IF($A13="","",IFERROR(ROUND(F13*5/7,0),""))</f>
        <v/>
      </c>
      <c r="H13" s="12" t="str">
        <f aca="false">IF($A13="","",IFERROR(G13/D13,""))</f>
        <v/>
      </c>
      <c r="I13" s="13" t="str">
        <f aca="false">IF($A13="","",IFERROR(B13+ROUND(D13*7/5,0),""))</f>
        <v/>
      </c>
      <c r="J13" s="11" t="str">
        <f aca="false">IF($A13="","",IFERROR(I13-E13,""))</f>
        <v/>
      </c>
      <c r="K13" s="11" t="str">
        <f aca="false">IF($A13="","",IFERROR(IF(G13-INDEX($AB$5:$AB$13,MATCH(G13,$AB$5:$AB$13,1))&lt;=INDEX($AB$5:$AB$13,MIN(MATCH(G13,$AB$5:$AB$13,1)+1,9))-G13,INDEX($AB$5:$AB$13,MATCH(G13,$AB$5:$AB$13,1)),INDEX($AB$5:$AB$13,MIN(MATCH(G13,$AB$5:$AB$13,1)+1,9))),30))</f>
        <v/>
      </c>
      <c r="L13" s="11" t="str">
        <f aca="false">IF($A13="","",IFERROR(ABS(G13-K13),""))</f>
        <v/>
      </c>
      <c r="M13" s="9"/>
      <c r="N13" s="11" t="str">
        <f aca="false">IF($A13="","",IFERROR(ROUND(M13*1.618,0),""))</f>
        <v/>
      </c>
      <c r="O13" s="13" t="str">
        <f aca="false">IF($A13="","",IFERROR(C13+ROUND(N13*7/5,0),""))</f>
        <v/>
      </c>
      <c r="P13" s="14"/>
      <c r="Q13" s="14"/>
      <c r="R13" s="9"/>
      <c r="S13" s="15" t="str">
        <f aca="false">IF($A13="","",IF(OR(D13="",H13=""),0,IF(OR(H13&lt;=0.15,H13&gt;=0.9),4,IF(AND(H13&gt;=0.35,H13&lt;=0.6),-3,IF(H13&lt;0.35,2,-1)))))</f>
        <v/>
      </c>
      <c r="T13" s="15" t="str">
        <f aca="false">IF($A13="","",IF(OR(L13="",L13&gt;TIME_TOL),0,IF(S13&gt;0,2,-2)))</f>
        <v/>
      </c>
      <c r="U13" s="15" t="str">
        <f aca="false">IF($A13="","",IF(P13="",0,(IF(P13="3",4,IF(P13="1",2,IF(P13="2",1,IF(P13="4",1,IF(P13="5",-1,IF(P13="A",-3,IF(P13="B",-2,IF(P13="C",-4,0)))))))))*IF(R13="",0.6,R13/5)))</f>
        <v/>
      </c>
      <c r="V13" s="15" t="str">
        <f aca="false">IF($A13="","",MAX(-10,MIN(10,S13+T13+U13)))</f>
        <v/>
      </c>
      <c r="W13" s="16" t="str">
        <f aca="false">IF($A13="","",IF(W_TIME=0,"غیرفعال (وزن صفر)","فعال"))</f>
        <v/>
      </c>
      <c r="Z13" s="19"/>
      <c r="AB13" s="18" t="n">
        <v>360</v>
      </c>
    </row>
    <row r="14" customFormat="false" ht="15" hidden="false" customHeight="false" outlineLevel="0" collapsed="false">
      <c r="A14" s="7"/>
      <c r="B14" s="8"/>
      <c r="C14" s="8"/>
      <c r="D14" s="9"/>
      <c r="E14" s="10"/>
      <c r="F14" s="11" t="str">
        <f aca="false">IF($A14="","",IFERROR(E14-B14,""))</f>
        <v/>
      </c>
      <c r="G14" s="11" t="str">
        <f aca="false">IF($A14="","",IFERROR(ROUND(F14*5/7,0),""))</f>
        <v/>
      </c>
      <c r="H14" s="12" t="str">
        <f aca="false">IF($A14="","",IFERROR(G14/D14,""))</f>
        <v/>
      </c>
      <c r="I14" s="13" t="str">
        <f aca="false">IF($A14="","",IFERROR(B14+ROUND(D14*7/5,0),""))</f>
        <v/>
      </c>
      <c r="J14" s="11" t="str">
        <f aca="false">IF($A14="","",IFERROR(I14-E14,""))</f>
        <v/>
      </c>
      <c r="K14" s="11" t="str">
        <f aca="false">IF($A14="","",IFERROR(IF(G14-INDEX($AB$5:$AB$13,MATCH(G14,$AB$5:$AB$13,1))&lt;=INDEX($AB$5:$AB$13,MIN(MATCH(G14,$AB$5:$AB$13,1)+1,9))-G14,INDEX($AB$5:$AB$13,MATCH(G14,$AB$5:$AB$13,1)),INDEX($AB$5:$AB$13,MIN(MATCH(G14,$AB$5:$AB$13,1)+1,9))),30))</f>
        <v/>
      </c>
      <c r="L14" s="11" t="str">
        <f aca="false">IF($A14="","",IFERROR(ABS(G14-K14),""))</f>
        <v/>
      </c>
      <c r="M14" s="9"/>
      <c r="N14" s="11" t="str">
        <f aca="false">IF($A14="","",IFERROR(ROUND(M14*1.618,0),""))</f>
        <v/>
      </c>
      <c r="O14" s="13" t="str">
        <f aca="false">IF($A14="","",IFERROR(C14+ROUND(N14*7/5,0),""))</f>
        <v/>
      </c>
      <c r="P14" s="14"/>
      <c r="Q14" s="14"/>
      <c r="R14" s="9"/>
      <c r="S14" s="15" t="str">
        <f aca="false">IF($A14="","",IF(OR(D14="",H14=""),0,IF(OR(H14&lt;=0.15,H14&gt;=0.9),4,IF(AND(H14&gt;=0.35,H14&lt;=0.6),-3,IF(H14&lt;0.35,2,-1)))))</f>
        <v/>
      </c>
      <c r="T14" s="15" t="str">
        <f aca="false">IF($A14="","",IF(OR(L14="",L14&gt;TIME_TOL),0,IF(S14&gt;0,2,-2)))</f>
        <v/>
      </c>
      <c r="U14" s="15" t="str">
        <f aca="false">IF($A14="","",IF(P14="",0,(IF(P14="3",4,IF(P14="1",2,IF(P14="2",1,IF(P14="4",1,IF(P14="5",-1,IF(P14="A",-3,IF(P14="B",-2,IF(P14="C",-4,0)))))))))*IF(R14="",0.6,R14/5)))</f>
        <v/>
      </c>
      <c r="V14" s="15" t="str">
        <f aca="false">IF($A14="","",MAX(-10,MIN(10,S14+T14+U14)))</f>
        <v/>
      </c>
      <c r="W14" s="16" t="str">
        <f aca="false">IF($A14="","",IF(W_TIME=0,"غیرفعال (وزن صفر)","فعال"))</f>
        <v/>
      </c>
      <c r="Z14" s="19"/>
    </row>
    <row r="15" customFormat="false" ht="15" hidden="false" customHeight="false" outlineLevel="0" collapsed="false">
      <c r="A15" s="7"/>
      <c r="B15" s="8"/>
      <c r="C15" s="8"/>
      <c r="D15" s="9"/>
      <c r="E15" s="10"/>
      <c r="F15" s="11" t="str">
        <f aca="false">IF($A15="","",IFERROR(E15-B15,""))</f>
        <v/>
      </c>
      <c r="G15" s="11" t="str">
        <f aca="false">IF($A15="","",IFERROR(ROUND(F15*5/7,0),""))</f>
        <v/>
      </c>
      <c r="H15" s="12" t="str">
        <f aca="false">IF($A15="","",IFERROR(G15/D15,""))</f>
        <v/>
      </c>
      <c r="I15" s="13" t="str">
        <f aca="false">IF($A15="","",IFERROR(B15+ROUND(D15*7/5,0),""))</f>
        <v/>
      </c>
      <c r="J15" s="11" t="str">
        <f aca="false">IF($A15="","",IFERROR(I15-E15,""))</f>
        <v/>
      </c>
      <c r="K15" s="11" t="str">
        <f aca="false">IF($A15="","",IFERROR(IF(G15-INDEX($AB$5:$AB$13,MATCH(G15,$AB$5:$AB$13,1))&lt;=INDEX($AB$5:$AB$13,MIN(MATCH(G15,$AB$5:$AB$13,1)+1,9))-G15,INDEX($AB$5:$AB$13,MATCH(G15,$AB$5:$AB$13,1)),INDEX($AB$5:$AB$13,MIN(MATCH(G15,$AB$5:$AB$13,1)+1,9))),30))</f>
        <v/>
      </c>
      <c r="L15" s="11" t="str">
        <f aca="false">IF($A15="","",IFERROR(ABS(G15-K15),""))</f>
        <v/>
      </c>
      <c r="M15" s="9"/>
      <c r="N15" s="11" t="str">
        <f aca="false">IF($A15="","",IFERROR(ROUND(M15*1.618,0),""))</f>
        <v/>
      </c>
      <c r="O15" s="13" t="str">
        <f aca="false">IF($A15="","",IFERROR(C15+ROUND(N15*7/5,0),""))</f>
        <v/>
      </c>
      <c r="P15" s="14"/>
      <c r="Q15" s="14"/>
      <c r="R15" s="9"/>
      <c r="S15" s="15" t="str">
        <f aca="false">IF($A15="","",IF(OR(D15="",H15=""),0,IF(OR(H15&lt;=0.15,H15&gt;=0.9),4,IF(AND(H15&gt;=0.35,H15&lt;=0.6),-3,IF(H15&lt;0.35,2,-1)))))</f>
        <v/>
      </c>
      <c r="T15" s="15" t="str">
        <f aca="false">IF($A15="","",IF(OR(L15="",L15&gt;TIME_TOL),0,IF(S15&gt;0,2,-2)))</f>
        <v/>
      </c>
      <c r="U15" s="15" t="str">
        <f aca="false">IF($A15="","",IF(P15="",0,(IF(P15="3",4,IF(P15="1",2,IF(P15="2",1,IF(P15="4",1,IF(P15="5",-1,IF(P15="A",-3,IF(P15="B",-2,IF(P15="C",-4,0)))))))))*IF(R15="",0.6,R15/5)))</f>
        <v/>
      </c>
      <c r="V15" s="15" t="str">
        <f aca="false">IF($A15="","",MAX(-10,MIN(10,S15+T15+U15)))</f>
        <v/>
      </c>
      <c r="W15" s="16" t="str">
        <f aca="false">IF($A15="","",IF(W_TIME=0,"غیرفعال (وزن صفر)","فعال"))</f>
        <v/>
      </c>
      <c r="Z15" s="19"/>
    </row>
    <row r="16" customFormat="false" ht="15" hidden="false" customHeight="false" outlineLevel="0" collapsed="false">
      <c r="A16" s="7"/>
      <c r="B16" s="8"/>
      <c r="C16" s="8"/>
      <c r="D16" s="9"/>
      <c r="E16" s="10"/>
      <c r="F16" s="11" t="str">
        <f aca="false">IF($A16="","",IFERROR(E16-B16,""))</f>
        <v/>
      </c>
      <c r="G16" s="11" t="str">
        <f aca="false">IF($A16="","",IFERROR(ROUND(F16*5/7,0),""))</f>
        <v/>
      </c>
      <c r="H16" s="12" t="str">
        <f aca="false">IF($A16="","",IFERROR(G16/D16,""))</f>
        <v/>
      </c>
      <c r="I16" s="13" t="str">
        <f aca="false">IF($A16="","",IFERROR(B16+ROUND(D16*7/5,0),""))</f>
        <v/>
      </c>
      <c r="J16" s="11" t="str">
        <f aca="false">IF($A16="","",IFERROR(I16-E16,""))</f>
        <v/>
      </c>
      <c r="K16" s="11" t="str">
        <f aca="false">IF($A16="","",IFERROR(IF(G16-INDEX($AB$5:$AB$13,MATCH(G16,$AB$5:$AB$13,1))&lt;=INDEX($AB$5:$AB$13,MIN(MATCH(G16,$AB$5:$AB$13,1)+1,9))-G16,INDEX($AB$5:$AB$13,MATCH(G16,$AB$5:$AB$13,1)),INDEX($AB$5:$AB$13,MIN(MATCH(G16,$AB$5:$AB$13,1)+1,9))),30))</f>
        <v/>
      </c>
      <c r="L16" s="11" t="str">
        <f aca="false">IF($A16="","",IFERROR(ABS(G16-K16),""))</f>
        <v/>
      </c>
      <c r="M16" s="9"/>
      <c r="N16" s="11" t="str">
        <f aca="false">IF($A16="","",IFERROR(ROUND(M16*1.618,0),""))</f>
        <v/>
      </c>
      <c r="O16" s="13" t="str">
        <f aca="false">IF($A16="","",IFERROR(C16+ROUND(N16*7/5,0),""))</f>
        <v/>
      </c>
      <c r="P16" s="14"/>
      <c r="Q16" s="14"/>
      <c r="R16" s="9"/>
      <c r="S16" s="15" t="str">
        <f aca="false">IF($A16="","",IF(OR(D16="",H16=""),0,IF(OR(H16&lt;=0.15,H16&gt;=0.9),4,IF(AND(H16&gt;=0.35,H16&lt;=0.6),-3,IF(H16&lt;0.35,2,-1)))))</f>
        <v/>
      </c>
      <c r="T16" s="15" t="str">
        <f aca="false">IF($A16="","",IF(OR(L16="",L16&gt;TIME_TOL),0,IF(S16&gt;0,2,-2)))</f>
        <v/>
      </c>
      <c r="U16" s="15" t="str">
        <f aca="false">IF($A16="","",IF(P16="",0,(IF(P16="3",4,IF(P16="1",2,IF(P16="2",1,IF(P16="4",1,IF(P16="5",-1,IF(P16="A",-3,IF(P16="B",-2,IF(P16="C",-4,0)))))))))*IF(R16="",0.6,R16/5)))</f>
        <v/>
      </c>
      <c r="V16" s="15" t="str">
        <f aca="false">IF($A16="","",MAX(-10,MIN(10,S16+T16+U16)))</f>
        <v/>
      </c>
      <c r="W16" s="16" t="str">
        <f aca="false">IF($A16="","",IF(W_TIME=0,"غیرفعال (وزن صفر)","فعال"))</f>
        <v/>
      </c>
      <c r="Z16" s="19"/>
    </row>
    <row r="17" customFormat="false" ht="15" hidden="false" customHeight="false" outlineLevel="0" collapsed="false">
      <c r="A17" s="7"/>
      <c r="B17" s="8"/>
      <c r="C17" s="8"/>
      <c r="D17" s="9"/>
      <c r="E17" s="10"/>
      <c r="F17" s="11" t="str">
        <f aca="false">IF($A17="","",IFERROR(E17-B17,""))</f>
        <v/>
      </c>
      <c r="G17" s="11" t="str">
        <f aca="false">IF($A17="","",IFERROR(ROUND(F17*5/7,0),""))</f>
        <v/>
      </c>
      <c r="H17" s="12" t="str">
        <f aca="false">IF($A17="","",IFERROR(G17/D17,""))</f>
        <v/>
      </c>
      <c r="I17" s="13" t="str">
        <f aca="false">IF($A17="","",IFERROR(B17+ROUND(D17*7/5,0),""))</f>
        <v/>
      </c>
      <c r="J17" s="11" t="str">
        <f aca="false">IF($A17="","",IFERROR(I17-E17,""))</f>
        <v/>
      </c>
      <c r="K17" s="11" t="str">
        <f aca="false">IF($A17="","",IFERROR(IF(G17-INDEX($AB$5:$AB$13,MATCH(G17,$AB$5:$AB$13,1))&lt;=INDEX($AB$5:$AB$13,MIN(MATCH(G17,$AB$5:$AB$13,1)+1,9))-G17,INDEX($AB$5:$AB$13,MATCH(G17,$AB$5:$AB$13,1)),INDEX($AB$5:$AB$13,MIN(MATCH(G17,$AB$5:$AB$13,1)+1,9))),30))</f>
        <v/>
      </c>
      <c r="L17" s="11" t="str">
        <f aca="false">IF($A17="","",IFERROR(ABS(G17-K17),""))</f>
        <v/>
      </c>
      <c r="M17" s="9"/>
      <c r="N17" s="11" t="str">
        <f aca="false">IF($A17="","",IFERROR(ROUND(M17*1.618,0),""))</f>
        <v/>
      </c>
      <c r="O17" s="13" t="str">
        <f aca="false">IF($A17="","",IFERROR(C17+ROUND(N17*7/5,0),""))</f>
        <v/>
      </c>
      <c r="P17" s="14"/>
      <c r="Q17" s="14"/>
      <c r="R17" s="9"/>
      <c r="S17" s="15" t="str">
        <f aca="false">IF($A17="","",IF(OR(D17="",H17=""),0,IF(OR(H17&lt;=0.15,H17&gt;=0.9),4,IF(AND(H17&gt;=0.35,H17&lt;=0.6),-3,IF(H17&lt;0.35,2,-1)))))</f>
        <v/>
      </c>
      <c r="T17" s="15" t="str">
        <f aca="false">IF($A17="","",IF(OR(L17="",L17&gt;TIME_TOL),0,IF(S17&gt;0,2,-2)))</f>
        <v/>
      </c>
      <c r="U17" s="15" t="str">
        <f aca="false">IF($A17="","",IF(P17="",0,(IF(P17="3",4,IF(P17="1",2,IF(P17="2",1,IF(P17="4",1,IF(P17="5",-1,IF(P17="A",-3,IF(P17="B",-2,IF(P17="C",-4,0)))))))))*IF(R17="",0.6,R17/5)))</f>
        <v/>
      </c>
      <c r="V17" s="15" t="str">
        <f aca="false">IF($A17="","",MAX(-10,MIN(10,S17+T17+U17)))</f>
        <v/>
      </c>
      <c r="W17" s="16" t="str">
        <f aca="false">IF($A17="","",IF(W_TIME=0,"غیرفعال (وزن صفر)","فعال"))</f>
        <v/>
      </c>
      <c r="Z17" s="19"/>
    </row>
    <row r="18" customFormat="false" ht="15" hidden="false" customHeight="false" outlineLevel="0" collapsed="false">
      <c r="A18" s="7"/>
      <c r="B18" s="8"/>
      <c r="C18" s="8"/>
      <c r="D18" s="9"/>
      <c r="E18" s="10"/>
      <c r="F18" s="11" t="str">
        <f aca="false">IF($A18="","",IFERROR(E18-B18,""))</f>
        <v/>
      </c>
      <c r="G18" s="11" t="str">
        <f aca="false">IF($A18="","",IFERROR(ROUND(F18*5/7,0),""))</f>
        <v/>
      </c>
      <c r="H18" s="12" t="str">
        <f aca="false">IF($A18="","",IFERROR(G18/D18,""))</f>
        <v/>
      </c>
      <c r="I18" s="13" t="str">
        <f aca="false">IF($A18="","",IFERROR(B18+ROUND(D18*7/5,0),""))</f>
        <v/>
      </c>
      <c r="J18" s="11" t="str">
        <f aca="false">IF($A18="","",IFERROR(I18-E18,""))</f>
        <v/>
      </c>
      <c r="K18" s="11" t="str">
        <f aca="false">IF($A18="","",IFERROR(IF(G18-INDEX($AB$5:$AB$13,MATCH(G18,$AB$5:$AB$13,1))&lt;=INDEX($AB$5:$AB$13,MIN(MATCH(G18,$AB$5:$AB$13,1)+1,9))-G18,INDEX($AB$5:$AB$13,MATCH(G18,$AB$5:$AB$13,1)),INDEX($AB$5:$AB$13,MIN(MATCH(G18,$AB$5:$AB$13,1)+1,9))),30))</f>
        <v/>
      </c>
      <c r="L18" s="11" t="str">
        <f aca="false">IF($A18="","",IFERROR(ABS(G18-K18),""))</f>
        <v/>
      </c>
      <c r="M18" s="9"/>
      <c r="N18" s="11" t="str">
        <f aca="false">IF($A18="","",IFERROR(ROUND(M18*1.618,0),""))</f>
        <v/>
      </c>
      <c r="O18" s="13" t="str">
        <f aca="false">IF($A18="","",IFERROR(C18+ROUND(N18*7/5,0),""))</f>
        <v/>
      </c>
      <c r="P18" s="14"/>
      <c r="Q18" s="14"/>
      <c r="R18" s="9"/>
      <c r="S18" s="15" t="str">
        <f aca="false">IF($A18="","",IF(OR(D18="",H18=""),0,IF(OR(H18&lt;=0.15,H18&gt;=0.9),4,IF(AND(H18&gt;=0.35,H18&lt;=0.6),-3,IF(H18&lt;0.35,2,-1)))))</f>
        <v/>
      </c>
      <c r="T18" s="15" t="str">
        <f aca="false">IF($A18="","",IF(OR(L18="",L18&gt;TIME_TOL),0,IF(S18&gt;0,2,-2)))</f>
        <v/>
      </c>
      <c r="U18" s="15" t="str">
        <f aca="false">IF($A18="","",IF(P18="",0,(IF(P18="3",4,IF(P18="1",2,IF(P18="2",1,IF(P18="4",1,IF(P18="5",-1,IF(P18="A",-3,IF(P18="B",-2,IF(P18="C",-4,0)))))))))*IF(R18="",0.6,R18/5)))</f>
        <v/>
      </c>
      <c r="V18" s="15" t="str">
        <f aca="false">IF($A18="","",MAX(-10,MIN(10,S18+T18+U18)))</f>
        <v/>
      </c>
      <c r="W18" s="16" t="str">
        <f aca="false">IF($A18="","",IF(W_TIME=0,"غیرفعال (وزن صفر)","فعال"))</f>
        <v/>
      </c>
      <c r="Z18" s="19"/>
    </row>
    <row r="19" customFormat="false" ht="15" hidden="false" customHeight="false" outlineLevel="0" collapsed="false">
      <c r="A19" s="7"/>
      <c r="B19" s="8"/>
      <c r="C19" s="8"/>
      <c r="D19" s="9"/>
      <c r="E19" s="10"/>
      <c r="F19" s="11" t="str">
        <f aca="false">IF($A19="","",IFERROR(E19-B19,""))</f>
        <v/>
      </c>
      <c r="G19" s="11" t="str">
        <f aca="false">IF($A19="","",IFERROR(ROUND(F19*5/7,0),""))</f>
        <v/>
      </c>
      <c r="H19" s="12" t="str">
        <f aca="false">IF($A19="","",IFERROR(G19/D19,""))</f>
        <v/>
      </c>
      <c r="I19" s="13" t="str">
        <f aca="false">IF($A19="","",IFERROR(B19+ROUND(D19*7/5,0),""))</f>
        <v/>
      </c>
      <c r="J19" s="11" t="str">
        <f aca="false">IF($A19="","",IFERROR(I19-E19,""))</f>
        <v/>
      </c>
      <c r="K19" s="11" t="str">
        <f aca="false">IF($A19="","",IFERROR(IF(G19-INDEX($AB$5:$AB$13,MATCH(G19,$AB$5:$AB$13,1))&lt;=INDEX($AB$5:$AB$13,MIN(MATCH(G19,$AB$5:$AB$13,1)+1,9))-G19,INDEX($AB$5:$AB$13,MATCH(G19,$AB$5:$AB$13,1)),INDEX($AB$5:$AB$13,MIN(MATCH(G19,$AB$5:$AB$13,1)+1,9))),30))</f>
        <v/>
      </c>
      <c r="L19" s="11" t="str">
        <f aca="false">IF($A19="","",IFERROR(ABS(G19-K19),""))</f>
        <v/>
      </c>
      <c r="M19" s="9"/>
      <c r="N19" s="11" t="str">
        <f aca="false">IF($A19="","",IFERROR(ROUND(M19*1.618,0),""))</f>
        <v/>
      </c>
      <c r="O19" s="13" t="str">
        <f aca="false">IF($A19="","",IFERROR(C19+ROUND(N19*7/5,0),""))</f>
        <v/>
      </c>
      <c r="P19" s="14"/>
      <c r="Q19" s="14"/>
      <c r="R19" s="9"/>
      <c r="S19" s="15" t="str">
        <f aca="false">IF($A19="","",IF(OR(D19="",H19=""),0,IF(OR(H19&lt;=0.15,H19&gt;=0.9),4,IF(AND(H19&gt;=0.35,H19&lt;=0.6),-3,IF(H19&lt;0.35,2,-1)))))</f>
        <v/>
      </c>
      <c r="T19" s="15" t="str">
        <f aca="false">IF($A19="","",IF(OR(L19="",L19&gt;TIME_TOL),0,IF(S19&gt;0,2,-2)))</f>
        <v/>
      </c>
      <c r="U19" s="15" t="str">
        <f aca="false">IF($A19="","",IF(P19="",0,(IF(P19="3",4,IF(P19="1",2,IF(P19="2",1,IF(P19="4",1,IF(P19="5",-1,IF(P19="A",-3,IF(P19="B",-2,IF(P19="C",-4,0)))))))))*IF(R19="",0.6,R19/5)))</f>
        <v/>
      </c>
      <c r="V19" s="15" t="str">
        <f aca="false">IF($A19="","",MAX(-10,MIN(10,S19+T19+U19)))</f>
        <v/>
      </c>
      <c r="W19" s="16" t="str">
        <f aca="false">IF($A19="","",IF(W_TIME=0,"غیرفعال (وزن صفر)","فعال"))</f>
        <v/>
      </c>
      <c r="Z19" s="19"/>
    </row>
    <row r="20" customFormat="false" ht="15" hidden="false" customHeight="false" outlineLevel="0" collapsed="false">
      <c r="A20" s="7"/>
      <c r="B20" s="8"/>
      <c r="C20" s="8"/>
      <c r="D20" s="9"/>
      <c r="E20" s="10"/>
      <c r="F20" s="11" t="str">
        <f aca="false">IF($A20="","",IFERROR(E20-B20,""))</f>
        <v/>
      </c>
      <c r="G20" s="11" t="str">
        <f aca="false">IF($A20="","",IFERROR(ROUND(F20*5/7,0),""))</f>
        <v/>
      </c>
      <c r="H20" s="12" t="str">
        <f aca="false">IF($A20="","",IFERROR(G20/D20,""))</f>
        <v/>
      </c>
      <c r="I20" s="13" t="str">
        <f aca="false">IF($A20="","",IFERROR(B20+ROUND(D20*7/5,0),""))</f>
        <v/>
      </c>
      <c r="J20" s="11" t="str">
        <f aca="false">IF($A20="","",IFERROR(I20-E20,""))</f>
        <v/>
      </c>
      <c r="K20" s="11" t="str">
        <f aca="false">IF($A20="","",IFERROR(IF(G20-INDEX($AB$5:$AB$13,MATCH(G20,$AB$5:$AB$13,1))&lt;=INDEX($AB$5:$AB$13,MIN(MATCH(G20,$AB$5:$AB$13,1)+1,9))-G20,INDEX($AB$5:$AB$13,MATCH(G20,$AB$5:$AB$13,1)),INDEX($AB$5:$AB$13,MIN(MATCH(G20,$AB$5:$AB$13,1)+1,9))),30))</f>
        <v/>
      </c>
      <c r="L20" s="11" t="str">
        <f aca="false">IF($A20="","",IFERROR(ABS(G20-K20),""))</f>
        <v/>
      </c>
      <c r="M20" s="9"/>
      <c r="N20" s="11" t="str">
        <f aca="false">IF($A20="","",IFERROR(ROUND(M20*1.618,0),""))</f>
        <v/>
      </c>
      <c r="O20" s="13" t="str">
        <f aca="false">IF($A20="","",IFERROR(C20+ROUND(N20*7/5,0),""))</f>
        <v/>
      </c>
      <c r="P20" s="14"/>
      <c r="Q20" s="14"/>
      <c r="R20" s="9"/>
      <c r="S20" s="15" t="str">
        <f aca="false">IF($A20="","",IF(OR(D20="",H20=""),0,IF(OR(H20&lt;=0.15,H20&gt;=0.9),4,IF(AND(H20&gt;=0.35,H20&lt;=0.6),-3,IF(H20&lt;0.35,2,-1)))))</f>
        <v/>
      </c>
      <c r="T20" s="15" t="str">
        <f aca="false">IF($A20="","",IF(OR(L20="",L20&gt;TIME_TOL),0,IF(S20&gt;0,2,-2)))</f>
        <v/>
      </c>
      <c r="U20" s="15" t="str">
        <f aca="false">IF($A20="","",IF(P20="",0,(IF(P20="3",4,IF(P20="1",2,IF(P20="2",1,IF(P20="4",1,IF(P20="5",-1,IF(P20="A",-3,IF(P20="B",-2,IF(P20="C",-4,0)))))))))*IF(R20="",0.6,R20/5)))</f>
        <v/>
      </c>
      <c r="V20" s="15" t="str">
        <f aca="false">IF($A20="","",MAX(-10,MIN(10,S20+T20+U20)))</f>
        <v/>
      </c>
      <c r="W20" s="16" t="str">
        <f aca="false">IF($A20="","",IF(W_TIME=0,"غیرفعال (وزن صفر)","فعال"))</f>
        <v/>
      </c>
      <c r="Z20" s="19"/>
    </row>
    <row r="21" customFormat="false" ht="15" hidden="false" customHeight="false" outlineLevel="0" collapsed="false">
      <c r="A21" s="7"/>
      <c r="B21" s="8"/>
      <c r="C21" s="8"/>
      <c r="D21" s="9"/>
      <c r="E21" s="10"/>
      <c r="F21" s="11" t="str">
        <f aca="false">IF($A21="","",IFERROR(E21-B21,""))</f>
        <v/>
      </c>
      <c r="G21" s="11" t="str">
        <f aca="false">IF($A21="","",IFERROR(ROUND(F21*5/7,0),""))</f>
        <v/>
      </c>
      <c r="H21" s="12" t="str">
        <f aca="false">IF($A21="","",IFERROR(G21/D21,""))</f>
        <v/>
      </c>
      <c r="I21" s="13" t="str">
        <f aca="false">IF($A21="","",IFERROR(B21+ROUND(D21*7/5,0),""))</f>
        <v/>
      </c>
      <c r="J21" s="11" t="str">
        <f aca="false">IF($A21="","",IFERROR(I21-E21,""))</f>
        <v/>
      </c>
      <c r="K21" s="11" t="str">
        <f aca="false">IF($A21="","",IFERROR(IF(G21-INDEX($AB$5:$AB$13,MATCH(G21,$AB$5:$AB$13,1))&lt;=INDEX($AB$5:$AB$13,MIN(MATCH(G21,$AB$5:$AB$13,1)+1,9))-G21,INDEX($AB$5:$AB$13,MATCH(G21,$AB$5:$AB$13,1)),INDEX($AB$5:$AB$13,MIN(MATCH(G21,$AB$5:$AB$13,1)+1,9))),30))</f>
        <v/>
      </c>
      <c r="L21" s="11" t="str">
        <f aca="false">IF($A21="","",IFERROR(ABS(G21-K21),""))</f>
        <v/>
      </c>
      <c r="M21" s="9"/>
      <c r="N21" s="11" t="str">
        <f aca="false">IF($A21="","",IFERROR(ROUND(M21*1.618,0),""))</f>
        <v/>
      </c>
      <c r="O21" s="13" t="str">
        <f aca="false">IF($A21="","",IFERROR(C21+ROUND(N21*7/5,0),""))</f>
        <v/>
      </c>
      <c r="P21" s="14"/>
      <c r="Q21" s="14"/>
      <c r="R21" s="9"/>
      <c r="S21" s="15" t="str">
        <f aca="false">IF($A21="","",IF(OR(D21="",H21=""),0,IF(OR(H21&lt;=0.15,H21&gt;=0.9),4,IF(AND(H21&gt;=0.35,H21&lt;=0.6),-3,IF(H21&lt;0.35,2,-1)))))</f>
        <v/>
      </c>
      <c r="T21" s="15" t="str">
        <f aca="false">IF($A21="","",IF(OR(L21="",L21&gt;TIME_TOL),0,IF(S21&gt;0,2,-2)))</f>
        <v/>
      </c>
      <c r="U21" s="15" t="str">
        <f aca="false">IF($A21="","",IF(P21="",0,(IF(P21="3",4,IF(P21="1",2,IF(P21="2",1,IF(P21="4",1,IF(P21="5",-1,IF(P21="A",-3,IF(P21="B",-2,IF(P21="C",-4,0)))))))))*IF(R21="",0.6,R21/5)))</f>
        <v/>
      </c>
      <c r="V21" s="15" t="str">
        <f aca="false">IF($A21="","",MAX(-10,MIN(10,S21+T21+U21)))</f>
        <v/>
      </c>
      <c r="W21" s="16" t="str">
        <f aca="false">IF($A21="","",IF(W_TIME=0,"غیرفعال (وزن صفر)","فعال"))</f>
        <v/>
      </c>
      <c r="Z21" s="19"/>
    </row>
    <row r="22" customFormat="false" ht="15" hidden="false" customHeight="false" outlineLevel="0" collapsed="false">
      <c r="A22" s="7"/>
      <c r="B22" s="8"/>
      <c r="C22" s="8"/>
      <c r="D22" s="9"/>
      <c r="E22" s="10"/>
      <c r="F22" s="11" t="str">
        <f aca="false">IF($A22="","",IFERROR(E22-B22,""))</f>
        <v/>
      </c>
      <c r="G22" s="11" t="str">
        <f aca="false">IF($A22="","",IFERROR(ROUND(F22*5/7,0),""))</f>
        <v/>
      </c>
      <c r="H22" s="12" t="str">
        <f aca="false">IF($A22="","",IFERROR(G22/D22,""))</f>
        <v/>
      </c>
      <c r="I22" s="13" t="str">
        <f aca="false">IF($A22="","",IFERROR(B22+ROUND(D22*7/5,0),""))</f>
        <v/>
      </c>
      <c r="J22" s="11" t="str">
        <f aca="false">IF($A22="","",IFERROR(I22-E22,""))</f>
        <v/>
      </c>
      <c r="K22" s="11" t="str">
        <f aca="false">IF($A22="","",IFERROR(IF(G22-INDEX($AB$5:$AB$13,MATCH(G22,$AB$5:$AB$13,1))&lt;=INDEX($AB$5:$AB$13,MIN(MATCH(G22,$AB$5:$AB$13,1)+1,9))-G22,INDEX($AB$5:$AB$13,MATCH(G22,$AB$5:$AB$13,1)),INDEX($AB$5:$AB$13,MIN(MATCH(G22,$AB$5:$AB$13,1)+1,9))),30))</f>
        <v/>
      </c>
      <c r="L22" s="11" t="str">
        <f aca="false">IF($A22="","",IFERROR(ABS(G22-K22),""))</f>
        <v/>
      </c>
      <c r="M22" s="9"/>
      <c r="N22" s="11" t="str">
        <f aca="false">IF($A22="","",IFERROR(ROUND(M22*1.618,0),""))</f>
        <v/>
      </c>
      <c r="O22" s="13" t="str">
        <f aca="false">IF($A22="","",IFERROR(C22+ROUND(N22*7/5,0),""))</f>
        <v/>
      </c>
      <c r="P22" s="14"/>
      <c r="Q22" s="14"/>
      <c r="R22" s="9"/>
      <c r="S22" s="15" t="str">
        <f aca="false">IF($A22="","",IF(OR(D22="",H22=""),0,IF(OR(H22&lt;=0.15,H22&gt;=0.9),4,IF(AND(H22&gt;=0.35,H22&lt;=0.6),-3,IF(H22&lt;0.35,2,-1)))))</f>
        <v/>
      </c>
      <c r="T22" s="15" t="str">
        <f aca="false">IF($A22="","",IF(OR(L22="",L22&gt;TIME_TOL),0,IF(S22&gt;0,2,-2)))</f>
        <v/>
      </c>
      <c r="U22" s="15" t="str">
        <f aca="false">IF($A22="","",IF(P22="",0,(IF(P22="3",4,IF(P22="1",2,IF(P22="2",1,IF(P22="4",1,IF(P22="5",-1,IF(P22="A",-3,IF(P22="B",-2,IF(P22="C",-4,0)))))))))*IF(R22="",0.6,R22/5)))</f>
        <v/>
      </c>
      <c r="V22" s="15" t="str">
        <f aca="false">IF($A22="","",MAX(-10,MIN(10,S22+T22+U22)))</f>
        <v/>
      </c>
      <c r="W22" s="16" t="str">
        <f aca="false">IF($A22="","",IF(W_TIME=0,"غیرفعال (وزن صفر)","فعال"))</f>
        <v/>
      </c>
      <c r="Z22" s="19"/>
    </row>
    <row r="23" customFormat="false" ht="15" hidden="false" customHeight="false" outlineLevel="0" collapsed="false">
      <c r="A23" s="7"/>
      <c r="B23" s="8"/>
      <c r="C23" s="8"/>
      <c r="D23" s="9"/>
      <c r="E23" s="10"/>
      <c r="F23" s="11" t="str">
        <f aca="false">IF($A23="","",IFERROR(E23-B23,""))</f>
        <v/>
      </c>
      <c r="G23" s="11" t="str">
        <f aca="false">IF($A23="","",IFERROR(ROUND(F23*5/7,0),""))</f>
        <v/>
      </c>
      <c r="H23" s="12" t="str">
        <f aca="false">IF($A23="","",IFERROR(G23/D23,""))</f>
        <v/>
      </c>
      <c r="I23" s="13" t="str">
        <f aca="false">IF($A23="","",IFERROR(B23+ROUND(D23*7/5,0),""))</f>
        <v/>
      </c>
      <c r="J23" s="11" t="str">
        <f aca="false">IF($A23="","",IFERROR(I23-E23,""))</f>
        <v/>
      </c>
      <c r="K23" s="11" t="str">
        <f aca="false">IF($A23="","",IFERROR(IF(G23-INDEX($AB$5:$AB$13,MATCH(G23,$AB$5:$AB$13,1))&lt;=INDEX($AB$5:$AB$13,MIN(MATCH(G23,$AB$5:$AB$13,1)+1,9))-G23,INDEX($AB$5:$AB$13,MATCH(G23,$AB$5:$AB$13,1)),INDEX($AB$5:$AB$13,MIN(MATCH(G23,$AB$5:$AB$13,1)+1,9))),30))</f>
        <v/>
      </c>
      <c r="L23" s="11" t="str">
        <f aca="false">IF($A23="","",IFERROR(ABS(G23-K23),""))</f>
        <v/>
      </c>
      <c r="M23" s="9"/>
      <c r="N23" s="11" t="str">
        <f aca="false">IF($A23="","",IFERROR(ROUND(M23*1.618,0),""))</f>
        <v/>
      </c>
      <c r="O23" s="13" t="str">
        <f aca="false">IF($A23="","",IFERROR(C23+ROUND(N23*7/5,0),""))</f>
        <v/>
      </c>
      <c r="P23" s="14"/>
      <c r="Q23" s="14"/>
      <c r="R23" s="9"/>
      <c r="S23" s="15" t="str">
        <f aca="false">IF($A23="","",IF(OR(D23="",H23=""),0,IF(OR(H23&lt;=0.15,H23&gt;=0.9),4,IF(AND(H23&gt;=0.35,H23&lt;=0.6),-3,IF(H23&lt;0.35,2,-1)))))</f>
        <v/>
      </c>
      <c r="T23" s="15" t="str">
        <f aca="false">IF($A23="","",IF(OR(L23="",L23&gt;TIME_TOL),0,IF(S23&gt;0,2,-2)))</f>
        <v/>
      </c>
      <c r="U23" s="15" t="str">
        <f aca="false">IF($A23="","",IF(P23="",0,(IF(P23="3",4,IF(P23="1",2,IF(P23="2",1,IF(P23="4",1,IF(P23="5",-1,IF(P23="A",-3,IF(P23="B",-2,IF(P23="C",-4,0)))))))))*IF(R23="",0.6,R23/5)))</f>
        <v/>
      </c>
      <c r="V23" s="15" t="str">
        <f aca="false">IF($A23="","",MAX(-10,MIN(10,S23+T23+U23)))</f>
        <v/>
      </c>
      <c r="W23" s="16" t="str">
        <f aca="false">IF($A23="","",IF(W_TIME=0,"غیرفعال (وزن صفر)","فعال"))</f>
        <v/>
      </c>
      <c r="Z23" s="19"/>
    </row>
    <row r="24" customFormat="false" ht="15" hidden="false" customHeight="false" outlineLevel="0" collapsed="false">
      <c r="A24" s="7"/>
      <c r="B24" s="8"/>
      <c r="C24" s="8"/>
      <c r="D24" s="9"/>
      <c r="E24" s="10"/>
      <c r="F24" s="11" t="str">
        <f aca="false">IF($A24="","",IFERROR(E24-B24,""))</f>
        <v/>
      </c>
      <c r="G24" s="11" t="str">
        <f aca="false">IF($A24="","",IFERROR(ROUND(F24*5/7,0),""))</f>
        <v/>
      </c>
      <c r="H24" s="12" t="str">
        <f aca="false">IF($A24="","",IFERROR(G24/D24,""))</f>
        <v/>
      </c>
      <c r="I24" s="13" t="str">
        <f aca="false">IF($A24="","",IFERROR(B24+ROUND(D24*7/5,0),""))</f>
        <v/>
      </c>
      <c r="J24" s="11" t="str">
        <f aca="false">IF($A24="","",IFERROR(I24-E24,""))</f>
        <v/>
      </c>
      <c r="K24" s="11" t="str">
        <f aca="false">IF($A24="","",IFERROR(IF(G24-INDEX($AB$5:$AB$13,MATCH(G24,$AB$5:$AB$13,1))&lt;=INDEX($AB$5:$AB$13,MIN(MATCH(G24,$AB$5:$AB$13,1)+1,9))-G24,INDEX($AB$5:$AB$13,MATCH(G24,$AB$5:$AB$13,1)),INDEX($AB$5:$AB$13,MIN(MATCH(G24,$AB$5:$AB$13,1)+1,9))),30))</f>
        <v/>
      </c>
      <c r="L24" s="11" t="str">
        <f aca="false">IF($A24="","",IFERROR(ABS(G24-K24),""))</f>
        <v/>
      </c>
      <c r="M24" s="9"/>
      <c r="N24" s="11" t="str">
        <f aca="false">IF($A24="","",IFERROR(ROUND(M24*1.618,0),""))</f>
        <v/>
      </c>
      <c r="O24" s="13" t="str">
        <f aca="false">IF($A24="","",IFERROR(C24+ROUND(N24*7/5,0),""))</f>
        <v/>
      </c>
      <c r="P24" s="14"/>
      <c r="Q24" s="14"/>
      <c r="R24" s="9"/>
      <c r="S24" s="15" t="str">
        <f aca="false">IF($A24="","",IF(OR(D24="",H24=""),0,IF(OR(H24&lt;=0.15,H24&gt;=0.9),4,IF(AND(H24&gt;=0.35,H24&lt;=0.6),-3,IF(H24&lt;0.35,2,-1)))))</f>
        <v/>
      </c>
      <c r="T24" s="15" t="str">
        <f aca="false">IF($A24="","",IF(OR(L24="",L24&gt;TIME_TOL),0,IF(S24&gt;0,2,-2)))</f>
        <v/>
      </c>
      <c r="U24" s="15" t="str">
        <f aca="false">IF($A24="","",IF(P24="",0,(IF(P24="3",4,IF(P24="1",2,IF(P24="2",1,IF(P24="4",1,IF(P24="5",-1,IF(P24="A",-3,IF(P24="B",-2,IF(P24="C",-4,0)))))))))*IF(R24="",0.6,R24/5)))</f>
        <v/>
      </c>
      <c r="V24" s="15" t="str">
        <f aca="false">IF($A24="","",MAX(-10,MIN(10,S24+T24+U24)))</f>
        <v/>
      </c>
      <c r="W24" s="16" t="str">
        <f aca="false">IF($A24="","",IF(W_TIME=0,"غیرفعال (وزن صفر)","فعال"))</f>
        <v/>
      </c>
      <c r="Z24" s="19"/>
    </row>
    <row r="25" customFormat="false" ht="15" hidden="false" customHeight="false" outlineLevel="0" collapsed="false">
      <c r="A25" s="7"/>
      <c r="B25" s="8"/>
      <c r="C25" s="8"/>
      <c r="D25" s="9"/>
      <c r="E25" s="10"/>
      <c r="F25" s="11" t="str">
        <f aca="false">IF($A25="","",IFERROR(E25-B25,""))</f>
        <v/>
      </c>
      <c r="G25" s="11" t="str">
        <f aca="false">IF($A25="","",IFERROR(ROUND(F25*5/7,0),""))</f>
        <v/>
      </c>
      <c r="H25" s="12" t="str">
        <f aca="false">IF($A25="","",IFERROR(G25/D25,""))</f>
        <v/>
      </c>
      <c r="I25" s="13" t="str">
        <f aca="false">IF($A25="","",IFERROR(B25+ROUND(D25*7/5,0),""))</f>
        <v/>
      </c>
      <c r="J25" s="11" t="str">
        <f aca="false">IF($A25="","",IFERROR(I25-E25,""))</f>
        <v/>
      </c>
      <c r="K25" s="11" t="str">
        <f aca="false">IF($A25="","",IFERROR(IF(G25-INDEX($AB$5:$AB$13,MATCH(G25,$AB$5:$AB$13,1))&lt;=INDEX($AB$5:$AB$13,MIN(MATCH(G25,$AB$5:$AB$13,1)+1,9))-G25,INDEX($AB$5:$AB$13,MATCH(G25,$AB$5:$AB$13,1)),INDEX($AB$5:$AB$13,MIN(MATCH(G25,$AB$5:$AB$13,1)+1,9))),30))</f>
        <v/>
      </c>
      <c r="L25" s="11" t="str">
        <f aca="false">IF($A25="","",IFERROR(ABS(G25-K25),""))</f>
        <v/>
      </c>
      <c r="M25" s="9"/>
      <c r="N25" s="11" t="str">
        <f aca="false">IF($A25="","",IFERROR(ROUND(M25*1.618,0),""))</f>
        <v/>
      </c>
      <c r="O25" s="13" t="str">
        <f aca="false">IF($A25="","",IFERROR(C25+ROUND(N25*7/5,0),""))</f>
        <v/>
      </c>
      <c r="P25" s="14"/>
      <c r="Q25" s="14"/>
      <c r="R25" s="9"/>
      <c r="S25" s="15" t="str">
        <f aca="false">IF($A25="","",IF(OR(D25="",H25=""),0,IF(OR(H25&lt;=0.15,H25&gt;=0.9),4,IF(AND(H25&gt;=0.35,H25&lt;=0.6),-3,IF(H25&lt;0.35,2,-1)))))</f>
        <v/>
      </c>
      <c r="T25" s="15" t="str">
        <f aca="false">IF($A25="","",IF(OR(L25="",L25&gt;TIME_TOL),0,IF(S25&gt;0,2,-2)))</f>
        <v/>
      </c>
      <c r="U25" s="15" t="str">
        <f aca="false">IF($A25="","",IF(P25="",0,(IF(P25="3",4,IF(P25="1",2,IF(P25="2",1,IF(P25="4",1,IF(P25="5",-1,IF(P25="A",-3,IF(P25="B",-2,IF(P25="C",-4,0)))))))))*IF(R25="",0.6,R25/5)))</f>
        <v/>
      </c>
      <c r="V25" s="15" t="str">
        <f aca="false">IF($A25="","",MAX(-10,MIN(10,S25+T25+U25)))</f>
        <v/>
      </c>
      <c r="W25" s="16" t="str">
        <f aca="false">IF($A25="","",IF(W_TIME=0,"غیرفعال (وزن صفر)","فعال"))</f>
        <v/>
      </c>
      <c r="Z25" s="19"/>
    </row>
    <row r="26" customFormat="false" ht="15" hidden="false" customHeight="false" outlineLevel="0" collapsed="false">
      <c r="A26" s="7"/>
      <c r="B26" s="8"/>
      <c r="C26" s="8"/>
      <c r="D26" s="9"/>
      <c r="E26" s="10"/>
      <c r="F26" s="11" t="str">
        <f aca="false">IF($A26="","",IFERROR(E26-B26,""))</f>
        <v/>
      </c>
      <c r="G26" s="11" t="str">
        <f aca="false">IF($A26="","",IFERROR(ROUND(F26*5/7,0),""))</f>
        <v/>
      </c>
      <c r="H26" s="12" t="str">
        <f aca="false">IF($A26="","",IFERROR(G26/D26,""))</f>
        <v/>
      </c>
      <c r="I26" s="13" t="str">
        <f aca="false">IF($A26="","",IFERROR(B26+ROUND(D26*7/5,0),""))</f>
        <v/>
      </c>
      <c r="J26" s="11" t="str">
        <f aca="false">IF($A26="","",IFERROR(I26-E26,""))</f>
        <v/>
      </c>
      <c r="K26" s="11" t="str">
        <f aca="false">IF($A26="","",IFERROR(IF(G26-INDEX($AB$5:$AB$13,MATCH(G26,$AB$5:$AB$13,1))&lt;=INDEX($AB$5:$AB$13,MIN(MATCH(G26,$AB$5:$AB$13,1)+1,9))-G26,INDEX($AB$5:$AB$13,MATCH(G26,$AB$5:$AB$13,1)),INDEX($AB$5:$AB$13,MIN(MATCH(G26,$AB$5:$AB$13,1)+1,9))),30))</f>
        <v/>
      </c>
      <c r="L26" s="11" t="str">
        <f aca="false">IF($A26="","",IFERROR(ABS(G26-K26),""))</f>
        <v/>
      </c>
      <c r="M26" s="9"/>
      <c r="N26" s="11" t="str">
        <f aca="false">IF($A26="","",IFERROR(ROUND(M26*1.618,0),""))</f>
        <v/>
      </c>
      <c r="O26" s="13" t="str">
        <f aca="false">IF($A26="","",IFERROR(C26+ROUND(N26*7/5,0),""))</f>
        <v/>
      </c>
      <c r="P26" s="14"/>
      <c r="Q26" s="14"/>
      <c r="R26" s="9"/>
      <c r="S26" s="15" t="str">
        <f aca="false">IF($A26="","",IF(OR(D26="",H26=""),0,IF(OR(H26&lt;=0.15,H26&gt;=0.9),4,IF(AND(H26&gt;=0.35,H26&lt;=0.6),-3,IF(H26&lt;0.35,2,-1)))))</f>
        <v/>
      </c>
      <c r="T26" s="15" t="str">
        <f aca="false">IF($A26="","",IF(OR(L26="",L26&gt;TIME_TOL),0,IF(S26&gt;0,2,-2)))</f>
        <v/>
      </c>
      <c r="U26" s="15" t="str">
        <f aca="false">IF($A26="","",IF(P26="",0,(IF(P26="3",4,IF(P26="1",2,IF(P26="2",1,IF(P26="4",1,IF(P26="5",-1,IF(P26="A",-3,IF(P26="B",-2,IF(P26="C",-4,0)))))))))*IF(R26="",0.6,R26/5)))</f>
        <v/>
      </c>
      <c r="V26" s="15" t="str">
        <f aca="false">IF($A26="","",MAX(-10,MIN(10,S26+T26+U26)))</f>
        <v/>
      </c>
      <c r="W26" s="16" t="str">
        <f aca="false">IF($A26="","",IF(W_TIME=0,"غیرفعال (وزن صفر)","فعال"))</f>
        <v/>
      </c>
      <c r="Z26" s="19"/>
    </row>
    <row r="27" customFormat="false" ht="15" hidden="false" customHeight="false" outlineLevel="0" collapsed="false">
      <c r="A27" s="7"/>
      <c r="B27" s="8"/>
      <c r="C27" s="8"/>
      <c r="D27" s="9"/>
      <c r="E27" s="10"/>
      <c r="F27" s="11" t="str">
        <f aca="false">IF($A27="","",IFERROR(E27-B27,""))</f>
        <v/>
      </c>
      <c r="G27" s="11" t="str">
        <f aca="false">IF($A27="","",IFERROR(ROUND(F27*5/7,0),""))</f>
        <v/>
      </c>
      <c r="H27" s="12" t="str">
        <f aca="false">IF($A27="","",IFERROR(G27/D27,""))</f>
        <v/>
      </c>
      <c r="I27" s="13" t="str">
        <f aca="false">IF($A27="","",IFERROR(B27+ROUND(D27*7/5,0),""))</f>
        <v/>
      </c>
      <c r="J27" s="11" t="str">
        <f aca="false">IF($A27="","",IFERROR(I27-E27,""))</f>
        <v/>
      </c>
      <c r="K27" s="11" t="str">
        <f aca="false">IF($A27="","",IFERROR(IF(G27-INDEX($AB$5:$AB$13,MATCH(G27,$AB$5:$AB$13,1))&lt;=INDEX($AB$5:$AB$13,MIN(MATCH(G27,$AB$5:$AB$13,1)+1,9))-G27,INDEX($AB$5:$AB$13,MATCH(G27,$AB$5:$AB$13,1)),INDEX($AB$5:$AB$13,MIN(MATCH(G27,$AB$5:$AB$13,1)+1,9))),30))</f>
        <v/>
      </c>
      <c r="L27" s="11" t="str">
        <f aca="false">IF($A27="","",IFERROR(ABS(G27-K27),""))</f>
        <v/>
      </c>
      <c r="M27" s="9"/>
      <c r="N27" s="11" t="str">
        <f aca="false">IF($A27="","",IFERROR(ROUND(M27*1.618,0),""))</f>
        <v/>
      </c>
      <c r="O27" s="13" t="str">
        <f aca="false">IF($A27="","",IFERROR(C27+ROUND(N27*7/5,0),""))</f>
        <v/>
      </c>
      <c r="P27" s="14"/>
      <c r="Q27" s="14"/>
      <c r="R27" s="9"/>
      <c r="S27" s="15" t="str">
        <f aca="false">IF($A27="","",IF(OR(D27="",H27=""),0,IF(OR(H27&lt;=0.15,H27&gt;=0.9),4,IF(AND(H27&gt;=0.35,H27&lt;=0.6),-3,IF(H27&lt;0.35,2,-1)))))</f>
        <v/>
      </c>
      <c r="T27" s="15" t="str">
        <f aca="false">IF($A27="","",IF(OR(L27="",L27&gt;TIME_TOL),0,IF(S27&gt;0,2,-2)))</f>
        <v/>
      </c>
      <c r="U27" s="15" t="str">
        <f aca="false">IF($A27="","",IF(P27="",0,(IF(P27="3",4,IF(P27="1",2,IF(P27="2",1,IF(P27="4",1,IF(P27="5",-1,IF(P27="A",-3,IF(P27="B",-2,IF(P27="C",-4,0)))))))))*IF(R27="",0.6,R27/5)))</f>
        <v/>
      </c>
      <c r="V27" s="15" t="str">
        <f aca="false">IF($A27="","",MAX(-10,MIN(10,S27+T27+U27)))</f>
        <v/>
      </c>
      <c r="W27" s="16" t="str">
        <f aca="false">IF($A27="","",IF(W_TIME=0,"غیرفعال (وزن صفر)","فعال"))</f>
        <v/>
      </c>
      <c r="Z27" s="19"/>
    </row>
    <row r="28" customFormat="false" ht="15" hidden="false" customHeight="false" outlineLevel="0" collapsed="false">
      <c r="A28" s="7"/>
      <c r="B28" s="8"/>
      <c r="C28" s="8"/>
      <c r="D28" s="9"/>
      <c r="E28" s="10"/>
      <c r="F28" s="11" t="str">
        <f aca="false">IF($A28="","",IFERROR(E28-B28,""))</f>
        <v/>
      </c>
      <c r="G28" s="11" t="str">
        <f aca="false">IF($A28="","",IFERROR(ROUND(F28*5/7,0),""))</f>
        <v/>
      </c>
      <c r="H28" s="12" t="str">
        <f aca="false">IF($A28="","",IFERROR(G28/D28,""))</f>
        <v/>
      </c>
      <c r="I28" s="13" t="str">
        <f aca="false">IF($A28="","",IFERROR(B28+ROUND(D28*7/5,0),""))</f>
        <v/>
      </c>
      <c r="J28" s="11" t="str">
        <f aca="false">IF($A28="","",IFERROR(I28-E28,""))</f>
        <v/>
      </c>
      <c r="K28" s="11" t="str">
        <f aca="false">IF($A28="","",IFERROR(IF(G28-INDEX($AB$5:$AB$13,MATCH(G28,$AB$5:$AB$13,1))&lt;=INDEX($AB$5:$AB$13,MIN(MATCH(G28,$AB$5:$AB$13,1)+1,9))-G28,INDEX($AB$5:$AB$13,MATCH(G28,$AB$5:$AB$13,1)),INDEX($AB$5:$AB$13,MIN(MATCH(G28,$AB$5:$AB$13,1)+1,9))),30))</f>
        <v/>
      </c>
      <c r="L28" s="11" t="str">
        <f aca="false">IF($A28="","",IFERROR(ABS(G28-K28),""))</f>
        <v/>
      </c>
      <c r="M28" s="9"/>
      <c r="N28" s="11" t="str">
        <f aca="false">IF($A28="","",IFERROR(ROUND(M28*1.618,0),""))</f>
        <v/>
      </c>
      <c r="O28" s="13" t="str">
        <f aca="false">IF($A28="","",IFERROR(C28+ROUND(N28*7/5,0),""))</f>
        <v/>
      </c>
      <c r="P28" s="14"/>
      <c r="Q28" s="14"/>
      <c r="R28" s="9"/>
      <c r="S28" s="15" t="str">
        <f aca="false">IF($A28="","",IF(OR(D28="",H28=""),0,IF(OR(H28&lt;=0.15,H28&gt;=0.9),4,IF(AND(H28&gt;=0.35,H28&lt;=0.6),-3,IF(H28&lt;0.35,2,-1)))))</f>
        <v/>
      </c>
      <c r="T28" s="15" t="str">
        <f aca="false">IF($A28="","",IF(OR(L28="",L28&gt;TIME_TOL),0,IF(S28&gt;0,2,-2)))</f>
        <v/>
      </c>
      <c r="U28" s="15" t="str">
        <f aca="false">IF($A28="","",IF(P28="",0,(IF(P28="3",4,IF(P28="1",2,IF(P28="2",1,IF(P28="4",1,IF(P28="5",-1,IF(P28="A",-3,IF(P28="B",-2,IF(P28="C",-4,0)))))))))*IF(R28="",0.6,R28/5)))</f>
        <v/>
      </c>
      <c r="V28" s="15" t="str">
        <f aca="false">IF($A28="","",MAX(-10,MIN(10,S28+T28+U28)))</f>
        <v/>
      </c>
      <c r="W28" s="16" t="str">
        <f aca="false">IF($A28="","",IF(W_TIME=0,"غیرفعال (وزن صفر)","فعال"))</f>
        <v/>
      </c>
      <c r="Z28" s="19"/>
    </row>
    <row r="29" customFormat="false" ht="15" hidden="false" customHeight="false" outlineLevel="0" collapsed="false">
      <c r="A29" s="7"/>
      <c r="B29" s="8"/>
      <c r="C29" s="8"/>
      <c r="D29" s="9"/>
      <c r="E29" s="10"/>
      <c r="F29" s="11" t="str">
        <f aca="false">IF($A29="","",IFERROR(E29-B29,""))</f>
        <v/>
      </c>
      <c r="G29" s="11" t="str">
        <f aca="false">IF($A29="","",IFERROR(ROUND(F29*5/7,0),""))</f>
        <v/>
      </c>
      <c r="H29" s="12" t="str">
        <f aca="false">IF($A29="","",IFERROR(G29/D29,""))</f>
        <v/>
      </c>
      <c r="I29" s="13" t="str">
        <f aca="false">IF($A29="","",IFERROR(B29+ROUND(D29*7/5,0),""))</f>
        <v/>
      </c>
      <c r="J29" s="11" t="str">
        <f aca="false">IF($A29="","",IFERROR(I29-E29,""))</f>
        <v/>
      </c>
      <c r="K29" s="11" t="str">
        <f aca="false">IF($A29="","",IFERROR(IF(G29-INDEX($AB$5:$AB$13,MATCH(G29,$AB$5:$AB$13,1))&lt;=INDEX($AB$5:$AB$13,MIN(MATCH(G29,$AB$5:$AB$13,1)+1,9))-G29,INDEX($AB$5:$AB$13,MATCH(G29,$AB$5:$AB$13,1)),INDEX($AB$5:$AB$13,MIN(MATCH(G29,$AB$5:$AB$13,1)+1,9))),30))</f>
        <v/>
      </c>
      <c r="L29" s="11" t="str">
        <f aca="false">IF($A29="","",IFERROR(ABS(G29-K29),""))</f>
        <v/>
      </c>
      <c r="M29" s="9"/>
      <c r="N29" s="11" t="str">
        <f aca="false">IF($A29="","",IFERROR(ROUND(M29*1.618,0),""))</f>
        <v/>
      </c>
      <c r="O29" s="13" t="str">
        <f aca="false">IF($A29="","",IFERROR(C29+ROUND(N29*7/5,0),""))</f>
        <v/>
      </c>
      <c r="P29" s="14"/>
      <c r="Q29" s="14"/>
      <c r="R29" s="9"/>
      <c r="S29" s="15" t="str">
        <f aca="false">IF($A29="","",IF(OR(D29="",H29=""),0,IF(OR(H29&lt;=0.15,H29&gt;=0.9),4,IF(AND(H29&gt;=0.35,H29&lt;=0.6),-3,IF(H29&lt;0.35,2,-1)))))</f>
        <v/>
      </c>
      <c r="T29" s="15" t="str">
        <f aca="false">IF($A29="","",IF(OR(L29="",L29&gt;TIME_TOL),0,IF(S29&gt;0,2,-2)))</f>
        <v/>
      </c>
      <c r="U29" s="15" t="str">
        <f aca="false">IF($A29="","",IF(P29="",0,(IF(P29="3",4,IF(P29="1",2,IF(P29="2",1,IF(P29="4",1,IF(P29="5",-1,IF(P29="A",-3,IF(P29="B",-2,IF(P29="C",-4,0)))))))))*IF(R29="",0.6,R29/5)))</f>
        <v/>
      </c>
      <c r="V29" s="15" t="str">
        <f aca="false">IF($A29="","",MAX(-10,MIN(10,S29+T29+U29)))</f>
        <v/>
      </c>
      <c r="W29" s="16" t="str">
        <f aca="false">IF($A29="","",IF(W_TIME=0,"غیرفعال (وزن صفر)","فعال"))</f>
        <v/>
      </c>
      <c r="Z29" s="19"/>
    </row>
    <row r="30" customFormat="false" ht="15" hidden="false" customHeight="false" outlineLevel="0" collapsed="false">
      <c r="A30" s="7"/>
      <c r="B30" s="8"/>
      <c r="C30" s="8"/>
      <c r="D30" s="9"/>
      <c r="E30" s="10"/>
      <c r="F30" s="11" t="str">
        <f aca="false">IF($A30="","",IFERROR(E30-B30,""))</f>
        <v/>
      </c>
      <c r="G30" s="11" t="str">
        <f aca="false">IF($A30="","",IFERROR(ROUND(F30*5/7,0),""))</f>
        <v/>
      </c>
      <c r="H30" s="12" t="str">
        <f aca="false">IF($A30="","",IFERROR(G30/D30,""))</f>
        <v/>
      </c>
      <c r="I30" s="13" t="str">
        <f aca="false">IF($A30="","",IFERROR(B30+ROUND(D30*7/5,0),""))</f>
        <v/>
      </c>
      <c r="J30" s="11" t="str">
        <f aca="false">IF($A30="","",IFERROR(I30-E30,""))</f>
        <v/>
      </c>
      <c r="K30" s="11" t="str">
        <f aca="false">IF($A30="","",IFERROR(IF(G30-INDEX($AB$5:$AB$13,MATCH(G30,$AB$5:$AB$13,1))&lt;=INDEX($AB$5:$AB$13,MIN(MATCH(G30,$AB$5:$AB$13,1)+1,9))-G30,INDEX($AB$5:$AB$13,MATCH(G30,$AB$5:$AB$13,1)),INDEX($AB$5:$AB$13,MIN(MATCH(G30,$AB$5:$AB$13,1)+1,9))),30))</f>
        <v/>
      </c>
      <c r="L30" s="11" t="str">
        <f aca="false">IF($A30="","",IFERROR(ABS(G30-K30),""))</f>
        <v/>
      </c>
      <c r="M30" s="9"/>
      <c r="N30" s="11" t="str">
        <f aca="false">IF($A30="","",IFERROR(ROUND(M30*1.618,0),""))</f>
        <v/>
      </c>
      <c r="O30" s="13" t="str">
        <f aca="false">IF($A30="","",IFERROR(C30+ROUND(N30*7/5,0),""))</f>
        <v/>
      </c>
      <c r="P30" s="14"/>
      <c r="Q30" s="14"/>
      <c r="R30" s="9"/>
      <c r="S30" s="15" t="str">
        <f aca="false">IF($A30="","",IF(OR(D30="",H30=""),0,IF(OR(H30&lt;=0.15,H30&gt;=0.9),4,IF(AND(H30&gt;=0.35,H30&lt;=0.6),-3,IF(H30&lt;0.35,2,-1)))))</f>
        <v/>
      </c>
      <c r="T30" s="15" t="str">
        <f aca="false">IF($A30="","",IF(OR(L30="",L30&gt;TIME_TOL),0,IF(S30&gt;0,2,-2)))</f>
        <v/>
      </c>
      <c r="U30" s="15" t="str">
        <f aca="false">IF($A30="","",IF(P30="",0,(IF(P30="3",4,IF(P30="1",2,IF(P30="2",1,IF(P30="4",1,IF(P30="5",-1,IF(P30="A",-3,IF(P30="B",-2,IF(P30="C",-4,0)))))))))*IF(R30="",0.6,R30/5)))</f>
        <v/>
      </c>
      <c r="V30" s="15" t="str">
        <f aca="false">IF($A30="","",MAX(-10,MIN(10,S30+T30+U30)))</f>
        <v/>
      </c>
      <c r="W30" s="16" t="str">
        <f aca="false">IF($A30="","",IF(W_TIME=0,"غیرفعال (وزن صفر)","فعال"))</f>
        <v/>
      </c>
      <c r="Z30" s="19"/>
    </row>
    <row r="31" customFormat="false" ht="15" hidden="false" customHeight="false" outlineLevel="0" collapsed="false">
      <c r="A31" s="7"/>
      <c r="B31" s="8"/>
      <c r="C31" s="8"/>
      <c r="D31" s="9"/>
      <c r="E31" s="10"/>
      <c r="F31" s="11" t="str">
        <f aca="false">IF($A31="","",IFERROR(E31-B31,""))</f>
        <v/>
      </c>
      <c r="G31" s="11" t="str">
        <f aca="false">IF($A31="","",IFERROR(ROUND(F31*5/7,0),""))</f>
        <v/>
      </c>
      <c r="H31" s="12" t="str">
        <f aca="false">IF($A31="","",IFERROR(G31/D31,""))</f>
        <v/>
      </c>
      <c r="I31" s="13" t="str">
        <f aca="false">IF($A31="","",IFERROR(B31+ROUND(D31*7/5,0),""))</f>
        <v/>
      </c>
      <c r="J31" s="11" t="str">
        <f aca="false">IF($A31="","",IFERROR(I31-E31,""))</f>
        <v/>
      </c>
      <c r="K31" s="11" t="str">
        <f aca="false">IF($A31="","",IFERROR(IF(G31-INDEX($AB$5:$AB$13,MATCH(G31,$AB$5:$AB$13,1))&lt;=INDEX($AB$5:$AB$13,MIN(MATCH(G31,$AB$5:$AB$13,1)+1,9))-G31,INDEX($AB$5:$AB$13,MATCH(G31,$AB$5:$AB$13,1)),INDEX($AB$5:$AB$13,MIN(MATCH(G31,$AB$5:$AB$13,1)+1,9))),30))</f>
        <v/>
      </c>
      <c r="L31" s="11" t="str">
        <f aca="false">IF($A31="","",IFERROR(ABS(G31-K31),""))</f>
        <v/>
      </c>
      <c r="M31" s="9"/>
      <c r="N31" s="11" t="str">
        <f aca="false">IF($A31="","",IFERROR(ROUND(M31*1.618,0),""))</f>
        <v/>
      </c>
      <c r="O31" s="13" t="str">
        <f aca="false">IF($A31="","",IFERROR(C31+ROUND(N31*7/5,0),""))</f>
        <v/>
      </c>
      <c r="P31" s="14"/>
      <c r="Q31" s="14"/>
      <c r="R31" s="9"/>
      <c r="S31" s="15" t="str">
        <f aca="false">IF($A31="","",IF(OR(D31="",H31=""),0,IF(OR(H31&lt;=0.15,H31&gt;=0.9),4,IF(AND(H31&gt;=0.35,H31&lt;=0.6),-3,IF(H31&lt;0.35,2,-1)))))</f>
        <v/>
      </c>
      <c r="T31" s="15" t="str">
        <f aca="false">IF($A31="","",IF(OR(L31="",L31&gt;TIME_TOL),0,IF(S31&gt;0,2,-2)))</f>
        <v/>
      </c>
      <c r="U31" s="15" t="str">
        <f aca="false">IF($A31="","",IF(P31="",0,(IF(P31="3",4,IF(P31="1",2,IF(P31="2",1,IF(P31="4",1,IF(P31="5",-1,IF(P31="A",-3,IF(P31="B",-2,IF(P31="C",-4,0)))))))))*IF(R31="",0.6,R31/5)))</f>
        <v/>
      </c>
      <c r="V31" s="15" t="str">
        <f aca="false">IF($A31="","",MAX(-10,MIN(10,S31+T31+U31)))</f>
        <v/>
      </c>
      <c r="W31" s="16" t="str">
        <f aca="false">IF($A31="","",IF(W_TIME=0,"غیرفعال (وزن صفر)","فعال"))</f>
        <v/>
      </c>
      <c r="Z31" s="19"/>
    </row>
    <row r="32" customFormat="false" ht="15" hidden="false" customHeight="false" outlineLevel="0" collapsed="false">
      <c r="A32" s="7"/>
      <c r="B32" s="8"/>
      <c r="C32" s="8"/>
      <c r="D32" s="9"/>
      <c r="E32" s="10"/>
      <c r="F32" s="11" t="str">
        <f aca="false">IF($A32="","",IFERROR(E32-B32,""))</f>
        <v/>
      </c>
      <c r="G32" s="11" t="str">
        <f aca="false">IF($A32="","",IFERROR(ROUND(F32*5/7,0),""))</f>
        <v/>
      </c>
      <c r="H32" s="12" t="str">
        <f aca="false">IF($A32="","",IFERROR(G32/D32,""))</f>
        <v/>
      </c>
      <c r="I32" s="13" t="str">
        <f aca="false">IF($A32="","",IFERROR(B32+ROUND(D32*7/5,0),""))</f>
        <v/>
      </c>
      <c r="J32" s="11" t="str">
        <f aca="false">IF($A32="","",IFERROR(I32-E32,""))</f>
        <v/>
      </c>
      <c r="K32" s="11" t="str">
        <f aca="false">IF($A32="","",IFERROR(IF(G32-INDEX($AB$5:$AB$13,MATCH(G32,$AB$5:$AB$13,1))&lt;=INDEX($AB$5:$AB$13,MIN(MATCH(G32,$AB$5:$AB$13,1)+1,9))-G32,INDEX($AB$5:$AB$13,MATCH(G32,$AB$5:$AB$13,1)),INDEX($AB$5:$AB$13,MIN(MATCH(G32,$AB$5:$AB$13,1)+1,9))),30))</f>
        <v/>
      </c>
      <c r="L32" s="11" t="str">
        <f aca="false">IF($A32="","",IFERROR(ABS(G32-K32),""))</f>
        <v/>
      </c>
      <c r="M32" s="9"/>
      <c r="N32" s="11" t="str">
        <f aca="false">IF($A32="","",IFERROR(ROUND(M32*1.618,0),""))</f>
        <v/>
      </c>
      <c r="O32" s="13" t="str">
        <f aca="false">IF($A32="","",IFERROR(C32+ROUND(N32*7/5,0),""))</f>
        <v/>
      </c>
      <c r="P32" s="14"/>
      <c r="Q32" s="14"/>
      <c r="R32" s="9"/>
      <c r="S32" s="15" t="str">
        <f aca="false">IF($A32="","",IF(OR(D32="",H32=""),0,IF(OR(H32&lt;=0.15,H32&gt;=0.9),4,IF(AND(H32&gt;=0.35,H32&lt;=0.6),-3,IF(H32&lt;0.35,2,-1)))))</f>
        <v/>
      </c>
      <c r="T32" s="15" t="str">
        <f aca="false">IF($A32="","",IF(OR(L32="",L32&gt;TIME_TOL),0,IF(S32&gt;0,2,-2)))</f>
        <v/>
      </c>
      <c r="U32" s="15" t="str">
        <f aca="false">IF($A32="","",IF(P32="",0,(IF(P32="3",4,IF(P32="1",2,IF(P32="2",1,IF(P32="4",1,IF(P32="5",-1,IF(P32="A",-3,IF(P32="B",-2,IF(P32="C",-4,0)))))))))*IF(R32="",0.6,R32/5)))</f>
        <v/>
      </c>
      <c r="V32" s="15" t="str">
        <f aca="false">IF($A32="","",MAX(-10,MIN(10,S32+T32+U32)))</f>
        <v/>
      </c>
      <c r="W32" s="16" t="str">
        <f aca="false">IF($A32="","",IF(W_TIME=0,"غیرفعال (وزن صفر)","فعال"))</f>
        <v/>
      </c>
      <c r="Z32" s="19"/>
    </row>
    <row r="33" customFormat="false" ht="15" hidden="false" customHeight="false" outlineLevel="0" collapsed="false">
      <c r="A33" s="7"/>
      <c r="B33" s="8"/>
      <c r="C33" s="8"/>
      <c r="D33" s="9"/>
      <c r="E33" s="10"/>
      <c r="F33" s="11" t="str">
        <f aca="false">IF($A33="","",IFERROR(E33-B33,""))</f>
        <v/>
      </c>
      <c r="G33" s="11" t="str">
        <f aca="false">IF($A33="","",IFERROR(ROUND(F33*5/7,0),""))</f>
        <v/>
      </c>
      <c r="H33" s="12" t="str">
        <f aca="false">IF($A33="","",IFERROR(G33/D33,""))</f>
        <v/>
      </c>
      <c r="I33" s="13" t="str">
        <f aca="false">IF($A33="","",IFERROR(B33+ROUND(D33*7/5,0),""))</f>
        <v/>
      </c>
      <c r="J33" s="11" t="str">
        <f aca="false">IF($A33="","",IFERROR(I33-E33,""))</f>
        <v/>
      </c>
      <c r="K33" s="11" t="str">
        <f aca="false">IF($A33="","",IFERROR(IF(G33-INDEX($AB$5:$AB$13,MATCH(G33,$AB$5:$AB$13,1))&lt;=INDEX($AB$5:$AB$13,MIN(MATCH(G33,$AB$5:$AB$13,1)+1,9))-G33,INDEX($AB$5:$AB$13,MATCH(G33,$AB$5:$AB$13,1)),INDEX($AB$5:$AB$13,MIN(MATCH(G33,$AB$5:$AB$13,1)+1,9))),30))</f>
        <v/>
      </c>
      <c r="L33" s="11" t="str">
        <f aca="false">IF($A33="","",IFERROR(ABS(G33-K33),""))</f>
        <v/>
      </c>
      <c r="M33" s="9"/>
      <c r="N33" s="11" t="str">
        <f aca="false">IF($A33="","",IFERROR(ROUND(M33*1.618,0),""))</f>
        <v/>
      </c>
      <c r="O33" s="13" t="str">
        <f aca="false">IF($A33="","",IFERROR(C33+ROUND(N33*7/5,0),""))</f>
        <v/>
      </c>
      <c r="P33" s="14"/>
      <c r="Q33" s="14"/>
      <c r="R33" s="9"/>
      <c r="S33" s="15" t="str">
        <f aca="false">IF($A33="","",IF(OR(D33="",H33=""),0,IF(OR(H33&lt;=0.15,H33&gt;=0.9),4,IF(AND(H33&gt;=0.35,H33&lt;=0.6),-3,IF(H33&lt;0.35,2,-1)))))</f>
        <v/>
      </c>
      <c r="T33" s="15" t="str">
        <f aca="false">IF($A33="","",IF(OR(L33="",L33&gt;TIME_TOL),0,IF(S33&gt;0,2,-2)))</f>
        <v/>
      </c>
      <c r="U33" s="15" t="str">
        <f aca="false">IF($A33="","",IF(P33="",0,(IF(P33="3",4,IF(P33="1",2,IF(P33="2",1,IF(P33="4",1,IF(P33="5",-1,IF(P33="A",-3,IF(P33="B",-2,IF(P33="C",-4,0)))))))))*IF(R33="",0.6,R33/5)))</f>
        <v/>
      </c>
      <c r="V33" s="15" t="str">
        <f aca="false">IF($A33="","",MAX(-10,MIN(10,S33+T33+U33)))</f>
        <v/>
      </c>
      <c r="W33" s="16" t="str">
        <f aca="false">IF($A33="","",IF(W_TIME=0,"غیرفعال (وزن صفر)","فعال"))</f>
        <v/>
      </c>
      <c r="Z33" s="19"/>
    </row>
    <row r="34" customFormat="false" ht="15" hidden="false" customHeight="false" outlineLevel="0" collapsed="false">
      <c r="A34" s="7"/>
      <c r="B34" s="8"/>
      <c r="C34" s="8"/>
      <c r="D34" s="9"/>
      <c r="E34" s="10"/>
      <c r="F34" s="11" t="str">
        <f aca="false">IF($A34="","",IFERROR(E34-B34,""))</f>
        <v/>
      </c>
      <c r="G34" s="11" t="str">
        <f aca="false">IF($A34="","",IFERROR(ROUND(F34*5/7,0),""))</f>
        <v/>
      </c>
      <c r="H34" s="12" t="str">
        <f aca="false">IF($A34="","",IFERROR(G34/D34,""))</f>
        <v/>
      </c>
      <c r="I34" s="13" t="str">
        <f aca="false">IF($A34="","",IFERROR(B34+ROUND(D34*7/5,0),""))</f>
        <v/>
      </c>
      <c r="J34" s="11" t="str">
        <f aca="false">IF($A34="","",IFERROR(I34-E34,""))</f>
        <v/>
      </c>
      <c r="K34" s="11" t="str">
        <f aca="false">IF($A34="","",IFERROR(IF(G34-INDEX($AB$5:$AB$13,MATCH(G34,$AB$5:$AB$13,1))&lt;=INDEX($AB$5:$AB$13,MIN(MATCH(G34,$AB$5:$AB$13,1)+1,9))-G34,INDEX($AB$5:$AB$13,MATCH(G34,$AB$5:$AB$13,1)),INDEX($AB$5:$AB$13,MIN(MATCH(G34,$AB$5:$AB$13,1)+1,9))),30))</f>
        <v/>
      </c>
      <c r="L34" s="11" t="str">
        <f aca="false">IF($A34="","",IFERROR(ABS(G34-K34),""))</f>
        <v/>
      </c>
      <c r="M34" s="9"/>
      <c r="N34" s="11" t="str">
        <f aca="false">IF($A34="","",IFERROR(ROUND(M34*1.618,0),""))</f>
        <v/>
      </c>
      <c r="O34" s="13" t="str">
        <f aca="false">IF($A34="","",IFERROR(C34+ROUND(N34*7/5,0),""))</f>
        <v/>
      </c>
      <c r="P34" s="14"/>
      <c r="Q34" s="14"/>
      <c r="R34" s="9"/>
      <c r="S34" s="15" t="str">
        <f aca="false">IF($A34="","",IF(OR(D34="",H34=""),0,IF(OR(H34&lt;=0.15,H34&gt;=0.9),4,IF(AND(H34&gt;=0.35,H34&lt;=0.6),-3,IF(H34&lt;0.35,2,-1)))))</f>
        <v/>
      </c>
      <c r="T34" s="15" t="str">
        <f aca="false">IF($A34="","",IF(OR(L34="",L34&gt;TIME_TOL),0,IF(S34&gt;0,2,-2)))</f>
        <v/>
      </c>
      <c r="U34" s="15" t="str">
        <f aca="false">IF($A34="","",IF(P34="",0,(IF(P34="3",4,IF(P34="1",2,IF(P34="2",1,IF(P34="4",1,IF(P34="5",-1,IF(P34="A",-3,IF(P34="B",-2,IF(P34="C",-4,0)))))))))*IF(R34="",0.6,R34/5)))</f>
        <v/>
      </c>
      <c r="V34" s="15" t="str">
        <f aca="false">IF($A34="","",MAX(-10,MIN(10,S34+T34+U34)))</f>
        <v/>
      </c>
      <c r="W34" s="16" t="str">
        <f aca="false">IF($A34="","",IF(W_TIME=0,"غیرفعال (وزن صفر)","فعال"))</f>
        <v/>
      </c>
      <c r="Z34" s="19"/>
    </row>
    <row r="35" customFormat="false" ht="15" hidden="false" customHeight="false" outlineLevel="0" collapsed="false">
      <c r="A35" s="7"/>
      <c r="B35" s="8"/>
      <c r="C35" s="8"/>
      <c r="D35" s="9"/>
      <c r="E35" s="10"/>
      <c r="F35" s="11" t="str">
        <f aca="false">IF($A35="","",IFERROR(E35-B35,""))</f>
        <v/>
      </c>
      <c r="G35" s="11" t="str">
        <f aca="false">IF($A35="","",IFERROR(ROUND(F35*5/7,0),""))</f>
        <v/>
      </c>
      <c r="H35" s="12" t="str">
        <f aca="false">IF($A35="","",IFERROR(G35/D35,""))</f>
        <v/>
      </c>
      <c r="I35" s="13" t="str">
        <f aca="false">IF($A35="","",IFERROR(B35+ROUND(D35*7/5,0),""))</f>
        <v/>
      </c>
      <c r="J35" s="11" t="str">
        <f aca="false">IF($A35="","",IFERROR(I35-E35,""))</f>
        <v/>
      </c>
      <c r="K35" s="11" t="str">
        <f aca="false">IF($A35="","",IFERROR(IF(G35-INDEX($AB$5:$AB$13,MATCH(G35,$AB$5:$AB$13,1))&lt;=INDEX($AB$5:$AB$13,MIN(MATCH(G35,$AB$5:$AB$13,1)+1,9))-G35,INDEX($AB$5:$AB$13,MATCH(G35,$AB$5:$AB$13,1)),INDEX($AB$5:$AB$13,MIN(MATCH(G35,$AB$5:$AB$13,1)+1,9))),30))</f>
        <v/>
      </c>
      <c r="L35" s="11" t="str">
        <f aca="false">IF($A35="","",IFERROR(ABS(G35-K35),""))</f>
        <v/>
      </c>
      <c r="M35" s="9"/>
      <c r="N35" s="11" t="str">
        <f aca="false">IF($A35="","",IFERROR(ROUND(M35*1.618,0),""))</f>
        <v/>
      </c>
      <c r="O35" s="13" t="str">
        <f aca="false">IF($A35="","",IFERROR(C35+ROUND(N35*7/5,0),""))</f>
        <v/>
      </c>
      <c r="P35" s="14"/>
      <c r="Q35" s="14"/>
      <c r="R35" s="9"/>
      <c r="S35" s="15" t="str">
        <f aca="false">IF($A35="","",IF(OR(D35="",H35=""),0,IF(OR(H35&lt;=0.15,H35&gt;=0.9),4,IF(AND(H35&gt;=0.35,H35&lt;=0.6),-3,IF(H35&lt;0.35,2,-1)))))</f>
        <v/>
      </c>
      <c r="T35" s="15" t="str">
        <f aca="false">IF($A35="","",IF(OR(L35="",L35&gt;TIME_TOL),0,IF(S35&gt;0,2,-2)))</f>
        <v/>
      </c>
      <c r="U35" s="15" t="str">
        <f aca="false">IF($A35="","",IF(P35="",0,(IF(P35="3",4,IF(P35="1",2,IF(P35="2",1,IF(P35="4",1,IF(P35="5",-1,IF(P35="A",-3,IF(P35="B",-2,IF(P35="C",-4,0)))))))))*IF(R35="",0.6,R35/5)))</f>
        <v/>
      </c>
      <c r="V35" s="15" t="str">
        <f aca="false">IF($A35="","",MAX(-10,MIN(10,S35+T35+U35)))</f>
        <v/>
      </c>
      <c r="W35" s="16" t="str">
        <f aca="false">IF($A35="","",IF(W_TIME=0,"غیرفعال (وزن صفر)","فعال"))</f>
        <v/>
      </c>
      <c r="Z35" s="19"/>
    </row>
    <row r="36" customFormat="false" ht="15" hidden="false" customHeight="false" outlineLevel="0" collapsed="false">
      <c r="A36" s="7"/>
      <c r="B36" s="8"/>
      <c r="C36" s="8"/>
      <c r="D36" s="9"/>
      <c r="E36" s="10"/>
      <c r="F36" s="11" t="str">
        <f aca="false">IF($A36="","",IFERROR(E36-B36,""))</f>
        <v/>
      </c>
      <c r="G36" s="11" t="str">
        <f aca="false">IF($A36="","",IFERROR(ROUND(F36*5/7,0),""))</f>
        <v/>
      </c>
      <c r="H36" s="12" t="str">
        <f aca="false">IF($A36="","",IFERROR(G36/D36,""))</f>
        <v/>
      </c>
      <c r="I36" s="13" t="str">
        <f aca="false">IF($A36="","",IFERROR(B36+ROUND(D36*7/5,0),""))</f>
        <v/>
      </c>
      <c r="J36" s="11" t="str">
        <f aca="false">IF($A36="","",IFERROR(I36-E36,""))</f>
        <v/>
      </c>
      <c r="K36" s="11" t="str">
        <f aca="false">IF($A36="","",IFERROR(IF(G36-INDEX($AB$5:$AB$13,MATCH(G36,$AB$5:$AB$13,1))&lt;=INDEX($AB$5:$AB$13,MIN(MATCH(G36,$AB$5:$AB$13,1)+1,9))-G36,INDEX($AB$5:$AB$13,MATCH(G36,$AB$5:$AB$13,1)),INDEX($AB$5:$AB$13,MIN(MATCH(G36,$AB$5:$AB$13,1)+1,9))),30))</f>
        <v/>
      </c>
      <c r="L36" s="11" t="str">
        <f aca="false">IF($A36="","",IFERROR(ABS(G36-K36),""))</f>
        <v/>
      </c>
      <c r="M36" s="9"/>
      <c r="N36" s="11" t="str">
        <f aca="false">IF($A36="","",IFERROR(ROUND(M36*1.618,0),""))</f>
        <v/>
      </c>
      <c r="O36" s="13" t="str">
        <f aca="false">IF($A36="","",IFERROR(C36+ROUND(N36*7/5,0),""))</f>
        <v/>
      </c>
      <c r="P36" s="14"/>
      <c r="Q36" s="14"/>
      <c r="R36" s="9"/>
      <c r="S36" s="15" t="str">
        <f aca="false">IF($A36="","",IF(OR(D36="",H36=""),0,IF(OR(H36&lt;=0.15,H36&gt;=0.9),4,IF(AND(H36&gt;=0.35,H36&lt;=0.6),-3,IF(H36&lt;0.35,2,-1)))))</f>
        <v/>
      </c>
      <c r="T36" s="15" t="str">
        <f aca="false">IF($A36="","",IF(OR(L36="",L36&gt;TIME_TOL),0,IF(S36&gt;0,2,-2)))</f>
        <v/>
      </c>
      <c r="U36" s="15" t="str">
        <f aca="false">IF($A36="","",IF(P36="",0,(IF(P36="3",4,IF(P36="1",2,IF(P36="2",1,IF(P36="4",1,IF(P36="5",-1,IF(P36="A",-3,IF(P36="B",-2,IF(P36="C",-4,0)))))))))*IF(R36="",0.6,R36/5)))</f>
        <v/>
      </c>
      <c r="V36" s="15" t="str">
        <f aca="false">IF($A36="","",MAX(-10,MIN(10,S36+T36+U36)))</f>
        <v/>
      </c>
      <c r="W36" s="16" t="str">
        <f aca="false">IF($A36="","",IF(W_TIME=0,"غیرفعال (وزن صفر)","فعال"))</f>
        <v/>
      </c>
      <c r="Z36" s="19"/>
    </row>
    <row r="37" customFormat="false" ht="15" hidden="false" customHeight="false" outlineLevel="0" collapsed="false">
      <c r="A37" s="7"/>
      <c r="B37" s="8"/>
      <c r="C37" s="8"/>
      <c r="D37" s="9"/>
      <c r="E37" s="10"/>
      <c r="F37" s="11" t="str">
        <f aca="false">IF($A37="","",IFERROR(E37-B37,""))</f>
        <v/>
      </c>
      <c r="G37" s="11" t="str">
        <f aca="false">IF($A37="","",IFERROR(ROUND(F37*5/7,0),""))</f>
        <v/>
      </c>
      <c r="H37" s="12" t="str">
        <f aca="false">IF($A37="","",IFERROR(G37/D37,""))</f>
        <v/>
      </c>
      <c r="I37" s="13" t="str">
        <f aca="false">IF($A37="","",IFERROR(B37+ROUND(D37*7/5,0),""))</f>
        <v/>
      </c>
      <c r="J37" s="11" t="str">
        <f aca="false">IF($A37="","",IFERROR(I37-E37,""))</f>
        <v/>
      </c>
      <c r="K37" s="11" t="str">
        <f aca="false">IF($A37="","",IFERROR(IF(G37-INDEX($AB$5:$AB$13,MATCH(G37,$AB$5:$AB$13,1))&lt;=INDEX($AB$5:$AB$13,MIN(MATCH(G37,$AB$5:$AB$13,1)+1,9))-G37,INDEX($AB$5:$AB$13,MATCH(G37,$AB$5:$AB$13,1)),INDEX($AB$5:$AB$13,MIN(MATCH(G37,$AB$5:$AB$13,1)+1,9))),30))</f>
        <v/>
      </c>
      <c r="L37" s="11" t="str">
        <f aca="false">IF($A37="","",IFERROR(ABS(G37-K37),""))</f>
        <v/>
      </c>
      <c r="M37" s="9"/>
      <c r="N37" s="11" t="str">
        <f aca="false">IF($A37="","",IFERROR(ROUND(M37*1.618,0),""))</f>
        <v/>
      </c>
      <c r="O37" s="13" t="str">
        <f aca="false">IF($A37="","",IFERROR(C37+ROUND(N37*7/5,0),""))</f>
        <v/>
      </c>
      <c r="P37" s="14"/>
      <c r="Q37" s="14"/>
      <c r="R37" s="9"/>
      <c r="S37" s="15" t="str">
        <f aca="false">IF($A37="","",IF(OR(D37="",H37=""),0,IF(OR(H37&lt;=0.15,H37&gt;=0.9),4,IF(AND(H37&gt;=0.35,H37&lt;=0.6),-3,IF(H37&lt;0.35,2,-1)))))</f>
        <v/>
      </c>
      <c r="T37" s="15" t="str">
        <f aca="false">IF($A37="","",IF(OR(L37="",L37&gt;TIME_TOL),0,IF(S37&gt;0,2,-2)))</f>
        <v/>
      </c>
      <c r="U37" s="15" t="str">
        <f aca="false">IF($A37="","",IF(P37="",0,(IF(P37="3",4,IF(P37="1",2,IF(P37="2",1,IF(P37="4",1,IF(P37="5",-1,IF(P37="A",-3,IF(P37="B",-2,IF(P37="C",-4,0)))))))))*IF(R37="",0.6,R37/5)))</f>
        <v/>
      </c>
      <c r="V37" s="15" t="str">
        <f aca="false">IF($A37="","",MAX(-10,MIN(10,S37+T37+U37)))</f>
        <v/>
      </c>
      <c r="W37" s="16" t="str">
        <f aca="false">IF($A37="","",IF(W_TIME=0,"غیرفعال (وزن صفر)","فعال"))</f>
        <v/>
      </c>
      <c r="Z37" s="19"/>
    </row>
    <row r="38" customFormat="false" ht="15" hidden="false" customHeight="false" outlineLevel="0" collapsed="false">
      <c r="A38" s="7"/>
      <c r="B38" s="8"/>
      <c r="C38" s="8"/>
      <c r="D38" s="9"/>
      <c r="E38" s="10"/>
      <c r="F38" s="11" t="str">
        <f aca="false">IF($A38="","",IFERROR(E38-B38,""))</f>
        <v/>
      </c>
      <c r="G38" s="11" t="str">
        <f aca="false">IF($A38="","",IFERROR(ROUND(F38*5/7,0),""))</f>
        <v/>
      </c>
      <c r="H38" s="12" t="str">
        <f aca="false">IF($A38="","",IFERROR(G38/D38,""))</f>
        <v/>
      </c>
      <c r="I38" s="13" t="str">
        <f aca="false">IF($A38="","",IFERROR(B38+ROUND(D38*7/5,0),""))</f>
        <v/>
      </c>
      <c r="J38" s="11" t="str">
        <f aca="false">IF($A38="","",IFERROR(I38-E38,""))</f>
        <v/>
      </c>
      <c r="K38" s="11" t="str">
        <f aca="false">IF($A38="","",IFERROR(IF(G38-INDEX($AB$5:$AB$13,MATCH(G38,$AB$5:$AB$13,1))&lt;=INDEX($AB$5:$AB$13,MIN(MATCH(G38,$AB$5:$AB$13,1)+1,9))-G38,INDEX($AB$5:$AB$13,MATCH(G38,$AB$5:$AB$13,1)),INDEX($AB$5:$AB$13,MIN(MATCH(G38,$AB$5:$AB$13,1)+1,9))),30))</f>
        <v/>
      </c>
      <c r="L38" s="11" t="str">
        <f aca="false">IF($A38="","",IFERROR(ABS(G38-K38),""))</f>
        <v/>
      </c>
      <c r="M38" s="9"/>
      <c r="N38" s="11" t="str">
        <f aca="false">IF($A38="","",IFERROR(ROUND(M38*1.618,0),""))</f>
        <v/>
      </c>
      <c r="O38" s="13" t="str">
        <f aca="false">IF($A38="","",IFERROR(C38+ROUND(N38*7/5,0),""))</f>
        <v/>
      </c>
      <c r="P38" s="14"/>
      <c r="Q38" s="14"/>
      <c r="R38" s="9"/>
      <c r="S38" s="15" t="str">
        <f aca="false">IF($A38="","",IF(OR(D38="",H38=""),0,IF(OR(H38&lt;=0.15,H38&gt;=0.9),4,IF(AND(H38&gt;=0.35,H38&lt;=0.6),-3,IF(H38&lt;0.35,2,-1)))))</f>
        <v/>
      </c>
      <c r="T38" s="15" t="str">
        <f aca="false">IF($A38="","",IF(OR(L38="",L38&gt;TIME_TOL),0,IF(S38&gt;0,2,-2)))</f>
        <v/>
      </c>
      <c r="U38" s="15" t="str">
        <f aca="false">IF($A38="","",IF(P38="",0,(IF(P38="3",4,IF(P38="1",2,IF(P38="2",1,IF(P38="4",1,IF(P38="5",-1,IF(P38="A",-3,IF(P38="B",-2,IF(P38="C",-4,0)))))))))*IF(R38="",0.6,R38/5)))</f>
        <v/>
      </c>
      <c r="V38" s="15" t="str">
        <f aca="false">IF($A38="","",MAX(-10,MIN(10,S38+T38+U38)))</f>
        <v/>
      </c>
      <c r="W38" s="16" t="str">
        <f aca="false">IF($A38="","",IF(W_TIME=0,"غیرفعال (وزن صفر)","فعال"))</f>
        <v/>
      </c>
      <c r="Z38" s="19"/>
    </row>
    <row r="39" customFormat="false" ht="15" hidden="false" customHeight="false" outlineLevel="0" collapsed="false">
      <c r="A39" s="7"/>
      <c r="B39" s="8"/>
      <c r="C39" s="8"/>
      <c r="D39" s="9"/>
      <c r="E39" s="10"/>
      <c r="F39" s="11" t="str">
        <f aca="false">IF($A39="","",IFERROR(E39-B39,""))</f>
        <v/>
      </c>
      <c r="G39" s="11" t="str">
        <f aca="false">IF($A39="","",IFERROR(ROUND(F39*5/7,0),""))</f>
        <v/>
      </c>
      <c r="H39" s="12" t="str">
        <f aca="false">IF($A39="","",IFERROR(G39/D39,""))</f>
        <v/>
      </c>
      <c r="I39" s="13" t="str">
        <f aca="false">IF($A39="","",IFERROR(B39+ROUND(D39*7/5,0),""))</f>
        <v/>
      </c>
      <c r="J39" s="11" t="str">
        <f aca="false">IF($A39="","",IFERROR(I39-E39,""))</f>
        <v/>
      </c>
      <c r="K39" s="11" t="str">
        <f aca="false">IF($A39="","",IFERROR(IF(G39-INDEX($AB$5:$AB$13,MATCH(G39,$AB$5:$AB$13,1))&lt;=INDEX($AB$5:$AB$13,MIN(MATCH(G39,$AB$5:$AB$13,1)+1,9))-G39,INDEX($AB$5:$AB$13,MATCH(G39,$AB$5:$AB$13,1)),INDEX($AB$5:$AB$13,MIN(MATCH(G39,$AB$5:$AB$13,1)+1,9))),30))</f>
        <v/>
      </c>
      <c r="L39" s="11" t="str">
        <f aca="false">IF($A39="","",IFERROR(ABS(G39-K39),""))</f>
        <v/>
      </c>
      <c r="M39" s="9"/>
      <c r="N39" s="11" t="str">
        <f aca="false">IF($A39="","",IFERROR(ROUND(M39*1.618,0),""))</f>
        <v/>
      </c>
      <c r="O39" s="13" t="str">
        <f aca="false">IF($A39="","",IFERROR(C39+ROUND(N39*7/5,0),""))</f>
        <v/>
      </c>
      <c r="P39" s="14"/>
      <c r="Q39" s="14"/>
      <c r="R39" s="9"/>
      <c r="S39" s="15" t="str">
        <f aca="false">IF($A39="","",IF(OR(D39="",H39=""),0,IF(OR(H39&lt;=0.15,H39&gt;=0.9),4,IF(AND(H39&gt;=0.35,H39&lt;=0.6),-3,IF(H39&lt;0.35,2,-1)))))</f>
        <v/>
      </c>
      <c r="T39" s="15" t="str">
        <f aca="false">IF($A39="","",IF(OR(L39="",L39&gt;TIME_TOL),0,IF(S39&gt;0,2,-2)))</f>
        <v/>
      </c>
      <c r="U39" s="15" t="str">
        <f aca="false">IF($A39="","",IF(P39="",0,(IF(P39="3",4,IF(P39="1",2,IF(P39="2",1,IF(P39="4",1,IF(P39="5",-1,IF(P39="A",-3,IF(P39="B",-2,IF(P39="C",-4,0)))))))))*IF(R39="",0.6,R39/5)))</f>
        <v/>
      </c>
      <c r="V39" s="15" t="str">
        <f aca="false">IF($A39="","",MAX(-10,MIN(10,S39+T39+U39)))</f>
        <v/>
      </c>
      <c r="W39" s="16" t="str">
        <f aca="false">IF($A39="","",IF(W_TIME=0,"غیرفعال (وزن صفر)","فعال"))</f>
        <v/>
      </c>
      <c r="Z39" s="19"/>
    </row>
    <row r="40" customFormat="false" ht="15" hidden="false" customHeight="false" outlineLevel="0" collapsed="false">
      <c r="A40" s="7"/>
      <c r="B40" s="8"/>
      <c r="C40" s="8"/>
      <c r="D40" s="9"/>
      <c r="E40" s="10"/>
      <c r="F40" s="11" t="str">
        <f aca="false">IF($A40="","",IFERROR(E40-B40,""))</f>
        <v/>
      </c>
      <c r="G40" s="11" t="str">
        <f aca="false">IF($A40="","",IFERROR(ROUND(F40*5/7,0),""))</f>
        <v/>
      </c>
      <c r="H40" s="12" t="str">
        <f aca="false">IF($A40="","",IFERROR(G40/D40,""))</f>
        <v/>
      </c>
      <c r="I40" s="13" t="str">
        <f aca="false">IF($A40="","",IFERROR(B40+ROUND(D40*7/5,0),""))</f>
        <v/>
      </c>
      <c r="J40" s="11" t="str">
        <f aca="false">IF($A40="","",IFERROR(I40-E40,""))</f>
        <v/>
      </c>
      <c r="K40" s="11" t="str">
        <f aca="false">IF($A40="","",IFERROR(IF(G40-INDEX($AB$5:$AB$13,MATCH(G40,$AB$5:$AB$13,1))&lt;=INDEX($AB$5:$AB$13,MIN(MATCH(G40,$AB$5:$AB$13,1)+1,9))-G40,INDEX($AB$5:$AB$13,MATCH(G40,$AB$5:$AB$13,1)),INDEX($AB$5:$AB$13,MIN(MATCH(G40,$AB$5:$AB$13,1)+1,9))),30))</f>
        <v/>
      </c>
      <c r="L40" s="11" t="str">
        <f aca="false">IF($A40="","",IFERROR(ABS(G40-K40),""))</f>
        <v/>
      </c>
      <c r="M40" s="9"/>
      <c r="N40" s="11" t="str">
        <f aca="false">IF($A40="","",IFERROR(ROUND(M40*1.618,0),""))</f>
        <v/>
      </c>
      <c r="O40" s="13" t="str">
        <f aca="false">IF($A40="","",IFERROR(C40+ROUND(N40*7/5,0),""))</f>
        <v/>
      </c>
      <c r="P40" s="14"/>
      <c r="Q40" s="14"/>
      <c r="R40" s="9"/>
      <c r="S40" s="15" t="str">
        <f aca="false">IF($A40="","",IF(OR(D40="",H40=""),0,IF(OR(H40&lt;=0.15,H40&gt;=0.9),4,IF(AND(H40&gt;=0.35,H40&lt;=0.6),-3,IF(H40&lt;0.35,2,-1)))))</f>
        <v/>
      </c>
      <c r="T40" s="15" t="str">
        <f aca="false">IF($A40="","",IF(OR(L40="",L40&gt;TIME_TOL),0,IF(S40&gt;0,2,-2)))</f>
        <v/>
      </c>
      <c r="U40" s="15" t="str">
        <f aca="false">IF($A40="","",IF(P40="",0,(IF(P40="3",4,IF(P40="1",2,IF(P40="2",1,IF(P40="4",1,IF(P40="5",-1,IF(P40="A",-3,IF(P40="B",-2,IF(P40="C",-4,0)))))))))*IF(R40="",0.6,R40/5)))</f>
        <v/>
      </c>
      <c r="V40" s="15" t="str">
        <f aca="false">IF($A40="","",MAX(-10,MIN(10,S40+T40+U40)))</f>
        <v/>
      </c>
      <c r="W40" s="16" t="str">
        <f aca="false">IF($A40="","",IF(W_TIME=0,"غیرفعال (وزن صفر)","فعال"))</f>
        <v/>
      </c>
      <c r="Z40" s="19"/>
    </row>
    <row r="41" customFormat="false" ht="15" hidden="false" customHeight="false" outlineLevel="0" collapsed="false">
      <c r="A41" s="7"/>
      <c r="B41" s="8"/>
      <c r="C41" s="8"/>
      <c r="D41" s="9"/>
      <c r="E41" s="10"/>
      <c r="F41" s="11" t="str">
        <f aca="false">IF($A41="","",IFERROR(E41-B41,""))</f>
        <v/>
      </c>
      <c r="G41" s="11" t="str">
        <f aca="false">IF($A41="","",IFERROR(ROUND(F41*5/7,0),""))</f>
        <v/>
      </c>
      <c r="H41" s="12" t="str">
        <f aca="false">IF($A41="","",IFERROR(G41/D41,""))</f>
        <v/>
      </c>
      <c r="I41" s="13" t="str">
        <f aca="false">IF($A41="","",IFERROR(B41+ROUND(D41*7/5,0),""))</f>
        <v/>
      </c>
      <c r="J41" s="11" t="str">
        <f aca="false">IF($A41="","",IFERROR(I41-E41,""))</f>
        <v/>
      </c>
      <c r="K41" s="11" t="str">
        <f aca="false">IF($A41="","",IFERROR(IF(G41-INDEX($AB$5:$AB$13,MATCH(G41,$AB$5:$AB$13,1))&lt;=INDEX($AB$5:$AB$13,MIN(MATCH(G41,$AB$5:$AB$13,1)+1,9))-G41,INDEX($AB$5:$AB$13,MATCH(G41,$AB$5:$AB$13,1)),INDEX($AB$5:$AB$13,MIN(MATCH(G41,$AB$5:$AB$13,1)+1,9))),30))</f>
        <v/>
      </c>
      <c r="L41" s="11" t="str">
        <f aca="false">IF($A41="","",IFERROR(ABS(G41-K41),""))</f>
        <v/>
      </c>
      <c r="M41" s="9"/>
      <c r="N41" s="11" t="str">
        <f aca="false">IF($A41="","",IFERROR(ROUND(M41*1.618,0),""))</f>
        <v/>
      </c>
      <c r="O41" s="13" t="str">
        <f aca="false">IF($A41="","",IFERROR(C41+ROUND(N41*7/5,0),""))</f>
        <v/>
      </c>
      <c r="P41" s="14"/>
      <c r="Q41" s="14"/>
      <c r="R41" s="9"/>
      <c r="S41" s="15" t="str">
        <f aca="false">IF($A41="","",IF(OR(D41="",H41=""),0,IF(OR(H41&lt;=0.15,H41&gt;=0.9),4,IF(AND(H41&gt;=0.35,H41&lt;=0.6),-3,IF(H41&lt;0.35,2,-1)))))</f>
        <v/>
      </c>
      <c r="T41" s="15" t="str">
        <f aca="false">IF($A41="","",IF(OR(L41="",L41&gt;TIME_TOL),0,IF(S41&gt;0,2,-2)))</f>
        <v/>
      </c>
      <c r="U41" s="15" t="str">
        <f aca="false">IF($A41="","",IF(P41="",0,(IF(P41="3",4,IF(P41="1",2,IF(P41="2",1,IF(P41="4",1,IF(P41="5",-1,IF(P41="A",-3,IF(P41="B",-2,IF(P41="C",-4,0)))))))))*IF(R41="",0.6,R41/5)))</f>
        <v/>
      </c>
      <c r="V41" s="15" t="str">
        <f aca="false">IF($A41="","",MAX(-10,MIN(10,S41+T41+U41)))</f>
        <v/>
      </c>
      <c r="W41" s="16" t="str">
        <f aca="false">IF($A41="","",IF(W_TIME=0,"غیرفعال (وزن صفر)","فعال"))</f>
        <v/>
      </c>
      <c r="Z41" s="19"/>
    </row>
    <row r="42" customFormat="false" ht="15" hidden="false" customHeight="false" outlineLevel="0" collapsed="false">
      <c r="A42" s="7"/>
      <c r="B42" s="8"/>
      <c r="C42" s="8"/>
      <c r="D42" s="9"/>
      <c r="E42" s="10"/>
      <c r="F42" s="11" t="str">
        <f aca="false">IF($A42="","",IFERROR(E42-B42,""))</f>
        <v/>
      </c>
      <c r="G42" s="11" t="str">
        <f aca="false">IF($A42="","",IFERROR(ROUND(F42*5/7,0),""))</f>
        <v/>
      </c>
      <c r="H42" s="12" t="str">
        <f aca="false">IF($A42="","",IFERROR(G42/D42,""))</f>
        <v/>
      </c>
      <c r="I42" s="13" t="str">
        <f aca="false">IF($A42="","",IFERROR(B42+ROUND(D42*7/5,0),""))</f>
        <v/>
      </c>
      <c r="J42" s="11" t="str">
        <f aca="false">IF($A42="","",IFERROR(I42-E42,""))</f>
        <v/>
      </c>
      <c r="K42" s="11" t="str">
        <f aca="false">IF($A42="","",IFERROR(IF(G42-INDEX($AB$5:$AB$13,MATCH(G42,$AB$5:$AB$13,1))&lt;=INDEX($AB$5:$AB$13,MIN(MATCH(G42,$AB$5:$AB$13,1)+1,9))-G42,INDEX($AB$5:$AB$13,MATCH(G42,$AB$5:$AB$13,1)),INDEX($AB$5:$AB$13,MIN(MATCH(G42,$AB$5:$AB$13,1)+1,9))),30))</f>
        <v/>
      </c>
      <c r="L42" s="11" t="str">
        <f aca="false">IF($A42="","",IFERROR(ABS(G42-K42),""))</f>
        <v/>
      </c>
      <c r="M42" s="9"/>
      <c r="N42" s="11" t="str">
        <f aca="false">IF($A42="","",IFERROR(ROUND(M42*1.618,0),""))</f>
        <v/>
      </c>
      <c r="O42" s="13" t="str">
        <f aca="false">IF($A42="","",IFERROR(C42+ROUND(N42*7/5,0),""))</f>
        <v/>
      </c>
      <c r="P42" s="14"/>
      <c r="Q42" s="14"/>
      <c r="R42" s="9"/>
      <c r="S42" s="15" t="str">
        <f aca="false">IF($A42="","",IF(OR(D42="",H42=""),0,IF(OR(H42&lt;=0.15,H42&gt;=0.9),4,IF(AND(H42&gt;=0.35,H42&lt;=0.6),-3,IF(H42&lt;0.35,2,-1)))))</f>
        <v/>
      </c>
      <c r="T42" s="15" t="str">
        <f aca="false">IF($A42="","",IF(OR(L42="",L42&gt;TIME_TOL),0,IF(S42&gt;0,2,-2)))</f>
        <v/>
      </c>
      <c r="U42" s="15" t="str">
        <f aca="false">IF($A42="","",IF(P42="",0,(IF(P42="3",4,IF(P42="1",2,IF(P42="2",1,IF(P42="4",1,IF(P42="5",-1,IF(P42="A",-3,IF(P42="B",-2,IF(P42="C",-4,0)))))))))*IF(R42="",0.6,R42/5)))</f>
        <v/>
      </c>
      <c r="V42" s="15" t="str">
        <f aca="false">IF($A42="","",MAX(-10,MIN(10,S42+T42+U42)))</f>
        <v/>
      </c>
      <c r="W42" s="16" t="str">
        <f aca="false">IF($A42="","",IF(W_TIME=0,"غیرفعال (وزن صفر)","فعال"))</f>
        <v/>
      </c>
      <c r="Z42" s="19"/>
    </row>
    <row r="43" customFormat="false" ht="15" hidden="false" customHeight="false" outlineLevel="0" collapsed="false">
      <c r="A43" s="7"/>
      <c r="B43" s="8"/>
      <c r="C43" s="8"/>
      <c r="D43" s="9"/>
      <c r="E43" s="10"/>
      <c r="F43" s="11" t="str">
        <f aca="false">IF($A43="","",IFERROR(E43-B43,""))</f>
        <v/>
      </c>
      <c r="G43" s="11" t="str">
        <f aca="false">IF($A43="","",IFERROR(ROUND(F43*5/7,0),""))</f>
        <v/>
      </c>
      <c r="H43" s="12" t="str">
        <f aca="false">IF($A43="","",IFERROR(G43/D43,""))</f>
        <v/>
      </c>
      <c r="I43" s="13" t="str">
        <f aca="false">IF($A43="","",IFERROR(B43+ROUND(D43*7/5,0),""))</f>
        <v/>
      </c>
      <c r="J43" s="11" t="str">
        <f aca="false">IF($A43="","",IFERROR(I43-E43,""))</f>
        <v/>
      </c>
      <c r="K43" s="11" t="str">
        <f aca="false">IF($A43="","",IFERROR(IF(G43-INDEX($AB$5:$AB$13,MATCH(G43,$AB$5:$AB$13,1))&lt;=INDEX($AB$5:$AB$13,MIN(MATCH(G43,$AB$5:$AB$13,1)+1,9))-G43,INDEX($AB$5:$AB$13,MATCH(G43,$AB$5:$AB$13,1)),INDEX($AB$5:$AB$13,MIN(MATCH(G43,$AB$5:$AB$13,1)+1,9))),30))</f>
        <v/>
      </c>
      <c r="L43" s="11" t="str">
        <f aca="false">IF($A43="","",IFERROR(ABS(G43-K43),""))</f>
        <v/>
      </c>
      <c r="M43" s="9"/>
      <c r="N43" s="11" t="str">
        <f aca="false">IF($A43="","",IFERROR(ROUND(M43*1.618,0),""))</f>
        <v/>
      </c>
      <c r="O43" s="13" t="str">
        <f aca="false">IF($A43="","",IFERROR(C43+ROUND(N43*7/5,0),""))</f>
        <v/>
      </c>
      <c r="P43" s="14"/>
      <c r="Q43" s="14"/>
      <c r="R43" s="9"/>
      <c r="S43" s="15" t="str">
        <f aca="false">IF($A43="","",IF(OR(D43="",H43=""),0,IF(OR(H43&lt;=0.15,H43&gt;=0.9),4,IF(AND(H43&gt;=0.35,H43&lt;=0.6),-3,IF(H43&lt;0.35,2,-1)))))</f>
        <v/>
      </c>
      <c r="T43" s="15" t="str">
        <f aca="false">IF($A43="","",IF(OR(L43="",L43&gt;TIME_TOL),0,IF(S43&gt;0,2,-2)))</f>
        <v/>
      </c>
      <c r="U43" s="15" t="str">
        <f aca="false">IF($A43="","",IF(P43="",0,(IF(P43="3",4,IF(P43="1",2,IF(P43="2",1,IF(P43="4",1,IF(P43="5",-1,IF(P43="A",-3,IF(P43="B",-2,IF(P43="C",-4,0)))))))))*IF(R43="",0.6,R43/5)))</f>
        <v/>
      </c>
      <c r="V43" s="15" t="str">
        <f aca="false">IF($A43="","",MAX(-10,MIN(10,S43+T43+U43)))</f>
        <v/>
      </c>
      <c r="W43" s="16" t="str">
        <f aca="false">IF($A43="","",IF(W_TIME=0,"غیرفعال (وزن صفر)","فعال"))</f>
        <v/>
      </c>
      <c r="Z43" s="19"/>
    </row>
    <row r="44" customFormat="false" ht="15" hidden="false" customHeight="false" outlineLevel="0" collapsed="false">
      <c r="A44" s="7"/>
      <c r="B44" s="8"/>
      <c r="C44" s="8"/>
      <c r="D44" s="9"/>
      <c r="E44" s="10"/>
      <c r="F44" s="11" t="str">
        <f aca="false">IF($A44="","",IFERROR(E44-B44,""))</f>
        <v/>
      </c>
      <c r="G44" s="11" t="str">
        <f aca="false">IF($A44="","",IFERROR(ROUND(F44*5/7,0),""))</f>
        <v/>
      </c>
      <c r="H44" s="12" t="str">
        <f aca="false">IF($A44="","",IFERROR(G44/D44,""))</f>
        <v/>
      </c>
      <c r="I44" s="13" t="str">
        <f aca="false">IF($A44="","",IFERROR(B44+ROUND(D44*7/5,0),""))</f>
        <v/>
      </c>
      <c r="J44" s="11" t="str">
        <f aca="false">IF($A44="","",IFERROR(I44-E44,""))</f>
        <v/>
      </c>
      <c r="K44" s="11" t="str">
        <f aca="false">IF($A44="","",IFERROR(IF(G44-INDEX($AB$5:$AB$13,MATCH(G44,$AB$5:$AB$13,1))&lt;=INDEX($AB$5:$AB$13,MIN(MATCH(G44,$AB$5:$AB$13,1)+1,9))-G44,INDEX($AB$5:$AB$13,MATCH(G44,$AB$5:$AB$13,1)),INDEX($AB$5:$AB$13,MIN(MATCH(G44,$AB$5:$AB$13,1)+1,9))),30))</f>
        <v/>
      </c>
      <c r="L44" s="11" t="str">
        <f aca="false">IF($A44="","",IFERROR(ABS(G44-K44),""))</f>
        <v/>
      </c>
      <c r="M44" s="9"/>
      <c r="N44" s="11" t="str">
        <f aca="false">IF($A44="","",IFERROR(ROUND(M44*1.618,0),""))</f>
        <v/>
      </c>
      <c r="O44" s="13" t="str">
        <f aca="false">IF($A44="","",IFERROR(C44+ROUND(N44*7/5,0),""))</f>
        <v/>
      </c>
      <c r="P44" s="14"/>
      <c r="Q44" s="14"/>
      <c r="R44" s="9"/>
      <c r="S44" s="15" t="str">
        <f aca="false">IF($A44="","",IF(OR(D44="",H44=""),0,IF(OR(H44&lt;=0.15,H44&gt;=0.9),4,IF(AND(H44&gt;=0.35,H44&lt;=0.6),-3,IF(H44&lt;0.35,2,-1)))))</f>
        <v/>
      </c>
      <c r="T44" s="15" t="str">
        <f aca="false">IF($A44="","",IF(OR(L44="",L44&gt;TIME_TOL),0,IF(S44&gt;0,2,-2)))</f>
        <v/>
      </c>
      <c r="U44" s="15" t="str">
        <f aca="false">IF($A44="","",IF(P44="",0,(IF(P44="3",4,IF(P44="1",2,IF(P44="2",1,IF(P44="4",1,IF(P44="5",-1,IF(P44="A",-3,IF(P44="B",-2,IF(P44="C",-4,0)))))))))*IF(R44="",0.6,R44/5)))</f>
        <v/>
      </c>
      <c r="V44" s="15" t="str">
        <f aca="false">IF($A44="","",MAX(-10,MIN(10,S44+T44+U44)))</f>
        <v/>
      </c>
      <c r="W44" s="16" t="str">
        <f aca="false">IF($A44="","",IF(W_TIME=0,"غیرفعال (وزن صفر)","فعال"))</f>
        <v/>
      </c>
      <c r="Z44" s="19"/>
    </row>
    <row r="45" customFormat="false" ht="15" hidden="false" customHeight="false" outlineLevel="0" collapsed="false">
      <c r="A45" s="7"/>
      <c r="B45" s="8"/>
      <c r="C45" s="8"/>
      <c r="D45" s="9"/>
      <c r="E45" s="10"/>
      <c r="F45" s="11" t="str">
        <f aca="false">IF($A45="","",IFERROR(E45-B45,""))</f>
        <v/>
      </c>
      <c r="G45" s="11" t="str">
        <f aca="false">IF($A45="","",IFERROR(ROUND(F45*5/7,0),""))</f>
        <v/>
      </c>
      <c r="H45" s="12" t="str">
        <f aca="false">IF($A45="","",IFERROR(G45/D45,""))</f>
        <v/>
      </c>
      <c r="I45" s="13" t="str">
        <f aca="false">IF($A45="","",IFERROR(B45+ROUND(D45*7/5,0),""))</f>
        <v/>
      </c>
      <c r="J45" s="11" t="str">
        <f aca="false">IF($A45="","",IFERROR(I45-E45,""))</f>
        <v/>
      </c>
      <c r="K45" s="11" t="str">
        <f aca="false">IF($A45="","",IFERROR(IF(G45-INDEX($AB$5:$AB$13,MATCH(G45,$AB$5:$AB$13,1))&lt;=INDEX($AB$5:$AB$13,MIN(MATCH(G45,$AB$5:$AB$13,1)+1,9))-G45,INDEX($AB$5:$AB$13,MATCH(G45,$AB$5:$AB$13,1)),INDEX($AB$5:$AB$13,MIN(MATCH(G45,$AB$5:$AB$13,1)+1,9))),30))</f>
        <v/>
      </c>
      <c r="L45" s="11" t="str">
        <f aca="false">IF($A45="","",IFERROR(ABS(G45-K45),""))</f>
        <v/>
      </c>
      <c r="M45" s="9"/>
      <c r="N45" s="11" t="str">
        <f aca="false">IF($A45="","",IFERROR(ROUND(M45*1.618,0),""))</f>
        <v/>
      </c>
      <c r="O45" s="13" t="str">
        <f aca="false">IF($A45="","",IFERROR(C45+ROUND(N45*7/5,0),""))</f>
        <v/>
      </c>
      <c r="P45" s="14"/>
      <c r="Q45" s="14"/>
      <c r="R45" s="9"/>
      <c r="S45" s="15" t="str">
        <f aca="false">IF($A45="","",IF(OR(D45="",H45=""),0,IF(OR(H45&lt;=0.15,H45&gt;=0.9),4,IF(AND(H45&gt;=0.35,H45&lt;=0.6),-3,IF(H45&lt;0.35,2,-1)))))</f>
        <v/>
      </c>
      <c r="T45" s="15" t="str">
        <f aca="false">IF($A45="","",IF(OR(L45="",L45&gt;TIME_TOL),0,IF(S45&gt;0,2,-2)))</f>
        <v/>
      </c>
      <c r="U45" s="15" t="str">
        <f aca="false">IF($A45="","",IF(P45="",0,(IF(P45="3",4,IF(P45="1",2,IF(P45="2",1,IF(P45="4",1,IF(P45="5",-1,IF(P45="A",-3,IF(P45="B",-2,IF(P45="C",-4,0)))))))))*IF(R45="",0.6,R45/5)))</f>
        <v/>
      </c>
      <c r="V45" s="15" t="str">
        <f aca="false">IF($A45="","",MAX(-10,MIN(10,S45+T45+U45)))</f>
        <v/>
      </c>
      <c r="W45" s="16" t="str">
        <f aca="false">IF($A45="","",IF(W_TIME=0,"غیرفعال (وزن صفر)","فعال"))</f>
        <v/>
      </c>
      <c r="Z45" s="19"/>
    </row>
    <row r="46" customFormat="false" ht="15" hidden="false" customHeight="false" outlineLevel="0" collapsed="false">
      <c r="A46" s="7"/>
      <c r="B46" s="8"/>
      <c r="C46" s="8"/>
      <c r="D46" s="9"/>
      <c r="E46" s="10"/>
      <c r="F46" s="11" t="str">
        <f aca="false">IF($A46="","",IFERROR(E46-B46,""))</f>
        <v/>
      </c>
      <c r="G46" s="11" t="str">
        <f aca="false">IF($A46="","",IFERROR(ROUND(F46*5/7,0),""))</f>
        <v/>
      </c>
      <c r="H46" s="12" t="str">
        <f aca="false">IF($A46="","",IFERROR(G46/D46,""))</f>
        <v/>
      </c>
      <c r="I46" s="13" t="str">
        <f aca="false">IF($A46="","",IFERROR(B46+ROUND(D46*7/5,0),""))</f>
        <v/>
      </c>
      <c r="J46" s="11" t="str">
        <f aca="false">IF($A46="","",IFERROR(I46-E46,""))</f>
        <v/>
      </c>
      <c r="K46" s="11" t="str">
        <f aca="false">IF($A46="","",IFERROR(IF(G46-INDEX($AB$5:$AB$13,MATCH(G46,$AB$5:$AB$13,1))&lt;=INDEX($AB$5:$AB$13,MIN(MATCH(G46,$AB$5:$AB$13,1)+1,9))-G46,INDEX($AB$5:$AB$13,MATCH(G46,$AB$5:$AB$13,1)),INDEX($AB$5:$AB$13,MIN(MATCH(G46,$AB$5:$AB$13,1)+1,9))),30))</f>
        <v/>
      </c>
      <c r="L46" s="11" t="str">
        <f aca="false">IF($A46="","",IFERROR(ABS(G46-K46),""))</f>
        <v/>
      </c>
      <c r="M46" s="9"/>
      <c r="N46" s="11" t="str">
        <f aca="false">IF($A46="","",IFERROR(ROUND(M46*1.618,0),""))</f>
        <v/>
      </c>
      <c r="O46" s="13" t="str">
        <f aca="false">IF($A46="","",IFERROR(C46+ROUND(N46*7/5,0),""))</f>
        <v/>
      </c>
      <c r="P46" s="14"/>
      <c r="Q46" s="14"/>
      <c r="R46" s="9"/>
      <c r="S46" s="15" t="str">
        <f aca="false">IF($A46="","",IF(OR(D46="",H46=""),0,IF(OR(H46&lt;=0.15,H46&gt;=0.9),4,IF(AND(H46&gt;=0.35,H46&lt;=0.6),-3,IF(H46&lt;0.35,2,-1)))))</f>
        <v/>
      </c>
      <c r="T46" s="15" t="str">
        <f aca="false">IF($A46="","",IF(OR(L46="",L46&gt;TIME_TOL),0,IF(S46&gt;0,2,-2)))</f>
        <v/>
      </c>
      <c r="U46" s="15" t="str">
        <f aca="false">IF($A46="","",IF(P46="",0,(IF(P46="3",4,IF(P46="1",2,IF(P46="2",1,IF(P46="4",1,IF(P46="5",-1,IF(P46="A",-3,IF(P46="B",-2,IF(P46="C",-4,0)))))))))*IF(R46="",0.6,R46/5)))</f>
        <v/>
      </c>
      <c r="V46" s="15" t="str">
        <f aca="false">IF($A46="","",MAX(-10,MIN(10,S46+T46+U46)))</f>
        <v/>
      </c>
      <c r="W46" s="16" t="str">
        <f aca="false">IF($A46="","",IF(W_TIME=0,"غیرفعال (وزن صفر)","فعال"))</f>
        <v/>
      </c>
      <c r="Z46" s="19"/>
    </row>
    <row r="47" customFormat="false" ht="15" hidden="false" customHeight="false" outlineLevel="0" collapsed="false">
      <c r="A47" s="7"/>
      <c r="B47" s="8"/>
      <c r="C47" s="8"/>
      <c r="D47" s="9"/>
      <c r="E47" s="10"/>
      <c r="F47" s="11" t="str">
        <f aca="false">IF($A47="","",IFERROR(E47-B47,""))</f>
        <v/>
      </c>
      <c r="G47" s="11" t="str">
        <f aca="false">IF($A47="","",IFERROR(ROUND(F47*5/7,0),""))</f>
        <v/>
      </c>
      <c r="H47" s="12" t="str">
        <f aca="false">IF($A47="","",IFERROR(G47/D47,""))</f>
        <v/>
      </c>
      <c r="I47" s="13" t="str">
        <f aca="false">IF($A47="","",IFERROR(B47+ROUND(D47*7/5,0),""))</f>
        <v/>
      </c>
      <c r="J47" s="11" t="str">
        <f aca="false">IF($A47="","",IFERROR(I47-E47,""))</f>
        <v/>
      </c>
      <c r="K47" s="11" t="str">
        <f aca="false">IF($A47="","",IFERROR(IF(G47-INDEX($AB$5:$AB$13,MATCH(G47,$AB$5:$AB$13,1))&lt;=INDEX($AB$5:$AB$13,MIN(MATCH(G47,$AB$5:$AB$13,1)+1,9))-G47,INDEX($AB$5:$AB$13,MATCH(G47,$AB$5:$AB$13,1)),INDEX($AB$5:$AB$13,MIN(MATCH(G47,$AB$5:$AB$13,1)+1,9))),30))</f>
        <v/>
      </c>
      <c r="L47" s="11" t="str">
        <f aca="false">IF($A47="","",IFERROR(ABS(G47-K47),""))</f>
        <v/>
      </c>
      <c r="M47" s="9"/>
      <c r="N47" s="11" t="str">
        <f aca="false">IF($A47="","",IFERROR(ROUND(M47*1.618,0),""))</f>
        <v/>
      </c>
      <c r="O47" s="13" t="str">
        <f aca="false">IF($A47="","",IFERROR(C47+ROUND(N47*7/5,0),""))</f>
        <v/>
      </c>
      <c r="P47" s="14"/>
      <c r="Q47" s="14"/>
      <c r="R47" s="9"/>
      <c r="S47" s="15" t="str">
        <f aca="false">IF($A47="","",IF(OR(D47="",H47=""),0,IF(OR(H47&lt;=0.15,H47&gt;=0.9),4,IF(AND(H47&gt;=0.35,H47&lt;=0.6),-3,IF(H47&lt;0.35,2,-1)))))</f>
        <v/>
      </c>
      <c r="T47" s="15" t="str">
        <f aca="false">IF($A47="","",IF(OR(L47="",L47&gt;TIME_TOL),0,IF(S47&gt;0,2,-2)))</f>
        <v/>
      </c>
      <c r="U47" s="15" t="str">
        <f aca="false">IF($A47="","",IF(P47="",0,(IF(P47="3",4,IF(P47="1",2,IF(P47="2",1,IF(P47="4",1,IF(P47="5",-1,IF(P47="A",-3,IF(P47="B",-2,IF(P47="C",-4,0)))))))))*IF(R47="",0.6,R47/5)))</f>
        <v/>
      </c>
      <c r="V47" s="15" t="str">
        <f aca="false">IF($A47="","",MAX(-10,MIN(10,S47+T47+U47)))</f>
        <v/>
      </c>
      <c r="W47" s="16" t="str">
        <f aca="false">IF($A47="","",IF(W_TIME=0,"غیرفعال (وزن صفر)","فعال"))</f>
        <v/>
      </c>
      <c r="Z47" s="19"/>
    </row>
    <row r="48" customFormat="false" ht="15" hidden="false" customHeight="false" outlineLevel="0" collapsed="false">
      <c r="A48" s="7"/>
      <c r="B48" s="8"/>
      <c r="C48" s="8"/>
      <c r="D48" s="9"/>
      <c r="E48" s="10"/>
      <c r="F48" s="11" t="str">
        <f aca="false">IF($A48="","",IFERROR(E48-B48,""))</f>
        <v/>
      </c>
      <c r="G48" s="11" t="str">
        <f aca="false">IF($A48="","",IFERROR(ROUND(F48*5/7,0),""))</f>
        <v/>
      </c>
      <c r="H48" s="12" t="str">
        <f aca="false">IF($A48="","",IFERROR(G48/D48,""))</f>
        <v/>
      </c>
      <c r="I48" s="13" t="str">
        <f aca="false">IF($A48="","",IFERROR(B48+ROUND(D48*7/5,0),""))</f>
        <v/>
      </c>
      <c r="J48" s="11" t="str">
        <f aca="false">IF($A48="","",IFERROR(I48-E48,""))</f>
        <v/>
      </c>
      <c r="K48" s="11" t="str">
        <f aca="false">IF($A48="","",IFERROR(IF(G48-INDEX($AB$5:$AB$13,MATCH(G48,$AB$5:$AB$13,1))&lt;=INDEX($AB$5:$AB$13,MIN(MATCH(G48,$AB$5:$AB$13,1)+1,9))-G48,INDEX($AB$5:$AB$13,MATCH(G48,$AB$5:$AB$13,1)),INDEX($AB$5:$AB$13,MIN(MATCH(G48,$AB$5:$AB$13,1)+1,9))),30))</f>
        <v/>
      </c>
      <c r="L48" s="11" t="str">
        <f aca="false">IF($A48="","",IFERROR(ABS(G48-K48),""))</f>
        <v/>
      </c>
      <c r="M48" s="9"/>
      <c r="N48" s="11" t="str">
        <f aca="false">IF($A48="","",IFERROR(ROUND(M48*1.618,0),""))</f>
        <v/>
      </c>
      <c r="O48" s="13" t="str">
        <f aca="false">IF($A48="","",IFERROR(C48+ROUND(N48*7/5,0),""))</f>
        <v/>
      </c>
      <c r="P48" s="14"/>
      <c r="Q48" s="14"/>
      <c r="R48" s="9"/>
      <c r="S48" s="15" t="str">
        <f aca="false">IF($A48="","",IF(OR(D48="",H48=""),0,IF(OR(H48&lt;=0.15,H48&gt;=0.9),4,IF(AND(H48&gt;=0.35,H48&lt;=0.6),-3,IF(H48&lt;0.35,2,-1)))))</f>
        <v/>
      </c>
      <c r="T48" s="15" t="str">
        <f aca="false">IF($A48="","",IF(OR(L48="",L48&gt;TIME_TOL),0,IF(S48&gt;0,2,-2)))</f>
        <v/>
      </c>
      <c r="U48" s="15" t="str">
        <f aca="false">IF($A48="","",IF(P48="",0,(IF(P48="3",4,IF(P48="1",2,IF(P48="2",1,IF(P48="4",1,IF(P48="5",-1,IF(P48="A",-3,IF(P48="B",-2,IF(P48="C",-4,0)))))))))*IF(R48="",0.6,R48/5)))</f>
        <v/>
      </c>
      <c r="V48" s="15" t="str">
        <f aca="false">IF($A48="","",MAX(-10,MIN(10,S48+T48+U48)))</f>
        <v/>
      </c>
      <c r="W48" s="16" t="str">
        <f aca="false">IF($A48="","",IF(W_TIME=0,"غیرفعال (وزن صفر)","فعال"))</f>
        <v/>
      </c>
      <c r="Z48" s="19"/>
    </row>
    <row r="49" customFormat="false" ht="15" hidden="false" customHeight="false" outlineLevel="0" collapsed="false">
      <c r="A49" s="7"/>
      <c r="B49" s="8"/>
      <c r="C49" s="8"/>
      <c r="D49" s="9"/>
      <c r="E49" s="10"/>
      <c r="F49" s="11" t="str">
        <f aca="false">IF($A49="","",IFERROR(E49-B49,""))</f>
        <v/>
      </c>
      <c r="G49" s="11" t="str">
        <f aca="false">IF($A49="","",IFERROR(ROUND(F49*5/7,0),""))</f>
        <v/>
      </c>
      <c r="H49" s="12" t="str">
        <f aca="false">IF($A49="","",IFERROR(G49/D49,""))</f>
        <v/>
      </c>
      <c r="I49" s="13" t="str">
        <f aca="false">IF($A49="","",IFERROR(B49+ROUND(D49*7/5,0),""))</f>
        <v/>
      </c>
      <c r="J49" s="11" t="str">
        <f aca="false">IF($A49="","",IFERROR(I49-E49,""))</f>
        <v/>
      </c>
      <c r="K49" s="11" t="str">
        <f aca="false">IF($A49="","",IFERROR(IF(G49-INDEX($AB$5:$AB$13,MATCH(G49,$AB$5:$AB$13,1))&lt;=INDEX($AB$5:$AB$13,MIN(MATCH(G49,$AB$5:$AB$13,1)+1,9))-G49,INDEX($AB$5:$AB$13,MATCH(G49,$AB$5:$AB$13,1)),INDEX($AB$5:$AB$13,MIN(MATCH(G49,$AB$5:$AB$13,1)+1,9))),30))</f>
        <v/>
      </c>
      <c r="L49" s="11" t="str">
        <f aca="false">IF($A49="","",IFERROR(ABS(G49-K49),""))</f>
        <v/>
      </c>
      <c r="M49" s="9"/>
      <c r="N49" s="11" t="str">
        <f aca="false">IF($A49="","",IFERROR(ROUND(M49*1.618,0),""))</f>
        <v/>
      </c>
      <c r="O49" s="13" t="str">
        <f aca="false">IF($A49="","",IFERROR(C49+ROUND(N49*7/5,0),""))</f>
        <v/>
      </c>
      <c r="P49" s="14"/>
      <c r="Q49" s="14"/>
      <c r="R49" s="9"/>
      <c r="S49" s="15" t="str">
        <f aca="false">IF($A49="","",IF(OR(D49="",H49=""),0,IF(OR(H49&lt;=0.15,H49&gt;=0.9),4,IF(AND(H49&gt;=0.35,H49&lt;=0.6),-3,IF(H49&lt;0.35,2,-1)))))</f>
        <v/>
      </c>
      <c r="T49" s="15" t="str">
        <f aca="false">IF($A49="","",IF(OR(L49="",L49&gt;TIME_TOL),0,IF(S49&gt;0,2,-2)))</f>
        <v/>
      </c>
      <c r="U49" s="15" t="str">
        <f aca="false">IF($A49="","",IF(P49="",0,(IF(P49="3",4,IF(P49="1",2,IF(P49="2",1,IF(P49="4",1,IF(P49="5",-1,IF(P49="A",-3,IF(P49="B",-2,IF(P49="C",-4,0)))))))))*IF(R49="",0.6,R49/5)))</f>
        <v/>
      </c>
      <c r="V49" s="15" t="str">
        <f aca="false">IF($A49="","",MAX(-10,MIN(10,S49+T49+U49)))</f>
        <v/>
      </c>
      <c r="W49" s="16" t="str">
        <f aca="false">IF($A49="","",IF(W_TIME=0,"غیرفعال (وزن صفر)","فعال"))</f>
        <v/>
      </c>
      <c r="Z49" s="19"/>
    </row>
    <row r="50" customFormat="false" ht="15" hidden="false" customHeight="false" outlineLevel="0" collapsed="false">
      <c r="A50" s="7"/>
      <c r="B50" s="8"/>
      <c r="C50" s="8"/>
      <c r="D50" s="9"/>
      <c r="E50" s="10"/>
      <c r="F50" s="11" t="str">
        <f aca="false">IF($A50="","",IFERROR(E50-B50,""))</f>
        <v/>
      </c>
      <c r="G50" s="11" t="str">
        <f aca="false">IF($A50="","",IFERROR(ROUND(F50*5/7,0),""))</f>
        <v/>
      </c>
      <c r="H50" s="12" t="str">
        <f aca="false">IF($A50="","",IFERROR(G50/D50,""))</f>
        <v/>
      </c>
      <c r="I50" s="13" t="str">
        <f aca="false">IF($A50="","",IFERROR(B50+ROUND(D50*7/5,0),""))</f>
        <v/>
      </c>
      <c r="J50" s="11" t="str">
        <f aca="false">IF($A50="","",IFERROR(I50-E50,""))</f>
        <v/>
      </c>
      <c r="K50" s="11" t="str">
        <f aca="false">IF($A50="","",IFERROR(IF(G50-INDEX($AB$5:$AB$13,MATCH(G50,$AB$5:$AB$13,1))&lt;=INDEX($AB$5:$AB$13,MIN(MATCH(G50,$AB$5:$AB$13,1)+1,9))-G50,INDEX($AB$5:$AB$13,MATCH(G50,$AB$5:$AB$13,1)),INDEX($AB$5:$AB$13,MIN(MATCH(G50,$AB$5:$AB$13,1)+1,9))),30))</f>
        <v/>
      </c>
      <c r="L50" s="11" t="str">
        <f aca="false">IF($A50="","",IFERROR(ABS(G50-K50),""))</f>
        <v/>
      </c>
      <c r="M50" s="9"/>
      <c r="N50" s="11" t="str">
        <f aca="false">IF($A50="","",IFERROR(ROUND(M50*1.618,0),""))</f>
        <v/>
      </c>
      <c r="O50" s="13" t="str">
        <f aca="false">IF($A50="","",IFERROR(C50+ROUND(N50*7/5,0),""))</f>
        <v/>
      </c>
      <c r="P50" s="14"/>
      <c r="Q50" s="14"/>
      <c r="R50" s="9"/>
      <c r="S50" s="15" t="str">
        <f aca="false">IF($A50="","",IF(OR(D50="",H50=""),0,IF(OR(H50&lt;=0.15,H50&gt;=0.9),4,IF(AND(H50&gt;=0.35,H50&lt;=0.6),-3,IF(H50&lt;0.35,2,-1)))))</f>
        <v/>
      </c>
      <c r="T50" s="15" t="str">
        <f aca="false">IF($A50="","",IF(OR(L50="",L50&gt;TIME_TOL),0,IF(S50&gt;0,2,-2)))</f>
        <v/>
      </c>
      <c r="U50" s="15" t="str">
        <f aca="false">IF($A50="","",IF(P50="",0,(IF(P50="3",4,IF(P50="1",2,IF(P50="2",1,IF(P50="4",1,IF(P50="5",-1,IF(P50="A",-3,IF(P50="B",-2,IF(P50="C",-4,0)))))))))*IF(R50="",0.6,R50/5)))</f>
        <v/>
      </c>
      <c r="V50" s="15" t="str">
        <f aca="false">IF($A50="","",MAX(-10,MIN(10,S50+T50+U50)))</f>
        <v/>
      </c>
      <c r="W50" s="16" t="str">
        <f aca="false">IF($A50="","",IF(W_TIME=0,"غیرفعال (وزن صفر)","فعال"))</f>
        <v/>
      </c>
      <c r="Z50" s="19"/>
    </row>
    <row r="51" customFormat="false" ht="15" hidden="false" customHeight="false" outlineLevel="0" collapsed="false">
      <c r="A51" s="7"/>
      <c r="B51" s="8"/>
      <c r="C51" s="8"/>
      <c r="D51" s="9"/>
      <c r="E51" s="10"/>
      <c r="F51" s="11" t="str">
        <f aca="false">IF($A51="","",IFERROR(E51-B51,""))</f>
        <v/>
      </c>
      <c r="G51" s="11" t="str">
        <f aca="false">IF($A51="","",IFERROR(ROUND(F51*5/7,0),""))</f>
        <v/>
      </c>
      <c r="H51" s="12" t="str">
        <f aca="false">IF($A51="","",IFERROR(G51/D51,""))</f>
        <v/>
      </c>
      <c r="I51" s="13" t="str">
        <f aca="false">IF($A51="","",IFERROR(B51+ROUND(D51*7/5,0),""))</f>
        <v/>
      </c>
      <c r="J51" s="11" t="str">
        <f aca="false">IF($A51="","",IFERROR(I51-E51,""))</f>
        <v/>
      </c>
      <c r="K51" s="11" t="str">
        <f aca="false">IF($A51="","",IFERROR(IF(G51-INDEX($AB$5:$AB$13,MATCH(G51,$AB$5:$AB$13,1))&lt;=INDEX($AB$5:$AB$13,MIN(MATCH(G51,$AB$5:$AB$13,1)+1,9))-G51,INDEX($AB$5:$AB$13,MATCH(G51,$AB$5:$AB$13,1)),INDEX($AB$5:$AB$13,MIN(MATCH(G51,$AB$5:$AB$13,1)+1,9))),30))</f>
        <v/>
      </c>
      <c r="L51" s="11" t="str">
        <f aca="false">IF($A51="","",IFERROR(ABS(G51-K51),""))</f>
        <v/>
      </c>
      <c r="M51" s="9"/>
      <c r="N51" s="11" t="str">
        <f aca="false">IF($A51="","",IFERROR(ROUND(M51*1.618,0),""))</f>
        <v/>
      </c>
      <c r="O51" s="13" t="str">
        <f aca="false">IF($A51="","",IFERROR(C51+ROUND(N51*7/5,0),""))</f>
        <v/>
      </c>
      <c r="P51" s="14"/>
      <c r="Q51" s="14"/>
      <c r="R51" s="9"/>
      <c r="S51" s="15" t="str">
        <f aca="false">IF($A51="","",IF(OR(D51="",H51=""),0,IF(OR(H51&lt;=0.15,H51&gt;=0.9),4,IF(AND(H51&gt;=0.35,H51&lt;=0.6),-3,IF(H51&lt;0.35,2,-1)))))</f>
        <v/>
      </c>
      <c r="T51" s="15" t="str">
        <f aca="false">IF($A51="","",IF(OR(L51="",L51&gt;TIME_TOL),0,IF(S51&gt;0,2,-2)))</f>
        <v/>
      </c>
      <c r="U51" s="15" t="str">
        <f aca="false">IF($A51="","",IF(P51="",0,(IF(P51="3",4,IF(P51="1",2,IF(P51="2",1,IF(P51="4",1,IF(P51="5",-1,IF(P51="A",-3,IF(P51="B",-2,IF(P51="C",-4,0)))))))))*IF(R51="",0.6,R51/5)))</f>
        <v/>
      </c>
      <c r="V51" s="15" t="str">
        <f aca="false">IF($A51="","",MAX(-10,MIN(10,S51+T51+U51)))</f>
        <v/>
      </c>
      <c r="W51" s="16" t="str">
        <f aca="false">IF($A51="","",IF(W_TIME=0,"غیرفعال (وزن صفر)","فعال"))</f>
        <v/>
      </c>
      <c r="Z51" s="19"/>
    </row>
    <row r="52" customFormat="false" ht="15" hidden="false" customHeight="false" outlineLevel="0" collapsed="false">
      <c r="A52" s="7"/>
      <c r="B52" s="8"/>
      <c r="C52" s="8"/>
      <c r="D52" s="9"/>
      <c r="E52" s="10"/>
      <c r="F52" s="11" t="str">
        <f aca="false">IF($A52="","",IFERROR(E52-B52,""))</f>
        <v/>
      </c>
      <c r="G52" s="11" t="str">
        <f aca="false">IF($A52="","",IFERROR(ROUND(F52*5/7,0),""))</f>
        <v/>
      </c>
      <c r="H52" s="12" t="str">
        <f aca="false">IF($A52="","",IFERROR(G52/D52,""))</f>
        <v/>
      </c>
      <c r="I52" s="13" t="str">
        <f aca="false">IF($A52="","",IFERROR(B52+ROUND(D52*7/5,0),""))</f>
        <v/>
      </c>
      <c r="J52" s="11" t="str">
        <f aca="false">IF($A52="","",IFERROR(I52-E52,""))</f>
        <v/>
      </c>
      <c r="K52" s="11" t="str">
        <f aca="false">IF($A52="","",IFERROR(IF(G52-INDEX($AB$5:$AB$13,MATCH(G52,$AB$5:$AB$13,1))&lt;=INDEX($AB$5:$AB$13,MIN(MATCH(G52,$AB$5:$AB$13,1)+1,9))-G52,INDEX($AB$5:$AB$13,MATCH(G52,$AB$5:$AB$13,1)),INDEX($AB$5:$AB$13,MIN(MATCH(G52,$AB$5:$AB$13,1)+1,9))),30))</f>
        <v/>
      </c>
      <c r="L52" s="11" t="str">
        <f aca="false">IF($A52="","",IFERROR(ABS(G52-K52),""))</f>
        <v/>
      </c>
      <c r="M52" s="9"/>
      <c r="N52" s="11" t="str">
        <f aca="false">IF($A52="","",IFERROR(ROUND(M52*1.618,0),""))</f>
        <v/>
      </c>
      <c r="O52" s="13" t="str">
        <f aca="false">IF($A52="","",IFERROR(C52+ROUND(N52*7/5,0),""))</f>
        <v/>
      </c>
      <c r="P52" s="14"/>
      <c r="Q52" s="14"/>
      <c r="R52" s="9"/>
      <c r="S52" s="15" t="str">
        <f aca="false">IF($A52="","",IF(OR(D52="",H52=""),0,IF(OR(H52&lt;=0.15,H52&gt;=0.9),4,IF(AND(H52&gt;=0.35,H52&lt;=0.6),-3,IF(H52&lt;0.35,2,-1)))))</f>
        <v/>
      </c>
      <c r="T52" s="15" t="str">
        <f aca="false">IF($A52="","",IF(OR(L52="",L52&gt;TIME_TOL),0,IF(S52&gt;0,2,-2)))</f>
        <v/>
      </c>
      <c r="U52" s="15" t="str">
        <f aca="false">IF($A52="","",IF(P52="",0,(IF(P52="3",4,IF(P52="1",2,IF(P52="2",1,IF(P52="4",1,IF(P52="5",-1,IF(P52="A",-3,IF(P52="B",-2,IF(P52="C",-4,0)))))))))*IF(R52="",0.6,R52/5)))</f>
        <v/>
      </c>
      <c r="V52" s="15" t="str">
        <f aca="false">IF($A52="","",MAX(-10,MIN(10,S52+T52+U52)))</f>
        <v/>
      </c>
      <c r="W52" s="16" t="str">
        <f aca="false">IF($A52="","",IF(W_TIME=0,"غیرفعال (وزن صفر)","فعال"))</f>
        <v/>
      </c>
      <c r="Z52" s="19"/>
    </row>
    <row r="53" customFormat="false" ht="15" hidden="false" customHeight="false" outlineLevel="0" collapsed="false">
      <c r="A53" s="7"/>
      <c r="B53" s="8"/>
      <c r="C53" s="8"/>
      <c r="D53" s="9"/>
      <c r="E53" s="10"/>
      <c r="F53" s="11" t="str">
        <f aca="false">IF($A53="","",IFERROR(E53-B53,""))</f>
        <v/>
      </c>
      <c r="G53" s="11" t="str">
        <f aca="false">IF($A53="","",IFERROR(ROUND(F53*5/7,0),""))</f>
        <v/>
      </c>
      <c r="H53" s="12" t="str">
        <f aca="false">IF($A53="","",IFERROR(G53/D53,""))</f>
        <v/>
      </c>
      <c r="I53" s="13" t="str">
        <f aca="false">IF($A53="","",IFERROR(B53+ROUND(D53*7/5,0),""))</f>
        <v/>
      </c>
      <c r="J53" s="11" t="str">
        <f aca="false">IF($A53="","",IFERROR(I53-E53,""))</f>
        <v/>
      </c>
      <c r="K53" s="11" t="str">
        <f aca="false">IF($A53="","",IFERROR(IF(G53-INDEX($AB$5:$AB$13,MATCH(G53,$AB$5:$AB$13,1))&lt;=INDEX($AB$5:$AB$13,MIN(MATCH(G53,$AB$5:$AB$13,1)+1,9))-G53,INDEX($AB$5:$AB$13,MATCH(G53,$AB$5:$AB$13,1)),INDEX($AB$5:$AB$13,MIN(MATCH(G53,$AB$5:$AB$13,1)+1,9))),30))</f>
        <v/>
      </c>
      <c r="L53" s="11" t="str">
        <f aca="false">IF($A53="","",IFERROR(ABS(G53-K53),""))</f>
        <v/>
      </c>
      <c r="M53" s="9"/>
      <c r="N53" s="11" t="str">
        <f aca="false">IF($A53="","",IFERROR(ROUND(M53*1.618,0),""))</f>
        <v/>
      </c>
      <c r="O53" s="13" t="str">
        <f aca="false">IF($A53="","",IFERROR(C53+ROUND(N53*7/5,0),""))</f>
        <v/>
      </c>
      <c r="P53" s="14"/>
      <c r="Q53" s="14"/>
      <c r="R53" s="9"/>
      <c r="S53" s="15" t="str">
        <f aca="false">IF($A53="","",IF(OR(D53="",H53=""),0,IF(OR(H53&lt;=0.15,H53&gt;=0.9),4,IF(AND(H53&gt;=0.35,H53&lt;=0.6),-3,IF(H53&lt;0.35,2,-1)))))</f>
        <v/>
      </c>
      <c r="T53" s="15" t="str">
        <f aca="false">IF($A53="","",IF(OR(L53="",L53&gt;TIME_TOL),0,IF(S53&gt;0,2,-2)))</f>
        <v/>
      </c>
      <c r="U53" s="15" t="str">
        <f aca="false">IF($A53="","",IF(P53="",0,(IF(P53="3",4,IF(P53="1",2,IF(P53="2",1,IF(P53="4",1,IF(P53="5",-1,IF(P53="A",-3,IF(P53="B",-2,IF(P53="C",-4,0)))))))))*IF(R53="",0.6,R53/5)))</f>
        <v/>
      </c>
      <c r="V53" s="15" t="str">
        <f aca="false">IF($A53="","",MAX(-10,MIN(10,S53+T53+U53)))</f>
        <v/>
      </c>
      <c r="W53" s="16" t="str">
        <f aca="false">IF($A53="","",IF(W_TIME=0,"غیرفعال (وزن صفر)","فعال"))</f>
        <v/>
      </c>
      <c r="Z53" s="19"/>
    </row>
    <row r="54" customFormat="false" ht="15" hidden="false" customHeight="false" outlineLevel="0" collapsed="false">
      <c r="A54" s="7"/>
      <c r="B54" s="8"/>
      <c r="C54" s="8"/>
      <c r="D54" s="9"/>
      <c r="E54" s="10"/>
      <c r="F54" s="11" t="str">
        <f aca="false">IF($A54="","",IFERROR(E54-B54,""))</f>
        <v/>
      </c>
      <c r="G54" s="11" t="str">
        <f aca="false">IF($A54="","",IFERROR(ROUND(F54*5/7,0),""))</f>
        <v/>
      </c>
      <c r="H54" s="12" t="str">
        <f aca="false">IF($A54="","",IFERROR(G54/D54,""))</f>
        <v/>
      </c>
      <c r="I54" s="13" t="str">
        <f aca="false">IF($A54="","",IFERROR(B54+ROUND(D54*7/5,0),""))</f>
        <v/>
      </c>
      <c r="J54" s="11" t="str">
        <f aca="false">IF($A54="","",IFERROR(I54-E54,""))</f>
        <v/>
      </c>
      <c r="K54" s="11" t="str">
        <f aca="false">IF($A54="","",IFERROR(IF(G54-INDEX($AB$5:$AB$13,MATCH(G54,$AB$5:$AB$13,1))&lt;=INDEX($AB$5:$AB$13,MIN(MATCH(G54,$AB$5:$AB$13,1)+1,9))-G54,INDEX($AB$5:$AB$13,MATCH(G54,$AB$5:$AB$13,1)),INDEX($AB$5:$AB$13,MIN(MATCH(G54,$AB$5:$AB$13,1)+1,9))),30))</f>
        <v/>
      </c>
      <c r="L54" s="11" t="str">
        <f aca="false">IF($A54="","",IFERROR(ABS(G54-K54),""))</f>
        <v/>
      </c>
      <c r="M54" s="9"/>
      <c r="N54" s="11" t="str">
        <f aca="false">IF($A54="","",IFERROR(ROUND(M54*1.618,0),""))</f>
        <v/>
      </c>
      <c r="O54" s="13" t="str">
        <f aca="false">IF($A54="","",IFERROR(C54+ROUND(N54*7/5,0),""))</f>
        <v/>
      </c>
      <c r="P54" s="14"/>
      <c r="Q54" s="14"/>
      <c r="R54" s="9"/>
      <c r="S54" s="15" t="str">
        <f aca="false">IF($A54="","",IF(OR(D54="",H54=""),0,IF(OR(H54&lt;=0.15,H54&gt;=0.9),4,IF(AND(H54&gt;=0.35,H54&lt;=0.6),-3,IF(H54&lt;0.35,2,-1)))))</f>
        <v/>
      </c>
      <c r="T54" s="15" t="str">
        <f aca="false">IF($A54="","",IF(OR(L54="",L54&gt;TIME_TOL),0,IF(S54&gt;0,2,-2)))</f>
        <v/>
      </c>
      <c r="U54" s="15" t="str">
        <f aca="false">IF($A54="","",IF(P54="",0,(IF(P54="3",4,IF(P54="1",2,IF(P54="2",1,IF(P54="4",1,IF(P54="5",-1,IF(P54="A",-3,IF(P54="B",-2,IF(P54="C",-4,0)))))))))*IF(R54="",0.6,R54/5)))</f>
        <v/>
      </c>
      <c r="V54" s="15" t="str">
        <f aca="false">IF($A54="","",MAX(-10,MIN(10,S54+T54+U54)))</f>
        <v/>
      </c>
      <c r="W54" s="16" t="str">
        <f aca="false">IF($A54="","",IF(W_TIME=0,"غیرفعال (وزن صفر)","فعال"))</f>
        <v/>
      </c>
      <c r="Z54" s="19"/>
    </row>
    <row r="55" customFormat="false" ht="15" hidden="false" customHeight="false" outlineLevel="0" collapsed="false">
      <c r="A55" s="7"/>
      <c r="B55" s="8"/>
      <c r="C55" s="8"/>
      <c r="D55" s="9"/>
      <c r="E55" s="10"/>
      <c r="F55" s="11" t="str">
        <f aca="false">IF($A55="","",IFERROR(E55-B55,""))</f>
        <v/>
      </c>
      <c r="G55" s="11" t="str">
        <f aca="false">IF($A55="","",IFERROR(ROUND(F55*5/7,0),""))</f>
        <v/>
      </c>
      <c r="H55" s="12" t="str">
        <f aca="false">IF($A55="","",IFERROR(G55/D55,""))</f>
        <v/>
      </c>
      <c r="I55" s="13" t="str">
        <f aca="false">IF($A55="","",IFERROR(B55+ROUND(D55*7/5,0),""))</f>
        <v/>
      </c>
      <c r="J55" s="11" t="str">
        <f aca="false">IF($A55="","",IFERROR(I55-E55,""))</f>
        <v/>
      </c>
      <c r="K55" s="11" t="str">
        <f aca="false">IF($A55="","",IFERROR(IF(G55-INDEX($AB$5:$AB$13,MATCH(G55,$AB$5:$AB$13,1))&lt;=INDEX($AB$5:$AB$13,MIN(MATCH(G55,$AB$5:$AB$13,1)+1,9))-G55,INDEX($AB$5:$AB$13,MATCH(G55,$AB$5:$AB$13,1)),INDEX($AB$5:$AB$13,MIN(MATCH(G55,$AB$5:$AB$13,1)+1,9))),30))</f>
        <v/>
      </c>
      <c r="L55" s="11" t="str">
        <f aca="false">IF($A55="","",IFERROR(ABS(G55-K55),""))</f>
        <v/>
      </c>
      <c r="M55" s="9"/>
      <c r="N55" s="11" t="str">
        <f aca="false">IF($A55="","",IFERROR(ROUND(M55*1.618,0),""))</f>
        <v/>
      </c>
      <c r="O55" s="13" t="str">
        <f aca="false">IF($A55="","",IFERROR(C55+ROUND(N55*7/5,0),""))</f>
        <v/>
      </c>
      <c r="P55" s="14"/>
      <c r="Q55" s="14"/>
      <c r="R55" s="9"/>
      <c r="S55" s="15" t="str">
        <f aca="false">IF($A55="","",IF(OR(D55="",H55=""),0,IF(OR(H55&lt;=0.15,H55&gt;=0.9),4,IF(AND(H55&gt;=0.35,H55&lt;=0.6),-3,IF(H55&lt;0.35,2,-1)))))</f>
        <v/>
      </c>
      <c r="T55" s="15" t="str">
        <f aca="false">IF($A55="","",IF(OR(L55="",L55&gt;TIME_TOL),0,IF(S55&gt;0,2,-2)))</f>
        <v/>
      </c>
      <c r="U55" s="15" t="str">
        <f aca="false">IF($A55="","",IF(P55="",0,(IF(P55="3",4,IF(P55="1",2,IF(P55="2",1,IF(P55="4",1,IF(P55="5",-1,IF(P55="A",-3,IF(P55="B",-2,IF(P55="C",-4,0)))))))))*IF(R55="",0.6,R55/5)))</f>
        <v/>
      </c>
      <c r="V55" s="15" t="str">
        <f aca="false">IF($A55="","",MAX(-10,MIN(10,S55+T55+U55)))</f>
        <v/>
      </c>
      <c r="W55" s="16" t="str">
        <f aca="false">IF($A55="","",IF(W_TIME=0,"غیرفعال (وزن صفر)","فعال"))</f>
        <v/>
      </c>
      <c r="Z55" s="19"/>
    </row>
    <row r="56" customFormat="false" ht="15" hidden="false" customHeight="false" outlineLevel="0" collapsed="false">
      <c r="A56" s="7"/>
      <c r="B56" s="8"/>
      <c r="C56" s="8"/>
      <c r="D56" s="9"/>
      <c r="E56" s="10"/>
      <c r="F56" s="11" t="str">
        <f aca="false">IF($A56="","",IFERROR(E56-B56,""))</f>
        <v/>
      </c>
      <c r="G56" s="11" t="str">
        <f aca="false">IF($A56="","",IFERROR(ROUND(F56*5/7,0),""))</f>
        <v/>
      </c>
      <c r="H56" s="12" t="str">
        <f aca="false">IF($A56="","",IFERROR(G56/D56,""))</f>
        <v/>
      </c>
      <c r="I56" s="13" t="str">
        <f aca="false">IF($A56="","",IFERROR(B56+ROUND(D56*7/5,0),""))</f>
        <v/>
      </c>
      <c r="J56" s="11" t="str">
        <f aca="false">IF($A56="","",IFERROR(I56-E56,""))</f>
        <v/>
      </c>
      <c r="K56" s="11" t="str">
        <f aca="false">IF($A56="","",IFERROR(IF(G56-INDEX($AB$5:$AB$13,MATCH(G56,$AB$5:$AB$13,1))&lt;=INDEX($AB$5:$AB$13,MIN(MATCH(G56,$AB$5:$AB$13,1)+1,9))-G56,INDEX($AB$5:$AB$13,MATCH(G56,$AB$5:$AB$13,1)),INDEX($AB$5:$AB$13,MIN(MATCH(G56,$AB$5:$AB$13,1)+1,9))),30))</f>
        <v/>
      </c>
      <c r="L56" s="11" t="str">
        <f aca="false">IF($A56="","",IFERROR(ABS(G56-K56),""))</f>
        <v/>
      </c>
      <c r="M56" s="9"/>
      <c r="N56" s="11" t="str">
        <f aca="false">IF($A56="","",IFERROR(ROUND(M56*1.618,0),""))</f>
        <v/>
      </c>
      <c r="O56" s="13" t="str">
        <f aca="false">IF($A56="","",IFERROR(C56+ROUND(N56*7/5,0),""))</f>
        <v/>
      </c>
      <c r="P56" s="14"/>
      <c r="Q56" s="14"/>
      <c r="R56" s="9"/>
      <c r="S56" s="15" t="str">
        <f aca="false">IF($A56="","",IF(OR(D56="",H56=""),0,IF(OR(H56&lt;=0.15,H56&gt;=0.9),4,IF(AND(H56&gt;=0.35,H56&lt;=0.6),-3,IF(H56&lt;0.35,2,-1)))))</f>
        <v/>
      </c>
      <c r="T56" s="15" t="str">
        <f aca="false">IF($A56="","",IF(OR(L56="",L56&gt;TIME_TOL),0,IF(S56&gt;0,2,-2)))</f>
        <v/>
      </c>
      <c r="U56" s="15" t="str">
        <f aca="false">IF($A56="","",IF(P56="",0,(IF(P56="3",4,IF(P56="1",2,IF(P56="2",1,IF(P56="4",1,IF(P56="5",-1,IF(P56="A",-3,IF(P56="B",-2,IF(P56="C",-4,0)))))))))*IF(R56="",0.6,R56/5)))</f>
        <v/>
      </c>
      <c r="V56" s="15" t="str">
        <f aca="false">IF($A56="","",MAX(-10,MIN(10,S56+T56+U56)))</f>
        <v/>
      </c>
      <c r="W56" s="16" t="str">
        <f aca="false">IF($A56="","",IF(W_TIME=0,"غیرفعال (وزن صفر)","فعال"))</f>
        <v/>
      </c>
      <c r="Z56" s="19"/>
    </row>
    <row r="57" customFormat="false" ht="15" hidden="false" customHeight="false" outlineLevel="0" collapsed="false">
      <c r="A57" s="7"/>
      <c r="B57" s="8"/>
      <c r="C57" s="8"/>
      <c r="D57" s="9"/>
      <c r="E57" s="10"/>
      <c r="F57" s="11" t="str">
        <f aca="false">IF($A57="","",IFERROR(E57-B57,""))</f>
        <v/>
      </c>
      <c r="G57" s="11" t="str">
        <f aca="false">IF($A57="","",IFERROR(ROUND(F57*5/7,0),""))</f>
        <v/>
      </c>
      <c r="H57" s="12" t="str">
        <f aca="false">IF($A57="","",IFERROR(G57/D57,""))</f>
        <v/>
      </c>
      <c r="I57" s="13" t="str">
        <f aca="false">IF($A57="","",IFERROR(B57+ROUND(D57*7/5,0),""))</f>
        <v/>
      </c>
      <c r="J57" s="11" t="str">
        <f aca="false">IF($A57="","",IFERROR(I57-E57,""))</f>
        <v/>
      </c>
      <c r="K57" s="11" t="str">
        <f aca="false">IF($A57="","",IFERROR(IF(G57-INDEX($AB$5:$AB$13,MATCH(G57,$AB$5:$AB$13,1))&lt;=INDEX($AB$5:$AB$13,MIN(MATCH(G57,$AB$5:$AB$13,1)+1,9))-G57,INDEX($AB$5:$AB$13,MATCH(G57,$AB$5:$AB$13,1)),INDEX($AB$5:$AB$13,MIN(MATCH(G57,$AB$5:$AB$13,1)+1,9))),30))</f>
        <v/>
      </c>
      <c r="L57" s="11" t="str">
        <f aca="false">IF($A57="","",IFERROR(ABS(G57-K57),""))</f>
        <v/>
      </c>
      <c r="M57" s="9"/>
      <c r="N57" s="11" t="str">
        <f aca="false">IF($A57="","",IFERROR(ROUND(M57*1.618,0),""))</f>
        <v/>
      </c>
      <c r="O57" s="13" t="str">
        <f aca="false">IF($A57="","",IFERROR(C57+ROUND(N57*7/5,0),""))</f>
        <v/>
      </c>
      <c r="P57" s="14"/>
      <c r="Q57" s="14"/>
      <c r="R57" s="9"/>
      <c r="S57" s="15" t="str">
        <f aca="false">IF($A57="","",IF(OR(D57="",H57=""),0,IF(OR(H57&lt;=0.15,H57&gt;=0.9),4,IF(AND(H57&gt;=0.35,H57&lt;=0.6),-3,IF(H57&lt;0.35,2,-1)))))</f>
        <v/>
      </c>
      <c r="T57" s="15" t="str">
        <f aca="false">IF($A57="","",IF(OR(L57="",L57&gt;TIME_TOL),0,IF(S57&gt;0,2,-2)))</f>
        <v/>
      </c>
      <c r="U57" s="15" t="str">
        <f aca="false">IF($A57="","",IF(P57="",0,(IF(P57="3",4,IF(P57="1",2,IF(P57="2",1,IF(P57="4",1,IF(P57="5",-1,IF(P57="A",-3,IF(P57="B",-2,IF(P57="C",-4,0)))))))))*IF(R57="",0.6,R57/5)))</f>
        <v/>
      </c>
      <c r="V57" s="15" t="str">
        <f aca="false">IF($A57="","",MAX(-10,MIN(10,S57+T57+U57)))</f>
        <v/>
      </c>
      <c r="W57" s="16" t="str">
        <f aca="false">IF($A57="","",IF(W_TIME=0,"غیرفعال (وزن صفر)","فعال"))</f>
        <v/>
      </c>
      <c r="Z57" s="19"/>
    </row>
    <row r="58" customFormat="false" ht="15" hidden="false" customHeight="false" outlineLevel="0" collapsed="false">
      <c r="A58" s="7"/>
      <c r="B58" s="8"/>
      <c r="C58" s="8"/>
      <c r="D58" s="9"/>
      <c r="E58" s="10"/>
      <c r="F58" s="11" t="str">
        <f aca="false">IF($A58="","",IFERROR(E58-B58,""))</f>
        <v/>
      </c>
      <c r="G58" s="11" t="str">
        <f aca="false">IF($A58="","",IFERROR(ROUND(F58*5/7,0),""))</f>
        <v/>
      </c>
      <c r="H58" s="12" t="str">
        <f aca="false">IF($A58="","",IFERROR(G58/D58,""))</f>
        <v/>
      </c>
      <c r="I58" s="13" t="str">
        <f aca="false">IF($A58="","",IFERROR(B58+ROUND(D58*7/5,0),""))</f>
        <v/>
      </c>
      <c r="J58" s="11" t="str">
        <f aca="false">IF($A58="","",IFERROR(I58-E58,""))</f>
        <v/>
      </c>
      <c r="K58" s="11" t="str">
        <f aca="false">IF($A58="","",IFERROR(IF(G58-INDEX($AB$5:$AB$13,MATCH(G58,$AB$5:$AB$13,1))&lt;=INDEX($AB$5:$AB$13,MIN(MATCH(G58,$AB$5:$AB$13,1)+1,9))-G58,INDEX($AB$5:$AB$13,MATCH(G58,$AB$5:$AB$13,1)),INDEX($AB$5:$AB$13,MIN(MATCH(G58,$AB$5:$AB$13,1)+1,9))),30))</f>
        <v/>
      </c>
      <c r="L58" s="11" t="str">
        <f aca="false">IF($A58="","",IFERROR(ABS(G58-K58),""))</f>
        <v/>
      </c>
      <c r="M58" s="9"/>
      <c r="N58" s="11" t="str">
        <f aca="false">IF($A58="","",IFERROR(ROUND(M58*1.618,0),""))</f>
        <v/>
      </c>
      <c r="O58" s="13" t="str">
        <f aca="false">IF($A58="","",IFERROR(C58+ROUND(N58*7/5,0),""))</f>
        <v/>
      </c>
      <c r="P58" s="14"/>
      <c r="Q58" s="14"/>
      <c r="R58" s="9"/>
      <c r="S58" s="15" t="str">
        <f aca="false">IF($A58="","",IF(OR(D58="",H58=""),0,IF(OR(H58&lt;=0.15,H58&gt;=0.9),4,IF(AND(H58&gt;=0.35,H58&lt;=0.6),-3,IF(H58&lt;0.35,2,-1)))))</f>
        <v/>
      </c>
      <c r="T58" s="15" t="str">
        <f aca="false">IF($A58="","",IF(OR(L58="",L58&gt;TIME_TOL),0,IF(S58&gt;0,2,-2)))</f>
        <v/>
      </c>
      <c r="U58" s="15" t="str">
        <f aca="false">IF($A58="","",IF(P58="",0,(IF(P58="3",4,IF(P58="1",2,IF(P58="2",1,IF(P58="4",1,IF(P58="5",-1,IF(P58="A",-3,IF(P58="B",-2,IF(P58="C",-4,0)))))))))*IF(R58="",0.6,R58/5)))</f>
        <v/>
      </c>
      <c r="V58" s="15" t="str">
        <f aca="false">IF($A58="","",MAX(-10,MIN(10,S58+T58+U58)))</f>
        <v/>
      </c>
      <c r="W58" s="16" t="str">
        <f aca="false">IF($A58="","",IF(W_TIME=0,"غیرفعال (وزن صفر)","فعال"))</f>
        <v/>
      </c>
      <c r="Z58" s="19"/>
    </row>
    <row r="59" customFormat="false" ht="15" hidden="false" customHeight="false" outlineLevel="0" collapsed="false">
      <c r="A59" s="7"/>
      <c r="B59" s="8"/>
      <c r="C59" s="8"/>
      <c r="D59" s="9"/>
      <c r="E59" s="10"/>
      <c r="F59" s="11" t="str">
        <f aca="false">IF($A59="","",IFERROR(E59-B59,""))</f>
        <v/>
      </c>
      <c r="G59" s="11" t="str">
        <f aca="false">IF($A59="","",IFERROR(ROUND(F59*5/7,0),""))</f>
        <v/>
      </c>
      <c r="H59" s="12" t="str">
        <f aca="false">IF($A59="","",IFERROR(G59/D59,""))</f>
        <v/>
      </c>
      <c r="I59" s="13" t="str">
        <f aca="false">IF($A59="","",IFERROR(B59+ROUND(D59*7/5,0),""))</f>
        <v/>
      </c>
      <c r="J59" s="11" t="str">
        <f aca="false">IF($A59="","",IFERROR(I59-E59,""))</f>
        <v/>
      </c>
      <c r="K59" s="11" t="str">
        <f aca="false">IF($A59="","",IFERROR(IF(G59-INDEX($AB$5:$AB$13,MATCH(G59,$AB$5:$AB$13,1))&lt;=INDEX($AB$5:$AB$13,MIN(MATCH(G59,$AB$5:$AB$13,1)+1,9))-G59,INDEX($AB$5:$AB$13,MATCH(G59,$AB$5:$AB$13,1)),INDEX($AB$5:$AB$13,MIN(MATCH(G59,$AB$5:$AB$13,1)+1,9))),30))</f>
        <v/>
      </c>
      <c r="L59" s="11" t="str">
        <f aca="false">IF($A59="","",IFERROR(ABS(G59-K59),""))</f>
        <v/>
      </c>
      <c r="M59" s="9"/>
      <c r="N59" s="11" t="str">
        <f aca="false">IF($A59="","",IFERROR(ROUND(M59*1.618,0),""))</f>
        <v/>
      </c>
      <c r="O59" s="13" t="str">
        <f aca="false">IF($A59="","",IFERROR(C59+ROUND(N59*7/5,0),""))</f>
        <v/>
      </c>
      <c r="P59" s="14"/>
      <c r="Q59" s="14"/>
      <c r="R59" s="9"/>
      <c r="S59" s="15" t="str">
        <f aca="false">IF($A59="","",IF(OR(D59="",H59=""),0,IF(OR(H59&lt;=0.15,H59&gt;=0.9),4,IF(AND(H59&gt;=0.35,H59&lt;=0.6),-3,IF(H59&lt;0.35,2,-1)))))</f>
        <v/>
      </c>
      <c r="T59" s="15" t="str">
        <f aca="false">IF($A59="","",IF(OR(L59="",L59&gt;TIME_TOL),0,IF(S59&gt;0,2,-2)))</f>
        <v/>
      </c>
      <c r="U59" s="15" t="str">
        <f aca="false">IF($A59="","",IF(P59="",0,(IF(P59="3",4,IF(P59="1",2,IF(P59="2",1,IF(P59="4",1,IF(P59="5",-1,IF(P59="A",-3,IF(P59="B",-2,IF(P59="C",-4,0)))))))))*IF(R59="",0.6,R59/5)))</f>
        <v/>
      </c>
      <c r="V59" s="15" t="str">
        <f aca="false">IF($A59="","",MAX(-10,MIN(10,S59+T59+U59)))</f>
        <v/>
      </c>
      <c r="W59" s="16" t="str">
        <f aca="false">IF($A59="","",IF(W_TIME=0,"غیرفعال (وزن صفر)","فعال"))</f>
        <v/>
      </c>
      <c r="Z59" s="19"/>
    </row>
    <row r="60" customFormat="false" ht="15" hidden="false" customHeight="false" outlineLevel="0" collapsed="false">
      <c r="A60" s="7"/>
      <c r="B60" s="8"/>
      <c r="C60" s="8"/>
      <c r="D60" s="9"/>
      <c r="E60" s="10"/>
      <c r="F60" s="11" t="str">
        <f aca="false">IF($A60="","",IFERROR(E60-B60,""))</f>
        <v/>
      </c>
      <c r="G60" s="11" t="str">
        <f aca="false">IF($A60="","",IFERROR(ROUND(F60*5/7,0),""))</f>
        <v/>
      </c>
      <c r="H60" s="12" t="str">
        <f aca="false">IF($A60="","",IFERROR(G60/D60,""))</f>
        <v/>
      </c>
      <c r="I60" s="13" t="str">
        <f aca="false">IF($A60="","",IFERROR(B60+ROUND(D60*7/5,0),""))</f>
        <v/>
      </c>
      <c r="J60" s="11" t="str">
        <f aca="false">IF($A60="","",IFERROR(I60-E60,""))</f>
        <v/>
      </c>
      <c r="K60" s="11" t="str">
        <f aca="false">IF($A60="","",IFERROR(IF(G60-INDEX($AB$5:$AB$13,MATCH(G60,$AB$5:$AB$13,1))&lt;=INDEX($AB$5:$AB$13,MIN(MATCH(G60,$AB$5:$AB$13,1)+1,9))-G60,INDEX($AB$5:$AB$13,MATCH(G60,$AB$5:$AB$13,1)),INDEX($AB$5:$AB$13,MIN(MATCH(G60,$AB$5:$AB$13,1)+1,9))),30))</f>
        <v/>
      </c>
      <c r="L60" s="11" t="str">
        <f aca="false">IF($A60="","",IFERROR(ABS(G60-K60),""))</f>
        <v/>
      </c>
      <c r="M60" s="9"/>
      <c r="N60" s="11" t="str">
        <f aca="false">IF($A60="","",IFERROR(ROUND(M60*1.618,0),""))</f>
        <v/>
      </c>
      <c r="O60" s="13" t="str">
        <f aca="false">IF($A60="","",IFERROR(C60+ROUND(N60*7/5,0),""))</f>
        <v/>
      </c>
      <c r="P60" s="14"/>
      <c r="Q60" s="14"/>
      <c r="R60" s="9"/>
      <c r="S60" s="15" t="str">
        <f aca="false">IF($A60="","",IF(OR(D60="",H60=""),0,IF(OR(H60&lt;=0.15,H60&gt;=0.9),4,IF(AND(H60&gt;=0.35,H60&lt;=0.6),-3,IF(H60&lt;0.35,2,-1)))))</f>
        <v/>
      </c>
      <c r="T60" s="15" t="str">
        <f aca="false">IF($A60="","",IF(OR(L60="",L60&gt;TIME_TOL),0,IF(S60&gt;0,2,-2)))</f>
        <v/>
      </c>
      <c r="U60" s="15" t="str">
        <f aca="false">IF($A60="","",IF(P60="",0,(IF(P60="3",4,IF(P60="1",2,IF(P60="2",1,IF(P60="4",1,IF(P60="5",-1,IF(P60="A",-3,IF(P60="B",-2,IF(P60="C",-4,0)))))))))*IF(R60="",0.6,R60/5)))</f>
        <v/>
      </c>
      <c r="V60" s="15" t="str">
        <f aca="false">IF($A60="","",MAX(-10,MIN(10,S60+T60+U60)))</f>
        <v/>
      </c>
      <c r="W60" s="16" t="str">
        <f aca="false">IF($A60="","",IF(W_TIME=0,"غیرفعال (وزن صفر)","فعال"))</f>
        <v/>
      </c>
      <c r="Z60" s="19"/>
    </row>
    <row r="61" customFormat="false" ht="15" hidden="false" customHeight="false" outlineLevel="0" collapsed="false">
      <c r="A61" s="7"/>
      <c r="B61" s="8"/>
      <c r="C61" s="8"/>
      <c r="D61" s="9"/>
      <c r="E61" s="10"/>
      <c r="F61" s="11" t="str">
        <f aca="false">IF($A61="","",IFERROR(E61-B61,""))</f>
        <v/>
      </c>
      <c r="G61" s="11" t="str">
        <f aca="false">IF($A61="","",IFERROR(ROUND(F61*5/7,0),""))</f>
        <v/>
      </c>
      <c r="H61" s="12" t="str">
        <f aca="false">IF($A61="","",IFERROR(G61/D61,""))</f>
        <v/>
      </c>
      <c r="I61" s="13" t="str">
        <f aca="false">IF($A61="","",IFERROR(B61+ROUND(D61*7/5,0),""))</f>
        <v/>
      </c>
      <c r="J61" s="11" t="str">
        <f aca="false">IF($A61="","",IFERROR(I61-E61,""))</f>
        <v/>
      </c>
      <c r="K61" s="11" t="str">
        <f aca="false">IF($A61="","",IFERROR(IF(G61-INDEX($AB$5:$AB$13,MATCH(G61,$AB$5:$AB$13,1))&lt;=INDEX($AB$5:$AB$13,MIN(MATCH(G61,$AB$5:$AB$13,1)+1,9))-G61,INDEX($AB$5:$AB$13,MATCH(G61,$AB$5:$AB$13,1)),INDEX($AB$5:$AB$13,MIN(MATCH(G61,$AB$5:$AB$13,1)+1,9))),30))</f>
        <v/>
      </c>
      <c r="L61" s="11" t="str">
        <f aca="false">IF($A61="","",IFERROR(ABS(G61-K61),""))</f>
        <v/>
      </c>
      <c r="M61" s="9"/>
      <c r="N61" s="11" t="str">
        <f aca="false">IF($A61="","",IFERROR(ROUND(M61*1.618,0),""))</f>
        <v/>
      </c>
      <c r="O61" s="13" t="str">
        <f aca="false">IF($A61="","",IFERROR(C61+ROUND(N61*7/5,0),""))</f>
        <v/>
      </c>
      <c r="P61" s="14"/>
      <c r="Q61" s="14"/>
      <c r="R61" s="9"/>
      <c r="S61" s="15" t="str">
        <f aca="false">IF($A61="","",IF(OR(D61="",H61=""),0,IF(OR(H61&lt;=0.15,H61&gt;=0.9),4,IF(AND(H61&gt;=0.35,H61&lt;=0.6),-3,IF(H61&lt;0.35,2,-1)))))</f>
        <v/>
      </c>
      <c r="T61" s="15" t="str">
        <f aca="false">IF($A61="","",IF(OR(L61="",L61&gt;TIME_TOL),0,IF(S61&gt;0,2,-2)))</f>
        <v/>
      </c>
      <c r="U61" s="15" t="str">
        <f aca="false">IF($A61="","",IF(P61="",0,(IF(P61="3",4,IF(P61="1",2,IF(P61="2",1,IF(P61="4",1,IF(P61="5",-1,IF(P61="A",-3,IF(P61="B",-2,IF(P61="C",-4,0)))))))))*IF(R61="",0.6,R61/5)))</f>
        <v/>
      </c>
      <c r="V61" s="15" t="str">
        <f aca="false">IF($A61="","",MAX(-10,MIN(10,S61+T61+U61)))</f>
        <v/>
      </c>
      <c r="W61" s="16" t="str">
        <f aca="false">IF($A61="","",IF(W_TIME=0,"غیرفعال (وزن صفر)","فعال"))</f>
        <v/>
      </c>
      <c r="Z61" s="19"/>
    </row>
    <row r="62" customFormat="false" ht="15" hidden="false" customHeight="false" outlineLevel="0" collapsed="false">
      <c r="A62" s="7"/>
      <c r="B62" s="8"/>
      <c r="C62" s="8"/>
      <c r="D62" s="9"/>
      <c r="E62" s="10"/>
      <c r="F62" s="11" t="str">
        <f aca="false">IF($A62="","",IFERROR(E62-B62,""))</f>
        <v/>
      </c>
      <c r="G62" s="11" t="str">
        <f aca="false">IF($A62="","",IFERROR(ROUND(F62*5/7,0),""))</f>
        <v/>
      </c>
      <c r="H62" s="12" t="str">
        <f aca="false">IF($A62="","",IFERROR(G62/D62,""))</f>
        <v/>
      </c>
      <c r="I62" s="13" t="str">
        <f aca="false">IF($A62="","",IFERROR(B62+ROUND(D62*7/5,0),""))</f>
        <v/>
      </c>
      <c r="J62" s="11" t="str">
        <f aca="false">IF($A62="","",IFERROR(I62-E62,""))</f>
        <v/>
      </c>
      <c r="K62" s="11" t="str">
        <f aca="false">IF($A62="","",IFERROR(IF(G62-INDEX($AB$5:$AB$13,MATCH(G62,$AB$5:$AB$13,1))&lt;=INDEX($AB$5:$AB$13,MIN(MATCH(G62,$AB$5:$AB$13,1)+1,9))-G62,INDEX($AB$5:$AB$13,MATCH(G62,$AB$5:$AB$13,1)),INDEX($AB$5:$AB$13,MIN(MATCH(G62,$AB$5:$AB$13,1)+1,9))),30))</f>
        <v/>
      </c>
      <c r="L62" s="11" t="str">
        <f aca="false">IF($A62="","",IFERROR(ABS(G62-K62),""))</f>
        <v/>
      </c>
      <c r="M62" s="9"/>
      <c r="N62" s="11" t="str">
        <f aca="false">IF($A62="","",IFERROR(ROUND(M62*1.618,0),""))</f>
        <v/>
      </c>
      <c r="O62" s="13" t="str">
        <f aca="false">IF($A62="","",IFERROR(C62+ROUND(N62*7/5,0),""))</f>
        <v/>
      </c>
      <c r="P62" s="14"/>
      <c r="Q62" s="14"/>
      <c r="R62" s="9"/>
      <c r="S62" s="15" t="str">
        <f aca="false">IF($A62="","",IF(OR(D62="",H62=""),0,IF(OR(H62&lt;=0.15,H62&gt;=0.9),4,IF(AND(H62&gt;=0.35,H62&lt;=0.6),-3,IF(H62&lt;0.35,2,-1)))))</f>
        <v/>
      </c>
      <c r="T62" s="15" t="str">
        <f aca="false">IF($A62="","",IF(OR(L62="",L62&gt;TIME_TOL),0,IF(S62&gt;0,2,-2)))</f>
        <v/>
      </c>
      <c r="U62" s="15" t="str">
        <f aca="false">IF($A62="","",IF(P62="",0,(IF(P62="3",4,IF(P62="1",2,IF(P62="2",1,IF(P62="4",1,IF(P62="5",-1,IF(P62="A",-3,IF(P62="B",-2,IF(P62="C",-4,0)))))))))*IF(R62="",0.6,R62/5)))</f>
        <v/>
      </c>
      <c r="V62" s="15" t="str">
        <f aca="false">IF($A62="","",MAX(-10,MIN(10,S62+T62+U62)))</f>
        <v/>
      </c>
      <c r="W62" s="16" t="str">
        <f aca="false">IF($A62="","",IF(W_TIME=0,"غیرفعال (وزن صفر)","فعال"))</f>
        <v/>
      </c>
      <c r="Z62" s="19"/>
    </row>
    <row r="63" customFormat="false" ht="15" hidden="false" customHeight="false" outlineLevel="0" collapsed="false">
      <c r="A63" s="7"/>
      <c r="B63" s="8"/>
      <c r="C63" s="8"/>
      <c r="D63" s="9"/>
      <c r="E63" s="10"/>
      <c r="F63" s="11" t="str">
        <f aca="false">IF($A63="","",IFERROR(E63-B63,""))</f>
        <v/>
      </c>
      <c r="G63" s="11" t="str">
        <f aca="false">IF($A63="","",IFERROR(ROUND(F63*5/7,0),""))</f>
        <v/>
      </c>
      <c r="H63" s="12" t="str">
        <f aca="false">IF($A63="","",IFERROR(G63/D63,""))</f>
        <v/>
      </c>
      <c r="I63" s="13" t="str">
        <f aca="false">IF($A63="","",IFERROR(B63+ROUND(D63*7/5,0),""))</f>
        <v/>
      </c>
      <c r="J63" s="11" t="str">
        <f aca="false">IF($A63="","",IFERROR(I63-E63,""))</f>
        <v/>
      </c>
      <c r="K63" s="11" t="str">
        <f aca="false">IF($A63="","",IFERROR(IF(G63-INDEX($AB$5:$AB$13,MATCH(G63,$AB$5:$AB$13,1))&lt;=INDEX($AB$5:$AB$13,MIN(MATCH(G63,$AB$5:$AB$13,1)+1,9))-G63,INDEX($AB$5:$AB$13,MATCH(G63,$AB$5:$AB$13,1)),INDEX($AB$5:$AB$13,MIN(MATCH(G63,$AB$5:$AB$13,1)+1,9))),30))</f>
        <v/>
      </c>
      <c r="L63" s="11" t="str">
        <f aca="false">IF($A63="","",IFERROR(ABS(G63-K63),""))</f>
        <v/>
      </c>
      <c r="M63" s="9"/>
      <c r="N63" s="11" t="str">
        <f aca="false">IF($A63="","",IFERROR(ROUND(M63*1.618,0),""))</f>
        <v/>
      </c>
      <c r="O63" s="13" t="str">
        <f aca="false">IF($A63="","",IFERROR(C63+ROUND(N63*7/5,0),""))</f>
        <v/>
      </c>
      <c r="P63" s="14"/>
      <c r="Q63" s="14"/>
      <c r="R63" s="9"/>
      <c r="S63" s="15" t="str">
        <f aca="false">IF($A63="","",IF(OR(D63="",H63=""),0,IF(OR(H63&lt;=0.15,H63&gt;=0.9),4,IF(AND(H63&gt;=0.35,H63&lt;=0.6),-3,IF(H63&lt;0.35,2,-1)))))</f>
        <v/>
      </c>
      <c r="T63" s="15" t="str">
        <f aca="false">IF($A63="","",IF(OR(L63="",L63&gt;TIME_TOL),0,IF(S63&gt;0,2,-2)))</f>
        <v/>
      </c>
      <c r="U63" s="15" t="str">
        <f aca="false">IF($A63="","",IF(P63="",0,(IF(P63="3",4,IF(P63="1",2,IF(P63="2",1,IF(P63="4",1,IF(P63="5",-1,IF(P63="A",-3,IF(P63="B",-2,IF(P63="C",-4,0)))))))))*IF(R63="",0.6,R63/5)))</f>
        <v/>
      </c>
      <c r="V63" s="15" t="str">
        <f aca="false">IF($A63="","",MAX(-10,MIN(10,S63+T63+U63)))</f>
        <v/>
      </c>
      <c r="W63" s="16" t="str">
        <f aca="false">IF($A63="","",IF(W_TIME=0,"غیرفعال (وزن صفر)","فعال"))</f>
        <v/>
      </c>
      <c r="Z63" s="19"/>
    </row>
    <row r="64" customFormat="false" ht="15" hidden="false" customHeight="false" outlineLevel="0" collapsed="false">
      <c r="A64" s="7"/>
      <c r="B64" s="8"/>
      <c r="C64" s="8"/>
      <c r="D64" s="9"/>
      <c r="E64" s="10"/>
      <c r="F64" s="11" t="str">
        <f aca="false">IF($A64="","",IFERROR(E64-B64,""))</f>
        <v/>
      </c>
      <c r="G64" s="11" t="str">
        <f aca="false">IF($A64="","",IFERROR(ROUND(F64*5/7,0),""))</f>
        <v/>
      </c>
      <c r="H64" s="12" t="str">
        <f aca="false">IF($A64="","",IFERROR(G64/D64,""))</f>
        <v/>
      </c>
      <c r="I64" s="13" t="str">
        <f aca="false">IF($A64="","",IFERROR(B64+ROUND(D64*7/5,0),""))</f>
        <v/>
      </c>
      <c r="J64" s="11" t="str">
        <f aca="false">IF($A64="","",IFERROR(I64-E64,""))</f>
        <v/>
      </c>
      <c r="K64" s="11" t="str">
        <f aca="false">IF($A64="","",IFERROR(IF(G64-INDEX($AB$5:$AB$13,MATCH(G64,$AB$5:$AB$13,1))&lt;=INDEX($AB$5:$AB$13,MIN(MATCH(G64,$AB$5:$AB$13,1)+1,9))-G64,INDEX($AB$5:$AB$13,MATCH(G64,$AB$5:$AB$13,1)),INDEX($AB$5:$AB$13,MIN(MATCH(G64,$AB$5:$AB$13,1)+1,9))),30))</f>
        <v/>
      </c>
      <c r="L64" s="11" t="str">
        <f aca="false">IF($A64="","",IFERROR(ABS(G64-K64),""))</f>
        <v/>
      </c>
      <c r="M64" s="9"/>
      <c r="N64" s="11" t="str">
        <f aca="false">IF($A64="","",IFERROR(ROUND(M64*1.618,0),""))</f>
        <v/>
      </c>
      <c r="O64" s="13" t="str">
        <f aca="false">IF($A64="","",IFERROR(C64+ROUND(N64*7/5,0),""))</f>
        <v/>
      </c>
      <c r="P64" s="14"/>
      <c r="Q64" s="14"/>
      <c r="R64" s="9"/>
      <c r="S64" s="15" t="str">
        <f aca="false">IF($A64="","",IF(OR(D64="",H64=""),0,IF(OR(H64&lt;=0.15,H64&gt;=0.9),4,IF(AND(H64&gt;=0.35,H64&lt;=0.6),-3,IF(H64&lt;0.35,2,-1)))))</f>
        <v/>
      </c>
      <c r="T64" s="15" t="str">
        <f aca="false">IF($A64="","",IF(OR(L64="",L64&gt;TIME_TOL),0,IF(S64&gt;0,2,-2)))</f>
        <v/>
      </c>
      <c r="U64" s="15" t="str">
        <f aca="false">IF($A64="","",IF(P64="",0,(IF(P64="3",4,IF(P64="1",2,IF(P64="2",1,IF(P64="4",1,IF(P64="5",-1,IF(P64="A",-3,IF(P64="B",-2,IF(P64="C",-4,0)))))))))*IF(R64="",0.6,R64/5)))</f>
        <v/>
      </c>
      <c r="V64" s="15" t="str">
        <f aca="false">IF($A64="","",MAX(-10,MIN(10,S64+T64+U64)))</f>
        <v/>
      </c>
      <c r="W64" s="16" t="str">
        <f aca="false">IF($A64="","",IF(W_TIME=0,"غیرفعال (وزن صفر)","فعال"))</f>
        <v/>
      </c>
      <c r="Z64" s="19"/>
    </row>
    <row r="66" customFormat="false" ht="15" hidden="false" customHeight="true" outlineLevel="0" collapsed="false">
      <c r="A66" s="20" t="s">
        <v>62</v>
      </c>
      <c r="B66" s="20"/>
      <c r="C66" s="20"/>
      <c r="D66" s="20"/>
      <c r="E66" s="20"/>
      <c r="F66" s="20"/>
      <c r="G66" s="20"/>
      <c r="H66" s="20"/>
      <c r="I66" s="20"/>
      <c r="J66" s="20"/>
    </row>
    <row r="67" customFormat="false" ht="15" hidden="false" customHeight="true" outlineLevel="0" collapsed="false">
      <c r="A67" s="21" t="s">
        <v>63</v>
      </c>
      <c r="B67" s="21"/>
      <c r="C67" s="21"/>
      <c r="D67" s="21"/>
      <c r="E67" s="21"/>
      <c r="F67" s="21"/>
      <c r="G67" s="21"/>
      <c r="H67" s="21"/>
      <c r="I67" s="21"/>
      <c r="J67" s="21"/>
    </row>
    <row r="68" customFormat="false" ht="15" hidden="false" customHeight="true" outlineLevel="0" collapsed="false">
      <c r="A68" s="21" t="s">
        <v>64</v>
      </c>
      <c r="B68" s="21"/>
      <c r="C68" s="21"/>
      <c r="D68" s="21"/>
      <c r="E68" s="21"/>
      <c r="F68" s="21"/>
      <c r="G68" s="21"/>
      <c r="H68" s="21"/>
      <c r="I68" s="21"/>
      <c r="J68" s="21"/>
    </row>
    <row r="69" customFormat="false" ht="15" hidden="false" customHeight="true" outlineLevel="0" collapsed="false">
      <c r="A69" s="21" t="s">
        <v>65</v>
      </c>
      <c r="B69" s="21"/>
      <c r="C69" s="21"/>
      <c r="D69" s="21"/>
      <c r="E69" s="21"/>
      <c r="F69" s="21"/>
      <c r="G69" s="21"/>
      <c r="H69" s="21"/>
      <c r="I69" s="21"/>
      <c r="J69" s="21"/>
    </row>
    <row r="70" customFormat="false" ht="15" hidden="false" customHeight="true" outlineLevel="0" collapsed="false">
      <c r="A70" s="21" t="s">
        <v>66</v>
      </c>
      <c r="B70" s="21"/>
      <c r="C70" s="21"/>
      <c r="D70" s="21"/>
      <c r="E70" s="21"/>
      <c r="F70" s="21"/>
      <c r="G70" s="21"/>
      <c r="H70" s="21"/>
      <c r="I70" s="21"/>
      <c r="J70" s="21"/>
    </row>
    <row r="71" customFormat="false" ht="15" hidden="false" customHeight="true" outlineLevel="0" collapsed="false">
      <c r="A71" s="21" t="s">
        <v>67</v>
      </c>
      <c r="B71" s="21"/>
      <c r="C71" s="21"/>
      <c r="D71" s="21"/>
      <c r="E71" s="21"/>
      <c r="F71" s="21"/>
      <c r="G71" s="21"/>
      <c r="H71" s="21"/>
      <c r="I71" s="21"/>
      <c r="J71" s="21"/>
    </row>
    <row r="72" customFormat="false" ht="15" hidden="false" customHeight="true" outlineLevel="0" collapsed="false">
      <c r="A72" s="20" t="s">
        <v>68</v>
      </c>
      <c r="B72" s="20"/>
      <c r="C72" s="20"/>
      <c r="D72" s="20"/>
      <c r="E72" s="20"/>
      <c r="F72" s="20"/>
      <c r="G72" s="20"/>
      <c r="H72" s="20"/>
      <c r="I72" s="20"/>
      <c r="J72" s="20"/>
    </row>
  </sheetData>
  <mergeCells count="9">
    <mergeCell ref="A1:W1"/>
    <mergeCell ref="A2:W2"/>
    <mergeCell ref="A66:J66"/>
    <mergeCell ref="A67:J67"/>
    <mergeCell ref="A68:J68"/>
    <mergeCell ref="A69:J69"/>
    <mergeCell ref="A70:J70"/>
    <mergeCell ref="A71:J71"/>
    <mergeCell ref="A72:J72"/>
  </mergeCells>
  <conditionalFormatting sqref="V5:V64">
    <cfRule type="colorScale" priority="2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dataValidations count="3">
    <dataValidation allowBlank="true" errorStyle="stop" operator="between" showDropDown="false" showErrorMessage="false" showInputMessage="false" sqref="P5:P64" type="list">
      <formula1>"1,2,3,4,5,A,B,C"</formula1>
      <formula2>0</formula2>
    </dataValidation>
    <dataValidation allowBlank="true" errorStyle="stop" operator="between" showDropDown="false" showErrorMessage="false" showInputMessage="false" sqref="Q5:Q64" type="list">
      <formula1>"ریزموج,فرعی,میانی,اولیه,چرخه‌ای,ابرچرخه"</formula1>
      <formula2>0</formula2>
    </dataValidation>
    <dataValidation allowBlank="true" errorStyle="stop" operator="between" showDropDown="false" showErrorMessage="false" showInputMessage="false" sqref="R5:R6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22" t="s">
        <v>69</v>
      </c>
    </row>
    <row r="2" customFormat="false" ht="18" hidden="false" customHeight="true" outlineLevel="0" collapsed="false">
      <c r="A2" s="23" t="s">
        <v>70</v>
      </c>
    </row>
    <row r="4" customFormat="false" ht="15" hidden="false" customHeight="false" outlineLevel="0" collapsed="false">
      <c r="A4" s="24" t="s">
        <v>71</v>
      </c>
    </row>
    <row r="6" customFormat="false" ht="15" hidden="false" customHeight="false" outlineLevel="0" collapsed="false">
      <c r="A6" s="2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22" t="s">
        <v>73</v>
      </c>
    </row>
    <row r="2" customFormat="false" ht="18" hidden="false" customHeight="true" outlineLevel="0" collapsed="false">
      <c r="A2" s="23" t="s">
        <v>74</v>
      </c>
    </row>
    <row r="4" customFormat="false" ht="15" hidden="false" customHeight="false" outlineLevel="0" collapsed="false">
      <c r="A4" s="24" t="s">
        <v>71</v>
      </c>
    </row>
    <row r="6" customFormat="false" ht="15" hidden="false" customHeight="false" outlineLevel="0" collapsed="false">
      <c r="A6" s="2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88"/>
  </cols>
  <sheetData>
    <row r="1" customFormat="false" ht="27.75" hidden="false" customHeight="true" outlineLevel="0" collapsed="false">
      <c r="A1" s="1" t="s">
        <v>75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76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77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</row>
    <row r="4" customFormat="false" ht="21.75" hidden="false" customHeight="true" outlineLevel="0" collapsed="false">
      <c r="A4" s="5" t="s">
        <v>83</v>
      </c>
      <c r="B4" s="5" t="s">
        <v>83</v>
      </c>
      <c r="C4" s="5" t="s">
        <v>83</v>
      </c>
      <c r="D4" s="5" t="s">
        <v>83</v>
      </c>
      <c r="E4" s="5" t="s">
        <v>84</v>
      </c>
      <c r="F4" s="5" t="s">
        <v>83</v>
      </c>
    </row>
    <row r="5" customFormat="false" ht="30" hidden="false" customHeight="true" outlineLevel="0" collapsed="false">
      <c r="A5" s="26" t="s">
        <v>85</v>
      </c>
      <c r="B5" s="26" t="s">
        <v>86</v>
      </c>
      <c r="C5" s="27" t="n">
        <v>2000</v>
      </c>
      <c r="D5" s="27" t="s">
        <v>87</v>
      </c>
      <c r="E5" s="26" t="s">
        <v>88</v>
      </c>
      <c r="F5" s="26" t="s">
        <v>89</v>
      </c>
    </row>
    <row r="6" customFormat="false" ht="30" hidden="false" customHeight="true" outlineLevel="0" collapsed="false">
      <c r="A6" s="26" t="s">
        <v>90</v>
      </c>
      <c r="B6" s="26" t="s">
        <v>91</v>
      </c>
      <c r="C6" s="27" t="n">
        <v>2014</v>
      </c>
      <c r="D6" s="27" t="s">
        <v>87</v>
      </c>
      <c r="E6" s="26" t="s">
        <v>88</v>
      </c>
      <c r="F6" s="26" t="s">
        <v>92</v>
      </c>
    </row>
    <row r="7" customFormat="false" ht="30" hidden="false" customHeight="true" outlineLevel="0" collapsed="false">
      <c r="A7" s="26" t="s">
        <v>93</v>
      </c>
      <c r="B7" s="26" t="s">
        <v>94</v>
      </c>
      <c r="C7" s="27" t="n">
        <v>2014</v>
      </c>
      <c r="D7" s="27" t="s">
        <v>87</v>
      </c>
      <c r="E7" s="26" t="s">
        <v>88</v>
      </c>
      <c r="F7" s="26" t="s">
        <v>95</v>
      </c>
    </row>
    <row r="8" customFormat="false" ht="30" hidden="false" customHeight="true" outlineLevel="0" collapsed="false">
      <c r="A8" s="26" t="s">
        <v>96</v>
      </c>
      <c r="B8" s="26" t="s">
        <v>97</v>
      </c>
      <c r="C8" s="27" t="n">
        <v>2007</v>
      </c>
      <c r="D8" s="27" t="s">
        <v>98</v>
      </c>
      <c r="E8" s="26" t="s">
        <v>99</v>
      </c>
      <c r="F8" s="26" t="s">
        <v>100</v>
      </c>
    </row>
    <row r="9" customFormat="false" ht="30" hidden="false" customHeight="true" outlineLevel="0" collapsed="false">
      <c r="A9" s="26" t="s">
        <v>101</v>
      </c>
      <c r="B9" s="26" t="s">
        <v>102</v>
      </c>
      <c r="C9" s="27" t="n">
        <v>1982</v>
      </c>
      <c r="D9" s="27" t="s">
        <v>103</v>
      </c>
      <c r="E9" s="26" t="s">
        <v>88</v>
      </c>
      <c r="F9" s="26" t="s">
        <v>104</v>
      </c>
    </row>
    <row r="10" customFormat="false" ht="30" hidden="false" customHeight="true" outlineLevel="0" collapsed="false">
      <c r="A10" s="26" t="s">
        <v>105</v>
      </c>
      <c r="B10" s="26" t="s">
        <v>106</v>
      </c>
      <c r="C10" s="27" t="n">
        <v>1986</v>
      </c>
      <c r="D10" s="27" t="s">
        <v>103</v>
      </c>
      <c r="E10" s="26" t="s">
        <v>88</v>
      </c>
      <c r="F10" s="26" t="s">
        <v>107</v>
      </c>
    </row>
    <row r="11" customFormat="false" ht="30" hidden="false" customHeight="true" outlineLevel="0" collapsed="false">
      <c r="A11" s="26" t="s">
        <v>108</v>
      </c>
      <c r="B11" s="26" t="s">
        <v>109</v>
      </c>
      <c r="C11" s="27" t="n">
        <v>1950</v>
      </c>
      <c r="D11" s="27" t="s">
        <v>110</v>
      </c>
      <c r="E11" s="26" t="s">
        <v>88</v>
      </c>
      <c r="F11" s="26" t="s">
        <v>111</v>
      </c>
    </row>
    <row r="12" customFormat="false" ht="30" hidden="false" customHeight="true" outlineLevel="0" collapsed="false">
      <c r="A12" s="26" t="s">
        <v>112</v>
      </c>
      <c r="B12" s="26" t="s">
        <v>113</v>
      </c>
      <c r="C12" s="27" t="n">
        <v>1973</v>
      </c>
      <c r="D12" s="27" t="s">
        <v>110</v>
      </c>
      <c r="E12" s="26" t="s">
        <v>88</v>
      </c>
      <c r="F12" s="26" t="s">
        <v>114</v>
      </c>
    </row>
    <row r="13" customFormat="false" ht="30" hidden="false" customHeight="true" outlineLevel="0" collapsed="false">
      <c r="A13" s="26" t="s">
        <v>115</v>
      </c>
      <c r="B13" s="26" t="s">
        <v>116</v>
      </c>
      <c r="C13" s="27" t="n">
        <v>1988</v>
      </c>
      <c r="D13" s="27" t="s">
        <v>110</v>
      </c>
      <c r="E13" s="26" t="s">
        <v>88</v>
      </c>
      <c r="F13" s="26" t="s">
        <v>117</v>
      </c>
    </row>
    <row r="14" customFormat="false" ht="30" hidden="false" customHeight="true" outlineLevel="0" collapsed="false">
      <c r="A14" s="26" t="s">
        <v>118</v>
      </c>
      <c r="B14" s="26" t="s">
        <v>119</v>
      </c>
      <c r="C14" s="27" t="n">
        <v>1995</v>
      </c>
      <c r="D14" s="27" t="s">
        <v>110</v>
      </c>
      <c r="E14" s="26" t="s">
        <v>88</v>
      </c>
      <c r="F14" s="26" t="s">
        <v>120</v>
      </c>
    </row>
    <row r="15" customFormat="false" ht="30" hidden="false" customHeight="true" outlineLevel="0" collapsed="false">
      <c r="A15" s="26" t="s">
        <v>121</v>
      </c>
      <c r="B15" s="26" t="s">
        <v>122</v>
      </c>
      <c r="C15" s="27" t="n">
        <v>2004</v>
      </c>
      <c r="D15" s="27" t="s">
        <v>110</v>
      </c>
      <c r="E15" s="26" t="s">
        <v>99</v>
      </c>
      <c r="F15" s="26" t="s">
        <v>123</v>
      </c>
    </row>
    <row r="16" customFormat="false" ht="30" hidden="false" customHeight="true" outlineLevel="0" collapsed="false">
      <c r="A16" s="26" t="s">
        <v>124</v>
      </c>
      <c r="B16" s="26" t="s">
        <v>125</v>
      </c>
      <c r="C16" s="27" t="n">
        <v>2005</v>
      </c>
      <c r="D16" s="27" t="s">
        <v>110</v>
      </c>
      <c r="E16" s="26" t="s">
        <v>88</v>
      </c>
      <c r="F16" s="26" t="s">
        <v>126</v>
      </c>
    </row>
    <row r="17" customFormat="false" ht="30" hidden="false" customHeight="true" outlineLevel="0" collapsed="false">
      <c r="A17" s="26" t="s">
        <v>127</v>
      </c>
      <c r="B17" s="26" t="s">
        <v>128</v>
      </c>
      <c r="C17" s="27" t="n">
        <v>2008</v>
      </c>
      <c r="D17" s="27" t="s">
        <v>110</v>
      </c>
      <c r="E17" s="26" t="s">
        <v>88</v>
      </c>
      <c r="F17" s="26" t="s">
        <v>129</v>
      </c>
    </row>
    <row r="18" customFormat="false" ht="30" hidden="false" customHeight="true" outlineLevel="0" collapsed="false">
      <c r="A18" s="26" t="s">
        <v>130</v>
      </c>
      <c r="B18" s="26" t="s">
        <v>131</v>
      </c>
      <c r="C18" s="27" t="n">
        <v>2015</v>
      </c>
      <c r="D18" s="27" t="s">
        <v>110</v>
      </c>
      <c r="E18" s="26" t="s">
        <v>88</v>
      </c>
      <c r="F18" s="26" t="s">
        <v>132</v>
      </c>
    </row>
    <row r="19" customFormat="false" ht="30" hidden="false" customHeight="true" outlineLevel="0" collapsed="false">
      <c r="A19" s="26" t="s">
        <v>133</v>
      </c>
      <c r="B19" s="26" t="s">
        <v>134</v>
      </c>
      <c r="C19" s="27" t="n">
        <v>1862</v>
      </c>
      <c r="D19" s="27" t="s">
        <v>135</v>
      </c>
      <c r="E19" s="26" t="s">
        <v>88</v>
      </c>
      <c r="F19" s="26" t="s">
        <v>136</v>
      </c>
    </row>
    <row r="20" customFormat="false" ht="30" hidden="false" customHeight="true" outlineLevel="0" collapsed="false">
      <c r="A20" s="26" t="s">
        <v>137</v>
      </c>
      <c r="B20" s="26" t="s">
        <v>138</v>
      </c>
      <c r="C20" s="27" t="n">
        <v>1939</v>
      </c>
      <c r="D20" s="27" t="s">
        <v>135</v>
      </c>
      <c r="E20" s="26" t="s">
        <v>99</v>
      </c>
      <c r="F20" s="26" t="s">
        <v>139</v>
      </c>
    </row>
    <row r="21" customFormat="false" ht="30" hidden="false" customHeight="true" outlineLevel="0" collapsed="false">
      <c r="A21" s="26" t="s">
        <v>140</v>
      </c>
      <c r="B21" s="26" t="s">
        <v>141</v>
      </c>
      <c r="C21" s="27" t="n">
        <v>1989</v>
      </c>
      <c r="D21" s="27" t="s">
        <v>135</v>
      </c>
      <c r="E21" s="26" t="s">
        <v>88</v>
      </c>
      <c r="F21" s="26" t="s">
        <v>142</v>
      </c>
    </row>
    <row r="22" customFormat="false" ht="30" hidden="false" customHeight="true" outlineLevel="0" collapsed="false">
      <c r="A22" s="26" t="s">
        <v>143</v>
      </c>
      <c r="B22" s="26" t="s">
        <v>144</v>
      </c>
      <c r="C22" s="27" t="n">
        <v>1998</v>
      </c>
      <c r="D22" s="27" t="s">
        <v>135</v>
      </c>
      <c r="E22" s="26" t="s">
        <v>88</v>
      </c>
      <c r="F22" s="26" t="s">
        <v>145</v>
      </c>
    </row>
    <row r="23" customFormat="false" ht="30" hidden="false" customHeight="true" outlineLevel="0" collapsed="false">
      <c r="A23" s="26" t="s">
        <v>146</v>
      </c>
      <c r="B23" s="26" t="s">
        <v>147</v>
      </c>
      <c r="C23" s="27" t="n">
        <v>2002</v>
      </c>
      <c r="D23" s="27" t="s">
        <v>135</v>
      </c>
      <c r="E23" s="26" t="s">
        <v>99</v>
      </c>
      <c r="F23" s="26" t="s">
        <v>148</v>
      </c>
    </row>
    <row r="24" customFormat="false" ht="30" hidden="false" customHeight="true" outlineLevel="0" collapsed="false">
      <c r="A24" s="26" t="s">
        <v>149</v>
      </c>
      <c r="B24" s="26" t="s">
        <v>150</v>
      </c>
      <c r="C24" s="27" t="n">
        <v>2016</v>
      </c>
      <c r="D24" s="27" t="s">
        <v>135</v>
      </c>
      <c r="E24" s="26" t="s">
        <v>99</v>
      </c>
      <c r="F24" s="26" t="s">
        <v>151</v>
      </c>
    </row>
    <row r="25" customFormat="false" ht="30" hidden="false" customHeight="true" outlineLevel="0" collapsed="false">
      <c r="A25" s="26" t="s">
        <v>152</v>
      </c>
      <c r="B25" s="26" t="s">
        <v>153</v>
      </c>
      <c r="C25" s="27" t="n">
        <v>1927</v>
      </c>
      <c r="D25" s="27" t="s">
        <v>154</v>
      </c>
      <c r="E25" s="28" t="s">
        <v>155</v>
      </c>
      <c r="F25" s="26" t="s">
        <v>156</v>
      </c>
    </row>
    <row r="26" customFormat="false" ht="30" hidden="false" customHeight="true" outlineLevel="0" collapsed="false">
      <c r="A26" s="26" t="s">
        <v>152</v>
      </c>
      <c r="B26" s="26" t="s">
        <v>157</v>
      </c>
      <c r="C26" s="27" t="n">
        <v>1941</v>
      </c>
      <c r="D26" s="27" t="s">
        <v>154</v>
      </c>
      <c r="E26" s="28" t="s">
        <v>155</v>
      </c>
      <c r="F26" s="26" t="s">
        <v>158</v>
      </c>
    </row>
    <row r="27" customFormat="false" ht="30" hidden="false" customHeight="true" outlineLevel="0" collapsed="false">
      <c r="A27" s="26" t="s">
        <v>159</v>
      </c>
      <c r="B27" s="26" t="s">
        <v>160</v>
      </c>
      <c r="C27" s="27" t="n">
        <v>1970</v>
      </c>
      <c r="D27" s="27" t="s">
        <v>154</v>
      </c>
      <c r="E27" s="28" t="s">
        <v>155</v>
      </c>
      <c r="F27" s="26" t="s">
        <v>161</v>
      </c>
    </row>
    <row r="28" customFormat="false" ht="30" hidden="false" customHeight="true" outlineLevel="0" collapsed="false">
      <c r="A28" s="26" t="s">
        <v>162</v>
      </c>
      <c r="B28" s="26" t="s">
        <v>163</v>
      </c>
      <c r="C28" s="27" t="n">
        <v>1978</v>
      </c>
      <c r="D28" s="27" t="s">
        <v>154</v>
      </c>
      <c r="E28" s="28" t="s">
        <v>155</v>
      </c>
      <c r="F28" s="26" t="s">
        <v>164</v>
      </c>
    </row>
    <row r="29" customFormat="false" ht="30" hidden="false" customHeight="true" outlineLevel="0" collapsed="false">
      <c r="A29" s="26" t="s">
        <v>165</v>
      </c>
      <c r="B29" s="26" t="s">
        <v>166</v>
      </c>
      <c r="C29" s="27" t="n">
        <v>1998</v>
      </c>
      <c r="D29" s="27" t="s">
        <v>154</v>
      </c>
      <c r="E29" s="28" t="s">
        <v>155</v>
      </c>
      <c r="F29" s="26" t="s">
        <v>167</v>
      </c>
    </row>
    <row r="30" customFormat="false" ht="30" hidden="false" customHeight="true" outlineLevel="0" collapsed="false">
      <c r="A30" s="26" t="s">
        <v>168</v>
      </c>
      <c r="B30" s="26" t="s">
        <v>169</v>
      </c>
      <c r="C30" s="27" t="n">
        <v>2003</v>
      </c>
      <c r="D30" s="27" t="s">
        <v>154</v>
      </c>
      <c r="E30" s="28" t="s">
        <v>155</v>
      </c>
      <c r="F30" s="26" t="s">
        <v>170</v>
      </c>
    </row>
    <row r="31" customFormat="false" ht="30" hidden="false" customHeight="true" outlineLevel="0" collapsed="false">
      <c r="A31" s="26" t="s">
        <v>171</v>
      </c>
      <c r="B31" s="26" t="s">
        <v>172</v>
      </c>
      <c r="C31" s="27" t="n">
        <v>2011</v>
      </c>
      <c r="D31" s="27" t="s">
        <v>154</v>
      </c>
      <c r="E31" s="28" t="s">
        <v>155</v>
      </c>
      <c r="F31" s="26" t="s">
        <v>173</v>
      </c>
    </row>
    <row r="32" customFormat="false" ht="30" hidden="false" customHeight="true" outlineLevel="0" collapsed="false">
      <c r="A32" s="26" t="s">
        <v>174</v>
      </c>
      <c r="B32" s="26" t="s">
        <v>175</v>
      </c>
      <c r="C32" s="27" t="n">
        <v>2011</v>
      </c>
      <c r="D32" s="27" t="s">
        <v>154</v>
      </c>
      <c r="E32" s="28" t="s">
        <v>155</v>
      </c>
      <c r="F32" s="26" t="s">
        <v>176</v>
      </c>
    </row>
    <row r="33" customFormat="false" ht="30" hidden="false" customHeight="true" outlineLevel="0" collapsed="false">
      <c r="A33" s="26" t="s">
        <v>177</v>
      </c>
      <c r="B33" s="26" t="s">
        <v>178</v>
      </c>
      <c r="C33" s="27" t="n">
        <v>1987</v>
      </c>
      <c r="D33" s="27" t="s">
        <v>179</v>
      </c>
      <c r="E33" s="26" t="s">
        <v>99</v>
      </c>
      <c r="F33" s="26" t="s">
        <v>180</v>
      </c>
    </row>
    <row r="34" customFormat="false" ht="30" hidden="false" customHeight="true" outlineLevel="0" collapsed="false">
      <c r="A34" s="26" t="s">
        <v>181</v>
      </c>
      <c r="B34" s="26" t="s">
        <v>182</v>
      </c>
      <c r="C34" s="27" t="n">
        <v>1988</v>
      </c>
      <c r="D34" s="27" t="s">
        <v>179</v>
      </c>
      <c r="E34" s="26" t="s">
        <v>99</v>
      </c>
      <c r="F34" s="26" t="s">
        <v>183</v>
      </c>
    </row>
    <row r="35" customFormat="false" ht="30" hidden="false" customHeight="true" outlineLevel="0" collapsed="false">
      <c r="A35" s="26" t="s">
        <v>184</v>
      </c>
      <c r="B35" s="26" t="s">
        <v>185</v>
      </c>
      <c r="C35" s="27" t="n">
        <v>2021</v>
      </c>
      <c r="D35" s="27" t="s">
        <v>179</v>
      </c>
      <c r="E35" s="28" t="s">
        <v>186</v>
      </c>
      <c r="F35" s="26" t="s">
        <v>187</v>
      </c>
    </row>
    <row r="36" customFormat="false" ht="30" hidden="false" customHeight="true" outlineLevel="0" collapsed="false">
      <c r="A36" s="26" t="s">
        <v>188</v>
      </c>
      <c r="B36" s="26" t="s">
        <v>189</v>
      </c>
      <c r="C36" s="27" t="n">
        <v>2023</v>
      </c>
      <c r="D36" s="27" t="s">
        <v>179</v>
      </c>
      <c r="E36" s="28" t="s">
        <v>186</v>
      </c>
      <c r="F36" s="26" t="s">
        <v>190</v>
      </c>
    </row>
    <row r="38" customFormat="false" ht="15" hidden="false" customHeight="true" outlineLevel="0" collapsed="false">
      <c r="A38" s="29" t="s">
        <v>191</v>
      </c>
      <c r="B38" s="29"/>
      <c r="C38" s="29"/>
      <c r="D38" s="29"/>
      <c r="E38" s="29"/>
      <c r="F38" s="29"/>
    </row>
  </sheetData>
  <mergeCells count="3">
    <mergeCell ref="A1:F1"/>
    <mergeCell ref="A2:F2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3"/>
  </cols>
  <sheetData>
    <row r="1" customFormat="false" ht="27.75" hidden="false" customHeight="true" outlineLevel="0" collapsed="false">
      <c r="A1" s="1" t="s">
        <v>192</v>
      </c>
      <c r="B1" s="1"/>
      <c r="C1" s="1"/>
      <c r="D1" s="1"/>
      <c r="E1" s="1"/>
    </row>
    <row r="2" customFormat="false" ht="18" hidden="false" customHeight="true" outlineLevel="0" collapsed="false">
      <c r="A2" s="2" t="s">
        <v>193</v>
      </c>
      <c r="B2" s="2"/>
      <c r="C2" s="2"/>
      <c r="D2" s="2"/>
      <c r="E2" s="2"/>
    </row>
    <row r="4" customFormat="false" ht="19.5" hidden="false" customHeight="true" outlineLevel="0" collapsed="false">
      <c r="B4" s="30" t="s">
        <v>194</v>
      </c>
      <c r="C4" s="30"/>
      <c r="D4" s="30"/>
    </row>
    <row r="5" customFormat="false" ht="15" hidden="false" customHeight="false" outlineLevel="0" collapsed="false">
      <c r="B5" s="31" t="s">
        <v>195</v>
      </c>
      <c r="C5" s="32" t="n">
        <v>20</v>
      </c>
      <c r="D5" s="33" t="s">
        <v>196</v>
      </c>
    </row>
    <row r="6" customFormat="false" ht="15" hidden="false" customHeight="false" outlineLevel="0" collapsed="false">
      <c r="B6" s="31" t="s">
        <v>197</v>
      </c>
      <c r="C6" s="32" t="n">
        <v>50</v>
      </c>
      <c r="D6" s="33" t="s">
        <v>198</v>
      </c>
    </row>
    <row r="7" customFormat="false" ht="15" hidden="false" customHeight="false" outlineLevel="0" collapsed="false">
      <c r="B7" s="31" t="s">
        <v>199</v>
      </c>
      <c r="C7" s="32" t="n">
        <v>100</v>
      </c>
      <c r="D7" s="33"/>
    </row>
    <row r="8" customFormat="false" ht="15" hidden="false" customHeight="false" outlineLevel="0" collapsed="false">
      <c r="B8" s="31" t="s">
        <v>200</v>
      </c>
      <c r="C8" s="32" t="n">
        <v>200</v>
      </c>
      <c r="D8" s="33" t="s">
        <v>201</v>
      </c>
    </row>
    <row r="9" customFormat="false" ht="15" hidden="false" customHeight="false" outlineLevel="0" collapsed="false">
      <c r="B9" s="31" t="s">
        <v>202</v>
      </c>
      <c r="C9" s="32" t="n">
        <v>14</v>
      </c>
      <c r="D9" s="33" t="s">
        <v>203</v>
      </c>
    </row>
    <row r="10" customFormat="false" ht="15" hidden="false" customHeight="false" outlineLevel="0" collapsed="false">
      <c r="B10" s="31" t="s">
        <v>204</v>
      </c>
      <c r="C10" s="34" t="n">
        <v>2</v>
      </c>
      <c r="D10" s="33" t="s">
        <v>205</v>
      </c>
    </row>
    <row r="12" customFormat="false" ht="19.5" hidden="false" customHeight="true" outlineLevel="0" collapsed="false">
      <c r="B12" s="30" t="s">
        <v>206</v>
      </c>
      <c r="C12" s="30"/>
      <c r="D12" s="30"/>
    </row>
    <row r="13" customFormat="false" ht="15" hidden="false" customHeight="false" outlineLevel="0" collapsed="false">
      <c r="B13" s="31" t="s">
        <v>207</v>
      </c>
      <c r="C13" s="35" t="n">
        <v>0.35</v>
      </c>
      <c r="D13" s="33"/>
    </row>
    <row r="14" customFormat="false" ht="15" hidden="false" customHeight="false" outlineLevel="0" collapsed="false">
      <c r="B14" s="31" t="s">
        <v>208</v>
      </c>
      <c r="C14" s="35" t="n">
        <v>0.3</v>
      </c>
      <c r="D14" s="33"/>
    </row>
    <row r="15" customFormat="false" ht="15" hidden="false" customHeight="false" outlineLevel="0" collapsed="false">
      <c r="B15" s="31" t="s">
        <v>209</v>
      </c>
      <c r="C15" s="35" t="n">
        <v>0.15</v>
      </c>
      <c r="D15" s="33"/>
    </row>
    <row r="16" customFormat="false" ht="15" hidden="false" customHeight="false" outlineLevel="0" collapsed="false">
      <c r="B16" s="31" t="s">
        <v>210</v>
      </c>
      <c r="C16" s="35" t="n">
        <v>0.1</v>
      </c>
      <c r="D16" s="33"/>
    </row>
    <row r="17" customFormat="false" ht="15" hidden="false" customHeight="false" outlineLevel="0" collapsed="false">
      <c r="B17" s="31" t="s">
        <v>211</v>
      </c>
      <c r="C17" s="35" t="n">
        <v>0.1</v>
      </c>
      <c r="D17" s="33"/>
    </row>
    <row r="18" customFormat="false" ht="15" hidden="false" customHeight="false" outlineLevel="0" collapsed="false">
      <c r="B18" s="31" t="s">
        <v>212</v>
      </c>
      <c r="C18" s="35" t="n">
        <v>0</v>
      </c>
      <c r="D18" s="33" t="s">
        <v>213</v>
      </c>
    </row>
    <row r="19" customFormat="false" ht="15" hidden="false" customHeight="false" outlineLevel="0" collapsed="false">
      <c r="B19" s="31" t="s">
        <v>214</v>
      </c>
      <c r="C19" s="36" t="n">
        <f aca="false">SUM(C13:C18)</f>
        <v>1</v>
      </c>
      <c r="D19" s="37" t="str">
        <f aca="false">IF(ROUND(C19,6)=1,"✔ وزن‌ها معتبر است","✘ خطا: جمع وزن‌ها باید ۱۰۰٪ باشد")</f>
        <v>✔ وزن‌ها معتبر است</v>
      </c>
    </row>
    <row r="21" customFormat="false" ht="19.5" hidden="false" customHeight="true" outlineLevel="0" collapsed="false">
      <c r="B21" s="30" t="s">
        <v>215</v>
      </c>
      <c r="C21" s="30"/>
      <c r="D21" s="30"/>
    </row>
    <row r="22" customFormat="false" ht="15" hidden="false" customHeight="false" outlineLevel="0" collapsed="false">
      <c r="B22" s="31" t="s">
        <v>216</v>
      </c>
      <c r="C22" s="32" t="n">
        <v>20</v>
      </c>
      <c r="D22" s="33" t="s">
        <v>217</v>
      </c>
    </row>
    <row r="23" customFormat="false" ht="15" hidden="false" customHeight="false" outlineLevel="0" collapsed="false">
      <c r="B23" s="31" t="s">
        <v>218</v>
      </c>
      <c r="C23" s="32" t="n">
        <v>40</v>
      </c>
      <c r="D23" s="33"/>
    </row>
    <row r="24" customFormat="false" ht="15" hidden="false" customHeight="false" outlineLevel="0" collapsed="false">
      <c r="B24" s="31" t="s">
        <v>219</v>
      </c>
      <c r="C24" s="32" t="n">
        <v>80</v>
      </c>
      <c r="D24" s="33"/>
    </row>
    <row r="25" customFormat="false" ht="15" hidden="false" customHeight="false" outlineLevel="0" collapsed="false">
      <c r="B25" s="31" t="s">
        <v>220</v>
      </c>
      <c r="C25" s="32" t="n">
        <v>160</v>
      </c>
      <c r="D25" s="33"/>
    </row>
    <row r="26" customFormat="false" ht="15" hidden="false" customHeight="false" outlineLevel="0" collapsed="false">
      <c r="B26" s="31" t="s">
        <v>221</v>
      </c>
      <c r="C26" s="32" t="n">
        <v>3</v>
      </c>
      <c r="D26" s="33" t="s">
        <v>222</v>
      </c>
    </row>
    <row r="28" customFormat="false" ht="19.5" hidden="false" customHeight="true" outlineLevel="0" collapsed="false">
      <c r="B28" s="30" t="s">
        <v>223</v>
      </c>
      <c r="C28" s="30"/>
      <c r="D28" s="30"/>
    </row>
    <row r="29" customFormat="false" ht="15" hidden="false" customHeight="false" outlineLevel="0" collapsed="false">
      <c r="B29" s="31" t="s">
        <v>224</v>
      </c>
      <c r="C29" s="32" t="n">
        <v>20</v>
      </c>
      <c r="D29" s="33" t="s">
        <v>225</v>
      </c>
    </row>
    <row r="30" customFormat="false" ht="15" hidden="false" customHeight="false" outlineLevel="0" collapsed="false">
      <c r="B30" s="31" t="s">
        <v>226</v>
      </c>
      <c r="C30" s="32" t="n">
        <v>60</v>
      </c>
      <c r="D30" s="33" t="s">
        <v>227</v>
      </c>
    </row>
    <row r="31" customFormat="false" ht="15" hidden="false" customHeight="false" outlineLevel="0" collapsed="false">
      <c r="B31" s="31" t="s">
        <v>228</v>
      </c>
      <c r="C31" s="35" t="n">
        <v>0.07</v>
      </c>
      <c r="D31" s="33" t="s">
        <v>229</v>
      </c>
    </row>
    <row r="32" customFormat="false" ht="15" hidden="false" customHeight="false" outlineLevel="0" collapsed="false">
      <c r="B32" s="31" t="s">
        <v>230</v>
      </c>
      <c r="C32" s="32" t="n">
        <v>50</v>
      </c>
      <c r="D32" s="33" t="s">
        <v>231</v>
      </c>
    </row>
    <row r="34" customFormat="false" ht="15" hidden="false" customHeight="true" outlineLevel="0" collapsed="false">
      <c r="B34" s="29" t="s">
        <v>232</v>
      </c>
      <c r="C34" s="29"/>
      <c r="D34" s="29"/>
    </row>
  </sheetData>
  <mergeCells count="3">
    <mergeCell ref="A1:E1"/>
    <mergeCell ref="A2:E2"/>
    <mergeCell ref="B34:D34"/>
  </mergeCells>
  <conditionalFormatting sqref="D19">
    <cfRule type="expression" priority="2" aboveAverage="0" equalAverage="0" bottom="0" percent="0" rank="0" text="" dxfId="0">
      <formula>ISNUMBER(SEARCH("خطا",D19))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8"/>
    <col collapsed="false" customWidth="true" hidden="false" outlineLevel="0" max="8" min="3" style="0" width="3"/>
  </cols>
  <sheetData>
    <row r="1" customFormat="false" ht="30" hidden="false" customHeight="true" outlineLevel="0" collapsed="false">
      <c r="A1" s="1" t="s">
        <v>233</v>
      </c>
      <c r="B1" s="1"/>
    </row>
    <row r="2" customFormat="false" ht="30" hidden="false" customHeight="true" outlineLevel="0" collapsed="false">
      <c r="A2" s="38" t="s">
        <v>234</v>
      </c>
      <c r="B2" s="38"/>
    </row>
    <row r="3" customFormat="false" ht="33.75" hidden="false" customHeight="true" outlineLevel="0" collapsed="false">
      <c r="A3" s="39" t="s">
        <v>235</v>
      </c>
      <c r="B3" s="39"/>
    </row>
    <row r="4" customFormat="false" ht="24" hidden="false" customHeight="true" outlineLevel="0" collapsed="false">
      <c r="A4" s="40" t="s">
        <v>236</v>
      </c>
      <c r="B4" s="40"/>
    </row>
    <row r="5" customFormat="false" ht="30" hidden="false" customHeight="true" outlineLevel="0" collapsed="false">
      <c r="A5" s="38" t="s">
        <v>237</v>
      </c>
      <c r="B5" s="38"/>
    </row>
    <row r="6" customFormat="false" ht="18" hidden="false" customHeight="true" outlineLevel="0" collapsed="false">
      <c r="A6" s="41" t="s">
        <v>238</v>
      </c>
      <c r="B6" s="41"/>
    </row>
    <row r="7" customFormat="false" ht="18" hidden="false" customHeight="true" outlineLevel="0" collapsed="false">
      <c r="A7" s="41" t="s">
        <v>239</v>
      </c>
      <c r="B7" s="41"/>
    </row>
    <row r="8" customFormat="false" ht="18" hidden="false" customHeight="true" outlineLevel="0" collapsed="false">
      <c r="A8" s="41" t="s">
        <v>240</v>
      </c>
      <c r="B8" s="41"/>
    </row>
    <row r="9" customFormat="false" ht="30" hidden="false" customHeight="true" outlineLevel="0" collapsed="false">
      <c r="A9" s="38" t="s">
        <v>241</v>
      </c>
      <c r="B9" s="38"/>
    </row>
    <row r="10" customFormat="false" ht="24" hidden="false" customHeight="true" outlineLevel="0" collapsed="false">
      <c r="A10" s="40" t="s">
        <v>242</v>
      </c>
      <c r="B10" s="40"/>
    </row>
    <row r="11" customFormat="false" ht="30" hidden="false" customHeight="true" outlineLevel="0" collapsed="false">
      <c r="A11" s="38" t="s">
        <v>243</v>
      </c>
      <c r="B11" s="38"/>
    </row>
    <row r="12" customFormat="false" ht="30" hidden="false" customHeight="true" outlineLevel="0" collapsed="false">
      <c r="A12" s="38" t="s">
        <v>244</v>
      </c>
      <c r="B12" s="38"/>
    </row>
    <row r="13" customFormat="false" ht="18" hidden="false" customHeight="true" outlineLevel="0" collapsed="false">
      <c r="A13" s="41" t="s">
        <v>245</v>
      </c>
      <c r="B13" s="41"/>
    </row>
    <row r="14" customFormat="false" ht="18" hidden="false" customHeight="true" outlineLevel="0" collapsed="false">
      <c r="A14" s="41" t="s">
        <v>246</v>
      </c>
      <c r="B14" s="41"/>
    </row>
    <row r="15" customFormat="false" ht="18" hidden="false" customHeight="true" outlineLevel="0" collapsed="false">
      <c r="A15" s="41" t="s">
        <v>247</v>
      </c>
      <c r="B15" s="41"/>
    </row>
    <row r="16" customFormat="false" ht="24" hidden="false" customHeight="true" outlineLevel="0" collapsed="false">
      <c r="A16" s="40" t="s">
        <v>248</v>
      </c>
      <c r="B16" s="40"/>
    </row>
    <row r="17" customFormat="false" ht="18" hidden="false" customHeight="true" outlineLevel="0" collapsed="false">
      <c r="A17" s="41" t="s">
        <v>249</v>
      </c>
      <c r="B17" s="41"/>
    </row>
    <row r="18" customFormat="false" ht="18" hidden="false" customHeight="true" outlineLevel="0" collapsed="false">
      <c r="A18" s="41" t="s">
        <v>250</v>
      </c>
      <c r="B18" s="41"/>
    </row>
    <row r="19" customFormat="false" ht="18" hidden="false" customHeight="true" outlineLevel="0" collapsed="false">
      <c r="A19" s="41" t="s">
        <v>251</v>
      </c>
      <c r="B19" s="41"/>
    </row>
    <row r="20" customFormat="false" ht="18" hidden="false" customHeight="true" outlineLevel="0" collapsed="false">
      <c r="A20" s="41" t="s">
        <v>252</v>
      </c>
      <c r="B20" s="41"/>
    </row>
    <row r="21" customFormat="false" ht="18" hidden="false" customHeight="true" outlineLevel="0" collapsed="false">
      <c r="A21" s="41" t="s">
        <v>253</v>
      </c>
      <c r="B21" s="41"/>
    </row>
    <row r="22" customFormat="false" ht="18" hidden="false" customHeight="true" outlineLevel="0" collapsed="false">
      <c r="A22" s="41" t="s">
        <v>254</v>
      </c>
      <c r="B22" s="41"/>
    </row>
    <row r="23" customFormat="false" ht="24" hidden="false" customHeight="true" outlineLevel="0" collapsed="false">
      <c r="A23" s="40" t="s">
        <v>255</v>
      </c>
      <c r="B23" s="40"/>
    </row>
    <row r="24" customFormat="false" ht="18" hidden="false" customHeight="true" outlineLevel="0" collapsed="false">
      <c r="A24" s="41" t="s">
        <v>256</v>
      </c>
      <c r="B24" s="41"/>
    </row>
    <row r="25" customFormat="false" ht="18" hidden="false" customHeight="true" outlineLevel="0" collapsed="false">
      <c r="A25" s="41" t="s">
        <v>257</v>
      </c>
      <c r="B25" s="41"/>
    </row>
    <row r="26" customFormat="false" ht="18" hidden="false" customHeight="true" outlineLevel="0" collapsed="false">
      <c r="A26" s="41" t="s">
        <v>258</v>
      </c>
      <c r="B26" s="41"/>
    </row>
    <row r="27" customFormat="false" ht="18" hidden="false" customHeight="true" outlineLevel="0" collapsed="false">
      <c r="A27" s="41" t="s">
        <v>259</v>
      </c>
      <c r="B27" s="41"/>
    </row>
    <row r="28" customFormat="false" ht="24" hidden="false" customHeight="true" outlineLevel="0" collapsed="false">
      <c r="A28" s="40" t="s">
        <v>260</v>
      </c>
      <c r="B28" s="40"/>
    </row>
    <row r="29" customFormat="false" ht="30" hidden="false" customHeight="true" outlineLevel="0" collapsed="false">
      <c r="A29" s="38" t="s">
        <v>261</v>
      </c>
      <c r="B29" s="38"/>
    </row>
    <row r="30" customFormat="false" ht="15" hidden="false" customHeight="false" outlineLevel="0" collapsed="false">
      <c r="A30" s="42" t="s">
        <v>72</v>
      </c>
      <c r="B30" s="42"/>
    </row>
    <row r="31" customFormat="false" ht="30" hidden="false" customHeight="true" outlineLevel="0" collapsed="false">
      <c r="A31" s="38" t="s">
        <v>262</v>
      </c>
      <c r="B31" s="38"/>
    </row>
    <row r="32" customFormat="false" ht="30" hidden="false" customHeight="true" outlineLevel="0" collapsed="false">
      <c r="A32" s="38" t="s">
        <v>263</v>
      </c>
      <c r="B32" s="38"/>
    </row>
  </sheetData>
  <mergeCells count="3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2026-09-06T16:00:58Z</dcterms:created>
  <dc:creator>openpyxl</dc:creator>
  <dc:description/>
  <dc:language>en-US</dc:language>
  <cp:lastModifiedBy/>
  <dcterms:modified xsi:type="dcterms:W3CDTF">2026-09-06T16:00:58Z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