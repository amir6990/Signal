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Options" sheetId="1" state="visible" r:id="rId3"/>
    <sheet name="Underlying" sheetId="2" state="visible" r:id="rId4"/>
    <sheet name="Settings" sheetId="3" state="visible" r:id="rId5"/>
    <sheet name="API_Map" sheetId="4" state="visible" r:id="rId6"/>
    <sheet name="Documentation" sheetId="5" state="visible" r:id="rId7"/>
  </sheets>
  <definedNames>
    <definedName function="false" hidden="true" localSheetId="0" name="_xlnm._FilterDatabase" vbProcedure="false">Options!$A$4:$AF$124</definedName>
    <definedName function="false" hidden="false" name="MIN_LIQ_B" vbProcedure="false">Settings!$C$22</definedName>
    <definedName function="false" hidden="false" name="OPT_ATM_BAND" vbProcedure="false">Settings!$C$15</definedName>
    <definedName function="false" hidden="false" name="OPT_MIN_DTE" vbProcedure="false">Settings!$C$13</definedName>
    <definedName function="false" hidden="false" name="OPT_MIN_VOL" vbProcedure="false">Settings!$C$14</definedName>
    <definedName function="false" hidden="false" name="OPT_RF" vbProcedure="false">Settings!$C$11</definedName>
    <definedName function="false" hidden="false" name="OPT_VOL" vbProcedure="false">Settings!$C$12</definedName>
    <definedName function="false" hidden="false" name="PRICE_BAND" vbProcedure="false">Settings!$C$21</definedName>
    <definedName function="false" hidden="false" name="STRUCT_L" vbProcedure="false">Settings!$C$20</definedName>
    <definedName function="false" hidden="false" name="STRUCT_S" vbProcedure="false">Settings!$C$19</definedName>
    <definedName function="false" hidden="false" name="TH_BUY" vbProcedure="false">Settings!$C$6</definedName>
    <definedName function="false" hidden="false" name="TH_SBUY" vbProcedure="false">Settings!$C$5</definedName>
    <definedName function="false" hidden="false" name="TH_SELL" vbProcedure="false">Settings!$C$7</definedName>
    <definedName function="false" hidden="false" name="TH_SSELL" vbProcedure="false">Settings!$C$8</definedName>
    <definedName function="false" hidden="false" name="TRADING_DAYS_Y" vbProcedure="false">Settings!$C$16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<sst xmlns="http://schemas.openxmlformats.org/spreadsheetml/2006/main" count="403" uniqueCount="248">
  <si>
    <t xml:space="preserve">بخش اختیار معامله (Options)</t>
  </si>
  <si>
    <t xml:space="preserve">سیگنال آپشن = وضعیت سهم پایه + گران/ارزان بودن قرارداد + مانی‌نس + نقدشوندگی. نوسان ضمنی با تقریب Brenner–Subrahmanyam محاسبه می‌شود و فقط نزدیک ATM معتبر است.</t>
  </si>
  <si>
    <t xml:space="preserve">نماد قرارداد</t>
  </si>
  <si>
    <t xml:space="preserve">ISIN</t>
  </si>
  <si>
    <t xml:space="preserve">نوع</t>
  </si>
  <si>
    <t xml:space="preserve">نماد پایه</t>
  </si>
  <si>
    <t xml:space="preserve">قیمت اعمال</t>
  </si>
  <si>
    <t xml:space="preserve">تاریخ سررسید</t>
  </si>
  <si>
    <t xml:space="preserve">روز تا سررسید</t>
  </si>
  <si>
    <t xml:space="preserve">آخرین قیمت</t>
  </si>
  <si>
    <t xml:space="preserve">قیمت پایانی</t>
  </si>
  <si>
    <t xml:space="preserve">حجم معاملات</t>
  </si>
  <si>
    <t xml:space="preserve">ارزش معاملات</t>
  </si>
  <si>
    <t xml:space="preserve">تعداد معاملات</t>
  </si>
  <si>
    <t xml:space="preserve">موقعیت‌های باز ⚠️</t>
  </si>
  <si>
    <t xml:space="preserve">اندازه قرارداد</t>
  </si>
  <si>
    <t xml:space="preserve">قیمت دارایی پایه</t>
  </si>
  <si>
    <t xml:space="preserve">مانی‌نس (S÷K)</t>
  </si>
  <si>
    <t xml:space="preserve">وضعیت</t>
  </si>
  <si>
    <t xml:space="preserve">ارزش ذاتی</t>
  </si>
  <si>
    <t xml:space="preserve">ارزش زمانی</t>
  </si>
  <si>
    <t xml:space="preserve">زمان تا سررسید (سال)</t>
  </si>
  <si>
    <t xml:space="preserve">نوسان ضمنی تقریبی</t>
  </si>
  <si>
    <t xml:space="preserve">d1</t>
  </si>
  <si>
    <t xml:space="preserve">d2</t>
  </si>
  <si>
    <t xml:space="preserve">دلتا</t>
  </si>
  <si>
    <t xml:space="preserve">قیمت نظری</t>
  </si>
  <si>
    <t xml:space="preserve">بازار ÷ نظری</t>
  </si>
  <si>
    <t xml:space="preserve">اهرم مؤثر</t>
  </si>
  <si>
    <t xml:space="preserve">امتیاز سهم پایه</t>
  </si>
  <si>
    <t xml:space="preserve">نقدشوندگی معتبر؟</t>
  </si>
  <si>
    <t xml:space="preserve">امتیاز آپشن</t>
  </si>
  <si>
    <t xml:space="preserve">سیگنال آپشن</t>
  </si>
  <si>
    <t xml:space="preserve">دلیل</t>
  </si>
  <si>
    <t xml:space="preserve">instrumentName</t>
  </si>
  <si>
    <t xml:space="preserve">instrumentId</t>
  </si>
  <si>
    <t xml:space="preserve">-</t>
  </si>
  <si>
    <t xml:space="preserve">qeymateEmal</t>
  </si>
  <si>
    <t xml:space="preserve">tarixSarresid</t>
  </si>
  <si>
    <t xml:space="preserve">baghimandetasarresid</t>
  </si>
  <si>
    <t xml:space="preserve">lastPrice</t>
  </si>
  <si>
    <t xml:space="preserve">closingPrice</t>
  </si>
  <si>
    <t xml:space="preserve">tradeVolume</t>
  </si>
  <si>
    <t xml:space="preserve">tradeValue</t>
  </si>
  <si>
    <t xml:space="preserve">tradeCount</t>
  </si>
  <si>
    <t xml:space="preserve">openInterest</t>
  </si>
  <si>
    <t xml:space="preserve">andazeyeQarardad</t>
  </si>
  <si>
    <t xml:space="preserve">Underlying</t>
  </si>
  <si>
    <t xml:space="preserve">ITM/ATM/OTM</t>
  </si>
  <si>
    <t xml:space="preserve">Brenner-Subrahmanyam</t>
  </si>
  <si>
    <t xml:space="preserve">Black-Scholes</t>
  </si>
  <si>
    <t xml:space="preserve">N(d1)</t>
  </si>
  <si>
    <t xml:space="preserve">گران/ارزان</t>
  </si>
  <si>
    <t xml:space="preserve">S×|Δ|÷P</t>
  </si>
  <si>
    <t xml:space="preserve">OPT_MIN_*</t>
  </si>
  <si>
    <t xml:space="preserve">−۱۰ تا +۱۰</t>
  </si>
  <si>
    <t xml:space="preserve">ضفلا8001</t>
  </si>
  <si>
    <t xml:space="preserve">IRO9FOLD2261</t>
  </si>
  <si>
    <t xml:space="preserve">Call</t>
  </si>
  <si>
    <t xml:space="preserve">فولاد</t>
  </si>
  <si>
    <t xml:space="preserve">ضفلا9001</t>
  </si>
  <si>
    <t xml:space="preserve">IRO9FOLD2271</t>
  </si>
  <si>
    <t xml:space="preserve">طفلا8001</t>
  </si>
  <si>
    <t xml:space="preserve">IRO9FOLD2281</t>
  </si>
  <si>
    <t xml:space="preserve">Put</t>
  </si>
  <si>
    <t xml:space="preserve">ضگل11001</t>
  </si>
  <si>
    <t xml:space="preserve">IRO9GOLG3011</t>
  </si>
  <si>
    <t xml:space="preserve">كگل</t>
  </si>
  <si>
    <t xml:space="preserve">ضگل12001</t>
  </si>
  <si>
    <t xml:space="preserve">IRO9GOLG3021</t>
  </si>
  <si>
    <t xml:space="preserve">طگل11001</t>
  </si>
  <si>
    <t xml:space="preserve">IRO9GOLG3031</t>
  </si>
  <si>
    <t xml:space="preserve">ضخود2501</t>
  </si>
  <si>
    <t xml:space="preserve">IRO9IKCO4011</t>
  </si>
  <si>
    <t xml:space="preserve">خودرو</t>
  </si>
  <si>
    <t xml:space="preserve">طخود4001</t>
  </si>
  <si>
    <t xml:space="preserve">IRO9IKCO4021</t>
  </si>
  <si>
    <t xml:space="preserve">⚠️ نکات صحت داده در این شیت:</t>
  </si>
  <si>
    <t xml:space="preserve">• فیلد openInterest (موقعیت‌های باز) در مستندات ریپو ثبت نشده است؛ نام دقیق آن باید با یک پاسخ واقعی MarketWatchOption تأیید شود.</t>
  </si>
  <si>
    <t xml:space="preserve">• نوسان ضمنی با تقریب Brenner–Subrahmanyam محاسبه شده: IV ≈ (C/S)×√(2π/T). این تقریب فقط نزدیک ATM دقت قابل قبول دارد؛ برای OTM عمیق خطا زیاد است.</t>
  </si>
  <si>
    <t xml:space="preserve">• قیمت نظری بلک-شولز با نوسان فرضی OPT_VOL از شیت Settings محاسبه می‌شود، نه با نوسان ضمنی بازار — یعنی «گران/ارزان» نسبت به فرض شماست، نه حقیقت مطلق.</t>
  </si>
  <si>
    <t xml:space="preserve">• بلک-شولز برای اختیار اروپایی است. اگر قرارداد آمریکایی باشد، قیمت نظری اختیار فروش کم‌برآورد می‌شود.</t>
  </si>
  <si>
    <t xml:space="preserve">دارایی پایه (Underlying)</t>
  </si>
  <si>
    <t xml:space="preserve">این جدول را اسکریپت link_workbooks.py از فایل Stocks_Signals.xlsx پر می‌کند. تا وقتی خالی است، محاسبات آپشن مقدار نمی‌گیرند.</t>
  </si>
  <si>
    <t xml:space="preserve">امتیاز کل سهم</t>
  </si>
  <si>
    <t xml:space="preserve">سیگنال سهم</t>
  </si>
  <si>
    <t xml:space="preserve">قدرت سیگنال</t>
  </si>
  <si>
    <t xml:space="preserve">تاریخ به‌روزرسانی</t>
  </si>
  <si>
    <t xml:space="preserve">lVal18AFC</t>
  </si>
  <si>
    <t xml:space="preserve">pDrCotVal</t>
  </si>
  <si>
    <t xml:space="preserve">pClosing</t>
  </si>
  <si>
    <t xml:space="preserve">امتیاز کل</t>
  </si>
  <si>
    <t xml:space="preserve">برچسب</t>
  </si>
  <si>
    <t xml:space="preserve">۱ تا ۵</t>
  </si>
  <si>
    <t xml:space="preserve">برای پرکردن خودکار:  python scripts/link_workbooks.py --stocks Stocks_Signals.xlsx --options Options_Signals.xlsx</t>
  </si>
  <si>
    <t xml:space="preserve">تنظیمات و پارامترهای سیستم</t>
  </si>
  <si>
    <t xml:space="preserve">هر عدد آبی‌رنگ قابل تغییر است؛ همه فرمول‌های فایل از همین سلول‌ها می‌خوانند.</t>
  </si>
  <si>
    <t xml:space="preserve">۵) آستانه سیگنال (امتیاز کل از −۱۰ تا +۱۰)</t>
  </si>
  <si>
    <t xml:space="preserve">حد «خرید قوی» (≥)</t>
  </si>
  <si>
    <t xml:space="preserve">حد «خرید» (≥)</t>
  </si>
  <si>
    <t xml:space="preserve">حد «فروش» (≤)</t>
  </si>
  <si>
    <t xml:space="preserve">حد «فروش قوی» (≤)</t>
  </si>
  <si>
    <t xml:space="preserve">۶) پارامترهای بخش آپشن</t>
  </si>
  <si>
    <t xml:space="preserve">نرخ بدون ریسک سالانه</t>
  </si>
  <si>
    <t xml:space="preserve">برای قیمت‌گذاری بلک-شولز</t>
  </si>
  <si>
    <t xml:space="preserve">نوسان فرضی سالانه دارایی پایه</t>
  </si>
  <si>
    <t xml:space="preserve">مبنای مقایسه گران/ارزان بودن قرارداد</t>
  </si>
  <si>
    <t xml:space="preserve">حداقل روز تا سررسید</t>
  </si>
  <si>
    <t xml:space="preserve">کمتر از این، سیگنال معتبر نیست</t>
  </si>
  <si>
    <t xml:space="preserve">حداقل حجم معاملات روزانه قرارداد</t>
  </si>
  <si>
    <t xml:space="preserve">فیلتر نقدشوندگی</t>
  </si>
  <si>
    <t xml:space="preserve">بازه ATM (± نسبت به قیمت اعمال)</t>
  </si>
  <si>
    <t xml:space="preserve">تعداد روز معاملاتی در سال</t>
  </si>
  <si>
    <t xml:space="preserve">۸) سایر</t>
  </si>
  <si>
    <t xml:space="preserve">پنجره ساختار روند کوتاه (سقف/کف)</t>
  </si>
  <si>
    <t xml:space="preserve">برای تشخیص Higher High / Lower Low</t>
  </si>
  <si>
    <t xml:space="preserve">پنجره ساختار روند بلند (سقف/کف)</t>
  </si>
  <si>
    <t xml:space="preserve">روند میان‌مدت</t>
  </si>
  <si>
    <t xml:space="preserve">دامنه نوسان روزانه بازار</t>
  </si>
  <si>
    <t xml:space="preserve">⚠️ مقدار جاری را تأیید کنید</t>
  </si>
  <si>
    <t xml:space="preserve">حداقل ارزش معاملات روزانه معتبر (میلیارد ریال)</t>
  </si>
  <si>
    <t xml:space="preserve">زیر این حد، سیگنال «کم‌اعتبار» علامت می‌خورد</t>
  </si>
  <si>
    <t xml:space="preserve">راهنمای رنگ: سلول زرد با متن آبی = ورودی قابل تغییر شما · متن مشکی = فرمول · متن سبز = ارجاع به شیت دیگر.</t>
  </si>
  <si>
    <t xml:space="preserve">نگاشت ستون‌ها به APIهای بازار (API_Map)</t>
  </si>
  <si>
    <t xml:space="preserve">این شیت قرارداد رسمی بین فایل اکسل و اسکریپت پایتون است: اسکریپت ستون مقصد هر فیلد را از همین‌جا می‌خواند. منبع: ریپازیتوری BabakEslami/tse-market-data</t>
  </si>
  <si>
    <t xml:space="preserve">شیت</t>
  </si>
  <si>
    <t xml:space="preserve">ستون</t>
  </si>
  <si>
    <t xml:space="preserve">برچسب فارسی</t>
  </si>
  <si>
    <t xml:space="preserve">فیلد JSON</t>
  </si>
  <si>
    <t xml:space="preserve">Endpoint</t>
  </si>
  <si>
    <t xml:space="preserve">توضیح فیلد</t>
  </si>
  <si>
    <t xml:space="preserve">وضعیت تأیید</t>
  </si>
  <si>
    <t xml:space="preserve">Options</t>
  </si>
  <si>
    <t xml:space="preserve">A</t>
  </si>
  <si>
    <t xml:space="preserve">https://webgw.tse.ir/InstrumentProvider/api/v1/MarketWatch/MarketWatchOption/fa</t>
  </si>
  <si>
    <t xml:space="preserve">نماد قرارداد اختیار</t>
  </si>
  <si>
    <t xml:space="preserve">تست واقعی</t>
  </si>
  <si>
    <t xml:space="preserve">B</t>
  </si>
  <si>
    <t xml:space="preserve">ISIN قرارداد</t>
  </si>
  <si>
    <t xml:space="preserve">E</t>
  </si>
  <si>
    <t xml:space="preserve">F</t>
  </si>
  <si>
    <t xml:space="preserve">G</t>
  </si>
  <si>
    <t xml:space="preserve">روز مانده تا سررسید</t>
  </si>
  <si>
    <t xml:space="preserve">H</t>
  </si>
  <si>
    <t xml:space="preserve">آخرین قیمت قرارداد</t>
  </si>
  <si>
    <t xml:space="preserve">I</t>
  </si>
  <si>
    <t xml:space="preserve">قیمت پایانی قرارداد</t>
  </si>
  <si>
    <t xml:space="preserve">J</t>
  </si>
  <si>
    <t xml:space="preserve">حجم معاملات قرارداد</t>
  </si>
  <si>
    <t xml:space="preserve">K</t>
  </si>
  <si>
    <t xml:space="preserve">ارزش معاملات قرارداد</t>
  </si>
  <si>
    <t xml:space="preserve">L</t>
  </si>
  <si>
    <t xml:space="preserve">تعداد معاملات قرارداد</t>
  </si>
  <si>
    <t xml:space="preserve">M</t>
  </si>
  <si>
    <t xml:space="preserve">⚠️ موقعیت‌های باز — نام فیلد در مستند ریپو نیامده</t>
  </si>
  <si>
    <t xml:space="preserve">نیازمند تأیید</t>
  </si>
  <si>
    <t xml:space="preserve">N</t>
  </si>
  <si>
    <t xml:space="preserve">https://webgw.tse.ir/InstrumentProvider/api/v1/MarketWatch/MarketWatchTradeOption/fa</t>
  </si>
  <si>
    <t xml:space="preserve">اندازه قرارداد (buyAndazeyeQarardad)</t>
  </si>
  <si>
    <t xml:space="preserve">O</t>
  </si>
  <si>
    <t xml:space="preserve">—</t>
  </si>
  <si>
    <t xml:space="preserve">نامشخص</t>
  </si>
  <si>
    <t xml:space="preserve">Q</t>
  </si>
  <si>
    <t xml:space="preserve">U</t>
  </si>
  <si>
    <t xml:space="preserve">V</t>
  </si>
  <si>
    <t xml:space="preserve">W</t>
  </si>
  <si>
    <t xml:space="preserve">X</t>
  </si>
  <si>
    <t xml:space="preserve">Y</t>
  </si>
  <si>
    <t xml:space="preserve">Z</t>
  </si>
  <si>
    <t xml:space="preserve">AA</t>
  </si>
  <si>
    <t xml:space="preserve">AB</t>
  </si>
  <si>
    <t xml:space="preserve">AC</t>
  </si>
  <si>
    <t xml:space="preserve">AD</t>
  </si>
  <si>
    <t xml:space="preserve">دو الزام عملیاتی هنگام فراخوانی این APIها:</t>
  </si>
  <si>
    <t xml:space="preserve">۱) هدر User-Agent مرورگری الزامی است؛ بدون آن پاسخ‌ها بلوکه می‌شوند.</t>
  </si>
  <si>
    <t xml:space="preserve">۲) فراخوانی مستقیم از مرورگر به‌دلیل CORS/۴۰۳ کار نمی‌کند — باید از یک بک‌اند (همان اسکریپت پایتون) فراخوانی شود.</t>
  </si>
  <si>
    <t xml:space="preserve">۳) ردیف‌های زردرنگ «نیازمند تأیید»اند: نام فیلدشان از نمونه ساختاری یا استنباط آمده، نه از یک پاسخ واقعی API. قبل از اتکای عملیاتی، با یک درخواست واقعی تأیید کنید.</t>
  </si>
  <si>
    <t xml:space="preserve">راهنمای سیستم سیگنال‌دهی بازار سرمایه ایران</t>
  </si>
  <si>
    <t xml:space="preserve">نسخه ۱٫۰ · ساخته‌شده در ۱۴۰۵/۰۶/۱۴ · بدون VBA · همه محاسبات با فرمول اکسل</t>
  </si>
  <si>
    <t xml:space="preserve">⚠️ داده‌های داخل فایل نمونه (DEMO) و ساختگی‌اند. هیچ عددی در این فایل داده واقعی بازار نیست. InsCode و ISIN نمادها هم تأییدنشده‌اند. پیش از هر تصمیم معاملاتی، داده‌ها را با scripts/tse_updater.py جایگزین کنید.</t>
  </si>
  <si>
    <t xml:space="preserve">۱) فلسفه طراحی</t>
  </si>
  <si>
    <t xml:space="preserve">این فایل برای معامله‌گر میان‌مدت ساخته شده، نه روزانه. سه پرسش را پشت سر هم می‌پرسد:</t>
  </si>
  <si>
    <t xml:space="preserve">۱. بازار کجاست؟ (رژیم بازار از شاخص کل و هم‌وزن) — اگر بازار نزولی است، سیگنال خرید تک‌سهم کم‌ارزش‌تر است.</t>
  </si>
  <si>
    <t xml:space="preserve">۲. سهم در چه روندی است؟ (میانگین‌های متحرک + ساختار سقف/کف + شیب)</t>
  </si>
  <si>
    <t xml:space="preserve">۳. پول هوشمند چه می‌کند؟ (سرانه خرید و فروش حقیقی، خالص جریان نرمال‌شده)</t>
  </si>
  <si>
    <t xml:space="preserve">تحلیل بنیادی عمداً وارد نشده است. این یک انتخاب است، نه فراموشی.</t>
  </si>
  <si>
    <t xml:space="preserve">۲) یک هشدار روش‌شناختی که باید بخوانید</t>
  </si>
  <si>
    <t xml:space="preserve">«ورود پول حقیقی» به‌تنهایی سیگنال ضعیفی است. عدد خالص ریالی در نماد بزرگ همیشه بزرگ است بدون آنکه معنا داشته باشد. به همین دلیل این سیستم دو معیار نرمال‌شده را جایگزین کرده است:</t>
  </si>
  <si>
    <t xml:space="preserve">• سرانه خرید حقیقی ÷ سرانه فروش حقیقی — یعنی «هر خریدار حقیقی چقدر بزرگ‌تر از هر فروشنده حقیقی است».</t>
  </si>
  <si>
    <t xml:space="preserve">• خالص ورود پول ÷ ارزش کل معاملات همان روز — یعنی جریان به‌عنوان درصدی از نقدشوندگی، نه ریال خام.</t>
  </si>
  <si>
    <t xml:space="preserve">همچنین توجه کنید: تفکیک حقیقی/حقوقی در بازار ایران با کدهای مدیریت دارایی و صندوق‌ها آلوده می‌شود. این معیار سرنخ است، نه حقیقت.</t>
  </si>
  <si>
    <t xml:space="preserve">۴) سیستم امتیازدهی</t>
  </si>
  <si>
    <t xml:space="preserve">شش زیرنمره مستقل ساخته می‌شود که هرکدام بین −۱۰ تا +۱۰ است، سپس با وزن‌های شیت Settings ترکیب می‌شوند:</t>
  </si>
  <si>
    <t xml:space="preserve">T — امتیاز روند</t>
  </si>
  <si>
    <t xml:space="preserve">قیمت نسبت به MA میان‌مدت (±۳) + آرایش MA میان/بلند (±۳) + شکست سقف یا کف کوتاه‌مدت (±۲) + شیب MA کوتاه (±۲)</t>
  </si>
  <si>
    <t xml:space="preserve">S — امتیاز پول هوشمند</t>
  </si>
  <si>
    <t xml:space="preserve">قدرت خریدار (±۴) + خالص ورود امروز نسبت به ارزش معاملات (±۳) + خالص ورود ۵ روزه (±۳)</t>
  </si>
  <si>
    <t xml:space="preserve">M — امتیاز میانگین‌ها</t>
  </si>
  <si>
    <t xml:space="preserve">(تعداد MAهایی که قیمت بالای آن‌هاست × ۵) − ۱۰ ← از −۱۰ (زیر همه) تا +۱۰ (بالای همه)</t>
  </si>
  <si>
    <t xml:space="preserve">V — امتیاز حجم</t>
  </si>
  <si>
    <t xml:space="preserve">جهت تغییر قیمت × شدت حجم نسبت به میانگین ۲۰ روزه (±۹). حجم بالا در روز مثبت تأیید است، در روز منفی هشدار.</t>
  </si>
  <si>
    <t xml:space="preserve">K — امتیاز بازار</t>
  </si>
  <si>
    <t xml:space="preserve">رژیم بازار از شاخص کل (±۳) و هم‌وزن (±۴) و مومنتوم هم‌وزن (±۳). یکسان برای همه نمادها.</t>
  </si>
  <si>
    <t xml:space="preserve">Z — امتیاز زمان</t>
  </si>
  <si>
    <t xml:space="preserve">چرخه هرست + پنجره گن + موج الیوت. پیش‌فرض وزن صفر.</t>
  </si>
  <si>
    <t xml:space="preserve">امتیاز کل = (T×W_TREND + S×W_SMART + M×W_MA + V×W_VOL + K×W_MARKET + Z×W_TIME) ÷ جمع وزن‌ها</t>
  </si>
  <si>
    <t xml:space="preserve">تقسیم بر جمع وزن‌ها عمدی است: اگر وزنی را صفر کنید یا وزن جدیدی اضافه کنید، مقیاس −۱۰ تا +۱۰ حفظ می‌شود.</t>
  </si>
  <si>
    <t xml:space="preserve">برچسب سیگنال</t>
  </si>
  <si>
    <t xml:space="preserve">امتیاز ≥ TH_SBUY → خرید قوی · ≥ TH_BUY → خرید · ≤ TH_SSELL → فروش قوی · ≤ TH_SELL → فروش · بقیه → نگهداری</t>
  </si>
  <si>
    <t xml:space="preserve">قدرت سیگنال ۱ تا ۵</t>
  </si>
  <si>
    <t xml:space="preserve">بر اساس قدرمطلق امتیاز کل: ≥۸ → ۵ · ≥۵ → ۴ · ≥۳ → ۳ · ≥۱٫۵ → ۲ · بقیه → ۱</t>
  </si>
  <si>
    <t xml:space="preserve">۵) چطور وزن‌ها را تغییر دهم؟</t>
  </si>
  <si>
    <t xml:space="preserve">فقط سلول‌های زرد شیت Settings را تغییر دهید. سلول «جمع وزن‌ها» باید ۱۰۰٪ بماند؛ اگر نماند، پیام قرمز نشان داده می‌شود ولی محاسبه همچنان درست است چون بر جمع واقعی تقسیم می‌شود.</t>
  </si>
  <si>
    <t xml:space="preserve">چند تنظیم پیشنهادی برای شروع:</t>
  </si>
  <si>
    <t xml:space="preserve">• بازار پرنوسان و بی‌روند: W_MARKET را بالا ببرید (مثلاً ۲۰٪) و W_VOL را پایین.</t>
  </si>
  <si>
    <t xml:space="preserve">• تمرکز روی پول هوشمند: W_SMART را تا ۴۵٪ ببرید ولی TH_BUY را هم بالاتر بگذارید تا سیگنال کاذب کمتر شود.</t>
  </si>
  <si>
    <t xml:space="preserve">• فعال‌سازی لایه زمانی: W_TIME را روی ۱۰٪ بگذارید و به همان اندازه از W_TREND کم کنید.</t>
  </si>
  <si>
    <t xml:space="preserve">۷) اتصال به APIها</t>
  </si>
  <si>
    <t xml:space="preserve">شیت API_Map نگاشت کامل هر ستون به فیلد JSON و endpoint را دارد. اسکریپت پایتون همان را می‌خواند و ستون مقصد را پیدا می‌کند.</t>
  </si>
  <si>
    <t xml:space="preserve">جستجوی نماد</t>
  </si>
  <si>
    <t xml:space="preserve">GET https://cdn.tsetmc.com/api/Instrument/GetInstrumentSearch/{Query}</t>
  </si>
  <si>
    <t xml:space="preserve">قیمت لحظه‌ای</t>
  </si>
  <si>
    <t xml:space="preserve">GET https://cdn.tsetmc.com/api/ClosingPrice/GetClosingPriceInfo/{InsCode}</t>
  </si>
  <si>
    <t xml:space="preserve">تاریخچه روزانه</t>
  </si>
  <si>
    <t xml:space="preserve">GET https://cdn.tsetmc.com/api/ClosingPrice/GetClosingPriceDailyList/{InsCode}/{Top}</t>
  </si>
  <si>
    <t xml:space="preserve">حقیقی/حقوقی</t>
  </si>
  <si>
    <t xml:space="preserve">GET https://cdn.tsetmc.com/api/ClientType/GetClientType/{InsCode}/1/0</t>
  </si>
  <si>
    <t xml:space="preserve">حقیقی/حقوقی تاریخی</t>
  </si>
  <si>
    <t xml:space="preserve">GET https://cdn.tsetmc.com/api/ClientType/GetClientTypeHistory/{InsCode}/{DEven}</t>
  </si>
  <si>
    <t xml:space="preserve">سفارش‌ها</t>
  </si>
  <si>
    <t xml:space="preserve">GET https://cdn.tsetmc.com/api/BestLimits/{InsCode}</t>
  </si>
  <si>
    <t xml:space="preserve">شاخص‌ها</t>
  </si>
  <si>
    <t xml:space="preserve">GET https://cdn.tsetmc.com/api/Index/GetIndexB1LastAll/SelectedIndexes/1</t>
  </si>
  <si>
    <t xml:space="preserve">دیده‌بان کامل</t>
  </si>
  <si>
    <t xml:space="preserve">GET https://webgw.tse.ir/InstrumentProvider/api/v1/MarketWatch/MarketWatchCash/fa</t>
  </si>
  <si>
    <t xml:space="preserve">لایو یک نماد</t>
  </si>
  <si>
    <t xml:space="preserve">GET https://webgw.tse.ir/InstrumentProvider/api/v1/Instrument/LiveInstrumentByIdQuery/fa?InstrumentId={ISIN}</t>
  </si>
  <si>
    <t xml:space="preserve">دیده‌بان آپشن</t>
  </si>
  <si>
    <t xml:space="preserve">GET https://webgw.tse.ir/InstrumentProvider/api/v1/MarketWatch/MarketWatchOption/fa</t>
  </si>
  <si>
    <t xml:space="preserve">دو نکته که اگر رعایت نشوند اسکریپت کار نمی‌کند: هدر User-Agent مرورگری الزامی است، و فراخوانی مستقیم از مرورگر به‌خاطر CORS شکست می‌خورد — باید از یک فرآیند سمت سرور/دسکتاپ انجام شود.</t>
  </si>
  <si>
    <t xml:space="preserve">اجرای به‌روزرسانی:   python scripts/tse_updater.py --workbook Iran_Stock_Signals.xlsx --history 300</t>
  </si>
  <si>
    <t xml:space="preserve">۸) محدودیت‌هایی که باید بدانید</t>
  </si>
  <si>
    <t xml:space="preserve">• سیستم trend-following است. در بازار رِنج، سیگنال‌های کاذب می‌دهد و این ذاتی روش است، نه ایراد فایل.</t>
  </si>
  <si>
    <t xml:space="preserve">• هیچ بک‌تستی روی این وزن‌ها انجام نشده. وزن‌های پیش‌فرض بر پایه استدلال ساختاری‌اند، نه بهینه‌سازی تاریخی.</t>
  </si>
  <si>
    <t xml:space="preserve">• نمادهای متوقف: ستون cEtavalTitle را چک کنید. برای نماد متوقف، خالی‌بودن داده تاریخی طبیعی است.</t>
  </si>
  <si>
    <t xml:space="preserve">• صف خرید/فروش: endpoint مربوطه یک delta feed است نه اسنپ‌شات؛ بازسازی دقیق عمق بازار نیاز به نگهداری وضعیت دارد.</t>
  </si>
  <si>
    <t xml:space="preserve">• تعدیل قیمت (افزایش سرمایه/سود نقدی) در تاریخچه لحاظ نشده — میانگین‌های متحرک پس از تعدیل چند روز نامعتبرند.</t>
  </si>
  <si>
    <t xml:space="preserve">• بلک-شولز در شیت آپشن برای اختیار اروپایی است و قیمت نظری اختیار فروش آمریکایی را کم‌برآورد می‌کند.</t>
  </si>
</sst>
</file>

<file path=xl/styles.xml><?xml version="1.0" encoding="utf-8"?>
<styleSheet xmlns="http://schemas.openxmlformats.org/spreadsheetml/2006/main">
  <numFmts count="8">
    <numFmt numFmtId="164" formatCode="General"/>
    <numFmt numFmtId="165" formatCode="@"/>
    <numFmt numFmtId="166" formatCode="#,##0;\(#,##0\);\-"/>
    <numFmt numFmtId="167" formatCode="yyyy\-mm\-dd"/>
    <numFmt numFmtId="168" formatCode="0"/>
    <numFmt numFmtId="169" formatCode="0.00;\(0.00\);\-"/>
    <numFmt numFmtId="170" formatCode="0.0%;\(0.0%\);\-"/>
    <numFmt numFmtId="171" formatCode="0.0;\(0.0\);\-"/>
  </numFmts>
  <fonts count="2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404040"/>
      <name val="Arial"/>
      <family val="0"/>
      <charset val="1"/>
    </font>
    <font>
      <b val="true"/>
      <sz val="10"/>
      <color rgb="FFFFFFFF"/>
      <name val="Arial"/>
      <family val="0"/>
      <charset val="1"/>
    </font>
    <font>
      <i val="true"/>
      <sz val="8"/>
      <color rgb="FF808080"/>
      <name val="Arial"/>
      <family val="0"/>
      <charset val="1"/>
    </font>
    <font>
      <b val="true"/>
      <sz val="9"/>
      <name val="Arial"/>
      <family val="0"/>
      <charset val="1"/>
    </font>
    <font>
      <sz val="9"/>
      <color rgb="FF000000"/>
      <name val="Arial"/>
      <family val="0"/>
      <charset val="1"/>
    </font>
    <font>
      <sz val="8"/>
      <color rgb="FF404040"/>
      <name val="Arial"/>
      <family val="0"/>
      <charset val="1"/>
    </font>
    <font>
      <b val="true"/>
      <i val="true"/>
      <sz val="8"/>
      <color rgb="FFC00000"/>
      <name val="Arial"/>
      <family val="0"/>
      <charset val="1"/>
    </font>
    <font>
      <i val="true"/>
      <sz val="8"/>
      <color rgb="FF404040"/>
      <name val="Arial"/>
      <family val="0"/>
      <charset val="1"/>
    </font>
    <font>
      <sz val="9"/>
      <color rgb="FF0000FF"/>
      <name val="Arial"/>
      <family val="0"/>
      <charset val="1"/>
    </font>
    <font>
      <sz val="9"/>
      <color rgb="FF808080"/>
      <name val="Arial"/>
      <family val="0"/>
      <charset val="1"/>
    </font>
    <font>
      <sz val="9"/>
      <name val="Arial"/>
      <family val="0"/>
      <charset val="1"/>
    </font>
    <font>
      <b val="true"/>
      <sz val="10"/>
      <color rgb="FF0000FF"/>
      <name val="Arial"/>
      <family val="0"/>
      <charset val="1"/>
    </font>
    <font>
      <sz val="8"/>
      <color rgb="FF000000"/>
      <name val="Arial"/>
      <family val="0"/>
      <charset val="1"/>
    </font>
    <font>
      <sz val="8"/>
      <color rgb="FFC00000"/>
      <name val="Arial"/>
      <family val="0"/>
      <charset val="1"/>
    </font>
    <font>
      <b val="true"/>
      <i val="true"/>
      <sz val="9"/>
      <color rgb="FF404040"/>
      <name val="Arial"/>
      <family val="0"/>
      <charset val="1"/>
    </font>
    <font>
      <sz val="10"/>
      <name val="Arial"/>
      <family val="0"/>
      <charset val="1"/>
    </font>
    <font>
      <b val="true"/>
      <sz val="12"/>
      <color rgb="FFFFFFFF"/>
      <name val="Arial"/>
      <family val="0"/>
      <charset val="1"/>
    </font>
  </fonts>
  <fills count="8">
    <fill>
      <patternFill patternType="none"/>
    </fill>
    <fill>
      <patternFill patternType="gray125"/>
    </fill>
    <fill>
      <patternFill patternType="solid">
        <fgColor rgb="FF1F3864"/>
        <bgColor rgb="FF404040"/>
      </patternFill>
    </fill>
    <fill>
      <patternFill patternType="solid">
        <fgColor rgb="FFD9E2F3"/>
        <bgColor rgb="FFF2F2F2"/>
      </patternFill>
    </fill>
    <fill>
      <patternFill patternType="solid">
        <fgColor rgb="FFFFF2CC"/>
        <bgColor rgb="FFF2F2F2"/>
      </patternFill>
    </fill>
    <fill>
      <patternFill patternType="solid">
        <fgColor rgb="FF2E5C8A"/>
        <bgColor rgb="FF1F3864"/>
      </patternFill>
    </fill>
    <fill>
      <patternFill patternType="solid">
        <fgColor rgb="FFC00000"/>
        <bgColor rgb="FF80000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70" fontId="9" fillId="0" borderId="1" xfId="0" applyFont="true" applyBorder="true" applyAlignment="true" applyProtection="false">
      <alignment horizontal="center" vertical="center" textRotation="0" wrapText="false" indent="0" shrinkToFit="false"/>
      <protection locked="true" hidden="false"/>
    </xf>
    <xf numFmtId="171" fontId="9"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true" applyProtection="false">
      <alignment horizontal="right" vertical="center" textRotation="0" wrapText="true" indent="0" shrinkToFit="false"/>
      <protection locked="true" hidden="false"/>
    </xf>
    <xf numFmtId="164" fontId="12" fillId="0" borderId="0" xfId="0" applyFont="true" applyBorder="true" applyAlignment="true" applyProtection="false">
      <alignment horizontal="right"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6" fontId="13" fillId="4" borderId="1" xfId="0" applyFont="true" applyBorder="true" applyAlignment="true" applyProtection="false">
      <alignment horizontal="center" vertical="center" textRotation="0" wrapText="false" indent="0" shrinkToFit="false"/>
      <protection locked="true" hidden="false"/>
    </xf>
    <xf numFmtId="171" fontId="13" fillId="4"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right" vertical="center" textRotation="0" wrapText="true" indent="0" shrinkToFit="false"/>
      <protection locked="true" hidden="false"/>
    </xf>
    <xf numFmtId="164" fontId="6" fillId="5"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9" fontId="16" fillId="4"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70" fontId="16" fillId="4" borderId="1" xfId="0" applyFont="true" applyBorder="true" applyAlignment="true" applyProtection="false">
      <alignment horizontal="center" vertical="center" textRotation="0" wrapText="false" indent="0" shrinkToFit="false"/>
      <protection locked="true" hidden="false"/>
    </xf>
    <xf numFmtId="166" fontId="16" fillId="4"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right" vertical="center" textRotation="0" wrapText="false" indent="0" shrinkToFit="false"/>
      <protection locked="true" hidden="false"/>
    </xf>
    <xf numFmtId="164" fontId="17" fillId="0" borderId="1" xfId="0" applyFont="true" applyBorder="true" applyAlignment="true" applyProtection="false">
      <alignment horizontal="right"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right" vertical="center" textRotation="0" wrapText="false" indent="0" shrinkToFit="false"/>
      <protection locked="true" hidden="false"/>
    </xf>
    <xf numFmtId="164" fontId="18" fillId="0" borderId="1" xfId="0" applyFont="true" applyBorder="true" applyAlignment="true" applyProtection="false">
      <alignment horizontal="right" vertical="center" textRotation="0" wrapText="true" indent="0" shrinkToFit="false"/>
      <protection locked="true" hidden="false"/>
    </xf>
    <xf numFmtId="164" fontId="19" fillId="0" borderId="0" xfId="0" applyFont="true" applyBorder="true" applyAlignment="true" applyProtection="false">
      <alignment horizontal="right" vertical="center" textRotation="0" wrapText="true" indent="0" shrinkToFit="false"/>
      <protection locked="true" hidden="false"/>
    </xf>
    <xf numFmtId="164" fontId="5" fillId="0" borderId="0" xfId="0" applyFont="true" applyBorder="true" applyAlignment="true" applyProtection="false">
      <alignment horizontal="right" vertical="center" textRotation="0" wrapText="true" indent="0" shrinkToFit="false"/>
      <protection locked="true" hidden="false"/>
    </xf>
    <xf numFmtId="164" fontId="20" fillId="0" borderId="0" xfId="0" applyFont="true" applyBorder="true" applyAlignment="true" applyProtection="false">
      <alignment horizontal="right" vertical="center" textRotation="0" wrapText="true" indent="0" shrinkToFit="false"/>
      <protection locked="true" hidden="false"/>
    </xf>
    <xf numFmtId="164" fontId="6" fillId="6" borderId="0" xfId="0" applyFont="true" applyBorder="true" applyAlignment="true" applyProtection="false">
      <alignment horizontal="right" vertical="center" textRotation="0" wrapText="true" indent="0" shrinkToFit="false"/>
      <protection locked="true" hidden="false"/>
    </xf>
    <xf numFmtId="164" fontId="21" fillId="5" borderId="0" xfId="0" applyFont="true" applyBorder="true" applyAlignment="true" applyProtection="false">
      <alignment horizontal="right" vertical="center" textRotation="0" wrapText="false" indent="0" shrinkToFit="false"/>
      <protection locked="true" hidden="false"/>
    </xf>
    <xf numFmtId="164" fontId="15" fillId="0" borderId="0" xfId="0" applyFont="true" applyBorder="true" applyAlignment="true" applyProtection="false">
      <alignment horizontal="right" vertical="center" textRotation="0" wrapText="true" indent="0" shrinkToFit="false"/>
      <protection locked="true" hidden="false"/>
    </xf>
    <xf numFmtId="164" fontId="8" fillId="7" borderId="1" xfId="0" applyFont="true" applyBorder="true" applyAlignment="true" applyProtection="false">
      <alignment horizontal="right" vertical="center" textRotation="0" wrapText="true" indent="0" shrinkToFit="false"/>
      <protection locked="true" hidden="false"/>
    </xf>
    <xf numFmtId="164" fontId="15" fillId="0" borderId="1" xfId="0" applyFont="true" applyBorder="true" applyAlignment="true" applyProtection="false">
      <alignment horizontal="righ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D9E2F3"/>
          <bgColor rgb="FF000000"/>
        </patternFill>
      </fill>
    </dxf>
    <dxf>
      <fill>
        <patternFill patternType="solid">
          <bgColor rgb="FF000000"/>
        </patternFill>
      </fill>
    </dxf>
    <dxf>
      <fill>
        <patternFill patternType="solid">
          <fgColor rgb="FF808080"/>
          <bgColor rgb="FF000000"/>
        </patternFill>
      </fill>
    </dxf>
    <dxf>
      <fill>
        <patternFill patternType="solid">
          <fgColor rgb="FF000000"/>
          <bgColor rgb="FF000000"/>
        </patternFill>
      </fill>
    </dxf>
    <dxf>
      <fill>
        <patternFill patternType="solid">
          <fgColor rgb="FFFFE699"/>
          <bgColor rgb="FF000000"/>
        </patternFill>
      </fill>
    </dxf>
    <dxf>
      <fill>
        <patternFill patternType="solid">
          <fgColor rgb="FF7F6000"/>
          <bgColor rgb="FF000000"/>
        </patternFill>
      </fill>
    </dxf>
    <dxf>
      <fill>
        <patternFill patternType="solid">
          <fgColor rgb="FFE8A5A5"/>
          <bgColor rgb="FF000000"/>
        </patternFill>
      </fill>
    </dxf>
    <dxf>
      <fill>
        <patternFill patternType="solid">
          <fgColor rgb="FFEFBFBF"/>
          <bgColor rgb="FF000000"/>
        </patternFill>
      </fill>
    </dxf>
    <dxf>
      <fill>
        <patternFill patternType="solid">
          <fgColor rgb="FFF2CCCC"/>
          <bgColor rgb="FF000000"/>
        </patternFill>
      </fill>
    </dxf>
    <dxf>
      <fill>
        <patternFill patternType="solid">
          <fgColor rgb="FFF8E5E5"/>
          <bgColor rgb="FF000000"/>
        </patternFill>
      </fill>
    </dxf>
    <dxf>
      <fill>
        <patternFill patternType="solid">
          <fgColor rgb="FFFFFFFF"/>
          <bgColor rgb="FF000000"/>
        </patternFill>
      </fill>
    </dxf>
    <dxf>
      <fill>
        <patternFill patternType="solid">
          <fgColor rgb="FF404040"/>
          <bgColor rgb="FF000000"/>
        </patternFill>
      </fill>
    </dxf>
    <dxf>
      <font>
        <b val="1"/>
        <color rgb="FFFFFFFF"/>
      </font>
      <fill>
        <patternFill>
          <bgColor rgb="FF00B050"/>
        </patternFill>
      </fill>
    </dxf>
    <dxf>
      <font>
        <b val="1"/>
        <color rgb="FF006100"/>
      </font>
      <fill>
        <patternFill>
          <bgColor rgb="FFC6EFCE"/>
        </patternFill>
      </fill>
    </dxf>
    <dxf>
      <font>
        <b val="1"/>
        <color rgb="FFFFFFFF"/>
      </font>
      <fill>
        <patternFill>
          <bgColor rgb="FFC00000"/>
        </patternFill>
      </fill>
    </dxf>
    <dxf>
      <font>
        <b val="1"/>
        <color rgb="FF7F6000"/>
      </font>
      <fill>
        <patternFill>
          <bgColor rgb="FFFFE699"/>
        </patternFill>
      </fill>
    </dxf>
    <dxf>
      <fill>
        <patternFill patternType="solid">
          <fgColor rgb="FF1F3864"/>
          <bgColor rgb="FF000000"/>
        </patternFill>
      </fill>
    </dxf>
    <dxf>
      <fill>
        <patternFill patternType="solid">
          <fgColor rgb="FFFFF2CC"/>
          <bgColor rgb="FF000000"/>
        </patternFill>
      </fill>
    </dxf>
    <dxf>
      <fill>
        <patternFill patternType="solid">
          <fgColor rgb="FFC00000"/>
          <bgColor rgb="FF000000"/>
        </patternFill>
      </fill>
    </dxf>
    <dxf>
      <fill>
        <patternFill>
          <bgColor rgb="FFFFF2CC"/>
        </patternFill>
      </fill>
    </dxf>
  </dxfs>
  <colors>
    <indexedColors>
      <rgbColor rgb="FF000000"/>
      <rgbColor rgb="FFFFFFFF"/>
      <rgbColor rgb="FFC0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00B050"/>
      <rgbColor rgb="FF003300"/>
      <rgbColor rgb="FF333300"/>
      <rgbColor rgb="FF993300"/>
      <rgbColor rgb="FF993366"/>
      <rgbColor rgb="FF2E5C8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lApiMap" displayName="tblApiMap" ref="A3:G27" headerRowCount="1" totalsRowCount="0" totalsRowShown="0">
  <autoFilter ref="A3:G27"/>
  <tableColumns count="7">
    <tableColumn id="1" name="شیت"/>
    <tableColumn id="2" name="ستون"/>
    <tableColumn id="3" name="برچسب فارسی"/>
    <tableColumn id="4" name="فیلد JSON"/>
    <tableColumn id="5" name="Endpoint"/>
    <tableColumn id="6" name="توضیح فیلد"/>
    <tableColumn id="7" name="وضعیت تأیید"/>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30"/>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8"/>
    <col collapsed="false" customWidth="true" hidden="false" outlineLevel="0" max="4" min="4" style="0" width="11"/>
    <col collapsed="false" customWidth="true" hidden="false" outlineLevel="0" max="5" min="5" style="0" width="12"/>
    <col collapsed="false" customWidth="true" hidden="false" outlineLevel="0" max="6" min="6" style="0" width="13"/>
    <col collapsed="false" customWidth="true" hidden="false" outlineLevel="0" max="9" min="7" style="0" width="11"/>
    <col collapsed="false" customWidth="true" hidden="false" outlineLevel="0" max="10" min="10" style="0" width="12"/>
    <col collapsed="false" customWidth="true" hidden="false" outlineLevel="0" max="11" min="11" style="0" width="15"/>
    <col collapsed="false" customWidth="true" hidden="false" outlineLevel="0" max="12" min="12" style="0" width="11"/>
    <col collapsed="false" customWidth="true" hidden="false" outlineLevel="0" max="13" min="13" style="0" width="12"/>
    <col collapsed="false" customWidth="true" hidden="false" outlineLevel="0" max="14" min="14" style="0" width="11"/>
    <col collapsed="false" customWidth="true" hidden="false" outlineLevel="0" max="15" min="15" style="0" width="13"/>
    <col collapsed="false" customWidth="true" hidden="false" outlineLevel="0" max="16" min="16" style="0" width="11"/>
    <col collapsed="false" customWidth="true" hidden="false" outlineLevel="0" max="17" min="17" style="0" width="10"/>
    <col collapsed="false" customWidth="true" hidden="false" outlineLevel="0" max="20" min="18" style="0" width="11"/>
    <col collapsed="false" customWidth="true" hidden="false" outlineLevel="0" max="21" min="21" style="0" width="12"/>
    <col collapsed="false" customWidth="true" hidden="false" outlineLevel="0" max="24" min="22" style="0" width="9"/>
    <col collapsed="false" customWidth="true" hidden="false" outlineLevel="0" max="26" min="25" style="0" width="11"/>
    <col collapsed="false" customWidth="true" hidden="false" outlineLevel="0" max="27" min="27" style="0" width="10"/>
    <col collapsed="false" customWidth="true" hidden="false" outlineLevel="0" max="30" min="28" style="0" width="11"/>
    <col collapsed="false" customWidth="true" hidden="false" outlineLevel="0" max="31" min="31" style="0" width="20"/>
    <col collapsed="false" customWidth="true" hidden="false" outlineLevel="0" max="32" min="32" style="0" width="62"/>
  </cols>
  <sheetData>
    <row r="1" customFormat="false" ht="27.75"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8"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customFormat="false" ht="30"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c r="V3" s="3" t="s">
        <v>23</v>
      </c>
      <c r="W3" s="3" t="s">
        <v>24</v>
      </c>
      <c r="X3" s="3" t="s">
        <v>25</v>
      </c>
      <c r="Y3" s="3" t="s">
        <v>26</v>
      </c>
      <c r="Z3" s="3" t="s">
        <v>27</v>
      </c>
      <c r="AA3" s="3" t="s">
        <v>28</v>
      </c>
      <c r="AB3" s="3" t="s">
        <v>29</v>
      </c>
      <c r="AC3" s="3" t="s">
        <v>30</v>
      </c>
      <c r="AD3" s="3" t="s">
        <v>31</v>
      </c>
      <c r="AE3" s="3" t="s">
        <v>32</v>
      </c>
      <c r="AF3" s="3" t="s">
        <v>33</v>
      </c>
    </row>
    <row r="4" customFormat="false" ht="21.75" hidden="false" customHeight="true" outlineLevel="0" collapsed="false">
      <c r="A4" s="4" t="s">
        <v>34</v>
      </c>
      <c r="B4" s="4" t="s">
        <v>35</v>
      </c>
      <c r="C4" s="4" t="s">
        <v>36</v>
      </c>
      <c r="D4" s="4" t="s">
        <v>36</v>
      </c>
      <c r="E4" s="4" t="s">
        <v>37</v>
      </c>
      <c r="F4" s="4" t="s">
        <v>38</v>
      </c>
      <c r="G4" s="4" t="s">
        <v>39</v>
      </c>
      <c r="H4" s="4" t="s">
        <v>40</v>
      </c>
      <c r="I4" s="4" t="s">
        <v>41</v>
      </c>
      <c r="J4" s="4" t="s">
        <v>42</v>
      </c>
      <c r="K4" s="4" t="s">
        <v>43</v>
      </c>
      <c r="L4" s="4" t="s">
        <v>44</v>
      </c>
      <c r="M4" s="4" t="s">
        <v>45</v>
      </c>
      <c r="N4" s="4" t="s">
        <v>46</v>
      </c>
      <c r="O4" s="4" t="s">
        <v>47</v>
      </c>
      <c r="P4" s="4" t="s">
        <v>36</v>
      </c>
      <c r="Q4" s="4" t="s">
        <v>48</v>
      </c>
      <c r="R4" s="4" t="s">
        <v>36</v>
      </c>
      <c r="S4" s="4" t="s">
        <v>36</v>
      </c>
      <c r="T4" s="4" t="s">
        <v>36</v>
      </c>
      <c r="U4" s="4" t="s">
        <v>49</v>
      </c>
      <c r="V4" s="4" t="s">
        <v>50</v>
      </c>
      <c r="W4" s="4" t="s">
        <v>50</v>
      </c>
      <c r="X4" s="4" t="s">
        <v>51</v>
      </c>
      <c r="Y4" s="4" t="s">
        <v>50</v>
      </c>
      <c r="Z4" s="4" t="s">
        <v>52</v>
      </c>
      <c r="AA4" s="4" t="s">
        <v>53</v>
      </c>
      <c r="AB4" s="4" t="s">
        <v>47</v>
      </c>
      <c r="AC4" s="4" t="s">
        <v>54</v>
      </c>
      <c r="AD4" s="4" t="s">
        <v>55</v>
      </c>
      <c r="AE4" s="4" t="s">
        <v>36</v>
      </c>
      <c r="AF4" s="4" t="s">
        <v>36</v>
      </c>
    </row>
    <row r="5" customFormat="false" ht="15" hidden="false" customHeight="false" outlineLevel="0" collapsed="false">
      <c r="A5" s="5" t="s">
        <v>56</v>
      </c>
      <c r="B5" s="6" t="s">
        <v>57</v>
      </c>
      <c r="C5" s="7" t="s">
        <v>58</v>
      </c>
      <c r="D5" s="7" t="s">
        <v>59</v>
      </c>
      <c r="E5" s="8" t="n">
        <v>8000</v>
      </c>
      <c r="F5" s="9" t="n">
        <v>46315</v>
      </c>
      <c r="G5" s="10" t="n">
        <v>45</v>
      </c>
      <c r="H5" s="8" t="n">
        <v>980</v>
      </c>
      <c r="I5" s="8" t="n">
        <v>950</v>
      </c>
      <c r="J5" s="8" t="n">
        <v>3240</v>
      </c>
      <c r="K5" s="8" t="n">
        <v>3078000000</v>
      </c>
      <c r="L5" s="8" t="n">
        <v>412</v>
      </c>
      <c r="M5" s="8" t="n">
        <v>18500</v>
      </c>
      <c r="N5" s="8" t="n">
        <v>1000</v>
      </c>
      <c r="O5" s="8" t="n">
        <f aca="false">IF($A5="","",IFERROR(INDEX(Underlying!$B$1:$B$5000,MATCH($D5,Underlying!$A$1:$A$5000,0)),""))</f>
        <v>0</v>
      </c>
      <c r="P5" s="11" t="n">
        <f aca="false">IF($A5="","",IFERROR($O5/$E5,""))</f>
        <v>0</v>
      </c>
      <c r="Q5" s="7" t="str">
        <f aca="false">IF($A5="","",IF($P5="","",IF($C5="Call",IF($P5&gt;1+OPT_ATM_BAND,"ITM",IF($P5&lt;1-OPT_ATM_BAND,"OTM","ATM")),IF($P5&lt;1-OPT_ATM_BAND,"ITM",IF($P5&gt;1+OPT_ATM_BAND,"OTM","ATM")))))</f>
        <v>OTM</v>
      </c>
      <c r="R5" s="8" t="n">
        <f aca="false">IF($A5="","",IFERROR(IF($C5="Call",MAX(0,$O5-$E5),MAX(0,$E5-$O5)),""))</f>
        <v>0</v>
      </c>
      <c r="S5" s="8" t="n">
        <f aca="false">IF($A5="","",IFERROR(MAX(0,$I5-$R5),""))</f>
        <v>950</v>
      </c>
      <c r="T5" s="11" t="n">
        <f aca="false">IF($A5="","",IFERROR($G5/365,""))</f>
        <v>0.123287671232877</v>
      </c>
      <c r="U5" s="12" t="str">
        <f aca="false">IF($A5="","",IF(OR($P5="",ABS($P5-1)&gt;3*OPT_ATM_BAND),"",IFERROR($I5/$O5*SQRT(2*PI()/$T5),"")))</f>
        <v/>
      </c>
      <c r="V5" s="11" t="str">
        <f aca="false">IF($A5="","",IFERROR((LN($O5/$E5)+(OPT_RF+OPT_VOL^2/2)*$T5)/(OPT_VOL*SQRT($T5)),""))</f>
        <v/>
      </c>
      <c r="W5" s="11" t="str">
        <f aca="false">IF($A5="","",IFERROR($V5-OPT_VOL*SQRT($T5),""))</f>
        <v/>
      </c>
      <c r="X5" s="11" t="str">
        <f aca="false">IF($A5="","",IFERROR(IF($C5="Call",NORMSDIST($V5),NORMSDIST($V5)-1),""))</f>
        <v/>
      </c>
      <c r="Y5" s="8" t="str">
        <f aca="false">IF($A5="","",IFERROR(IF($C5="Call",$O5*NORMSDIST($V5)-$E5*EXP(-OPT_RF*$T5)*NORMSDIST($W5),$E5*EXP(-OPT_RF*$T5)*NORMSDIST(-$W5)-$O5*NORMSDIST(-$V5)),""))</f>
        <v/>
      </c>
      <c r="Z5" s="11" t="str">
        <f aca="false">IF($A5="","",IFERROR($I5/$Y5,""))</f>
        <v/>
      </c>
      <c r="AA5" s="13" t="str">
        <f aca="false">IF($A5="","",IFERROR($O5*ABS($X5)/$I5,""))</f>
        <v/>
      </c>
      <c r="AB5" s="13" t="n">
        <f aca="false">IF($A5="","",IFERROR(INDEX(Underlying!$D$1:$D$5000,MATCH($D5,Underlying!$A$1:$A$5000,0)),0))</f>
        <v>0</v>
      </c>
      <c r="AC5" s="7" t="str">
        <f aca="false">IF($A5="","",IF(AND($J5&gt;=OPT_MIN_VOL,$G5&gt;=OPT_MIN_DTE),"بله","خیر"))</f>
        <v>بله</v>
      </c>
      <c r="AD5" s="13" t="n">
        <f aca="false">IF($A5="","",IF($AC5="خیر",0,IFERROR(MAX(-10,MIN(10,IF($C5="Call",$AB5,-$AB5)*0.6+IF($Z5&lt;0.85,2,IF($Z5&gt;1.25,-2,0))+IF($Q5="ATM",1,IF($Q5="ITM",0.5,-1))+IF($G5&gt;=30,0.5,-0.5))),0)))</f>
        <v>-2.5</v>
      </c>
      <c r="AE5" s="7" t="str">
        <f aca="false">IF($A5="","",IF($AC5="خیر","بدون سیگنال (نقدشوندگی/سررسید)",IF($AD5&gt;=TH_SBUY,"خرید قوی "&amp;$C5,IF($AD5&gt;=TH_BUY,"خرید "&amp;$C5,IF($AD5&lt;=TH_SSELL,"اجتناب / بستن موقعیت",IF($AD5&lt;=TH_SELL,"ضعیف","بی‌طرف"))))))</f>
        <v>ضعیف</v>
      </c>
      <c r="AF5" s="14" t="str">
        <f aca="false">IF($A5="","","سهم پایه: "&amp;IFERROR(TEXT($AB5,"0.0"),"—")&amp;" | وضعیت: "&amp;$Q5&amp;" | نوسان ضمنی: "&amp;IFERROR(TEXT($U5,"0%"),"—")&amp;" | بازار÷نظری: "&amp;IFERROR(TEXT($Z5,"0.00"),"—")&amp;" | اهرم: "&amp;IFERROR(TEXT($AA5,"0.0"),"—")&amp;"x"&amp;" | "&amp;$G5&amp;" روز تا سررسید")</f>
        <v>سهم پایه: 0.0 | وضعیت: OTM | نوسان ضمنی:  | بازار÷نظری:  | اهرم: x | 45 روز تا سررسید</v>
      </c>
    </row>
    <row r="6" customFormat="false" ht="15" hidden="false" customHeight="false" outlineLevel="0" collapsed="false">
      <c r="A6" s="5" t="s">
        <v>60</v>
      </c>
      <c r="B6" s="6" t="s">
        <v>61</v>
      </c>
      <c r="C6" s="7" t="s">
        <v>58</v>
      </c>
      <c r="D6" s="7" t="s">
        <v>59</v>
      </c>
      <c r="E6" s="8" t="n">
        <v>9000</v>
      </c>
      <c r="F6" s="9" t="n">
        <v>46315</v>
      </c>
      <c r="G6" s="10" t="n">
        <v>45</v>
      </c>
      <c r="H6" s="8" t="n">
        <v>430</v>
      </c>
      <c r="I6" s="8" t="n">
        <v>418</v>
      </c>
      <c r="J6" s="8" t="n">
        <v>1870</v>
      </c>
      <c r="K6" s="8" t="n">
        <v>781660000</v>
      </c>
      <c r="L6" s="8" t="n">
        <v>265</v>
      </c>
      <c r="M6" s="8" t="n">
        <v>11200</v>
      </c>
      <c r="N6" s="8" t="n">
        <v>1000</v>
      </c>
      <c r="O6" s="8" t="n">
        <f aca="false">IF($A6="","",IFERROR(INDEX(Underlying!$B$1:$B$5000,MATCH($D6,Underlying!$A$1:$A$5000,0)),""))</f>
        <v>0</v>
      </c>
      <c r="P6" s="11" t="n">
        <f aca="false">IF($A6="","",IFERROR($O6/$E6,""))</f>
        <v>0</v>
      </c>
      <c r="Q6" s="7" t="str">
        <f aca="false">IF($A6="","",IF($P6="","",IF($C6="Call",IF($P6&gt;1+OPT_ATM_BAND,"ITM",IF($P6&lt;1-OPT_ATM_BAND,"OTM","ATM")),IF($P6&lt;1-OPT_ATM_BAND,"ITM",IF($P6&gt;1+OPT_ATM_BAND,"OTM","ATM")))))</f>
        <v>OTM</v>
      </c>
      <c r="R6" s="8" t="n">
        <f aca="false">IF($A6="","",IFERROR(IF($C6="Call",MAX(0,$O6-$E6),MAX(0,$E6-$O6)),""))</f>
        <v>0</v>
      </c>
      <c r="S6" s="8" t="n">
        <f aca="false">IF($A6="","",IFERROR(MAX(0,$I6-$R6),""))</f>
        <v>418</v>
      </c>
      <c r="T6" s="11" t="n">
        <f aca="false">IF($A6="","",IFERROR($G6/365,""))</f>
        <v>0.123287671232877</v>
      </c>
      <c r="U6" s="12" t="str">
        <f aca="false">IF($A6="","",IF(OR($P6="",ABS($P6-1)&gt;3*OPT_ATM_BAND),"",IFERROR($I6/$O6*SQRT(2*PI()/$T6),"")))</f>
        <v/>
      </c>
      <c r="V6" s="11" t="str">
        <f aca="false">IF($A6="","",IFERROR((LN($O6/$E6)+(OPT_RF+OPT_VOL^2/2)*$T6)/(OPT_VOL*SQRT($T6)),""))</f>
        <v/>
      </c>
      <c r="W6" s="11" t="str">
        <f aca="false">IF($A6="","",IFERROR($V6-OPT_VOL*SQRT($T6),""))</f>
        <v/>
      </c>
      <c r="X6" s="11" t="str">
        <f aca="false">IF($A6="","",IFERROR(IF($C6="Call",NORMSDIST($V6),NORMSDIST($V6)-1),""))</f>
        <v/>
      </c>
      <c r="Y6" s="8" t="str">
        <f aca="false">IF($A6="","",IFERROR(IF($C6="Call",$O6*NORMSDIST($V6)-$E6*EXP(-OPT_RF*$T6)*NORMSDIST($W6),$E6*EXP(-OPT_RF*$T6)*NORMSDIST(-$W6)-$O6*NORMSDIST(-$V6)),""))</f>
        <v/>
      </c>
      <c r="Z6" s="11" t="str">
        <f aca="false">IF($A6="","",IFERROR($I6/$Y6,""))</f>
        <v/>
      </c>
      <c r="AA6" s="13" t="str">
        <f aca="false">IF($A6="","",IFERROR($O6*ABS($X6)/$I6,""))</f>
        <v/>
      </c>
      <c r="AB6" s="13" t="n">
        <f aca="false">IF($A6="","",IFERROR(INDEX(Underlying!$D$1:$D$5000,MATCH($D6,Underlying!$A$1:$A$5000,0)),0))</f>
        <v>0</v>
      </c>
      <c r="AC6" s="7" t="str">
        <f aca="false">IF($A6="","",IF(AND($J6&gt;=OPT_MIN_VOL,$G6&gt;=OPT_MIN_DTE),"بله","خیر"))</f>
        <v>بله</v>
      </c>
      <c r="AD6" s="13" t="n">
        <f aca="false">IF($A6="","",IF($AC6="خیر",0,IFERROR(MAX(-10,MIN(10,IF($C6="Call",$AB6,-$AB6)*0.6+IF($Z6&lt;0.85,2,IF($Z6&gt;1.25,-2,0))+IF($Q6="ATM",1,IF($Q6="ITM",0.5,-1))+IF($G6&gt;=30,0.5,-0.5))),0)))</f>
        <v>-2.5</v>
      </c>
      <c r="AE6" s="7" t="str">
        <f aca="false">IF($A6="","",IF($AC6="خیر","بدون سیگنال (نقدشوندگی/سررسید)",IF($AD6&gt;=TH_SBUY,"خرید قوی "&amp;$C6,IF($AD6&gt;=TH_BUY,"خرید "&amp;$C6,IF($AD6&lt;=TH_SSELL,"اجتناب / بستن موقعیت",IF($AD6&lt;=TH_SELL,"ضعیف","بی‌طرف"))))))</f>
        <v>ضعیف</v>
      </c>
      <c r="AF6" s="14" t="str">
        <f aca="false">IF($A6="","","سهم پایه: "&amp;IFERROR(TEXT($AB6,"0.0"),"—")&amp;" | وضعیت: "&amp;$Q6&amp;" | نوسان ضمنی: "&amp;IFERROR(TEXT($U6,"0%"),"—")&amp;" | بازار÷نظری: "&amp;IFERROR(TEXT($Z6,"0.00"),"—")&amp;" | اهرم: "&amp;IFERROR(TEXT($AA6,"0.0"),"—")&amp;"x"&amp;" | "&amp;$G6&amp;" روز تا سررسید")</f>
        <v>سهم پایه: 0.0 | وضعیت: OTM | نوسان ضمنی:  | بازار÷نظری:  | اهرم: x | 45 روز تا سررسید</v>
      </c>
    </row>
    <row r="7" customFormat="false" ht="15" hidden="false" customHeight="false" outlineLevel="0" collapsed="false">
      <c r="A7" s="5" t="s">
        <v>62</v>
      </c>
      <c r="B7" s="6" t="s">
        <v>63</v>
      </c>
      <c r="C7" s="7" t="s">
        <v>64</v>
      </c>
      <c r="D7" s="7" t="s">
        <v>59</v>
      </c>
      <c r="E7" s="8" t="n">
        <v>8000</v>
      </c>
      <c r="F7" s="9" t="n">
        <v>46315</v>
      </c>
      <c r="G7" s="10" t="n">
        <v>45</v>
      </c>
      <c r="H7" s="8" t="n">
        <v>505</v>
      </c>
      <c r="I7" s="8" t="n">
        <v>520</v>
      </c>
      <c r="J7" s="8" t="n">
        <v>640</v>
      </c>
      <c r="K7" s="8" t="n">
        <v>332800000</v>
      </c>
      <c r="L7" s="8" t="n">
        <v>98</v>
      </c>
      <c r="M7" s="8" t="n">
        <v>4300</v>
      </c>
      <c r="N7" s="8" t="n">
        <v>1000</v>
      </c>
      <c r="O7" s="8" t="n">
        <f aca="false">IF($A7="","",IFERROR(INDEX(Underlying!$B$1:$B$5000,MATCH($D7,Underlying!$A$1:$A$5000,0)),""))</f>
        <v>0</v>
      </c>
      <c r="P7" s="11" t="n">
        <f aca="false">IF($A7="","",IFERROR($O7/$E7,""))</f>
        <v>0</v>
      </c>
      <c r="Q7" s="7" t="str">
        <f aca="false">IF($A7="","",IF($P7="","",IF($C7="Call",IF($P7&gt;1+OPT_ATM_BAND,"ITM",IF($P7&lt;1-OPT_ATM_BAND,"OTM","ATM")),IF($P7&lt;1-OPT_ATM_BAND,"ITM",IF($P7&gt;1+OPT_ATM_BAND,"OTM","ATM")))))</f>
        <v>ITM</v>
      </c>
      <c r="R7" s="8" t="n">
        <f aca="false">IF($A7="","",IFERROR(IF($C7="Call",MAX(0,$O7-$E7),MAX(0,$E7-$O7)),""))</f>
        <v>8000</v>
      </c>
      <c r="S7" s="8" t="n">
        <f aca="false">IF($A7="","",IFERROR(MAX(0,$I7-$R7),""))</f>
        <v>0</v>
      </c>
      <c r="T7" s="11" t="n">
        <f aca="false">IF($A7="","",IFERROR($G7/365,""))</f>
        <v>0.123287671232877</v>
      </c>
      <c r="U7" s="12" t="str">
        <f aca="false">IF($A7="","",IF(OR($P7="",ABS($P7-1)&gt;3*OPT_ATM_BAND),"",IFERROR($I7/$O7*SQRT(2*PI()/$T7),"")))</f>
        <v/>
      </c>
      <c r="V7" s="11" t="str">
        <f aca="false">IF($A7="","",IFERROR((LN($O7/$E7)+(OPT_RF+OPT_VOL^2/2)*$T7)/(OPT_VOL*SQRT($T7)),""))</f>
        <v/>
      </c>
      <c r="W7" s="11" t="str">
        <f aca="false">IF($A7="","",IFERROR($V7-OPT_VOL*SQRT($T7),""))</f>
        <v/>
      </c>
      <c r="X7" s="11" t="str">
        <f aca="false">IF($A7="","",IFERROR(IF($C7="Call",NORMSDIST($V7),NORMSDIST($V7)-1),""))</f>
        <v/>
      </c>
      <c r="Y7" s="8" t="str">
        <f aca="false">IF($A7="","",IFERROR(IF($C7="Call",$O7*NORMSDIST($V7)-$E7*EXP(-OPT_RF*$T7)*NORMSDIST($W7),$E7*EXP(-OPT_RF*$T7)*NORMSDIST(-$W7)-$O7*NORMSDIST(-$V7)),""))</f>
        <v/>
      </c>
      <c r="Z7" s="11" t="str">
        <f aca="false">IF($A7="","",IFERROR($I7/$Y7,""))</f>
        <v/>
      </c>
      <c r="AA7" s="13" t="str">
        <f aca="false">IF($A7="","",IFERROR($O7*ABS($X7)/$I7,""))</f>
        <v/>
      </c>
      <c r="AB7" s="13" t="n">
        <f aca="false">IF($A7="","",IFERROR(INDEX(Underlying!$D$1:$D$5000,MATCH($D7,Underlying!$A$1:$A$5000,0)),0))</f>
        <v>0</v>
      </c>
      <c r="AC7" s="7" t="str">
        <f aca="false">IF($A7="","",IF(AND($J7&gt;=OPT_MIN_VOL,$G7&gt;=OPT_MIN_DTE),"بله","خیر"))</f>
        <v>بله</v>
      </c>
      <c r="AD7" s="13" t="n">
        <f aca="false">IF($A7="","",IF($AC7="خیر",0,IFERROR(MAX(-10,MIN(10,IF($C7="Call",$AB7,-$AB7)*0.6+IF($Z7&lt;0.85,2,IF($Z7&gt;1.25,-2,0))+IF($Q7="ATM",1,IF($Q7="ITM",0.5,-1))+IF($G7&gt;=30,0.5,-0.5))),0)))</f>
        <v>-1</v>
      </c>
      <c r="AE7" s="7" t="str">
        <f aca="false">IF($A7="","",IF($AC7="خیر","بدون سیگنال (نقدشوندگی/سررسید)",IF($AD7&gt;=TH_SBUY,"خرید قوی "&amp;$C7,IF($AD7&gt;=TH_BUY,"خرید "&amp;$C7,IF($AD7&lt;=TH_SSELL,"اجتناب / بستن موقعیت",IF($AD7&lt;=TH_SELL,"ضعیف","بی‌طرف"))))))</f>
        <v>بی‌طرف</v>
      </c>
      <c r="AF7" s="14" t="str">
        <f aca="false">IF($A7="","","سهم پایه: "&amp;IFERROR(TEXT($AB7,"0.0"),"—")&amp;" | وضعیت: "&amp;$Q7&amp;" | نوسان ضمنی: "&amp;IFERROR(TEXT($U7,"0%"),"—")&amp;" | بازار÷نظری: "&amp;IFERROR(TEXT($Z7,"0.00"),"—")&amp;" | اهرم: "&amp;IFERROR(TEXT($AA7,"0.0"),"—")&amp;"x"&amp;" | "&amp;$G7&amp;" روز تا سررسید")</f>
        <v>سهم پایه: 0.0 | وضعیت: ITM | نوسان ضمنی:  | بازار÷نظری:  | اهرم: x | 45 روز تا سررسید</v>
      </c>
    </row>
    <row r="8" customFormat="false" ht="15" hidden="false" customHeight="false" outlineLevel="0" collapsed="false">
      <c r="A8" s="5" t="s">
        <v>65</v>
      </c>
      <c r="B8" s="6" t="s">
        <v>66</v>
      </c>
      <c r="C8" s="7" t="s">
        <v>58</v>
      </c>
      <c r="D8" s="7" t="s">
        <v>67</v>
      </c>
      <c r="E8" s="8" t="n">
        <v>11000</v>
      </c>
      <c r="F8" s="9" t="n">
        <v>46295</v>
      </c>
      <c r="G8" s="10" t="n">
        <v>25</v>
      </c>
      <c r="H8" s="8" t="n">
        <v>790</v>
      </c>
      <c r="I8" s="8" t="n">
        <v>775</v>
      </c>
      <c r="J8" s="8" t="n">
        <v>2110</v>
      </c>
      <c r="K8" s="8" t="n">
        <v>1635250000</v>
      </c>
      <c r="L8" s="8" t="n">
        <v>301</v>
      </c>
      <c r="M8" s="8" t="n">
        <v>9800</v>
      </c>
      <c r="N8" s="8" t="n">
        <v>1000</v>
      </c>
      <c r="O8" s="8" t="n">
        <f aca="false">IF($A8="","",IFERROR(INDEX(Underlying!$B$1:$B$5000,MATCH($D8,Underlying!$A$1:$A$5000,0)),""))</f>
        <v>0</v>
      </c>
      <c r="P8" s="11" t="n">
        <f aca="false">IF($A8="","",IFERROR($O8/$E8,""))</f>
        <v>0</v>
      </c>
      <c r="Q8" s="7" t="str">
        <f aca="false">IF($A8="","",IF($P8="","",IF($C8="Call",IF($P8&gt;1+OPT_ATM_BAND,"ITM",IF($P8&lt;1-OPT_ATM_BAND,"OTM","ATM")),IF($P8&lt;1-OPT_ATM_BAND,"ITM",IF($P8&gt;1+OPT_ATM_BAND,"OTM","ATM")))))</f>
        <v>OTM</v>
      </c>
      <c r="R8" s="8" t="n">
        <f aca="false">IF($A8="","",IFERROR(IF($C8="Call",MAX(0,$O8-$E8),MAX(0,$E8-$O8)),""))</f>
        <v>0</v>
      </c>
      <c r="S8" s="8" t="n">
        <f aca="false">IF($A8="","",IFERROR(MAX(0,$I8-$R8),""))</f>
        <v>775</v>
      </c>
      <c r="T8" s="11" t="n">
        <f aca="false">IF($A8="","",IFERROR($G8/365,""))</f>
        <v>0.0684931506849315</v>
      </c>
      <c r="U8" s="12" t="str">
        <f aca="false">IF($A8="","",IF(OR($P8="",ABS($P8-1)&gt;3*OPT_ATM_BAND),"",IFERROR($I8/$O8*SQRT(2*PI()/$T8),"")))</f>
        <v/>
      </c>
      <c r="V8" s="11" t="str">
        <f aca="false">IF($A8="","",IFERROR((LN($O8/$E8)+(OPT_RF+OPT_VOL^2/2)*$T8)/(OPT_VOL*SQRT($T8)),""))</f>
        <v/>
      </c>
      <c r="W8" s="11" t="str">
        <f aca="false">IF($A8="","",IFERROR($V8-OPT_VOL*SQRT($T8),""))</f>
        <v/>
      </c>
      <c r="X8" s="11" t="str">
        <f aca="false">IF($A8="","",IFERROR(IF($C8="Call",NORMSDIST($V8),NORMSDIST($V8)-1),""))</f>
        <v/>
      </c>
      <c r="Y8" s="8" t="str">
        <f aca="false">IF($A8="","",IFERROR(IF($C8="Call",$O8*NORMSDIST($V8)-$E8*EXP(-OPT_RF*$T8)*NORMSDIST($W8),$E8*EXP(-OPT_RF*$T8)*NORMSDIST(-$W8)-$O8*NORMSDIST(-$V8)),""))</f>
        <v/>
      </c>
      <c r="Z8" s="11" t="str">
        <f aca="false">IF($A8="","",IFERROR($I8/$Y8,""))</f>
        <v/>
      </c>
      <c r="AA8" s="13" t="str">
        <f aca="false">IF($A8="","",IFERROR($O8*ABS($X8)/$I8,""))</f>
        <v/>
      </c>
      <c r="AB8" s="13" t="n">
        <f aca="false">IF($A8="","",IFERROR(INDEX(Underlying!$D$1:$D$5000,MATCH($D8,Underlying!$A$1:$A$5000,0)),0))</f>
        <v>0</v>
      </c>
      <c r="AC8" s="7" t="str">
        <f aca="false">IF($A8="","",IF(AND($J8&gt;=OPT_MIN_VOL,$G8&gt;=OPT_MIN_DTE),"بله","خیر"))</f>
        <v>بله</v>
      </c>
      <c r="AD8" s="13" t="n">
        <f aca="false">IF($A8="","",IF($AC8="خیر",0,IFERROR(MAX(-10,MIN(10,IF($C8="Call",$AB8,-$AB8)*0.6+IF($Z8&lt;0.85,2,IF($Z8&gt;1.25,-2,0))+IF($Q8="ATM",1,IF($Q8="ITM",0.5,-1))+IF($G8&gt;=30,0.5,-0.5))),0)))</f>
        <v>-3.5</v>
      </c>
      <c r="AE8" s="7" t="str">
        <f aca="false">IF($A8="","",IF($AC8="خیر","بدون سیگنال (نقدشوندگی/سررسید)",IF($AD8&gt;=TH_SBUY,"خرید قوی "&amp;$C8,IF($AD8&gt;=TH_BUY,"خرید "&amp;$C8,IF($AD8&lt;=TH_SSELL,"اجتناب / بستن موقعیت",IF($AD8&lt;=TH_SELL,"ضعیف","بی‌طرف"))))))</f>
        <v>ضعیف</v>
      </c>
      <c r="AF8" s="14" t="str">
        <f aca="false">IF($A8="","","سهم پایه: "&amp;IFERROR(TEXT($AB8,"0.0"),"—")&amp;" | وضعیت: "&amp;$Q8&amp;" | نوسان ضمنی: "&amp;IFERROR(TEXT($U8,"0%"),"—")&amp;" | بازار÷نظری: "&amp;IFERROR(TEXT($Z8,"0.00"),"—")&amp;" | اهرم: "&amp;IFERROR(TEXT($AA8,"0.0"),"—")&amp;"x"&amp;" | "&amp;$G8&amp;" روز تا سررسید")</f>
        <v>سهم پایه: 0.0 | وضعیت: OTM | نوسان ضمنی:  | بازار÷نظری:  | اهرم: x | 25 روز تا سررسید</v>
      </c>
    </row>
    <row r="9" customFormat="false" ht="15" hidden="false" customHeight="false" outlineLevel="0" collapsed="false">
      <c r="A9" s="5" t="s">
        <v>68</v>
      </c>
      <c r="B9" s="6" t="s">
        <v>69</v>
      </c>
      <c r="C9" s="7" t="s">
        <v>58</v>
      </c>
      <c r="D9" s="7" t="s">
        <v>67</v>
      </c>
      <c r="E9" s="8" t="n">
        <v>12000</v>
      </c>
      <c r="F9" s="9" t="n">
        <v>46295</v>
      </c>
      <c r="G9" s="10" t="n">
        <v>25</v>
      </c>
      <c r="H9" s="8" t="n">
        <v>240</v>
      </c>
      <c r="I9" s="8" t="n">
        <v>232</v>
      </c>
      <c r="J9" s="8" t="n">
        <v>180</v>
      </c>
      <c r="K9" s="8" t="n">
        <v>41760000</v>
      </c>
      <c r="L9" s="8" t="n">
        <v>34</v>
      </c>
      <c r="M9" s="8" t="n">
        <v>2100</v>
      </c>
      <c r="N9" s="8" t="n">
        <v>1000</v>
      </c>
      <c r="O9" s="8" t="n">
        <f aca="false">IF($A9="","",IFERROR(INDEX(Underlying!$B$1:$B$5000,MATCH($D9,Underlying!$A$1:$A$5000,0)),""))</f>
        <v>0</v>
      </c>
      <c r="P9" s="11" t="n">
        <f aca="false">IF($A9="","",IFERROR($O9/$E9,""))</f>
        <v>0</v>
      </c>
      <c r="Q9" s="7" t="str">
        <f aca="false">IF($A9="","",IF($P9="","",IF($C9="Call",IF($P9&gt;1+OPT_ATM_BAND,"ITM",IF($P9&lt;1-OPT_ATM_BAND,"OTM","ATM")),IF($P9&lt;1-OPT_ATM_BAND,"ITM",IF($P9&gt;1+OPT_ATM_BAND,"OTM","ATM")))))</f>
        <v>OTM</v>
      </c>
      <c r="R9" s="8" t="n">
        <f aca="false">IF($A9="","",IFERROR(IF($C9="Call",MAX(0,$O9-$E9),MAX(0,$E9-$O9)),""))</f>
        <v>0</v>
      </c>
      <c r="S9" s="8" t="n">
        <f aca="false">IF($A9="","",IFERROR(MAX(0,$I9-$R9),""))</f>
        <v>232</v>
      </c>
      <c r="T9" s="11" t="n">
        <f aca="false">IF($A9="","",IFERROR($G9/365,""))</f>
        <v>0.0684931506849315</v>
      </c>
      <c r="U9" s="12" t="str">
        <f aca="false">IF($A9="","",IF(OR($P9="",ABS($P9-1)&gt;3*OPT_ATM_BAND),"",IFERROR($I9/$O9*SQRT(2*PI()/$T9),"")))</f>
        <v/>
      </c>
      <c r="V9" s="11" t="str">
        <f aca="false">IF($A9="","",IFERROR((LN($O9/$E9)+(OPT_RF+OPT_VOL^2/2)*$T9)/(OPT_VOL*SQRT($T9)),""))</f>
        <v/>
      </c>
      <c r="W9" s="11" t="str">
        <f aca="false">IF($A9="","",IFERROR($V9-OPT_VOL*SQRT($T9),""))</f>
        <v/>
      </c>
      <c r="X9" s="11" t="str">
        <f aca="false">IF($A9="","",IFERROR(IF($C9="Call",NORMSDIST($V9),NORMSDIST($V9)-1),""))</f>
        <v/>
      </c>
      <c r="Y9" s="8" t="str">
        <f aca="false">IF($A9="","",IFERROR(IF($C9="Call",$O9*NORMSDIST($V9)-$E9*EXP(-OPT_RF*$T9)*NORMSDIST($W9),$E9*EXP(-OPT_RF*$T9)*NORMSDIST(-$W9)-$O9*NORMSDIST(-$V9)),""))</f>
        <v/>
      </c>
      <c r="Z9" s="11" t="str">
        <f aca="false">IF($A9="","",IFERROR($I9/$Y9,""))</f>
        <v/>
      </c>
      <c r="AA9" s="13" t="str">
        <f aca="false">IF($A9="","",IFERROR($O9*ABS($X9)/$I9,""))</f>
        <v/>
      </c>
      <c r="AB9" s="13" t="n">
        <f aca="false">IF($A9="","",IFERROR(INDEX(Underlying!$D$1:$D$5000,MATCH($D9,Underlying!$A$1:$A$5000,0)),0))</f>
        <v>0</v>
      </c>
      <c r="AC9" s="7" t="str">
        <f aca="false">IF($A9="","",IF(AND($J9&gt;=OPT_MIN_VOL,$G9&gt;=OPT_MIN_DTE),"بله","خیر"))</f>
        <v>بله</v>
      </c>
      <c r="AD9" s="13" t="n">
        <f aca="false">IF($A9="","",IF($AC9="خیر",0,IFERROR(MAX(-10,MIN(10,IF($C9="Call",$AB9,-$AB9)*0.6+IF($Z9&lt;0.85,2,IF($Z9&gt;1.25,-2,0))+IF($Q9="ATM",1,IF($Q9="ITM",0.5,-1))+IF($G9&gt;=30,0.5,-0.5))),0)))</f>
        <v>-3.5</v>
      </c>
      <c r="AE9" s="7" t="str">
        <f aca="false">IF($A9="","",IF($AC9="خیر","بدون سیگنال (نقدشوندگی/سررسید)",IF($AD9&gt;=TH_SBUY,"خرید قوی "&amp;$C9,IF($AD9&gt;=TH_BUY,"خرید "&amp;$C9,IF($AD9&lt;=TH_SSELL,"اجتناب / بستن موقعیت",IF($AD9&lt;=TH_SELL,"ضعیف","بی‌طرف"))))))</f>
        <v>ضعیف</v>
      </c>
      <c r="AF9" s="14" t="str">
        <f aca="false">IF($A9="","","سهم پایه: "&amp;IFERROR(TEXT($AB9,"0.0"),"—")&amp;" | وضعیت: "&amp;$Q9&amp;" | نوسان ضمنی: "&amp;IFERROR(TEXT($U9,"0%"),"—")&amp;" | بازار÷نظری: "&amp;IFERROR(TEXT($Z9,"0.00"),"—")&amp;" | اهرم: "&amp;IFERROR(TEXT($AA9,"0.0"),"—")&amp;"x"&amp;" | "&amp;$G9&amp;" روز تا سررسید")</f>
        <v>سهم پایه: 0.0 | وضعیت: OTM | نوسان ضمنی:  | بازار÷نظری:  | اهرم: x | 25 روز تا سررسید</v>
      </c>
    </row>
    <row r="10" customFormat="false" ht="15" hidden="false" customHeight="false" outlineLevel="0" collapsed="false">
      <c r="A10" s="5" t="s">
        <v>70</v>
      </c>
      <c r="B10" s="6" t="s">
        <v>71</v>
      </c>
      <c r="C10" s="7" t="s">
        <v>64</v>
      </c>
      <c r="D10" s="7" t="s">
        <v>67</v>
      </c>
      <c r="E10" s="8" t="n">
        <v>11000</v>
      </c>
      <c r="F10" s="9" t="n">
        <v>46295</v>
      </c>
      <c r="G10" s="10" t="n">
        <v>25</v>
      </c>
      <c r="H10" s="8" t="n">
        <v>700</v>
      </c>
      <c r="I10" s="8" t="n">
        <v>690</v>
      </c>
      <c r="J10" s="8" t="n">
        <v>60</v>
      </c>
      <c r="K10" s="8" t="n">
        <v>41400000</v>
      </c>
      <c r="L10" s="8" t="n">
        <v>12</v>
      </c>
      <c r="M10" s="8" t="n">
        <v>1450</v>
      </c>
      <c r="N10" s="8" t="n">
        <v>1000</v>
      </c>
      <c r="O10" s="8" t="n">
        <f aca="false">IF($A10="","",IFERROR(INDEX(Underlying!$B$1:$B$5000,MATCH($D10,Underlying!$A$1:$A$5000,0)),""))</f>
        <v>0</v>
      </c>
      <c r="P10" s="11" t="n">
        <f aca="false">IF($A10="","",IFERROR($O10/$E10,""))</f>
        <v>0</v>
      </c>
      <c r="Q10" s="7" t="str">
        <f aca="false">IF($A10="","",IF($P10="","",IF($C10="Call",IF($P10&gt;1+OPT_ATM_BAND,"ITM",IF($P10&lt;1-OPT_ATM_BAND,"OTM","ATM")),IF($P10&lt;1-OPT_ATM_BAND,"ITM",IF($P10&gt;1+OPT_ATM_BAND,"OTM","ATM")))))</f>
        <v>ITM</v>
      </c>
      <c r="R10" s="8" t="n">
        <f aca="false">IF($A10="","",IFERROR(IF($C10="Call",MAX(0,$O10-$E10),MAX(0,$E10-$O10)),""))</f>
        <v>11000</v>
      </c>
      <c r="S10" s="8" t="n">
        <f aca="false">IF($A10="","",IFERROR(MAX(0,$I10-$R10),""))</f>
        <v>0</v>
      </c>
      <c r="T10" s="11" t="n">
        <f aca="false">IF($A10="","",IFERROR($G10/365,""))</f>
        <v>0.0684931506849315</v>
      </c>
      <c r="U10" s="12" t="str">
        <f aca="false">IF($A10="","",IF(OR($P10="",ABS($P10-1)&gt;3*OPT_ATM_BAND),"",IFERROR($I10/$O10*SQRT(2*PI()/$T10),"")))</f>
        <v/>
      </c>
      <c r="V10" s="11" t="str">
        <f aca="false">IF($A10="","",IFERROR((LN($O10/$E10)+(OPT_RF+OPT_VOL^2/2)*$T10)/(OPT_VOL*SQRT($T10)),""))</f>
        <v/>
      </c>
      <c r="W10" s="11" t="str">
        <f aca="false">IF($A10="","",IFERROR($V10-OPT_VOL*SQRT($T10),""))</f>
        <v/>
      </c>
      <c r="X10" s="11" t="str">
        <f aca="false">IF($A10="","",IFERROR(IF($C10="Call",NORMSDIST($V10),NORMSDIST($V10)-1),""))</f>
        <v/>
      </c>
      <c r="Y10" s="8" t="str">
        <f aca="false">IF($A10="","",IFERROR(IF($C10="Call",$O10*NORMSDIST($V10)-$E10*EXP(-OPT_RF*$T10)*NORMSDIST($W10),$E10*EXP(-OPT_RF*$T10)*NORMSDIST(-$W10)-$O10*NORMSDIST(-$V10)),""))</f>
        <v/>
      </c>
      <c r="Z10" s="11" t="str">
        <f aca="false">IF($A10="","",IFERROR($I10/$Y10,""))</f>
        <v/>
      </c>
      <c r="AA10" s="13" t="str">
        <f aca="false">IF($A10="","",IFERROR($O10*ABS($X10)/$I10,""))</f>
        <v/>
      </c>
      <c r="AB10" s="13" t="n">
        <f aca="false">IF($A10="","",IFERROR(INDEX(Underlying!$D$1:$D$5000,MATCH($D10,Underlying!$A$1:$A$5000,0)),0))</f>
        <v>0</v>
      </c>
      <c r="AC10" s="7" t="str">
        <f aca="false">IF($A10="","",IF(AND($J10&gt;=OPT_MIN_VOL,$G10&gt;=OPT_MIN_DTE),"بله","خیر"))</f>
        <v>خیر</v>
      </c>
      <c r="AD10" s="13" t="n">
        <f aca="false">IF($A10="","",IF($AC10="خیر",0,IFERROR(MAX(-10,MIN(10,IF($C10="Call",$AB10,-$AB10)*0.6+IF($Z10&lt;0.85,2,IF($Z10&gt;1.25,-2,0))+IF($Q10="ATM",1,IF($Q10="ITM",0.5,-1))+IF($G10&gt;=30,0.5,-0.5))),0)))</f>
        <v>0</v>
      </c>
      <c r="AE10" s="7" t="str">
        <f aca="false">IF($A10="","",IF($AC10="خیر","بدون سیگنال (نقدشوندگی/سررسید)",IF($AD10&gt;=TH_SBUY,"خرید قوی "&amp;$C10,IF($AD10&gt;=TH_BUY,"خرید "&amp;$C10,IF($AD10&lt;=TH_SSELL,"اجتناب / بستن موقعیت",IF($AD10&lt;=TH_SELL,"ضعیف","بی‌طرف"))))))</f>
        <v>بدون سیگنال (نقدشوندگی/سررسید)</v>
      </c>
      <c r="AF10" s="14" t="str">
        <f aca="false">IF($A10="","","سهم پایه: "&amp;IFERROR(TEXT($AB10,"0.0"),"—")&amp;" | وضعیت: "&amp;$Q10&amp;" | نوسان ضمنی: "&amp;IFERROR(TEXT($U10,"0%"),"—")&amp;" | بازار÷نظری: "&amp;IFERROR(TEXT($Z10,"0.00"),"—")&amp;" | اهرم: "&amp;IFERROR(TEXT($AA10,"0.0"),"—")&amp;"x"&amp;" | "&amp;$G10&amp;" روز تا سررسید")</f>
        <v>سهم پایه: 0.0 | وضعیت: ITM | نوسان ضمنی:  | بازار÷نظری:  | اهرم: x | 25 روز تا سررسید</v>
      </c>
    </row>
    <row r="11" customFormat="false" ht="15" hidden="false" customHeight="false" outlineLevel="0" collapsed="false">
      <c r="A11" s="5" t="s">
        <v>72</v>
      </c>
      <c r="B11" s="6" t="s">
        <v>73</v>
      </c>
      <c r="C11" s="7" t="s">
        <v>58</v>
      </c>
      <c r="D11" s="7" t="s">
        <v>74</v>
      </c>
      <c r="E11" s="8" t="n">
        <v>2500</v>
      </c>
      <c r="F11" s="9" t="n">
        <v>46287</v>
      </c>
      <c r="G11" s="10" t="n">
        <v>17</v>
      </c>
      <c r="H11" s="8" t="n">
        <v>1560</v>
      </c>
      <c r="I11" s="8" t="n">
        <v>1545</v>
      </c>
      <c r="J11" s="8" t="n">
        <v>940</v>
      </c>
      <c r="K11" s="8" t="n">
        <v>1452300000</v>
      </c>
      <c r="L11" s="8" t="n">
        <v>155</v>
      </c>
      <c r="M11" s="8" t="n">
        <v>6700</v>
      </c>
      <c r="N11" s="8" t="n">
        <v>1000</v>
      </c>
      <c r="O11" s="8" t="n">
        <f aca="false">IF($A11="","",IFERROR(INDEX(Underlying!$B$1:$B$5000,MATCH($D11,Underlying!$A$1:$A$5000,0)),""))</f>
        <v>0</v>
      </c>
      <c r="P11" s="11" t="n">
        <f aca="false">IF($A11="","",IFERROR($O11/$E11,""))</f>
        <v>0</v>
      </c>
      <c r="Q11" s="7" t="str">
        <f aca="false">IF($A11="","",IF($P11="","",IF($C11="Call",IF($P11&gt;1+OPT_ATM_BAND,"ITM",IF($P11&lt;1-OPT_ATM_BAND,"OTM","ATM")),IF($P11&lt;1-OPT_ATM_BAND,"ITM",IF($P11&gt;1+OPT_ATM_BAND,"OTM","ATM")))))</f>
        <v>OTM</v>
      </c>
      <c r="R11" s="8" t="n">
        <f aca="false">IF($A11="","",IFERROR(IF($C11="Call",MAX(0,$O11-$E11),MAX(0,$E11-$O11)),""))</f>
        <v>0</v>
      </c>
      <c r="S11" s="8" t="n">
        <f aca="false">IF($A11="","",IFERROR(MAX(0,$I11-$R11),""))</f>
        <v>1545</v>
      </c>
      <c r="T11" s="11" t="n">
        <f aca="false">IF($A11="","",IFERROR($G11/365,""))</f>
        <v>0.0465753424657534</v>
      </c>
      <c r="U11" s="12" t="str">
        <f aca="false">IF($A11="","",IF(OR($P11="",ABS($P11-1)&gt;3*OPT_ATM_BAND),"",IFERROR($I11/$O11*SQRT(2*PI()/$T11),"")))</f>
        <v/>
      </c>
      <c r="V11" s="11" t="str">
        <f aca="false">IF($A11="","",IFERROR((LN($O11/$E11)+(OPT_RF+OPT_VOL^2/2)*$T11)/(OPT_VOL*SQRT($T11)),""))</f>
        <v/>
      </c>
      <c r="W11" s="11" t="str">
        <f aca="false">IF($A11="","",IFERROR($V11-OPT_VOL*SQRT($T11),""))</f>
        <v/>
      </c>
      <c r="X11" s="11" t="str">
        <f aca="false">IF($A11="","",IFERROR(IF($C11="Call",NORMSDIST($V11),NORMSDIST($V11)-1),""))</f>
        <v/>
      </c>
      <c r="Y11" s="8" t="str">
        <f aca="false">IF($A11="","",IFERROR(IF($C11="Call",$O11*NORMSDIST($V11)-$E11*EXP(-OPT_RF*$T11)*NORMSDIST($W11),$E11*EXP(-OPT_RF*$T11)*NORMSDIST(-$W11)-$O11*NORMSDIST(-$V11)),""))</f>
        <v/>
      </c>
      <c r="Z11" s="11" t="str">
        <f aca="false">IF($A11="","",IFERROR($I11/$Y11,""))</f>
        <v/>
      </c>
      <c r="AA11" s="13" t="str">
        <f aca="false">IF($A11="","",IFERROR($O11*ABS($X11)/$I11,""))</f>
        <v/>
      </c>
      <c r="AB11" s="13" t="n">
        <f aca="false">IF($A11="","",IFERROR(INDEX(Underlying!$D$1:$D$5000,MATCH($D11,Underlying!$A$1:$A$5000,0)),0))</f>
        <v>0</v>
      </c>
      <c r="AC11" s="7" t="str">
        <f aca="false">IF($A11="","",IF(AND($J11&gt;=OPT_MIN_VOL,$G11&gt;=OPT_MIN_DTE),"بله","خیر"))</f>
        <v>بله</v>
      </c>
      <c r="AD11" s="13" t="n">
        <f aca="false">IF($A11="","",IF($AC11="خیر",0,IFERROR(MAX(-10,MIN(10,IF($C11="Call",$AB11,-$AB11)*0.6+IF($Z11&lt;0.85,2,IF($Z11&gt;1.25,-2,0))+IF($Q11="ATM",1,IF($Q11="ITM",0.5,-1))+IF($G11&gt;=30,0.5,-0.5))),0)))</f>
        <v>-3.5</v>
      </c>
      <c r="AE11" s="7" t="str">
        <f aca="false">IF($A11="","",IF($AC11="خیر","بدون سیگنال (نقدشوندگی/سررسید)",IF($AD11&gt;=TH_SBUY,"خرید قوی "&amp;$C11,IF($AD11&gt;=TH_BUY,"خرید "&amp;$C11,IF($AD11&lt;=TH_SSELL,"اجتناب / بستن موقعیت",IF($AD11&lt;=TH_SELL,"ضعیف","بی‌طرف"))))))</f>
        <v>ضعیف</v>
      </c>
      <c r="AF11" s="14" t="str">
        <f aca="false">IF($A11="","","سهم پایه: "&amp;IFERROR(TEXT($AB11,"0.0"),"—")&amp;" | وضعیت: "&amp;$Q11&amp;" | نوسان ضمنی: "&amp;IFERROR(TEXT($U11,"0%"),"—")&amp;" | بازار÷نظری: "&amp;IFERROR(TEXT($Z11,"0.00"),"—")&amp;" | اهرم: "&amp;IFERROR(TEXT($AA11,"0.0"),"—")&amp;"x"&amp;" | "&amp;$G11&amp;" روز تا سررسید")</f>
        <v>سهم پایه: 0.0 | وضعیت: OTM | نوسان ضمنی:  | بازار÷نظری:  | اهرم: x | 17 روز تا سررسید</v>
      </c>
    </row>
    <row r="12" customFormat="false" ht="15" hidden="false" customHeight="false" outlineLevel="0" collapsed="false">
      <c r="A12" s="5" t="s">
        <v>75</v>
      </c>
      <c r="B12" s="6" t="s">
        <v>76</v>
      </c>
      <c r="C12" s="7" t="s">
        <v>64</v>
      </c>
      <c r="D12" s="7" t="s">
        <v>74</v>
      </c>
      <c r="E12" s="8" t="n">
        <v>4000</v>
      </c>
      <c r="F12" s="9" t="n">
        <v>46287</v>
      </c>
      <c r="G12" s="10" t="n">
        <v>17</v>
      </c>
      <c r="H12" s="8" t="n">
        <v>380</v>
      </c>
      <c r="I12" s="8" t="n">
        <v>395</v>
      </c>
      <c r="J12" s="8" t="n">
        <v>1320</v>
      </c>
      <c r="K12" s="8" t="n">
        <v>521400000</v>
      </c>
      <c r="L12" s="8" t="n">
        <v>201</v>
      </c>
      <c r="M12" s="8" t="n">
        <v>7900</v>
      </c>
      <c r="N12" s="8" t="n">
        <v>1000</v>
      </c>
      <c r="O12" s="8" t="n">
        <f aca="false">IF($A12="","",IFERROR(INDEX(Underlying!$B$1:$B$5000,MATCH($D12,Underlying!$A$1:$A$5000,0)),""))</f>
        <v>0</v>
      </c>
      <c r="P12" s="11" t="n">
        <f aca="false">IF($A12="","",IFERROR($O12/$E12,""))</f>
        <v>0</v>
      </c>
      <c r="Q12" s="7" t="str">
        <f aca="false">IF($A12="","",IF($P12="","",IF($C12="Call",IF($P12&gt;1+OPT_ATM_BAND,"ITM",IF($P12&lt;1-OPT_ATM_BAND,"OTM","ATM")),IF($P12&lt;1-OPT_ATM_BAND,"ITM",IF($P12&gt;1+OPT_ATM_BAND,"OTM","ATM")))))</f>
        <v>ITM</v>
      </c>
      <c r="R12" s="8" t="n">
        <f aca="false">IF($A12="","",IFERROR(IF($C12="Call",MAX(0,$O12-$E12),MAX(0,$E12-$O12)),""))</f>
        <v>4000</v>
      </c>
      <c r="S12" s="8" t="n">
        <f aca="false">IF($A12="","",IFERROR(MAX(0,$I12-$R12),""))</f>
        <v>0</v>
      </c>
      <c r="T12" s="11" t="n">
        <f aca="false">IF($A12="","",IFERROR($G12/365,""))</f>
        <v>0.0465753424657534</v>
      </c>
      <c r="U12" s="12" t="str">
        <f aca="false">IF($A12="","",IF(OR($P12="",ABS($P12-1)&gt;3*OPT_ATM_BAND),"",IFERROR($I12/$O12*SQRT(2*PI()/$T12),"")))</f>
        <v/>
      </c>
      <c r="V12" s="11" t="str">
        <f aca="false">IF($A12="","",IFERROR((LN($O12/$E12)+(OPT_RF+OPT_VOL^2/2)*$T12)/(OPT_VOL*SQRT($T12)),""))</f>
        <v/>
      </c>
      <c r="W12" s="11" t="str">
        <f aca="false">IF($A12="","",IFERROR($V12-OPT_VOL*SQRT($T12),""))</f>
        <v/>
      </c>
      <c r="X12" s="11" t="str">
        <f aca="false">IF($A12="","",IFERROR(IF($C12="Call",NORMSDIST($V12),NORMSDIST($V12)-1),""))</f>
        <v/>
      </c>
      <c r="Y12" s="8" t="str">
        <f aca="false">IF($A12="","",IFERROR(IF($C12="Call",$O12*NORMSDIST($V12)-$E12*EXP(-OPT_RF*$T12)*NORMSDIST($W12),$E12*EXP(-OPT_RF*$T12)*NORMSDIST(-$W12)-$O12*NORMSDIST(-$V12)),""))</f>
        <v/>
      </c>
      <c r="Z12" s="11" t="str">
        <f aca="false">IF($A12="","",IFERROR($I12/$Y12,""))</f>
        <v/>
      </c>
      <c r="AA12" s="13" t="str">
        <f aca="false">IF($A12="","",IFERROR($O12*ABS($X12)/$I12,""))</f>
        <v/>
      </c>
      <c r="AB12" s="13" t="n">
        <f aca="false">IF($A12="","",IFERROR(INDEX(Underlying!$D$1:$D$5000,MATCH($D12,Underlying!$A$1:$A$5000,0)),0))</f>
        <v>0</v>
      </c>
      <c r="AC12" s="7" t="str">
        <f aca="false">IF($A12="","",IF(AND($J12&gt;=OPT_MIN_VOL,$G12&gt;=OPT_MIN_DTE),"بله","خیر"))</f>
        <v>بله</v>
      </c>
      <c r="AD12" s="13" t="n">
        <f aca="false">IF($A12="","",IF($AC12="خیر",0,IFERROR(MAX(-10,MIN(10,IF($C12="Call",$AB12,-$AB12)*0.6+IF($Z12&lt;0.85,2,IF($Z12&gt;1.25,-2,0))+IF($Q12="ATM",1,IF($Q12="ITM",0.5,-1))+IF($G12&gt;=30,0.5,-0.5))),0)))</f>
        <v>-2</v>
      </c>
      <c r="AE12" s="7" t="str">
        <f aca="false">IF($A12="","",IF($AC12="خیر","بدون سیگنال (نقدشوندگی/سررسید)",IF($AD12&gt;=TH_SBUY,"خرید قوی "&amp;$C12,IF($AD12&gt;=TH_BUY,"خرید "&amp;$C12,IF($AD12&lt;=TH_SSELL,"اجتناب / بستن موقعیت",IF($AD12&lt;=TH_SELL,"ضعیف","بی‌طرف"))))))</f>
        <v>ضعیف</v>
      </c>
      <c r="AF12" s="14" t="str">
        <f aca="false">IF($A12="","","سهم پایه: "&amp;IFERROR(TEXT($AB12,"0.0"),"—")&amp;" | وضعیت: "&amp;$Q12&amp;" | نوسان ضمنی: "&amp;IFERROR(TEXT($U12,"0%"),"—")&amp;" | بازار÷نظری: "&amp;IFERROR(TEXT($Z12,"0.00"),"—")&amp;" | اهرم: "&amp;IFERROR(TEXT($AA12,"0.0"),"—")&amp;"x"&amp;" | "&amp;$G12&amp;" روز تا سررسید")</f>
        <v>سهم پایه: 0.0 | وضعیت: ITM | نوسان ضمنی:  | بازار÷نظری:  | اهرم: x | 17 روز تا سررسید</v>
      </c>
    </row>
    <row r="13" customFormat="false" ht="15" hidden="false" customHeight="false" outlineLevel="0" collapsed="false">
      <c r="A13" s="5"/>
      <c r="B13" s="6"/>
      <c r="C13" s="7"/>
      <c r="D13" s="7"/>
      <c r="E13" s="8"/>
      <c r="F13" s="9"/>
      <c r="G13" s="10"/>
      <c r="H13" s="8"/>
      <c r="I13" s="8"/>
      <c r="J13" s="8"/>
      <c r="K13" s="8"/>
      <c r="L13" s="8"/>
      <c r="M13" s="8"/>
      <c r="N13" s="8"/>
      <c r="O13" s="8" t="str">
        <f aca="false">IF($A13="","",IFERROR(INDEX(Underlying!$B$1:$B$5000,MATCH($D13,Underlying!$A$1:$A$5000,0)),""))</f>
        <v/>
      </c>
      <c r="P13" s="11" t="str">
        <f aca="false">IF($A13="","",IFERROR($O13/$E13,""))</f>
        <v/>
      </c>
      <c r="Q13" s="7" t="str">
        <f aca="false">IF($A13="","",IF($P13="","",IF($C13="Call",IF($P13&gt;1+OPT_ATM_BAND,"ITM",IF($P13&lt;1-OPT_ATM_BAND,"OTM","ATM")),IF($P13&lt;1-OPT_ATM_BAND,"ITM",IF($P13&gt;1+OPT_ATM_BAND,"OTM","ATM")))))</f>
        <v/>
      </c>
      <c r="R13" s="8" t="str">
        <f aca="false">IF($A13="","",IFERROR(IF($C13="Call",MAX(0,$O13-$E13),MAX(0,$E13-$O13)),""))</f>
        <v/>
      </c>
      <c r="S13" s="8" t="str">
        <f aca="false">IF($A13="","",IFERROR(MAX(0,$I13-$R13),""))</f>
        <v/>
      </c>
      <c r="T13" s="11" t="str">
        <f aca="false">IF($A13="","",IFERROR($G13/365,""))</f>
        <v/>
      </c>
      <c r="U13" s="12" t="str">
        <f aca="false">IF($A13="","",IF(OR($P13="",ABS($P13-1)&gt;3*OPT_ATM_BAND),"",IFERROR($I13/$O13*SQRT(2*PI()/$T13),"")))</f>
        <v/>
      </c>
      <c r="V13" s="11" t="str">
        <f aca="false">IF($A13="","",IFERROR((LN($O13/$E13)+(OPT_RF+OPT_VOL^2/2)*$T13)/(OPT_VOL*SQRT($T13)),""))</f>
        <v/>
      </c>
      <c r="W13" s="11" t="str">
        <f aca="false">IF($A13="","",IFERROR($V13-OPT_VOL*SQRT($T13),""))</f>
        <v/>
      </c>
      <c r="X13" s="11" t="str">
        <f aca="false">IF($A13="","",IFERROR(IF($C13="Call",NORMSDIST($V13),NORMSDIST($V13)-1),""))</f>
        <v/>
      </c>
      <c r="Y13" s="8" t="str">
        <f aca="false">IF($A13="","",IFERROR(IF($C13="Call",$O13*NORMSDIST($V13)-$E13*EXP(-OPT_RF*$T13)*NORMSDIST($W13),$E13*EXP(-OPT_RF*$T13)*NORMSDIST(-$W13)-$O13*NORMSDIST(-$V13)),""))</f>
        <v/>
      </c>
      <c r="Z13" s="11" t="str">
        <f aca="false">IF($A13="","",IFERROR($I13/$Y13,""))</f>
        <v/>
      </c>
      <c r="AA13" s="13" t="str">
        <f aca="false">IF($A13="","",IFERROR($O13*ABS($X13)/$I13,""))</f>
        <v/>
      </c>
      <c r="AB13" s="13" t="str">
        <f aca="false">IF($A13="","",IFERROR(INDEX(Underlying!$D$1:$D$5000,MATCH($D13,Underlying!$A$1:$A$5000,0)),0))</f>
        <v/>
      </c>
      <c r="AC13" s="7" t="str">
        <f aca="false">IF($A13="","",IF(AND($J13&gt;=OPT_MIN_VOL,$G13&gt;=OPT_MIN_DTE),"بله","خیر"))</f>
        <v/>
      </c>
      <c r="AD13" s="13" t="str">
        <f aca="false">IF($A13="","",IF($AC13="خیر",0,IFERROR(MAX(-10,MIN(10,IF($C13="Call",$AB13,-$AB13)*0.6+IF($Z13&lt;0.85,2,IF($Z13&gt;1.25,-2,0))+IF($Q13="ATM",1,IF($Q13="ITM",0.5,-1))+IF($G13&gt;=30,0.5,-0.5))),0)))</f>
        <v/>
      </c>
      <c r="AE13" s="7" t="str">
        <f aca="false">IF($A13="","",IF($AC13="خیر","بدون سیگنال (نقدشوندگی/سررسید)",IF($AD13&gt;=TH_SBUY,"خرید قوی "&amp;$C13,IF($AD13&gt;=TH_BUY,"خرید "&amp;$C13,IF($AD13&lt;=TH_SSELL,"اجتناب / بستن موقعیت",IF($AD13&lt;=TH_SELL,"ضعیف","بی‌طرف"))))))</f>
        <v/>
      </c>
      <c r="AF13" s="14" t="str">
        <f aca="false">IF($A13="","","سهم پایه: "&amp;IFERROR(TEXT($AB13,"0.0"),"—")&amp;" | وضعیت: "&amp;$Q13&amp;" | نوسان ضمنی: "&amp;IFERROR(TEXT($U13,"0%"),"—")&amp;" | بازار÷نظری: "&amp;IFERROR(TEXT($Z13,"0.00"),"—")&amp;" | اهرم: "&amp;IFERROR(TEXT($AA13,"0.0"),"—")&amp;"x"&amp;" | "&amp;$G13&amp;" روز تا سررسید")</f>
        <v/>
      </c>
    </row>
    <row r="14" customFormat="false" ht="15" hidden="false" customHeight="false" outlineLevel="0" collapsed="false">
      <c r="A14" s="5"/>
      <c r="B14" s="6"/>
      <c r="C14" s="7"/>
      <c r="D14" s="7"/>
      <c r="E14" s="8"/>
      <c r="F14" s="9"/>
      <c r="G14" s="10"/>
      <c r="H14" s="8"/>
      <c r="I14" s="8"/>
      <c r="J14" s="8"/>
      <c r="K14" s="8"/>
      <c r="L14" s="8"/>
      <c r="M14" s="8"/>
      <c r="N14" s="8"/>
      <c r="O14" s="8" t="str">
        <f aca="false">IF($A14="","",IFERROR(INDEX(Underlying!$B$1:$B$5000,MATCH($D14,Underlying!$A$1:$A$5000,0)),""))</f>
        <v/>
      </c>
      <c r="P14" s="11" t="str">
        <f aca="false">IF($A14="","",IFERROR($O14/$E14,""))</f>
        <v/>
      </c>
      <c r="Q14" s="7" t="str">
        <f aca="false">IF($A14="","",IF($P14="","",IF($C14="Call",IF($P14&gt;1+OPT_ATM_BAND,"ITM",IF($P14&lt;1-OPT_ATM_BAND,"OTM","ATM")),IF($P14&lt;1-OPT_ATM_BAND,"ITM",IF($P14&gt;1+OPT_ATM_BAND,"OTM","ATM")))))</f>
        <v/>
      </c>
      <c r="R14" s="8" t="str">
        <f aca="false">IF($A14="","",IFERROR(IF($C14="Call",MAX(0,$O14-$E14),MAX(0,$E14-$O14)),""))</f>
        <v/>
      </c>
      <c r="S14" s="8" t="str">
        <f aca="false">IF($A14="","",IFERROR(MAX(0,$I14-$R14),""))</f>
        <v/>
      </c>
      <c r="T14" s="11" t="str">
        <f aca="false">IF($A14="","",IFERROR($G14/365,""))</f>
        <v/>
      </c>
      <c r="U14" s="12" t="str">
        <f aca="false">IF($A14="","",IF(OR($P14="",ABS($P14-1)&gt;3*OPT_ATM_BAND),"",IFERROR($I14/$O14*SQRT(2*PI()/$T14),"")))</f>
        <v/>
      </c>
      <c r="V14" s="11" t="str">
        <f aca="false">IF($A14="","",IFERROR((LN($O14/$E14)+(OPT_RF+OPT_VOL^2/2)*$T14)/(OPT_VOL*SQRT($T14)),""))</f>
        <v/>
      </c>
      <c r="W14" s="11" t="str">
        <f aca="false">IF($A14="","",IFERROR($V14-OPT_VOL*SQRT($T14),""))</f>
        <v/>
      </c>
      <c r="X14" s="11" t="str">
        <f aca="false">IF($A14="","",IFERROR(IF($C14="Call",NORMSDIST($V14),NORMSDIST($V14)-1),""))</f>
        <v/>
      </c>
      <c r="Y14" s="8" t="str">
        <f aca="false">IF($A14="","",IFERROR(IF($C14="Call",$O14*NORMSDIST($V14)-$E14*EXP(-OPT_RF*$T14)*NORMSDIST($W14),$E14*EXP(-OPT_RF*$T14)*NORMSDIST(-$W14)-$O14*NORMSDIST(-$V14)),""))</f>
        <v/>
      </c>
      <c r="Z14" s="11" t="str">
        <f aca="false">IF($A14="","",IFERROR($I14/$Y14,""))</f>
        <v/>
      </c>
      <c r="AA14" s="13" t="str">
        <f aca="false">IF($A14="","",IFERROR($O14*ABS($X14)/$I14,""))</f>
        <v/>
      </c>
      <c r="AB14" s="13" t="str">
        <f aca="false">IF($A14="","",IFERROR(INDEX(Underlying!$D$1:$D$5000,MATCH($D14,Underlying!$A$1:$A$5000,0)),0))</f>
        <v/>
      </c>
      <c r="AC14" s="7" t="str">
        <f aca="false">IF($A14="","",IF(AND($J14&gt;=OPT_MIN_VOL,$G14&gt;=OPT_MIN_DTE),"بله","خیر"))</f>
        <v/>
      </c>
      <c r="AD14" s="13" t="str">
        <f aca="false">IF($A14="","",IF($AC14="خیر",0,IFERROR(MAX(-10,MIN(10,IF($C14="Call",$AB14,-$AB14)*0.6+IF($Z14&lt;0.85,2,IF($Z14&gt;1.25,-2,0))+IF($Q14="ATM",1,IF($Q14="ITM",0.5,-1))+IF($G14&gt;=30,0.5,-0.5))),0)))</f>
        <v/>
      </c>
      <c r="AE14" s="7" t="str">
        <f aca="false">IF($A14="","",IF($AC14="خیر","بدون سیگنال (نقدشوندگی/سررسید)",IF($AD14&gt;=TH_SBUY,"خرید قوی "&amp;$C14,IF($AD14&gt;=TH_BUY,"خرید "&amp;$C14,IF($AD14&lt;=TH_SSELL,"اجتناب / بستن موقعیت",IF($AD14&lt;=TH_SELL,"ضعیف","بی‌طرف"))))))</f>
        <v/>
      </c>
      <c r="AF14" s="14" t="str">
        <f aca="false">IF($A14="","","سهم پایه: "&amp;IFERROR(TEXT($AB14,"0.0"),"—")&amp;" | وضعیت: "&amp;$Q14&amp;" | نوسان ضمنی: "&amp;IFERROR(TEXT($U14,"0%"),"—")&amp;" | بازار÷نظری: "&amp;IFERROR(TEXT($Z14,"0.00"),"—")&amp;" | اهرم: "&amp;IFERROR(TEXT($AA14,"0.0"),"—")&amp;"x"&amp;" | "&amp;$G14&amp;" روز تا سررسید")</f>
        <v/>
      </c>
    </row>
    <row r="15" customFormat="false" ht="15" hidden="false" customHeight="false" outlineLevel="0" collapsed="false">
      <c r="A15" s="5"/>
      <c r="B15" s="6"/>
      <c r="C15" s="7"/>
      <c r="D15" s="7"/>
      <c r="E15" s="8"/>
      <c r="F15" s="9"/>
      <c r="G15" s="10"/>
      <c r="H15" s="8"/>
      <c r="I15" s="8"/>
      <c r="J15" s="8"/>
      <c r="K15" s="8"/>
      <c r="L15" s="8"/>
      <c r="M15" s="8"/>
      <c r="N15" s="8"/>
      <c r="O15" s="8" t="str">
        <f aca="false">IF($A15="","",IFERROR(INDEX(Underlying!$B$1:$B$5000,MATCH($D15,Underlying!$A$1:$A$5000,0)),""))</f>
        <v/>
      </c>
      <c r="P15" s="11" t="str">
        <f aca="false">IF($A15="","",IFERROR($O15/$E15,""))</f>
        <v/>
      </c>
      <c r="Q15" s="7" t="str">
        <f aca="false">IF($A15="","",IF($P15="","",IF($C15="Call",IF($P15&gt;1+OPT_ATM_BAND,"ITM",IF($P15&lt;1-OPT_ATM_BAND,"OTM","ATM")),IF($P15&lt;1-OPT_ATM_BAND,"ITM",IF($P15&gt;1+OPT_ATM_BAND,"OTM","ATM")))))</f>
        <v/>
      </c>
      <c r="R15" s="8" t="str">
        <f aca="false">IF($A15="","",IFERROR(IF($C15="Call",MAX(0,$O15-$E15),MAX(0,$E15-$O15)),""))</f>
        <v/>
      </c>
      <c r="S15" s="8" t="str">
        <f aca="false">IF($A15="","",IFERROR(MAX(0,$I15-$R15),""))</f>
        <v/>
      </c>
      <c r="T15" s="11" t="str">
        <f aca="false">IF($A15="","",IFERROR($G15/365,""))</f>
        <v/>
      </c>
      <c r="U15" s="12" t="str">
        <f aca="false">IF($A15="","",IF(OR($P15="",ABS($P15-1)&gt;3*OPT_ATM_BAND),"",IFERROR($I15/$O15*SQRT(2*PI()/$T15),"")))</f>
        <v/>
      </c>
      <c r="V15" s="11" t="str">
        <f aca="false">IF($A15="","",IFERROR((LN($O15/$E15)+(OPT_RF+OPT_VOL^2/2)*$T15)/(OPT_VOL*SQRT($T15)),""))</f>
        <v/>
      </c>
      <c r="W15" s="11" t="str">
        <f aca="false">IF($A15="","",IFERROR($V15-OPT_VOL*SQRT($T15),""))</f>
        <v/>
      </c>
      <c r="X15" s="11" t="str">
        <f aca="false">IF($A15="","",IFERROR(IF($C15="Call",NORMSDIST($V15),NORMSDIST($V15)-1),""))</f>
        <v/>
      </c>
      <c r="Y15" s="8" t="str">
        <f aca="false">IF($A15="","",IFERROR(IF($C15="Call",$O15*NORMSDIST($V15)-$E15*EXP(-OPT_RF*$T15)*NORMSDIST($W15),$E15*EXP(-OPT_RF*$T15)*NORMSDIST(-$W15)-$O15*NORMSDIST(-$V15)),""))</f>
        <v/>
      </c>
      <c r="Z15" s="11" t="str">
        <f aca="false">IF($A15="","",IFERROR($I15/$Y15,""))</f>
        <v/>
      </c>
      <c r="AA15" s="13" t="str">
        <f aca="false">IF($A15="","",IFERROR($O15*ABS($X15)/$I15,""))</f>
        <v/>
      </c>
      <c r="AB15" s="13" t="str">
        <f aca="false">IF($A15="","",IFERROR(INDEX(Underlying!$D$1:$D$5000,MATCH($D15,Underlying!$A$1:$A$5000,0)),0))</f>
        <v/>
      </c>
      <c r="AC15" s="7" t="str">
        <f aca="false">IF($A15="","",IF(AND($J15&gt;=OPT_MIN_VOL,$G15&gt;=OPT_MIN_DTE),"بله","خیر"))</f>
        <v/>
      </c>
      <c r="AD15" s="13" t="str">
        <f aca="false">IF($A15="","",IF($AC15="خیر",0,IFERROR(MAX(-10,MIN(10,IF($C15="Call",$AB15,-$AB15)*0.6+IF($Z15&lt;0.85,2,IF($Z15&gt;1.25,-2,0))+IF($Q15="ATM",1,IF($Q15="ITM",0.5,-1))+IF($G15&gt;=30,0.5,-0.5))),0)))</f>
        <v/>
      </c>
      <c r="AE15" s="7" t="str">
        <f aca="false">IF($A15="","",IF($AC15="خیر","بدون سیگنال (نقدشوندگی/سررسید)",IF($AD15&gt;=TH_SBUY,"خرید قوی "&amp;$C15,IF($AD15&gt;=TH_BUY,"خرید "&amp;$C15,IF($AD15&lt;=TH_SSELL,"اجتناب / بستن موقعیت",IF($AD15&lt;=TH_SELL,"ضعیف","بی‌طرف"))))))</f>
        <v/>
      </c>
      <c r="AF15" s="14" t="str">
        <f aca="false">IF($A15="","","سهم پایه: "&amp;IFERROR(TEXT($AB15,"0.0"),"—")&amp;" | وضعیت: "&amp;$Q15&amp;" | نوسان ضمنی: "&amp;IFERROR(TEXT($U15,"0%"),"—")&amp;" | بازار÷نظری: "&amp;IFERROR(TEXT($Z15,"0.00"),"—")&amp;" | اهرم: "&amp;IFERROR(TEXT($AA15,"0.0"),"—")&amp;"x"&amp;" | "&amp;$G15&amp;" روز تا سررسید")</f>
        <v/>
      </c>
    </row>
    <row r="16" customFormat="false" ht="15" hidden="false" customHeight="false" outlineLevel="0" collapsed="false">
      <c r="A16" s="5"/>
      <c r="B16" s="6"/>
      <c r="C16" s="7"/>
      <c r="D16" s="7"/>
      <c r="E16" s="8"/>
      <c r="F16" s="9"/>
      <c r="G16" s="10"/>
      <c r="H16" s="8"/>
      <c r="I16" s="8"/>
      <c r="J16" s="8"/>
      <c r="K16" s="8"/>
      <c r="L16" s="8"/>
      <c r="M16" s="8"/>
      <c r="N16" s="8"/>
      <c r="O16" s="8" t="str">
        <f aca="false">IF($A16="","",IFERROR(INDEX(Underlying!$B$1:$B$5000,MATCH($D16,Underlying!$A$1:$A$5000,0)),""))</f>
        <v/>
      </c>
      <c r="P16" s="11" t="str">
        <f aca="false">IF($A16="","",IFERROR($O16/$E16,""))</f>
        <v/>
      </c>
      <c r="Q16" s="7" t="str">
        <f aca="false">IF($A16="","",IF($P16="","",IF($C16="Call",IF($P16&gt;1+OPT_ATM_BAND,"ITM",IF($P16&lt;1-OPT_ATM_BAND,"OTM","ATM")),IF($P16&lt;1-OPT_ATM_BAND,"ITM",IF($P16&gt;1+OPT_ATM_BAND,"OTM","ATM")))))</f>
        <v/>
      </c>
      <c r="R16" s="8" t="str">
        <f aca="false">IF($A16="","",IFERROR(IF($C16="Call",MAX(0,$O16-$E16),MAX(0,$E16-$O16)),""))</f>
        <v/>
      </c>
      <c r="S16" s="8" t="str">
        <f aca="false">IF($A16="","",IFERROR(MAX(0,$I16-$R16),""))</f>
        <v/>
      </c>
      <c r="T16" s="11" t="str">
        <f aca="false">IF($A16="","",IFERROR($G16/365,""))</f>
        <v/>
      </c>
      <c r="U16" s="12" t="str">
        <f aca="false">IF($A16="","",IF(OR($P16="",ABS($P16-1)&gt;3*OPT_ATM_BAND),"",IFERROR($I16/$O16*SQRT(2*PI()/$T16),"")))</f>
        <v/>
      </c>
      <c r="V16" s="11" t="str">
        <f aca="false">IF($A16="","",IFERROR((LN($O16/$E16)+(OPT_RF+OPT_VOL^2/2)*$T16)/(OPT_VOL*SQRT($T16)),""))</f>
        <v/>
      </c>
      <c r="W16" s="11" t="str">
        <f aca="false">IF($A16="","",IFERROR($V16-OPT_VOL*SQRT($T16),""))</f>
        <v/>
      </c>
      <c r="X16" s="11" t="str">
        <f aca="false">IF($A16="","",IFERROR(IF($C16="Call",NORMSDIST($V16),NORMSDIST($V16)-1),""))</f>
        <v/>
      </c>
      <c r="Y16" s="8" t="str">
        <f aca="false">IF($A16="","",IFERROR(IF($C16="Call",$O16*NORMSDIST($V16)-$E16*EXP(-OPT_RF*$T16)*NORMSDIST($W16),$E16*EXP(-OPT_RF*$T16)*NORMSDIST(-$W16)-$O16*NORMSDIST(-$V16)),""))</f>
        <v/>
      </c>
      <c r="Z16" s="11" t="str">
        <f aca="false">IF($A16="","",IFERROR($I16/$Y16,""))</f>
        <v/>
      </c>
      <c r="AA16" s="13" t="str">
        <f aca="false">IF($A16="","",IFERROR($O16*ABS($X16)/$I16,""))</f>
        <v/>
      </c>
      <c r="AB16" s="13" t="str">
        <f aca="false">IF($A16="","",IFERROR(INDEX(Underlying!$D$1:$D$5000,MATCH($D16,Underlying!$A$1:$A$5000,0)),0))</f>
        <v/>
      </c>
      <c r="AC16" s="7" t="str">
        <f aca="false">IF($A16="","",IF(AND($J16&gt;=OPT_MIN_VOL,$G16&gt;=OPT_MIN_DTE),"بله","خیر"))</f>
        <v/>
      </c>
      <c r="AD16" s="13" t="str">
        <f aca="false">IF($A16="","",IF($AC16="خیر",0,IFERROR(MAX(-10,MIN(10,IF($C16="Call",$AB16,-$AB16)*0.6+IF($Z16&lt;0.85,2,IF($Z16&gt;1.25,-2,0))+IF($Q16="ATM",1,IF($Q16="ITM",0.5,-1))+IF($G16&gt;=30,0.5,-0.5))),0)))</f>
        <v/>
      </c>
      <c r="AE16" s="7" t="str">
        <f aca="false">IF($A16="","",IF($AC16="خیر","بدون سیگنال (نقدشوندگی/سررسید)",IF($AD16&gt;=TH_SBUY,"خرید قوی "&amp;$C16,IF($AD16&gt;=TH_BUY,"خرید "&amp;$C16,IF($AD16&lt;=TH_SSELL,"اجتناب / بستن موقعیت",IF($AD16&lt;=TH_SELL,"ضعیف","بی‌طرف"))))))</f>
        <v/>
      </c>
      <c r="AF16" s="14" t="str">
        <f aca="false">IF($A16="","","سهم پایه: "&amp;IFERROR(TEXT($AB16,"0.0"),"—")&amp;" | وضعیت: "&amp;$Q16&amp;" | نوسان ضمنی: "&amp;IFERROR(TEXT($U16,"0%"),"—")&amp;" | بازار÷نظری: "&amp;IFERROR(TEXT($Z16,"0.00"),"—")&amp;" | اهرم: "&amp;IFERROR(TEXT($AA16,"0.0"),"—")&amp;"x"&amp;" | "&amp;$G16&amp;" روز تا سررسید")</f>
        <v/>
      </c>
    </row>
    <row r="17" customFormat="false" ht="15" hidden="false" customHeight="false" outlineLevel="0" collapsed="false">
      <c r="A17" s="5"/>
      <c r="B17" s="6"/>
      <c r="C17" s="7"/>
      <c r="D17" s="7"/>
      <c r="E17" s="8"/>
      <c r="F17" s="9"/>
      <c r="G17" s="10"/>
      <c r="H17" s="8"/>
      <c r="I17" s="8"/>
      <c r="J17" s="8"/>
      <c r="K17" s="8"/>
      <c r="L17" s="8"/>
      <c r="M17" s="8"/>
      <c r="N17" s="8"/>
      <c r="O17" s="8" t="str">
        <f aca="false">IF($A17="","",IFERROR(INDEX(Underlying!$B$1:$B$5000,MATCH($D17,Underlying!$A$1:$A$5000,0)),""))</f>
        <v/>
      </c>
      <c r="P17" s="11" t="str">
        <f aca="false">IF($A17="","",IFERROR($O17/$E17,""))</f>
        <v/>
      </c>
      <c r="Q17" s="7" t="str">
        <f aca="false">IF($A17="","",IF($P17="","",IF($C17="Call",IF($P17&gt;1+OPT_ATM_BAND,"ITM",IF($P17&lt;1-OPT_ATM_BAND,"OTM","ATM")),IF($P17&lt;1-OPT_ATM_BAND,"ITM",IF($P17&gt;1+OPT_ATM_BAND,"OTM","ATM")))))</f>
        <v/>
      </c>
      <c r="R17" s="8" t="str">
        <f aca="false">IF($A17="","",IFERROR(IF($C17="Call",MAX(0,$O17-$E17),MAX(0,$E17-$O17)),""))</f>
        <v/>
      </c>
      <c r="S17" s="8" t="str">
        <f aca="false">IF($A17="","",IFERROR(MAX(0,$I17-$R17),""))</f>
        <v/>
      </c>
      <c r="T17" s="11" t="str">
        <f aca="false">IF($A17="","",IFERROR($G17/365,""))</f>
        <v/>
      </c>
      <c r="U17" s="12" t="str">
        <f aca="false">IF($A17="","",IF(OR($P17="",ABS($P17-1)&gt;3*OPT_ATM_BAND),"",IFERROR($I17/$O17*SQRT(2*PI()/$T17),"")))</f>
        <v/>
      </c>
      <c r="V17" s="11" t="str">
        <f aca="false">IF($A17="","",IFERROR((LN($O17/$E17)+(OPT_RF+OPT_VOL^2/2)*$T17)/(OPT_VOL*SQRT($T17)),""))</f>
        <v/>
      </c>
      <c r="W17" s="11" t="str">
        <f aca="false">IF($A17="","",IFERROR($V17-OPT_VOL*SQRT($T17),""))</f>
        <v/>
      </c>
      <c r="X17" s="11" t="str">
        <f aca="false">IF($A17="","",IFERROR(IF($C17="Call",NORMSDIST($V17),NORMSDIST($V17)-1),""))</f>
        <v/>
      </c>
      <c r="Y17" s="8" t="str">
        <f aca="false">IF($A17="","",IFERROR(IF($C17="Call",$O17*NORMSDIST($V17)-$E17*EXP(-OPT_RF*$T17)*NORMSDIST($W17),$E17*EXP(-OPT_RF*$T17)*NORMSDIST(-$W17)-$O17*NORMSDIST(-$V17)),""))</f>
        <v/>
      </c>
      <c r="Z17" s="11" t="str">
        <f aca="false">IF($A17="","",IFERROR($I17/$Y17,""))</f>
        <v/>
      </c>
      <c r="AA17" s="13" t="str">
        <f aca="false">IF($A17="","",IFERROR($O17*ABS($X17)/$I17,""))</f>
        <v/>
      </c>
      <c r="AB17" s="13" t="str">
        <f aca="false">IF($A17="","",IFERROR(INDEX(Underlying!$D$1:$D$5000,MATCH($D17,Underlying!$A$1:$A$5000,0)),0))</f>
        <v/>
      </c>
      <c r="AC17" s="7" t="str">
        <f aca="false">IF($A17="","",IF(AND($J17&gt;=OPT_MIN_VOL,$G17&gt;=OPT_MIN_DTE),"بله","خیر"))</f>
        <v/>
      </c>
      <c r="AD17" s="13" t="str">
        <f aca="false">IF($A17="","",IF($AC17="خیر",0,IFERROR(MAX(-10,MIN(10,IF($C17="Call",$AB17,-$AB17)*0.6+IF($Z17&lt;0.85,2,IF($Z17&gt;1.25,-2,0))+IF($Q17="ATM",1,IF($Q17="ITM",0.5,-1))+IF($G17&gt;=30,0.5,-0.5))),0)))</f>
        <v/>
      </c>
      <c r="AE17" s="7" t="str">
        <f aca="false">IF($A17="","",IF($AC17="خیر","بدون سیگنال (نقدشوندگی/سررسید)",IF($AD17&gt;=TH_SBUY,"خرید قوی "&amp;$C17,IF($AD17&gt;=TH_BUY,"خرید "&amp;$C17,IF($AD17&lt;=TH_SSELL,"اجتناب / بستن موقعیت",IF($AD17&lt;=TH_SELL,"ضعیف","بی‌طرف"))))))</f>
        <v/>
      </c>
      <c r="AF17" s="14" t="str">
        <f aca="false">IF($A17="","","سهم پایه: "&amp;IFERROR(TEXT($AB17,"0.0"),"—")&amp;" | وضعیت: "&amp;$Q17&amp;" | نوسان ضمنی: "&amp;IFERROR(TEXT($U17,"0%"),"—")&amp;" | بازار÷نظری: "&amp;IFERROR(TEXT($Z17,"0.00"),"—")&amp;" | اهرم: "&amp;IFERROR(TEXT($AA17,"0.0"),"—")&amp;"x"&amp;" | "&amp;$G17&amp;" روز تا سررسید")</f>
        <v/>
      </c>
    </row>
    <row r="18" customFormat="false" ht="15" hidden="false" customHeight="false" outlineLevel="0" collapsed="false">
      <c r="A18" s="5"/>
      <c r="B18" s="6"/>
      <c r="C18" s="7"/>
      <c r="D18" s="7"/>
      <c r="E18" s="8"/>
      <c r="F18" s="9"/>
      <c r="G18" s="10"/>
      <c r="H18" s="8"/>
      <c r="I18" s="8"/>
      <c r="J18" s="8"/>
      <c r="K18" s="8"/>
      <c r="L18" s="8"/>
      <c r="M18" s="8"/>
      <c r="N18" s="8"/>
      <c r="O18" s="8" t="str">
        <f aca="false">IF($A18="","",IFERROR(INDEX(Underlying!$B$1:$B$5000,MATCH($D18,Underlying!$A$1:$A$5000,0)),""))</f>
        <v/>
      </c>
      <c r="P18" s="11" t="str">
        <f aca="false">IF($A18="","",IFERROR($O18/$E18,""))</f>
        <v/>
      </c>
      <c r="Q18" s="7" t="str">
        <f aca="false">IF($A18="","",IF($P18="","",IF($C18="Call",IF($P18&gt;1+OPT_ATM_BAND,"ITM",IF($P18&lt;1-OPT_ATM_BAND,"OTM","ATM")),IF($P18&lt;1-OPT_ATM_BAND,"ITM",IF($P18&gt;1+OPT_ATM_BAND,"OTM","ATM")))))</f>
        <v/>
      </c>
      <c r="R18" s="8" t="str">
        <f aca="false">IF($A18="","",IFERROR(IF($C18="Call",MAX(0,$O18-$E18),MAX(0,$E18-$O18)),""))</f>
        <v/>
      </c>
      <c r="S18" s="8" t="str">
        <f aca="false">IF($A18="","",IFERROR(MAX(0,$I18-$R18),""))</f>
        <v/>
      </c>
      <c r="T18" s="11" t="str">
        <f aca="false">IF($A18="","",IFERROR($G18/365,""))</f>
        <v/>
      </c>
      <c r="U18" s="12" t="str">
        <f aca="false">IF($A18="","",IF(OR($P18="",ABS($P18-1)&gt;3*OPT_ATM_BAND),"",IFERROR($I18/$O18*SQRT(2*PI()/$T18),"")))</f>
        <v/>
      </c>
      <c r="V18" s="11" t="str">
        <f aca="false">IF($A18="","",IFERROR((LN($O18/$E18)+(OPT_RF+OPT_VOL^2/2)*$T18)/(OPT_VOL*SQRT($T18)),""))</f>
        <v/>
      </c>
      <c r="W18" s="11" t="str">
        <f aca="false">IF($A18="","",IFERROR($V18-OPT_VOL*SQRT($T18),""))</f>
        <v/>
      </c>
      <c r="X18" s="11" t="str">
        <f aca="false">IF($A18="","",IFERROR(IF($C18="Call",NORMSDIST($V18),NORMSDIST($V18)-1),""))</f>
        <v/>
      </c>
      <c r="Y18" s="8" t="str">
        <f aca="false">IF($A18="","",IFERROR(IF($C18="Call",$O18*NORMSDIST($V18)-$E18*EXP(-OPT_RF*$T18)*NORMSDIST($W18),$E18*EXP(-OPT_RF*$T18)*NORMSDIST(-$W18)-$O18*NORMSDIST(-$V18)),""))</f>
        <v/>
      </c>
      <c r="Z18" s="11" t="str">
        <f aca="false">IF($A18="","",IFERROR($I18/$Y18,""))</f>
        <v/>
      </c>
      <c r="AA18" s="13" t="str">
        <f aca="false">IF($A18="","",IFERROR($O18*ABS($X18)/$I18,""))</f>
        <v/>
      </c>
      <c r="AB18" s="13" t="str">
        <f aca="false">IF($A18="","",IFERROR(INDEX(Underlying!$D$1:$D$5000,MATCH($D18,Underlying!$A$1:$A$5000,0)),0))</f>
        <v/>
      </c>
      <c r="AC18" s="7" t="str">
        <f aca="false">IF($A18="","",IF(AND($J18&gt;=OPT_MIN_VOL,$G18&gt;=OPT_MIN_DTE),"بله","خیر"))</f>
        <v/>
      </c>
      <c r="AD18" s="13" t="str">
        <f aca="false">IF($A18="","",IF($AC18="خیر",0,IFERROR(MAX(-10,MIN(10,IF($C18="Call",$AB18,-$AB18)*0.6+IF($Z18&lt;0.85,2,IF($Z18&gt;1.25,-2,0))+IF($Q18="ATM",1,IF($Q18="ITM",0.5,-1))+IF($G18&gt;=30,0.5,-0.5))),0)))</f>
        <v/>
      </c>
      <c r="AE18" s="7" t="str">
        <f aca="false">IF($A18="","",IF($AC18="خیر","بدون سیگنال (نقدشوندگی/سررسید)",IF($AD18&gt;=TH_SBUY,"خرید قوی "&amp;$C18,IF($AD18&gt;=TH_BUY,"خرید "&amp;$C18,IF($AD18&lt;=TH_SSELL,"اجتناب / بستن موقعیت",IF($AD18&lt;=TH_SELL,"ضعیف","بی‌طرف"))))))</f>
        <v/>
      </c>
      <c r="AF18" s="14" t="str">
        <f aca="false">IF($A18="","","سهم پایه: "&amp;IFERROR(TEXT($AB18,"0.0"),"—")&amp;" | وضعیت: "&amp;$Q18&amp;" | نوسان ضمنی: "&amp;IFERROR(TEXT($U18,"0%"),"—")&amp;" | بازار÷نظری: "&amp;IFERROR(TEXT($Z18,"0.00"),"—")&amp;" | اهرم: "&amp;IFERROR(TEXT($AA18,"0.0"),"—")&amp;"x"&amp;" | "&amp;$G18&amp;" روز تا سررسید")</f>
        <v/>
      </c>
    </row>
    <row r="19" customFormat="false" ht="15" hidden="false" customHeight="false" outlineLevel="0" collapsed="false">
      <c r="A19" s="5"/>
      <c r="B19" s="6"/>
      <c r="C19" s="7"/>
      <c r="D19" s="7"/>
      <c r="E19" s="8"/>
      <c r="F19" s="9"/>
      <c r="G19" s="10"/>
      <c r="H19" s="8"/>
      <c r="I19" s="8"/>
      <c r="J19" s="8"/>
      <c r="K19" s="8"/>
      <c r="L19" s="8"/>
      <c r="M19" s="8"/>
      <c r="N19" s="8"/>
      <c r="O19" s="8" t="str">
        <f aca="false">IF($A19="","",IFERROR(INDEX(Underlying!$B$1:$B$5000,MATCH($D19,Underlying!$A$1:$A$5000,0)),""))</f>
        <v/>
      </c>
      <c r="P19" s="11" t="str">
        <f aca="false">IF($A19="","",IFERROR($O19/$E19,""))</f>
        <v/>
      </c>
      <c r="Q19" s="7" t="str">
        <f aca="false">IF($A19="","",IF($P19="","",IF($C19="Call",IF($P19&gt;1+OPT_ATM_BAND,"ITM",IF($P19&lt;1-OPT_ATM_BAND,"OTM","ATM")),IF($P19&lt;1-OPT_ATM_BAND,"ITM",IF($P19&gt;1+OPT_ATM_BAND,"OTM","ATM")))))</f>
        <v/>
      </c>
      <c r="R19" s="8" t="str">
        <f aca="false">IF($A19="","",IFERROR(IF($C19="Call",MAX(0,$O19-$E19),MAX(0,$E19-$O19)),""))</f>
        <v/>
      </c>
      <c r="S19" s="8" t="str">
        <f aca="false">IF($A19="","",IFERROR(MAX(0,$I19-$R19),""))</f>
        <v/>
      </c>
      <c r="T19" s="11" t="str">
        <f aca="false">IF($A19="","",IFERROR($G19/365,""))</f>
        <v/>
      </c>
      <c r="U19" s="12" t="str">
        <f aca="false">IF($A19="","",IF(OR($P19="",ABS($P19-1)&gt;3*OPT_ATM_BAND),"",IFERROR($I19/$O19*SQRT(2*PI()/$T19),"")))</f>
        <v/>
      </c>
      <c r="V19" s="11" t="str">
        <f aca="false">IF($A19="","",IFERROR((LN($O19/$E19)+(OPT_RF+OPT_VOL^2/2)*$T19)/(OPT_VOL*SQRT($T19)),""))</f>
        <v/>
      </c>
      <c r="W19" s="11" t="str">
        <f aca="false">IF($A19="","",IFERROR($V19-OPT_VOL*SQRT($T19),""))</f>
        <v/>
      </c>
      <c r="X19" s="11" t="str">
        <f aca="false">IF($A19="","",IFERROR(IF($C19="Call",NORMSDIST($V19),NORMSDIST($V19)-1),""))</f>
        <v/>
      </c>
      <c r="Y19" s="8" t="str">
        <f aca="false">IF($A19="","",IFERROR(IF($C19="Call",$O19*NORMSDIST($V19)-$E19*EXP(-OPT_RF*$T19)*NORMSDIST($W19),$E19*EXP(-OPT_RF*$T19)*NORMSDIST(-$W19)-$O19*NORMSDIST(-$V19)),""))</f>
        <v/>
      </c>
      <c r="Z19" s="11" t="str">
        <f aca="false">IF($A19="","",IFERROR($I19/$Y19,""))</f>
        <v/>
      </c>
      <c r="AA19" s="13" t="str">
        <f aca="false">IF($A19="","",IFERROR($O19*ABS($X19)/$I19,""))</f>
        <v/>
      </c>
      <c r="AB19" s="13" t="str">
        <f aca="false">IF($A19="","",IFERROR(INDEX(Underlying!$D$1:$D$5000,MATCH($D19,Underlying!$A$1:$A$5000,0)),0))</f>
        <v/>
      </c>
      <c r="AC19" s="7" t="str">
        <f aca="false">IF($A19="","",IF(AND($J19&gt;=OPT_MIN_VOL,$G19&gt;=OPT_MIN_DTE),"بله","خیر"))</f>
        <v/>
      </c>
      <c r="AD19" s="13" t="str">
        <f aca="false">IF($A19="","",IF($AC19="خیر",0,IFERROR(MAX(-10,MIN(10,IF($C19="Call",$AB19,-$AB19)*0.6+IF($Z19&lt;0.85,2,IF($Z19&gt;1.25,-2,0))+IF($Q19="ATM",1,IF($Q19="ITM",0.5,-1))+IF($G19&gt;=30,0.5,-0.5))),0)))</f>
        <v/>
      </c>
      <c r="AE19" s="7" t="str">
        <f aca="false">IF($A19="","",IF($AC19="خیر","بدون سیگنال (نقدشوندگی/سررسید)",IF($AD19&gt;=TH_SBUY,"خرید قوی "&amp;$C19,IF($AD19&gt;=TH_BUY,"خرید "&amp;$C19,IF($AD19&lt;=TH_SSELL,"اجتناب / بستن موقعیت",IF($AD19&lt;=TH_SELL,"ضعیف","بی‌طرف"))))))</f>
        <v/>
      </c>
      <c r="AF19" s="14" t="str">
        <f aca="false">IF($A19="","","سهم پایه: "&amp;IFERROR(TEXT($AB19,"0.0"),"—")&amp;" | وضعیت: "&amp;$Q19&amp;" | نوسان ضمنی: "&amp;IFERROR(TEXT($U19,"0%"),"—")&amp;" | بازار÷نظری: "&amp;IFERROR(TEXT($Z19,"0.00"),"—")&amp;" | اهرم: "&amp;IFERROR(TEXT($AA19,"0.0"),"—")&amp;"x"&amp;" | "&amp;$G19&amp;" روز تا سررسید")</f>
        <v/>
      </c>
    </row>
    <row r="20" customFormat="false" ht="15" hidden="false" customHeight="false" outlineLevel="0" collapsed="false">
      <c r="A20" s="5"/>
      <c r="B20" s="6"/>
      <c r="C20" s="7"/>
      <c r="D20" s="7"/>
      <c r="E20" s="8"/>
      <c r="F20" s="9"/>
      <c r="G20" s="10"/>
      <c r="H20" s="8"/>
      <c r="I20" s="8"/>
      <c r="J20" s="8"/>
      <c r="K20" s="8"/>
      <c r="L20" s="8"/>
      <c r="M20" s="8"/>
      <c r="N20" s="8"/>
      <c r="O20" s="8" t="str">
        <f aca="false">IF($A20="","",IFERROR(INDEX(Underlying!$B$1:$B$5000,MATCH($D20,Underlying!$A$1:$A$5000,0)),""))</f>
        <v/>
      </c>
      <c r="P20" s="11" t="str">
        <f aca="false">IF($A20="","",IFERROR($O20/$E20,""))</f>
        <v/>
      </c>
      <c r="Q20" s="7" t="str">
        <f aca="false">IF($A20="","",IF($P20="","",IF($C20="Call",IF($P20&gt;1+OPT_ATM_BAND,"ITM",IF($P20&lt;1-OPT_ATM_BAND,"OTM","ATM")),IF($P20&lt;1-OPT_ATM_BAND,"ITM",IF($P20&gt;1+OPT_ATM_BAND,"OTM","ATM")))))</f>
        <v/>
      </c>
      <c r="R20" s="8" t="str">
        <f aca="false">IF($A20="","",IFERROR(IF($C20="Call",MAX(0,$O20-$E20),MAX(0,$E20-$O20)),""))</f>
        <v/>
      </c>
      <c r="S20" s="8" t="str">
        <f aca="false">IF($A20="","",IFERROR(MAX(0,$I20-$R20),""))</f>
        <v/>
      </c>
      <c r="T20" s="11" t="str">
        <f aca="false">IF($A20="","",IFERROR($G20/365,""))</f>
        <v/>
      </c>
      <c r="U20" s="12" t="str">
        <f aca="false">IF($A20="","",IF(OR($P20="",ABS($P20-1)&gt;3*OPT_ATM_BAND),"",IFERROR($I20/$O20*SQRT(2*PI()/$T20),"")))</f>
        <v/>
      </c>
      <c r="V20" s="11" t="str">
        <f aca="false">IF($A20="","",IFERROR((LN($O20/$E20)+(OPT_RF+OPT_VOL^2/2)*$T20)/(OPT_VOL*SQRT($T20)),""))</f>
        <v/>
      </c>
      <c r="W20" s="11" t="str">
        <f aca="false">IF($A20="","",IFERROR($V20-OPT_VOL*SQRT($T20),""))</f>
        <v/>
      </c>
      <c r="X20" s="11" t="str">
        <f aca="false">IF($A20="","",IFERROR(IF($C20="Call",NORMSDIST($V20),NORMSDIST($V20)-1),""))</f>
        <v/>
      </c>
      <c r="Y20" s="8" t="str">
        <f aca="false">IF($A20="","",IFERROR(IF($C20="Call",$O20*NORMSDIST($V20)-$E20*EXP(-OPT_RF*$T20)*NORMSDIST($W20),$E20*EXP(-OPT_RF*$T20)*NORMSDIST(-$W20)-$O20*NORMSDIST(-$V20)),""))</f>
        <v/>
      </c>
      <c r="Z20" s="11" t="str">
        <f aca="false">IF($A20="","",IFERROR($I20/$Y20,""))</f>
        <v/>
      </c>
      <c r="AA20" s="13" t="str">
        <f aca="false">IF($A20="","",IFERROR($O20*ABS($X20)/$I20,""))</f>
        <v/>
      </c>
      <c r="AB20" s="13" t="str">
        <f aca="false">IF($A20="","",IFERROR(INDEX(Underlying!$D$1:$D$5000,MATCH($D20,Underlying!$A$1:$A$5000,0)),0))</f>
        <v/>
      </c>
      <c r="AC20" s="7" t="str">
        <f aca="false">IF($A20="","",IF(AND($J20&gt;=OPT_MIN_VOL,$G20&gt;=OPT_MIN_DTE),"بله","خیر"))</f>
        <v/>
      </c>
      <c r="AD20" s="13" t="str">
        <f aca="false">IF($A20="","",IF($AC20="خیر",0,IFERROR(MAX(-10,MIN(10,IF($C20="Call",$AB20,-$AB20)*0.6+IF($Z20&lt;0.85,2,IF($Z20&gt;1.25,-2,0))+IF($Q20="ATM",1,IF($Q20="ITM",0.5,-1))+IF($G20&gt;=30,0.5,-0.5))),0)))</f>
        <v/>
      </c>
      <c r="AE20" s="7" t="str">
        <f aca="false">IF($A20="","",IF($AC20="خیر","بدون سیگنال (نقدشوندگی/سررسید)",IF($AD20&gt;=TH_SBUY,"خرید قوی "&amp;$C20,IF($AD20&gt;=TH_BUY,"خرید "&amp;$C20,IF($AD20&lt;=TH_SSELL,"اجتناب / بستن موقعیت",IF($AD20&lt;=TH_SELL,"ضعیف","بی‌طرف"))))))</f>
        <v/>
      </c>
      <c r="AF20" s="14" t="str">
        <f aca="false">IF($A20="","","سهم پایه: "&amp;IFERROR(TEXT($AB20,"0.0"),"—")&amp;" | وضعیت: "&amp;$Q20&amp;" | نوسان ضمنی: "&amp;IFERROR(TEXT($U20,"0%"),"—")&amp;" | بازار÷نظری: "&amp;IFERROR(TEXT($Z20,"0.00"),"—")&amp;" | اهرم: "&amp;IFERROR(TEXT($AA20,"0.0"),"—")&amp;"x"&amp;" | "&amp;$G20&amp;" روز تا سررسید")</f>
        <v/>
      </c>
    </row>
    <row r="21" customFormat="false" ht="15" hidden="false" customHeight="false" outlineLevel="0" collapsed="false">
      <c r="A21" s="5"/>
      <c r="B21" s="6"/>
      <c r="C21" s="7"/>
      <c r="D21" s="7"/>
      <c r="E21" s="8"/>
      <c r="F21" s="9"/>
      <c r="G21" s="10"/>
      <c r="H21" s="8"/>
      <c r="I21" s="8"/>
      <c r="J21" s="8"/>
      <c r="K21" s="8"/>
      <c r="L21" s="8"/>
      <c r="M21" s="8"/>
      <c r="N21" s="8"/>
      <c r="O21" s="8" t="str">
        <f aca="false">IF($A21="","",IFERROR(INDEX(Underlying!$B$1:$B$5000,MATCH($D21,Underlying!$A$1:$A$5000,0)),""))</f>
        <v/>
      </c>
      <c r="P21" s="11" t="str">
        <f aca="false">IF($A21="","",IFERROR($O21/$E21,""))</f>
        <v/>
      </c>
      <c r="Q21" s="7" t="str">
        <f aca="false">IF($A21="","",IF($P21="","",IF($C21="Call",IF($P21&gt;1+OPT_ATM_BAND,"ITM",IF($P21&lt;1-OPT_ATM_BAND,"OTM","ATM")),IF($P21&lt;1-OPT_ATM_BAND,"ITM",IF($P21&gt;1+OPT_ATM_BAND,"OTM","ATM")))))</f>
        <v/>
      </c>
      <c r="R21" s="8" t="str">
        <f aca="false">IF($A21="","",IFERROR(IF($C21="Call",MAX(0,$O21-$E21),MAX(0,$E21-$O21)),""))</f>
        <v/>
      </c>
      <c r="S21" s="8" t="str">
        <f aca="false">IF($A21="","",IFERROR(MAX(0,$I21-$R21),""))</f>
        <v/>
      </c>
      <c r="T21" s="11" t="str">
        <f aca="false">IF($A21="","",IFERROR($G21/365,""))</f>
        <v/>
      </c>
      <c r="U21" s="12" t="str">
        <f aca="false">IF($A21="","",IF(OR($P21="",ABS($P21-1)&gt;3*OPT_ATM_BAND),"",IFERROR($I21/$O21*SQRT(2*PI()/$T21),"")))</f>
        <v/>
      </c>
      <c r="V21" s="11" t="str">
        <f aca="false">IF($A21="","",IFERROR((LN($O21/$E21)+(OPT_RF+OPT_VOL^2/2)*$T21)/(OPT_VOL*SQRT($T21)),""))</f>
        <v/>
      </c>
      <c r="W21" s="11" t="str">
        <f aca="false">IF($A21="","",IFERROR($V21-OPT_VOL*SQRT($T21),""))</f>
        <v/>
      </c>
      <c r="X21" s="11" t="str">
        <f aca="false">IF($A21="","",IFERROR(IF($C21="Call",NORMSDIST($V21),NORMSDIST($V21)-1),""))</f>
        <v/>
      </c>
      <c r="Y21" s="8" t="str">
        <f aca="false">IF($A21="","",IFERROR(IF($C21="Call",$O21*NORMSDIST($V21)-$E21*EXP(-OPT_RF*$T21)*NORMSDIST($W21),$E21*EXP(-OPT_RF*$T21)*NORMSDIST(-$W21)-$O21*NORMSDIST(-$V21)),""))</f>
        <v/>
      </c>
      <c r="Z21" s="11" t="str">
        <f aca="false">IF($A21="","",IFERROR($I21/$Y21,""))</f>
        <v/>
      </c>
      <c r="AA21" s="13" t="str">
        <f aca="false">IF($A21="","",IFERROR($O21*ABS($X21)/$I21,""))</f>
        <v/>
      </c>
      <c r="AB21" s="13" t="str">
        <f aca="false">IF($A21="","",IFERROR(INDEX(Underlying!$D$1:$D$5000,MATCH($D21,Underlying!$A$1:$A$5000,0)),0))</f>
        <v/>
      </c>
      <c r="AC21" s="7" t="str">
        <f aca="false">IF($A21="","",IF(AND($J21&gt;=OPT_MIN_VOL,$G21&gt;=OPT_MIN_DTE),"بله","خیر"))</f>
        <v/>
      </c>
      <c r="AD21" s="13" t="str">
        <f aca="false">IF($A21="","",IF($AC21="خیر",0,IFERROR(MAX(-10,MIN(10,IF($C21="Call",$AB21,-$AB21)*0.6+IF($Z21&lt;0.85,2,IF($Z21&gt;1.25,-2,0))+IF($Q21="ATM",1,IF($Q21="ITM",0.5,-1))+IF($G21&gt;=30,0.5,-0.5))),0)))</f>
        <v/>
      </c>
      <c r="AE21" s="7" t="str">
        <f aca="false">IF($A21="","",IF($AC21="خیر","بدون سیگنال (نقدشوندگی/سررسید)",IF($AD21&gt;=TH_SBUY,"خرید قوی "&amp;$C21,IF($AD21&gt;=TH_BUY,"خرید "&amp;$C21,IF($AD21&lt;=TH_SSELL,"اجتناب / بستن موقعیت",IF($AD21&lt;=TH_SELL,"ضعیف","بی‌طرف"))))))</f>
        <v/>
      </c>
      <c r="AF21" s="14" t="str">
        <f aca="false">IF($A21="","","سهم پایه: "&amp;IFERROR(TEXT($AB21,"0.0"),"—")&amp;" | وضعیت: "&amp;$Q21&amp;" | نوسان ضمنی: "&amp;IFERROR(TEXT($U21,"0%"),"—")&amp;" | بازار÷نظری: "&amp;IFERROR(TEXT($Z21,"0.00"),"—")&amp;" | اهرم: "&amp;IFERROR(TEXT($AA21,"0.0"),"—")&amp;"x"&amp;" | "&amp;$G21&amp;" روز تا سررسید")</f>
        <v/>
      </c>
    </row>
    <row r="22" customFormat="false" ht="15" hidden="false" customHeight="false" outlineLevel="0" collapsed="false">
      <c r="A22" s="5"/>
      <c r="B22" s="6"/>
      <c r="C22" s="7"/>
      <c r="D22" s="7"/>
      <c r="E22" s="8"/>
      <c r="F22" s="9"/>
      <c r="G22" s="10"/>
      <c r="H22" s="8"/>
      <c r="I22" s="8"/>
      <c r="J22" s="8"/>
      <c r="K22" s="8"/>
      <c r="L22" s="8"/>
      <c r="M22" s="8"/>
      <c r="N22" s="8"/>
      <c r="O22" s="8" t="str">
        <f aca="false">IF($A22="","",IFERROR(INDEX(Underlying!$B$1:$B$5000,MATCH($D22,Underlying!$A$1:$A$5000,0)),""))</f>
        <v/>
      </c>
      <c r="P22" s="11" t="str">
        <f aca="false">IF($A22="","",IFERROR($O22/$E22,""))</f>
        <v/>
      </c>
      <c r="Q22" s="7" t="str">
        <f aca="false">IF($A22="","",IF($P22="","",IF($C22="Call",IF($P22&gt;1+OPT_ATM_BAND,"ITM",IF($P22&lt;1-OPT_ATM_BAND,"OTM","ATM")),IF($P22&lt;1-OPT_ATM_BAND,"ITM",IF($P22&gt;1+OPT_ATM_BAND,"OTM","ATM")))))</f>
        <v/>
      </c>
      <c r="R22" s="8" t="str">
        <f aca="false">IF($A22="","",IFERROR(IF($C22="Call",MAX(0,$O22-$E22),MAX(0,$E22-$O22)),""))</f>
        <v/>
      </c>
      <c r="S22" s="8" t="str">
        <f aca="false">IF($A22="","",IFERROR(MAX(0,$I22-$R22),""))</f>
        <v/>
      </c>
      <c r="T22" s="11" t="str">
        <f aca="false">IF($A22="","",IFERROR($G22/365,""))</f>
        <v/>
      </c>
      <c r="U22" s="12" t="str">
        <f aca="false">IF($A22="","",IF(OR($P22="",ABS($P22-1)&gt;3*OPT_ATM_BAND),"",IFERROR($I22/$O22*SQRT(2*PI()/$T22),"")))</f>
        <v/>
      </c>
      <c r="V22" s="11" t="str">
        <f aca="false">IF($A22="","",IFERROR((LN($O22/$E22)+(OPT_RF+OPT_VOL^2/2)*$T22)/(OPT_VOL*SQRT($T22)),""))</f>
        <v/>
      </c>
      <c r="W22" s="11" t="str">
        <f aca="false">IF($A22="","",IFERROR($V22-OPT_VOL*SQRT($T22),""))</f>
        <v/>
      </c>
      <c r="X22" s="11" t="str">
        <f aca="false">IF($A22="","",IFERROR(IF($C22="Call",NORMSDIST($V22),NORMSDIST($V22)-1),""))</f>
        <v/>
      </c>
      <c r="Y22" s="8" t="str">
        <f aca="false">IF($A22="","",IFERROR(IF($C22="Call",$O22*NORMSDIST($V22)-$E22*EXP(-OPT_RF*$T22)*NORMSDIST($W22),$E22*EXP(-OPT_RF*$T22)*NORMSDIST(-$W22)-$O22*NORMSDIST(-$V22)),""))</f>
        <v/>
      </c>
      <c r="Z22" s="11" t="str">
        <f aca="false">IF($A22="","",IFERROR($I22/$Y22,""))</f>
        <v/>
      </c>
      <c r="AA22" s="13" t="str">
        <f aca="false">IF($A22="","",IFERROR($O22*ABS($X22)/$I22,""))</f>
        <v/>
      </c>
      <c r="AB22" s="13" t="str">
        <f aca="false">IF($A22="","",IFERROR(INDEX(Underlying!$D$1:$D$5000,MATCH($D22,Underlying!$A$1:$A$5000,0)),0))</f>
        <v/>
      </c>
      <c r="AC22" s="7" t="str">
        <f aca="false">IF($A22="","",IF(AND($J22&gt;=OPT_MIN_VOL,$G22&gt;=OPT_MIN_DTE),"بله","خیر"))</f>
        <v/>
      </c>
      <c r="AD22" s="13" t="str">
        <f aca="false">IF($A22="","",IF($AC22="خیر",0,IFERROR(MAX(-10,MIN(10,IF($C22="Call",$AB22,-$AB22)*0.6+IF($Z22&lt;0.85,2,IF($Z22&gt;1.25,-2,0))+IF($Q22="ATM",1,IF($Q22="ITM",0.5,-1))+IF($G22&gt;=30,0.5,-0.5))),0)))</f>
        <v/>
      </c>
      <c r="AE22" s="7" t="str">
        <f aca="false">IF($A22="","",IF($AC22="خیر","بدون سیگنال (نقدشوندگی/سررسید)",IF($AD22&gt;=TH_SBUY,"خرید قوی "&amp;$C22,IF($AD22&gt;=TH_BUY,"خرید "&amp;$C22,IF($AD22&lt;=TH_SSELL,"اجتناب / بستن موقعیت",IF($AD22&lt;=TH_SELL,"ضعیف","بی‌طرف"))))))</f>
        <v/>
      </c>
      <c r="AF22" s="14" t="str">
        <f aca="false">IF($A22="","","سهم پایه: "&amp;IFERROR(TEXT($AB22,"0.0"),"—")&amp;" | وضعیت: "&amp;$Q22&amp;" | نوسان ضمنی: "&amp;IFERROR(TEXT($U22,"0%"),"—")&amp;" | بازار÷نظری: "&amp;IFERROR(TEXT($Z22,"0.00"),"—")&amp;" | اهرم: "&amp;IFERROR(TEXT($AA22,"0.0"),"—")&amp;"x"&amp;" | "&amp;$G22&amp;" روز تا سررسید")</f>
        <v/>
      </c>
    </row>
    <row r="23" customFormat="false" ht="15" hidden="false" customHeight="false" outlineLevel="0" collapsed="false">
      <c r="A23" s="5"/>
      <c r="B23" s="6"/>
      <c r="C23" s="7"/>
      <c r="D23" s="7"/>
      <c r="E23" s="8"/>
      <c r="F23" s="9"/>
      <c r="G23" s="10"/>
      <c r="H23" s="8"/>
      <c r="I23" s="8"/>
      <c r="J23" s="8"/>
      <c r="K23" s="8"/>
      <c r="L23" s="8"/>
      <c r="M23" s="8"/>
      <c r="N23" s="8"/>
      <c r="O23" s="8" t="str">
        <f aca="false">IF($A23="","",IFERROR(INDEX(Underlying!$B$1:$B$5000,MATCH($D23,Underlying!$A$1:$A$5000,0)),""))</f>
        <v/>
      </c>
      <c r="P23" s="11" t="str">
        <f aca="false">IF($A23="","",IFERROR($O23/$E23,""))</f>
        <v/>
      </c>
      <c r="Q23" s="7" t="str">
        <f aca="false">IF($A23="","",IF($P23="","",IF($C23="Call",IF($P23&gt;1+OPT_ATM_BAND,"ITM",IF($P23&lt;1-OPT_ATM_BAND,"OTM","ATM")),IF($P23&lt;1-OPT_ATM_BAND,"ITM",IF($P23&gt;1+OPT_ATM_BAND,"OTM","ATM")))))</f>
        <v/>
      </c>
      <c r="R23" s="8" t="str">
        <f aca="false">IF($A23="","",IFERROR(IF($C23="Call",MAX(0,$O23-$E23),MAX(0,$E23-$O23)),""))</f>
        <v/>
      </c>
      <c r="S23" s="8" t="str">
        <f aca="false">IF($A23="","",IFERROR(MAX(0,$I23-$R23),""))</f>
        <v/>
      </c>
      <c r="T23" s="11" t="str">
        <f aca="false">IF($A23="","",IFERROR($G23/365,""))</f>
        <v/>
      </c>
      <c r="U23" s="12" t="str">
        <f aca="false">IF($A23="","",IF(OR($P23="",ABS($P23-1)&gt;3*OPT_ATM_BAND),"",IFERROR($I23/$O23*SQRT(2*PI()/$T23),"")))</f>
        <v/>
      </c>
      <c r="V23" s="11" t="str">
        <f aca="false">IF($A23="","",IFERROR((LN($O23/$E23)+(OPT_RF+OPT_VOL^2/2)*$T23)/(OPT_VOL*SQRT($T23)),""))</f>
        <v/>
      </c>
      <c r="W23" s="11" t="str">
        <f aca="false">IF($A23="","",IFERROR($V23-OPT_VOL*SQRT($T23),""))</f>
        <v/>
      </c>
      <c r="X23" s="11" t="str">
        <f aca="false">IF($A23="","",IFERROR(IF($C23="Call",NORMSDIST($V23),NORMSDIST($V23)-1),""))</f>
        <v/>
      </c>
      <c r="Y23" s="8" t="str">
        <f aca="false">IF($A23="","",IFERROR(IF($C23="Call",$O23*NORMSDIST($V23)-$E23*EXP(-OPT_RF*$T23)*NORMSDIST($W23),$E23*EXP(-OPT_RF*$T23)*NORMSDIST(-$W23)-$O23*NORMSDIST(-$V23)),""))</f>
        <v/>
      </c>
      <c r="Z23" s="11" t="str">
        <f aca="false">IF($A23="","",IFERROR($I23/$Y23,""))</f>
        <v/>
      </c>
      <c r="AA23" s="13" t="str">
        <f aca="false">IF($A23="","",IFERROR($O23*ABS($X23)/$I23,""))</f>
        <v/>
      </c>
      <c r="AB23" s="13" t="str">
        <f aca="false">IF($A23="","",IFERROR(INDEX(Underlying!$D$1:$D$5000,MATCH($D23,Underlying!$A$1:$A$5000,0)),0))</f>
        <v/>
      </c>
      <c r="AC23" s="7" t="str">
        <f aca="false">IF($A23="","",IF(AND($J23&gt;=OPT_MIN_VOL,$G23&gt;=OPT_MIN_DTE),"بله","خیر"))</f>
        <v/>
      </c>
      <c r="AD23" s="13" t="str">
        <f aca="false">IF($A23="","",IF($AC23="خیر",0,IFERROR(MAX(-10,MIN(10,IF($C23="Call",$AB23,-$AB23)*0.6+IF($Z23&lt;0.85,2,IF($Z23&gt;1.25,-2,0))+IF($Q23="ATM",1,IF($Q23="ITM",0.5,-1))+IF($G23&gt;=30,0.5,-0.5))),0)))</f>
        <v/>
      </c>
      <c r="AE23" s="7" t="str">
        <f aca="false">IF($A23="","",IF($AC23="خیر","بدون سیگنال (نقدشوندگی/سررسید)",IF($AD23&gt;=TH_SBUY,"خرید قوی "&amp;$C23,IF($AD23&gt;=TH_BUY,"خرید "&amp;$C23,IF($AD23&lt;=TH_SSELL,"اجتناب / بستن موقعیت",IF($AD23&lt;=TH_SELL,"ضعیف","بی‌طرف"))))))</f>
        <v/>
      </c>
      <c r="AF23" s="14" t="str">
        <f aca="false">IF($A23="","","سهم پایه: "&amp;IFERROR(TEXT($AB23,"0.0"),"—")&amp;" | وضعیت: "&amp;$Q23&amp;" | نوسان ضمنی: "&amp;IFERROR(TEXT($U23,"0%"),"—")&amp;" | بازار÷نظری: "&amp;IFERROR(TEXT($Z23,"0.00"),"—")&amp;" | اهرم: "&amp;IFERROR(TEXT($AA23,"0.0"),"—")&amp;"x"&amp;" | "&amp;$G23&amp;" روز تا سررسید")</f>
        <v/>
      </c>
    </row>
    <row r="24" customFormat="false" ht="15" hidden="false" customHeight="false" outlineLevel="0" collapsed="false">
      <c r="A24" s="5"/>
      <c r="B24" s="6"/>
      <c r="C24" s="7"/>
      <c r="D24" s="7"/>
      <c r="E24" s="8"/>
      <c r="F24" s="9"/>
      <c r="G24" s="10"/>
      <c r="H24" s="8"/>
      <c r="I24" s="8"/>
      <c r="J24" s="8"/>
      <c r="K24" s="8"/>
      <c r="L24" s="8"/>
      <c r="M24" s="8"/>
      <c r="N24" s="8"/>
      <c r="O24" s="8" t="str">
        <f aca="false">IF($A24="","",IFERROR(INDEX(Underlying!$B$1:$B$5000,MATCH($D24,Underlying!$A$1:$A$5000,0)),""))</f>
        <v/>
      </c>
      <c r="P24" s="11" t="str">
        <f aca="false">IF($A24="","",IFERROR($O24/$E24,""))</f>
        <v/>
      </c>
      <c r="Q24" s="7" t="str">
        <f aca="false">IF($A24="","",IF($P24="","",IF($C24="Call",IF($P24&gt;1+OPT_ATM_BAND,"ITM",IF($P24&lt;1-OPT_ATM_BAND,"OTM","ATM")),IF($P24&lt;1-OPT_ATM_BAND,"ITM",IF($P24&gt;1+OPT_ATM_BAND,"OTM","ATM")))))</f>
        <v/>
      </c>
      <c r="R24" s="8" t="str">
        <f aca="false">IF($A24="","",IFERROR(IF($C24="Call",MAX(0,$O24-$E24),MAX(0,$E24-$O24)),""))</f>
        <v/>
      </c>
      <c r="S24" s="8" t="str">
        <f aca="false">IF($A24="","",IFERROR(MAX(0,$I24-$R24),""))</f>
        <v/>
      </c>
      <c r="T24" s="11" t="str">
        <f aca="false">IF($A24="","",IFERROR($G24/365,""))</f>
        <v/>
      </c>
      <c r="U24" s="12" t="str">
        <f aca="false">IF($A24="","",IF(OR($P24="",ABS($P24-1)&gt;3*OPT_ATM_BAND),"",IFERROR($I24/$O24*SQRT(2*PI()/$T24),"")))</f>
        <v/>
      </c>
      <c r="V24" s="11" t="str">
        <f aca="false">IF($A24="","",IFERROR((LN($O24/$E24)+(OPT_RF+OPT_VOL^2/2)*$T24)/(OPT_VOL*SQRT($T24)),""))</f>
        <v/>
      </c>
      <c r="W24" s="11" t="str">
        <f aca="false">IF($A24="","",IFERROR($V24-OPT_VOL*SQRT($T24),""))</f>
        <v/>
      </c>
      <c r="X24" s="11" t="str">
        <f aca="false">IF($A24="","",IFERROR(IF($C24="Call",NORMSDIST($V24),NORMSDIST($V24)-1),""))</f>
        <v/>
      </c>
      <c r="Y24" s="8" t="str">
        <f aca="false">IF($A24="","",IFERROR(IF($C24="Call",$O24*NORMSDIST($V24)-$E24*EXP(-OPT_RF*$T24)*NORMSDIST($W24),$E24*EXP(-OPT_RF*$T24)*NORMSDIST(-$W24)-$O24*NORMSDIST(-$V24)),""))</f>
        <v/>
      </c>
      <c r="Z24" s="11" t="str">
        <f aca="false">IF($A24="","",IFERROR($I24/$Y24,""))</f>
        <v/>
      </c>
      <c r="AA24" s="13" t="str">
        <f aca="false">IF($A24="","",IFERROR($O24*ABS($X24)/$I24,""))</f>
        <v/>
      </c>
      <c r="AB24" s="13" t="str">
        <f aca="false">IF($A24="","",IFERROR(INDEX(Underlying!$D$1:$D$5000,MATCH($D24,Underlying!$A$1:$A$5000,0)),0))</f>
        <v/>
      </c>
      <c r="AC24" s="7" t="str">
        <f aca="false">IF($A24="","",IF(AND($J24&gt;=OPT_MIN_VOL,$G24&gt;=OPT_MIN_DTE),"بله","خیر"))</f>
        <v/>
      </c>
      <c r="AD24" s="13" t="str">
        <f aca="false">IF($A24="","",IF($AC24="خیر",0,IFERROR(MAX(-10,MIN(10,IF($C24="Call",$AB24,-$AB24)*0.6+IF($Z24&lt;0.85,2,IF($Z24&gt;1.25,-2,0))+IF($Q24="ATM",1,IF($Q24="ITM",0.5,-1))+IF($G24&gt;=30,0.5,-0.5))),0)))</f>
        <v/>
      </c>
      <c r="AE24" s="7" t="str">
        <f aca="false">IF($A24="","",IF($AC24="خیر","بدون سیگنال (نقدشوندگی/سررسید)",IF($AD24&gt;=TH_SBUY,"خرید قوی "&amp;$C24,IF($AD24&gt;=TH_BUY,"خرید "&amp;$C24,IF($AD24&lt;=TH_SSELL,"اجتناب / بستن موقعیت",IF($AD24&lt;=TH_SELL,"ضعیف","بی‌طرف"))))))</f>
        <v/>
      </c>
      <c r="AF24" s="14" t="str">
        <f aca="false">IF($A24="","","سهم پایه: "&amp;IFERROR(TEXT($AB24,"0.0"),"—")&amp;" | وضعیت: "&amp;$Q24&amp;" | نوسان ضمنی: "&amp;IFERROR(TEXT($U24,"0%"),"—")&amp;" | بازار÷نظری: "&amp;IFERROR(TEXT($Z24,"0.00"),"—")&amp;" | اهرم: "&amp;IFERROR(TEXT($AA24,"0.0"),"—")&amp;"x"&amp;" | "&amp;$G24&amp;" روز تا سررسید")</f>
        <v/>
      </c>
    </row>
    <row r="25" customFormat="false" ht="15" hidden="false" customHeight="false" outlineLevel="0" collapsed="false">
      <c r="A25" s="5"/>
      <c r="B25" s="6"/>
      <c r="C25" s="7"/>
      <c r="D25" s="7"/>
      <c r="E25" s="8"/>
      <c r="F25" s="9"/>
      <c r="G25" s="10"/>
      <c r="H25" s="8"/>
      <c r="I25" s="8"/>
      <c r="J25" s="8"/>
      <c r="K25" s="8"/>
      <c r="L25" s="8"/>
      <c r="M25" s="8"/>
      <c r="N25" s="8"/>
      <c r="O25" s="8" t="str">
        <f aca="false">IF($A25="","",IFERROR(INDEX(Underlying!$B$1:$B$5000,MATCH($D25,Underlying!$A$1:$A$5000,0)),""))</f>
        <v/>
      </c>
      <c r="P25" s="11" t="str">
        <f aca="false">IF($A25="","",IFERROR($O25/$E25,""))</f>
        <v/>
      </c>
      <c r="Q25" s="7" t="str">
        <f aca="false">IF($A25="","",IF($P25="","",IF($C25="Call",IF($P25&gt;1+OPT_ATM_BAND,"ITM",IF($P25&lt;1-OPT_ATM_BAND,"OTM","ATM")),IF($P25&lt;1-OPT_ATM_BAND,"ITM",IF($P25&gt;1+OPT_ATM_BAND,"OTM","ATM")))))</f>
        <v/>
      </c>
      <c r="R25" s="8" t="str">
        <f aca="false">IF($A25="","",IFERROR(IF($C25="Call",MAX(0,$O25-$E25),MAX(0,$E25-$O25)),""))</f>
        <v/>
      </c>
      <c r="S25" s="8" t="str">
        <f aca="false">IF($A25="","",IFERROR(MAX(0,$I25-$R25),""))</f>
        <v/>
      </c>
      <c r="T25" s="11" t="str">
        <f aca="false">IF($A25="","",IFERROR($G25/365,""))</f>
        <v/>
      </c>
      <c r="U25" s="12" t="str">
        <f aca="false">IF($A25="","",IF(OR($P25="",ABS($P25-1)&gt;3*OPT_ATM_BAND),"",IFERROR($I25/$O25*SQRT(2*PI()/$T25),"")))</f>
        <v/>
      </c>
      <c r="V25" s="11" t="str">
        <f aca="false">IF($A25="","",IFERROR((LN($O25/$E25)+(OPT_RF+OPT_VOL^2/2)*$T25)/(OPT_VOL*SQRT($T25)),""))</f>
        <v/>
      </c>
      <c r="W25" s="11" t="str">
        <f aca="false">IF($A25="","",IFERROR($V25-OPT_VOL*SQRT($T25),""))</f>
        <v/>
      </c>
      <c r="X25" s="11" t="str">
        <f aca="false">IF($A25="","",IFERROR(IF($C25="Call",NORMSDIST($V25),NORMSDIST($V25)-1),""))</f>
        <v/>
      </c>
      <c r="Y25" s="8" t="str">
        <f aca="false">IF($A25="","",IFERROR(IF($C25="Call",$O25*NORMSDIST($V25)-$E25*EXP(-OPT_RF*$T25)*NORMSDIST($W25),$E25*EXP(-OPT_RF*$T25)*NORMSDIST(-$W25)-$O25*NORMSDIST(-$V25)),""))</f>
        <v/>
      </c>
      <c r="Z25" s="11" t="str">
        <f aca="false">IF($A25="","",IFERROR($I25/$Y25,""))</f>
        <v/>
      </c>
      <c r="AA25" s="13" t="str">
        <f aca="false">IF($A25="","",IFERROR($O25*ABS($X25)/$I25,""))</f>
        <v/>
      </c>
      <c r="AB25" s="13" t="str">
        <f aca="false">IF($A25="","",IFERROR(INDEX(Underlying!$D$1:$D$5000,MATCH($D25,Underlying!$A$1:$A$5000,0)),0))</f>
        <v/>
      </c>
      <c r="AC25" s="7" t="str">
        <f aca="false">IF($A25="","",IF(AND($J25&gt;=OPT_MIN_VOL,$G25&gt;=OPT_MIN_DTE),"بله","خیر"))</f>
        <v/>
      </c>
      <c r="AD25" s="13" t="str">
        <f aca="false">IF($A25="","",IF($AC25="خیر",0,IFERROR(MAX(-10,MIN(10,IF($C25="Call",$AB25,-$AB25)*0.6+IF($Z25&lt;0.85,2,IF($Z25&gt;1.25,-2,0))+IF($Q25="ATM",1,IF($Q25="ITM",0.5,-1))+IF($G25&gt;=30,0.5,-0.5))),0)))</f>
        <v/>
      </c>
      <c r="AE25" s="7" t="str">
        <f aca="false">IF($A25="","",IF($AC25="خیر","بدون سیگنال (نقدشوندگی/سررسید)",IF($AD25&gt;=TH_SBUY,"خرید قوی "&amp;$C25,IF($AD25&gt;=TH_BUY,"خرید "&amp;$C25,IF($AD25&lt;=TH_SSELL,"اجتناب / بستن موقعیت",IF($AD25&lt;=TH_SELL,"ضعیف","بی‌طرف"))))))</f>
        <v/>
      </c>
      <c r="AF25" s="14" t="str">
        <f aca="false">IF($A25="","","سهم پایه: "&amp;IFERROR(TEXT($AB25,"0.0"),"—")&amp;" | وضعیت: "&amp;$Q25&amp;" | نوسان ضمنی: "&amp;IFERROR(TEXT($U25,"0%"),"—")&amp;" | بازار÷نظری: "&amp;IFERROR(TEXT($Z25,"0.00"),"—")&amp;" | اهرم: "&amp;IFERROR(TEXT($AA25,"0.0"),"—")&amp;"x"&amp;" | "&amp;$G25&amp;" روز تا سررسید")</f>
        <v/>
      </c>
    </row>
    <row r="26" customFormat="false" ht="15" hidden="false" customHeight="false" outlineLevel="0" collapsed="false">
      <c r="A26" s="5"/>
      <c r="B26" s="6"/>
      <c r="C26" s="7"/>
      <c r="D26" s="7"/>
      <c r="E26" s="8"/>
      <c r="F26" s="9"/>
      <c r="G26" s="10"/>
      <c r="H26" s="8"/>
      <c r="I26" s="8"/>
      <c r="J26" s="8"/>
      <c r="K26" s="8"/>
      <c r="L26" s="8"/>
      <c r="M26" s="8"/>
      <c r="N26" s="8"/>
      <c r="O26" s="8" t="str">
        <f aca="false">IF($A26="","",IFERROR(INDEX(Underlying!$B$1:$B$5000,MATCH($D26,Underlying!$A$1:$A$5000,0)),""))</f>
        <v/>
      </c>
      <c r="P26" s="11" t="str">
        <f aca="false">IF($A26="","",IFERROR($O26/$E26,""))</f>
        <v/>
      </c>
      <c r="Q26" s="7" t="str">
        <f aca="false">IF($A26="","",IF($P26="","",IF($C26="Call",IF($P26&gt;1+OPT_ATM_BAND,"ITM",IF($P26&lt;1-OPT_ATM_BAND,"OTM","ATM")),IF($P26&lt;1-OPT_ATM_BAND,"ITM",IF($P26&gt;1+OPT_ATM_BAND,"OTM","ATM")))))</f>
        <v/>
      </c>
      <c r="R26" s="8" t="str">
        <f aca="false">IF($A26="","",IFERROR(IF($C26="Call",MAX(0,$O26-$E26),MAX(0,$E26-$O26)),""))</f>
        <v/>
      </c>
      <c r="S26" s="8" t="str">
        <f aca="false">IF($A26="","",IFERROR(MAX(0,$I26-$R26),""))</f>
        <v/>
      </c>
      <c r="T26" s="11" t="str">
        <f aca="false">IF($A26="","",IFERROR($G26/365,""))</f>
        <v/>
      </c>
      <c r="U26" s="12" t="str">
        <f aca="false">IF($A26="","",IF(OR($P26="",ABS($P26-1)&gt;3*OPT_ATM_BAND),"",IFERROR($I26/$O26*SQRT(2*PI()/$T26),"")))</f>
        <v/>
      </c>
      <c r="V26" s="11" t="str">
        <f aca="false">IF($A26="","",IFERROR((LN($O26/$E26)+(OPT_RF+OPT_VOL^2/2)*$T26)/(OPT_VOL*SQRT($T26)),""))</f>
        <v/>
      </c>
      <c r="W26" s="11" t="str">
        <f aca="false">IF($A26="","",IFERROR($V26-OPT_VOL*SQRT($T26),""))</f>
        <v/>
      </c>
      <c r="X26" s="11" t="str">
        <f aca="false">IF($A26="","",IFERROR(IF($C26="Call",NORMSDIST($V26),NORMSDIST($V26)-1),""))</f>
        <v/>
      </c>
      <c r="Y26" s="8" t="str">
        <f aca="false">IF($A26="","",IFERROR(IF($C26="Call",$O26*NORMSDIST($V26)-$E26*EXP(-OPT_RF*$T26)*NORMSDIST($W26),$E26*EXP(-OPT_RF*$T26)*NORMSDIST(-$W26)-$O26*NORMSDIST(-$V26)),""))</f>
        <v/>
      </c>
      <c r="Z26" s="11" t="str">
        <f aca="false">IF($A26="","",IFERROR($I26/$Y26,""))</f>
        <v/>
      </c>
      <c r="AA26" s="13" t="str">
        <f aca="false">IF($A26="","",IFERROR($O26*ABS($X26)/$I26,""))</f>
        <v/>
      </c>
      <c r="AB26" s="13" t="str">
        <f aca="false">IF($A26="","",IFERROR(INDEX(Underlying!$D$1:$D$5000,MATCH($D26,Underlying!$A$1:$A$5000,0)),0))</f>
        <v/>
      </c>
      <c r="AC26" s="7" t="str">
        <f aca="false">IF($A26="","",IF(AND($J26&gt;=OPT_MIN_VOL,$G26&gt;=OPT_MIN_DTE),"بله","خیر"))</f>
        <v/>
      </c>
      <c r="AD26" s="13" t="str">
        <f aca="false">IF($A26="","",IF($AC26="خیر",0,IFERROR(MAX(-10,MIN(10,IF($C26="Call",$AB26,-$AB26)*0.6+IF($Z26&lt;0.85,2,IF($Z26&gt;1.25,-2,0))+IF($Q26="ATM",1,IF($Q26="ITM",0.5,-1))+IF($G26&gt;=30,0.5,-0.5))),0)))</f>
        <v/>
      </c>
      <c r="AE26" s="7" t="str">
        <f aca="false">IF($A26="","",IF($AC26="خیر","بدون سیگنال (نقدشوندگی/سررسید)",IF($AD26&gt;=TH_SBUY,"خرید قوی "&amp;$C26,IF($AD26&gt;=TH_BUY,"خرید "&amp;$C26,IF($AD26&lt;=TH_SSELL,"اجتناب / بستن موقعیت",IF($AD26&lt;=TH_SELL,"ضعیف","بی‌طرف"))))))</f>
        <v/>
      </c>
      <c r="AF26" s="14" t="str">
        <f aca="false">IF($A26="","","سهم پایه: "&amp;IFERROR(TEXT($AB26,"0.0"),"—")&amp;" | وضعیت: "&amp;$Q26&amp;" | نوسان ضمنی: "&amp;IFERROR(TEXT($U26,"0%"),"—")&amp;" | بازار÷نظری: "&amp;IFERROR(TEXT($Z26,"0.00"),"—")&amp;" | اهرم: "&amp;IFERROR(TEXT($AA26,"0.0"),"—")&amp;"x"&amp;" | "&amp;$G26&amp;" روز تا سررسید")</f>
        <v/>
      </c>
    </row>
    <row r="27" customFormat="false" ht="15" hidden="false" customHeight="false" outlineLevel="0" collapsed="false">
      <c r="A27" s="5"/>
      <c r="B27" s="6"/>
      <c r="C27" s="7"/>
      <c r="D27" s="7"/>
      <c r="E27" s="8"/>
      <c r="F27" s="9"/>
      <c r="G27" s="10"/>
      <c r="H27" s="8"/>
      <c r="I27" s="8"/>
      <c r="J27" s="8"/>
      <c r="K27" s="8"/>
      <c r="L27" s="8"/>
      <c r="M27" s="8"/>
      <c r="N27" s="8"/>
      <c r="O27" s="8" t="str">
        <f aca="false">IF($A27="","",IFERROR(INDEX(Underlying!$B$1:$B$5000,MATCH($D27,Underlying!$A$1:$A$5000,0)),""))</f>
        <v/>
      </c>
      <c r="P27" s="11" t="str">
        <f aca="false">IF($A27="","",IFERROR($O27/$E27,""))</f>
        <v/>
      </c>
      <c r="Q27" s="7" t="str">
        <f aca="false">IF($A27="","",IF($P27="","",IF($C27="Call",IF($P27&gt;1+OPT_ATM_BAND,"ITM",IF($P27&lt;1-OPT_ATM_BAND,"OTM","ATM")),IF($P27&lt;1-OPT_ATM_BAND,"ITM",IF($P27&gt;1+OPT_ATM_BAND,"OTM","ATM")))))</f>
        <v/>
      </c>
      <c r="R27" s="8" t="str">
        <f aca="false">IF($A27="","",IFERROR(IF($C27="Call",MAX(0,$O27-$E27),MAX(0,$E27-$O27)),""))</f>
        <v/>
      </c>
      <c r="S27" s="8" t="str">
        <f aca="false">IF($A27="","",IFERROR(MAX(0,$I27-$R27),""))</f>
        <v/>
      </c>
      <c r="T27" s="11" t="str">
        <f aca="false">IF($A27="","",IFERROR($G27/365,""))</f>
        <v/>
      </c>
      <c r="U27" s="12" t="str">
        <f aca="false">IF($A27="","",IF(OR($P27="",ABS($P27-1)&gt;3*OPT_ATM_BAND),"",IFERROR($I27/$O27*SQRT(2*PI()/$T27),"")))</f>
        <v/>
      </c>
      <c r="V27" s="11" t="str">
        <f aca="false">IF($A27="","",IFERROR((LN($O27/$E27)+(OPT_RF+OPT_VOL^2/2)*$T27)/(OPT_VOL*SQRT($T27)),""))</f>
        <v/>
      </c>
      <c r="W27" s="11" t="str">
        <f aca="false">IF($A27="","",IFERROR($V27-OPT_VOL*SQRT($T27),""))</f>
        <v/>
      </c>
      <c r="X27" s="11" t="str">
        <f aca="false">IF($A27="","",IFERROR(IF($C27="Call",NORMSDIST($V27),NORMSDIST($V27)-1),""))</f>
        <v/>
      </c>
      <c r="Y27" s="8" t="str">
        <f aca="false">IF($A27="","",IFERROR(IF($C27="Call",$O27*NORMSDIST($V27)-$E27*EXP(-OPT_RF*$T27)*NORMSDIST($W27),$E27*EXP(-OPT_RF*$T27)*NORMSDIST(-$W27)-$O27*NORMSDIST(-$V27)),""))</f>
        <v/>
      </c>
      <c r="Z27" s="11" t="str">
        <f aca="false">IF($A27="","",IFERROR($I27/$Y27,""))</f>
        <v/>
      </c>
      <c r="AA27" s="13" t="str">
        <f aca="false">IF($A27="","",IFERROR($O27*ABS($X27)/$I27,""))</f>
        <v/>
      </c>
      <c r="AB27" s="13" t="str">
        <f aca="false">IF($A27="","",IFERROR(INDEX(Underlying!$D$1:$D$5000,MATCH($D27,Underlying!$A$1:$A$5000,0)),0))</f>
        <v/>
      </c>
      <c r="AC27" s="7" t="str">
        <f aca="false">IF($A27="","",IF(AND($J27&gt;=OPT_MIN_VOL,$G27&gt;=OPT_MIN_DTE),"بله","خیر"))</f>
        <v/>
      </c>
      <c r="AD27" s="13" t="str">
        <f aca="false">IF($A27="","",IF($AC27="خیر",0,IFERROR(MAX(-10,MIN(10,IF($C27="Call",$AB27,-$AB27)*0.6+IF($Z27&lt;0.85,2,IF($Z27&gt;1.25,-2,0))+IF($Q27="ATM",1,IF($Q27="ITM",0.5,-1))+IF($G27&gt;=30,0.5,-0.5))),0)))</f>
        <v/>
      </c>
      <c r="AE27" s="7" t="str">
        <f aca="false">IF($A27="","",IF($AC27="خیر","بدون سیگنال (نقدشوندگی/سررسید)",IF($AD27&gt;=TH_SBUY,"خرید قوی "&amp;$C27,IF($AD27&gt;=TH_BUY,"خرید "&amp;$C27,IF($AD27&lt;=TH_SSELL,"اجتناب / بستن موقعیت",IF($AD27&lt;=TH_SELL,"ضعیف","بی‌طرف"))))))</f>
        <v/>
      </c>
      <c r="AF27" s="14" t="str">
        <f aca="false">IF($A27="","","سهم پایه: "&amp;IFERROR(TEXT($AB27,"0.0"),"—")&amp;" | وضعیت: "&amp;$Q27&amp;" | نوسان ضمنی: "&amp;IFERROR(TEXT($U27,"0%"),"—")&amp;" | بازار÷نظری: "&amp;IFERROR(TEXT($Z27,"0.00"),"—")&amp;" | اهرم: "&amp;IFERROR(TEXT($AA27,"0.0"),"—")&amp;"x"&amp;" | "&amp;$G27&amp;" روز تا سررسید")</f>
        <v/>
      </c>
    </row>
    <row r="28" customFormat="false" ht="15" hidden="false" customHeight="false" outlineLevel="0" collapsed="false">
      <c r="A28" s="5"/>
      <c r="B28" s="6"/>
      <c r="C28" s="7"/>
      <c r="D28" s="7"/>
      <c r="E28" s="8"/>
      <c r="F28" s="9"/>
      <c r="G28" s="10"/>
      <c r="H28" s="8"/>
      <c r="I28" s="8"/>
      <c r="J28" s="8"/>
      <c r="K28" s="8"/>
      <c r="L28" s="8"/>
      <c r="M28" s="8"/>
      <c r="N28" s="8"/>
      <c r="O28" s="8" t="str">
        <f aca="false">IF($A28="","",IFERROR(INDEX(Underlying!$B$1:$B$5000,MATCH($D28,Underlying!$A$1:$A$5000,0)),""))</f>
        <v/>
      </c>
      <c r="P28" s="11" t="str">
        <f aca="false">IF($A28="","",IFERROR($O28/$E28,""))</f>
        <v/>
      </c>
      <c r="Q28" s="7" t="str">
        <f aca="false">IF($A28="","",IF($P28="","",IF($C28="Call",IF($P28&gt;1+OPT_ATM_BAND,"ITM",IF($P28&lt;1-OPT_ATM_BAND,"OTM","ATM")),IF($P28&lt;1-OPT_ATM_BAND,"ITM",IF($P28&gt;1+OPT_ATM_BAND,"OTM","ATM")))))</f>
        <v/>
      </c>
      <c r="R28" s="8" t="str">
        <f aca="false">IF($A28="","",IFERROR(IF($C28="Call",MAX(0,$O28-$E28),MAX(0,$E28-$O28)),""))</f>
        <v/>
      </c>
      <c r="S28" s="8" t="str">
        <f aca="false">IF($A28="","",IFERROR(MAX(0,$I28-$R28),""))</f>
        <v/>
      </c>
      <c r="T28" s="11" t="str">
        <f aca="false">IF($A28="","",IFERROR($G28/365,""))</f>
        <v/>
      </c>
      <c r="U28" s="12" t="str">
        <f aca="false">IF($A28="","",IF(OR($P28="",ABS($P28-1)&gt;3*OPT_ATM_BAND),"",IFERROR($I28/$O28*SQRT(2*PI()/$T28),"")))</f>
        <v/>
      </c>
      <c r="V28" s="11" t="str">
        <f aca="false">IF($A28="","",IFERROR((LN($O28/$E28)+(OPT_RF+OPT_VOL^2/2)*$T28)/(OPT_VOL*SQRT($T28)),""))</f>
        <v/>
      </c>
      <c r="W28" s="11" t="str">
        <f aca="false">IF($A28="","",IFERROR($V28-OPT_VOL*SQRT($T28),""))</f>
        <v/>
      </c>
      <c r="X28" s="11" t="str">
        <f aca="false">IF($A28="","",IFERROR(IF($C28="Call",NORMSDIST($V28),NORMSDIST($V28)-1),""))</f>
        <v/>
      </c>
      <c r="Y28" s="8" t="str">
        <f aca="false">IF($A28="","",IFERROR(IF($C28="Call",$O28*NORMSDIST($V28)-$E28*EXP(-OPT_RF*$T28)*NORMSDIST($W28),$E28*EXP(-OPT_RF*$T28)*NORMSDIST(-$W28)-$O28*NORMSDIST(-$V28)),""))</f>
        <v/>
      </c>
      <c r="Z28" s="11" t="str">
        <f aca="false">IF($A28="","",IFERROR($I28/$Y28,""))</f>
        <v/>
      </c>
      <c r="AA28" s="13" t="str">
        <f aca="false">IF($A28="","",IFERROR($O28*ABS($X28)/$I28,""))</f>
        <v/>
      </c>
      <c r="AB28" s="13" t="str">
        <f aca="false">IF($A28="","",IFERROR(INDEX(Underlying!$D$1:$D$5000,MATCH($D28,Underlying!$A$1:$A$5000,0)),0))</f>
        <v/>
      </c>
      <c r="AC28" s="7" t="str">
        <f aca="false">IF($A28="","",IF(AND($J28&gt;=OPT_MIN_VOL,$G28&gt;=OPT_MIN_DTE),"بله","خیر"))</f>
        <v/>
      </c>
      <c r="AD28" s="13" t="str">
        <f aca="false">IF($A28="","",IF($AC28="خیر",0,IFERROR(MAX(-10,MIN(10,IF($C28="Call",$AB28,-$AB28)*0.6+IF($Z28&lt;0.85,2,IF($Z28&gt;1.25,-2,0))+IF($Q28="ATM",1,IF($Q28="ITM",0.5,-1))+IF($G28&gt;=30,0.5,-0.5))),0)))</f>
        <v/>
      </c>
      <c r="AE28" s="7" t="str">
        <f aca="false">IF($A28="","",IF($AC28="خیر","بدون سیگنال (نقدشوندگی/سررسید)",IF($AD28&gt;=TH_SBUY,"خرید قوی "&amp;$C28,IF($AD28&gt;=TH_BUY,"خرید "&amp;$C28,IF($AD28&lt;=TH_SSELL,"اجتناب / بستن موقعیت",IF($AD28&lt;=TH_SELL,"ضعیف","بی‌طرف"))))))</f>
        <v/>
      </c>
      <c r="AF28" s="14" t="str">
        <f aca="false">IF($A28="","","سهم پایه: "&amp;IFERROR(TEXT($AB28,"0.0"),"—")&amp;" | وضعیت: "&amp;$Q28&amp;" | نوسان ضمنی: "&amp;IFERROR(TEXT($U28,"0%"),"—")&amp;" | بازار÷نظری: "&amp;IFERROR(TEXT($Z28,"0.00"),"—")&amp;" | اهرم: "&amp;IFERROR(TEXT($AA28,"0.0"),"—")&amp;"x"&amp;" | "&amp;$G28&amp;" روز تا سررسید")</f>
        <v/>
      </c>
    </row>
    <row r="29" customFormat="false" ht="15" hidden="false" customHeight="false" outlineLevel="0" collapsed="false">
      <c r="A29" s="5"/>
      <c r="B29" s="6"/>
      <c r="C29" s="7"/>
      <c r="D29" s="7"/>
      <c r="E29" s="8"/>
      <c r="F29" s="9"/>
      <c r="G29" s="10"/>
      <c r="H29" s="8"/>
      <c r="I29" s="8"/>
      <c r="J29" s="8"/>
      <c r="K29" s="8"/>
      <c r="L29" s="8"/>
      <c r="M29" s="8"/>
      <c r="N29" s="8"/>
      <c r="O29" s="8" t="str">
        <f aca="false">IF($A29="","",IFERROR(INDEX(Underlying!$B$1:$B$5000,MATCH($D29,Underlying!$A$1:$A$5000,0)),""))</f>
        <v/>
      </c>
      <c r="P29" s="11" t="str">
        <f aca="false">IF($A29="","",IFERROR($O29/$E29,""))</f>
        <v/>
      </c>
      <c r="Q29" s="7" t="str">
        <f aca="false">IF($A29="","",IF($P29="","",IF($C29="Call",IF($P29&gt;1+OPT_ATM_BAND,"ITM",IF($P29&lt;1-OPT_ATM_BAND,"OTM","ATM")),IF($P29&lt;1-OPT_ATM_BAND,"ITM",IF($P29&gt;1+OPT_ATM_BAND,"OTM","ATM")))))</f>
        <v/>
      </c>
      <c r="R29" s="8" t="str">
        <f aca="false">IF($A29="","",IFERROR(IF($C29="Call",MAX(0,$O29-$E29),MAX(0,$E29-$O29)),""))</f>
        <v/>
      </c>
      <c r="S29" s="8" t="str">
        <f aca="false">IF($A29="","",IFERROR(MAX(0,$I29-$R29),""))</f>
        <v/>
      </c>
      <c r="T29" s="11" t="str">
        <f aca="false">IF($A29="","",IFERROR($G29/365,""))</f>
        <v/>
      </c>
      <c r="U29" s="12" t="str">
        <f aca="false">IF($A29="","",IF(OR($P29="",ABS($P29-1)&gt;3*OPT_ATM_BAND),"",IFERROR($I29/$O29*SQRT(2*PI()/$T29),"")))</f>
        <v/>
      </c>
      <c r="V29" s="11" t="str">
        <f aca="false">IF($A29="","",IFERROR((LN($O29/$E29)+(OPT_RF+OPT_VOL^2/2)*$T29)/(OPT_VOL*SQRT($T29)),""))</f>
        <v/>
      </c>
      <c r="W29" s="11" t="str">
        <f aca="false">IF($A29="","",IFERROR($V29-OPT_VOL*SQRT($T29),""))</f>
        <v/>
      </c>
      <c r="X29" s="11" t="str">
        <f aca="false">IF($A29="","",IFERROR(IF($C29="Call",NORMSDIST($V29),NORMSDIST($V29)-1),""))</f>
        <v/>
      </c>
      <c r="Y29" s="8" t="str">
        <f aca="false">IF($A29="","",IFERROR(IF($C29="Call",$O29*NORMSDIST($V29)-$E29*EXP(-OPT_RF*$T29)*NORMSDIST($W29),$E29*EXP(-OPT_RF*$T29)*NORMSDIST(-$W29)-$O29*NORMSDIST(-$V29)),""))</f>
        <v/>
      </c>
      <c r="Z29" s="11" t="str">
        <f aca="false">IF($A29="","",IFERROR($I29/$Y29,""))</f>
        <v/>
      </c>
      <c r="AA29" s="13" t="str">
        <f aca="false">IF($A29="","",IFERROR($O29*ABS($X29)/$I29,""))</f>
        <v/>
      </c>
      <c r="AB29" s="13" t="str">
        <f aca="false">IF($A29="","",IFERROR(INDEX(Underlying!$D$1:$D$5000,MATCH($D29,Underlying!$A$1:$A$5000,0)),0))</f>
        <v/>
      </c>
      <c r="AC29" s="7" t="str">
        <f aca="false">IF($A29="","",IF(AND($J29&gt;=OPT_MIN_VOL,$G29&gt;=OPT_MIN_DTE),"بله","خیر"))</f>
        <v/>
      </c>
      <c r="AD29" s="13" t="str">
        <f aca="false">IF($A29="","",IF($AC29="خیر",0,IFERROR(MAX(-10,MIN(10,IF($C29="Call",$AB29,-$AB29)*0.6+IF($Z29&lt;0.85,2,IF($Z29&gt;1.25,-2,0))+IF($Q29="ATM",1,IF($Q29="ITM",0.5,-1))+IF($G29&gt;=30,0.5,-0.5))),0)))</f>
        <v/>
      </c>
      <c r="AE29" s="7" t="str">
        <f aca="false">IF($A29="","",IF($AC29="خیر","بدون سیگنال (نقدشوندگی/سررسید)",IF($AD29&gt;=TH_SBUY,"خرید قوی "&amp;$C29,IF($AD29&gt;=TH_BUY,"خرید "&amp;$C29,IF($AD29&lt;=TH_SSELL,"اجتناب / بستن موقعیت",IF($AD29&lt;=TH_SELL,"ضعیف","بی‌طرف"))))))</f>
        <v/>
      </c>
      <c r="AF29" s="14" t="str">
        <f aca="false">IF($A29="","","سهم پایه: "&amp;IFERROR(TEXT($AB29,"0.0"),"—")&amp;" | وضعیت: "&amp;$Q29&amp;" | نوسان ضمنی: "&amp;IFERROR(TEXT($U29,"0%"),"—")&amp;" | بازار÷نظری: "&amp;IFERROR(TEXT($Z29,"0.00"),"—")&amp;" | اهرم: "&amp;IFERROR(TEXT($AA29,"0.0"),"—")&amp;"x"&amp;" | "&amp;$G29&amp;" روز تا سررسید")</f>
        <v/>
      </c>
    </row>
    <row r="30" customFormat="false" ht="15" hidden="false" customHeight="false" outlineLevel="0" collapsed="false">
      <c r="A30" s="5"/>
      <c r="B30" s="6"/>
      <c r="C30" s="7"/>
      <c r="D30" s="7"/>
      <c r="E30" s="8"/>
      <c r="F30" s="9"/>
      <c r="G30" s="10"/>
      <c r="H30" s="8"/>
      <c r="I30" s="8"/>
      <c r="J30" s="8"/>
      <c r="K30" s="8"/>
      <c r="L30" s="8"/>
      <c r="M30" s="8"/>
      <c r="N30" s="8"/>
      <c r="O30" s="8" t="str">
        <f aca="false">IF($A30="","",IFERROR(INDEX(Underlying!$B$1:$B$5000,MATCH($D30,Underlying!$A$1:$A$5000,0)),""))</f>
        <v/>
      </c>
      <c r="P30" s="11" t="str">
        <f aca="false">IF($A30="","",IFERROR($O30/$E30,""))</f>
        <v/>
      </c>
      <c r="Q30" s="7" t="str">
        <f aca="false">IF($A30="","",IF($P30="","",IF($C30="Call",IF($P30&gt;1+OPT_ATM_BAND,"ITM",IF($P30&lt;1-OPT_ATM_BAND,"OTM","ATM")),IF($P30&lt;1-OPT_ATM_BAND,"ITM",IF($P30&gt;1+OPT_ATM_BAND,"OTM","ATM")))))</f>
        <v/>
      </c>
      <c r="R30" s="8" t="str">
        <f aca="false">IF($A30="","",IFERROR(IF($C30="Call",MAX(0,$O30-$E30),MAX(0,$E30-$O30)),""))</f>
        <v/>
      </c>
      <c r="S30" s="8" t="str">
        <f aca="false">IF($A30="","",IFERROR(MAX(0,$I30-$R30),""))</f>
        <v/>
      </c>
      <c r="T30" s="11" t="str">
        <f aca="false">IF($A30="","",IFERROR($G30/365,""))</f>
        <v/>
      </c>
      <c r="U30" s="12" t="str">
        <f aca="false">IF($A30="","",IF(OR($P30="",ABS($P30-1)&gt;3*OPT_ATM_BAND),"",IFERROR($I30/$O30*SQRT(2*PI()/$T30),"")))</f>
        <v/>
      </c>
      <c r="V30" s="11" t="str">
        <f aca="false">IF($A30="","",IFERROR((LN($O30/$E30)+(OPT_RF+OPT_VOL^2/2)*$T30)/(OPT_VOL*SQRT($T30)),""))</f>
        <v/>
      </c>
      <c r="W30" s="11" t="str">
        <f aca="false">IF($A30="","",IFERROR($V30-OPT_VOL*SQRT($T30),""))</f>
        <v/>
      </c>
      <c r="X30" s="11" t="str">
        <f aca="false">IF($A30="","",IFERROR(IF($C30="Call",NORMSDIST($V30),NORMSDIST($V30)-1),""))</f>
        <v/>
      </c>
      <c r="Y30" s="8" t="str">
        <f aca="false">IF($A30="","",IFERROR(IF($C30="Call",$O30*NORMSDIST($V30)-$E30*EXP(-OPT_RF*$T30)*NORMSDIST($W30),$E30*EXP(-OPT_RF*$T30)*NORMSDIST(-$W30)-$O30*NORMSDIST(-$V30)),""))</f>
        <v/>
      </c>
      <c r="Z30" s="11" t="str">
        <f aca="false">IF($A30="","",IFERROR($I30/$Y30,""))</f>
        <v/>
      </c>
      <c r="AA30" s="13" t="str">
        <f aca="false">IF($A30="","",IFERROR($O30*ABS($X30)/$I30,""))</f>
        <v/>
      </c>
      <c r="AB30" s="13" t="str">
        <f aca="false">IF($A30="","",IFERROR(INDEX(Underlying!$D$1:$D$5000,MATCH($D30,Underlying!$A$1:$A$5000,0)),0))</f>
        <v/>
      </c>
      <c r="AC30" s="7" t="str">
        <f aca="false">IF($A30="","",IF(AND($J30&gt;=OPT_MIN_VOL,$G30&gt;=OPT_MIN_DTE),"بله","خیر"))</f>
        <v/>
      </c>
      <c r="AD30" s="13" t="str">
        <f aca="false">IF($A30="","",IF($AC30="خیر",0,IFERROR(MAX(-10,MIN(10,IF($C30="Call",$AB30,-$AB30)*0.6+IF($Z30&lt;0.85,2,IF($Z30&gt;1.25,-2,0))+IF($Q30="ATM",1,IF($Q30="ITM",0.5,-1))+IF($G30&gt;=30,0.5,-0.5))),0)))</f>
        <v/>
      </c>
      <c r="AE30" s="7" t="str">
        <f aca="false">IF($A30="","",IF($AC30="خیر","بدون سیگنال (نقدشوندگی/سررسید)",IF($AD30&gt;=TH_SBUY,"خرید قوی "&amp;$C30,IF($AD30&gt;=TH_BUY,"خرید "&amp;$C30,IF($AD30&lt;=TH_SSELL,"اجتناب / بستن موقعیت",IF($AD30&lt;=TH_SELL,"ضعیف","بی‌طرف"))))))</f>
        <v/>
      </c>
      <c r="AF30" s="14" t="str">
        <f aca="false">IF($A30="","","سهم پایه: "&amp;IFERROR(TEXT($AB30,"0.0"),"—")&amp;" | وضعیت: "&amp;$Q30&amp;" | نوسان ضمنی: "&amp;IFERROR(TEXT($U30,"0%"),"—")&amp;" | بازار÷نظری: "&amp;IFERROR(TEXT($Z30,"0.00"),"—")&amp;" | اهرم: "&amp;IFERROR(TEXT($AA30,"0.0"),"—")&amp;"x"&amp;" | "&amp;$G30&amp;" روز تا سررسید")</f>
        <v/>
      </c>
    </row>
    <row r="31" customFormat="false" ht="15" hidden="false" customHeight="false" outlineLevel="0" collapsed="false">
      <c r="A31" s="5"/>
      <c r="B31" s="6"/>
      <c r="C31" s="7"/>
      <c r="D31" s="7"/>
      <c r="E31" s="8"/>
      <c r="F31" s="9"/>
      <c r="G31" s="10"/>
      <c r="H31" s="8"/>
      <c r="I31" s="8"/>
      <c r="J31" s="8"/>
      <c r="K31" s="8"/>
      <c r="L31" s="8"/>
      <c r="M31" s="8"/>
      <c r="N31" s="8"/>
      <c r="O31" s="8" t="str">
        <f aca="false">IF($A31="","",IFERROR(INDEX(Underlying!$B$1:$B$5000,MATCH($D31,Underlying!$A$1:$A$5000,0)),""))</f>
        <v/>
      </c>
      <c r="P31" s="11" t="str">
        <f aca="false">IF($A31="","",IFERROR($O31/$E31,""))</f>
        <v/>
      </c>
      <c r="Q31" s="7" t="str">
        <f aca="false">IF($A31="","",IF($P31="","",IF($C31="Call",IF($P31&gt;1+OPT_ATM_BAND,"ITM",IF($P31&lt;1-OPT_ATM_BAND,"OTM","ATM")),IF($P31&lt;1-OPT_ATM_BAND,"ITM",IF($P31&gt;1+OPT_ATM_BAND,"OTM","ATM")))))</f>
        <v/>
      </c>
      <c r="R31" s="8" t="str">
        <f aca="false">IF($A31="","",IFERROR(IF($C31="Call",MAX(0,$O31-$E31),MAX(0,$E31-$O31)),""))</f>
        <v/>
      </c>
      <c r="S31" s="8" t="str">
        <f aca="false">IF($A31="","",IFERROR(MAX(0,$I31-$R31),""))</f>
        <v/>
      </c>
      <c r="T31" s="11" t="str">
        <f aca="false">IF($A31="","",IFERROR($G31/365,""))</f>
        <v/>
      </c>
      <c r="U31" s="12" t="str">
        <f aca="false">IF($A31="","",IF(OR($P31="",ABS($P31-1)&gt;3*OPT_ATM_BAND),"",IFERROR($I31/$O31*SQRT(2*PI()/$T31),"")))</f>
        <v/>
      </c>
      <c r="V31" s="11" t="str">
        <f aca="false">IF($A31="","",IFERROR((LN($O31/$E31)+(OPT_RF+OPT_VOL^2/2)*$T31)/(OPT_VOL*SQRT($T31)),""))</f>
        <v/>
      </c>
      <c r="W31" s="11" t="str">
        <f aca="false">IF($A31="","",IFERROR($V31-OPT_VOL*SQRT($T31),""))</f>
        <v/>
      </c>
      <c r="X31" s="11" t="str">
        <f aca="false">IF($A31="","",IFERROR(IF($C31="Call",NORMSDIST($V31),NORMSDIST($V31)-1),""))</f>
        <v/>
      </c>
      <c r="Y31" s="8" t="str">
        <f aca="false">IF($A31="","",IFERROR(IF($C31="Call",$O31*NORMSDIST($V31)-$E31*EXP(-OPT_RF*$T31)*NORMSDIST($W31),$E31*EXP(-OPT_RF*$T31)*NORMSDIST(-$W31)-$O31*NORMSDIST(-$V31)),""))</f>
        <v/>
      </c>
      <c r="Z31" s="11" t="str">
        <f aca="false">IF($A31="","",IFERROR($I31/$Y31,""))</f>
        <v/>
      </c>
      <c r="AA31" s="13" t="str">
        <f aca="false">IF($A31="","",IFERROR($O31*ABS($X31)/$I31,""))</f>
        <v/>
      </c>
      <c r="AB31" s="13" t="str">
        <f aca="false">IF($A31="","",IFERROR(INDEX(Underlying!$D$1:$D$5000,MATCH($D31,Underlying!$A$1:$A$5000,0)),0))</f>
        <v/>
      </c>
      <c r="AC31" s="7" t="str">
        <f aca="false">IF($A31="","",IF(AND($J31&gt;=OPT_MIN_VOL,$G31&gt;=OPT_MIN_DTE),"بله","خیر"))</f>
        <v/>
      </c>
      <c r="AD31" s="13" t="str">
        <f aca="false">IF($A31="","",IF($AC31="خیر",0,IFERROR(MAX(-10,MIN(10,IF($C31="Call",$AB31,-$AB31)*0.6+IF($Z31&lt;0.85,2,IF($Z31&gt;1.25,-2,0))+IF($Q31="ATM",1,IF($Q31="ITM",0.5,-1))+IF($G31&gt;=30,0.5,-0.5))),0)))</f>
        <v/>
      </c>
      <c r="AE31" s="7" t="str">
        <f aca="false">IF($A31="","",IF($AC31="خیر","بدون سیگنال (نقدشوندگی/سررسید)",IF($AD31&gt;=TH_SBUY,"خرید قوی "&amp;$C31,IF($AD31&gt;=TH_BUY,"خرید "&amp;$C31,IF($AD31&lt;=TH_SSELL,"اجتناب / بستن موقعیت",IF($AD31&lt;=TH_SELL,"ضعیف","بی‌طرف"))))))</f>
        <v/>
      </c>
      <c r="AF31" s="14" t="str">
        <f aca="false">IF($A31="","","سهم پایه: "&amp;IFERROR(TEXT($AB31,"0.0"),"—")&amp;" | وضعیت: "&amp;$Q31&amp;" | نوسان ضمنی: "&amp;IFERROR(TEXT($U31,"0%"),"—")&amp;" | بازار÷نظری: "&amp;IFERROR(TEXT($Z31,"0.00"),"—")&amp;" | اهرم: "&amp;IFERROR(TEXT($AA31,"0.0"),"—")&amp;"x"&amp;" | "&amp;$G31&amp;" روز تا سررسید")</f>
        <v/>
      </c>
    </row>
    <row r="32" customFormat="false" ht="15" hidden="false" customHeight="false" outlineLevel="0" collapsed="false">
      <c r="A32" s="5"/>
      <c r="B32" s="6"/>
      <c r="C32" s="7"/>
      <c r="D32" s="7"/>
      <c r="E32" s="8"/>
      <c r="F32" s="9"/>
      <c r="G32" s="10"/>
      <c r="H32" s="8"/>
      <c r="I32" s="8"/>
      <c r="J32" s="8"/>
      <c r="K32" s="8"/>
      <c r="L32" s="8"/>
      <c r="M32" s="8"/>
      <c r="N32" s="8"/>
      <c r="O32" s="8" t="str">
        <f aca="false">IF($A32="","",IFERROR(INDEX(Underlying!$B$1:$B$5000,MATCH($D32,Underlying!$A$1:$A$5000,0)),""))</f>
        <v/>
      </c>
      <c r="P32" s="11" t="str">
        <f aca="false">IF($A32="","",IFERROR($O32/$E32,""))</f>
        <v/>
      </c>
      <c r="Q32" s="7" t="str">
        <f aca="false">IF($A32="","",IF($P32="","",IF($C32="Call",IF($P32&gt;1+OPT_ATM_BAND,"ITM",IF($P32&lt;1-OPT_ATM_BAND,"OTM","ATM")),IF($P32&lt;1-OPT_ATM_BAND,"ITM",IF($P32&gt;1+OPT_ATM_BAND,"OTM","ATM")))))</f>
        <v/>
      </c>
      <c r="R32" s="8" t="str">
        <f aca="false">IF($A32="","",IFERROR(IF($C32="Call",MAX(0,$O32-$E32),MAX(0,$E32-$O32)),""))</f>
        <v/>
      </c>
      <c r="S32" s="8" t="str">
        <f aca="false">IF($A32="","",IFERROR(MAX(0,$I32-$R32),""))</f>
        <v/>
      </c>
      <c r="T32" s="11" t="str">
        <f aca="false">IF($A32="","",IFERROR($G32/365,""))</f>
        <v/>
      </c>
      <c r="U32" s="12" t="str">
        <f aca="false">IF($A32="","",IF(OR($P32="",ABS($P32-1)&gt;3*OPT_ATM_BAND),"",IFERROR($I32/$O32*SQRT(2*PI()/$T32),"")))</f>
        <v/>
      </c>
      <c r="V32" s="11" t="str">
        <f aca="false">IF($A32="","",IFERROR((LN($O32/$E32)+(OPT_RF+OPT_VOL^2/2)*$T32)/(OPT_VOL*SQRT($T32)),""))</f>
        <v/>
      </c>
      <c r="W32" s="11" t="str">
        <f aca="false">IF($A32="","",IFERROR($V32-OPT_VOL*SQRT($T32),""))</f>
        <v/>
      </c>
      <c r="X32" s="11" t="str">
        <f aca="false">IF($A32="","",IFERROR(IF($C32="Call",NORMSDIST($V32),NORMSDIST($V32)-1),""))</f>
        <v/>
      </c>
      <c r="Y32" s="8" t="str">
        <f aca="false">IF($A32="","",IFERROR(IF($C32="Call",$O32*NORMSDIST($V32)-$E32*EXP(-OPT_RF*$T32)*NORMSDIST($W32),$E32*EXP(-OPT_RF*$T32)*NORMSDIST(-$W32)-$O32*NORMSDIST(-$V32)),""))</f>
        <v/>
      </c>
      <c r="Z32" s="11" t="str">
        <f aca="false">IF($A32="","",IFERROR($I32/$Y32,""))</f>
        <v/>
      </c>
      <c r="AA32" s="13" t="str">
        <f aca="false">IF($A32="","",IFERROR($O32*ABS($X32)/$I32,""))</f>
        <v/>
      </c>
      <c r="AB32" s="13" t="str">
        <f aca="false">IF($A32="","",IFERROR(INDEX(Underlying!$D$1:$D$5000,MATCH($D32,Underlying!$A$1:$A$5000,0)),0))</f>
        <v/>
      </c>
      <c r="AC32" s="7" t="str">
        <f aca="false">IF($A32="","",IF(AND($J32&gt;=OPT_MIN_VOL,$G32&gt;=OPT_MIN_DTE),"بله","خیر"))</f>
        <v/>
      </c>
      <c r="AD32" s="13" t="str">
        <f aca="false">IF($A32="","",IF($AC32="خیر",0,IFERROR(MAX(-10,MIN(10,IF($C32="Call",$AB32,-$AB32)*0.6+IF($Z32&lt;0.85,2,IF($Z32&gt;1.25,-2,0))+IF($Q32="ATM",1,IF($Q32="ITM",0.5,-1))+IF($G32&gt;=30,0.5,-0.5))),0)))</f>
        <v/>
      </c>
      <c r="AE32" s="7" t="str">
        <f aca="false">IF($A32="","",IF($AC32="خیر","بدون سیگنال (نقدشوندگی/سررسید)",IF($AD32&gt;=TH_SBUY,"خرید قوی "&amp;$C32,IF($AD32&gt;=TH_BUY,"خرید "&amp;$C32,IF($AD32&lt;=TH_SSELL,"اجتناب / بستن موقعیت",IF($AD32&lt;=TH_SELL,"ضعیف","بی‌طرف"))))))</f>
        <v/>
      </c>
      <c r="AF32" s="14" t="str">
        <f aca="false">IF($A32="","","سهم پایه: "&amp;IFERROR(TEXT($AB32,"0.0"),"—")&amp;" | وضعیت: "&amp;$Q32&amp;" | نوسان ضمنی: "&amp;IFERROR(TEXT($U32,"0%"),"—")&amp;" | بازار÷نظری: "&amp;IFERROR(TEXT($Z32,"0.00"),"—")&amp;" | اهرم: "&amp;IFERROR(TEXT($AA32,"0.0"),"—")&amp;"x"&amp;" | "&amp;$G32&amp;" روز تا سررسید")</f>
        <v/>
      </c>
    </row>
    <row r="33" customFormat="false" ht="15" hidden="false" customHeight="false" outlineLevel="0" collapsed="false">
      <c r="A33" s="5"/>
      <c r="B33" s="6"/>
      <c r="C33" s="7"/>
      <c r="D33" s="7"/>
      <c r="E33" s="8"/>
      <c r="F33" s="9"/>
      <c r="G33" s="10"/>
      <c r="H33" s="8"/>
      <c r="I33" s="8"/>
      <c r="J33" s="8"/>
      <c r="K33" s="8"/>
      <c r="L33" s="8"/>
      <c r="M33" s="8"/>
      <c r="N33" s="8"/>
      <c r="O33" s="8" t="str">
        <f aca="false">IF($A33="","",IFERROR(INDEX(Underlying!$B$1:$B$5000,MATCH($D33,Underlying!$A$1:$A$5000,0)),""))</f>
        <v/>
      </c>
      <c r="P33" s="11" t="str">
        <f aca="false">IF($A33="","",IFERROR($O33/$E33,""))</f>
        <v/>
      </c>
      <c r="Q33" s="7" t="str">
        <f aca="false">IF($A33="","",IF($P33="","",IF($C33="Call",IF($P33&gt;1+OPT_ATM_BAND,"ITM",IF($P33&lt;1-OPT_ATM_BAND,"OTM","ATM")),IF($P33&lt;1-OPT_ATM_BAND,"ITM",IF($P33&gt;1+OPT_ATM_BAND,"OTM","ATM")))))</f>
        <v/>
      </c>
      <c r="R33" s="8" t="str">
        <f aca="false">IF($A33="","",IFERROR(IF($C33="Call",MAX(0,$O33-$E33),MAX(0,$E33-$O33)),""))</f>
        <v/>
      </c>
      <c r="S33" s="8" t="str">
        <f aca="false">IF($A33="","",IFERROR(MAX(0,$I33-$R33),""))</f>
        <v/>
      </c>
      <c r="T33" s="11" t="str">
        <f aca="false">IF($A33="","",IFERROR($G33/365,""))</f>
        <v/>
      </c>
      <c r="U33" s="12" t="str">
        <f aca="false">IF($A33="","",IF(OR($P33="",ABS($P33-1)&gt;3*OPT_ATM_BAND),"",IFERROR($I33/$O33*SQRT(2*PI()/$T33),"")))</f>
        <v/>
      </c>
      <c r="V33" s="11" t="str">
        <f aca="false">IF($A33="","",IFERROR((LN($O33/$E33)+(OPT_RF+OPT_VOL^2/2)*$T33)/(OPT_VOL*SQRT($T33)),""))</f>
        <v/>
      </c>
      <c r="W33" s="11" t="str">
        <f aca="false">IF($A33="","",IFERROR($V33-OPT_VOL*SQRT($T33),""))</f>
        <v/>
      </c>
      <c r="X33" s="11" t="str">
        <f aca="false">IF($A33="","",IFERROR(IF($C33="Call",NORMSDIST($V33),NORMSDIST($V33)-1),""))</f>
        <v/>
      </c>
      <c r="Y33" s="8" t="str">
        <f aca="false">IF($A33="","",IFERROR(IF($C33="Call",$O33*NORMSDIST($V33)-$E33*EXP(-OPT_RF*$T33)*NORMSDIST($W33),$E33*EXP(-OPT_RF*$T33)*NORMSDIST(-$W33)-$O33*NORMSDIST(-$V33)),""))</f>
        <v/>
      </c>
      <c r="Z33" s="11" t="str">
        <f aca="false">IF($A33="","",IFERROR($I33/$Y33,""))</f>
        <v/>
      </c>
      <c r="AA33" s="13" t="str">
        <f aca="false">IF($A33="","",IFERROR($O33*ABS($X33)/$I33,""))</f>
        <v/>
      </c>
      <c r="AB33" s="13" t="str">
        <f aca="false">IF($A33="","",IFERROR(INDEX(Underlying!$D$1:$D$5000,MATCH($D33,Underlying!$A$1:$A$5000,0)),0))</f>
        <v/>
      </c>
      <c r="AC33" s="7" t="str">
        <f aca="false">IF($A33="","",IF(AND($J33&gt;=OPT_MIN_VOL,$G33&gt;=OPT_MIN_DTE),"بله","خیر"))</f>
        <v/>
      </c>
      <c r="AD33" s="13" t="str">
        <f aca="false">IF($A33="","",IF($AC33="خیر",0,IFERROR(MAX(-10,MIN(10,IF($C33="Call",$AB33,-$AB33)*0.6+IF($Z33&lt;0.85,2,IF($Z33&gt;1.25,-2,0))+IF($Q33="ATM",1,IF($Q33="ITM",0.5,-1))+IF($G33&gt;=30,0.5,-0.5))),0)))</f>
        <v/>
      </c>
      <c r="AE33" s="7" t="str">
        <f aca="false">IF($A33="","",IF($AC33="خیر","بدون سیگنال (نقدشوندگی/سررسید)",IF($AD33&gt;=TH_SBUY,"خرید قوی "&amp;$C33,IF($AD33&gt;=TH_BUY,"خرید "&amp;$C33,IF($AD33&lt;=TH_SSELL,"اجتناب / بستن موقعیت",IF($AD33&lt;=TH_SELL,"ضعیف","بی‌طرف"))))))</f>
        <v/>
      </c>
      <c r="AF33" s="14" t="str">
        <f aca="false">IF($A33="","","سهم پایه: "&amp;IFERROR(TEXT($AB33,"0.0"),"—")&amp;" | وضعیت: "&amp;$Q33&amp;" | نوسان ضمنی: "&amp;IFERROR(TEXT($U33,"0%"),"—")&amp;" | بازار÷نظری: "&amp;IFERROR(TEXT($Z33,"0.00"),"—")&amp;" | اهرم: "&amp;IFERROR(TEXT($AA33,"0.0"),"—")&amp;"x"&amp;" | "&amp;$G33&amp;" روز تا سررسید")</f>
        <v/>
      </c>
    </row>
    <row r="34" customFormat="false" ht="15" hidden="false" customHeight="false" outlineLevel="0" collapsed="false">
      <c r="A34" s="5"/>
      <c r="B34" s="6"/>
      <c r="C34" s="7"/>
      <c r="D34" s="7"/>
      <c r="E34" s="8"/>
      <c r="F34" s="9"/>
      <c r="G34" s="10"/>
      <c r="H34" s="8"/>
      <c r="I34" s="8"/>
      <c r="J34" s="8"/>
      <c r="K34" s="8"/>
      <c r="L34" s="8"/>
      <c r="M34" s="8"/>
      <c r="N34" s="8"/>
      <c r="O34" s="8" t="str">
        <f aca="false">IF($A34="","",IFERROR(INDEX(Underlying!$B$1:$B$5000,MATCH($D34,Underlying!$A$1:$A$5000,0)),""))</f>
        <v/>
      </c>
      <c r="P34" s="11" t="str">
        <f aca="false">IF($A34="","",IFERROR($O34/$E34,""))</f>
        <v/>
      </c>
      <c r="Q34" s="7" t="str">
        <f aca="false">IF($A34="","",IF($P34="","",IF($C34="Call",IF($P34&gt;1+OPT_ATM_BAND,"ITM",IF($P34&lt;1-OPT_ATM_BAND,"OTM","ATM")),IF($P34&lt;1-OPT_ATM_BAND,"ITM",IF($P34&gt;1+OPT_ATM_BAND,"OTM","ATM")))))</f>
        <v/>
      </c>
      <c r="R34" s="8" t="str">
        <f aca="false">IF($A34="","",IFERROR(IF($C34="Call",MAX(0,$O34-$E34),MAX(0,$E34-$O34)),""))</f>
        <v/>
      </c>
      <c r="S34" s="8" t="str">
        <f aca="false">IF($A34="","",IFERROR(MAX(0,$I34-$R34),""))</f>
        <v/>
      </c>
      <c r="T34" s="11" t="str">
        <f aca="false">IF($A34="","",IFERROR($G34/365,""))</f>
        <v/>
      </c>
      <c r="U34" s="12" t="str">
        <f aca="false">IF($A34="","",IF(OR($P34="",ABS($P34-1)&gt;3*OPT_ATM_BAND),"",IFERROR($I34/$O34*SQRT(2*PI()/$T34),"")))</f>
        <v/>
      </c>
      <c r="V34" s="11" t="str">
        <f aca="false">IF($A34="","",IFERROR((LN($O34/$E34)+(OPT_RF+OPT_VOL^2/2)*$T34)/(OPT_VOL*SQRT($T34)),""))</f>
        <v/>
      </c>
      <c r="W34" s="11" t="str">
        <f aca="false">IF($A34="","",IFERROR($V34-OPT_VOL*SQRT($T34),""))</f>
        <v/>
      </c>
      <c r="X34" s="11" t="str">
        <f aca="false">IF($A34="","",IFERROR(IF($C34="Call",NORMSDIST($V34),NORMSDIST($V34)-1),""))</f>
        <v/>
      </c>
      <c r="Y34" s="8" t="str">
        <f aca="false">IF($A34="","",IFERROR(IF($C34="Call",$O34*NORMSDIST($V34)-$E34*EXP(-OPT_RF*$T34)*NORMSDIST($W34),$E34*EXP(-OPT_RF*$T34)*NORMSDIST(-$W34)-$O34*NORMSDIST(-$V34)),""))</f>
        <v/>
      </c>
      <c r="Z34" s="11" t="str">
        <f aca="false">IF($A34="","",IFERROR($I34/$Y34,""))</f>
        <v/>
      </c>
      <c r="AA34" s="13" t="str">
        <f aca="false">IF($A34="","",IFERROR($O34*ABS($X34)/$I34,""))</f>
        <v/>
      </c>
      <c r="AB34" s="13" t="str">
        <f aca="false">IF($A34="","",IFERROR(INDEX(Underlying!$D$1:$D$5000,MATCH($D34,Underlying!$A$1:$A$5000,0)),0))</f>
        <v/>
      </c>
      <c r="AC34" s="7" t="str">
        <f aca="false">IF($A34="","",IF(AND($J34&gt;=OPT_MIN_VOL,$G34&gt;=OPT_MIN_DTE),"بله","خیر"))</f>
        <v/>
      </c>
      <c r="AD34" s="13" t="str">
        <f aca="false">IF($A34="","",IF($AC34="خیر",0,IFERROR(MAX(-10,MIN(10,IF($C34="Call",$AB34,-$AB34)*0.6+IF($Z34&lt;0.85,2,IF($Z34&gt;1.25,-2,0))+IF($Q34="ATM",1,IF($Q34="ITM",0.5,-1))+IF($G34&gt;=30,0.5,-0.5))),0)))</f>
        <v/>
      </c>
      <c r="AE34" s="7" t="str">
        <f aca="false">IF($A34="","",IF($AC34="خیر","بدون سیگنال (نقدشوندگی/سررسید)",IF($AD34&gt;=TH_SBUY,"خرید قوی "&amp;$C34,IF($AD34&gt;=TH_BUY,"خرید "&amp;$C34,IF($AD34&lt;=TH_SSELL,"اجتناب / بستن موقعیت",IF($AD34&lt;=TH_SELL,"ضعیف","بی‌طرف"))))))</f>
        <v/>
      </c>
      <c r="AF34" s="14" t="str">
        <f aca="false">IF($A34="","","سهم پایه: "&amp;IFERROR(TEXT($AB34,"0.0"),"—")&amp;" | وضعیت: "&amp;$Q34&amp;" | نوسان ضمنی: "&amp;IFERROR(TEXT($U34,"0%"),"—")&amp;" | بازار÷نظری: "&amp;IFERROR(TEXT($Z34,"0.00"),"—")&amp;" | اهرم: "&amp;IFERROR(TEXT($AA34,"0.0"),"—")&amp;"x"&amp;" | "&amp;$G34&amp;" روز تا سررسید")</f>
        <v/>
      </c>
    </row>
    <row r="35" customFormat="false" ht="15" hidden="false" customHeight="false" outlineLevel="0" collapsed="false">
      <c r="A35" s="5"/>
      <c r="B35" s="6"/>
      <c r="C35" s="7"/>
      <c r="D35" s="7"/>
      <c r="E35" s="8"/>
      <c r="F35" s="9"/>
      <c r="G35" s="10"/>
      <c r="H35" s="8"/>
      <c r="I35" s="8"/>
      <c r="J35" s="8"/>
      <c r="K35" s="8"/>
      <c r="L35" s="8"/>
      <c r="M35" s="8"/>
      <c r="N35" s="8"/>
      <c r="O35" s="8" t="str">
        <f aca="false">IF($A35="","",IFERROR(INDEX(Underlying!$B$1:$B$5000,MATCH($D35,Underlying!$A$1:$A$5000,0)),""))</f>
        <v/>
      </c>
      <c r="P35" s="11" t="str">
        <f aca="false">IF($A35="","",IFERROR($O35/$E35,""))</f>
        <v/>
      </c>
      <c r="Q35" s="7" t="str">
        <f aca="false">IF($A35="","",IF($P35="","",IF($C35="Call",IF($P35&gt;1+OPT_ATM_BAND,"ITM",IF($P35&lt;1-OPT_ATM_BAND,"OTM","ATM")),IF($P35&lt;1-OPT_ATM_BAND,"ITM",IF($P35&gt;1+OPT_ATM_BAND,"OTM","ATM")))))</f>
        <v/>
      </c>
      <c r="R35" s="8" t="str">
        <f aca="false">IF($A35="","",IFERROR(IF($C35="Call",MAX(0,$O35-$E35),MAX(0,$E35-$O35)),""))</f>
        <v/>
      </c>
      <c r="S35" s="8" t="str">
        <f aca="false">IF($A35="","",IFERROR(MAX(0,$I35-$R35),""))</f>
        <v/>
      </c>
      <c r="T35" s="11" t="str">
        <f aca="false">IF($A35="","",IFERROR($G35/365,""))</f>
        <v/>
      </c>
      <c r="U35" s="12" t="str">
        <f aca="false">IF($A35="","",IF(OR($P35="",ABS($P35-1)&gt;3*OPT_ATM_BAND),"",IFERROR($I35/$O35*SQRT(2*PI()/$T35),"")))</f>
        <v/>
      </c>
      <c r="V35" s="11" t="str">
        <f aca="false">IF($A35="","",IFERROR((LN($O35/$E35)+(OPT_RF+OPT_VOL^2/2)*$T35)/(OPT_VOL*SQRT($T35)),""))</f>
        <v/>
      </c>
      <c r="W35" s="11" t="str">
        <f aca="false">IF($A35="","",IFERROR($V35-OPT_VOL*SQRT($T35),""))</f>
        <v/>
      </c>
      <c r="X35" s="11" t="str">
        <f aca="false">IF($A35="","",IFERROR(IF($C35="Call",NORMSDIST($V35),NORMSDIST($V35)-1),""))</f>
        <v/>
      </c>
      <c r="Y35" s="8" t="str">
        <f aca="false">IF($A35="","",IFERROR(IF($C35="Call",$O35*NORMSDIST($V35)-$E35*EXP(-OPT_RF*$T35)*NORMSDIST($W35),$E35*EXP(-OPT_RF*$T35)*NORMSDIST(-$W35)-$O35*NORMSDIST(-$V35)),""))</f>
        <v/>
      </c>
      <c r="Z35" s="11" t="str">
        <f aca="false">IF($A35="","",IFERROR($I35/$Y35,""))</f>
        <v/>
      </c>
      <c r="AA35" s="13" t="str">
        <f aca="false">IF($A35="","",IFERROR($O35*ABS($X35)/$I35,""))</f>
        <v/>
      </c>
      <c r="AB35" s="13" t="str">
        <f aca="false">IF($A35="","",IFERROR(INDEX(Underlying!$D$1:$D$5000,MATCH($D35,Underlying!$A$1:$A$5000,0)),0))</f>
        <v/>
      </c>
      <c r="AC35" s="7" t="str">
        <f aca="false">IF($A35="","",IF(AND($J35&gt;=OPT_MIN_VOL,$G35&gt;=OPT_MIN_DTE),"بله","خیر"))</f>
        <v/>
      </c>
      <c r="AD35" s="13" t="str">
        <f aca="false">IF($A35="","",IF($AC35="خیر",0,IFERROR(MAX(-10,MIN(10,IF($C35="Call",$AB35,-$AB35)*0.6+IF($Z35&lt;0.85,2,IF($Z35&gt;1.25,-2,0))+IF($Q35="ATM",1,IF($Q35="ITM",0.5,-1))+IF($G35&gt;=30,0.5,-0.5))),0)))</f>
        <v/>
      </c>
      <c r="AE35" s="7" t="str">
        <f aca="false">IF($A35="","",IF($AC35="خیر","بدون سیگنال (نقدشوندگی/سررسید)",IF($AD35&gt;=TH_SBUY,"خرید قوی "&amp;$C35,IF($AD35&gt;=TH_BUY,"خرید "&amp;$C35,IF($AD35&lt;=TH_SSELL,"اجتناب / بستن موقعیت",IF($AD35&lt;=TH_SELL,"ضعیف","بی‌طرف"))))))</f>
        <v/>
      </c>
      <c r="AF35" s="14" t="str">
        <f aca="false">IF($A35="","","سهم پایه: "&amp;IFERROR(TEXT($AB35,"0.0"),"—")&amp;" | وضعیت: "&amp;$Q35&amp;" | نوسان ضمنی: "&amp;IFERROR(TEXT($U35,"0%"),"—")&amp;" | بازار÷نظری: "&amp;IFERROR(TEXT($Z35,"0.00"),"—")&amp;" | اهرم: "&amp;IFERROR(TEXT($AA35,"0.0"),"—")&amp;"x"&amp;" | "&amp;$G35&amp;" روز تا سررسید")</f>
        <v/>
      </c>
    </row>
    <row r="36" customFormat="false" ht="15" hidden="false" customHeight="false" outlineLevel="0" collapsed="false">
      <c r="A36" s="5"/>
      <c r="B36" s="6"/>
      <c r="C36" s="7"/>
      <c r="D36" s="7"/>
      <c r="E36" s="8"/>
      <c r="F36" s="9"/>
      <c r="G36" s="10"/>
      <c r="H36" s="8"/>
      <c r="I36" s="8"/>
      <c r="J36" s="8"/>
      <c r="K36" s="8"/>
      <c r="L36" s="8"/>
      <c r="M36" s="8"/>
      <c r="N36" s="8"/>
      <c r="O36" s="8" t="str">
        <f aca="false">IF($A36="","",IFERROR(INDEX(Underlying!$B$1:$B$5000,MATCH($D36,Underlying!$A$1:$A$5000,0)),""))</f>
        <v/>
      </c>
      <c r="P36" s="11" t="str">
        <f aca="false">IF($A36="","",IFERROR($O36/$E36,""))</f>
        <v/>
      </c>
      <c r="Q36" s="7" t="str">
        <f aca="false">IF($A36="","",IF($P36="","",IF($C36="Call",IF($P36&gt;1+OPT_ATM_BAND,"ITM",IF($P36&lt;1-OPT_ATM_BAND,"OTM","ATM")),IF($P36&lt;1-OPT_ATM_BAND,"ITM",IF($P36&gt;1+OPT_ATM_BAND,"OTM","ATM")))))</f>
        <v/>
      </c>
      <c r="R36" s="8" t="str">
        <f aca="false">IF($A36="","",IFERROR(IF($C36="Call",MAX(0,$O36-$E36),MAX(0,$E36-$O36)),""))</f>
        <v/>
      </c>
      <c r="S36" s="8" t="str">
        <f aca="false">IF($A36="","",IFERROR(MAX(0,$I36-$R36),""))</f>
        <v/>
      </c>
      <c r="T36" s="11" t="str">
        <f aca="false">IF($A36="","",IFERROR($G36/365,""))</f>
        <v/>
      </c>
      <c r="U36" s="12" t="str">
        <f aca="false">IF($A36="","",IF(OR($P36="",ABS($P36-1)&gt;3*OPT_ATM_BAND),"",IFERROR($I36/$O36*SQRT(2*PI()/$T36),"")))</f>
        <v/>
      </c>
      <c r="V36" s="11" t="str">
        <f aca="false">IF($A36="","",IFERROR((LN($O36/$E36)+(OPT_RF+OPT_VOL^2/2)*$T36)/(OPT_VOL*SQRT($T36)),""))</f>
        <v/>
      </c>
      <c r="W36" s="11" t="str">
        <f aca="false">IF($A36="","",IFERROR($V36-OPT_VOL*SQRT($T36),""))</f>
        <v/>
      </c>
      <c r="X36" s="11" t="str">
        <f aca="false">IF($A36="","",IFERROR(IF($C36="Call",NORMSDIST($V36),NORMSDIST($V36)-1),""))</f>
        <v/>
      </c>
      <c r="Y36" s="8" t="str">
        <f aca="false">IF($A36="","",IFERROR(IF($C36="Call",$O36*NORMSDIST($V36)-$E36*EXP(-OPT_RF*$T36)*NORMSDIST($W36),$E36*EXP(-OPT_RF*$T36)*NORMSDIST(-$W36)-$O36*NORMSDIST(-$V36)),""))</f>
        <v/>
      </c>
      <c r="Z36" s="11" t="str">
        <f aca="false">IF($A36="","",IFERROR($I36/$Y36,""))</f>
        <v/>
      </c>
      <c r="AA36" s="13" t="str">
        <f aca="false">IF($A36="","",IFERROR($O36*ABS($X36)/$I36,""))</f>
        <v/>
      </c>
      <c r="AB36" s="13" t="str">
        <f aca="false">IF($A36="","",IFERROR(INDEX(Underlying!$D$1:$D$5000,MATCH($D36,Underlying!$A$1:$A$5000,0)),0))</f>
        <v/>
      </c>
      <c r="AC36" s="7" t="str">
        <f aca="false">IF($A36="","",IF(AND($J36&gt;=OPT_MIN_VOL,$G36&gt;=OPT_MIN_DTE),"بله","خیر"))</f>
        <v/>
      </c>
      <c r="AD36" s="13" t="str">
        <f aca="false">IF($A36="","",IF($AC36="خیر",0,IFERROR(MAX(-10,MIN(10,IF($C36="Call",$AB36,-$AB36)*0.6+IF($Z36&lt;0.85,2,IF($Z36&gt;1.25,-2,0))+IF($Q36="ATM",1,IF($Q36="ITM",0.5,-1))+IF($G36&gt;=30,0.5,-0.5))),0)))</f>
        <v/>
      </c>
      <c r="AE36" s="7" t="str">
        <f aca="false">IF($A36="","",IF($AC36="خیر","بدون سیگنال (نقدشوندگی/سررسید)",IF($AD36&gt;=TH_SBUY,"خرید قوی "&amp;$C36,IF($AD36&gt;=TH_BUY,"خرید "&amp;$C36,IF($AD36&lt;=TH_SSELL,"اجتناب / بستن موقعیت",IF($AD36&lt;=TH_SELL,"ضعیف","بی‌طرف"))))))</f>
        <v/>
      </c>
      <c r="AF36" s="14" t="str">
        <f aca="false">IF($A36="","","سهم پایه: "&amp;IFERROR(TEXT($AB36,"0.0"),"—")&amp;" | وضعیت: "&amp;$Q36&amp;" | نوسان ضمنی: "&amp;IFERROR(TEXT($U36,"0%"),"—")&amp;" | بازار÷نظری: "&amp;IFERROR(TEXT($Z36,"0.00"),"—")&amp;" | اهرم: "&amp;IFERROR(TEXT($AA36,"0.0"),"—")&amp;"x"&amp;" | "&amp;$G36&amp;" روز تا سررسید")</f>
        <v/>
      </c>
    </row>
    <row r="37" customFormat="false" ht="15" hidden="false" customHeight="false" outlineLevel="0" collapsed="false">
      <c r="A37" s="5"/>
      <c r="B37" s="6"/>
      <c r="C37" s="7"/>
      <c r="D37" s="7"/>
      <c r="E37" s="8"/>
      <c r="F37" s="9"/>
      <c r="G37" s="10"/>
      <c r="H37" s="8"/>
      <c r="I37" s="8"/>
      <c r="J37" s="8"/>
      <c r="K37" s="8"/>
      <c r="L37" s="8"/>
      <c r="M37" s="8"/>
      <c r="N37" s="8"/>
      <c r="O37" s="8" t="str">
        <f aca="false">IF($A37="","",IFERROR(INDEX(Underlying!$B$1:$B$5000,MATCH($D37,Underlying!$A$1:$A$5000,0)),""))</f>
        <v/>
      </c>
      <c r="P37" s="11" t="str">
        <f aca="false">IF($A37="","",IFERROR($O37/$E37,""))</f>
        <v/>
      </c>
      <c r="Q37" s="7" t="str">
        <f aca="false">IF($A37="","",IF($P37="","",IF($C37="Call",IF($P37&gt;1+OPT_ATM_BAND,"ITM",IF($P37&lt;1-OPT_ATM_BAND,"OTM","ATM")),IF($P37&lt;1-OPT_ATM_BAND,"ITM",IF($P37&gt;1+OPT_ATM_BAND,"OTM","ATM")))))</f>
        <v/>
      </c>
      <c r="R37" s="8" t="str">
        <f aca="false">IF($A37="","",IFERROR(IF($C37="Call",MAX(0,$O37-$E37),MAX(0,$E37-$O37)),""))</f>
        <v/>
      </c>
      <c r="S37" s="8" t="str">
        <f aca="false">IF($A37="","",IFERROR(MAX(0,$I37-$R37),""))</f>
        <v/>
      </c>
      <c r="T37" s="11" t="str">
        <f aca="false">IF($A37="","",IFERROR($G37/365,""))</f>
        <v/>
      </c>
      <c r="U37" s="12" t="str">
        <f aca="false">IF($A37="","",IF(OR($P37="",ABS($P37-1)&gt;3*OPT_ATM_BAND),"",IFERROR($I37/$O37*SQRT(2*PI()/$T37),"")))</f>
        <v/>
      </c>
      <c r="V37" s="11" t="str">
        <f aca="false">IF($A37="","",IFERROR((LN($O37/$E37)+(OPT_RF+OPT_VOL^2/2)*$T37)/(OPT_VOL*SQRT($T37)),""))</f>
        <v/>
      </c>
      <c r="W37" s="11" t="str">
        <f aca="false">IF($A37="","",IFERROR($V37-OPT_VOL*SQRT($T37),""))</f>
        <v/>
      </c>
      <c r="X37" s="11" t="str">
        <f aca="false">IF($A37="","",IFERROR(IF($C37="Call",NORMSDIST($V37),NORMSDIST($V37)-1),""))</f>
        <v/>
      </c>
      <c r="Y37" s="8" t="str">
        <f aca="false">IF($A37="","",IFERROR(IF($C37="Call",$O37*NORMSDIST($V37)-$E37*EXP(-OPT_RF*$T37)*NORMSDIST($W37),$E37*EXP(-OPT_RF*$T37)*NORMSDIST(-$W37)-$O37*NORMSDIST(-$V37)),""))</f>
        <v/>
      </c>
      <c r="Z37" s="11" t="str">
        <f aca="false">IF($A37="","",IFERROR($I37/$Y37,""))</f>
        <v/>
      </c>
      <c r="AA37" s="13" t="str">
        <f aca="false">IF($A37="","",IFERROR($O37*ABS($X37)/$I37,""))</f>
        <v/>
      </c>
      <c r="AB37" s="13" t="str">
        <f aca="false">IF($A37="","",IFERROR(INDEX(Underlying!$D$1:$D$5000,MATCH($D37,Underlying!$A$1:$A$5000,0)),0))</f>
        <v/>
      </c>
      <c r="AC37" s="7" t="str">
        <f aca="false">IF($A37="","",IF(AND($J37&gt;=OPT_MIN_VOL,$G37&gt;=OPT_MIN_DTE),"بله","خیر"))</f>
        <v/>
      </c>
      <c r="AD37" s="13" t="str">
        <f aca="false">IF($A37="","",IF($AC37="خیر",0,IFERROR(MAX(-10,MIN(10,IF($C37="Call",$AB37,-$AB37)*0.6+IF($Z37&lt;0.85,2,IF($Z37&gt;1.25,-2,0))+IF($Q37="ATM",1,IF($Q37="ITM",0.5,-1))+IF($G37&gt;=30,0.5,-0.5))),0)))</f>
        <v/>
      </c>
      <c r="AE37" s="7" t="str">
        <f aca="false">IF($A37="","",IF($AC37="خیر","بدون سیگنال (نقدشوندگی/سررسید)",IF($AD37&gt;=TH_SBUY,"خرید قوی "&amp;$C37,IF($AD37&gt;=TH_BUY,"خرید "&amp;$C37,IF($AD37&lt;=TH_SSELL,"اجتناب / بستن موقعیت",IF($AD37&lt;=TH_SELL,"ضعیف","بی‌طرف"))))))</f>
        <v/>
      </c>
      <c r="AF37" s="14" t="str">
        <f aca="false">IF($A37="","","سهم پایه: "&amp;IFERROR(TEXT($AB37,"0.0"),"—")&amp;" | وضعیت: "&amp;$Q37&amp;" | نوسان ضمنی: "&amp;IFERROR(TEXT($U37,"0%"),"—")&amp;" | بازار÷نظری: "&amp;IFERROR(TEXT($Z37,"0.00"),"—")&amp;" | اهرم: "&amp;IFERROR(TEXT($AA37,"0.0"),"—")&amp;"x"&amp;" | "&amp;$G37&amp;" روز تا سررسید")</f>
        <v/>
      </c>
    </row>
    <row r="38" customFormat="false" ht="15" hidden="false" customHeight="false" outlineLevel="0" collapsed="false">
      <c r="A38" s="5"/>
      <c r="B38" s="6"/>
      <c r="C38" s="7"/>
      <c r="D38" s="7"/>
      <c r="E38" s="8"/>
      <c r="F38" s="9"/>
      <c r="G38" s="10"/>
      <c r="H38" s="8"/>
      <c r="I38" s="8"/>
      <c r="J38" s="8"/>
      <c r="K38" s="8"/>
      <c r="L38" s="8"/>
      <c r="M38" s="8"/>
      <c r="N38" s="8"/>
      <c r="O38" s="8" t="str">
        <f aca="false">IF($A38="","",IFERROR(INDEX(Underlying!$B$1:$B$5000,MATCH($D38,Underlying!$A$1:$A$5000,0)),""))</f>
        <v/>
      </c>
      <c r="P38" s="11" t="str">
        <f aca="false">IF($A38="","",IFERROR($O38/$E38,""))</f>
        <v/>
      </c>
      <c r="Q38" s="7" t="str">
        <f aca="false">IF($A38="","",IF($P38="","",IF($C38="Call",IF($P38&gt;1+OPT_ATM_BAND,"ITM",IF($P38&lt;1-OPT_ATM_BAND,"OTM","ATM")),IF($P38&lt;1-OPT_ATM_BAND,"ITM",IF($P38&gt;1+OPT_ATM_BAND,"OTM","ATM")))))</f>
        <v/>
      </c>
      <c r="R38" s="8" t="str">
        <f aca="false">IF($A38="","",IFERROR(IF($C38="Call",MAX(0,$O38-$E38),MAX(0,$E38-$O38)),""))</f>
        <v/>
      </c>
      <c r="S38" s="8" t="str">
        <f aca="false">IF($A38="","",IFERROR(MAX(0,$I38-$R38),""))</f>
        <v/>
      </c>
      <c r="T38" s="11" t="str">
        <f aca="false">IF($A38="","",IFERROR($G38/365,""))</f>
        <v/>
      </c>
      <c r="U38" s="12" t="str">
        <f aca="false">IF($A38="","",IF(OR($P38="",ABS($P38-1)&gt;3*OPT_ATM_BAND),"",IFERROR($I38/$O38*SQRT(2*PI()/$T38),"")))</f>
        <v/>
      </c>
      <c r="V38" s="11" t="str">
        <f aca="false">IF($A38="","",IFERROR((LN($O38/$E38)+(OPT_RF+OPT_VOL^2/2)*$T38)/(OPT_VOL*SQRT($T38)),""))</f>
        <v/>
      </c>
      <c r="W38" s="11" t="str">
        <f aca="false">IF($A38="","",IFERROR($V38-OPT_VOL*SQRT($T38),""))</f>
        <v/>
      </c>
      <c r="X38" s="11" t="str">
        <f aca="false">IF($A38="","",IFERROR(IF($C38="Call",NORMSDIST($V38),NORMSDIST($V38)-1),""))</f>
        <v/>
      </c>
      <c r="Y38" s="8" t="str">
        <f aca="false">IF($A38="","",IFERROR(IF($C38="Call",$O38*NORMSDIST($V38)-$E38*EXP(-OPT_RF*$T38)*NORMSDIST($W38),$E38*EXP(-OPT_RF*$T38)*NORMSDIST(-$W38)-$O38*NORMSDIST(-$V38)),""))</f>
        <v/>
      </c>
      <c r="Z38" s="11" t="str">
        <f aca="false">IF($A38="","",IFERROR($I38/$Y38,""))</f>
        <v/>
      </c>
      <c r="AA38" s="13" t="str">
        <f aca="false">IF($A38="","",IFERROR($O38*ABS($X38)/$I38,""))</f>
        <v/>
      </c>
      <c r="AB38" s="13" t="str">
        <f aca="false">IF($A38="","",IFERROR(INDEX(Underlying!$D$1:$D$5000,MATCH($D38,Underlying!$A$1:$A$5000,0)),0))</f>
        <v/>
      </c>
      <c r="AC38" s="7" t="str">
        <f aca="false">IF($A38="","",IF(AND($J38&gt;=OPT_MIN_VOL,$G38&gt;=OPT_MIN_DTE),"بله","خیر"))</f>
        <v/>
      </c>
      <c r="AD38" s="13" t="str">
        <f aca="false">IF($A38="","",IF($AC38="خیر",0,IFERROR(MAX(-10,MIN(10,IF($C38="Call",$AB38,-$AB38)*0.6+IF($Z38&lt;0.85,2,IF($Z38&gt;1.25,-2,0))+IF($Q38="ATM",1,IF($Q38="ITM",0.5,-1))+IF($G38&gt;=30,0.5,-0.5))),0)))</f>
        <v/>
      </c>
      <c r="AE38" s="7" t="str">
        <f aca="false">IF($A38="","",IF($AC38="خیر","بدون سیگنال (نقدشوندگی/سررسید)",IF($AD38&gt;=TH_SBUY,"خرید قوی "&amp;$C38,IF($AD38&gt;=TH_BUY,"خرید "&amp;$C38,IF($AD38&lt;=TH_SSELL,"اجتناب / بستن موقعیت",IF($AD38&lt;=TH_SELL,"ضعیف","بی‌طرف"))))))</f>
        <v/>
      </c>
      <c r="AF38" s="14" t="str">
        <f aca="false">IF($A38="","","سهم پایه: "&amp;IFERROR(TEXT($AB38,"0.0"),"—")&amp;" | وضعیت: "&amp;$Q38&amp;" | نوسان ضمنی: "&amp;IFERROR(TEXT($U38,"0%"),"—")&amp;" | بازار÷نظری: "&amp;IFERROR(TEXT($Z38,"0.00"),"—")&amp;" | اهرم: "&amp;IFERROR(TEXT($AA38,"0.0"),"—")&amp;"x"&amp;" | "&amp;$G38&amp;" روز تا سررسید")</f>
        <v/>
      </c>
    </row>
    <row r="39" customFormat="false" ht="15" hidden="false" customHeight="false" outlineLevel="0" collapsed="false">
      <c r="A39" s="5"/>
      <c r="B39" s="6"/>
      <c r="C39" s="7"/>
      <c r="D39" s="7"/>
      <c r="E39" s="8"/>
      <c r="F39" s="9"/>
      <c r="G39" s="10"/>
      <c r="H39" s="8"/>
      <c r="I39" s="8"/>
      <c r="J39" s="8"/>
      <c r="K39" s="8"/>
      <c r="L39" s="8"/>
      <c r="M39" s="8"/>
      <c r="N39" s="8"/>
      <c r="O39" s="8" t="str">
        <f aca="false">IF($A39="","",IFERROR(INDEX(Underlying!$B$1:$B$5000,MATCH($D39,Underlying!$A$1:$A$5000,0)),""))</f>
        <v/>
      </c>
      <c r="P39" s="11" t="str">
        <f aca="false">IF($A39="","",IFERROR($O39/$E39,""))</f>
        <v/>
      </c>
      <c r="Q39" s="7" t="str">
        <f aca="false">IF($A39="","",IF($P39="","",IF($C39="Call",IF($P39&gt;1+OPT_ATM_BAND,"ITM",IF($P39&lt;1-OPT_ATM_BAND,"OTM","ATM")),IF($P39&lt;1-OPT_ATM_BAND,"ITM",IF($P39&gt;1+OPT_ATM_BAND,"OTM","ATM")))))</f>
        <v/>
      </c>
      <c r="R39" s="8" t="str">
        <f aca="false">IF($A39="","",IFERROR(IF($C39="Call",MAX(0,$O39-$E39),MAX(0,$E39-$O39)),""))</f>
        <v/>
      </c>
      <c r="S39" s="8" t="str">
        <f aca="false">IF($A39="","",IFERROR(MAX(0,$I39-$R39),""))</f>
        <v/>
      </c>
      <c r="T39" s="11" t="str">
        <f aca="false">IF($A39="","",IFERROR($G39/365,""))</f>
        <v/>
      </c>
      <c r="U39" s="12" t="str">
        <f aca="false">IF($A39="","",IF(OR($P39="",ABS($P39-1)&gt;3*OPT_ATM_BAND),"",IFERROR($I39/$O39*SQRT(2*PI()/$T39),"")))</f>
        <v/>
      </c>
      <c r="V39" s="11" t="str">
        <f aca="false">IF($A39="","",IFERROR((LN($O39/$E39)+(OPT_RF+OPT_VOL^2/2)*$T39)/(OPT_VOL*SQRT($T39)),""))</f>
        <v/>
      </c>
      <c r="W39" s="11" t="str">
        <f aca="false">IF($A39="","",IFERROR($V39-OPT_VOL*SQRT($T39),""))</f>
        <v/>
      </c>
      <c r="X39" s="11" t="str">
        <f aca="false">IF($A39="","",IFERROR(IF($C39="Call",NORMSDIST($V39),NORMSDIST($V39)-1),""))</f>
        <v/>
      </c>
      <c r="Y39" s="8" t="str">
        <f aca="false">IF($A39="","",IFERROR(IF($C39="Call",$O39*NORMSDIST($V39)-$E39*EXP(-OPT_RF*$T39)*NORMSDIST($W39),$E39*EXP(-OPT_RF*$T39)*NORMSDIST(-$W39)-$O39*NORMSDIST(-$V39)),""))</f>
        <v/>
      </c>
      <c r="Z39" s="11" t="str">
        <f aca="false">IF($A39="","",IFERROR($I39/$Y39,""))</f>
        <v/>
      </c>
      <c r="AA39" s="13" t="str">
        <f aca="false">IF($A39="","",IFERROR($O39*ABS($X39)/$I39,""))</f>
        <v/>
      </c>
      <c r="AB39" s="13" t="str">
        <f aca="false">IF($A39="","",IFERROR(INDEX(Underlying!$D$1:$D$5000,MATCH($D39,Underlying!$A$1:$A$5000,0)),0))</f>
        <v/>
      </c>
      <c r="AC39" s="7" t="str">
        <f aca="false">IF($A39="","",IF(AND($J39&gt;=OPT_MIN_VOL,$G39&gt;=OPT_MIN_DTE),"بله","خیر"))</f>
        <v/>
      </c>
      <c r="AD39" s="13" t="str">
        <f aca="false">IF($A39="","",IF($AC39="خیر",0,IFERROR(MAX(-10,MIN(10,IF($C39="Call",$AB39,-$AB39)*0.6+IF($Z39&lt;0.85,2,IF($Z39&gt;1.25,-2,0))+IF($Q39="ATM",1,IF($Q39="ITM",0.5,-1))+IF($G39&gt;=30,0.5,-0.5))),0)))</f>
        <v/>
      </c>
      <c r="AE39" s="7" t="str">
        <f aca="false">IF($A39="","",IF($AC39="خیر","بدون سیگنال (نقدشوندگی/سررسید)",IF($AD39&gt;=TH_SBUY,"خرید قوی "&amp;$C39,IF($AD39&gt;=TH_BUY,"خرید "&amp;$C39,IF($AD39&lt;=TH_SSELL,"اجتناب / بستن موقعیت",IF($AD39&lt;=TH_SELL,"ضعیف","بی‌طرف"))))))</f>
        <v/>
      </c>
      <c r="AF39" s="14" t="str">
        <f aca="false">IF($A39="","","سهم پایه: "&amp;IFERROR(TEXT($AB39,"0.0"),"—")&amp;" | وضعیت: "&amp;$Q39&amp;" | نوسان ضمنی: "&amp;IFERROR(TEXT($U39,"0%"),"—")&amp;" | بازار÷نظری: "&amp;IFERROR(TEXT($Z39,"0.00"),"—")&amp;" | اهرم: "&amp;IFERROR(TEXT($AA39,"0.0"),"—")&amp;"x"&amp;" | "&amp;$G39&amp;" روز تا سررسید")</f>
        <v/>
      </c>
    </row>
    <row r="40" customFormat="false" ht="15" hidden="false" customHeight="false" outlineLevel="0" collapsed="false">
      <c r="A40" s="5"/>
      <c r="B40" s="6"/>
      <c r="C40" s="7"/>
      <c r="D40" s="7"/>
      <c r="E40" s="8"/>
      <c r="F40" s="9"/>
      <c r="G40" s="10"/>
      <c r="H40" s="8"/>
      <c r="I40" s="8"/>
      <c r="J40" s="8"/>
      <c r="K40" s="8"/>
      <c r="L40" s="8"/>
      <c r="M40" s="8"/>
      <c r="N40" s="8"/>
      <c r="O40" s="8" t="str">
        <f aca="false">IF($A40="","",IFERROR(INDEX(Underlying!$B$1:$B$5000,MATCH($D40,Underlying!$A$1:$A$5000,0)),""))</f>
        <v/>
      </c>
      <c r="P40" s="11" t="str">
        <f aca="false">IF($A40="","",IFERROR($O40/$E40,""))</f>
        <v/>
      </c>
      <c r="Q40" s="7" t="str">
        <f aca="false">IF($A40="","",IF($P40="","",IF($C40="Call",IF($P40&gt;1+OPT_ATM_BAND,"ITM",IF($P40&lt;1-OPT_ATM_BAND,"OTM","ATM")),IF($P40&lt;1-OPT_ATM_BAND,"ITM",IF($P40&gt;1+OPT_ATM_BAND,"OTM","ATM")))))</f>
        <v/>
      </c>
      <c r="R40" s="8" t="str">
        <f aca="false">IF($A40="","",IFERROR(IF($C40="Call",MAX(0,$O40-$E40),MAX(0,$E40-$O40)),""))</f>
        <v/>
      </c>
      <c r="S40" s="8" t="str">
        <f aca="false">IF($A40="","",IFERROR(MAX(0,$I40-$R40),""))</f>
        <v/>
      </c>
      <c r="T40" s="11" t="str">
        <f aca="false">IF($A40="","",IFERROR($G40/365,""))</f>
        <v/>
      </c>
      <c r="U40" s="12" t="str">
        <f aca="false">IF($A40="","",IF(OR($P40="",ABS($P40-1)&gt;3*OPT_ATM_BAND),"",IFERROR($I40/$O40*SQRT(2*PI()/$T40),"")))</f>
        <v/>
      </c>
      <c r="V40" s="11" t="str">
        <f aca="false">IF($A40="","",IFERROR((LN($O40/$E40)+(OPT_RF+OPT_VOL^2/2)*$T40)/(OPT_VOL*SQRT($T40)),""))</f>
        <v/>
      </c>
      <c r="W40" s="11" t="str">
        <f aca="false">IF($A40="","",IFERROR($V40-OPT_VOL*SQRT($T40),""))</f>
        <v/>
      </c>
      <c r="X40" s="11" t="str">
        <f aca="false">IF($A40="","",IFERROR(IF($C40="Call",NORMSDIST($V40),NORMSDIST($V40)-1),""))</f>
        <v/>
      </c>
      <c r="Y40" s="8" t="str">
        <f aca="false">IF($A40="","",IFERROR(IF($C40="Call",$O40*NORMSDIST($V40)-$E40*EXP(-OPT_RF*$T40)*NORMSDIST($W40),$E40*EXP(-OPT_RF*$T40)*NORMSDIST(-$W40)-$O40*NORMSDIST(-$V40)),""))</f>
        <v/>
      </c>
      <c r="Z40" s="11" t="str">
        <f aca="false">IF($A40="","",IFERROR($I40/$Y40,""))</f>
        <v/>
      </c>
      <c r="AA40" s="13" t="str">
        <f aca="false">IF($A40="","",IFERROR($O40*ABS($X40)/$I40,""))</f>
        <v/>
      </c>
      <c r="AB40" s="13" t="str">
        <f aca="false">IF($A40="","",IFERROR(INDEX(Underlying!$D$1:$D$5000,MATCH($D40,Underlying!$A$1:$A$5000,0)),0))</f>
        <v/>
      </c>
      <c r="AC40" s="7" t="str">
        <f aca="false">IF($A40="","",IF(AND($J40&gt;=OPT_MIN_VOL,$G40&gt;=OPT_MIN_DTE),"بله","خیر"))</f>
        <v/>
      </c>
      <c r="AD40" s="13" t="str">
        <f aca="false">IF($A40="","",IF($AC40="خیر",0,IFERROR(MAX(-10,MIN(10,IF($C40="Call",$AB40,-$AB40)*0.6+IF($Z40&lt;0.85,2,IF($Z40&gt;1.25,-2,0))+IF($Q40="ATM",1,IF($Q40="ITM",0.5,-1))+IF($G40&gt;=30,0.5,-0.5))),0)))</f>
        <v/>
      </c>
      <c r="AE40" s="7" t="str">
        <f aca="false">IF($A40="","",IF($AC40="خیر","بدون سیگنال (نقدشوندگی/سررسید)",IF($AD40&gt;=TH_SBUY,"خرید قوی "&amp;$C40,IF($AD40&gt;=TH_BUY,"خرید "&amp;$C40,IF($AD40&lt;=TH_SSELL,"اجتناب / بستن موقعیت",IF($AD40&lt;=TH_SELL,"ضعیف","بی‌طرف"))))))</f>
        <v/>
      </c>
      <c r="AF40" s="14" t="str">
        <f aca="false">IF($A40="","","سهم پایه: "&amp;IFERROR(TEXT($AB40,"0.0"),"—")&amp;" | وضعیت: "&amp;$Q40&amp;" | نوسان ضمنی: "&amp;IFERROR(TEXT($U40,"0%"),"—")&amp;" | بازار÷نظری: "&amp;IFERROR(TEXT($Z40,"0.00"),"—")&amp;" | اهرم: "&amp;IFERROR(TEXT($AA40,"0.0"),"—")&amp;"x"&amp;" | "&amp;$G40&amp;" روز تا سررسید")</f>
        <v/>
      </c>
    </row>
    <row r="41" customFormat="false" ht="15" hidden="false" customHeight="false" outlineLevel="0" collapsed="false">
      <c r="A41" s="5"/>
      <c r="B41" s="6"/>
      <c r="C41" s="7"/>
      <c r="D41" s="7"/>
      <c r="E41" s="8"/>
      <c r="F41" s="9"/>
      <c r="G41" s="10"/>
      <c r="H41" s="8"/>
      <c r="I41" s="8"/>
      <c r="J41" s="8"/>
      <c r="K41" s="8"/>
      <c r="L41" s="8"/>
      <c r="M41" s="8"/>
      <c r="N41" s="8"/>
      <c r="O41" s="8" t="str">
        <f aca="false">IF($A41="","",IFERROR(INDEX(Underlying!$B$1:$B$5000,MATCH($D41,Underlying!$A$1:$A$5000,0)),""))</f>
        <v/>
      </c>
      <c r="P41" s="11" t="str">
        <f aca="false">IF($A41="","",IFERROR($O41/$E41,""))</f>
        <v/>
      </c>
      <c r="Q41" s="7" t="str">
        <f aca="false">IF($A41="","",IF($P41="","",IF($C41="Call",IF($P41&gt;1+OPT_ATM_BAND,"ITM",IF($P41&lt;1-OPT_ATM_BAND,"OTM","ATM")),IF($P41&lt;1-OPT_ATM_BAND,"ITM",IF($P41&gt;1+OPT_ATM_BAND,"OTM","ATM")))))</f>
        <v/>
      </c>
      <c r="R41" s="8" t="str">
        <f aca="false">IF($A41="","",IFERROR(IF($C41="Call",MAX(0,$O41-$E41),MAX(0,$E41-$O41)),""))</f>
        <v/>
      </c>
      <c r="S41" s="8" t="str">
        <f aca="false">IF($A41="","",IFERROR(MAX(0,$I41-$R41),""))</f>
        <v/>
      </c>
      <c r="T41" s="11" t="str">
        <f aca="false">IF($A41="","",IFERROR($G41/365,""))</f>
        <v/>
      </c>
      <c r="U41" s="12" t="str">
        <f aca="false">IF($A41="","",IF(OR($P41="",ABS($P41-1)&gt;3*OPT_ATM_BAND),"",IFERROR($I41/$O41*SQRT(2*PI()/$T41),"")))</f>
        <v/>
      </c>
      <c r="V41" s="11" t="str">
        <f aca="false">IF($A41="","",IFERROR((LN($O41/$E41)+(OPT_RF+OPT_VOL^2/2)*$T41)/(OPT_VOL*SQRT($T41)),""))</f>
        <v/>
      </c>
      <c r="W41" s="11" t="str">
        <f aca="false">IF($A41="","",IFERROR($V41-OPT_VOL*SQRT($T41),""))</f>
        <v/>
      </c>
      <c r="X41" s="11" t="str">
        <f aca="false">IF($A41="","",IFERROR(IF($C41="Call",NORMSDIST($V41),NORMSDIST($V41)-1),""))</f>
        <v/>
      </c>
      <c r="Y41" s="8" t="str">
        <f aca="false">IF($A41="","",IFERROR(IF($C41="Call",$O41*NORMSDIST($V41)-$E41*EXP(-OPT_RF*$T41)*NORMSDIST($W41),$E41*EXP(-OPT_RF*$T41)*NORMSDIST(-$W41)-$O41*NORMSDIST(-$V41)),""))</f>
        <v/>
      </c>
      <c r="Z41" s="11" t="str">
        <f aca="false">IF($A41="","",IFERROR($I41/$Y41,""))</f>
        <v/>
      </c>
      <c r="AA41" s="13" t="str">
        <f aca="false">IF($A41="","",IFERROR($O41*ABS($X41)/$I41,""))</f>
        <v/>
      </c>
      <c r="AB41" s="13" t="str">
        <f aca="false">IF($A41="","",IFERROR(INDEX(Underlying!$D$1:$D$5000,MATCH($D41,Underlying!$A$1:$A$5000,0)),0))</f>
        <v/>
      </c>
      <c r="AC41" s="7" t="str">
        <f aca="false">IF($A41="","",IF(AND($J41&gt;=OPT_MIN_VOL,$G41&gt;=OPT_MIN_DTE),"بله","خیر"))</f>
        <v/>
      </c>
      <c r="AD41" s="13" t="str">
        <f aca="false">IF($A41="","",IF($AC41="خیر",0,IFERROR(MAX(-10,MIN(10,IF($C41="Call",$AB41,-$AB41)*0.6+IF($Z41&lt;0.85,2,IF($Z41&gt;1.25,-2,0))+IF($Q41="ATM",1,IF($Q41="ITM",0.5,-1))+IF($G41&gt;=30,0.5,-0.5))),0)))</f>
        <v/>
      </c>
      <c r="AE41" s="7" t="str">
        <f aca="false">IF($A41="","",IF($AC41="خیر","بدون سیگنال (نقدشوندگی/سررسید)",IF($AD41&gt;=TH_SBUY,"خرید قوی "&amp;$C41,IF($AD41&gt;=TH_BUY,"خرید "&amp;$C41,IF($AD41&lt;=TH_SSELL,"اجتناب / بستن موقعیت",IF($AD41&lt;=TH_SELL,"ضعیف","بی‌طرف"))))))</f>
        <v/>
      </c>
      <c r="AF41" s="14" t="str">
        <f aca="false">IF($A41="","","سهم پایه: "&amp;IFERROR(TEXT($AB41,"0.0"),"—")&amp;" | وضعیت: "&amp;$Q41&amp;" | نوسان ضمنی: "&amp;IFERROR(TEXT($U41,"0%"),"—")&amp;" | بازار÷نظری: "&amp;IFERROR(TEXT($Z41,"0.00"),"—")&amp;" | اهرم: "&amp;IFERROR(TEXT($AA41,"0.0"),"—")&amp;"x"&amp;" | "&amp;$G41&amp;" روز تا سررسید")</f>
        <v/>
      </c>
    </row>
    <row r="42" customFormat="false" ht="15" hidden="false" customHeight="false" outlineLevel="0" collapsed="false">
      <c r="A42" s="5"/>
      <c r="B42" s="6"/>
      <c r="C42" s="7"/>
      <c r="D42" s="7"/>
      <c r="E42" s="8"/>
      <c r="F42" s="9"/>
      <c r="G42" s="10"/>
      <c r="H42" s="8"/>
      <c r="I42" s="8"/>
      <c r="J42" s="8"/>
      <c r="K42" s="8"/>
      <c r="L42" s="8"/>
      <c r="M42" s="8"/>
      <c r="N42" s="8"/>
      <c r="O42" s="8" t="str">
        <f aca="false">IF($A42="","",IFERROR(INDEX(Underlying!$B$1:$B$5000,MATCH($D42,Underlying!$A$1:$A$5000,0)),""))</f>
        <v/>
      </c>
      <c r="P42" s="11" t="str">
        <f aca="false">IF($A42="","",IFERROR($O42/$E42,""))</f>
        <v/>
      </c>
      <c r="Q42" s="7" t="str">
        <f aca="false">IF($A42="","",IF($P42="","",IF($C42="Call",IF($P42&gt;1+OPT_ATM_BAND,"ITM",IF($P42&lt;1-OPT_ATM_BAND,"OTM","ATM")),IF($P42&lt;1-OPT_ATM_BAND,"ITM",IF($P42&gt;1+OPT_ATM_BAND,"OTM","ATM")))))</f>
        <v/>
      </c>
      <c r="R42" s="8" t="str">
        <f aca="false">IF($A42="","",IFERROR(IF($C42="Call",MAX(0,$O42-$E42),MAX(0,$E42-$O42)),""))</f>
        <v/>
      </c>
      <c r="S42" s="8" t="str">
        <f aca="false">IF($A42="","",IFERROR(MAX(0,$I42-$R42),""))</f>
        <v/>
      </c>
      <c r="T42" s="11" t="str">
        <f aca="false">IF($A42="","",IFERROR($G42/365,""))</f>
        <v/>
      </c>
      <c r="U42" s="12" t="str">
        <f aca="false">IF($A42="","",IF(OR($P42="",ABS($P42-1)&gt;3*OPT_ATM_BAND),"",IFERROR($I42/$O42*SQRT(2*PI()/$T42),"")))</f>
        <v/>
      </c>
      <c r="V42" s="11" t="str">
        <f aca="false">IF($A42="","",IFERROR((LN($O42/$E42)+(OPT_RF+OPT_VOL^2/2)*$T42)/(OPT_VOL*SQRT($T42)),""))</f>
        <v/>
      </c>
      <c r="W42" s="11" t="str">
        <f aca="false">IF($A42="","",IFERROR($V42-OPT_VOL*SQRT($T42),""))</f>
        <v/>
      </c>
      <c r="X42" s="11" t="str">
        <f aca="false">IF($A42="","",IFERROR(IF($C42="Call",NORMSDIST($V42),NORMSDIST($V42)-1),""))</f>
        <v/>
      </c>
      <c r="Y42" s="8" t="str">
        <f aca="false">IF($A42="","",IFERROR(IF($C42="Call",$O42*NORMSDIST($V42)-$E42*EXP(-OPT_RF*$T42)*NORMSDIST($W42),$E42*EXP(-OPT_RF*$T42)*NORMSDIST(-$W42)-$O42*NORMSDIST(-$V42)),""))</f>
        <v/>
      </c>
      <c r="Z42" s="11" t="str">
        <f aca="false">IF($A42="","",IFERROR($I42/$Y42,""))</f>
        <v/>
      </c>
      <c r="AA42" s="13" t="str">
        <f aca="false">IF($A42="","",IFERROR($O42*ABS($X42)/$I42,""))</f>
        <v/>
      </c>
      <c r="AB42" s="13" t="str">
        <f aca="false">IF($A42="","",IFERROR(INDEX(Underlying!$D$1:$D$5000,MATCH($D42,Underlying!$A$1:$A$5000,0)),0))</f>
        <v/>
      </c>
      <c r="AC42" s="7" t="str">
        <f aca="false">IF($A42="","",IF(AND($J42&gt;=OPT_MIN_VOL,$G42&gt;=OPT_MIN_DTE),"بله","خیر"))</f>
        <v/>
      </c>
      <c r="AD42" s="13" t="str">
        <f aca="false">IF($A42="","",IF($AC42="خیر",0,IFERROR(MAX(-10,MIN(10,IF($C42="Call",$AB42,-$AB42)*0.6+IF($Z42&lt;0.85,2,IF($Z42&gt;1.25,-2,0))+IF($Q42="ATM",1,IF($Q42="ITM",0.5,-1))+IF($G42&gt;=30,0.5,-0.5))),0)))</f>
        <v/>
      </c>
      <c r="AE42" s="7" t="str">
        <f aca="false">IF($A42="","",IF($AC42="خیر","بدون سیگنال (نقدشوندگی/سررسید)",IF($AD42&gt;=TH_SBUY,"خرید قوی "&amp;$C42,IF($AD42&gt;=TH_BUY,"خرید "&amp;$C42,IF($AD42&lt;=TH_SSELL,"اجتناب / بستن موقعیت",IF($AD42&lt;=TH_SELL,"ضعیف","بی‌طرف"))))))</f>
        <v/>
      </c>
      <c r="AF42" s="14" t="str">
        <f aca="false">IF($A42="","","سهم پایه: "&amp;IFERROR(TEXT($AB42,"0.0"),"—")&amp;" | وضعیت: "&amp;$Q42&amp;" | نوسان ضمنی: "&amp;IFERROR(TEXT($U42,"0%"),"—")&amp;" | بازار÷نظری: "&amp;IFERROR(TEXT($Z42,"0.00"),"—")&amp;" | اهرم: "&amp;IFERROR(TEXT($AA42,"0.0"),"—")&amp;"x"&amp;" | "&amp;$G42&amp;" روز تا سررسید")</f>
        <v/>
      </c>
    </row>
    <row r="43" customFormat="false" ht="15" hidden="false" customHeight="false" outlineLevel="0" collapsed="false">
      <c r="A43" s="5"/>
      <c r="B43" s="6"/>
      <c r="C43" s="7"/>
      <c r="D43" s="7"/>
      <c r="E43" s="8"/>
      <c r="F43" s="9"/>
      <c r="G43" s="10"/>
      <c r="H43" s="8"/>
      <c r="I43" s="8"/>
      <c r="J43" s="8"/>
      <c r="K43" s="8"/>
      <c r="L43" s="8"/>
      <c r="M43" s="8"/>
      <c r="N43" s="8"/>
      <c r="O43" s="8" t="str">
        <f aca="false">IF($A43="","",IFERROR(INDEX(Underlying!$B$1:$B$5000,MATCH($D43,Underlying!$A$1:$A$5000,0)),""))</f>
        <v/>
      </c>
      <c r="P43" s="11" t="str">
        <f aca="false">IF($A43="","",IFERROR($O43/$E43,""))</f>
        <v/>
      </c>
      <c r="Q43" s="7" t="str">
        <f aca="false">IF($A43="","",IF($P43="","",IF($C43="Call",IF($P43&gt;1+OPT_ATM_BAND,"ITM",IF($P43&lt;1-OPT_ATM_BAND,"OTM","ATM")),IF($P43&lt;1-OPT_ATM_BAND,"ITM",IF($P43&gt;1+OPT_ATM_BAND,"OTM","ATM")))))</f>
        <v/>
      </c>
      <c r="R43" s="8" t="str">
        <f aca="false">IF($A43="","",IFERROR(IF($C43="Call",MAX(0,$O43-$E43),MAX(0,$E43-$O43)),""))</f>
        <v/>
      </c>
      <c r="S43" s="8" t="str">
        <f aca="false">IF($A43="","",IFERROR(MAX(0,$I43-$R43),""))</f>
        <v/>
      </c>
      <c r="T43" s="11" t="str">
        <f aca="false">IF($A43="","",IFERROR($G43/365,""))</f>
        <v/>
      </c>
      <c r="U43" s="12" t="str">
        <f aca="false">IF($A43="","",IF(OR($P43="",ABS($P43-1)&gt;3*OPT_ATM_BAND),"",IFERROR($I43/$O43*SQRT(2*PI()/$T43),"")))</f>
        <v/>
      </c>
      <c r="V43" s="11" t="str">
        <f aca="false">IF($A43="","",IFERROR((LN($O43/$E43)+(OPT_RF+OPT_VOL^2/2)*$T43)/(OPT_VOL*SQRT($T43)),""))</f>
        <v/>
      </c>
      <c r="W43" s="11" t="str">
        <f aca="false">IF($A43="","",IFERROR($V43-OPT_VOL*SQRT($T43),""))</f>
        <v/>
      </c>
      <c r="X43" s="11" t="str">
        <f aca="false">IF($A43="","",IFERROR(IF($C43="Call",NORMSDIST($V43),NORMSDIST($V43)-1),""))</f>
        <v/>
      </c>
      <c r="Y43" s="8" t="str">
        <f aca="false">IF($A43="","",IFERROR(IF($C43="Call",$O43*NORMSDIST($V43)-$E43*EXP(-OPT_RF*$T43)*NORMSDIST($W43),$E43*EXP(-OPT_RF*$T43)*NORMSDIST(-$W43)-$O43*NORMSDIST(-$V43)),""))</f>
        <v/>
      </c>
      <c r="Z43" s="11" t="str">
        <f aca="false">IF($A43="","",IFERROR($I43/$Y43,""))</f>
        <v/>
      </c>
      <c r="AA43" s="13" t="str">
        <f aca="false">IF($A43="","",IFERROR($O43*ABS($X43)/$I43,""))</f>
        <v/>
      </c>
      <c r="AB43" s="13" t="str">
        <f aca="false">IF($A43="","",IFERROR(INDEX(Underlying!$D$1:$D$5000,MATCH($D43,Underlying!$A$1:$A$5000,0)),0))</f>
        <v/>
      </c>
      <c r="AC43" s="7" t="str">
        <f aca="false">IF($A43="","",IF(AND($J43&gt;=OPT_MIN_VOL,$G43&gt;=OPT_MIN_DTE),"بله","خیر"))</f>
        <v/>
      </c>
      <c r="AD43" s="13" t="str">
        <f aca="false">IF($A43="","",IF($AC43="خیر",0,IFERROR(MAX(-10,MIN(10,IF($C43="Call",$AB43,-$AB43)*0.6+IF($Z43&lt;0.85,2,IF($Z43&gt;1.25,-2,0))+IF($Q43="ATM",1,IF($Q43="ITM",0.5,-1))+IF($G43&gt;=30,0.5,-0.5))),0)))</f>
        <v/>
      </c>
      <c r="AE43" s="7" t="str">
        <f aca="false">IF($A43="","",IF($AC43="خیر","بدون سیگنال (نقدشوندگی/سررسید)",IF($AD43&gt;=TH_SBUY,"خرید قوی "&amp;$C43,IF($AD43&gt;=TH_BUY,"خرید "&amp;$C43,IF($AD43&lt;=TH_SSELL,"اجتناب / بستن موقعیت",IF($AD43&lt;=TH_SELL,"ضعیف","بی‌طرف"))))))</f>
        <v/>
      </c>
      <c r="AF43" s="14" t="str">
        <f aca="false">IF($A43="","","سهم پایه: "&amp;IFERROR(TEXT($AB43,"0.0"),"—")&amp;" | وضعیت: "&amp;$Q43&amp;" | نوسان ضمنی: "&amp;IFERROR(TEXT($U43,"0%"),"—")&amp;" | بازار÷نظری: "&amp;IFERROR(TEXT($Z43,"0.00"),"—")&amp;" | اهرم: "&amp;IFERROR(TEXT($AA43,"0.0"),"—")&amp;"x"&amp;" | "&amp;$G43&amp;" روز تا سررسید")</f>
        <v/>
      </c>
    </row>
    <row r="44" customFormat="false" ht="15" hidden="false" customHeight="false" outlineLevel="0" collapsed="false">
      <c r="A44" s="5"/>
      <c r="B44" s="6"/>
      <c r="C44" s="7"/>
      <c r="D44" s="7"/>
      <c r="E44" s="8"/>
      <c r="F44" s="9"/>
      <c r="G44" s="10"/>
      <c r="H44" s="8"/>
      <c r="I44" s="8"/>
      <c r="J44" s="8"/>
      <c r="K44" s="8"/>
      <c r="L44" s="8"/>
      <c r="M44" s="8"/>
      <c r="N44" s="8"/>
      <c r="O44" s="8" t="str">
        <f aca="false">IF($A44="","",IFERROR(INDEX(Underlying!$B$1:$B$5000,MATCH($D44,Underlying!$A$1:$A$5000,0)),""))</f>
        <v/>
      </c>
      <c r="P44" s="11" t="str">
        <f aca="false">IF($A44="","",IFERROR($O44/$E44,""))</f>
        <v/>
      </c>
      <c r="Q44" s="7" t="str">
        <f aca="false">IF($A44="","",IF($P44="","",IF($C44="Call",IF($P44&gt;1+OPT_ATM_BAND,"ITM",IF($P44&lt;1-OPT_ATM_BAND,"OTM","ATM")),IF($P44&lt;1-OPT_ATM_BAND,"ITM",IF($P44&gt;1+OPT_ATM_BAND,"OTM","ATM")))))</f>
        <v/>
      </c>
      <c r="R44" s="8" t="str">
        <f aca="false">IF($A44="","",IFERROR(IF($C44="Call",MAX(0,$O44-$E44),MAX(0,$E44-$O44)),""))</f>
        <v/>
      </c>
      <c r="S44" s="8" t="str">
        <f aca="false">IF($A44="","",IFERROR(MAX(0,$I44-$R44),""))</f>
        <v/>
      </c>
      <c r="T44" s="11" t="str">
        <f aca="false">IF($A44="","",IFERROR($G44/365,""))</f>
        <v/>
      </c>
      <c r="U44" s="12" t="str">
        <f aca="false">IF($A44="","",IF(OR($P44="",ABS($P44-1)&gt;3*OPT_ATM_BAND),"",IFERROR($I44/$O44*SQRT(2*PI()/$T44),"")))</f>
        <v/>
      </c>
      <c r="V44" s="11" t="str">
        <f aca="false">IF($A44="","",IFERROR((LN($O44/$E44)+(OPT_RF+OPT_VOL^2/2)*$T44)/(OPT_VOL*SQRT($T44)),""))</f>
        <v/>
      </c>
      <c r="W44" s="11" t="str">
        <f aca="false">IF($A44="","",IFERROR($V44-OPT_VOL*SQRT($T44),""))</f>
        <v/>
      </c>
      <c r="X44" s="11" t="str">
        <f aca="false">IF($A44="","",IFERROR(IF($C44="Call",NORMSDIST($V44),NORMSDIST($V44)-1),""))</f>
        <v/>
      </c>
      <c r="Y44" s="8" t="str">
        <f aca="false">IF($A44="","",IFERROR(IF($C44="Call",$O44*NORMSDIST($V44)-$E44*EXP(-OPT_RF*$T44)*NORMSDIST($W44),$E44*EXP(-OPT_RF*$T44)*NORMSDIST(-$W44)-$O44*NORMSDIST(-$V44)),""))</f>
        <v/>
      </c>
      <c r="Z44" s="11" t="str">
        <f aca="false">IF($A44="","",IFERROR($I44/$Y44,""))</f>
        <v/>
      </c>
      <c r="AA44" s="13" t="str">
        <f aca="false">IF($A44="","",IFERROR($O44*ABS($X44)/$I44,""))</f>
        <v/>
      </c>
      <c r="AB44" s="13" t="str">
        <f aca="false">IF($A44="","",IFERROR(INDEX(Underlying!$D$1:$D$5000,MATCH($D44,Underlying!$A$1:$A$5000,0)),0))</f>
        <v/>
      </c>
      <c r="AC44" s="7" t="str">
        <f aca="false">IF($A44="","",IF(AND($J44&gt;=OPT_MIN_VOL,$G44&gt;=OPT_MIN_DTE),"بله","خیر"))</f>
        <v/>
      </c>
      <c r="AD44" s="13" t="str">
        <f aca="false">IF($A44="","",IF($AC44="خیر",0,IFERROR(MAX(-10,MIN(10,IF($C44="Call",$AB44,-$AB44)*0.6+IF($Z44&lt;0.85,2,IF($Z44&gt;1.25,-2,0))+IF($Q44="ATM",1,IF($Q44="ITM",0.5,-1))+IF($G44&gt;=30,0.5,-0.5))),0)))</f>
        <v/>
      </c>
      <c r="AE44" s="7" t="str">
        <f aca="false">IF($A44="","",IF($AC44="خیر","بدون سیگنال (نقدشوندگی/سررسید)",IF($AD44&gt;=TH_SBUY,"خرید قوی "&amp;$C44,IF($AD44&gt;=TH_BUY,"خرید "&amp;$C44,IF($AD44&lt;=TH_SSELL,"اجتناب / بستن موقعیت",IF($AD44&lt;=TH_SELL,"ضعیف","بی‌طرف"))))))</f>
        <v/>
      </c>
      <c r="AF44" s="14" t="str">
        <f aca="false">IF($A44="","","سهم پایه: "&amp;IFERROR(TEXT($AB44,"0.0"),"—")&amp;" | وضعیت: "&amp;$Q44&amp;" | نوسان ضمنی: "&amp;IFERROR(TEXT($U44,"0%"),"—")&amp;" | بازار÷نظری: "&amp;IFERROR(TEXT($Z44,"0.00"),"—")&amp;" | اهرم: "&amp;IFERROR(TEXT($AA44,"0.0"),"—")&amp;"x"&amp;" | "&amp;$G44&amp;" روز تا سررسید")</f>
        <v/>
      </c>
    </row>
    <row r="45" customFormat="false" ht="15" hidden="false" customHeight="false" outlineLevel="0" collapsed="false">
      <c r="A45" s="5"/>
      <c r="B45" s="6"/>
      <c r="C45" s="7"/>
      <c r="D45" s="7"/>
      <c r="E45" s="8"/>
      <c r="F45" s="9"/>
      <c r="G45" s="10"/>
      <c r="H45" s="8"/>
      <c r="I45" s="8"/>
      <c r="J45" s="8"/>
      <c r="K45" s="8"/>
      <c r="L45" s="8"/>
      <c r="M45" s="8"/>
      <c r="N45" s="8"/>
      <c r="O45" s="8" t="str">
        <f aca="false">IF($A45="","",IFERROR(INDEX(Underlying!$B$1:$B$5000,MATCH($D45,Underlying!$A$1:$A$5000,0)),""))</f>
        <v/>
      </c>
      <c r="P45" s="11" t="str">
        <f aca="false">IF($A45="","",IFERROR($O45/$E45,""))</f>
        <v/>
      </c>
      <c r="Q45" s="7" t="str">
        <f aca="false">IF($A45="","",IF($P45="","",IF($C45="Call",IF($P45&gt;1+OPT_ATM_BAND,"ITM",IF($P45&lt;1-OPT_ATM_BAND,"OTM","ATM")),IF($P45&lt;1-OPT_ATM_BAND,"ITM",IF($P45&gt;1+OPT_ATM_BAND,"OTM","ATM")))))</f>
        <v/>
      </c>
      <c r="R45" s="8" t="str">
        <f aca="false">IF($A45="","",IFERROR(IF($C45="Call",MAX(0,$O45-$E45),MAX(0,$E45-$O45)),""))</f>
        <v/>
      </c>
      <c r="S45" s="8" t="str">
        <f aca="false">IF($A45="","",IFERROR(MAX(0,$I45-$R45),""))</f>
        <v/>
      </c>
      <c r="T45" s="11" t="str">
        <f aca="false">IF($A45="","",IFERROR($G45/365,""))</f>
        <v/>
      </c>
      <c r="U45" s="12" t="str">
        <f aca="false">IF($A45="","",IF(OR($P45="",ABS($P45-1)&gt;3*OPT_ATM_BAND),"",IFERROR($I45/$O45*SQRT(2*PI()/$T45),"")))</f>
        <v/>
      </c>
      <c r="V45" s="11" t="str">
        <f aca="false">IF($A45="","",IFERROR((LN($O45/$E45)+(OPT_RF+OPT_VOL^2/2)*$T45)/(OPT_VOL*SQRT($T45)),""))</f>
        <v/>
      </c>
      <c r="W45" s="11" t="str">
        <f aca="false">IF($A45="","",IFERROR($V45-OPT_VOL*SQRT($T45),""))</f>
        <v/>
      </c>
      <c r="X45" s="11" t="str">
        <f aca="false">IF($A45="","",IFERROR(IF($C45="Call",NORMSDIST($V45),NORMSDIST($V45)-1),""))</f>
        <v/>
      </c>
      <c r="Y45" s="8" t="str">
        <f aca="false">IF($A45="","",IFERROR(IF($C45="Call",$O45*NORMSDIST($V45)-$E45*EXP(-OPT_RF*$T45)*NORMSDIST($W45),$E45*EXP(-OPT_RF*$T45)*NORMSDIST(-$W45)-$O45*NORMSDIST(-$V45)),""))</f>
        <v/>
      </c>
      <c r="Z45" s="11" t="str">
        <f aca="false">IF($A45="","",IFERROR($I45/$Y45,""))</f>
        <v/>
      </c>
      <c r="AA45" s="13" t="str">
        <f aca="false">IF($A45="","",IFERROR($O45*ABS($X45)/$I45,""))</f>
        <v/>
      </c>
      <c r="AB45" s="13" t="str">
        <f aca="false">IF($A45="","",IFERROR(INDEX(Underlying!$D$1:$D$5000,MATCH($D45,Underlying!$A$1:$A$5000,0)),0))</f>
        <v/>
      </c>
      <c r="AC45" s="7" t="str">
        <f aca="false">IF($A45="","",IF(AND($J45&gt;=OPT_MIN_VOL,$G45&gt;=OPT_MIN_DTE),"بله","خیر"))</f>
        <v/>
      </c>
      <c r="AD45" s="13" t="str">
        <f aca="false">IF($A45="","",IF($AC45="خیر",0,IFERROR(MAX(-10,MIN(10,IF($C45="Call",$AB45,-$AB45)*0.6+IF($Z45&lt;0.85,2,IF($Z45&gt;1.25,-2,0))+IF($Q45="ATM",1,IF($Q45="ITM",0.5,-1))+IF($G45&gt;=30,0.5,-0.5))),0)))</f>
        <v/>
      </c>
      <c r="AE45" s="7" t="str">
        <f aca="false">IF($A45="","",IF($AC45="خیر","بدون سیگنال (نقدشوندگی/سررسید)",IF($AD45&gt;=TH_SBUY,"خرید قوی "&amp;$C45,IF($AD45&gt;=TH_BUY,"خرید "&amp;$C45,IF($AD45&lt;=TH_SSELL,"اجتناب / بستن موقعیت",IF($AD45&lt;=TH_SELL,"ضعیف","بی‌طرف"))))))</f>
        <v/>
      </c>
      <c r="AF45" s="14" t="str">
        <f aca="false">IF($A45="","","سهم پایه: "&amp;IFERROR(TEXT($AB45,"0.0"),"—")&amp;" | وضعیت: "&amp;$Q45&amp;" | نوسان ضمنی: "&amp;IFERROR(TEXT($U45,"0%"),"—")&amp;" | بازار÷نظری: "&amp;IFERROR(TEXT($Z45,"0.00"),"—")&amp;" | اهرم: "&amp;IFERROR(TEXT($AA45,"0.0"),"—")&amp;"x"&amp;" | "&amp;$G45&amp;" روز تا سررسید")</f>
        <v/>
      </c>
    </row>
    <row r="46" customFormat="false" ht="15" hidden="false" customHeight="false" outlineLevel="0" collapsed="false">
      <c r="A46" s="5"/>
      <c r="B46" s="6"/>
      <c r="C46" s="7"/>
      <c r="D46" s="7"/>
      <c r="E46" s="8"/>
      <c r="F46" s="9"/>
      <c r="G46" s="10"/>
      <c r="H46" s="8"/>
      <c r="I46" s="8"/>
      <c r="J46" s="8"/>
      <c r="K46" s="8"/>
      <c r="L46" s="8"/>
      <c r="M46" s="8"/>
      <c r="N46" s="8"/>
      <c r="O46" s="8" t="str">
        <f aca="false">IF($A46="","",IFERROR(INDEX(Underlying!$B$1:$B$5000,MATCH($D46,Underlying!$A$1:$A$5000,0)),""))</f>
        <v/>
      </c>
      <c r="P46" s="11" t="str">
        <f aca="false">IF($A46="","",IFERROR($O46/$E46,""))</f>
        <v/>
      </c>
      <c r="Q46" s="7" t="str">
        <f aca="false">IF($A46="","",IF($P46="","",IF($C46="Call",IF($P46&gt;1+OPT_ATM_BAND,"ITM",IF($P46&lt;1-OPT_ATM_BAND,"OTM","ATM")),IF($P46&lt;1-OPT_ATM_BAND,"ITM",IF($P46&gt;1+OPT_ATM_BAND,"OTM","ATM")))))</f>
        <v/>
      </c>
      <c r="R46" s="8" t="str">
        <f aca="false">IF($A46="","",IFERROR(IF($C46="Call",MAX(0,$O46-$E46),MAX(0,$E46-$O46)),""))</f>
        <v/>
      </c>
      <c r="S46" s="8" t="str">
        <f aca="false">IF($A46="","",IFERROR(MAX(0,$I46-$R46),""))</f>
        <v/>
      </c>
      <c r="T46" s="11" t="str">
        <f aca="false">IF($A46="","",IFERROR($G46/365,""))</f>
        <v/>
      </c>
      <c r="U46" s="12" t="str">
        <f aca="false">IF($A46="","",IF(OR($P46="",ABS($P46-1)&gt;3*OPT_ATM_BAND),"",IFERROR($I46/$O46*SQRT(2*PI()/$T46),"")))</f>
        <v/>
      </c>
      <c r="V46" s="11" t="str">
        <f aca="false">IF($A46="","",IFERROR((LN($O46/$E46)+(OPT_RF+OPT_VOL^2/2)*$T46)/(OPT_VOL*SQRT($T46)),""))</f>
        <v/>
      </c>
      <c r="W46" s="11" t="str">
        <f aca="false">IF($A46="","",IFERROR($V46-OPT_VOL*SQRT($T46),""))</f>
        <v/>
      </c>
      <c r="X46" s="11" t="str">
        <f aca="false">IF($A46="","",IFERROR(IF($C46="Call",NORMSDIST($V46),NORMSDIST($V46)-1),""))</f>
        <v/>
      </c>
      <c r="Y46" s="8" t="str">
        <f aca="false">IF($A46="","",IFERROR(IF($C46="Call",$O46*NORMSDIST($V46)-$E46*EXP(-OPT_RF*$T46)*NORMSDIST($W46),$E46*EXP(-OPT_RF*$T46)*NORMSDIST(-$W46)-$O46*NORMSDIST(-$V46)),""))</f>
        <v/>
      </c>
      <c r="Z46" s="11" t="str">
        <f aca="false">IF($A46="","",IFERROR($I46/$Y46,""))</f>
        <v/>
      </c>
      <c r="AA46" s="13" t="str">
        <f aca="false">IF($A46="","",IFERROR($O46*ABS($X46)/$I46,""))</f>
        <v/>
      </c>
      <c r="AB46" s="13" t="str">
        <f aca="false">IF($A46="","",IFERROR(INDEX(Underlying!$D$1:$D$5000,MATCH($D46,Underlying!$A$1:$A$5000,0)),0))</f>
        <v/>
      </c>
      <c r="AC46" s="7" t="str">
        <f aca="false">IF($A46="","",IF(AND($J46&gt;=OPT_MIN_VOL,$G46&gt;=OPT_MIN_DTE),"بله","خیر"))</f>
        <v/>
      </c>
      <c r="AD46" s="13" t="str">
        <f aca="false">IF($A46="","",IF($AC46="خیر",0,IFERROR(MAX(-10,MIN(10,IF($C46="Call",$AB46,-$AB46)*0.6+IF($Z46&lt;0.85,2,IF($Z46&gt;1.25,-2,0))+IF($Q46="ATM",1,IF($Q46="ITM",0.5,-1))+IF($G46&gt;=30,0.5,-0.5))),0)))</f>
        <v/>
      </c>
      <c r="AE46" s="7" t="str">
        <f aca="false">IF($A46="","",IF($AC46="خیر","بدون سیگنال (نقدشوندگی/سررسید)",IF($AD46&gt;=TH_SBUY,"خرید قوی "&amp;$C46,IF($AD46&gt;=TH_BUY,"خرید "&amp;$C46,IF($AD46&lt;=TH_SSELL,"اجتناب / بستن موقعیت",IF($AD46&lt;=TH_SELL,"ضعیف","بی‌طرف"))))))</f>
        <v/>
      </c>
      <c r="AF46" s="14" t="str">
        <f aca="false">IF($A46="","","سهم پایه: "&amp;IFERROR(TEXT($AB46,"0.0"),"—")&amp;" | وضعیت: "&amp;$Q46&amp;" | نوسان ضمنی: "&amp;IFERROR(TEXT($U46,"0%"),"—")&amp;" | بازار÷نظری: "&amp;IFERROR(TEXT($Z46,"0.00"),"—")&amp;" | اهرم: "&amp;IFERROR(TEXT($AA46,"0.0"),"—")&amp;"x"&amp;" | "&amp;$G46&amp;" روز تا سررسید")</f>
        <v/>
      </c>
    </row>
    <row r="47" customFormat="false" ht="15" hidden="false" customHeight="false" outlineLevel="0" collapsed="false">
      <c r="A47" s="5"/>
      <c r="B47" s="6"/>
      <c r="C47" s="7"/>
      <c r="D47" s="7"/>
      <c r="E47" s="8"/>
      <c r="F47" s="9"/>
      <c r="G47" s="10"/>
      <c r="H47" s="8"/>
      <c r="I47" s="8"/>
      <c r="J47" s="8"/>
      <c r="K47" s="8"/>
      <c r="L47" s="8"/>
      <c r="M47" s="8"/>
      <c r="N47" s="8"/>
      <c r="O47" s="8" t="str">
        <f aca="false">IF($A47="","",IFERROR(INDEX(Underlying!$B$1:$B$5000,MATCH($D47,Underlying!$A$1:$A$5000,0)),""))</f>
        <v/>
      </c>
      <c r="P47" s="11" t="str">
        <f aca="false">IF($A47="","",IFERROR($O47/$E47,""))</f>
        <v/>
      </c>
      <c r="Q47" s="7" t="str">
        <f aca="false">IF($A47="","",IF($P47="","",IF($C47="Call",IF($P47&gt;1+OPT_ATM_BAND,"ITM",IF($P47&lt;1-OPT_ATM_BAND,"OTM","ATM")),IF($P47&lt;1-OPT_ATM_BAND,"ITM",IF($P47&gt;1+OPT_ATM_BAND,"OTM","ATM")))))</f>
        <v/>
      </c>
      <c r="R47" s="8" t="str">
        <f aca="false">IF($A47="","",IFERROR(IF($C47="Call",MAX(0,$O47-$E47),MAX(0,$E47-$O47)),""))</f>
        <v/>
      </c>
      <c r="S47" s="8" t="str">
        <f aca="false">IF($A47="","",IFERROR(MAX(0,$I47-$R47),""))</f>
        <v/>
      </c>
      <c r="T47" s="11" t="str">
        <f aca="false">IF($A47="","",IFERROR($G47/365,""))</f>
        <v/>
      </c>
      <c r="U47" s="12" t="str">
        <f aca="false">IF($A47="","",IF(OR($P47="",ABS($P47-1)&gt;3*OPT_ATM_BAND),"",IFERROR($I47/$O47*SQRT(2*PI()/$T47),"")))</f>
        <v/>
      </c>
      <c r="V47" s="11" t="str">
        <f aca="false">IF($A47="","",IFERROR((LN($O47/$E47)+(OPT_RF+OPT_VOL^2/2)*$T47)/(OPT_VOL*SQRT($T47)),""))</f>
        <v/>
      </c>
      <c r="W47" s="11" t="str">
        <f aca="false">IF($A47="","",IFERROR($V47-OPT_VOL*SQRT($T47),""))</f>
        <v/>
      </c>
      <c r="X47" s="11" t="str">
        <f aca="false">IF($A47="","",IFERROR(IF($C47="Call",NORMSDIST($V47),NORMSDIST($V47)-1),""))</f>
        <v/>
      </c>
      <c r="Y47" s="8" t="str">
        <f aca="false">IF($A47="","",IFERROR(IF($C47="Call",$O47*NORMSDIST($V47)-$E47*EXP(-OPT_RF*$T47)*NORMSDIST($W47),$E47*EXP(-OPT_RF*$T47)*NORMSDIST(-$W47)-$O47*NORMSDIST(-$V47)),""))</f>
        <v/>
      </c>
      <c r="Z47" s="11" t="str">
        <f aca="false">IF($A47="","",IFERROR($I47/$Y47,""))</f>
        <v/>
      </c>
      <c r="AA47" s="13" t="str">
        <f aca="false">IF($A47="","",IFERROR($O47*ABS($X47)/$I47,""))</f>
        <v/>
      </c>
      <c r="AB47" s="13" t="str">
        <f aca="false">IF($A47="","",IFERROR(INDEX(Underlying!$D$1:$D$5000,MATCH($D47,Underlying!$A$1:$A$5000,0)),0))</f>
        <v/>
      </c>
      <c r="AC47" s="7" t="str">
        <f aca="false">IF($A47="","",IF(AND($J47&gt;=OPT_MIN_VOL,$G47&gt;=OPT_MIN_DTE),"بله","خیر"))</f>
        <v/>
      </c>
      <c r="AD47" s="13" t="str">
        <f aca="false">IF($A47="","",IF($AC47="خیر",0,IFERROR(MAX(-10,MIN(10,IF($C47="Call",$AB47,-$AB47)*0.6+IF($Z47&lt;0.85,2,IF($Z47&gt;1.25,-2,0))+IF($Q47="ATM",1,IF($Q47="ITM",0.5,-1))+IF($G47&gt;=30,0.5,-0.5))),0)))</f>
        <v/>
      </c>
      <c r="AE47" s="7" t="str">
        <f aca="false">IF($A47="","",IF($AC47="خیر","بدون سیگنال (نقدشوندگی/سررسید)",IF($AD47&gt;=TH_SBUY,"خرید قوی "&amp;$C47,IF($AD47&gt;=TH_BUY,"خرید "&amp;$C47,IF($AD47&lt;=TH_SSELL,"اجتناب / بستن موقعیت",IF($AD47&lt;=TH_SELL,"ضعیف","بی‌طرف"))))))</f>
        <v/>
      </c>
      <c r="AF47" s="14" t="str">
        <f aca="false">IF($A47="","","سهم پایه: "&amp;IFERROR(TEXT($AB47,"0.0"),"—")&amp;" | وضعیت: "&amp;$Q47&amp;" | نوسان ضمنی: "&amp;IFERROR(TEXT($U47,"0%"),"—")&amp;" | بازار÷نظری: "&amp;IFERROR(TEXT($Z47,"0.00"),"—")&amp;" | اهرم: "&amp;IFERROR(TEXT($AA47,"0.0"),"—")&amp;"x"&amp;" | "&amp;$G47&amp;" روز تا سررسید")</f>
        <v/>
      </c>
    </row>
    <row r="48" customFormat="false" ht="15" hidden="false" customHeight="false" outlineLevel="0" collapsed="false">
      <c r="A48" s="5"/>
      <c r="B48" s="6"/>
      <c r="C48" s="7"/>
      <c r="D48" s="7"/>
      <c r="E48" s="8"/>
      <c r="F48" s="9"/>
      <c r="G48" s="10"/>
      <c r="H48" s="8"/>
      <c r="I48" s="8"/>
      <c r="J48" s="8"/>
      <c r="K48" s="8"/>
      <c r="L48" s="8"/>
      <c r="M48" s="8"/>
      <c r="N48" s="8"/>
      <c r="O48" s="8" t="str">
        <f aca="false">IF($A48="","",IFERROR(INDEX(Underlying!$B$1:$B$5000,MATCH($D48,Underlying!$A$1:$A$5000,0)),""))</f>
        <v/>
      </c>
      <c r="P48" s="11" t="str">
        <f aca="false">IF($A48="","",IFERROR($O48/$E48,""))</f>
        <v/>
      </c>
      <c r="Q48" s="7" t="str">
        <f aca="false">IF($A48="","",IF($P48="","",IF($C48="Call",IF($P48&gt;1+OPT_ATM_BAND,"ITM",IF($P48&lt;1-OPT_ATM_BAND,"OTM","ATM")),IF($P48&lt;1-OPT_ATM_BAND,"ITM",IF($P48&gt;1+OPT_ATM_BAND,"OTM","ATM")))))</f>
        <v/>
      </c>
      <c r="R48" s="8" t="str">
        <f aca="false">IF($A48="","",IFERROR(IF($C48="Call",MAX(0,$O48-$E48),MAX(0,$E48-$O48)),""))</f>
        <v/>
      </c>
      <c r="S48" s="8" t="str">
        <f aca="false">IF($A48="","",IFERROR(MAX(0,$I48-$R48),""))</f>
        <v/>
      </c>
      <c r="T48" s="11" t="str">
        <f aca="false">IF($A48="","",IFERROR($G48/365,""))</f>
        <v/>
      </c>
      <c r="U48" s="12" t="str">
        <f aca="false">IF($A48="","",IF(OR($P48="",ABS($P48-1)&gt;3*OPT_ATM_BAND),"",IFERROR($I48/$O48*SQRT(2*PI()/$T48),"")))</f>
        <v/>
      </c>
      <c r="V48" s="11" t="str">
        <f aca="false">IF($A48="","",IFERROR((LN($O48/$E48)+(OPT_RF+OPT_VOL^2/2)*$T48)/(OPT_VOL*SQRT($T48)),""))</f>
        <v/>
      </c>
      <c r="W48" s="11" t="str">
        <f aca="false">IF($A48="","",IFERROR($V48-OPT_VOL*SQRT($T48),""))</f>
        <v/>
      </c>
      <c r="X48" s="11" t="str">
        <f aca="false">IF($A48="","",IFERROR(IF($C48="Call",NORMSDIST($V48),NORMSDIST($V48)-1),""))</f>
        <v/>
      </c>
      <c r="Y48" s="8" t="str">
        <f aca="false">IF($A48="","",IFERROR(IF($C48="Call",$O48*NORMSDIST($V48)-$E48*EXP(-OPT_RF*$T48)*NORMSDIST($W48),$E48*EXP(-OPT_RF*$T48)*NORMSDIST(-$W48)-$O48*NORMSDIST(-$V48)),""))</f>
        <v/>
      </c>
      <c r="Z48" s="11" t="str">
        <f aca="false">IF($A48="","",IFERROR($I48/$Y48,""))</f>
        <v/>
      </c>
      <c r="AA48" s="13" t="str">
        <f aca="false">IF($A48="","",IFERROR($O48*ABS($X48)/$I48,""))</f>
        <v/>
      </c>
      <c r="AB48" s="13" t="str">
        <f aca="false">IF($A48="","",IFERROR(INDEX(Underlying!$D$1:$D$5000,MATCH($D48,Underlying!$A$1:$A$5000,0)),0))</f>
        <v/>
      </c>
      <c r="AC48" s="7" t="str">
        <f aca="false">IF($A48="","",IF(AND($J48&gt;=OPT_MIN_VOL,$G48&gt;=OPT_MIN_DTE),"بله","خیر"))</f>
        <v/>
      </c>
      <c r="AD48" s="13" t="str">
        <f aca="false">IF($A48="","",IF($AC48="خیر",0,IFERROR(MAX(-10,MIN(10,IF($C48="Call",$AB48,-$AB48)*0.6+IF($Z48&lt;0.85,2,IF($Z48&gt;1.25,-2,0))+IF($Q48="ATM",1,IF($Q48="ITM",0.5,-1))+IF($G48&gt;=30,0.5,-0.5))),0)))</f>
        <v/>
      </c>
      <c r="AE48" s="7" t="str">
        <f aca="false">IF($A48="","",IF($AC48="خیر","بدون سیگنال (نقدشوندگی/سررسید)",IF($AD48&gt;=TH_SBUY,"خرید قوی "&amp;$C48,IF($AD48&gt;=TH_BUY,"خرید "&amp;$C48,IF($AD48&lt;=TH_SSELL,"اجتناب / بستن موقعیت",IF($AD48&lt;=TH_SELL,"ضعیف","بی‌طرف"))))))</f>
        <v/>
      </c>
      <c r="AF48" s="14" t="str">
        <f aca="false">IF($A48="","","سهم پایه: "&amp;IFERROR(TEXT($AB48,"0.0"),"—")&amp;" | وضعیت: "&amp;$Q48&amp;" | نوسان ضمنی: "&amp;IFERROR(TEXT($U48,"0%"),"—")&amp;" | بازار÷نظری: "&amp;IFERROR(TEXT($Z48,"0.00"),"—")&amp;" | اهرم: "&amp;IFERROR(TEXT($AA48,"0.0"),"—")&amp;"x"&amp;" | "&amp;$G48&amp;" روز تا سررسید")</f>
        <v/>
      </c>
    </row>
    <row r="49" customFormat="false" ht="15" hidden="false" customHeight="false" outlineLevel="0" collapsed="false">
      <c r="A49" s="5"/>
      <c r="B49" s="6"/>
      <c r="C49" s="7"/>
      <c r="D49" s="7"/>
      <c r="E49" s="8"/>
      <c r="F49" s="9"/>
      <c r="G49" s="10"/>
      <c r="H49" s="8"/>
      <c r="I49" s="8"/>
      <c r="J49" s="8"/>
      <c r="K49" s="8"/>
      <c r="L49" s="8"/>
      <c r="M49" s="8"/>
      <c r="N49" s="8"/>
      <c r="O49" s="8" t="str">
        <f aca="false">IF($A49="","",IFERROR(INDEX(Underlying!$B$1:$B$5000,MATCH($D49,Underlying!$A$1:$A$5000,0)),""))</f>
        <v/>
      </c>
      <c r="P49" s="11" t="str">
        <f aca="false">IF($A49="","",IFERROR($O49/$E49,""))</f>
        <v/>
      </c>
      <c r="Q49" s="7" t="str">
        <f aca="false">IF($A49="","",IF($P49="","",IF($C49="Call",IF($P49&gt;1+OPT_ATM_BAND,"ITM",IF($P49&lt;1-OPT_ATM_BAND,"OTM","ATM")),IF($P49&lt;1-OPT_ATM_BAND,"ITM",IF($P49&gt;1+OPT_ATM_BAND,"OTM","ATM")))))</f>
        <v/>
      </c>
      <c r="R49" s="8" t="str">
        <f aca="false">IF($A49="","",IFERROR(IF($C49="Call",MAX(0,$O49-$E49),MAX(0,$E49-$O49)),""))</f>
        <v/>
      </c>
      <c r="S49" s="8" t="str">
        <f aca="false">IF($A49="","",IFERROR(MAX(0,$I49-$R49),""))</f>
        <v/>
      </c>
      <c r="T49" s="11" t="str">
        <f aca="false">IF($A49="","",IFERROR($G49/365,""))</f>
        <v/>
      </c>
      <c r="U49" s="12" t="str">
        <f aca="false">IF($A49="","",IF(OR($P49="",ABS($P49-1)&gt;3*OPT_ATM_BAND),"",IFERROR($I49/$O49*SQRT(2*PI()/$T49),"")))</f>
        <v/>
      </c>
      <c r="V49" s="11" t="str">
        <f aca="false">IF($A49="","",IFERROR((LN($O49/$E49)+(OPT_RF+OPT_VOL^2/2)*$T49)/(OPT_VOL*SQRT($T49)),""))</f>
        <v/>
      </c>
      <c r="W49" s="11" t="str">
        <f aca="false">IF($A49="","",IFERROR($V49-OPT_VOL*SQRT($T49),""))</f>
        <v/>
      </c>
      <c r="X49" s="11" t="str">
        <f aca="false">IF($A49="","",IFERROR(IF($C49="Call",NORMSDIST($V49),NORMSDIST($V49)-1),""))</f>
        <v/>
      </c>
      <c r="Y49" s="8" t="str">
        <f aca="false">IF($A49="","",IFERROR(IF($C49="Call",$O49*NORMSDIST($V49)-$E49*EXP(-OPT_RF*$T49)*NORMSDIST($W49),$E49*EXP(-OPT_RF*$T49)*NORMSDIST(-$W49)-$O49*NORMSDIST(-$V49)),""))</f>
        <v/>
      </c>
      <c r="Z49" s="11" t="str">
        <f aca="false">IF($A49="","",IFERROR($I49/$Y49,""))</f>
        <v/>
      </c>
      <c r="AA49" s="13" t="str">
        <f aca="false">IF($A49="","",IFERROR($O49*ABS($X49)/$I49,""))</f>
        <v/>
      </c>
      <c r="AB49" s="13" t="str">
        <f aca="false">IF($A49="","",IFERROR(INDEX(Underlying!$D$1:$D$5000,MATCH($D49,Underlying!$A$1:$A$5000,0)),0))</f>
        <v/>
      </c>
      <c r="AC49" s="7" t="str">
        <f aca="false">IF($A49="","",IF(AND($J49&gt;=OPT_MIN_VOL,$G49&gt;=OPT_MIN_DTE),"بله","خیر"))</f>
        <v/>
      </c>
      <c r="AD49" s="13" t="str">
        <f aca="false">IF($A49="","",IF($AC49="خیر",0,IFERROR(MAX(-10,MIN(10,IF($C49="Call",$AB49,-$AB49)*0.6+IF($Z49&lt;0.85,2,IF($Z49&gt;1.25,-2,0))+IF($Q49="ATM",1,IF($Q49="ITM",0.5,-1))+IF($G49&gt;=30,0.5,-0.5))),0)))</f>
        <v/>
      </c>
      <c r="AE49" s="7" t="str">
        <f aca="false">IF($A49="","",IF($AC49="خیر","بدون سیگنال (نقدشوندگی/سررسید)",IF($AD49&gt;=TH_SBUY,"خرید قوی "&amp;$C49,IF($AD49&gt;=TH_BUY,"خرید "&amp;$C49,IF($AD49&lt;=TH_SSELL,"اجتناب / بستن موقعیت",IF($AD49&lt;=TH_SELL,"ضعیف","بی‌طرف"))))))</f>
        <v/>
      </c>
      <c r="AF49" s="14" t="str">
        <f aca="false">IF($A49="","","سهم پایه: "&amp;IFERROR(TEXT($AB49,"0.0"),"—")&amp;" | وضعیت: "&amp;$Q49&amp;" | نوسان ضمنی: "&amp;IFERROR(TEXT($U49,"0%"),"—")&amp;" | بازار÷نظری: "&amp;IFERROR(TEXT($Z49,"0.00"),"—")&amp;" | اهرم: "&amp;IFERROR(TEXT($AA49,"0.0"),"—")&amp;"x"&amp;" | "&amp;$G49&amp;" روز تا سررسید")</f>
        <v/>
      </c>
    </row>
    <row r="50" customFormat="false" ht="15" hidden="false" customHeight="false" outlineLevel="0" collapsed="false">
      <c r="A50" s="5"/>
      <c r="B50" s="6"/>
      <c r="C50" s="7"/>
      <c r="D50" s="7"/>
      <c r="E50" s="8"/>
      <c r="F50" s="9"/>
      <c r="G50" s="10"/>
      <c r="H50" s="8"/>
      <c r="I50" s="8"/>
      <c r="J50" s="8"/>
      <c r="K50" s="8"/>
      <c r="L50" s="8"/>
      <c r="M50" s="8"/>
      <c r="N50" s="8"/>
      <c r="O50" s="8" t="str">
        <f aca="false">IF($A50="","",IFERROR(INDEX(Underlying!$B$1:$B$5000,MATCH($D50,Underlying!$A$1:$A$5000,0)),""))</f>
        <v/>
      </c>
      <c r="P50" s="11" t="str">
        <f aca="false">IF($A50="","",IFERROR($O50/$E50,""))</f>
        <v/>
      </c>
      <c r="Q50" s="7" t="str">
        <f aca="false">IF($A50="","",IF($P50="","",IF($C50="Call",IF($P50&gt;1+OPT_ATM_BAND,"ITM",IF($P50&lt;1-OPT_ATM_BAND,"OTM","ATM")),IF($P50&lt;1-OPT_ATM_BAND,"ITM",IF($P50&gt;1+OPT_ATM_BAND,"OTM","ATM")))))</f>
        <v/>
      </c>
      <c r="R50" s="8" t="str">
        <f aca="false">IF($A50="","",IFERROR(IF($C50="Call",MAX(0,$O50-$E50),MAX(0,$E50-$O50)),""))</f>
        <v/>
      </c>
      <c r="S50" s="8" t="str">
        <f aca="false">IF($A50="","",IFERROR(MAX(0,$I50-$R50),""))</f>
        <v/>
      </c>
      <c r="T50" s="11" t="str">
        <f aca="false">IF($A50="","",IFERROR($G50/365,""))</f>
        <v/>
      </c>
      <c r="U50" s="12" t="str">
        <f aca="false">IF($A50="","",IF(OR($P50="",ABS($P50-1)&gt;3*OPT_ATM_BAND),"",IFERROR($I50/$O50*SQRT(2*PI()/$T50),"")))</f>
        <v/>
      </c>
      <c r="V50" s="11" t="str">
        <f aca="false">IF($A50="","",IFERROR((LN($O50/$E50)+(OPT_RF+OPT_VOL^2/2)*$T50)/(OPT_VOL*SQRT($T50)),""))</f>
        <v/>
      </c>
      <c r="W50" s="11" t="str">
        <f aca="false">IF($A50="","",IFERROR($V50-OPT_VOL*SQRT($T50),""))</f>
        <v/>
      </c>
      <c r="X50" s="11" t="str">
        <f aca="false">IF($A50="","",IFERROR(IF($C50="Call",NORMSDIST($V50),NORMSDIST($V50)-1),""))</f>
        <v/>
      </c>
      <c r="Y50" s="8" t="str">
        <f aca="false">IF($A50="","",IFERROR(IF($C50="Call",$O50*NORMSDIST($V50)-$E50*EXP(-OPT_RF*$T50)*NORMSDIST($W50),$E50*EXP(-OPT_RF*$T50)*NORMSDIST(-$W50)-$O50*NORMSDIST(-$V50)),""))</f>
        <v/>
      </c>
      <c r="Z50" s="11" t="str">
        <f aca="false">IF($A50="","",IFERROR($I50/$Y50,""))</f>
        <v/>
      </c>
      <c r="AA50" s="13" t="str">
        <f aca="false">IF($A50="","",IFERROR($O50*ABS($X50)/$I50,""))</f>
        <v/>
      </c>
      <c r="AB50" s="13" t="str">
        <f aca="false">IF($A50="","",IFERROR(INDEX(Underlying!$D$1:$D$5000,MATCH($D50,Underlying!$A$1:$A$5000,0)),0))</f>
        <v/>
      </c>
      <c r="AC50" s="7" t="str">
        <f aca="false">IF($A50="","",IF(AND($J50&gt;=OPT_MIN_VOL,$G50&gt;=OPT_MIN_DTE),"بله","خیر"))</f>
        <v/>
      </c>
      <c r="AD50" s="13" t="str">
        <f aca="false">IF($A50="","",IF($AC50="خیر",0,IFERROR(MAX(-10,MIN(10,IF($C50="Call",$AB50,-$AB50)*0.6+IF($Z50&lt;0.85,2,IF($Z50&gt;1.25,-2,0))+IF($Q50="ATM",1,IF($Q50="ITM",0.5,-1))+IF($G50&gt;=30,0.5,-0.5))),0)))</f>
        <v/>
      </c>
      <c r="AE50" s="7" t="str">
        <f aca="false">IF($A50="","",IF($AC50="خیر","بدون سیگنال (نقدشوندگی/سررسید)",IF($AD50&gt;=TH_SBUY,"خرید قوی "&amp;$C50,IF($AD50&gt;=TH_BUY,"خرید "&amp;$C50,IF($AD50&lt;=TH_SSELL,"اجتناب / بستن موقعیت",IF($AD50&lt;=TH_SELL,"ضعیف","بی‌طرف"))))))</f>
        <v/>
      </c>
      <c r="AF50" s="14" t="str">
        <f aca="false">IF($A50="","","سهم پایه: "&amp;IFERROR(TEXT($AB50,"0.0"),"—")&amp;" | وضعیت: "&amp;$Q50&amp;" | نوسان ضمنی: "&amp;IFERROR(TEXT($U50,"0%"),"—")&amp;" | بازار÷نظری: "&amp;IFERROR(TEXT($Z50,"0.00"),"—")&amp;" | اهرم: "&amp;IFERROR(TEXT($AA50,"0.0"),"—")&amp;"x"&amp;" | "&amp;$G50&amp;" روز تا سررسید")</f>
        <v/>
      </c>
    </row>
    <row r="51" customFormat="false" ht="15" hidden="false" customHeight="false" outlineLevel="0" collapsed="false">
      <c r="A51" s="5"/>
      <c r="B51" s="6"/>
      <c r="C51" s="7"/>
      <c r="D51" s="7"/>
      <c r="E51" s="8"/>
      <c r="F51" s="9"/>
      <c r="G51" s="10"/>
      <c r="H51" s="8"/>
      <c r="I51" s="8"/>
      <c r="J51" s="8"/>
      <c r="K51" s="8"/>
      <c r="L51" s="8"/>
      <c r="M51" s="8"/>
      <c r="N51" s="8"/>
      <c r="O51" s="8" t="str">
        <f aca="false">IF($A51="","",IFERROR(INDEX(Underlying!$B$1:$B$5000,MATCH($D51,Underlying!$A$1:$A$5000,0)),""))</f>
        <v/>
      </c>
      <c r="P51" s="11" t="str">
        <f aca="false">IF($A51="","",IFERROR($O51/$E51,""))</f>
        <v/>
      </c>
      <c r="Q51" s="7" t="str">
        <f aca="false">IF($A51="","",IF($P51="","",IF($C51="Call",IF($P51&gt;1+OPT_ATM_BAND,"ITM",IF($P51&lt;1-OPT_ATM_BAND,"OTM","ATM")),IF($P51&lt;1-OPT_ATM_BAND,"ITM",IF($P51&gt;1+OPT_ATM_BAND,"OTM","ATM")))))</f>
        <v/>
      </c>
      <c r="R51" s="8" t="str">
        <f aca="false">IF($A51="","",IFERROR(IF($C51="Call",MAX(0,$O51-$E51),MAX(0,$E51-$O51)),""))</f>
        <v/>
      </c>
      <c r="S51" s="8" t="str">
        <f aca="false">IF($A51="","",IFERROR(MAX(0,$I51-$R51),""))</f>
        <v/>
      </c>
      <c r="T51" s="11" t="str">
        <f aca="false">IF($A51="","",IFERROR($G51/365,""))</f>
        <v/>
      </c>
      <c r="U51" s="12" t="str">
        <f aca="false">IF($A51="","",IF(OR($P51="",ABS($P51-1)&gt;3*OPT_ATM_BAND),"",IFERROR($I51/$O51*SQRT(2*PI()/$T51),"")))</f>
        <v/>
      </c>
      <c r="V51" s="11" t="str">
        <f aca="false">IF($A51="","",IFERROR((LN($O51/$E51)+(OPT_RF+OPT_VOL^2/2)*$T51)/(OPT_VOL*SQRT($T51)),""))</f>
        <v/>
      </c>
      <c r="W51" s="11" t="str">
        <f aca="false">IF($A51="","",IFERROR($V51-OPT_VOL*SQRT($T51),""))</f>
        <v/>
      </c>
      <c r="X51" s="11" t="str">
        <f aca="false">IF($A51="","",IFERROR(IF($C51="Call",NORMSDIST($V51),NORMSDIST($V51)-1),""))</f>
        <v/>
      </c>
      <c r="Y51" s="8" t="str">
        <f aca="false">IF($A51="","",IFERROR(IF($C51="Call",$O51*NORMSDIST($V51)-$E51*EXP(-OPT_RF*$T51)*NORMSDIST($W51),$E51*EXP(-OPT_RF*$T51)*NORMSDIST(-$W51)-$O51*NORMSDIST(-$V51)),""))</f>
        <v/>
      </c>
      <c r="Z51" s="11" t="str">
        <f aca="false">IF($A51="","",IFERROR($I51/$Y51,""))</f>
        <v/>
      </c>
      <c r="AA51" s="13" t="str">
        <f aca="false">IF($A51="","",IFERROR($O51*ABS($X51)/$I51,""))</f>
        <v/>
      </c>
      <c r="AB51" s="13" t="str">
        <f aca="false">IF($A51="","",IFERROR(INDEX(Underlying!$D$1:$D$5000,MATCH($D51,Underlying!$A$1:$A$5000,0)),0))</f>
        <v/>
      </c>
      <c r="AC51" s="7" t="str">
        <f aca="false">IF($A51="","",IF(AND($J51&gt;=OPT_MIN_VOL,$G51&gt;=OPT_MIN_DTE),"بله","خیر"))</f>
        <v/>
      </c>
      <c r="AD51" s="13" t="str">
        <f aca="false">IF($A51="","",IF($AC51="خیر",0,IFERROR(MAX(-10,MIN(10,IF($C51="Call",$AB51,-$AB51)*0.6+IF($Z51&lt;0.85,2,IF($Z51&gt;1.25,-2,0))+IF($Q51="ATM",1,IF($Q51="ITM",0.5,-1))+IF($G51&gt;=30,0.5,-0.5))),0)))</f>
        <v/>
      </c>
      <c r="AE51" s="7" t="str">
        <f aca="false">IF($A51="","",IF($AC51="خیر","بدون سیگنال (نقدشوندگی/سررسید)",IF($AD51&gt;=TH_SBUY,"خرید قوی "&amp;$C51,IF($AD51&gt;=TH_BUY,"خرید "&amp;$C51,IF($AD51&lt;=TH_SSELL,"اجتناب / بستن موقعیت",IF($AD51&lt;=TH_SELL,"ضعیف","بی‌طرف"))))))</f>
        <v/>
      </c>
      <c r="AF51" s="14" t="str">
        <f aca="false">IF($A51="","","سهم پایه: "&amp;IFERROR(TEXT($AB51,"0.0"),"—")&amp;" | وضعیت: "&amp;$Q51&amp;" | نوسان ضمنی: "&amp;IFERROR(TEXT($U51,"0%"),"—")&amp;" | بازار÷نظری: "&amp;IFERROR(TEXT($Z51,"0.00"),"—")&amp;" | اهرم: "&amp;IFERROR(TEXT($AA51,"0.0"),"—")&amp;"x"&amp;" | "&amp;$G51&amp;" روز تا سررسید")</f>
        <v/>
      </c>
    </row>
    <row r="52" customFormat="false" ht="15" hidden="false" customHeight="false" outlineLevel="0" collapsed="false">
      <c r="A52" s="5"/>
      <c r="B52" s="6"/>
      <c r="C52" s="7"/>
      <c r="D52" s="7"/>
      <c r="E52" s="8"/>
      <c r="F52" s="9"/>
      <c r="G52" s="10"/>
      <c r="H52" s="8"/>
      <c r="I52" s="8"/>
      <c r="J52" s="8"/>
      <c r="K52" s="8"/>
      <c r="L52" s="8"/>
      <c r="M52" s="8"/>
      <c r="N52" s="8"/>
      <c r="O52" s="8" t="str">
        <f aca="false">IF($A52="","",IFERROR(INDEX(Underlying!$B$1:$B$5000,MATCH($D52,Underlying!$A$1:$A$5000,0)),""))</f>
        <v/>
      </c>
      <c r="P52" s="11" t="str">
        <f aca="false">IF($A52="","",IFERROR($O52/$E52,""))</f>
        <v/>
      </c>
      <c r="Q52" s="7" t="str">
        <f aca="false">IF($A52="","",IF($P52="","",IF($C52="Call",IF($P52&gt;1+OPT_ATM_BAND,"ITM",IF($P52&lt;1-OPT_ATM_BAND,"OTM","ATM")),IF($P52&lt;1-OPT_ATM_BAND,"ITM",IF($P52&gt;1+OPT_ATM_BAND,"OTM","ATM")))))</f>
        <v/>
      </c>
      <c r="R52" s="8" t="str">
        <f aca="false">IF($A52="","",IFERROR(IF($C52="Call",MAX(0,$O52-$E52),MAX(0,$E52-$O52)),""))</f>
        <v/>
      </c>
      <c r="S52" s="8" t="str">
        <f aca="false">IF($A52="","",IFERROR(MAX(0,$I52-$R52),""))</f>
        <v/>
      </c>
      <c r="T52" s="11" t="str">
        <f aca="false">IF($A52="","",IFERROR($G52/365,""))</f>
        <v/>
      </c>
      <c r="U52" s="12" t="str">
        <f aca="false">IF($A52="","",IF(OR($P52="",ABS($P52-1)&gt;3*OPT_ATM_BAND),"",IFERROR($I52/$O52*SQRT(2*PI()/$T52),"")))</f>
        <v/>
      </c>
      <c r="V52" s="11" t="str">
        <f aca="false">IF($A52="","",IFERROR((LN($O52/$E52)+(OPT_RF+OPT_VOL^2/2)*$T52)/(OPT_VOL*SQRT($T52)),""))</f>
        <v/>
      </c>
      <c r="W52" s="11" t="str">
        <f aca="false">IF($A52="","",IFERROR($V52-OPT_VOL*SQRT($T52),""))</f>
        <v/>
      </c>
      <c r="X52" s="11" t="str">
        <f aca="false">IF($A52="","",IFERROR(IF($C52="Call",NORMSDIST($V52),NORMSDIST($V52)-1),""))</f>
        <v/>
      </c>
      <c r="Y52" s="8" t="str">
        <f aca="false">IF($A52="","",IFERROR(IF($C52="Call",$O52*NORMSDIST($V52)-$E52*EXP(-OPT_RF*$T52)*NORMSDIST($W52),$E52*EXP(-OPT_RF*$T52)*NORMSDIST(-$W52)-$O52*NORMSDIST(-$V52)),""))</f>
        <v/>
      </c>
      <c r="Z52" s="11" t="str">
        <f aca="false">IF($A52="","",IFERROR($I52/$Y52,""))</f>
        <v/>
      </c>
      <c r="AA52" s="13" t="str">
        <f aca="false">IF($A52="","",IFERROR($O52*ABS($X52)/$I52,""))</f>
        <v/>
      </c>
      <c r="AB52" s="13" t="str">
        <f aca="false">IF($A52="","",IFERROR(INDEX(Underlying!$D$1:$D$5000,MATCH($D52,Underlying!$A$1:$A$5000,0)),0))</f>
        <v/>
      </c>
      <c r="AC52" s="7" t="str">
        <f aca="false">IF($A52="","",IF(AND($J52&gt;=OPT_MIN_VOL,$G52&gt;=OPT_MIN_DTE),"بله","خیر"))</f>
        <v/>
      </c>
      <c r="AD52" s="13" t="str">
        <f aca="false">IF($A52="","",IF($AC52="خیر",0,IFERROR(MAX(-10,MIN(10,IF($C52="Call",$AB52,-$AB52)*0.6+IF($Z52&lt;0.85,2,IF($Z52&gt;1.25,-2,0))+IF($Q52="ATM",1,IF($Q52="ITM",0.5,-1))+IF($G52&gt;=30,0.5,-0.5))),0)))</f>
        <v/>
      </c>
      <c r="AE52" s="7" t="str">
        <f aca="false">IF($A52="","",IF($AC52="خیر","بدون سیگنال (نقدشوندگی/سررسید)",IF($AD52&gt;=TH_SBUY,"خرید قوی "&amp;$C52,IF($AD52&gt;=TH_BUY,"خرید "&amp;$C52,IF($AD52&lt;=TH_SSELL,"اجتناب / بستن موقعیت",IF($AD52&lt;=TH_SELL,"ضعیف","بی‌طرف"))))))</f>
        <v/>
      </c>
      <c r="AF52" s="14" t="str">
        <f aca="false">IF($A52="","","سهم پایه: "&amp;IFERROR(TEXT($AB52,"0.0"),"—")&amp;" | وضعیت: "&amp;$Q52&amp;" | نوسان ضمنی: "&amp;IFERROR(TEXT($U52,"0%"),"—")&amp;" | بازار÷نظری: "&amp;IFERROR(TEXT($Z52,"0.00"),"—")&amp;" | اهرم: "&amp;IFERROR(TEXT($AA52,"0.0"),"—")&amp;"x"&amp;" | "&amp;$G52&amp;" روز تا سررسید")</f>
        <v/>
      </c>
    </row>
    <row r="53" customFormat="false" ht="15" hidden="false" customHeight="false" outlineLevel="0" collapsed="false">
      <c r="A53" s="5"/>
      <c r="B53" s="6"/>
      <c r="C53" s="7"/>
      <c r="D53" s="7"/>
      <c r="E53" s="8"/>
      <c r="F53" s="9"/>
      <c r="G53" s="10"/>
      <c r="H53" s="8"/>
      <c r="I53" s="8"/>
      <c r="J53" s="8"/>
      <c r="K53" s="8"/>
      <c r="L53" s="8"/>
      <c r="M53" s="8"/>
      <c r="N53" s="8"/>
      <c r="O53" s="8" t="str">
        <f aca="false">IF($A53="","",IFERROR(INDEX(Underlying!$B$1:$B$5000,MATCH($D53,Underlying!$A$1:$A$5000,0)),""))</f>
        <v/>
      </c>
      <c r="P53" s="11" t="str">
        <f aca="false">IF($A53="","",IFERROR($O53/$E53,""))</f>
        <v/>
      </c>
      <c r="Q53" s="7" t="str">
        <f aca="false">IF($A53="","",IF($P53="","",IF($C53="Call",IF($P53&gt;1+OPT_ATM_BAND,"ITM",IF($P53&lt;1-OPT_ATM_BAND,"OTM","ATM")),IF($P53&lt;1-OPT_ATM_BAND,"ITM",IF($P53&gt;1+OPT_ATM_BAND,"OTM","ATM")))))</f>
        <v/>
      </c>
      <c r="R53" s="8" t="str">
        <f aca="false">IF($A53="","",IFERROR(IF($C53="Call",MAX(0,$O53-$E53),MAX(0,$E53-$O53)),""))</f>
        <v/>
      </c>
      <c r="S53" s="8" t="str">
        <f aca="false">IF($A53="","",IFERROR(MAX(0,$I53-$R53),""))</f>
        <v/>
      </c>
      <c r="T53" s="11" t="str">
        <f aca="false">IF($A53="","",IFERROR($G53/365,""))</f>
        <v/>
      </c>
      <c r="U53" s="12" t="str">
        <f aca="false">IF($A53="","",IF(OR($P53="",ABS($P53-1)&gt;3*OPT_ATM_BAND),"",IFERROR($I53/$O53*SQRT(2*PI()/$T53),"")))</f>
        <v/>
      </c>
      <c r="V53" s="11" t="str">
        <f aca="false">IF($A53="","",IFERROR((LN($O53/$E53)+(OPT_RF+OPT_VOL^2/2)*$T53)/(OPT_VOL*SQRT($T53)),""))</f>
        <v/>
      </c>
      <c r="W53" s="11" t="str">
        <f aca="false">IF($A53="","",IFERROR($V53-OPT_VOL*SQRT($T53),""))</f>
        <v/>
      </c>
      <c r="X53" s="11" t="str">
        <f aca="false">IF($A53="","",IFERROR(IF($C53="Call",NORMSDIST($V53),NORMSDIST($V53)-1),""))</f>
        <v/>
      </c>
      <c r="Y53" s="8" t="str">
        <f aca="false">IF($A53="","",IFERROR(IF($C53="Call",$O53*NORMSDIST($V53)-$E53*EXP(-OPT_RF*$T53)*NORMSDIST($W53),$E53*EXP(-OPT_RF*$T53)*NORMSDIST(-$W53)-$O53*NORMSDIST(-$V53)),""))</f>
        <v/>
      </c>
      <c r="Z53" s="11" t="str">
        <f aca="false">IF($A53="","",IFERROR($I53/$Y53,""))</f>
        <v/>
      </c>
      <c r="AA53" s="13" t="str">
        <f aca="false">IF($A53="","",IFERROR($O53*ABS($X53)/$I53,""))</f>
        <v/>
      </c>
      <c r="AB53" s="13" t="str">
        <f aca="false">IF($A53="","",IFERROR(INDEX(Underlying!$D$1:$D$5000,MATCH($D53,Underlying!$A$1:$A$5000,0)),0))</f>
        <v/>
      </c>
      <c r="AC53" s="7" t="str">
        <f aca="false">IF($A53="","",IF(AND($J53&gt;=OPT_MIN_VOL,$G53&gt;=OPT_MIN_DTE),"بله","خیر"))</f>
        <v/>
      </c>
      <c r="AD53" s="13" t="str">
        <f aca="false">IF($A53="","",IF($AC53="خیر",0,IFERROR(MAX(-10,MIN(10,IF($C53="Call",$AB53,-$AB53)*0.6+IF($Z53&lt;0.85,2,IF($Z53&gt;1.25,-2,0))+IF($Q53="ATM",1,IF($Q53="ITM",0.5,-1))+IF($G53&gt;=30,0.5,-0.5))),0)))</f>
        <v/>
      </c>
      <c r="AE53" s="7" t="str">
        <f aca="false">IF($A53="","",IF($AC53="خیر","بدون سیگنال (نقدشوندگی/سررسید)",IF($AD53&gt;=TH_SBUY,"خرید قوی "&amp;$C53,IF($AD53&gt;=TH_BUY,"خرید "&amp;$C53,IF($AD53&lt;=TH_SSELL,"اجتناب / بستن موقعیت",IF($AD53&lt;=TH_SELL,"ضعیف","بی‌طرف"))))))</f>
        <v/>
      </c>
      <c r="AF53" s="14" t="str">
        <f aca="false">IF($A53="","","سهم پایه: "&amp;IFERROR(TEXT($AB53,"0.0"),"—")&amp;" | وضعیت: "&amp;$Q53&amp;" | نوسان ضمنی: "&amp;IFERROR(TEXT($U53,"0%"),"—")&amp;" | بازار÷نظری: "&amp;IFERROR(TEXT($Z53,"0.00"),"—")&amp;" | اهرم: "&amp;IFERROR(TEXT($AA53,"0.0"),"—")&amp;"x"&amp;" | "&amp;$G53&amp;" روز تا سررسید")</f>
        <v/>
      </c>
    </row>
    <row r="54" customFormat="false" ht="15" hidden="false" customHeight="false" outlineLevel="0" collapsed="false">
      <c r="A54" s="5"/>
      <c r="B54" s="6"/>
      <c r="C54" s="7"/>
      <c r="D54" s="7"/>
      <c r="E54" s="8"/>
      <c r="F54" s="9"/>
      <c r="G54" s="10"/>
      <c r="H54" s="8"/>
      <c r="I54" s="8"/>
      <c r="J54" s="8"/>
      <c r="K54" s="8"/>
      <c r="L54" s="8"/>
      <c r="M54" s="8"/>
      <c r="N54" s="8"/>
      <c r="O54" s="8" t="str">
        <f aca="false">IF($A54="","",IFERROR(INDEX(Underlying!$B$1:$B$5000,MATCH($D54,Underlying!$A$1:$A$5000,0)),""))</f>
        <v/>
      </c>
      <c r="P54" s="11" t="str">
        <f aca="false">IF($A54="","",IFERROR($O54/$E54,""))</f>
        <v/>
      </c>
      <c r="Q54" s="7" t="str">
        <f aca="false">IF($A54="","",IF($P54="","",IF($C54="Call",IF($P54&gt;1+OPT_ATM_BAND,"ITM",IF($P54&lt;1-OPT_ATM_BAND,"OTM","ATM")),IF($P54&lt;1-OPT_ATM_BAND,"ITM",IF($P54&gt;1+OPT_ATM_BAND,"OTM","ATM")))))</f>
        <v/>
      </c>
      <c r="R54" s="8" t="str">
        <f aca="false">IF($A54="","",IFERROR(IF($C54="Call",MAX(0,$O54-$E54),MAX(0,$E54-$O54)),""))</f>
        <v/>
      </c>
      <c r="S54" s="8" t="str">
        <f aca="false">IF($A54="","",IFERROR(MAX(0,$I54-$R54),""))</f>
        <v/>
      </c>
      <c r="T54" s="11" t="str">
        <f aca="false">IF($A54="","",IFERROR($G54/365,""))</f>
        <v/>
      </c>
      <c r="U54" s="12" t="str">
        <f aca="false">IF($A54="","",IF(OR($P54="",ABS($P54-1)&gt;3*OPT_ATM_BAND),"",IFERROR($I54/$O54*SQRT(2*PI()/$T54),"")))</f>
        <v/>
      </c>
      <c r="V54" s="11" t="str">
        <f aca="false">IF($A54="","",IFERROR((LN($O54/$E54)+(OPT_RF+OPT_VOL^2/2)*$T54)/(OPT_VOL*SQRT($T54)),""))</f>
        <v/>
      </c>
      <c r="W54" s="11" t="str">
        <f aca="false">IF($A54="","",IFERROR($V54-OPT_VOL*SQRT($T54),""))</f>
        <v/>
      </c>
      <c r="X54" s="11" t="str">
        <f aca="false">IF($A54="","",IFERROR(IF($C54="Call",NORMSDIST($V54),NORMSDIST($V54)-1),""))</f>
        <v/>
      </c>
      <c r="Y54" s="8" t="str">
        <f aca="false">IF($A54="","",IFERROR(IF($C54="Call",$O54*NORMSDIST($V54)-$E54*EXP(-OPT_RF*$T54)*NORMSDIST($W54),$E54*EXP(-OPT_RF*$T54)*NORMSDIST(-$W54)-$O54*NORMSDIST(-$V54)),""))</f>
        <v/>
      </c>
      <c r="Z54" s="11" t="str">
        <f aca="false">IF($A54="","",IFERROR($I54/$Y54,""))</f>
        <v/>
      </c>
      <c r="AA54" s="13" t="str">
        <f aca="false">IF($A54="","",IFERROR($O54*ABS($X54)/$I54,""))</f>
        <v/>
      </c>
      <c r="AB54" s="13" t="str">
        <f aca="false">IF($A54="","",IFERROR(INDEX(Underlying!$D$1:$D$5000,MATCH($D54,Underlying!$A$1:$A$5000,0)),0))</f>
        <v/>
      </c>
      <c r="AC54" s="7" t="str">
        <f aca="false">IF($A54="","",IF(AND($J54&gt;=OPT_MIN_VOL,$G54&gt;=OPT_MIN_DTE),"بله","خیر"))</f>
        <v/>
      </c>
      <c r="AD54" s="13" t="str">
        <f aca="false">IF($A54="","",IF($AC54="خیر",0,IFERROR(MAX(-10,MIN(10,IF($C54="Call",$AB54,-$AB54)*0.6+IF($Z54&lt;0.85,2,IF($Z54&gt;1.25,-2,0))+IF($Q54="ATM",1,IF($Q54="ITM",0.5,-1))+IF($G54&gt;=30,0.5,-0.5))),0)))</f>
        <v/>
      </c>
      <c r="AE54" s="7" t="str">
        <f aca="false">IF($A54="","",IF($AC54="خیر","بدون سیگنال (نقدشوندگی/سررسید)",IF($AD54&gt;=TH_SBUY,"خرید قوی "&amp;$C54,IF($AD54&gt;=TH_BUY,"خرید "&amp;$C54,IF($AD54&lt;=TH_SSELL,"اجتناب / بستن موقعیت",IF($AD54&lt;=TH_SELL,"ضعیف","بی‌طرف"))))))</f>
        <v/>
      </c>
      <c r="AF54" s="14" t="str">
        <f aca="false">IF($A54="","","سهم پایه: "&amp;IFERROR(TEXT($AB54,"0.0"),"—")&amp;" | وضعیت: "&amp;$Q54&amp;" | نوسان ضمنی: "&amp;IFERROR(TEXT($U54,"0%"),"—")&amp;" | بازار÷نظری: "&amp;IFERROR(TEXT($Z54,"0.00"),"—")&amp;" | اهرم: "&amp;IFERROR(TEXT($AA54,"0.0"),"—")&amp;"x"&amp;" | "&amp;$G54&amp;" روز تا سررسید")</f>
        <v/>
      </c>
    </row>
    <row r="55" customFormat="false" ht="15" hidden="false" customHeight="false" outlineLevel="0" collapsed="false">
      <c r="A55" s="5"/>
      <c r="B55" s="6"/>
      <c r="C55" s="7"/>
      <c r="D55" s="7"/>
      <c r="E55" s="8"/>
      <c r="F55" s="9"/>
      <c r="G55" s="10"/>
      <c r="H55" s="8"/>
      <c r="I55" s="8"/>
      <c r="J55" s="8"/>
      <c r="K55" s="8"/>
      <c r="L55" s="8"/>
      <c r="M55" s="8"/>
      <c r="N55" s="8"/>
      <c r="O55" s="8" t="str">
        <f aca="false">IF($A55="","",IFERROR(INDEX(Underlying!$B$1:$B$5000,MATCH($D55,Underlying!$A$1:$A$5000,0)),""))</f>
        <v/>
      </c>
      <c r="P55" s="11" t="str">
        <f aca="false">IF($A55="","",IFERROR($O55/$E55,""))</f>
        <v/>
      </c>
      <c r="Q55" s="7" t="str">
        <f aca="false">IF($A55="","",IF($P55="","",IF($C55="Call",IF($P55&gt;1+OPT_ATM_BAND,"ITM",IF($P55&lt;1-OPT_ATM_BAND,"OTM","ATM")),IF($P55&lt;1-OPT_ATM_BAND,"ITM",IF($P55&gt;1+OPT_ATM_BAND,"OTM","ATM")))))</f>
        <v/>
      </c>
      <c r="R55" s="8" t="str">
        <f aca="false">IF($A55="","",IFERROR(IF($C55="Call",MAX(0,$O55-$E55),MAX(0,$E55-$O55)),""))</f>
        <v/>
      </c>
      <c r="S55" s="8" t="str">
        <f aca="false">IF($A55="","",IFERROR(MAX(0,$I55-$R55),""))</f>
        <v/>
      </c>
      <c r="T55" s="11" t="str">
        <f aca="false">IF($A55="","",IFERROR($G55/365,""))</f>
        <v/>
      </c>
      <c r="U55" s="12" t="str">
        <f aca="false">IF($A55="","",IF(OR($P55="",ABS($P55-1)&gt;3*OPT_ATM_BAND),"",IFERROR($I55/$O55*SQRT(2*PI()/$T55),"")))</f>
        <v/>
      </c>
      <c r="V55" s="11" t="str">
        <f aca="false">IF($A55="","",IFERROR((LN($O55/$E55)+(OPT_RF+OPT_VOL^2/2)*$T55)/(OPT_VOL*SQRT($T55)),""))</f>
        <v/>
      </c>
      <c r="W55" s="11" t="str">
        <f aca="false">IF($A55="","",IFERROR($V55-OPT_VOL*SQRT($T55),""))</f>
        <v/>
      </c>
      <c r="X55" s="11" t="str">
        <f aca="false">IF($A55="","",IFERROR(IF($C55="Call",NORMSDIST($V55),NORMSDIST($V55)-1),""))</f>
        <v/>
      </c>
      <c r="Y55" s="8" t="str">
        <f aca="false">IF($A55="","",IFERROR(IF($C55="Call",$O55*NORMSDIST($V55)-$E55*EXP(-OPT_RF*$T55)*NORMSDIST($W55),$E55*EXP(-OPT_RF*$T55)*NORMSDIST(-$W55)-$O55*NORMSDIST(-$V55)),""))</f>
        <v/>
      </c>
      <c r="Z55" s="11" t="str">
        <f aca="false">IF($A55="","",IFERROR($I55/$Y55,""))</f>
        <v/>
      </c>
      <c r="AA55" s="13" t="str">
        <f aca="false">IF($A55="","",IFERROR($O55*ABS($X55)/$I55,""))</f>
        <v/>
      </c>
      <c r="AB55" s="13" t="str">
        <f aca="false">IF($A55="","",IFERROR(INDEX(Underlying!$D$1:$D$5000,MATCH($D55,Underlying!$A$1:$A$5000,0)),0))</f>
        <v/>
      </c>
      <c r="AC55" s="7" t="str">
        <f aca="false">IF($A55="","",IF(AND($J55&gt;=OPT_MIN_VOL,$G55&gt;=OPT_MIN_DTE),"بله","خیر"))</f>
        <v/>
      </c>
      <c r="AD55" s="13" t="str">
        <f aca="false">IF($A55="","",IF($AC55="خیر",0,IFERROR(MAX(-10,MIN(10,IF($C55="Call",$AB55,-$AB55)*0.6+IF($Z55&lt;0.85,2,IF($Z55&gt;1.25,-2,0))+IF($Q55="ATM",1,IF($Q55="ITM",0.5,-1))+IF($G55&gt;=30,0.5,-0.5))),0)))</f>
        <v/>
      </c>
      <c r="AE55" s="7" t="str">
        <f aca="false">IF($A55="","",IF($AC55="خیر","بدون سیگنال (نقدشوندگی/سررسید)",IF($AD55&gt;=TH_SBUY,"خرید قوی "&amp;$C55,IF($AD55&gt;=TH_BUY,"خرید "&amp;$C55,IF($AD55&lt;=TH_SSELL,"اجتناب / بستن موقعیت",IF($AD55&lt;=TH_SELL,"ضعیف","بی‌طرف"))))))</f>
        <v/>
      </c>
      <c r="AF55" s="14" t="str">
        <f aca="false">IF($A55="","","سهم پایه: "&amp;IFERROR(TEXT($AB55,"0.0"),"—")&amp;" | وضعیت: "&amp;$Q55&amp;" | نوسان ضمنی: "&amp;IFERROR(TEXT($U55,"0%"),"—")&amp;" | بازار÷نظری: "&amp;IFERROR(TEXT($Z55,"0.00"),"—")&amp;" | اهرم: "&amp;IFERROR(TEXT($AA55,"0.0"),"—")&amp;"x"&amp;" | "&amp;$G55&amp;" روز تا سررسید")</f>
        <v/>
      </c>
    </row>
    <row r="56" customFormat="false" ht="15" hidden="false" customHeight="false" outlineLevel="0" collapsed="false">
      <c r="A56" s="5"/>
      <c r="B56" s="6"/>
      <c r="C56" s="7"/>
      <c r="D56" s="7"/>
      <c r="E56" s="8"/>
      <c r="F56" s="9"/>
      <c r="G56" s="10"/>
      <c r="H56" s="8"/>
      <c r="I56" s="8"/>
      <c r="J56" s="8"/>
      <c r="K56" s="8"/>
      <c r="L56" s="8"/>
      <c r="M56" s="8"/>
      <c r="N56" s="8"/>
      <c r="O56" s="8" t="str">
        <f aca="false">IF($A56="","",IFERROR(INDEX(Underlying!$B$1:$B$5000,MATCH($D56,Underlying!$A$1:$A$5000,0)),""))</f>
        <v/>
      </c>
      <c r="P56" s="11" t="str">
        <f aca="false">IF($A56="","",IFERROR($O56/$E56,""))</f>
        <v/>
      </c>
      <c r="Q56" s="7" t="str">
        <f aca="false">IF($A56="","",IF($P56="","",IF($C56="Call",IF($P56&gt;1+OPT_ATM_BAND,"ITM",IF($P56&lt;1-OPT_ATM_BAND,"OTM","ATM")),IF($P56&lt;1-OPT_ATM_BAND,"ITM",IF($P56&gt;1+OPT_ATM_BAND,"OTM","ATM")))))</f>
        <v/>
      </c>
      <c r="R56" s="8" t="str">
        <f aca="false">IF($A56="","",IFERROR(IF($C56="Call",MAX(0,$O56-$E56),MAX(0,$E56-$O56)),""))</f>
        <v/>
      </c>
      <c r="S56" s="8" t="str">
        <f aca="false">IF($A56="","",IFERROR(MAX(0,$I56-$R56),""))</f>
        <v/>
      </c>
      <c r="T56" s="11" t="str">
        <f aca="false">IF($A56="","",IFERROR($G56/365,""))</f>
        <v/>
      </c>
      <c r="U56" s="12" t="str">
        <f aca="false">IF($A56="","",IF(OR($P56="",ABS($P56-1)&gt;3*OPT_ATM_BAND),"",IFERROR($I56/$O56*SQRT(2*PI()/$T56),"")))</f>
        <v/>
      </c>
      <c r="V56" s="11" t="str">
        <f aca="false">IF($A56="","",IFERROR((LN($O56/$E56)+(OPT_RF+OPT_VOL^2/2)*$T56)/(OPT_VOL*SQRT($T56)),""))</f>
        <v/>
      </c>
      <c r="W56" s="11" t="str">
        <f aca="false">IF($A56="","",IFERROR($V56-OPT_VOL*SQRT($T56),""))</f>
        <v/>
      </c>
      <c r="X56" s="11" t="str">
        <f aca="false">IF($A56="","",IFERROR(IF($C56="Call",NORMSDIST($V56),NORMSDIST($V56)-1),""))</f>
        <v/>
      </c>
      <c r="Y56" s="8" t="str">
        <f aca="false">IF($A56="","",IFERROR(IF($C56="Call",$O56*NORMSDIST($V56)-$E56*EXP(-OPT_RF*$T56)*NORMSDIST($W56),$E56*EXP(-OPT_RF*$T56)*NORMSDIST(-$W56)-$O56*NORMSDIST(-$V56)),""))</f>
        <v/>
      </c>
      <c r="Z56" s="11" t="str">
        <f aca="false">IF($A56="","",IFERROR($I56/$Y56,""))</f>
        <v/>
      </c>
      <c r="AA56" s="13" t="str">
        <f aca="false">IF($A56="","",IFERROR($O56*ABS($X56)/$I56,""))</f>
        <v/>
      </c>
      <c r="AB56" s="13" t="str">
        <f aca="false">IF($A56="","",IFERROR(INDEX(Underlying!$D$1:$D$5000,MATCH($D56,Underlying!$A$1:$A$5000,0)),0))</f>
        <v/>
      </c>
      <c r="AC56" s="7" t="str">
        <f aca="false">IF($A56="","",IF(AND($J56&gt;=OPT_MIN_VOL,$G56&gt;=OPT_MIN_DTE),"بله","خیر"))</f>
        <v/>
      </c>
      <c r="AD56" s="13" t="str">
        <f aca="false">IF($A56="","",IF($AC56="خیر",0,IFERROR(MAX(-10,MIN(10,IF($C56="Call",$AB56,-$AB56)*0.6+IF($Z56&lt;0.85,2,IF($Z56&gt;1.25,-2,0))+IF($Q56="ATM",1,IF($Q56="ITM",0.5,-1))+IF($G56&gt;=30,0.5,-0.5))),0)))</f>
        <v/>
      </c>
      <c r="AE56" s="7" t="str">
        <f aca="false">IF($A56="","",IF($AC56="خیر","بدون سیگنال (نقدشوندگی/سررسید)",IF($AD56&gt;=TH_SBUY,"خرید قوی "&amp;$C56,IF($AD56&gt;=TH_BUY,"خرید "&amp;$C56,IF($AD56&lt;=TH_SSELL,"اجتناب / بستن موقعیت",IF($AD56&lt;=TH_SELL,"ضعیف","بی‌طرف"))))))</f>
        <v/>
      </c>
      <c r="AF56" s="14" t="str">
        <f aca="false">IF($A56="","","سهم پایه: "&amp;IFERROR(TEXT($AB56,"0.0"),"—")&amp;" | وضعیت: "&amp;$Q56&amp;" | نوسان ضمنی: "&amp;IFERROR(TEXT($U56,"0%"),"—")&amp;" | بازار÷نظری: "&amp;IFERROR(TEXT($Z56,"0.00"),"—")&amp;" | اهرم: "&amp;IFERROR(TEXT($AA56,"0.0"),"—")&amp;"x"&amp;" | "&amp;$G56&amp;" روز تا سررسید")</f>
        <v/>
      </c>
    </row>
    <row r="57" customFormat="false" ht="15" hidden="false" customHeight="false" outlineLevel="0" collapsed="false">
      <c r="A57" s="5"/>
      <c r="B57" s="6"/>
      <c r="C57" s="7"/>
      <c r="D57" s="7"/>
      <c r="E57" s="8"/>
      <c r="F57" s="9"/>
      <c r="G57" s="10"/>
      <c r="H57" s="8"/>
      <c r="I57" s="8"/>
      <c r="J57" s="8"/>
      <c r="K57" s="8"/>
      <c r="L57" s="8"/>
      <c r="M57" s="8"/>
      <c r="N57" s="8"/>
      <c r="O57" s="8" t="str">
        <f aca="false">IF($A57="","",IFERROR(INDEX(Underlying!$B$1:$B$5000,MATCH($D57,Underlying!$A$1:$A$5000,0)),""))</f>
        <v/>
      </c>
      <c r="P57" s="11" t="str">
        <f aca="false">IF($A57="","",IFERROR($O57/$E57,""))</f>
        <v/>
      </c>
      <c r="Q57" s="7" t="str">
        <f aca="false">IF($A57="","",IF($P57="","",IF($C57="Call",IF($P57&gt;1+OPT_ATM_BAND,"ITM",IF($P57&lt;1-OPT_ATM_BAND,"OTM","ATM")),IF($P57&lt;1-OPT_ATM_BAND,"ITM",IF($P57&gt;1+OPT_ATM_BAND,"OTM","ATM")))))</f>
        <v/>
      </c>
      <c r="R57" s="8" t="str">
        <f aca="false">IF($A57="","",IFERROR(IF($C57="Call",MAX(0,$O57-$E57),MAX(0,$E57-$O57)),""))</f>
        <v/>
      </c>
      <c r="S57" s="8" t="str">
        <f aca="false">IF($A57="","",IFERROR(MAX(0,$I57-$R57),""))</f>
        <v/>
      </c>
      <c r="T57" s="11" t="str">
        <f aca="false">IF($A57="","",IFERROR($G57/365,""))</f>
        <v/>
      </c>
      <c r="U57" s="12" t="str">
        <f aca="false">IF($A57="","",IF(OR($P57="",ABS($P57-1)&gt;3*OPT_ATM_BAND),"",IFERROR($I57/$O57*SQRT(2*PI()/$T57),"")))</f>
        <v/>
      </c>
      <c r="V57" s="11" t="str">
        <f aca="false">IF($A57="","",IFERROR((LN($O57/$E57)+(OPT_RF+OPT_VOL^2/2)*$T57)/(OPT_VOL*SQRT($T57)),""))</f>
        <v/>
      </c>
      <c r="W57" s="11" t="str">
        <f aca="false">IF($A57="","",IFERROR($V57-OPT_VOL*SQRT($T57),""))</f>
        <v/>
      </c>
      <c r="X57" s="11" t="str">
        <f aca="false">IF($A57="","",IFERROR(IF($C57="Call",NORMSDIST($V57),NORMSDIST($V57)-1),""))</f>
        <v/>
      </c>
      <c r="Y57" s="8" t="str">
        <f aca="false">IF($A57="","",IFERROR(IF($C57="Call",$O57*NORMSDIST($V57)-$E57*EXP(-OPT_RF*$T57)*NORMSDIST($W57),$E57*EXP(-OPT_RF*$T57)*NORMSDIST(-$W57)-$O57*NORMSDIST(-$V57)),""))</f>
        <v/>
      </c>
      <c r="Z57" s="11" t="str">
        <f aca="false">IF($A57="","",IFERROR($I57/$Y57,""))</f>
        <v/>
      </c>
      <c r="AA57" s="13" t="str">
        <f aca="false">IF($A57="","",IFERROR($O57*ABS($X57)/$I57,""))</f>
        <v/>
      </c>
      <c r="AB57" s="13" t="str">
        <f aca="false">IF($A57="","",IFERROR(INDEX(Underlying!$D$1:$D$5000,MATCH($D57,Underlying!$A$1:$A$5000,0)),0))</f>
        <v/>
      </c>
      <c r="AC57" s="7" t="str">
        <f aca="false">IF($A57="","",IF(AND($J57&gt;=OPT_MIN_VOL,$G57&gt;=OPT_MIN_DTE),"بله","خیر"))</f>
        <v/>
      </c>
      <c r="AD57" s="13" t="str">
        <f aca="false">IF($A57="","",IF($AC57="خیر",0,IFERROR(MAX(-10,MIN(10,IF($C57="Call",$AB57,-$AB57)*0.6+IF($Z57&lt;0.85,2,IF($Z57&gt;1.25,-2,0))+IF($Q57="ATM",1,IF($Q57="ITM",0.5,-1))+IF($G57&gt;=30,0.5,-0.5))),0)))</f>
        <v/>
      </c>
      <c r="AE57" s="7" t="str">
        <f aca="false">IF($A57="","",IF($AC57="خیر","بدون سیگنال (نقدشوندگی/سررسید)",IF($AD57&gt;=TH_SBUY,"خرید قوی "&amp;$C57,IF($AD57&gt;=TH_BUY,"خرید "&amp;$C57,IF($AD57&lt;=TH_SSELL,"اجتناب / بستن موقعیت",IF($AD57&lt;=TH_SELL,"ضعیف","بی‌طرف"))))))</f>
        <v/>
      </c>
      <c r="AF57" s="14" t="str">
        <f aca="false">IF($A57="","","سهم پایه: "&amp;IFERROR(TEXT($AB57,"0.0"),"—")&amp;" | وضعیت: "&amp;$Q57&amp;" | نوسان ضمنی: "&amp;IFERROR(TEXT($U57,"0%"),"—")&amp;" | بازار÷نظری: "&amp;IFERROR(TEXT($Z57,"0.00"),"—")&amp;" | اهرم: "&amp;IFERROR(TEXT($AA57,"0.0"),"—")&amp;"x"&amp;" | "&amp;$G57&amp;" روز تا سررسید")</f>
        <v/>
      </c>
    </row>
    <row r="58" customFormat="false" ht="15" hidden="false" customHeight="false" outlineLevel="0" collapsed="false">
      <c r="A58" s="5"/>
      <c r="B58" s="6"/>
      <c r="C58" s="7"/>
      <c r="D58" s="7"/>
      <c r="E58" s="8"/>
      <c r="F58" s="9"/>
      <c r="G58" s="10"/>
      <c r="H58" s="8"/>
      <c r="I58" s="8"/>
      <c r="J58" s="8"/>
      <c r="K58" s="8"/>
      <c r="L58" s="8"/>
      <c r="M58" s="8"/>
      <c r="N58" s="8"/>
      <c r="O58" s="8" t="str">
        <f aca="false">IF($A58="","",IFERROR(INDEX(Underlying!$B$1:$B$5000,MATCH($D58,Underlying!$A$1:$A$5000,0)),""))</f>
        <v/>
      </c>
      <c r="P58" s="11" t="str">
        <f aca="false">IF($A58="","",IFERROR($O58/$E58,""))</f>
        <v/>
      </c>
      <c r="Q58" s="7" t="str">
        <f aca="false">IF($A58="","",IF($P58="","",IF($C58="Call",IF($P58&gt;1+OPT_ATM_BAND,"ITM",IF($P58&lt;1-OPT_ATM_BAND,"OTM","ATM")),IF($P58&lt;1-OPT_ATM_BAND,"ITM",IF($P58&gt;1+OPT_ATM_BAND,"OTM","ATM")))))</f>
        <v/>
      </c>
      <c r="R58" s="8" t="str">
        <f aca="false">IF($A58="","",IFERROR(IF($C58="Call",MAX(0,$O58-$E58),MAX(0,$E58-$O58)),""))</f>
        <v/>
      </c>
      <c r="S58" s="8" t="str">
        <f aca="false">IF($A58="","",IFERROR(MAX(0,$I58-$R58),""))</f>
        <v/>
      </c>
      <c r="T58" s="11" t="str">
        <f aca="false">IF($A58="","",IFERROR($G58/365,""))</f>
        <v/>
      </c>
      <c r="U58" s="12" t="str">
        <f aca="false">IF($A58="","",IF(OR($P58="",ABS($P58-1)&gt;3*OPT_ATM_BAND),"",IFERROR($I58/$O58*SQRT(2*PI()/$T58),"")))</f>
        <v/>
      </c>
      <c r="V58" s="11" t="str">
        <f aca="false">IF($A58="","",IFERROR((LN($O58/$E58)+(OPT_RF+OPT_VOL^2/2)*$T58)/(OPT_VOL*SQRT($T58)),""))</f>
        <v/>
      </c>
      <c r="W58" s="11" t="str">
        <f aca="false">IF($A58="","",IFERROR($V58-OPT_VOL*SQRT($T58),""))</f>
        <v/>
      </c>
      <c r="X58" s="11" t="str">
        <f aca="false">IF($A58="","",IFERROR(IF($C58="Call",NORMSDIST($V58),NORMSDIST($V58)-1),""))</f>
        <v/>
      </c>
      <c r="Y58" s="8" t="str">
        <f aca="false">IF($A58="","",IFERROR(IF($C58="Call",$O58*NORMSDIST($V58)-$E58*EXP(-OPT_RF*$T58)*NORMSDIST($W58),$E58*EXP(-OPT_RF*$T58)*NORMSDIST(-$W58)-$O58*NORMSDIST(-$V58)),""))</f>
        <v/>
      </c>
      <c r="Z58" s="11" t="str">
        <f aca="false">IF($A58="","",IFERROR($I58/$Y58,""))</f>
        <v/>
      </c>
      <c r="AA58" s="13" t="str">
        <f aca="false">IF($A58="","",IFERROR($O58*ABS($X58)/$I58,""))</f>
        <v/>
      </c>
      <c r="AB58" s="13" t="str">
        <f aca="false">IF($A58="","",IFERROR(INDEX(Underlying!$D$1:$D$5000,MATCH($D58,Underlying!$A$1:$A$5000,0)),0))</f>
        <v/>
      </c>
      <c r="AC58" s="7" t="str">
        <f aca="false">IF($A58="","",IF(AND($J58&gt;=OPT_MIN_VOL,$G58&gt;=OPT_MIN_DTE),"بله","خیر"))</f>
        <v/>
      </c>
      <c r="AD58" s="13" t="str">
        <f aca="false">IF($A58="","",IF($AC58="خیر",0,IFERROR(MAX(-10,MIN(10,IF($C58="Call",$AB58,-$AB58)*0.6+IF($Z58&lt;0.85,2,IF($Z58&gt;1.25,-2,0))+IF($Q58="ATM",1,IF($Q58="ITM",0.5,-1))+IF($G58&gt;=30,0.5,-0.5))),0)))</f>
        <v/>
      </c>
      <c r="AE58" s="7" t="str">
        <f aca="false">IF($A58="","",IF($AC58="خیر","بدون سیگنال (نقدشوندگی/سررسید)",IF($AD58&gt;=TH_SBUY,"خرید قوی "&amp;$C58,IF($AD58&gt;=TH_BUY,"خرید "&amp;$C58,IF($AD58&lt;=TH_SSELL,"اجتناب / بستن موقعیت",IF($AD58&lt;=TH_SELL,"ضعیف","بی‌طرف"))))))</f>
        <v/>
      </c>
      <c r="AF58" s="14" t="str">
        <f aca="false">IF($A58="","","سهم پایه: "&amp;IFERROR(TEXT($AB58,"0.0"),"—")&amp;" | وضعیت: "&amp;$Q58&amp;" | نوسان ضمنی: "&amp;IFERROR(TEXT($U58,"0%"),"—")&amp;" | بازار÷نظری: "&amp;IFERROR(TEXT($Z58,"0.00"),"—")&amp;" | اهرم: "&amp;IFERROR(TEXT($AA58,"0.0"),"—")&amp;"x"&amp;" | "&amp;$G58&amp;" روز تا سررسید")</f>
        <v/>
      </c>
    </row>
    <row r="59" customFormat="false" ht="15" hidden="false" customHeight="false" outlineLevel="0" collapsed="false">
      <c r="A59" s="5"/>
      <c r="B59" s="6"/>
      <c r="C59" s="7"/>
      <c r="D59" s="7"/>
      <c r="E59" s="8"/>
      <c r="F59" s="9"/>
      <c r="G59" s="10"/>
      <c r="H59" s="8"/>
      <c r="I59" s="8"/>
      <c r="J59" s="8"/>
      <c r="K59" s="8"/>
      <c r="L59" s="8"/>
      <c r="M59" s="8"/>
      <c r="N59" s="8"/>
      <c r="O59" s="8" t="str">
        <f aca="false">IF($A59="","",IFERROR(INDEX(Underlying!$B$1:$B$5000,MATCH($D59,Underlying!$A$1:$A$5000,0)),""))</f>
        <v/>
      </c>
      <c r="P59" s="11" t="str">
        <f aca="false">IF($A59="","",IFERROR($O59/$E59,""))</f>
        <v/>
      </c>
      <c r="Q59" s="7" t="str">
        <f aca="false">IF($A59="","",IF($P59="","",IF($C59="Call",IF($P59&gt;1+OPT_ATM_BAND,"ITM",IF($P59&lt;1-OPT_ATM_BAND,"OTM","ATM")),IF($P59&lt;1-OPT_ATM_BAND,"ITM",IF($P59&gt;1+OPT_ATM_BAND,"OTM","ATM")))))</f>
        <v/>
      </c>
      <c r="R59" s="8" t="str">
        <f aca="false">IF($A59="","",IFERROR(IF($C59="Call",MAX(0,$O59-$E59),MAX(0,$E59-$O59)),""))</f>
        <v/>
      </c>
      <c r="S59" s="8" t="str">
        <f aca="false">IF($A59="","",IFERROR(MAX(0,$I59-$R59),""))</f>
        <v/>
      </c>
      <c r="T59" s="11" t="str">
        <f aca="false">IF($A59="","",IFERROR($G59/365,""))</f>
        <v/>
      </c>
      <c r="U59" s="12" t="str">
        <f aca="false">IF($A59="","",IF(OR($P59="",ABS($P59-1)&gt;3*OPT_ATM_BAND),"",IFERROR($I59/$O59*SQRT(2*PI()/$T59),"")))</f>
        <v/>
      </c>
      <c r="V59" s="11" t="str">
        <f aca="false">IF($A59="","",IFERROR((LN($O59/$E59)+(OPT_RF+OPT_VOL^2/2)*$T59)/(OPT_VOL*SQRT($T59)),""))</f>
        <v/>
      </c>
      <c r="W59" s="11" t="str">
        <f aca="false">IF($A59="","",IFERROR($V59-OPT_VOL*SQRT($T59),""))</f>
        <v/>
      </c>
      <c r="X59" s="11" t="str">
        <f aca="false">IF($A59="","",IFERROR(IF($C59="Call",NORMSDIST($V59),NORMSDIST($V59)-1),""))</f>
        <v/>
      </c>
      <c r="Y59" s="8" t="str">
        <f aca="false">IF($A59="","",IFERROR(IF($C59="Call",$O59*NORMSDIST($V59)-$E59*EXP(-OPT_RF*$T59)*NORMSDIST($W59),$E59*EXP(-OPT_RF*$T59)*NORMSDIST(-$W59)-$O59*NORMSDIST(-$V59)),""))</f>
        <v/>
      </c>
      <c r="Z59" s="11" t="str">
        <f aca="false">IF($A59="","",IFERROR($I59/$Y59,""))</f>
        <v/>
      </c>
      <c r="AA59" s="13" t="str">
        <f aca="false">IF($A59="","",IFERROR($O59*ABS($X59)/$I59,""))</f>
        <v/>
      </c>
      <c r="AB59" s="13" t="str">
        <f aca="false">IF($A59="","",IFERROR(INDEX(Underlying!$D$1:$D$5000,MATCH($D59,Underlying!$A$1:$A$5000,0)),0))</f>
        <v/>
      </c>
      <c r="AC59" s="7" t="str">
        <f aca="false">IF($A59="","",IF(AND($J59&gt;=OPT_MIN_VOL,$G59&gt;=OPT_MIN_DTE),"بله","خیر"))</f>
        <v/>
      </c>
      <c r="AD59" s="13" t="str">
        <f aca="false">IF($A59="","",IF($AC59="خیر",0,IFERROR(MAX(-10,MIN(10,IF($C59="Call",$AB59,-$AB59)*0.6+IF($Z59&lt;0.85,2,IF($Z59&gt;1.25,-2,0))+IF($Q59="ATM",1,IF($Q59="ITM",0.5,-1))+IF($G59&gt;=30,0.5,-0.5))),0)))</f>
        <v/>
      </c>
      <c r="AE59" s="7" t="str">
        <f aca="false">IF($A59="","",IF($AC59="خیر","بدون سیگنال (نقدشوندگی/سررسید)",IF($AD59&gt;=TH_SBUY,"خرید قوی "&amp;$C59,IF($AD59&gt;=TH_BUY,"خرید "&amp;$C59,IF($AD59&lt;=TH_SSELL,"اجتناب / بستن موقعیت",IF($AD59&lt;=TH_SELL,"ضعیف","بی‌طرف"))))))</f>
        <v/>
      </c>
      <c r="AF59" s="14" t="str">
        <f aca="false">IF($A59="","","سهم پایه: "&amp;IFERROR(TEXT($AB59,"0.0"),"—")&amp;" | وضعیت: "&amp;$Q59&amp;" | نوسان ضمنی: "&amp;IFERROR(TEXT($U59,"0%"),"—")&amp;" | بازار÷نظری: "&amp;IFERROR(TEXT($Z59,"0.00"),"—")&amp;" | اهرم: "&amp;IFERROR(TEXT($AA59,"0.0"),"—")&amp;"x"&amp;" | "&amp;$G59&amp;" روز تا سررسید")</f>
        <v/>
      </c>
    </row>
    <row r="60" customFormat="false" ht="15" hidden="false" customHeight="false" outlineLevel="0" collapsed="false">
      <c r="A60" s="5"/>
      <c r="B60" s="6"/>
      <c r="C60" s="7"/>
      <c r="D60" s="7"/>
      <c r="E60" s="8"/>
      <c r="F60" s="9"/>
      <c r="G60" s="10"/>
      <c r="H60" s="8"/>
      <c r="I60" s="8"/>
      <c r="J60" s="8"/>
      <c r="K60" s="8"/>
      <c r="L60" s="8"/>
      <c r="M60" s="8"/>
      <c r="N60" s="8"/>
      <c r="O60" s="8" t="str">
        <f aca="false">IF($A60="","",IFERROR(INDEX(Underlying!$B$1:$B$5000,MATCH($D60,Underlying!$A$1:$A$5000,0)),""))</f>
        <v/>
      </c>
      <c r="P60" s="11" t="str">
        <f aca="false">IF($A60="","",IFERROR($O60/$E60,""))</f>
        <v/>
      </c>
      <c r="Q60" s="7" t="str">
        <f aca="false">IF($A60="","",IF($P60="","",IF($C60="Call",IF($P60&gt;1+OPT_ATM_BAND,"ITM",IF($P60&lt;1-OPT_ATM_BAND,"OTM","ATM")),IF($P60&lt;1-OPT_ATM_BAND,"ITM",IF($P60&gt;1+OPT_ATM_BAND,"OTM","ATM")))))</f>
        <v/>
      </c>
      <c r="R60" s="8" t="str">
        <f aca="false">IF($A60="","",IFERROR(IF($C60="Call",MAX(0,$O60-$E60),MAX(0,$E60-$O60)),""))</f>
        <v/>
      </c>
      <c r="S60" s="8" t="str">
        <f aca="false">IF($A60="","",IFERROR(MAX(0,$I60-$R60),""))</f>
        <v/>
      </c>
      <c r="T60" s="11" t="str">
        <f aca="false">IF($A60="","",IFERROR($G60/365,""))</f>
        <v/>
      </c>
      <c r="U60" s="12" t="str">
        <f aca="false">IF($A60="","",IF(OR($P60="",ABS($P60-1)&gt;3*OPT_ATM_BAND),"",IFERROR($I60/$O60*SQRT(2*PI()/$T60),"")))</f>
        <v/>
      </c>
      <c r="V60" s="11" t="str">
        <f aca="false">IF($A60="","",IFERROR((LN($O60/$E60)+(OPT_RF+OPT_VOL^2/2)*$T60)/(OPT_VOL*SQRT($T60)),""))</f>
        <v/>
      </c>
      <c r="W60" s="11" t="str">
        <f aca="false">IF($A60="","",IFERROR($V60-OPT_VOL*SQRT($T60),""))</f>
        <v/>
      </c>
      <c r="X60" s="11" t="str">
        <f aca="false">IF($A60="","",IFERROR(IF($C60="Call",NORMSDIST($V60),NORMSDIST($V60)-1),""))</f>
        <v/>
      </c>
      <c r="Y60" s="8" t="str">
        <f aca="false">IF($A60="","",IFERROR(IF($C60="Call",$O60*NORMSDIST($V60)-$E60*EXP(-OPT_RF*$T60)*NORMSDIST($W60),$E60*EXP(-OPT_RF*$T60)*NORMSDIST(-$W60)-$O60*NORMSDIST(-$V60)),""))</f>
        <v/>
      </c>
      <c r="Z60" s="11" t="str">
        <f aca="false">IF($A60="","",IFERROR($I60/$Y60,""))</f>
        <v/>
      </c>
      <c r="AA60" s="13" t="str">
        <f aca="false">IF($A60="","",IFERROR($O60*ABS($X60)/$I60,""))</f>
        <v/>
      </c>
      <c r="AB60" s="13" t="str">
        <f aca="false">IF($A60="","",IFERROR(INDEX(Underlying!$D$1:$D$5000,MATCH($D60,Underlying!$A$1:$A$5000,0)),0))</f>
        <v/>
      </c>
      <c r="AC60" s="7" t="str">
        <f aca="false">IF($A60="","",IF(AND($J60&gt;=OPT_MIN_VOL,$G60&gt;=OPT_MIN_DTE),"بله","خیر"))</f>
        <v/>
      </c>
      <c r="AD60" s="13" t="str">
        <f aca="false">IF($A60="","",IF($AC60="خیر",0,IFERROR(MAX(-10,MIN(10,IF($C60="Call",$AB60,-$AB60)*0.6+IF($Z60&lt;0.85,2,IF($Z60&gt;1.25,-2,0))+IF($Q60="ATM",1,IF($Q60="ITM",0.5,-1))+IF($G60&gt;=30,0.5,-0.5))),0)))</f>
        <v/>
      </c>
      <c r="AE60" s="7" t="str">
        <f aca="false">IF($A60="","",IF($AC60="خیر","بدون سیگنال (نقدشوندگی/سررسید)",IF($AD60&gt;=TH_SBUY,"خرید قوی "&amp;$C60,IF($AD60&gt;=TH_BUY,"خرید "&amp;$C60,IF($AD60&lt;=TH_SSELL,"اجتناب / بستن موقعیت",IF($AD60&lt;=TH_SELL,"ضعیف","بی‌طرف"))))))</f>
        <v/>
      </c>
      <c r="AF60" s="14" t="str">
        <f aca="false">IF($A60="","","سهم پایه: "&amp;IFERROR(TEXT($AB60,"0.0"),"—")&amp;" | وضعیت: "&amp;$Q60&amp;" | نوسان ضمنی: "&amp;IFERROR(TEXT($U60,"0%"),"—")&amp;" | بازار÷نظری: "&amp;IFERROR(TEXT($Z60,"0.00"),"—")&amp;" | اهرم: "&amp;IFERROR(TEXT($AA60,"0.0"),"—")&amp;"x"&amp;" | "&amp;$G60&amp;" روز تا سررسید")</f>
        <v/>
      </c>
    </row>
    <row r="61" customFormat="false" ht="15" hidden="false" customHeight="false" outlineLevel="0" collapsed="false">
      <c r="A61" s="5"/>
      <c r="B61" s="6"/>
      <c r="C61" s="7"/>
      <c r="D61" s="7"/>
      <c r="E61" s="8"/>
      <c r="F61" s="9"/>
      <c r="G61" s="10"/>
      <c r="H61" s="8"/>
      <c r="I61" s="8"/>
      <c r="J61" s="8"/>
      <c r="K61" s="8"/>
      <c r="L61" s="8"/>
      <c r="M61" s="8"/>
      <c r="N61" s="8"/>
      <c r="O61" s="8" t="str">
        <f aca="false">IF($A61="","",IFERROR(INDEX(Underlying!$B$1:$B$5000,MATCH($D61,Underlying!$A$1:$A$5000,0)),""))</f>
        <v/>
      </c>
      <c r="P61" s="11" t="str">
        <f aca="false">IF($A61="","",IFERROR($O61/$E61,""))</f>
        <v/>
      </c>
      <c r="Q61" s="7" t="str">
        <f aca="false">IF($A61="","",IF($P61="","",IF($C61="Call",IF($P61&gt;1+OPT_ATM_BAND,"ITM",IF($P61&lt;1-OPT_ATM_BAND,"OTM","ATM")),IF($P61&lt;1-OPT_ATM_BAND,"ITM",IF($P61&gt;1+OPT_ATM_BAND,"OTM","ATM")))))</f>
        <v/>
      </c>
      <c r="R61" s="8" t="str">
        <f aca="false">IF($A61="","",IFERROR(IF($C61="Call",MAX(0,$O61-$E61),MAX(0,$E61-$O61)),""))</f>
        <v/>
      </c>
      <c r="S61" s="8" t="str">
        <f aca="false">IF($A61="","",IFERROR(MAX(0,$I61-$R61),""))</f>
        <v/>
      </c>
      <c r="T61" s="11" t="str">
        <f aca="false">IF($A61="","",IFERROR($G61/365,""))</f>
        <v/>
      </c>
      <c r="U61" s="12" t="str">
        <f aca="false">IF($A61="","",IF(OR($P61="",ABS($P61-1)&gt;3*OPT_ATM_BAND),"",IFERROR($I61/$O61*SQRT(2*PI()/$T61),"")))</f>
        <v/>
      </c>
      <c r="V61" s="11" t="str">
        <f aca="false">IF($A61="","",IFERROR((LN($O61/$E61)+(OPT_RF+OPT_VOL^2/2)*$T61)/(OPT_VOL*SQRT($T61)),""))</f>
        <v/>
      </c>
      <c r="W61" s="11" t="str">
        <f aca="false">IF($A61="","",IFERROR($V61-OPT_VOL*SQRT($T61),""))</f>
        <v/>
      </c>
      <c r="X61" s="11" t="str">
        <f aca="false">IF($A61="","",IFERROR(IF($C61="Call",NORMSDIST($V61),NORMSDIST($V61)-1),""))</f>
        <v/>
      </c>
      <c r="Y61" s="8" t="str">
        <f aca="false">IF($A61="","",IFERROR(IF($C61="Call",$O61*NORMSDIST($V61)-$E61*EXP(-OPT_RF*$T61)*NORMSDIST($W61),$E61*EXP(-OPT_RF*$T61)*NORMSDIST(-$W61)-$O61*NORMSDIST(-$V61)),""))</f>
        <v/>
      </c>
      <c r="Z61" s="11" t="str">
        <f aca="false">IF($A61="","",IFERROR($I61/$Y61,""))</f>
        <v/>
      </c>
      <c r="AA61" s="13" t="str">
        <f aca="false">IF($A61="","",IFERROR($O61*ABS($X61)/$I61,""))</f>
        <v/>
      </c>
      <c r="AB61" s="13" t="str">
        <f aca="false">IF($A61="","",IFERROR(INDEX(Underlying!$D$1:$D$5000,MATCH($D61,Underlying!$A$1:$A$5000,0)),0))</f>
        <v/>
      </c>
      <c r="AC61" s="7" t="str">
        <f aca="false">IF($A61="","",IF(AND($J61&gt;=OPT_MIN_VOL,$G61&gt;=OPT_MIN_DTE),"بله","خیر"))</f>
        <v/>
      </c>
      <c r="AD61" s="13" t="str">
        <f aca="false">IF($A61="","",IF($AC61="خیر",0,IFERROR(MAX(-10,MIN(10,IF($C61="Call",$AB61,-$AB61)*0.6+IF($Z61&lt;0.85,2,IF($Z61&gt;1.25,-2,0))+IF($Q61="ATM",1,IF($Q61="ITM",0.5,-1))+IF($G61&gt;=30,0.5,-0.5))),0)))</f>
        <v/>
      </c>
      <c r="AE61" s="7" t="str">
        <f aca="false">IF($A61="","",IF($AC61="خیر","بدون سیگنال (نقدشوندگی/سررسید)",IF($AD61&gt;=TH_SBUY,"خرید قوی "&amp;$C61,IF($AD61&gt;=TH_BUY,"خرید "&amp;$C61,IF($AD61&lt;=TH_SSELL,"اجتناب / بستن موقعیت",IF($AD61&lt;=TH_SELL,"ضعیف","بی‌طرف"))))))</f>
        <v/>
      </c>
      <c r="AF61" s="14" t="str">
        <f aca="false">IF($A61="","","سهم پایه: "&amp;IFERROR(TEXT($AB61,"0.0"),"—")&amp;" | وضعیت: "&amp;$Q61&amp;" | نوسان ضمنی: "&amp;IFERROR(TEXT($U61,"0%"),"—")&amp;" | بازار÷نظری: "&amp;IFERROR(TEXT($Z61,"0.00"),"—")&amp;" | اهرم: "&amp;IFERROR(TEXT($AA61,"0.0"),"—")&amp;"x"&amp;" | "&amp;$G61&amp;" روز تا سررسید")</f>
        <v/>
      </c>
    </row>
    <row r="62" customFormat="false" ht="15" hidden="false" customHeight="false" outlineLevel="0" collapsed="false">
      <c r="A62" s="5"/>
      <c r="B62" s="6"/>
      <c r="C62" s="7"/>
      <c r="D62" s="7"/>
      <c r="E62" s="8"/>
      <c r="F62" s="9"/>
      <c r="G62" s="10"/>
      <c r="H62" s="8"/>
      <c r="I62" s="8"/>
      <c r="J62" s="8"/>
      <c r="K62" s="8"/>
      <c r="L62" s="8"/>
      <c r="M62" s="8"/>
      <c r="N62" s="8"/>
      <c r="O62" s="8" t="str">
        <f aca="false">IF($A62="","",IFERROR(INDEX(Underlying!$B$1:$B$5000,MATCH($D62,Underlying!$A$1:$A$5000,0)),""))</f>
        <v/>
      </c>
      <c r="P62" s="11" t="str">
        <f aca="false">IF($A62="","",IFERROR($O62/$E62,""))</f>
        <v/>
      </c>
      <c r="Q62" s="7" t="str">
        <f aca="false">IF($A62="","",IF($P62="","",IF($C62="Call",IF($P62&gt;1+OPT_ATM_BAND,"ITM",IF($P62&lt;1-OPT_ATM_BAND,"OTM","ATM")),IF($P62&lt;1-OPT_ATM_BAND,"ITM",IF($P62&gt;1+OPT_ATM_BAND,"OTM","ATM")))))</f>
        <v/>
      </c>
      <c r="R62" s="8" t="str">
        <f aca="false">IF($A62="","",IFERROR(IF($C62="Call",MAX(0,$O62-$E62),MAX(0,$E62-$O62)),""))</f>
        <v/>
      </c>
      <c r="S62" s="8" t="str">
        <f aca="false">IF($A62="","",IFERROR(MAX(0,$I62-$R62),""))</f>
        <v/>
      </c>
      <c r="T62" s="11" t="str">
        <f aca="false">IF($A62="","",IFERROR($G62/365,""))</f>
        <v/>
      </c>
      <c r="U62" s="12" t="str">
        <f aca="false">IF($A62="","",IF(OR($P62="",ABS($P62-1)&gt;3*OPT_ATM_BAND),"",IFERROR($I62/$O62*SQRT(2*PI()/$T62),"")))</f>
        <v/>
      </c>
      <c r="V62" s="11" t="str">
        <f aca="false">IF($A62="","",IFERROR((LN($O62/$E62)+(OPT_RF+OPT_VOL^2/2)*$T62)/(OPT_VOL*SQRT($T62)),""))</f>
        <v/>
      </c>
      <c r="W62" s="11" t="str">
        <f aca="false">IF($A62="","",IFERROR($V62-OPT_VOL*SQRT($T62),""))</f>
        <v/>
      </c>
      <c r="X62" s="11" t="str">
        <f aca="false">IF($A62="","",IFERROR(IF($C62="Call",NORMSDIST($V62),NORMSDIST($V62)-1),""))</f>
        <v/>
      </c>
      <c r="Y62" s="8" t="str">
        <f aca="false">IF($A62="","",IFERROR(IF($C62="Call",$O62*NORMSDIST($V62)-$E62*EXP(-OPT_RF*$T62)*NORMSDIST($W62),$E62*EXP(-OPT_RF*$T62)*NORMSDIST(-$W62)-$O62*NORMSDIST(-$V62)),""))</f>
        <v/>
      </c>
      <c r="Z62" s="11" t="str">
        <f aca="false">IF($A62="","",IFERROR($I62/$Y62,""))</f>
        <v/>
      </c>
      <c r="AA62" s="13" t="str">
        <f aca="false">IF($A62="","",IFERROR($O62*ABS($X62)/$I62,""))</f>
        <v/>
      </c>
      <c r="AB62" s="13" t="str">
        <f aca="false">IF($A62="","",IFERROR(INDEX(Underlying!$D$1:$D$5000,MATCH($D62,Underlying!$A$1:$A$5000,0)),0))</f>
        <v/>
      </c>
      <c r="AC62" s="7" t="str">
        <f aca="false">IF($A62="","",IF(AND($J62&gt;=OPT_MIN_VOL,$G62&gt;=OPT_MIN_DTE),"بله","خیر"))</f>
        <v/>
      </c>
      <c r="AD62" s="13" t="str">
        <f aca="false">IF($A62="","",IF($AC62="خیر",0,IFERROR(MAX(-10,MIN(10,IF($C62="Call",$AB62,-$AB62)*0.6+IF($Z62&lt;0.85,2,IF($Z62&gt;1.25,-2,0))+IF($Q62="ATM",1,IF($Q62="ITM",0.5,-1))+IF($G62&gt;=30,0.5,-0.5))),0)))</f>
        <v/>
      </c>
      <c r="AE62" s="7" t="str">
        <f aca="false">IF($A62="","",IF($AC62="خیر","بدون سیگنال (نقدشوندگی/سررسید)",IF($AD62&gt;=TH_SBUY,"خرید قوی "&amp;$C62,IF($AD62&gt;=TH_BUY,"خرید "&amp;$C62,IF($AD62&lt;=TH_SSELL,"اجتناب / بستن موقعیت",IF($AD62&lt;=TH_SELL,"ضعیف","بی‌طرف"))))))</f>
        <v/>
      </c>
      <c r="AF62" s="14" t="str">
        <f aca="false">IF($A62="","","سهم پایه: "&amp;IFERROR(TEXT($AB62,"0.0"),"—")&amp;" | وضعیت: "&amp;$Q62&amp;" | نوسان ضمنی: "&amp;IFERROR(TEXT($U62,"0%"),"—")&amp;" | بازار÷نظری: "&amp;IFERROR(TEXT($Z62,"0.00"),"—")&amp;" | اهرم: "&amp;IFERROR(TEXT($AA62,"0.0"),"—")&amp;"x"&amp;" | "&amp;$G62&amp;" روز تا سررسید")</f>
        <v/>
      </c>
    </row>
    <row r="63" customFormat="false" ht="15" hidden="false" customHeight="false" outlineLevel="0" collapsed="false">
      <c r="A63" s="5"/>
      <c r="B63" s="6"/>
      <c r="C63" s="7"/>
      <c r="D63" s="7"/>
      <c r="E63" s="8"/>
      <c r="F63" s="9"/>
      <c r="G63" s="10"/>
      <c r="H63" s="8"/>
      <c r="I63" s="8"/>
      <c r="J63" s="8"/>
      <c r="K63" s="8"/>
      <c r="L63" s="8"/>
      <c r="M63" s="8"/>
      <c r="N63" s="8"/>
      <c r="O63" s="8" t="str">
        <f aca="false">IF($A63="","",IFERROR(INDEX(Underlying!$B$1:$B$5000,MATCH($D63,Underlying!$A$1:$A$5000,0)),""))</f>
        <v/>
      </c>
      <c r="P63" s="11" t="str">
        <f aca="false">IF($A63="","",IFERROR($O63/$E63,""))</f>
        <v/>
      </c>
      <c r="Q63" s="7" t="str">
        <f aca="false">IF($A63="","",IF($P63="","",IF($C63="Call",IF($P63&gt;1+OPT_ATM_BAND,"ITM",IF($P63&lt;1-OPT_ATM_BAND,"OTM","ATM")),IF($P63&lt;1-OPT_ATM_BAND,"ITM",IF($P63&gt;1+OPT_ATM_BAND,"OTM","ATM")))))</f>
        <v/>
      </c>
      <c r="R63" s="8" t="str">
        <f aca="false">IF($A63="","",IFERROR(IF($C63="Call",MAX(0,$O63-$E63),MAX(0,$E63-$O63)),""))</f>
        <v/>
      </c>
      <c r="S63" s="8" t="str">
        <f aca="false">IF($A63="","",IFERROR(MAX(0,$I63-$R63),""))</f>
        <v/>
      </c>
      <c r="T63" s="11" t="str">
        <f aca="false">IF($A63="","",IFERROR($G63/365,""))</f>
        <v/>
      </c>
      <c r="U63" s="12" t="str">
        <f aca="false">IF($A63="","",IF(OR($P63="",ABS($P63-1)&gt;3*OPT_ATM_BAND),"",IFERROR($I63/$O63*SQRT(2*PI()/$T63),"")))</f>
        <v/>
      </c>
      <c r="V63" s="11" t="str">
        <f aca="false">IF($A63="","",IFERROR((LN($O63/$E63)+(OPT_RF+OPT_VOL^2/2)*$T63)/(OPT_VOL*SQRT($T63)),""))</f>
        <v/>
      </c>
      <c r="W63" s="11" t="str">
        <f aca="false">IF($A63="","",IFERROR($V63-OPT_VOL*SQRT($T63),""))</f>
        <v/>
      </c>
      <c r="X63" s="11" t="str">
        <f aca="false">IF($A63="","",IFERROR(IF($C63="Call",NORMSDIST($V63),NORMSDIST($V63)-1),""))</f>
        <v/>
      </c>
      <c r="Y63" s="8" t="str">
        <f aca="false">IF($A63="","",IFERROR(IF($C63="Call",$O63*NORMSDIST($V63)-$E63*EXP(-OPT_RF*$T63)*NORMSDIST($W63),$E63*EXP(-OPT_RF*$T63)*NORMSDIST(-$W63)-$O63*NORMSDIST(-$V63)),""))</f>
        <v/>
      </c>
      <c r="Z63" s="11" t="str">
        <f aca="false">IF($A63="","",IFERROR($I63/$Y63,""))</f>
        <v/>
      </c>
      <c r="AA63" s="13" t="str">
        <f aca="false">IF($A63="","",IFERROR($O63*ABS($X63)/$I63,""))</f>
        <v/>
      </c>
      <c r="AB63" s="13" t="str">
        <f aca="false">IF($A63="","",IFERROR(INDEX(Underlying!$D$1:$D$5000,MATCH($D63,Underlying!$A$1:$A$5000,0)),0))</f>
        <v/>
      </c>
      <c r="AC63" s="7" t="str">
        <f aca="false">IF($A63="","",IF(AND($J63&gt;=OPT_MIN_VOL,$G63&gt;=OPT_MIN_DTE),"بله","خیر"))</f>
        <v/>
      </c>
      <c r="AD63" s="13" t="str">
        <f aca="false">IF($A63="","",IF($AC63="خیر",0,IFERROR(MAX(-10,MIN(10,IF($C63="Call",$AB63,-$AB63)*0.6+IF($Z63&lt;0.85,2,IF($Z63&gt;1.25,-2,0))+IF($Q63="ATM",1,IF($Q63="ITM",0.5,-1))+IF($G63&gt;=30,0.5,-0.5))),0)))</f>
        <v/>
      </c>
      <c r="AE63" s="7" t="str">
        <f aca="false">IF($A63="","",IF($AC63="خیر","بدون سیگنال (نقدشوندگی/سررسید)",IF($AD63&gt;=TH_SBUY,"خرید قوی "&amp;$C63,IF($AD63&gt;=TH_BUY,"خرید "&amp;$C63,IF($AD63&lt;=TH_SSELL,"اجتناب / بستن موقعیت",IF($AD63&lt;=TH_SELL,"ضعیف","بی‌طرف"))))))</f>
        <v/>
      </c>
      <c r="AF63" s="14" t="str">
        <f aca="false">IF($A63="","","سهم پایه: "&amp;IFERROR(TEXT($AB63,"0.0"),"—")&amp;" | وضعیت: "&amp;$Q63&amp;" | نوسان ضمنی: "&amp;IFERROR(TEXT($U63,"0%"),"—")&amp;" | بازار÷نظری: "&amp;IFERROR(TEXT($Z63,"0.00"),"—")&amp;" | اهرم: "&amp;IFERROR(TEXT($AA63,"0.0"),"—")&amp;"x"&amp;" | "&amp;$G63&amp;" روز تا سررسید")</f>
        <v/>
      </c>
    </row>
    <row r="64" customFormat="false" ht="15" hidden="false" customHeight="false" outlineLevel="0" collapsed="false">
      <c r="A64" s="5"/>
      <c r="B64" s="6"/>
      <c r="C64" s="7"/>
      <c r="D64" s="7"/>
      <c r="E64" s="8"/>
      <c r="F64" s="9"/>
      <c r="G64" s="10"/>
      <c r="H64" s="8"/>
      <c r="I64" s="8"/>
      <c r="J64" s="8"/>
      <c r="K64" s="8"/>
      <c r="L64" s="8"/>
      <c r="M64" s="8"/>
      <c r="N64" s="8"/>
      <c r="O64" s="8" t="str">
        <f aca="false">IF($A64="","",IFERROR(INDEX(Underlying!$B$1:$B$5000,MATCH($D64,Underlying!$A$1:$A$5000,0)),""))</f>
        <v/>
      </c>
      <c r="P64" s="11" t="str">
        <f aca="false">IF($A64="","",IFERROR($O64/$E64,""))</f>
        <v/>
      </c>
      <c r="Q64" s="7" t="str">
        <f aca="false">IF($A64="","",IF($P64="","",IF($C64="Call",IF($P64&gt;1+OPT_ATM_BAND,"ITM",IF($P64&lt;1-OPT_ATM_BAND,"OTM","ATM")),IF($P64&lt;1-OPT_ATM_BAND,"ITM",IF($P64&gt;1+OPT_ATM_BAND,"OTM","ATM")))))</f>
        <v/>
      </c>
      <c r="R64" s="8" t="str">
        <f aca="false">IF($A64="","",IFERROR(IF($C64="Call",MAX(0,$O64-$E64),MAX(0,$E64-$O64)),""))</f>
        <v/>
      </c>
      <c r="S64" s="8" t="str">
        <f aca="false">IF($A64="","",IFERROR(MAX(0,$I64-$R64),""))</f>
        <v/>
      </c>
      <c r="T64" s="11" t="str">
        <f aca="false">IF($A64="","",IFERROR($G64/365,""))</f>
        <v/>
      </c>
      <c r="U64" s="12" t="str">
        <f aca="false">IF($A64="","",IF(OR($P64="",ABS($P64-1)&gt;3*OPT_ATM_BAND),"",IFERROR($I64/$O64*SQRT(2*PI()/$T64),"")))</f>
        <v/>
      </c>
      <c r="V64" s="11" t="str">
        <f aca="false">IF($A64="","",IFERROR((LN($O64/$E64)+(OPT_RF+OPT_VOL^2/2)*$T64)/(OPT_VOL*SQRT($T64)),""))</f>
        <v/>
      </c>
      <c r="W64" s="11" t="str">
        <f aca="false">IF($A64="","",IFERROR($V64-OPT_VOL*SQRT($T64),""))</f>
        <v/>
      </c>
      <c r="X64" s="11" t="str">
        <f aca="false">IF($A64="","",IFERROR(IF($C64="Call",NORMSDIST($V64),NORMSDIST($V64)-1),""))</f>
        <v/>
      </c>
      <c r="Y64" s="8" t="str">
        <f aca="false">IF($A64="","",IFERROR(IF($C64="Call",$O64*NORMSDIST($V64)-$E64*EXP(-OPT_RF*$T64)*NORMSDIST($W64),$E64*EXP(-OPT_RF*$T64)*NORMSDIST(-$W64)-$O64*NORMSDIST(-$V64)),""))</f>
        <v/>
      </c>
      <c r="Z64" s="11" t="str">
        <f aca="false">IF($A64="","",IFERROR($I64/$Y64,""))</f>
        <v/>
      </c>
      <c r="AA64" s="13" t="str">
        <f aca="false">IF($A64="","",IFERROR($O64*ABS($X64)/$I64,""))</f>
        <v/>
      </c>
      <c r="AB64" s="13" t="str">
        <f aca="false">IF($A64="","",IFERROR(INDEX(Underlying!$D$1:$D$5000,MATCH($D64,Underlying!$A$1:$A$5000,0)),0))</f>
        <v/>
      </c>
      <c r="AC64" s="7" t="str">
        <f aca="false">IF($A64="","",IF(AND($J64&gt;=OPT_MIN_VOL,$G64&gt;=OPT_MIN_DTE),"بله","خیر"))</f>
        <v/>
      </c>
      <c r="AD64" s="13" t="str">
        <f aca="false">IF($A64="","",IF($AC64="خیر",0,IFERROR(MAX(-10,MIN(10,IF($C64="Call",$AB64,-$AB64)*0.6+IF($Z64&lt;0.85,2,IF($Z64&gt;1.25,-2,0))+IF($Q64="ATM",1,IF($Q64="ITM",0.5,-1))+IF($G64&gt;=30,0.5,-0.5))),0)))</f>
        <v/>
      </c>
      <c r="AE64" s="7" t="str">
        <f aca="false">IF($A64="","",IF($AC64="خیر","بدون سیگنال (نقدشوندگی/سررسید)",IF($AD64&gt;=TH_SBUY,"خرید قوی "&amp;$C64,IF($AD64&gt;=TH_BUY,"خرید "&amp;$C64,IF($AD64&lt;=TH_SSELL,"اجتناب / بستن موقعیت",IF($AD64&lt;=TH_SELL,"ضعیف","بی‌طرف"))))))</f>
        <v/>
      </c>
      <c r="AF64" s="14" t="str">
        <f aca="false">IF($A64="","","سهم پایه: "&amp;IFERROR(TEXT($AB64,"0.0"),"—")&amp;" | وضعیت: "&amp;$Q64&amp;" | نوسان ضمنی: "&amp;IFERROR(TEXT($U64,"0%"),"—")&amp;" | بازار÷نظری: "&amp;IFERROR(TEXT($Z64,"0.00"),"—")&amp;" | اهرم: "&amp;IFERROR(TEXT($AA64,"0.0"),"—")&amp;"x"&amp;" | "&amp;$G64&amp;" روز تا سررسید")</f>
        <v/>
      </c>
    </row>
    <row r="65" customFormat="false" ht="15" hidden="false" customHeight="false" outlineLevel="0" collapsed="false">
      <c r="A65" s="5"/>
      <c r="B65" s="6"/>
      <c r="C65" s="7"/>
      <c r="D65" s="7"/>
      <c r="E65" s="8"/>
      <c r="F65" s="9"/>
      <c r="G65" s="10"/>
      <c r="H65" s="8"/>
      <c r="I65" s="8"/>
      <c r="J65" s="8"/>
      <c r="K65" s="8"/>
      <c r="L65" s="8"/>
      <c r="M65" s="8"/>
      <c r="N65" s="8"/>
      <c r="O65" s="8" t="str">
        <f aca="false">IF($A65="","",IFERROR(INDEX(Underlying!$B$1:$B$5000,MATCH($D65,Underlying!$A$1:$A$5000,0)),""))</f>
        <v/>
      </c>
      <c r="P65" s="11" t="str">
        <f aca="false">IF($A65="","",IFERROR($O65/$E65,""))</f>
        <v/>
      </c>
      <c r="Q65" s="7" t="str">
        <f aca="false">IF($A65="","",IF($P65="","",IF($C65="Call",IF($P65&gt;1+OPT_ATM_BAND,"ITM",IF($P65&lt;1-OPT_ATM_BAND,"OTM","ATM")),IF($P65&lt;1-OPT_ATM_BAND,"ITM",IF($P65&gt;1+OPT_ATM_BAND,"OTM","ATM")))))</f>
        <v/>
      </c>
      <c r="R65" s="8" t="str">
        <f aca="false">IF($A65="","",IFERROR(IF($C65="Call",MAX(0,$O65-$E65),MAX(0,$E65-$O65)),""))</f>
        <v/>
      </c>
      <c r="S65" s="8" t="str">
        <f aca="false">IF($A65="","",IFERROR(MAX(0,$I65-$R65),""))</f>
        <v/>
      </c>
      <c r="T65" s="11" t="str">
        <f aca="false">IF($A65="","",IFERROR($G65/365,""))</f>
        <v/>
      </c>
      <c r="U65" s="12" t="str">
        <f aca="false">IF($A65="","",IF(OR($P65="",ABS($P65-1)&gt;3*OPT_ATM_BAND),"",IFERROR($I65/$O65*SQRT(2*PI()/$T65),"")))</f>
        <v/>
      </c>
      <c r="V65" s="11" t="str">
        <f aca="false">IF($A65="","",IFERROR((LN($O65/$E65)+(OPT_RF+OPT_VOL^2/2)*$T65)/(OPT_VOL*SQRT($T65)),""))</f>
        <v/>
      </c>
      <c r="W65" s="11" t="str">
        <f aca="false">IF($A65="","",IFERROR($V65-OPT_VOL*SQRT($T65),""))</f>
        <v/>
      </c>
      <c r="X65" s="11" t="str">
        <f aca="false">IF($A65="","",IFERROR(IF($C65="Call",NORMSDIST($V65),NORMSDIST($V65)-1),""))</f>
        <v/>
      </c>
      <c r="Y65" s="8" t="str">
        <f aca="false">IF($A65="","",IFERROR(IF($C65="Call",$O65*NORMSDIST($V65)-$E65*EXP(-OPT_RF*$T65)*NORMSDIST($W65),$E65*EXP(-OPT_RF*$T65)*NORMSDIST(-$W65)-$O65*NORMSDIST(-$V65)),""))</f>
        <v/>
      </c>
      <c r="Z65" s="11" t="str">
        <f aca="false">IF($A65="","",IFERROR($I65/$Y65,""))</f>
        <v/>
      </c>
      <c r="AA65" s="13" t="str">
        <f aca="false">IF($A65="","",IFERROR($O65*ABS($X65)/$I65,""))</f>
        <v/>
      </c>
      <c r="AB65" s="13" t="str">
        <f aca="false">IF($A65="","",IFERROR(INDEX(Underlying!$D$1:$D$5000,MATCH($D65,Underlying!$A$1:$A$5000,0)),0))</f>
        <v/>
      </c>
      <c r="AC65" s="7" t="str">
        <f aca="false">IF($A65="","",IF(AND($J65&gt;=OPT_MIN_VOL,$G65&gt;=OPT_MIN_DTE),"بله","خیر"))</f>
        <v/>
      </c>
      <c r="AD65" s="13" t="str">
        <f aca="false">IF($A65="","",IF($AC65="خیر",0,IFERROR(MAX(-10,MIN(10,IF($C65="Call",$AB65,-$AB65)*0.6+IF($Z65&lt;0.85,2,IF($Z65&gt;1.25,-2,0))+IF($Q65="ATM",1,IF($Q65="ITM",0.5,-1))+IF($G65&gt;=30,0.5,-0.5))),0)))</f>
        <v/>
      </c>
      <c r="AE65" s="7" t="str">
        <f aca="false">IF($A65="","",IF($AC65="خیر","بدون سیگنال (نقدشوندگی/سررسید)",IF($AD65&gt;=TH_SBUY,"خرید قوی "&amp;$C65,IF($AD65&gt;=TH_BUY,"خرید "&amp;$C65,IF($AD65&lt;=TH_SSELL,"اجتناب / بستن موقعیت",IF($AD65&lt;=TH_SELL,"ضعیف","بی‌طرف"))))))</f>
        <v/>
      </c>
      <c r="AF65" s="14" t="str">
        <f aca="false">IF($A65="","","سهم پایه: "&amp;IFERROR(TEXT($AB65,"0.0"),"—")&amp;" | وضعیت: "&amp;$Q65&amp;" | نوسان ضمنی: "&amp;IFERROR(TEXT($U65,"0%"),"—")&amp;" | بازار÷نظری: "&amp;IFERROR(TEXT($Z65,"0.00"),"—")&amp;" | اهرم: "&amp;IFERROR(TEXT($AA65,"0.0"),"—")&amp;"x"&amp;" | "&amp;$G65&amp;" روز تا سررسید")</f>
        <v/>
      </c>
    </row>
    <row r="66" customFormat="false" ht="15" hidden="false" customHeight="false" outlineLevel="0" collapsed="false">
      <c r="A66" s="5"/>
      <c r="B66" s="6"/>
      <c r="C66" s="7"/>
      <c r="D66" s="7"/>
      <c r="E66" s="8"/>
      <c r="F66" s="9"/>
      <c r="G66" s="10"/>
      <c r="H66" s="8"/>
      <c r="I66" s="8"/>
      <c r="J66" s="8"/>
      <c r="K66" s="8"/>
      <c r="L66" s="8"/>
      <c r="M66" s="8"/>
      <c r="N66" s="8"/>
      <c r="O66" s="8" t="str">
        <f aca="false">IF($A66="","",IFERROR(INDEX(Underlying!$B$1:$B$5000,MATCH($D66,Underlying!$A$1:$A$5000,0)),""))</f>
        <v/>
      </c>
      <c r="P66" s="11" t="str">
        <f aca="false">IF($A66="","",IFERROR($O66/$E66,""))</f>
        <v/>
      </c>
      <c r="Q66" s="7" t="str">
        <f aca="false">IF($A66="","",IF($P66="","",IF($C66="Call",IF($P66&gt;1+OPT_ATM_BAND,"ITM",IF($P66&lt;1-OPT_ATM_BAND,"OTM","ATM")),IF($P66&lt;1-OPT_ATM_BAND,"ITM",IF($P66&gt;1+OPT_ATM_BAND,"OTM","ATM")))))</f>
        <v/>
      </c>
      <c r="R66" s="8" t="str">
        <f aca="false">IF($A66="","",IFERROR(IF($C66="Call",MAX(0,$O66-$E66),MAX(0,$E66-$O66)),""))</f>
        <v/>
      </c>
      <c r="S66" s="8" t="str">
        <f aca="false">IF($A66="","",IFERROR(MAX(0,$I66-$R66),""))</f>
        <v/>
      </c>
      <c r="T66" s="11" t="str">
        <f aca="false">IF($A66="","",IFERROR($G66/365,""))</f>
        <v/>
      </c>
      <c r="U66" s="12" t="str">
        <f aca="false">IF($A66="","",IF(OR($P66="",ABS($P66-1)&gt;3*OPT_ATM_BAND),"",IFERROR($I66/$O66*SQRT(2*PI()/$T66),"")))</f>
        <v/>
      </c>
      <c r="V66" s="11" t="str">
        <f aca="false">IF($A66="","",IFERROR((LN($O66/$E66)+(OPT_RF+OPT_VOL^2/2)*$T66)/(OPT_VOL*SQRT($T66)),""))</f>
        <v/>
      </c>
      <c r="W66" s="11" t="str">
        <f aca="false">IF($A66="","",IFERROR($V66-OPT_VOL*SQRT($T66),""))</f>
        <v/>
      </c>
      <c r="X66" s="11" t="str">
        <f aca="false">IF($A66="","",IFERROR(IF($C66="Call",NORMSDIST($V66),NORMSDIST($V66)-1),""))</f>
        <v/>
      </c>
      <c r="Y66" s="8" t="str">
        <f aca="false">IF($A66="","",IFERROR(IF($C66="Call",$O66*NORMSDIST($V66)-$E66*EXP(-OPT_RF*$T66)*NORMSDIST($W66),$E66*EXP(-OPT_RF*$T66)*NORMSDIST(-$W66)-$O66*NORMSDIST(-$V66)),""))</f>
        <v/>
      </c>
      <c r="Z66" s="11" t="str">
        <f aca="false">IF($A66="","",IFERROR($I66/$Y66,""))</f>
        <v/>
      </c>
      <c r="AA66" s="13" t="str">
        <f aca="false">IF($A66="","",IFERROR($O66*ABS($X66)/$I66,""))</f>
        <v/>
      </c>
      <c r="AB66" s="13" t="str">
        <f aca="false">IF($A66="","",IFERROR(INDEX(Underlying!$D$1:$D$5000,MATCH($D66,Underlying!$A$1:$A$5000,0)),0))</f>
        <v/>
      </c>
      <c r="AC66" s="7" t="str">
        <f aca="false">IF($A66="","",IF(AND($J66&gt;=OPT_MIN_VOL,$G66&gt;=OPT_MIN_DTE),"بله","خیر"))</f>
        <v/>
      </c>
      <c r="AD66" s="13" t="str">
        <f aca="false">IF($A66="","",IF($AC66="خیر",0,IFERROR(MAX(-10,MIN(10,IF($C66="Call",$AB66,-$AB66)*0.6+IF($Z66&lt;0.85,2,IF($Z66&gt;1.25,-2,0))+IF($Q66="ATM",1,IF($Q66="ITM",0.5,-1))+IF($G66&gt;=30,0.5,-0.5))),0)))</f>
        <v/>
      </c>
      <c r="AE66" s="7" t="str">
        <f aca="false">IF($A66="","",IF($AC66="خیر","بدون سیگنال (نقدشوندگی/سررسید)",IF($AD66&gt;=TH_SBUY,"خرید قوی "&amp;$C66,IF($AD66&gt;=TH_BUY,"خرید "&amp;$C66,IF($AD66&lt;=TH_SSELL,"اجتناب / بستن موقعیت",IF($AD66&lt;=TH_SELL,"ضعیف","بی‌طرف"))))))</f>
        <v/>
      </c>
      <c r="AF66" s="14" t="str">
        <f aca="false">IF($A66="","","سهم پایه: "&amp;IFERROR(TEXT($AB66,"0.0"),"—")&amp;" | وضعیت: "&amp;$Q66&amp;" | نوسان ضمنی: "&amp;IFERROR(TEXT($U66,"0%"),"—")&amp;" | بازار÷نظری: "&amp;IFERROR(TEXT($Z66,"0.00"),"—")&amp;" | اهرم: "&amp;IFERROR(TEXT($AA66,"0.0"),"—")&amp;"x"&amp;" | "&amp;$G66&amp;" روز تا سررسید")</f>
        <v/>
      </c>
    </row>
    <row r="67" customFormat="false" ht="15" hidden="false" customHeight="false" outlineLevel="0" collapsed="false">
      <c r="A67" s="5"/>
      <c r="B67" s="6"/>
      <c r="C67" s="7"/>
      <c r="D67" s="7"/>
      <c r="E67" s="8"/>
      <c r="F67" s="9"/>
      <c r="G67" s="10"/>
      <c r="H67" s="8"/>
      <c r="I67" s="8"/>
      <c r="J67" s="8"/>
      <c r="K67" s="8"/>
      <c r="L67" s="8"/>
      <c r="M67" s="8"/>
      <c r="N67" s="8"/>
      <c r="O67" s="8" t="str">
        <f aca="false">IF($A67="","",IFERROR(INDEX(Underlying!$B$1:$B$5000,MATCH($D67,Underlying!$A$1:$A$5000,0)),""))</f>
        <v/>
      </c>
      <c r="P67" s="11" t="str">
        <f aca="false">IF($A67="","",IFERROR($O67/$E67,""))</f>
        <v/>
      </c>
      <c r="Q67" s="7" t="str">
        <f aca="false">IF($A67="","",IF($P67="","",IF($C67="Call",IF($P67&gt;1+OPT_ATM_BAND,"ITM",IF($P67&lt;1-OPT_ATM_BAND,"OTM","ATM")),IF($P67&lt;1-OPT_ATM_BAND,"ITM",IF($P67&gt;1+OPT_ATM_BAND,"OTM","ATM")))))</f>
        <v/>
      </c>
      <c r="R67" s="8" t="str">
        <f aca="false">IF($A67="","",IFERROR(IF($C67="Call",MAX(0,$O67-$E67),MAX(0,$E67-$O67)),""))</f>
        <v/>
      </c>
      <c r="S67" s="8" t="str">
        <f aca="false">IF($A67="","",IFERROR(MAX(0,$I67-$R67),""))</f>
        <v/>
      </c>
      <c r="T67" s="11" t="str">
        <f aca="false">IF($A67="","",IFERROR($G67/365,""))</f>
        <v/>
      </c>
      <c r="U67" s="12" t="str">
        <f aca="false">IF($A67="","",IF(OR($P67="",ABS($P67-1)&gt;3*OPT_ATM_BAND),"",IFERROR($I67/$O67*SQRT(2*PI()/$T67),"")))</f>
        <v/>
      </c>
      <c r="V67" s="11" t="str">
        <f aca="false">IF($A67="","",IFERROR((LN($O67/$E67)+(OPT_RF+OPT_VOL^2/2)*$T67)/(OPT_VOL*SQRT($T67)),""))</f>
        <v/>
      </c>
      <c r="W67" s="11" t="str">
        <f aca="false">IF($A67="","",IFERROR($V67-OPT_VOL*SQRT($T67),""))</f>
        <v/>
      </c>
      <c r="X67" s="11" t="str">
        <f aca="false">IF($A67="","",IFERROR(IF($C67="Call",NORMSDIST($V67),NORMSDIST($V67)-1),""))</f>
        <v/>
      </c>
      <c r="Y67" s="8" t="str">
        <f aca="false">IF($A67="","",IFERROR(IF($C67="Call",$O67*NORMSDIST($V67)-$E67*EXP(-OPT_RF*$T67)*NORMSDIST($W67),$E67*EXP(-OPT_RF*$T67)*NORMSDIST(-$W67)-$O67*NORMSDIST(-$V67)),""))</f>
        <v/>
      </c>
      <c r="Z67" s="11" t="str">
        <f aca="false">IF($A67="","",IFERROR($I67/$Y67,""))</f>
        <v/>
      </c>
      <c r="AA67" s="13" t="str">
        <f aca="false">IF($A67="","",IFERROR($O67*ABS($X67)/$I67,""))</f>
        <v/>
      </c>
      <c r="AB67" s="13" t="str">
        <f aca="false">IF($A67="","",IFERROR(INDEX(Underlying!$D$1:$D$5000,MATCH($D67,Underlying!$A$1:$A$5000,0)),0))</f>
        <v/>
      </c>
      <c r="AC67" s="7" t="str">
        <f aca="false">IF($A67="","",IF(AND($J67&gt;=OPT_MIN_VOL,$G67&gt;=OPT_MIN_DTE),"بله","خیر"))</f>
        <v/>
      </c>
      <c r="AD67" s="13" t="str">
        <f aca="false">IF($A67="","",IF($AC67="خیر",0,IFERROR(MAX(-10,MIN(10,IF($C67="Call",$AB67,-$AB67)*0.6+IF($Z67&lt;0.85,2,IF($Z67&gt;1.25,-2,0))+IF($Q67="ATM",1,IF($Q67="ITM",0.5,-1))+IF($G67&gt;=30,0.5,-0.5))),0)))</f>
        <v/>
      </c>
      <c r="AE67" s="7" t="str">
        <f aca="false">IF($A67="","",IF($AC67="خیر","بدون سیگنال (نقدشوندگی/سررسید)",IF($AD67&gt;=TH_SBUY,"خرید قوی "&amp;$C67,IF($AD67&gt;=TH_BUY,"خرید "&amp;$C67,IF($AD67&lt;=TH_SSELL,"اجتناب / بستن موقعیت",IF($AD67&lt;=TH_SELL,"ضعیف","بی‌طرف"))))))</f>
        <v/>
      </c>
      <c r="AF67" s="14" t="str">
        <f aca="false">IF($A67="","","سهم پایه: "&amp;IFERROR(TEXT($AB67,"0.0"),"—")&amp;" | وضعیت: "&amp;$Q67&amp;" | نوسان ضمنی: "&amp;IFERROR(TEXT($U67,"0%"),"—")&amp;" | بازار÷نظری: "&amp;IFERROR(TEXT($Z67,"0.00"),"—")&amp;" | اهرم: "&amp;IFERROR(TEXT($AA67,"0.0"),"—")&amp;"x"&amp;" | "&amp;$G67&amp;" روز تا سررسید")</f>
        <v/>
      </c>
    </row>
    <row r="68" customFormat="false" ht="15" hidden="false" customHeight="false" outlineLevel="0" collapsed="false">
      <c r="A68" s="5"/>
      <c r="B68" s="6"/>
      <c r="C68" s="7"/>
      <c r="D68" s="7"/>
      <c r="E68" s="8"/>
      <c r="F68" s="9"/>
      <c r="G68" s="10"/>
      <c r="H68" s="8"/>
      <c r="I68" s="8"/>
      <c r="J68" s="8"/>
      <c r="K68" s="8"/>
      <c r="L68" s="8"/>
      <c r="M68" s="8"/>
      <c r="N68" s="8"/>
      <c r="O68" s="8" t="str">
        <f aca="false">IF($A68="","",IFERROR(INDEX(Underlying!$B$1:$B$5000,MATCH($D68,Underlying!$A$1:$A$5000,0)),""))</f>
        <v/>
      </c>
      <c r="P68" s="11" t="str">
        <f aca="false">IF($A68="","",IFERROR($O68/$E68,""))</f>
        <v/>
      </c>
      <c r="Q68" s="7" t="str">
        <f aca="false">IF($A68="","",IF($P68="","",IF($C68="Call",IF($P68&gt;1+OPT_ATM_BAND,"ITM",IF($P68&lt;1-OPT_ATM_BAND,"OTM","ATM")),IF($P68&lt;1-OPT_ATM_BAND,"ITM",IF($P68&gt;1+OPT_ATM_BAND,"OTM","ATM")))))</f>
        <v/>
      </c>
      <c r="R68" s="8" t="str">
        <f aca="false">IF($A68="","",IFERROR(IF($C68="Call",MAX(0,$O68-$E68),MAX(0,$E68-$O68)),""))</f>
        <v/>
      </c>
      <c r="S68" s="8" t="str">
        <f aca="false">IF($A68="","",IFERROR(MAX(0,$I68-$R68),""))</f>
        <v/>
      </c>
      <c r="T68" s="11" t="str">
        <f aca="false">IF($A68="","",IFERROR($G68/365,""))</f>
        <v/>
      </c>
      <c r="U68" s="12" t="str">
        <f aca="false">IF($A68="","",IF(OR($P68="",ABS($P68-1)&gt;3*OPT_ATM_BAND),"",IFERROR($I68/$O68*SQRT(2*PI()/$T68),"")))</f>
        <v/>
      </c>
      <c r="V68" s="11" t="str">
        <f aca="false">IF($A68="","",IFERROR((LN($O68/$E68)+(OPT_RF+OPT_VOL^2/2)*$T68)/(OPT_VOL*SQRT($T68)),""))</f>
        <v/>
      </c>
      <c r="W68" s="11" t="str">
        <f aca="false">IF($A68="","",IFERROR($V68-OPT_VOL*SQRT($T68),""))</f>
        <v/>
      </c>
      <c r="X68" s="11" t="str">
        <f aca="false">IF($A68="","",IFERROR(IF($C68="Call",NORMSDIST($V68),NORMSDIST($V68)-1),""))</f>
        <v/>
      </c>
      <c r="Y68" s="8" t="str">
        <f aca="false">IF($A68="","",IFERROR(IF($C68="Call",$O68*NORMSDIST($V68)-$E68*EXP(-OPT_RF*$T68)*NORMSDIST($W68),$E68*EXP(-OPT_RF*$T68)*NORMSDIST(-$W68)-$O68*NORMSDIST(-$V68)),""))</f>
        <v/>
      </c>
      <c r="Z68" s="11" t="str">
        <f aca="false">IF($A68="","",IFERROR($I68/$Y68,""))</f>
        <v/>
      </c>
      <c r="AA68" s="13" t="str">
        <f aca="false">IF($A68="","",IFERROR($O68*ABS($X68)/$I68,""))</f>
        <v/>
      </c>
      <c r="AB68" s="13" t="str">
        <f aca="false">IF($A68="","",IFERROR(INDEX(Underlying!$D$1:$D$5000,MATCH($D68,Underlying!$A$1:$A$5000,0)),0))</f>
        <v/>
      </c>
      <c r="AC68" s="7" t="str">
        <f aca="false">IF($A68="","",IF(AND($J68&gt;=OPT_MIN_VOL,$G68&gt;=OPT_MIN_DTE),"بله","خیر"))</f>
        <v/>
      </c>
      <c r="AD68" s="13" t="str">
        <f aca="false">IF($A68="","",IF($AC68="خیر",0,IFERROR(MAX(-10,MIN(10,IF($C68="Call",$AB68,-$AB68)*0.6+IF($Z68&lt;0.85,2,IF($Z68&gt;1.25,-2,0))+IF($Q68="ATM",1,IF($Q68="ITM",0.5,-1))+IF($G68&gt;=30,0.5,-0.5))),0)))</f>
        <v/>
      </c>
      <c r="AE68" s="7" t="str">
        <f aca="false">IF($A68="","",IF($AC68="خیر","بدون سیگنال (نقدشوندگی/سررسید)",IF($AD68&gt;=TH_SBUY,"خرید قوی "&amp;$C68,IF($AD68&gt;=TH_BUY,"خرید "&amp;$C68,IF($AD68&lt;=TH_SSELL,"اجتناب / بستن موقعیت",IF($AD68&lt;=TH_SELL,"ضعیف","بی‌طرف"))))))</f>
        <v/>
      </c>
      <c r="AF68" s="14" t="str">
        <f aca="false">IF($A68="","","سهم پایه: "&amp;IFERROR(TEXT($AB68,"0.0"),"—")&amp;" | وضعیت: "&amp;$Q68&amp;" | نوسان ضمنی: "&amp;IFERROR(TEXT($U68,"0%"),"—")&amp;" | بازار÷نظری: "&amp;IFERROR(TEXT($Z68,"0.00"),"—")&amp;" | اهرم: "&amp;IFERROR(TEXT($AA68,"0.0"),"—")&amp;"x"&amp;" | "&amp;$G68&amp;" روز تا سررسید")</f>
        <v/>
      </c>
    </row>
    <row r="69" customFormat="false" ht="15" hidden="false" customHeight="false" outlineLevel="0" collapsed="false">
      <c r="A69" s="5"/>
      <c r="B69" s="6"/>
      <c r="C69" s="7"/>
      <c r="D69" s="7"/>
      <c r="E69" s="8"/>
      <c r="F69" s="9"/>
      <c r="G69" s="10"/>
      <c r="H69" s="8"/>
      <c r="I69" s="8"/>
      <c r="J69" s="8"/>
      <c r="K69" s="8"/>
      <c r="L69" s="8"/>
      <c r="M69" s="8"/>
      <c r="N69" s="8"/>
      <c r="O69" s="8" t="str">
        <f aca="false">IF($A69="","",IFERROR(INDEX(Underlying!$B$1:$B$5000,MATCH($D69,Underlying!$A$1:$A$5000,0)),""))</f>
        <v/>
      </c>
      <c r="P69" s="11" t="str">
        <f aca="false">IF($A69="","",IFERROR($O69/$E69,""))</f>
        <v/>
      </c>
      <c r="Q69" s="7" t="str">
        <f aca="false">IF($A69="","",IF($P69="","",IF($C69="Call",IF($P69&gt;1+OPT_ATM_BAND,"ITM",IF($P69&lt;1-OPT_ATM_BAND,"OTM","ATM")),IF($P69&lt;1-OPT_ATM_BAND,"ITM",IF($P69&gt;1+OPT_ATM_BAND,"OTM","ATM")))))</f>
        <v/>
      </c>
      <c r="R69" s="8" t="str">
        <f aca="false">IF($A69="","",IFERROR(IF($C69="Call",MAX(0,$O69-$E69),MAX(0,$E69-$O69)),""))</f>
        <v/>
      </c>
      <c r="S69" s="8" t="str">
        <f aca="false">IF($A69="","",IFERROR(MAX(0,$I69-$R69),""))</f>
        <v/>
      </c>
      <c r="T69" s="11" t="str">
        <f aca="false">IF($A69="","",IFERROR($G69/365,""))</f>
        <v/>
      </c>
      <c r="U69" s="12" t="str">
        <f aca="false">IF($A69="","",IF(OR($P69="",ABS($P69-1)&gt;3*OPT_ATM_BAND),"",IFERROR($I69/$O69*SQRT(2*PI()/$T69),"")))</f>
        <v/>
      </c>
      <c r="V69" s="11" t="str">
        <f aca="false">IF($A69="","",IFERROR((LN($O69/$E69)+(OPT_RF+OPT_VOL^2/2)*$T69)/(OPT_VOL*SQRT($T69)),""))</f>
        <v/>
      </c>
      <c r="W69" s="11" t="str">
        <f aca="false">IF($A69="","",IFERROR($V69-OPT_VOL*SQRT($T69),""))</f>
        <v/>
      </c>
      <c r="X69" s="11" t="str">
        <f aca="false">IF($A69="","",IFERROR(IF($C69="Call",NORMSDIST($V69),NORMSDIST($V69)-1),""))</f>
        <v/>
      </c>
      <c r="Y69" s="8" t="str">
        <f aca="false">IF($A69="","",IFERROR(IF($C69="Call",$O69*NORMSDIST($V69)-$E69*EXP(-OPT_RF*$T69)*NORMSDIST($W69),$E69*EXP(-OPT_RF*$T69)*NORMSDIST(-$W69)-$O69*NORMSDIST(-$V69)),""))</f>
        <v/>
      </c>
      <c r="Z69" s="11" t="str">
        <f aca="false">IF($A69="","",IFERROR($I69/$Y69,""))</f>
        <v/>
      </c>
      <c r="AA69" s="13" t="str">
        <f aca="false">IF($A69="","",IFERROR($O69*ABS($X69)/$I69,""))</f>
        <v/>
      </c>
      <c r="AB69" s="13" t="str">
        <f aca="false">IF($A69="","",IFERROR(INDEX(Underlying!$D$1:$D$5000,MATCH($D69,Underlying!$A$1:$A$5000,0)),0))</f>
        <v/>
      </c>
      <c r="AC69" s="7" t="str">
        <f aca="false">IF($A69="","",IF(AND($J69&gt;=OPT_MIN_VOL,$G69&gt;=OPT_MIN_DTE),"بله","خیر"))</f>
        <v/>
      </c>
      <c r="AD69" s="13" t="str">
        <f aca="false">IF($A69="","",IF($AC69="خیر",0,IFERROR(MAX(-10,MIN(10,IF($C69="Call",$AB69,-$AB69)*0.6+IF($Z69&lt;0.85,2,IF($Z69&gt;1.25,-2,0))+IF($Q69="ATM",1,IF($Q69="ITM",0.5,-1))+IF($G69&gt;=30,0.5,-0.5))),0)))</f>
        <v/>
      </c>
      <c r="AE69" s="7" t="str">
        <f aca="false">IF($A69="","",IF($AC69="خیر","بدون سیگنال (نقدشوندگی/سررسید)",IF($AD69&gt;=TH_SBUY,"خرید قوی "&amp;$C69,IF($AD69&gt;=TH_BUY,"خرید "&amp;$C69,IF($AD69&lt;=TH_SSELL,"اجتناب / بستن موقعیت",IF($AD69&lt;=TH_SELL,"ضعیف","بی‌طرف"))))))</f>
        <v/>
      </c>
      <c r="AF69" s="14" t="str">
        <f aca="false">IF($A69="","","سهم پایه: "&amp;IFERROR(TEXT($AB69,"0.0"),"—")&amp;" | وضعیت: "&amp;$Q69&amp;" | نوسان ضمنی: "&amp;IFERROR(TEXT($U69,"0%"),"—")&amp;" | بازار÷نظری: "&amp;IFERROR(TEXT($Z69,"0.00"),"—")&amp;" | اهرم: "&amp;IFERROR(TEXT($AA69,"0.0"),"—")&amp;"x"&amp;" | "&amp;$G69&amp;" روز تا سررسید")</f>
        <v/>
      </c>
    </row>
    <row r="70" customFormat="false" ht="15" hidden="false" customHeight="false" outlineLevel="0" collapsed="false">
      <c r="A70" s="5"/>
      <c r="B70" s="6"/>
      <c r="C70" s="7"/>
      <c r="D70" s="7"/>
      <c r="E70" s="8"/>
      <c r="F70" s="9"/>
      <c r="G70" s="10"/>
      <c r="H70" s="8"/>
      <c r="I70" s="8"/>
      <c r="J70" s="8"/>
      <c r="K70" s="8"/>
      <c r="L70" s="8"/>
      <c r="M70" s="8"/>
      <c r="N70" s="8"/>
      <c r="O70" s="8" t="str">
        <f aca="false">IF($A70="","",IFERROR(INDEX(Underlying!$B$1:$B$5000,MATCH($D70,Underlying!$A$1:$A$5000,0)),""))</f>
        <v/>
      </c>
      <c r="P70" s="11" t="str">
        <f aca="false">IF($A70="","",IFERROR($O70/$E70,""))</f>
        <v/>
      </c>
      <c r="Q70" s="7" t="str">
        <f aca="false">IF($A70="","",IF($P70="","",IF($C70="Call",IF($P70&gt;1+OPT_ATM_BAND,"ITM",IF($P70&lt;1-OPT_ATM_BAND,"OTM","ATM")),IF($P70&lt;1-OPT_ATM_BAND,"ITM",IF($P70&gt;1+OPT_ATM_BAND,"OTM","ATM")))))</f>
        <v/>
      </c>
      <c r="R70" s="8" t="str">
        <f aca="false">IF($A70="","",IFERROR(IF($C70="Call",MAX(0,$O70-$E70),MAX(0,$E70-$O70)),""))</f>
        <v/>
      </c>
      <c r="S70" s="8" t="str">
        <f aca="false">IF($A70="","",IFERROR(MAX(0,$I70-$R70),""))</f>
        <v/>
      </c>
      <c r="T70" s="11" t="str">
        <f aca="false">IF($A70="","",IFERROR($G70/365,""))</f>
        <v/>
      </c>
      <c r="U70" s="12" t="str">
        <f aca="false">IF($A70="","",IF(OR($P70="",ABS($P70-1)&gt;3*OPT_ATM_BAND),"",IFERROR($I70/$O70*SQRT(2*PI()/$T70),"")))</f>
        <v/>
      </c>
      <c r="V70" s="11" t="str">
        <f aca="false">IF($A70="","",IFERROR((LN($O70/$E70)+(OPT_RF+OPT_VOL^2/2)*$T70)/(OPT_VOL*SQRT($T70)),""))</f>
        <v/>
      </c>
      <c r="W70" s="11" t="str">
        <f aca="false">IF($A70="","",IFERROR($V70-OPT_VOL*SQRT($T70),""))</f>
        <v/>
      </c>
      <c r="X70" s="11" t="str">
        <f aca="false">IF($A70="","",IFERROR(IF($C70="Call",NORMSDIST($V70),NORMSDIST($V70)-1),""))</f>
        <v/>
      </c>
      <c r="Y70" s="8" t="str">
        <f aca="false">IF($A70="","",IFERROR(IF($C70="Call",$O70*NORMSDIST($V70)-$E70*EXP(-OPT_RF*$T70)*NORMSDIST($W70),$E70*EXP(-OPT_RF*$T70)*NORMSDIST(-$W70)-$O70*NORMSDIST(-$V70)),""))</f>
        <v/>
      </c>
      <c r="Z70" s="11" t="str">
        <f aca="false">IF($A70="","",IFERROR($I70/$Y70,""))</f>
        <v/>
      </c>
      <c r="AA70" s="13" t="str">
        <f aca="false">IF($A70="","",IFERROR($O70*ABS($X70)/$I70,""))</f>
        <v/>
      </c>
      <c r="AB70" s="13" t="str">
        <f aca="false">IF($A70="","",IFERROR(INDEX(Underlying!$D$1:$D$5000,MATCH($D70,Underlying!$A$1:$A$5000,0)),0))</f>
        <v/>
      </c>
      <c r="AC70" s="7" t="str">
        <f aca="false">IF($A70="","",IF(AND($J70&gt;=OPT_MIN_VOL,$G70&gt;=OPT_MIN_DTE),"بله","خیر"))</f>
        <v/>
      </c>
      <c r="AD70" s="13" t="str">
        <f aca="false">IF($A70="","",IF($AC70="خیر",0,IFERROR(MAX(-10,MIN(10,IF($C70="Call",$AB70,-$AB70)*0.6+IF($Z70&lt;0.85,2,IF($Z70&gt;1.25,-2,0))+IF($Q70="ATM",1,IF($Q70="ITM",0.5,-1))+IF($G70&gt;=30,0.5,-0.5))),0)))</f>
        <v/>
      </c>
      <c r="AE70" s="7" t="str">
        <f aca="false">IF($A70="","",IF($AC70="خیر","بدون سیگنال (نقدشوندگی/سررسید)",IF($AD70&gt;=TH_SBUY,"خرید قوی "&amp;$C70,IF($AD70&gt;=TH_BUY,"خرید "&amp;$C70,IF($AD70&lt;=TH_SSELL,"اجتناب / بستن موقعیت",IF($AD70&lt;=TH_SELL,"ضعیف","بی‌طرف"))))))</f>
        <v/>
      </c>
      <c r="AF70" s="14" t="str">
        <f aca="false">IF($A70="","","سهم پایه: "&amp;IFERROR(TEXT($AB70,"0.0"),"—")&amp;" | وضعیت: "&amp;$Q70&amp;" | نوسان ضمنی: "&amp;IFERROR(TEXT($U70,"0%"),"—")&amp;" | بازار÷نظری: "&amp;IFERROR(TEXT($Z70,"0.00"),"—")&amp;" | اهرم: "&amp;IFERROR(TEXT($AA70,"0.0"),"—")&amp;"x"&amp;" | "&amp;$G70&amp;" روز تا سررسید")</f>
        <v/>
      </c>
    </row>
    <row r="71" customFormat="false" ht="15" hidden="false" customHeight="false" outlineLevel="0" collapsed="false">
      <c r="A71" s="5"/>
      <c r="B71" s="6"/>
      <c r="C71" s="7"/>
      <c r="D71" s="7"/>
      <c r="E71" s="8"/>
      <c r="F71" s="9"/>
      <c r="G71" s="10"/>
      <c r="H71" s="8"/>
      <c r="I71" s="8"/>
      <c r="J71" s="8"/>
      <c r="K71" s="8"/>
      <c r="L71" s="8"/>
      <c r="M71" s="8"/>
      <c r="N71" s="8"/>
      <c r="O71" s="8" t="str">
        <f aca="false">IF($A71="","",IFERROR(INDEX(Underlying!$B$1:$B$5000,MATCH($D71,Underlying!$A$1:$A$5000,0)),""))</f>
        <v/>
      </c>
      <c r="P71" s="11" t="str">
        <f aca="false">IF($A71="","",IFERROR($O71/$E71,""))</f>
        <v/>
      </c>
      <c r="Q71" s="7" t="str">
        <f aca="false">IF($A71="","",IF($P71="","",IF($C71="Call",IF($P71&gt;1+OPT_ATM_BAND,"ITM",IF($P71&lt;1-OPT_ATM_BAND,"OTM","ATM")),IF($P71&lt;1-OPT_ATM_BAND,"ITM",IF($P71&gt;1+OPT_ATM_BAND,"OTM","ATM")))))</f>
        <v/>
      </c>
      <c r="R71" s="8" t="str">
        <f aca="false">IF($A71="","",IFERROR(IF($C71="Call",MAX(0,$O71-$E71),MAX(0,$E71-$O71)),""))</f>
        <v/>
      </c>
      <c r="S71" s="8" t="str">
        <f aca="false">IF($A71="","",IFERROR(MAX(0,$I71-$R71),""))</f>
        <v/>
      </c>
      <c r="T71" s="11" t="str">
        <f aca="false">IF($A71="","",IFERROR($G71/365,""))</f>
        <v/>
      </c>
      <c r="U71" s="12" t="str">
        <f aca="false">IF($A71="","",IF(OR($P71="",ABS($P71-1)&gt;3*OPT_ATM_BAND),"",IFERROR($I71/$O71*SQRT(2*PI()/$T71),"")))</f>
        <v/>
      </c>
      <c r="V71" s="11" t="str">
        <f aca="false">IF($A71="","",IFERROR((LN($O71/$E71)+(OPT_RF+OPT_VOL^2/2)*$T71)/(OPT_VOL*SQRT($T71)),""))</f>
        <v/>
      </c>
      <c r="W71" s="11" t="str">
        <f aca="false">IF($A71="","",IFERROR($V71-OPT_VOL*SQRT($T71),""))</f>
        <v/>
      </c>
      <c r="X71" s="11" t="str">
        <f aca="false">IF($A71="","",IFERROR(IF($C71="Call",NORMSDIST($V71),NORMSDIST($V71)-1),""))</f>
        <v/>
      </c>
      <c r="Y71" s="8" t="str">
        <f aca="false">IF($A71="","",IFERROR(IF($C71="Call",$O71*NORMSDIST($V71)-$E71*EXP(-OPT_RF*$T71)*NORMSDIST($W71),$E71*EXP(-OPT_RF*$T71)*NORMSDIST(-$W71)-$O71*NORMSDIST(-$V71)),""))</f>
        <v/>
      </c>
      <c r="Z71" s="11" t="str">
        <f aca="false">IF($A71="","",IFERROR($I71/$Y71,""))</f>
        <v/>
      </c>
      <c r="AA71" s="13" t="str">
        <f aca="false">IF($A71="","",IFERROR($O71*ABS($X71)/$I71,""))</f>
        <v/>
      </c>
      <c r="AB71" s="13" t="str">
        <f aca="false">IF($A71="","",IFERROR(INDEX(Underlying!$D$1:$D$5000,MATCH($D71,Underlying!$A$1:$A$5000,0)),0))</f>
        <v/>
      </c>
      <c r="AC71" s="7" t="str">
        <f aca="false">IF($A71="","",IF(AND($J71&gt;=OPT_MIN_VOL,$G71&gt;=OPT_MIN_DTE),"بله","خیر"))</f>
        <v/>
      </c>
      <c r="AD71" s="13" t="str">
        <f aca="false">IF($A71="","",IF($AC71="خیر",0,IFERROR(MAX(-10,MIN(10,IF($C71="Call",$AB71,-$AB71)*0.6+IF($Z71&lt;0.85,2,IF($Z71&gt;1.25,-2,0))+IF($Q71="ATM",1,IF($Q71="ITM",0.5,-1))+IF($G71&gt;=30,0.5,-0.5))),0)))</f>
        <v/>
      </c>
      <c r="AE71" s="7" t="str">
        <f aca="false">IF($A71="","",IF($AC71="خیر","بدون سیگنال (نقدشوندگی/سررسید)",IF($AD71&gt;=TH_SBUY,"خرید قوی "&amp;$C71,IF($AD71&gt;=TH_BUY,"خرید "&amp;$C71,IF($AD71&lt;=TH_SSELL,"اجتناب / بستن موقعیت",IF($AD71&lt;=TH_SELL,"ضعیف","بی‌طرف"))))))</f>
        <v/>
      </c>
      <c r="AF71" s="14" t="str">
        <f aca="false">IF($A71="","","سهم پایه: "&amp;IFERROR(TEXT($AB71,"0.0"),"—")&amp;" | وضعیت: "&amp;$Q71&amp;" | نوسان ضمنی: "&amp;IFERROR(TEXT($U71,"0%"),"—")&amp;" | بازار÷نظری: "&amp;IFERROR(TEXT($Z71,"0.00"),"—")&amp;" | اهرم: "&amp;IFERROR(TEXT($AA71,"0.0"),"—")&amp;"x"&amp;" | "&amp;$G71&amp;" روز تا سررسید")</f>
        <v/>
      </c>
    </row>
    <row r="72" customFormat="false" ht="15" hidden="false" customHeight="false" outlineLevel="0" collapsed="false">
      <c r="A72" s="5"/>
      <c r="B72" s="6"/>
      <c r="C72" s="7"/>
      <c r="D72" s="7"/>
      <c r="E72" s="8"/>
      <c r="F72" s="9"/>
      <c r="G72" s="10"/>
      <c r="H72" s="8"/>
      <c r="I72" s="8"/>
      <c r="J72" s="8"/>
      <c r="K72" s="8"/>
      <c r="L72" s="8"/>
      <c r="M72" s="8"/>
      <c r="N72" s="8"/>
      <c r="O72" s="8" t="str">
        <f aca="false">IF($A72="","",IFERROR(INDEX(Underlying!$B$1:$B$5000,MATCH($D72,Underlying!$A$1:$A$5000,0)),""))</f>
        <v/>
      </c>
      <c r="P72" s="11" t="str">
        <f aca="false">IF($A72="","",IFERROR($O72/$E72,""))</f>
        <v/>
      </c>
      <c r="Q72" s="7" t="str">
        <f aca="false">IF($A72="","",IF($P72="","",IF($C72="Call",IF($P72&gt;1+OPT_ATM_BAND,"ITM",IF($P72&lt;1-OPT_ATM_BAND,"OTM","ATM")),IF($P72&lt;1-OPT_ATM_BAND,"ITM",IF($P72&gt;1+OPT_ATM_BAND,"OTM","ATM")))))</f>
        <v/>
      </c>
      <c r="R72" s="8" t="str">
        <f aca="false">IF($A72="","",IFERROR(IF($C72="Call",MAX(0,$O72-$E72),MAX(0,$E72-$O72)),""))</f>
        <v/>
      </c>
      <c r="S72" s="8" t="str">
        <f aca="false">IF($A72="","",IFERROR(MAX(0,$I72-$R72),""))</f>
        <v/>
      </c>
      <c r="T72" s="11" t="str">
        <f aca="false">IF($A72="","",IFERROR($G72/365,""))</f>
        <v/>
      </c>
      <c r="U72" s="12" t="str">
        <f aca="false">IF($A72="","",IF(OR($P72="",ABS($P72-1)&gt;3*OPT_ATM_BAND),"",IFERROR($I72/$O72*SQRT(2*PI()/$T72),"")))</f>
        <v/>
      </c>
      <c r="V72" s="11" t="str">
        <f aca="false">IF($A72="","",IFERROR((LN($O72/$E72)+(OPT_RF+OPT_VOL^2/2)*$T72)/(OPT_VOL*SQRT($T72)),""))</f>
        <v/>
      </c>
      <c r="W72" s="11" t="str">
        <f aca="false">IF($A72="","",IFERROR($V72-OPT_VOL*SQRT($T72),""))</f>
        <v/>
      </c>
      <c r="X72" s="11" t="str">
        <f aca="false">IF($A72="","",IFERROR(IF($C72="Call",NORMSDIST($V72),NORMSDIST($V72)-1),""))</f>
        <v/>
      </c>
      <c r="Y72" s="8" t="str">
        <f aca="false">IF($A72="","",IFERROR(IF($C72="Call",$O72*NORMSDIST($V72)-$E72*EXP(-OPT_RF*$T72)*NORMSDIST($W72),$E72*EXP(-OPT_RF*$T72)*NORMSDIST(-$W72)-$O72*NORMSDIST(-$V72)),""))</f>
        <v/>
      </c>
      <c r="Z72" s="11" t="str">
        <f aca="false">IF($A72="","",IFERROR($I72/$Y72,""))</f>
        <v/>
      </c>
      <c r="AA72" s="13" t="str">
        <f aca="false">IF($A72="","",IFERROR($O72*ABS($X72)/$I72,""))</f>
        <v/>
      </c>
      <c r="AB72" s="13" t="str">
        <f aca="false">IF($A72="","",IFERROR(INDEX(Underlying!$D$1:$D$5000,MATCH($D72,Underlying!$A$1:$A$5000,0)),0))</f>
        <v/>
      </c>
      <c r="AC72" s="7" t="str">
        <f aca="false">IF($A72="","",IF(AND($J72&gt;=OPT_MIN_VOL,$G72&gt;=OPT_MIN_DTE),"بله","خیر"))</f>
        <v/>
      </c>
      <c r="AD72" s="13" t="str">
        <f aca="false">IF($A72="","",IF($AC72="خیر",0,IFERROR(MAX(-10,MIN(10,IF($C72="Call",$AB72,-$AB72)*0.6+IF($Z72&lt;0.85,2,IF($Z72&gt;1.25,-2,0))+IF($Q72="ATM",1,IF($Q72="ITM",0.5,-1))+IF($G72&gt;=30,0.5,-0.5))),0)))</f>
        <v/>
      </c>
      <c r="AE72" s="7" t="str">
        <f aca="false">IF($A72="","",IF($AC72="خیر","بدون سیگنال (نقدشوندگی/سررسید)",IF($AD72&gt;=TH_SBUY,"خرید قوی "&amp;$C72,IF($AD72&gt;=TH_BUY,"خرید "&amp;$C72,IF($AD72&lt;=TH_SSELL,"اجتناب / بستن موقعیت",IF($AD72&lt;=TH_SELL,"ضعیف","بی‌طرف"))))))</f>
        <v/>
      </c>
      <c r="AF72" s="14" t="str">
        <f aca="false">IF($A72="","","سهم پایه: "&amp;IFERROR(TEXT($AB72,"0.0"),"—")&amp;" | وضعیت: "&amp;$Q72&amp;" | نوسان ضمنی: "&amp;IFERROR(TEXT($U72,"0%"),"—")&amp;" | بازار÷نظری: "&amp;IFERROR(TEXT($Z72,"0.00"),"—")&amp;" | اهرم: "&amp;IFERROR(TEXT($AA72,"0.0"),"—")&amp;"x"&amp;" | "&amp;$G72&amp;" روز تا سررسید")</f>
        <v/>
      </c>
    </row>
    <row r="73" customFormat="false" ht="15" hidden="false" customHeight="false" outlineLevel="0" collapsed="false">
      <c r="A73" s="5"/>
      <c r="B73" s="6"/>
      <c r="C73" s="7"/>
      <c r="D73" s="7"/>
      <c r="E73" s="8"/>
      <c r="F73" s="9"/>
      <c r="G73" s="10"/>
      <c r="H73" s="8"/>
      <c r="I73" s="8"/>
      <c r="J73" s="8"/>
      <c r="K73" s="8"/>
      <c r="L73" s="8"/>
      <c r="M73" s="8"/>
      <c r="N73" s="8"/>
      <c r="O73" s="8" t="str">
        <f aca="false">IF($A73="","",IFERROR(INDEX(Underlying!$B$1:$B$5000,MATCH($D73,Underlying!$A$1:$A$5000,0)),""))</f>
        <v/>
      </c>
      <c r="P73" s="11" t="str">
        <f aca="false">IF($A73="","",IFERROR($O73/$E73,""))</f>
        <v/>
      </c>
      <c r="Q73" s="7" t="str">
        <f aca="false">IF($A73="","",IF($P73="","",IF($C73="Call",IF($P73&gt;1+OPT_ATM_BAND,"ITM",IF($P73&lt;1-OPT_ATM_BAND,"OTM","ATM")),IF($P73&lt;1-OPT_ATM_BAND,"ITM",IF($P73&gt;1+OPT_ATM_BAND,"OTM","ATM")))))</f>
        <v/>
      </c>
      <c r="R73" s="8" t="str">
        <f aca="false">IF($A73="","",IFERROR(IF($C73="Call",MAX(0,$O73-$E73),MAX(0,$E73-$O73)),""))</f>
        <v/>
      </c>
      <c r="S73" s="8" t="str">
        <f aca="false">IF($A73="","",IFERROR(MAX(0,$I73-$R73),""))</f>
        <v/>
      </c>
      <c r="T73" s="11" t="str">
        <f aca="false">IF($A73="","",IFERROR($G73/365,""))</f>
        <v/>
      </c>
      <c r="U73" s="12" t="str">
        <f aca="false">IF($A73="","",IF(OR($P73="",ABS($P73-1)&gt;3*OPT_ATM_BAND),"",IFERROR($I73/$O73*SQRT(2*PI()/$T73),"")))</f>
        <v/>
      </c>
      <c r="V73" s="11" t="str">
        <f aca="false">IF($A73="","",IFERROR((LN($O73/$E73)+(OPT_RF+OPT_VOL^2/2)*$T73)/(OPT_VOL*SQRT($T73)),""))</f>
        <v/>
      </c>
      <c r="W73" s="11" t="str">
        <f aca="false">IF($A73="","",IFERROR($V73-OPT_VOL*SQRT($T73),""))</f>
        <v/>
      </c>
      <c r="X73" s="11" t="str">
        <f aca="false">IF($A73="","",IFERROR(IF($C73="Call",NORMSDIST($V73),NORMSDIST($V73)-1),""))</f>
        <v/>
      </c>
      <c r="Y73" s="8" t="str">
        <f aca="false">IF($A73="","",IFERROR(IF($C73="Call",$O73*NORMSDIST($V73)-$E73*EXP(-OPT_RF*$T73)*NORMSDIST($W73),$E73*EXP(-OPT_RF*$T73)*NORMSDIST(-$W73)-$O73*NORMSDIST(-$V73)),""))</f>
        <v/>
      </c>
      <c r="Z73" s="11" t="str">
        <f aca="false">IF($A73="","",IFERROR($I73/$Y73,""))</f>
        <v/>
      </c>
      <c r="AA73" s="13" t="str">
        <f aca="false">IF($A73="","",IFERROR($O73*ABS($X73)/$I73,""))</f>
        <v/>
      </c>
      <c r="AB73" s="13" t="str">
        <f aca="false">IF($A73="","",IFERROR(INDEX(Underlying!$D$1:$D$5000,MATCH($D73,Underlying!$A$1:$A$5000,0)),0))</f>
        <v/>
      </c>
      <c r="AC73" s="7" t="str">
        <f aca="false">IF($A73="","",IF(AND($J73&gt;=OPT_MIN_VOL,$G73&gt;=OPT_MIN_DTE),"بله","خیر"))</f>
        <v/>
      </c>
      <c r="AD73" s="13" t="str">
        <f aca="false">IF($A73="","",IF($AC73="خیر",0,IFERROR(MAX(-10,MIN(10,IF($C73="Call",$AB73,-$AB73)*0.6+IF($Z73&lt;0.85,2,IF($Z73&gt;1.25,-2,0))+IF($Q73="ATM",1,IF($Q73="ITM",0.5,-1))+IF($G73&gt;=30,0.5,-0.5))),0)))</f>
        <v/>
      </c>
      <c r="AE73" s="7" t="str">
        <f aca="false">IF($A73="","",IF($AC73="خیر","بدون سیگنال (نقدشوندگی/سررسید)",IF($AD73&gt;=TH_SBUY,"خرید قوی "&amp;$C73,IF($AD73&gt;=TH_BUY,"خرید "&amp;$C73,IF($AD73&lt;=TH_SSELL,"اجتناب / بستن موقعیت",IF($AD73&lt;=TH_SELL,"ضعیف","بی‌طرف"))))))</f>
        <v/>
      </c>
      <c r="AF73" s="14" t="str">
        <f aca="false">IF($A73="","","سهم پایه: "&amp;IFERROR(TEXT($AB73,"0.0"),"—")&amp;" | وضعیت: "&amp;$Q73&amp;" | نوسان ضمنی: "&amp;IFERROR(TEXT($U73,"0%"),"—")&amp;" | بازار÷نظری: "&amp;IFERROR(TEXT($Z73,"0.00"),"—")&amp;" | اهرم: "&amp;IFERROR(TEXT($AA73,"0.0"),"—")&amp;"x"&amp;" | "&amp;$G73&amp;" روز تا سررسید")</f>
        <v/>
      </c>
    </row>
    <row r="74" customFormat="false" ht="15" hidden="false" customHeight="false" outlineLevel="0" collapsed="false">
      <c r="A74" s="5"/>
      <c r="B74" s="6"/>
      <c r="C74" s="7"/>
      <c r="D74" s="7"/>
      <c r="E74" s="8"/>
      <c r="F74" s="9"/>
      <c r="G74" s="10"/>
      <c r="H74" s="8"/>
      <c r="I74" s="8"/>
      <c r="J74" s="8"/>
      <c r="K74" s="8"/>
      <c r="L74" s="8"/>
      <c r="M74" s="8"/>
      <c r="N74" s="8"/>
      <c r="O74" s="8" t="str">
        <f aca="false">IF($A74="","",IFERROR(INDEX(Underlying!$B$1:$B$5000,MATCH($D74,Underlying!$A$1:$A$5000,0)),""))</f>
        <v/>
      </c>
      <c r="P74" s="11" t="str">
        <f aca="false">IF($A74="","",IFERROR($O74/$E74,""))</f>
        <v/>
      </c>
      <c r="Q74" s="7" t="str">
        <f aca="false">IF($A74="","",IF($P74="","",IF($C74="Call",IF($P74&gt;1+OPT_ATM_BAND,"ITM",IF($P74&lt;1-OPT_ATM_BAND,"OTM","ATM")),IF($P74&lt;1-OPT_ATM_BAND,"ITM",IF($P74&gt;1+OPT_ATM_BAND,"OTM","ATM")))))</f>
        <v/>
      </c>
      <c r="R74" s="8" t="str">
        <f aca="false">IF($A74="","",IFERROR(IF($C74="Call",MAX(0,$O74-$E74),MAX(0,$E74-$O74)),""))</f>
        <v/>
      </c>
      <c r="S74" s="8" t="str">
        <f aca="false">IF($A74="","",IFERROR(MAX(0,$I74-$R74),""))</f>
        <v/>
      </c>
      <c r="T74" s="11" t="str">
        <f aca="false">IF($A74="","",IFERROR($G74/365,""))</f>
        <v/>
      </c>
      <c r="U74" s="12" t="str">
        <f aca="false">IF($A74="","",IF(OR($P74="",ABS($P74-1)&gt;3*OPT_ATM_BAND),"",IFERROR($I74/$O74*SQRT(2*PI()/$T74),"")))</f>
        <v/>
      </c>
      <c r="V74" s="11" t="str">
        <f aca="false">IF($A74="","",IFERROR((LN($O74/$E74)+(OPT_RF+OPT_VOL^2/2)*$T74)/(OPT_VOL*SQRT($T74)),""))</f>
        <v/>
      </c>
      <c r="W74" s="11" t="str">
        <f aca="false">IF($A74="","",IFERROR($V74-OPT_VOL*SQRT($T74),""))</f>
        <v/>
      </c>
      <c r="X74" s="11" t="str">
        <f aca="false">IF($A74="","",IFERROR(IF($C74="Call",NORMSDIST($V74),NORMSDIST($V74)-1),""))</f>
        <v/>
      </c>
      <c r="Y74" s="8" t="str">
        <f aca="false">IF($A74="","",IFERROR(IF($C74="Call",$O74*NORMSDIST($V74)-$E74*EXP(-OPT_RF*$T74)*NORMSDIST($W74),$E74*EXP(-OPT_RF*$T74)*NORMSDIST(-$W74)-$O74*NORMSDIST(-$V74)),""))</f>
        <v/>
      </c>
      <c r="Z74" s="11" t="str">
        <f aca="false">IF($A74="","",IFERROR($I74/$Y74,""))</f>
        <v/>
      </c>
      <c r="AA74" s="13" t="str">
        <f aca="false">IF($A74="","",IFERROR($O74*ABS($X74)/$I74,""))</f>
        <v/>
      </c>
      <c r="AB74" s="13" t="str">
        <f aca="false">IF($A74="","",IFERROR(INDEX(Underlying!$D$1:$D$5000,MATCH($D74,Underlying!$A$1:$A$5000,0)),0))</f>
        <v/>
      </c>
      <c r="AC74" s="7" t="str">
        <f aca="false">IF($A74="","",IF(AND($J74&gt;=OPT_MIN_VOL,$G74&gt;=OPT_MIN_DTE),"بله","خیر"))</f>
        <v/>
      </c>
      <c r="AD74" s="13" t="str">
        <f aca="false">IF($A74="","",IF($AC74="خیر",0,IFERROR(MAX(-10,MIN(10,IF($C74="Call",$AB74,-$AB74)*0.6+IF($Z74&lt;0.85,2,IF($Z74&gt;1.25,-2,0))+IF($Q74="ATM",1,IF($Q74="ITM",0.5,-1))+IF($G74&gt;=30,0.5,-0.5))),0)))</f>
        <v/>
      </c>
      <c r="AE74" s="7" t="str">
        <f aca="false">IF($A74="","",IF($AC74="خیر","بدون سیگنال (نقدشوندگی/سررسید)",IF($AD74&gt;=TH_SBUY,"خرید قوی "&amp;$C74,IF($AD74&gt;=TH_BUY,"خرید "&amp;$C74,IF($AD74&lt;=TH_SSELL,"اجتناب / بستن موقعیت",IF($AD74&lt;=TH_SELL,"ضعیف","بی‌طرف"))))))</f>
        <v/>
      </c>
      <c r="AF74" s="14" t="str">
        <f aca="false">IF($A74="","","سهم پایه: "&amp;IFERROR(TEXT($AB74,"0.0"),"—")&amp;" | وضعیت: "&amp;$Q74&amp;" | نوسان ضمنی: "&amp;IFERROR(TEXT($U74,"0%"),"—")&amp;" | بازار÷نظری: "&amp;IFERROR(TEXT($Z74,"0.00"),"—")&amp;" | اهرم: "&amp;IFERROR(TEXT($AA74,"0.0"),"—")&amp;"x"&amp;" | "&amp;$G74&amp;" روز تا سررسید")</f>
        <v/>
      </c>
    </row>
    <row r="75" customFormat="false" ht="15" hidden="false" customHeight="false" outlineLevel="0" collapsed="false">
      <c r="A75" s="5"/>
      <c r="B75" s="6"/>
      <c r="C75" s="7"/>
      <c r="D75" s="7"/>
      <c r="E75" s="8"/>
      <c r="F75" s="9"/>
      <c r="G75" s="10"/>
      <c r="H75" s="8"/>
      <c r="I75" s="8"/>
      <c r="J75" s="8"/>
      <c r="K75" s="8"/>
      <c r="L75" s="8"/>
      <c r="M75" s="8"/>
      <c r="N75" s="8"/>
      <c r="O75" s="8" t="str">
        <f aca="false">IF($A75="","",IFERROR(INDEX(Underlying!$B$1:$B$5000,MATCH($D75,Underlying!$A$1:$A$5000,0)),""))</f>
        <v/>
      </c>
      <c r="P75" s="11" t="str">
        <f aca="false">IF($A75="","",IFERROR($O75/$E75,""))</f>
        <v/>
      </c>
      <c r="Q75" s="7" t="str">
        <f aca="false">IF($A75="","",IF($P75="","",IF($C75="Call",IF($P75&gt;1+OPT_ATM_BAND,"ITM",IF($P75&lt;1-OPT_ATM_BAND,"OTM","ATM")),IF($P75&lt;1-OPT_ATM_BAND,"ITM",IF($P75&gt;1+OPT_ATM_BAND,"OTM","ATM")))))</f>
        <v/>
      </c>
      <c r="R75" s="8" t="str">
        <f aca="false">IF($A75="","",IFERROR(IF($C75="Call",MAX(0,$O75-$E75),MAX(0,$E75-$O75)),""))</f>
        <v/>
      </c>
      <c r="S75" s="8" t="str">
        <f aca="false">IF($A75="","",IFERROR(MAX(0,$I75-$R75),""))</f>
        <v/>
      </c>
      <c r="T75" s="11" t="str">
        <f aca="false">IF($A75="","",IFERROR($G75/365,""))</f>
        <v/>
      </c>
      <c r="U75" s="12" t="str">
        <f aca="false">IF($A75="","",IF(OR($P75="",ABS($P75-1)&gt;3*OPT_ATM_BAND),"",IFERROR($I75/$O75*SQRT(2*PI()/$T75),"")))</f>
        <v/>
      </c>
      <c r="V75" s="11" t="str">
        <f aca="false">IF($A75="","",IFERROR((LN($O75/$E75)+(OPT_RF+OPT_VOL^2/2)*$T75)/(OPT_VOL*SQRT($T75)),""))</f>
        <v/>
      </c>
      <c r="W75" s="11" t="str">
        <f aca="false">IF($A75="","",IFERROR($V75-OPT_VOL*SQRT($T75),""))</f>
        <v/>
      </c>
      <c r="X75" s="11" t="str">
        <f aca="false">IF($A75="","",IFERROR(IF($C75="Call",NORMSDIST($V75),NORMSDIST($V75)-1),""))</f>
        <v/>
      </c>
      <c r="Y75" s="8" t="str">
        <f aca="false">IF($A75="","",IFERROR(IF($C75="Call",$O75*NORMSDIST($V75)-$E75*EXP(-OPT_RF*$T75)*NORMSDIST($W75),$E75*EXP(-OPT_RF*$T75)*NORMSDIST(-$W75)-$O75*NORMSDIST(-$V75)),""))</f>
        <v/>
      </c>
      <c r="Z75" s="11" t="str">
        <f aca="false">IF($A75="","",IFERROR($I75/$Y75,""))</f>
        <v/>
      </c>
      <c r="AA75" s="13" t="str">
        <f aca="false">IF($A75="","",IFERROR($O75*ABS($X75)/$I75,""))</f>
        <v/>
      </c>
      <c r="AB75" s="13" t="str">
        <f aca="false">IF($A75="","",IFERROR(INDEX(Underlying!$D$1:$D$5000,MATCH($D75,Underlying!$A$1:$A$5000,0)),0))</f>
        <v/>
      </c>
      <c r="AC75" s="7" t="str">
        <f aca="false">IF($A75="","",IF(AND($J75&gt;=OPT_MIN_VOL,$G75&gt;=OPT_MIN_DTE),"بله","خیر"))</f>
        <v/>
      </c>
      <c r="AD75" s="13" t="str">
        <f aca="false">IF($A75="","",IF($AC75="خیر",0,IFERROR(MAX(-10,MIN(10,IF($C75="Call",$AB75,-$AB75)*0.6+IF($Z75&lt;0.85,2,IF($Z75&gt;1.25,-2,0))+IF($Q75="ATM",1,IF($Q75="ITM",0.5,-1))+IF($G75&gt;=30,0.5,-0.5))),0)))</f>
        <v/>
      </c>
      <c r="AE75" s="7" t="str">
        <f aca="false">IF($A75="","",IF($AC75="خیر","بدون سیگنال (نقدشوندگی/سررسید)",IF($AD75&gt;=TH_SBUY,"خرید قوی "&amp;$C75,IF($AD75&gt;=TH_BUY,"خرید "&amp;$C75,IF($AD75&lt;=TH_SSELL,"اجتناب / بستن موقعیت",IF($AD75&lt;=TH_SELL,"ضعیف","بی‌طرف"))))))</f>
        <v/>
      </c>
      <c r="AF75" s="14" t="str">
        <f aca="false">IF($A75="","","سهم پایه: "&amp;IFERROR(TEXT($AB75,"0.0"),"—")&amp;" | وضعیت: "&amp;$Q75&amp;" | نوسان ضمنی: "&amp;IFERROR(TEXT($U75,"0%"),"—")&amp;" | بازار÷نظری: "&amp;IFERROR(TEXT($Z75,"0.00"),"—")&amp;" | اهرم: "&amp;IFERROR(TEXT($AA75,"0.0"),"—")&amp;"x"&amp;" | "&amp;$G75&amp;" روز تا سررسید")</f>
        <v/>
      </c>
    </row>
    <row r="76" customFormat="false" ht="15" hidden="false" customHeight="false" outlineLevel="0" collapsed="false">
      <c r="A76" s="5"/>
      <c r="B76" s="6"/>
      <c r="C76" s="7"/>
      <c r="D76" s="7"/>
      <c r="E76" s="8"/>
      <c r="F76" s="9"/>
      <c r="G76" s="10"/>
      <c r="H76" s="8"/>
      <c r="I76" s="8"/>
      <c r="J76" s="8"/>
      <c r="K76" s="8"/>
      <c r="L76" s="8"/>
      <c r="M76" s="8"/>
      <c r="N76" s="8"/>
      <c r="O76" s="8" t="str">
        <f aca="false">IF($A76="","",IFERROR(INDEX(Underlying!$B$1:$B$5000,MATCH($D76,Underlying!$A$1:$A$5000,0)),""))</f>
        <v/>
      </c>
      <c r="P76" s="11" t="str">
        <f aca="false">IF($A76="","",IFERROR($O76/$E76,""))</f>
        <v/>
      </c>
      <c r="Q76" s="7" t="str">
        <f aca="false">IF($A76="","",IF($P76="","",IF($C76="Call",IF($P76&gt;1+OPT_ATM_BAND,"ITM",IF($P76&lt;1-OPT_ATM_BAND,"OTM","ATM")),IF($P76&lt;1-OPT_ATM_BAND,"ITM",IF($P76&gt;1+OPT_ATM_BAND,"OTM","ATM")))))</f>
        <v/>
      </c>
      <c r="R76" s="8" t="str">
        <f aca="false">IF($A76="","",IFERROR(IF($C76="Call",MAX(0,$O76-$E76),MAX(0,$E76-$O76)),""))</f>
        <v/>
      </c>
      <c r="S76" s="8" t="str">
        <f aca="false">IF($A76="","",IFERROR(MAX(0,$I76-$R76),""))</f>
        <v/>
      </c>
      <c r="T76" s="11" t="str">
        <f aca="false">IF($A76="","",IFERROR($G76/365,""))</f>
        <v/>
      </c>
      <c r="U76" s="12" t="str">
        <f aca="false">IF($A76="","",IF(OR($P76="",ABS($P76-1)&gt;3*OPT_ATM_BAND),"",IFERROR($I76/$O76*SQRT(2*PI()/$T76),"")))</f>
        <v/>
      </c>
      <c r="V76" s="11" t="str">
        <f aca="false">IF($A76="","",IFERROR((LN($O76/$E76)+(OPT_RF+OPT_VOL^2/2)*$T76)/(OPT_VOL*SQRT($T76)),""))</f>
        <v/>
      </c>
      <c r="W76" s="11" t="str">
        <f aca="false">IF($A76="","",IFERROR($V76-OPT_VOL*SQRT($T76),""))</f>
        <v/>
      </c>
      <c r="X76" s="11" t="str">
        <f aca="false">IF($A76="","",IFERROR(IF($C76="Call",NORMSDIST($V76),NORMSDIST($V76)-1),""))</f>
        <v/>
      </c>
      <c r="Y76" s="8" t="str">
        <f aca="false">IF($A76="","",IFERROR(IF($C76="Call",$O76*NORMSDIST($V76)-$E76*EXP(-OPT_RF*$T76)*NORMSDIST($W76),$E76*EXP(-OPT_RF*$T76)*NORMSDIST(-$W76)-$O76*NORMSDIST(-$V76)),""))</f>
        <v/>
      </c>
      <c r="Z76" s="11" t="str">
        <f aca="false">IF($A76="","",IFERROR($I76/$Y76,""))</f>
        <v/>
      </c>
      <c r="AA76" s="13" t="str">
        <f aca="false">IF($A76="","",IFERROR($O76*ABS($X76)/$I76,""))</f>
        <v/>
      </c>
      <c r="AB76" s="13" t="str">
        <f aca="false">IF($A76="","",IFERROR(INDEX(Underlying!$D$1:$D$5000,MATCH($D76,Underlying!$A$1:$A$5000,0)),0))</f>
        <v/>
      </c>
      <c r="AC76" s="7" t="str">
        <f aca="false">IF($A76="","",IF(AND($J76&gt;=OPT_MIN_VOL,$G76&gt;=OPT_MIN_DTE),"بله","خیر"))</f>
        <v/>
      </c>
      <c r="AD76" s="13" t="str">
        <f aca="false">IF($A76="","",IF($AC76="خیر",0,IFERROR(MAX(-10,MIN(10,IF($C76="Call",$AB76,-$AB76)*0.6+IF($Z76&lt;0.85,2,IF($Z76&gt;1.25,-2,0))+IF($Q76="ATM",1,IF($Q76="ITM",0.5,-1))+IF($G76&gt;=30,0.5,-0.5))),0)))</f>
        <v/>
      </c>
      <c r="AE76" s="7" t="str">
        <f aca="false">IF($A76="","",IF($AC76="خیر","بدون سیگنال (نقدشوندگی/سررسید)",IF($AD76&gt;=TH_SBUY,"خرید قوی "&amp;$C76,IF($AD76&gt;=TH_BUY,"خرید "&amp;$C76,IF($AD76&lt;=TH_SSELL,"اجتناب / بستن موقعیت",IF($AD76&lt;=TH_SELL,"ضعیف","بی‌طرف"))))))</f>
        <v/>
      </c>
      <c r="AF76" s="14" t="str">
        <f aca="false">IF($A76="","","سهم پایه: "&amp;IFERROR(TEXT($AB76,"0.0"),"—")&amp;" | وضعیت: "&amp;$Q76&amp;" | نوسان ضمنی: "&amp;IFERROR(TEXT($U76,"0%"),"—")&amp;" | بازار÷نظری: "&amp;IFERROR(TEXT($Z76,"0.00"),"—")&amp;" | اهرم: "&amp;IFERROR(TEXT($AA76,"0.0"),"—")&amp;"x"&amp;" | "&amp;$G76&amp;" روز تا سررسید")</f>
        <v/>
      </c>
    </row>
    <row r="77" customFormat="false" ht="15" hidden="false" customHeight="false" outlineLevel="0" collapsed="false">
      <c r="A77" s="5"/>
      <c r="B77" s="6"/>
      <c r="C77" s="7"/>
      <c r="D77" s="7"/>
      <c r="E77" s="8"/>
      <c r="F77" s="9"/>
      <c r="G77" s="10"/>
      <c r="H77" s="8"/>
      <c r="I77" s="8"/>
      <c r="J77" s="8"/>
      <c r="K77" s="8"/>
      <c r="L77" s="8"/>
      <c r="M77" s="8"/>
      <c r="N77" s="8"/>
      <c r="O77" s="8" t="str">
        <f aca="false">IF($A77="","",IFERROR(INDEX(Underlying!$B$1:$B$5000,MATCH($D77,Underlying!$A$1:$A$5000,0)),""))</f>
        <v/>
      </c>
      <c r="P77" s="11" t="str">
        <f aca="false">IF($A77="","",IFERROR($O77/$E77,""))</f>
        <v/>
      </c>
      <c r="Q77" s="7" t="str">
        <f aca="false">IF($A77="","",IF($P77="","",IF($C77="Call",IF($P77&gt;1+OPT_ATM_BAND,"ITM",IF($P77&lt;1-OPT_ATM_BAND,"OTM","ATM")),IF($P77&lt;1-OPT_ATM_BAND,"ITM",IF($P77&gt;1+OPT_ATM_BAND,"OTM","ATM")))))</f>
        <v/>
      </c>
      <c r="R77" s="8" t="str">
        <f aca="false">IF($A77="","",IFERROR(IF($C77="Call",MAX(0,$O77-$E77),MAX(0,$E77-$O77)),""))</f>
        <v/>
      </c>
      <c r="S77" s="8" t="str">
        <f aca="false">IF($A77="","",IFERROR(MAX(0,$I77-$R77),""))</f>
        <v/>
      </c>
      <c r="T77" s="11" t="str">
        <f aca="false">IF($A77="","",IFERROR($G77/365,""))</f>
        <v/>
      </c>
      <c r="U77" s="12" t="str">
        <f aca="false">IF($A77="","",IF(OR($P77="",ABS($P77-1)&gt;3*OPT_ATM_BAND),"",IFERROR($I77/$O77*SQRT(2*PI()/$T77),"")))</f>
        <v/>
      </c>
      <c r="V77" s="11" t="str">
        <f aca="false">IF($A77="","",IFERROR((LN($O77/$E77)+(OPT_RF+OPT_VOL^2/2)*$T77)/(OPT_VOL*SQRT($T77)),""))</f>
        <v/>
      </c>
      <c r="W77" s="11" t="str">
        <f aca="false">IF($A77="","",IFERROR($V77-OPT_VOL*SQRT($T77),""))</f>
        <v/>
      </c>
      <c r="X77" s="11" t="str">
        <f aca="false">IF($A77="","",IFERROR(IF($C77="Call",NORMSDIST($V77),NORMSDIST($V77)-1),""))</f>
        <v/>
      </c>
      <c r="Y77" s="8" t="str">
        <f aca="false">IF($A77="","",IFERROR(IF($C77="Call",$O77*NORMSDIST($V77)-$E77*EXP(-OPT_RF*$T77)*NORMSDIST($W77),$E77*EXP(-OPT_RF*$T77)*NORMSDIST(-$W77)-$O77*NORMSDIST(-$V77)),""))</f>
        <v/>
      </c>
      <c r="Z77" s="11" t="str">
        <f aca="false">IF($A77="","",IFERROR($I77/$Y77,""))</f>
        <v/>
      </c>
      <c r="AA77" s="13" t="str">
        <f aca="false">IF($A77="","",IFERROR($O77*ABS($X77)/$I77,""))</f>
        <v/>
      </c>
      <c r="AB77" s="13" t="str">
        <f aca="false">IF($A77="","",IFERROR(INDEX(Underlying!$D$1:$D$5000,MATCH($D77,Underlying!$A$1:$A$5000,0)),0))</f>
        <v/>
      </c>
      <c r="AC77" s="7" t="str">
        <f aca="false">IF($A77="","",IF(AND($J77&gt;=OPT_MIN_VOL,$G77&gt;=OPT_MIN_DTE),"بله","خیر"))</f>
        <v/>
      </c>
      <c r="AD77" s="13" t="str">
        <f aca="false">IF($A77="","",IF($AC77="خیر",0,IFERROR(MAX(-10,MIN(10,IF($C77="Call",$AB77,-$AB77)*0.6+IF($Z77&lt;0.85,2,IF($Z77&gt;1.25,-2,0))+IF($Q77="ATM",1,IF($Q77="ITM",0.5,-1))+IF($G77&gt;=30,0.5,-0.5))),0)))</f>
        <v/>
      </c>
      <c r="AE77" s="7" t="str">
        <f aca="false">IF($A77="","",IF($AC77="خیر","بدون سیگنال (نقدشوندگی/سررسید)",IF($AD77&gt;=TH_SBUY,"خرید قوی "&amp;$C77,IF($AD77&gt;=TH_BUY,"خرید "&amp;$C77,IF($AD77&lt;=TH_SSELL,"اجتناب / بستن موقعیت",IF($AD77&lt;=TH_SELL,"ضعیف","بی‌طرف"))))))</f>
        <v/>
      </c>
      <c r="AF77" s="14" t="str">
        <f aca="false">IF($A77="","","سهم پایه: "&amp;IFERROR(TEXT($AB77,"0.0"),"—")&amp;" | وضعیت: "&amp;$Q77&amp;" | نوسان ضمنی: "&amp;IFERROR(TEXT($U77,"0%"),"—")&amp;" | بازار÷نظری: "&amp;IFERROR(TEXT($Z77,"0.00"),"—")&amp;" | اهرم: "&amp;IFERROR(TEXT($AA77,"0.0"),"—")&amp;"x"&amp;" | "&amp;$G77&amp;" روز تا سررسید")</f>
        <v/>
      </c>
    </row>
    <row r="78" customFormat="false" ht="15" hidden="false" customHeight="false" outlineLevel="0" collapsed="false">
      <c r="A78" s="5"/>
      <c r="B78" s="6"/>
      <c r="C78" s="7"/>
      <c r="D78" s="7"/>
      <c r="E78" s="8"/>
      <c r="F78" s="9"/>
      <c r="G78" s="10"/>
      <c r="H78" s="8"/>
      <c r="I78" s="8"/>
      <c r="J78" s="8"/>
      <c r="K78" s="8"/>
      <c r="L78" s="8"/>
      <c r="M78" s="8"/>
      <c r="N78" s="8"/>
      <c r="O78" s="8" t="str">
        <f aca="false">IF($A78="","",IFERROR(INDEX(Underlying!$B$1:$B$5000,MATCH($D78,Underlying!$A$1:$A$5000,0)),""))</f>
        <v/>
      </c>
      <c r="P78" s="11" t="str">
        <f aca="false">IF($A78="","",IFERROR($O78/$E78,""))</f>
        <v/>
      </c>
      <c r="Q78" s="7" t="str">
        <f aca="false">IF($A78="","",IF($P78="","",IF($C78="Call",IF($P78&gt;1+OPT_ATM_BAND,"ITM",IF($P78&lt;1-OPT_ATM_BAND,"OTM","ATM")),IF($P78&lt;1-OPT_ATM_BAND,"ITM",IF($P78&gt;1+OPT_ATM_BAND,"OTM","ATM")))))</f>
        <v/>
      </c>
      <c r="R78" s="8" t="str">
        <f aca="false">IF($A78="","",IFERROR(IF($C78="Call",MAX(0,$O78-$E78),MAX(0,$E78-$O78)),""))</f>
        <v/>
      </c>
      <c r="S78" s="8" t="str">
        <f aca="false">IF($A78="","",IFERROR(MAX(0,$I78-$R78),""))</f>
        <v/>
      </c>
      <c r="T78" s="11" t="str">
        <f aca="false">IF($A78="","",IFERROR($G78/365,""))</f>
        <v/>
      </c>
      <c r="U78" s="12" t="str">
        <f aca="false">IF($A78="","",IF(OR($P78="",ABS($P78-1)&gt;3*OPT_ATM_BAND),"",IFERROR($I78/$O78*SQRT(2*PI()/$T78),"")))</f>
        <v/>
      </c>
      <c r="V78" s="11" t="str">
        <f aca="false">IF($A78="","",IFERROR((LN($O78/$E78)+(OPT_RF+OPT_VOL^2/2)*$T78)/(OPT_VOL*SQRT($T78)),""))</f>
        <v/>
      </c>
      <c r="W78" s="11" t="str">
        <f aca="false">IF($A78="","",IFERROR($V78-OPT_VOL*SQRT($T78),""))</f>
        <v/>
      </c>
      <c r="X78" s="11" t="str">
        <f aca="false">IF($A78="","",IFERROR(IF($C78="Call",NORMSDIST($V78),NORMSDIST($V78)-1),""))</f>
        <v/>
      </c>
      <c r="Y78" s="8" t="str">
        <f aca="false">IF($A78="","",IFERROR(IF($C78="Call",$O78*NORMSDIST($V78)-$E78*EXP(-OPT_RF*$T78)*NORMSDIST($W78),$E78*EXP(-OPT_RF*$T78)*NORMSDIST(-$W78)-$O78*NORMSDIST(-$V78)),""))</f>
        <v/>
      </c>
      <c r="Z78" s="11" t="str">
        <f aca="false">IF($A78="","",IFERROR($I78/$Y78,""))</f>
        <v/>
      </c>
      <c r="AA78" s="13" t="str">
        <f aca="false">IF($A78="","",IFERROR($O78*ABS($X78)/$I78,""))</f>
        <v/>
      </c>
      <c r="AB78" s="13" t="str">
        <f aca="false">IF($A78="","",IFERROR(INDEX(Underlying!$D$1:$D$5000,MATCH($D78,Underlying!$A$1:$A$5000,0)),0))</f>
        <v/>
      </c>
      <c r="AC78" s="7" t="str">
        <f aca="false">IF($A78="","",IF(AND($J78&gt;=OPT_MIN_VOL,$G78&gt;=OPT_MIN_DTE),"بله","خیر"))</f>
        <v/>
      </c>
      <c r="AD78" s="13" t="str">
        <f aca="false">IF($A78="","",IF($AC78="خیر",0,IFERROR(MAX(-10,MIN(10,IF($C78="Call",$AB78,-$AB78)*0.6+IF($Z78&lt;0.85,2,IF($Z78&gt;1.25,-2,0))+IF($Q78="ATM",1,IF($Q78="ITM",0.5,-1))+IF($G78&gt;=30,0.5,-0.5))),0)))</f>
        <v/>
      </c>
      <c r="AE78" s="7" t="str">
        <f aca="false">IF($A78="","",IF($AC78="خیر","بدون سیگنال (نقدشوندگی/سررسید)",IF($AD78&gt;=TH_SBUY,"خرید قوی "&amp;$C78,IF($AD78&gt;=TH_BUY,"خرید "&amp;$C78,IF($AD78&lt;=TH_SSELL,"اجتناب / بستن موقعیت",IF($AD78&lt;=TH_SELL,"ضعیف","بی‌طرف"))))))</f>
        <v/>
      </c>
      <c r="AF78" s="14" t="str">
        <f aca="false">IF($A78="","","سهم پایه: "&amp;IFERROR(TEXT($AB78,"0.0"),"—")&amp;" | وضعیت: "&amp;$Q78&amp;" | نوسان ضمنی: "&amp;IFERROR(TEXT($U78,"0%"),"—")&amp;" | بازار÷نظری: "&amp;IFERROR(TEXT($Z78,"0.00"),"—")&amp;" | اهرم: "&amp;IFERROR(TEXT($AA78,"0.0"),"—")&amp;"x"&amp;" | "&amp;$G78&amp;" روز تا سررسید")</f>
        <v/>
      </c>
    </row>
    <row r="79" customFormat="false" ht="15" hidden="false" customHeight="false" outlineLevel="0" collapsed="false">
      <c r="A79" s="5"/>
      <c r="B79" s="6"/>
      <c r="C79" s="7"/>
      <c r="D79" s="7"/>
      <c r="E79" s="8"/>
      <c r="F79" s="9"/>
      <c r="G79" s="10"/>
      <c r="H79" s="8"/>
      <c r="I79" s="8"/>
      <c r="J79" s="8"/>
      <c r="K79" s="8"/>
      <c r="L79" s="8"/>
      <c r="M79" s="8"/>
      <c r="N79" s="8"/>
      <c r="O79" s="8" t="str">
        <f aca="false">IF($A79="","",IFERROR(INDEX(Underlying!$B$1:$B$5000,MATCH($D79,Underlying!$A$1:$A$5000,0)),""))</f>
        <v/>
      </c>
      <c r="P79" s="11" t="str">
        <f aca="false">IF($A79="","",IFERROR($O79/$E79,""))</f>
        <v/>
      </c>
      <c r="Q79" s="7" t="str">
        <f aca="false">IF($A79="","",IF($P79="","",IF($C79="Call",IF($P79&gt;1+OPT_ATM_BAND,"ITM",IF($P79&lt;1-OPT_ATM_BAND,"OTM","ATM")),IF($P79&lt;1-OPT_ATM_BAND,"ITM",IF($P79&gt;1+OPT_ATM_BAND,"OTM","ATM")))))</f>
        <v/>
      </c>
      <c r="R79" s="8" t="str">
        <f aca="false">IF($A79="","",IFERROR(IF($C79="Call",MAX(0,$O79-$E79),MAX(0,$E79-$O79)),""))</f>
        <v/>
      </c>
      <c r="S79" s="8" t="str">
        <f aca="false">IF($A79="","",IFERROR(MAX(0,$I79-$R79),""))</f>
        <v/>
      </c>
      <c r="T79" s="11" t="str">
        <f aca="false">IF($A79="","",IFERROR($G79/365,""))</f>
        <v/>
      </c>
      <c r="U79" s="12" t="str">
        <f aca="false">IF($A79="","",IF(OR($P79="",ABS($P79-1)&gt;3*OPT_ATM_BAND),"",IFERROR($I79/$O79*SQRT(2*PI()/$T79),"")))</f>
        <v/>
      </c>
      <c r="V79" s="11" t="str">
        <f aca="false">IF($A79="","",IFERROR((LN($O79/$E79)+(OPT_RF+OPT_VOL^2/2)*$T79)/(OPT_VOL*SQRT($T79)),""))</f>
        <v/>
      </c>
      <c r="W79" s="11" t="str">
        <f aca="false">IF($A79="","",IFERROR($V79-OPT_VOL*SQRT($T79),""))</f>
        <v/>
      </c>
      <c r="X79" s="11" t="str">
        <f aca="false">IF($A79="","",IFERROR(IF($C79="Call",NORMSDIST($V79),NORMSDIST($V79)-1),""))</f>
        <v/>
      </c>
      <c r="Y79" s="8" t="str">
        <f aca="false">IF($A79="","",IFERROR(IF($C79="Call",$O79*NORMSDIST($V79)-$E79*EXP(-OPT_RF*$T79)*NORMSDIST($W79),$E79*EXP(-OPT_RF*$T79)*NORMSDIST(-$W79)-$O79*NORMSDIST(-$V79)),""))</f>
        <v/>
      </c>
      <c r="Z79" s="11" t="str">
        <f aca="false">IF($A79="","",IFERROR($I79/$Y79,""))</f>
        <v/>
      </c>
      <c r="AA79" s="13" t="str">
        <f aca="false">IF($A79="","",IFERROR($O79*ABS($X79)/$I79,""))</f>
        <v/>
      </c>
      <c r="AB79" s="13" t="str">
        <f aca="false">IF($A79="","",IFERROR(INDEX(Underlying!$D$1:$D$5000,MATCH($D79,Underlying!$A$1:$A$5000,0)),0))</f>
        <v/>
      </c>
      <c r="AC79" s="7" t="str">
        <f aca="false">IF($A79="","",IF(AND($J79&gt;=OPT_MIN_VOL,$G79&gt;=OPT_MIN_DTE),"بله","خیر"))</f>
        <v/>
      </c>
      <c r="AD79" s="13" t="str">
        <f aca="false">IF($A79="","",IF($AC79="خیر",0,IFERROR(MAX(-10,MIN(10,IF($C79="Call",$AB79,-$AB79)*0.6+IF($Z79&lt;0.85,2,IF($Z79&gt;1.25,-2,0))+IF($Q79="ATM",1,IF($Q79="ITM",0.5,-1))+IF($G79&gt;=30,0.5,-0.5))),0)))</f>
        <v/>
      </c>
      <c r="AE79" s="7" t="str">
        <f aca="false">IF($A79="","",IF($AC79="خیر","بدون سیگنال (نقدشوندگی/سررسید)",IF($AD79&gt;=TH_SBUY,"خرید قوی "&amp;$C79,IF($AD79&gt;=TH_BUY,"خرید "&amp;$C79,IF($AD79&lt;=TH_SSELL,"اجتناب / بستن موقعیت",IF($AD79&lt;=TH_SELL,"ضعیف","بی‌طرف"))))))</f>
        <v/>
      </c>
      <c r="AF79" s="14" t="str">
        <f aca="false">IF($A79="","","سهم پایه: "&amp;IFERROR(TEXT($AB79,"0.0"),"—")&amp;" | وضعیت: "&amp;$Q79&amp;" | نوسان ضمنی: "&amp;IFERROR(TEXT($U79,"0%"),"—")&amp;" | بازار÷نظری: "&amp;IFERROR(TEXT($Z79,"0.00"),"—")&amp;" | اهرم: "&amp;IFERROR(TEXT($AA79,"0.0"),"—")&amp;"x"&amp;" | "&amp;$G79&amp;" روز تا سررسید")</f>
        <v/>
      </c>
    </row>
    <row r="80" customFormat="false" ht="15" hidden="false" customHeight="false" outlineLevel="0" collapsed="false">
      <c r="A80" s="5"/>
      <c r="B80" s="6"/>
      <c r="C80" s="7"/>
      <c r="D80" s="7"/>
      <c r="E80" s="8"/>
      <c r="F80" s="9"/>
      <c r="G80" s="10"/>
      <c r="H80" s="8"/>
      <c r="I80" s="8"/>
      <c r="J80" s="8"/>
      <c r="K80" s="8"/>
      <c r="L80" s="8"/>
      <c r="M80" s="8"/>
      <c r="N80" s="8"/>
      <c r="O80" s="8" t="str">
        <f aca="false">IF($A80="","",IFERROR(INDEX(Underlying!$B$1:$B$5000,MATCH($D80,Underlying!$A$1:$A$5000,0)),""))</f>
        <v/>
      </c>
      <c r="P80" s="11" t="str">
        <f aca="false">IF($A80="","",IFERROR($O80/$E80,""))</f>
        <v/>
      </c>
      <c r="Q80" s="7" t="str">
        <f aca="false">IF($A80="","",IF($P80="","",IF($C80="Call",IF($P80&gt;1+OPT_ATM_BAND,"ITM",IF($P80&lt;1-OPT_ATM_BAND,"OTM","ATM")),IF($P80&lt;1-OPT_ATM_BAND,"ITM",IF($P80&gt;1+OPT_ATM_BAND,"OTM","ATM")))))</f>
        <v/>
      </c>
      <c r="R80" s="8" t="str">
        <f aca="false">IF($A80="","",IFERROR(IF($C80="Call",MAX(0,$O80-$E80),MAX(0,$E80-$O80)),""))</f>
        <v/>
      </c>
      <c r="S80" s="8" t="str">
        <f aca="false">IF($A80="","",IFERROR(MAX(0,$I80-$R80),""))</f>
        <v/>
      </c>
      <c r="T80" s="11" t="str">
        <f aca="false">IF($A80="","",IFERROR($G80/365,""))</f>
        <v/>
      </c>
      <c r="U80" s="12" t="str">
        <f aca="false">IF($A80="","",IF(OR($P80="",ABS($P80-1)&gt;3*OPT_ATM_BAND),"",IFERROR($I80/$O80*SQRT(2*PI()/$T80),"")))</f>
        <v/>
      </c>
      <c r="V80" s="11" t="str">
        <f aca="false">IF($A80="","",IFERROR((LN($O80/$E80)+(OPT_RF+OPT_VOL^2/2)*$T80)/(OPT_VOL*SQRT($T80)),""))</f>
        <v/>
      </c>
      <c r="W80" s="11" t="str">
        <f aca="false">IF($A80="","",IFERROR($V80-OPT_VOL*SQRT($T80),""))</f>
        <v/>
      </c>
      <c r="X80" s="11" t="str">
        <f aca="false">IF($A80="","",IFERROR(IF($C80="Call",NORMSDIST($V80),NORMSDIST($V80)-1),""))</f>
        <v/>
      </c>
      <c r="Y80" s="8" t="str">
        <f aca="false">IF($A80="","",IFERROR(IF($C80="Call",$O80*NORMSDIST($V80)-$E80*EXP(-OPT_RF*$T80)*NORMSDIST($W80),$E80*EXP(-OPT_RF*$T80)*NORMSDIST(-$W80)-$O80*NORMSDIST(-$V80)),""))</f>
        <v/>
      </c>
      <c r="Z80" s="11" t="str">
        <f aca="false">IF($A80="","",IFERROR($I80/$Y80,""))</f>
        <v/>
      </c>
      <c r="AA80" s="13" t="str">
        <f aca="false">IF($A80="","",IFERROR($O80*ABS($X80)/$I80,""))</f>
        <v/>
      </c>
      <c r="AB80" s="13" t="str">
        <f aca="false">IF($A80="","",IFERROR(INDEX(Underlying!$D$1:$D$5000,MATCH($D80,Underlying!$A$1:$A$5000,0)),0))</f>
        <v/>
      </c>
      <c r="AC80" s="7" t="str">
        <f aca="false">IF($A80="","",IF(AND($J80&gt;=OPT_MIN_VOL,$G80&gt;=OPT_MIN_DTE),"بله","خیر"))</f>
        <v/>
      </c>
      <c r="AD80" s="13" t="str">
        <f aca="false">IF($A80="","",IF($AC80="خیر",0,IFERROR(MAX(-10,MIN(10,IF($C80="Call",$AB80,-$AB80)*0.6+IF($Z80&lt;0.85,2,IF($Z80&gt;1.25,-2,0))+IF($Q80="ATM",1,IF($Q80="ITM",0.5,-1))+IF($G80&gt;=30,0.5,-0.5))),0)))</f>
        <v/>
      </c>
      <c r="AE80" s="7" t="str">
        <f aca="false">IF($A80="","",IF($AC80="خیر","بدون سیگنال (نقدشوندگی/سررسید)",IF($AD80&gt;=TH_SBUY,"خرید قوی "&amp;$C80,IF($AD80&gt;=TH_BUY,"خرید "&amp;$C80,IF($AD80&lt;=TH_SSELL,"اجتناب / بستن موقعیت",IF($AD80&lt;=TH_SELL,"ضعیف","بی‌طرف"))))))</f>
        <v/>
      </c>
      <c r="AF80" s="14" t="str">
        <f aca="false">IF($A80="","","سهم پایه: "&amp;IFERROR(TEXT($AB80,"0.0"),"—")&amp;" | وضعیت: "&amp;$Q80&amp;" | نوسان ضمنی: "&amp;IFERROR(TEXT($U80,"0%"),"—")&amp;" | بازار÷نظری: "&amp;IFERROR(TEXT($Z80,"0.00"),"—")&amp;" | اهرم: "&amp;IFERROR(TEXT($AA80,"0.0"),"—")&amp;"x"&amp;" | "&amp;$G80&amp;" روز تا سررسید")</f>
        <v/>
      </c>
    </row>
    <row r="81" customFormat="false" ht="15" hidden="false" customHeight="false" outlineLevel="0" collapsed="false">
      <c r="A81" s="5"/>
      <c r="B81" s="6"/>
      <c r="C81" s="7"/>
      <c r="D81" s="7"/>
      <c r="E81" s="8"/>
      <c r="F81" s="9"/>
      <c r="G81" s="10"/>
      <c r="H81" s="8"/>
      <c r="I81" s="8"/>
      <c r="J81" s="8"/>
      <c r="K81" s="8"/>
      <c r="L81" s="8"/>
      <c r="M81" s="8"/>
      <c r="N81" s="8"/>
      <c r="O81" s="8" t="str">
        <f aca="false">IF($A81="","",IFERROR(INDEX(Underlying!$B$1:$B$5000,MATCH($D81,Underlying!$A$1:$A$5000,0)),""))</f>
        <v/>
      </c>
      <c r="P81" s="11" t="str">
        <f aca="false">IF($A81="","",IFERROR($O81/$E81,""))</f>
        <v/>
      </c>
      <c r="Q81" s="7" t="str">
        <f aca="false">IF($A81="","",IF($P81="","",IF($C81="Call",IF($P81&gt;1+OPT_ATM_BAND,"ITM",IF($P81&lt;1-OPT_ATM_BAND,"OTM","ATM")),IF($P81&lt;1-OPT_ATM_BAND,"ITM",IF($P81&gt;1+OPT_ATM_BAND,"OTM","ATM")))))</f>
        <v/>
      </c>
      <c r="R81" s="8" t="str">
        <f aca="false">IF($A81="","",IFERROR(IF($C81="Call",MAX(0,$O81-$E81),MAX(0,$E81-$O81)),""))</f>
        <v/>
      </c>
      <c r="S81" s="8" t="str">
        <f aca="false">IF($A81="","",IFERROR(MAX(0,$I81-$R81),""))</f>
        <v/>
      </c>
      <c r="T81" s="11" t="str">
        <f aca="false">IF($A81="","",IFERROR($G81/365,""))</f>
        <v/>
      </c>
      <c r="U81" s="12" t="str">
        <f aca="false">IF($A81="","",IF(OR($P81="",ABS($P81-1)&gt;3*OPT_ATM_BAND),"",IFERROR($I81/$O81*SQRT(2*PI()/$T81),"")))</f>
        <v/>
      </c>
      <c r="V81" s="11" t="str">
        <f aca="false">IF($A81="","",IFERROR((LN($O81/$E81)+(OPT_RF+OPT_VOL^2/2)*$T81)/(OPT_VOL*SQRT($T81)),""))</f>
        <v/>
      </c>
      <c r="W81" s="11" t="str">
        <f aca="false">IF($A81="","",IFERROR($V81-OPT_VOL*SQRT($T81),""))</f>
        <v/>
      </c>
      <c r="X81" s="11" t="str">
        <f aca="false">IF($A81="","",IFERROR(IF($C81="Call",NORMSDIST($V81),NORMSDIST($V81)-1),""))</f>
        <v/>
      </c>
      <c r="Y81" s="8" t="str">
        <f aca="false">IF($A81="","",IFERROR(IF($C81="Call",$O81*NORMSDIST($V81)-$E81*EXP(-OPT_RF*$T81)*NORMSDIST($W81),$E81*EXP(-OPT_RF*$T81)*NORMSDIST(-$W81)-$O81*NORMSDIST(-$V81)),""))</f>
        <v/>
      </c>
      <c r="Z81" s="11" t="str">
        <f aca="false">IF($A81="","",IFERROR($I81/$Y81,""))</f>
        <v/>
      </c>
      <c r="AA81" s="13" t="str">
        <f aca="false">IF($A81="","",IFERROR($O81*ABS($X81)/$I81,""))</f>
        <v/>
      </c>
      <c r="AB81" s="13" t="str">
        <f aca="false">IF($A81="","",IFERROR(INDEX(Underlying!$D$1:$D$5000,MATCH($D81,Underlying!$A$1:$A$5000,0)),0))</f>
        <v/>
      </c>
      <c r="AC81" s="7" t="str">
        <f aca="false">IF($A81="","",IF(AND($J81&gt;=OPT_MIN_VOL,$G81&gt;=OPT_MIN_DTE),"بله","خیر"))</f>
        <v/>
      </c>
      <c r="AD81" s="13" t="str">
        <f aca="false">IF($A81="","",IF($AC81="خیر",0,IFERROR(MAX(-10,MIN(10,IF($C81="Call",$AB81,-$AB81)*0.6+IF($Z81&lt;0.85,2,IF($Z81&gt;1.25,-2,0))+IF($Q81="ATM",1,IF($Q81="ITM",0.5,-1))+IF($G81&gt;=30,0.5,-0.5))),0)))</f>
        <v/>
      </c>
      <c r="AE81" s="7" t="str">
        <f aca="false">IF($A81="","",IF($AC81="خیر","بدون سیگنال (نقدشوندگی/سررسید)",IF($AD81&gt;=TH_SBUY,"خرید قوی "&amp;$C81,IF($AD81&gt;=TH_BUY,"خرید "&amp;$C81,IF($AD81&lt;=TH_SSELL,"اجتناب / بستن موقعیت",IF($AD81&lt;=TH_SELL,"ضعیف","بی‌طرف"))))))</f>
        <v/>
      </c>
      <c r="AF81" s="14" t="str">
        <f aca="false">IF($A81="","","سهم پایه: "&amp;IFERROR(TEXT($AB81,"0.0"),"—")&amp;" | وضعیت: "&amp;$Q81&amp;" | نوسان ضمنی: "&amp;IFERROR(TEXT($U81,"0%"),"—")&amp;" | بازار÷نظری: "&amp;IFERROR(TEXT($Z81,"0.00"),"—")&amp;" | اهرم: "&amp;IFERROR(TEXT($AA81,"0.0"),"—")&amp;"x"&amp;" | "&amp;$G81&amp;" روز تا سررسید")</f>
        <v/>
      </c>
    </row>
    <row r="82" customFormat="false" ht="15" hidden="false" customHeight="false" outlineLevel="0" collapsed="false">
      <c r="A82" s="5"/>
      <c r="B82" s="6"/>
      <c r="C82" s="7"/>
      <c r="D82" s="7"/>
      <c r="E82" s="8"/>
      <c r="F82" s="9"/>
      <c r="G82" s="10"/>
      <c r="H82" s="8"/>
      <c r="I82" s="8"/>
      <c r="J82" s="8"/>
      <c r="K82" s="8"/>
      <c r="L82" s="8"/>
      <c r="M82" s="8"/>
      <c r="N82" s="8"/>
      <c r="O82" s="8" t="str">
        <f aca="false">IF($A82="","",IFERROR(INDEX(Underlying!$B$1:$B$5000,MATCH($D82,Underlying!$A$1:$A$5000,0)),""))</f>
        <v/>
      </c>
      <c r="P82" s="11" t="str">
        <f aca="false">IF($A82="","",IFERROR($O82/$E82,""))</f>
        <v/>
      </c>
      <c r="Q82" s="7" t="str">
        <f aca="false">IF($A82="","",IF($P82="","",IF($C82="Call",IF($P82&gt;1+OPT_ATM_BAND,"ITM",IF($P82&lt;1-OPT_ATM_BAND,"OTM","ATM")),IF($P82&lt;1-OPT_ATM_BAND,"ITM",IF($P82&gt;1+OPT_ATM_BAND,"OTM","ATM")))))</f>
        <v/>
      </c>
      <c r="R82" s="8" t="str">
        <f aca="false">IF($A82="","",IFERROR(IF($C82="Call",MAX(0,$O82-$E82),MAX(0,$E82-$O82)),""))</f>
        <v/>
      </c>
      <c r="S82" s="8" t="str">
        <f aca="false">IF($A82="","",IFERROR(MAX(0,$I82-$R82),""))</f>
        <v/>
      </c>
      <c r="T82" s="11" t="str">
        <f aca="false">IF($A82="","",IFERROR($G82/365,""))</f>
        <v/>
      </c>
      <c r="U82" s="12" t="str">
        <f aca="false">IF($A82="","",IF(OR($P82="",ABS($P82-1)&gt;3*OPT_ATM_BAND),"",IFERROR($I82/$O82*SQRT(2*PI()/$T82),"")))</f>
        <v/>
      </c>
      <c r="V82" s="11" t="str">
        <f aca="false">IF($A82="","",IFERROR((LN($O82/$E82)+(OPT_RF+OPT_VOL^2/2)*$T82)/(OPT_VOL*SQRT($T82)),""))</f>
        <v/>
      </c>
      <c r="W82" s="11" t="str">
        <f aca="false">IF($A82="","",IFERROR($V82-OPT_VOL*SQRT($T82),""))</f>
        <v/>
      </c>
      <c r="X82" s="11" t="str">
        <f aca="false">IF($A82="","",IFERROR(IF($C82="Call",NORMSDIST($V82),NORMSDIST($V82)-1),""))</f>
        <v/>
      </c>
      <c r="Y82" s="8" t="str">
        <f aca="false">IF($A82="","",IFERROR(IF($C82="Call",$O82*NORMSDIST($V82)-$E82*EXP(-OPT_RF*$T82)*NORMSDIST($W82),$E82*EXP(-OPT_RF*$T82)*NORMSDIST(-$W82)-$O82*NORMSDIST(-$V82)),""))</f>
        <v/>
      </c>
      <c r="Z82" s="11" t="str">
        <f aca="false">IF($A82="","",IFERROR($I82/$Y82,""))</f>
        <v/>
      </c>
      <c r="AA82" s="13" t="str">
        <f aca="false">IF($A82="","",IFERROR($O82*ABS($X82)/$I82,""))</f>
        <v/>
      </c>
      <c r="AB82" s="13" t="str">
        <f aca="false">IF($A82="","",IFERROR(INDEX(Underlying!$D$1:$D$5000,MATCH($D82,Underlying!$A$1:$A$5000,0)),0))</f>
        <v/>
      </c>
      <c r="AC82" s="7" t="str">
        <f aca="false">IF($A82="","",IF(AND($J82&gt;=OPT_MIN_VOL,$G82&gt;=OPT_MIN_DTE),"بله","خیر"))</f>
        <v/>
      </c>
      <c r="AD82" s="13" t="str">
        <f aca="false">IF($A82="","",IF($AC82="خیر",0,IFERROR(MAX(-10,MIN(10,IF($C82="Call",$AB82,-$AB82)*0.6+IF($Z82&lt;0.85,2,IF($Z82&gt;1.25,-2,0))+IF($Q82="ATM",1,IF($Q82="ITM",0.5,-1))+IF($G82&gt;=30,0.5,-0.5))),0)))</f>
        <v/>
      </c>
      <c r="AE82" s="7" t="str">
        <f aca="false">IF($A82="","",IF($AC82="خیر","بدون سیگنال (نقدشوندگی/سررسید)",IF($AD82&gt;=TH_SBUY,"خرید قوی "&amp;$C82,IF($AD82&gt;=TH_BUY,"خرید "&amp;$C82,IF($AD82&lt;=TH_SSELL,"اجتناب / بستن موقعیت",IF($AD82&lt;=TH_SELL,"ضعیف","بی‌طرف"))))))</f>
        <v/>
      </c>
      <c r="AF82" s="14" t="str">
        <f aca="false">IF($A82="","","سهم پایه: "&amp;IFERROR(TEXT($AB82,"0.0"),"—")&amp;" | وضعیت: "&amp;$Q82&amp;" | نوسان ضمنی: "&amp;IFERROR(TEXT($U82,"0%"),"—")&amp;" | بازار÷نظری: "&amp;IFERROR(TEXT($Z82,"0.00"),"—")&amp;" | اهرم: "&amp;IFERROR(TEXT($AA82,"0.0"),"—")&amp;"x"&amp;" | "&amp;$G82&amp;" روز تا سررسید")</f>
        <v/>
      </c>
    </row>
    <row r="83" customFormat="false" ht="15" hidden="false" customHeight="false" outlineLevel="0" collapsed="false">
      <c r="A83" s="5"/>
      <c r="B83" s="6"/>
      <c r="C83" s="7"/>
      <c r="D83" s="7"/>
      <c r="E83" s="8"/>
      <c r="F83" s="9"/>
      <c r="G83" s="10"/>
      <c r="H83" s="8"/>
      <c r="I83" s="8"/>
      <c r="J83" s="8"/>
      <c r="K83" s="8"/>
      <c r="L83" s="8"/>
      <c r="M83" s="8"/>
      <c r="N83" s="8"/>
      <c r="O83" s="8" t="str">
        <f aca="false">IF($A83="","",IFERROR(INDEX(Underlying!$B$1:$B$5000,MATCH($D83,Underlying!$A$1:$A$5000,0)),""))</f>
        <v/>
      </c>
      <c r="P83" s="11" t="str">
        <f aca="false">IF($A83="","",IFERROR($O83/$E83,""))</f>
        <v/>
      </c>
      <c r="Q83" s="7" t="str">
        <f aca="false">IF($A83="","",IF($P83="","",IF($C83="Call",IF($P83&gt;1+OPT_ATM_BAND,"ITM",IF($P83&lt;1-OPT_ATM_BAND,"OTM","ATM")),IF($P83&lt;1-OPT_ATM_BAND,"ITM",IF($P83&gt;1+OPT_ATM_BAND,"OTM","ATM")))))</f>
        <v/>
      </c>
      <c r="R83" s="8" t="str">
        <f aca="false">IF($A83="","",IFERROR(IF($C83="Call",MAX(0,$O83-$E83),MAX(0,$E83-$O83)),""))</f>
        <v/>
      </c>
      <c r="S83" s="8" t="str">
        <f aca="false">IF($A83="","",IFERROR(MAX(0,$I83-$R83),""))</f>
        <v/>
      </c>
      <c r="T83" s="11" t="str">
        <f aca="false">IF($A83="","",IFERROR($G83/365,""))</f>
        <v/>
      </c>
      <c r="U83" s="12" t="str">
        <f aca="false">IF($A83="","",IF(OR($P83="",ABS($P83-1)&gt;3*OPT_ATM_BAND),"",IFERROR($I83/$O83*SQRT(2*PI()/$T83),"")))</f>
        <v/>
      </c>
      <c r="V83" s="11" t="str">
        <f aca="false">IF($A83="","",IFERROR((LN($O83/$E83)+(OPT_RF+OPT_VOL^2/2)*$T83)/(OPT_VOL*SQRT($T83)),""))</f>
        <v/>
      </c>
      <c r="W83" s="11" t="str">
        <f aca="false">IF($A83="","",IFERROR($V83-OPT_VOL*SQRT($T83),""))</f>
        <v/>
      </c>
      <c r="X83" s="11" t="str">
        <f aca="false">IF($A83="","",IFERROR(IF($C83="Call",NORMSDIST($V83),NORMSDIST($V83)-1),""))</f>
        <v/>
      </c>
      <c r="Y83" s="8" t="str">
        <f aca="false">IF($A83="","",IFERROR(IF($C83="Call",$O83*NORMSDIST($V83)-$E83*EXP(-OPT_RF*$T83)*NORMSDIST($W83),$E83*EXP(-OPT_RF*$T83)*NORMSDIST(-$W83)-$O83*NORMSDIST(-$V83)),""))</f>
        <v/>
      </c>
      <c r="Z83" s="11" t="str">
        <f aca="false">IF($A83="","",IFERROR($I83/$Y83,""))</f>
        <v/>
      </c>
      <c r="AA83" s="13" t="str">
        <f aca="false">IF($A83="","",IFERROR($O83*ABS($X83)/$I83,""))</f>
        <v/>
      </c>
      <c r="AB83" s="13" t="str">
        <f aca="false">IF($A83="","",IFERROR(INDEX(Underlying!$D$1:$D$5000,MATCH($D83,Underlying!$A$1:$A$5000,0)),0))</f>
        <v/>
      </c>
      <c r="AC83" s="7" t="str">
        <f aca="false">IF($A83="","",IF(AND($J83&gt;=OPT_MIN_VOL,$G83&gt;=OPT_MIN_DTE),"بله","خیر"))</f>
        <v/>
      </c>
      <c r="AD83" s="13" t="str">
        <f aca="false">IF($A83="","",IF($AC83="خیر",0,IFERROR(MAX(-10,MIN(10,IF($C83="Call",$AB83,-$AB83)*0.6+IF($Z83&lt;0.85,2,IF($Z83&gt;1.25,-2,0))+IF($Q83="ATM",1,IF($Q83="ITM",0.5,-1))+IF($G83&gt;=30,0.5,-0.5))),0)))</f>
        <v/>
      </c>
      <c r="AE83" s="7" t="str">
        <f aca="false">IF($A83="","",IF($AC83="خیر","بدون سیگنال (نقدشوندگی/سررسید)",IF($AD83&gt;=TH_SBUY,"خرید قوی "&amp;$C83,IF($AD83&gt;=TH_BUY,"خرید "&amp;$C83,IF($AD83&lt;=TH_SSELL,"اجتناب / بستن موقعیت",IF($AD83&lt;=TH_SELL,"ضعیف","بی‌طرف"))))))</f>
        <v/>
      </c>
      <c r="AF83" s="14" t="str">
        <f aca="false">IF($A83="","","سهم پایه: "&amp;IFERROR(TEXT($AB83,"0.0"),"—")&amp;" | وضعیت: "&amp;$Q83&amp;" | نوسان ضمنی: "&amp;IFERROR(TEXT($U83,"0%"),"—")&amp;" | بازار÷نظری: "&amp;IFERROR(TEXT($Z83,"0.00"),"—")&amp;" | اهرم: "&amp;IFERROR(TEXT($AA83,"0.0"),"—")&amp;"x"&amp;" | "&amp;$G83&amp;" روز تا سررسید")</f>
        <v/>
      </c>
    </row>
    <row r="84" customFormat="false" ht="15" hidden="false" customHeight="false" outlineLevel="0" collapsed="false">
      <c r="A84" s="5"/>
      <c r="B84" s="6"/>
      <c r="C84" s="7"/>
      <c r="D84" s="7"/>
      <c r="E84" s="8"/>
      <c r="F84" s="9"/>
      <c r="G84" s="10"/>
      <c r="H84" s="8"/>
      <c r="I84" s="8"/>
      <c r="J84" s="8"/>
      <c r="K84" s="8"/>
      <c r="L84" s="8"/>
      <c r="M84" s="8"/>
      <c r="N84" s="8"/>
      <c r="O84" s="8" t="str">
        <f aca="false">IF($A84="","",IFERROR(INDEX(Underlying!$B$1:$B$5000,MATCH($D84,Underlying!$A$1:$A$5000,0)),""))</f>
        <v/>
      </c>
      <c r="P84" s="11" t="str">
        <f aca="false">IF($A84="","",IFERROR($O84/$E84,""))</f>
        <v/>
      </c>
      <c r="Q84" s="7" t="str">
        <f aca="false">IF($A84="","",IF($P84="","",IF($C84="Call",IF($P84&gt;1+OPT_ATM_BAND,"ITM",IF($P84&lt;1-OPT_ATM_BAND,"OTM","ATM")),IF($P84&lt;1-OPT_ATM_BAND,"ITM",IF($P84&gt;1+OPT_ATM_BAND,"OTM","ATM")))))</f>
        <v/>
      </c>
      <c r="R84" s="8" t="str">
        <f aca="false">IF($A84="","",IFERROR(IF($C84="Call",MAX(0,$O84-$E84),MAX(0,$E84-$O84)),""))</f>
        <v/>
      </c>
      <c r="S84" s="8" t="str">
        <f aca="false">IF($A84="","",IFERROR(MAX(0,$I84-$R84),""))</f>
        <v/>
      </c>
      <c r="T84" s="11" t="str">
        <f aca="false">IF($A84="","",IFERROR($G84/365,""))</f>
        <v/>
      </c>
      <c r="U84" s="12" t="str">
        <f aca="false">IF($A84="","",IF(OR($P84="",ABS($P84-1)&gt;3*OPT_ATM_BAND),"",IFERROR($I84/$O84*SQRT(2*PI()/$T84),"")))</f>
        <v/>
      </c>
      <c r="V84" s="11" t="str">
        <f aca="false">IF($A84="","",IFERROR((LN($O84/$E84)+(OPT_RF+OPT_VOL^2/2)*$T84)/(OPT_VOL*SQRT($T84)),""))</f>
        <v/>
      </c>
      <c r="W84" s="11" t="str">
        <f aca="false">IF($A84="","",IFERROR($V84-OPT_VOL*SQRT($T84),""))</f>
        <v/>
      </c>
      <c r="X84" s="11" t="str">
        <f aca="false">IF($A84="","",IFERROR(IF($C84="Call",NORMSDIST($V84),NORMSDIST($V84)-1),""))</f>
        <v/>
      </c>
      <c r="Y84" s="8" t="str">
        <f aca="false">IF($A84="","",IFERROR(IF($C84="Call",$O84*NORMSDIST($V84)-$E84*EXP(-OPT_RF*$T84)*NORMSDIST($W84),$E84*EXP(-OPT_RF*$T84)*NORMSDIST(-$W84)-$O84*NORMSDIST(-$V84)),""))</f>
        <v/>
      </c>
      <c r="Z84" s="11" t="str">
        <f aca="false">IF($A84="","",IFERROR($I84/$Y84,""))</f>
        <v/>
      </c>
      <c r="AA84" s="13" t="str">
        <f aca="false">IF($A84="","",IFERROR($O84*ABS($X84)/$I84,""))</f>
        <v/>
      </c>
      <c r="AB84" s="13" t="str">
        <f aca="false">IF($A84="","",IFERROR(INDEX(Underlying!$D$1:$D$5000,MATCH($D84,Underlying!$A$1:$A$5000,0)),0))</f>
        <v/>
      </c>
      <c r="AC84" s="7" t="str">
        <f aca="false">IF($A84="","",IF(AND($J84&gt;=OPT_MIN_VOL,$G84&gt;=OPT_MIN_DTE),"بله","خیر"))</f>
        <v/>
      </c>
      <c r="AD84" s="13" t="str">
        <f aca="false">IF($A84="","",IF($AC84="خیر",0,IFERROR(MAX(-10,MIN(10,IF($C84="Call",$AB84,-$AB84)*0.6+IF($Z84&lt;0.85,2,IF($Z84&gt;1.25,-2,0))+IF($Q84="ATM",1,IF($Q84="ITM",0.5,-1))+IF($G84&gt;=30,0.5,-0.5))),0)))</f>
        <v/>
      </c>
      <c r="AE84" s="7" t="str">
        <f aca="false">IF($A84="","",IF($AC84="خیر","بدون سیگنال (نقدشوندگی/سررسید)",IF($AD84&gt;=TH_SBUY,"خرید قوی "&amp;$C84,IF($AD84&gt;=TH_BUY,"خرید "&amp;$C84,IF($AD84&lt;=TH_SSELL,"اجتناب / بستن موقعیت",IF($AD84&lt;=TH_SELL,"ضعیف","بی‌طرف"))))))</f>
        <v/>
      </c>
      <c r="AF84" s="14" t="str">
        <f aca="false">IF($A84="","","سهم پایه: "&amp;IFERROR(TEXT($AB84,"0.0"),"—")&amp;" | وضعیت: "&amp;$Q84&amp;" | نوسان ضمنی: "&amp;IFERROR(TEXT($U84,"0%"),"—")&amp;" | بازار÷نظری: "&amp;IFERROR(TEXT($Z84,"0.00"),"—")&amp;" | اهرم: "&amp;IFERROR(TEXT($AA84,"0.0"),"—")&amp;"x"&amp;" | "&amp;$G84&amp;" روز تا سررسید")</f>
        <v/>
      </c>
    </row>
    <row r="85" customFormat="false" ht="15" hidden="false" customHeight="false" outlineLevel="0" collapsed="false">
      <c r="A85" s="5"/>
      <c r="B85" s="6"/>
      <c r="C85" s="7"/>
      <c r="D85" s="7"/>
      <c r="E85" s="8"/>
      <c r="F85" s="9"/>
      <c r="G85" s="10"/>
      <c r="H85" s="8"/>
      <c r="I85" s="8"/>
      <c r="J85" s="8"/>
      <c r="K85" s="8"/>
      <c r="L85" s="8"/>
      <c r="M85" s="8"/>
      <c r="N85" s="8"/>
      <c r="O85" s="8" t="str">
        <f aca="false">IF($A85="","",IFERROR(INDEX(Underlying!$B$1:$B$5000,MATCH($D85,Underlying!$A$1:$A$5000,0)),""))</f>
        <v/>
      </c>
      <c r="P85" s="11" t="str">
        <f aca="false">IF($A85="","",IFERROR($O85/$E85,""))</f>
        <v/>
      </c>
      <c r="Q85" s="7" t="str">
        <f aca="false">IF($A85="","",IF($P85="","",IF($C85="Call",IF($P85&gt;1+OPT_ATM_BAND,"ITM",IF($P85&lt;1-OPT_ATM_BAND,"OTM","ATM")),IF($P85&lt;1-OPT_ATM_BAND,"ITM",IF($P85&gt;1+OPT_ATM_BAND,"OTM","ATM")))))</f>
        <v/>
      </c>
      <c r="R85" s="8" t="str">
        <f aca="false">IF($A85="","",IFERROR(IF($C85="Call",MAX(0,$O85-$E85),MAX(0,$E85-$O85)),""))</f>
        <v/>
      </c>
      <c r="S85" s="8" t="str">
        <f aca="false">IF($A85="","",IFERROR(MAX(0,$I85-$R85),""))</f>
        <v/>
      </c>
      <c r="T85" s="11" t="str">
        <f aca="false">IF($A85="","",IFERROR($G85/365,""))</f>
        <v/>
      </c>
      <c r="U85" s="12" t="str">
        <f aca="false">IF($A85="","",IF(OR($P85="",ABS($P85-1)&gt;3*OPT_ATM_BAND),"",IFERROR($I85/$O85*SQRT(2*PI()/$T85),"")))</f>
        <v/>
      </c>
      <c r="V85" s="11" t="str">
        <f aca="false">IF($A85="","",IFERROR((LN($O85/$E85)+(OPT_RF+OPT_VOL^2/2)*$T85)/(OPT_VOL*SQRT($T85)),""))</f>
        <v/>
      </c>
      <c r="W85" s="11" t="str">
        <f aca="false">IF($A85="","",IFERROR($V85-OPT_VOL*SQRT($T85),""))</f>
        <v/>
      </c>
      <c r="X85" s="11" t="str">
        <f aca="false">IF($A85="","",IFERROR(IF($C85="Call",NORMSDIST($V85),NORMSDIST($V85)-1),""))</f>
        <v/>
      </c>
      <c r="Y85" s="8" t="str">
        <f aca="false">IF($A85="","",IFERROR(IF($C85="Call",$O85*NORMSDIST($V85)-$E85*EXP(-OPT_RF*$T85)*NORMSDIST($W85),$E85*EXP(-OPT_RF*$T85)*NORMSDIST(-$W85)-$O85*NORMSDIST(-$V85)),""))</f>
        <v/>
      </c>
      <c r="Z85" s="11" t="str">
        <f aca="false">IF($A85="","",IFERROR($I85/$Y85,""))</f>
        <v/>
      </c>
      <c r="AA85" s="13" t="str">
        <f aca="false">IF($A85="","",IFERROR($O85*ABS($X85)/$I85,""))</f>
        <v/>
      </c>
      <c r="AB85" s="13" t="str">
        <f aca="false">IF($A85="","",IFERROR(INDEX(Underlying!$D$1:$D$5000,MATCH($D85,Underlying!$A$1:$A$5000,0)),0))</f>
        <v/>
      </c>
      <c r="AC85" s="7" t="str">
        <f aca="false">IF($A85="","",IF(AND($J85&gt;=OPT_MIN_VOL,$G85&gt;=OPT_MIN_DTE),"بله","خیر"))</f>
        <v/>
      </c>
      <c r="AD85" s="13" t="str">
        <f aca="false">IF($A85="","",IF($AC85="خیر",0,IFERROR(MAX(-10,MIN(10,IF($C85="Call",$AB85,-$AB85)*0.6+IF($Z85&lt;0.85,2,IF($Z85&gt;1.25,-2,0))+IF($Q85="ATM",1,IF($Q85="ITM",0.5,-1))+IF($G85&gt;=30,0.5,-0.5))),0)))</f>
        <v/>
      </c>
      <c r="AE85" s="7" t="str">
        <f aca="false">IF($A85="","",IF($AC85="خیر","بدون سیگنال (نقدشوندگی/سررسید)",IF($AD85&gt;=TH_SBUY,"خرید قوی "&amp;$C85,IF($AD85&gt;=TH_BUY,"خرید "&amp;$C85,IF($AD85&lt;=TH_SSELL,"اجتناب / بستن موقعیت",IF($AD85&lt;=TH_SELL,"ضعیف","بی‌طرف"))))))</f>
        <v/>
      </c>
      <c r="AF85" s="14" t="str">
        <f aca="false">IF($A85="","","سهم پایه: "&amp;IFERROR(TEXT($AB85,"0.0"),"—")&amp;" | وضعیت: "&amp;$Q85&amp;" | نوسان ضمنی: "&amp;IFERROR(TEXT($U85,"0%"),"—")&amp;" | بازار÷نظری: "&amp;IFERROR(TEXT($Z85,"0.00"),"—")&amp;" | اهرم: "&amp;IFERROR(TEXT($AA85,"0.0"),"—")&amp;"x"&amp;" | "&amp;$G85&amp;" روز تا سررسید")</f>
        <v/>
      </c>
    </row>
    <row r="86" customFormat="false" ht="15" hidden="false" customHeight="false" outlineLevel="0" collapsed="false">
      <c r="A86" s="5"/>
      <c r="B86" s="6"/>
      <c r="C86" s="7"/>
      <c r="D86" s="7"/>
      <c r="E86" s="8"/>
      <c r="F86" s="9"/>
      <c r="G86" s="10"/>
      <c r="H86" s="8"/>
      <c r="I86" s="8"/>
      <c r="J86" s="8"/>
      <c r="K86" s="8"/>
      <c r="L86" s="8"/>
      <c r="M86" s="8"/>
      <c r="N86" s="8"/>
      <c r="O86" s="8" t="str">
        <f aca="false">IF($A86="","",IFERROR(INDEX(Underlying!$B$1:$B$5000,MATCH($D86,Underlying!$A$1:$A$5000,0)),""))</f>
        <v/>
      </c>
      <c r="P86" s="11" t="str">
        <f aca="false">IF($A86="","",IFERROR($O86/$E86,""))</f>
        <v/>
      </c>
      <c r="Q86" s="7" t="str">
        <f aca="false">IF($A86="","",IF($P86="","",IF($C86="Call",IF($P86&gt;1+OPT_ATM_BAND,"ITM",IF($P86&lt;1-OPT_ATM_BAND,"OTM","ATM")),IF($P86&lt;1-OPT_ATM_BAND,"ITM",IF($P86&gt;1+OPT_ATM_BAND,"OTM","ATM")))))</f>
        <v/>
      </c>
      <c r="R86" s="8" t="str">
        <f aca="false">IF($A86="","",IFERROR(IF($C86="Call",MAX(0,$O86-$E86),MAX(0,$E86-$O86)),""))</f>
        <v/>
      </c>
      <c r="S86" s="8" t="str">
        <f aca="false">IF($A86="","",IFERROR(MAX(0,$I86-$R86),""))</f>
        <v/>
      </c>
      <c r="T86" s="11" t="str">
        <f aca="false">IF($A86="","",IFERROR($G86/365,""))</f>
        <v/>
      </c>
      <c r="U86" s="12" t="str">
        <f aca="false">IF($A86="","",IF(OR($P86="",ABS($P86-1)&gt;3*OPT_ATM_BAND),"",IFERROR($I86/$O86*SQRT(2*PI()/$T86),"")))</f>
        <v/>
      </c>
      <c r="V86" s="11" t="str">
        <f aca="false">IF($A86="","",IFERROR((LN($O86/$E86)+(OPT_RF+OPT_VOL^2/2)*$T86)/(OPT_VOL*SQRT($T86)),""))</f>
        <v/>
      </c>
      <c r="W86" s="11" t="str">
        <f aca="false">IF($A86="","",IFERROR($V86-OPT_VOL*SQRT($T86),""))</f>
        <v/>
      </c>
      <c r="X86" s="11" t="str">
        <f aca="false">IF($A86="","",IFERROR(IF($C86="Call",NORMSDIST($V86),NORMSDIST($V86)-1),""))</f>
        <v/>
      </c>
      <c r="Y86" s="8" t="str">
        <f aca="false">IF($A86="","",IFERROR(IF($C86="Call",$O86*NORMSDIST($V86)-$E86*EXP(-OPT_RF*$T86)*NORMSDIST($W86),$E86*EXP(-OPT_RF*$T86)*NORMSDIST(-$W86)-$O86*NORMSDIST(-$V86)),""))</f>
        <v/>
      </c>
      <c r="Z86" s="11" t="str">
        <f aca="false">IF($A86="","",IFERROR($I86/$Y86,""))</f>
        <v/>
      </c>
      <c r="AA86" s="13" t="str">
        <f aca="false">IF($A86="","",IFERROR($O86*ABS($X86)/$I86,""))</f>
        <v/>
      </c>
      <c r="AB86" s="13" t="str">
        <f aca="false">IF($A86="","",IFERROR(INDEX(Underlying!$D$1:$D$5000,MATCH($D86,Underlying!$A$1:$A$5000,0)),0))</f>
        <v/>
      </c>
      <c r="AC86" s="7" t="str">
        <f aca="false">IF($A86="","",IF(AND($J86&gt;=OPT_MIN_VOL,$G86&gt;=OPT_MIN_DTE),"بله","خیر"))</f>
        <v/>
      </c>
      <c r="AD86" s="13" t="str">
        <f aca="false">IF($A86="","",IF($AC86="خیر",0,IFERROR(MAX(-10,MIN(10,IF($C86="Call",$AB86,-$AB86)*0.6+IF($Z86&lt;0.85,2,IF($Z86&gt;1.25,-2,0))+IF($Q86="ATM",1,IF($Q86="ITM",0.5,-1))+IF($G86&gt;=30,0.5,-0.5))),0)))</f>
        <v/>
      </c>
      <c r="AE86" s="7" t="str">
        <f aca="false">IF($A86="","",IF($AC86="خیر","بدون سیگنال (نقدشوندگی/سررسید)",IF($AD86&gt;=TH_SBUY,"خرید قوی "&amp;$C86,IF($AD86&gt;=TH_BUY,"خرید "&amp;$C86,IF($AD86&lt;=TH_SSELL,"اجتناب / بستن موقعیت",IF($AD86&lt;=TH_SELL,"ضعیف","بی‌طرف"))))))</f>
        <v/>
      </c>
      <c r="AF86" s="14" t="str">
        <f aca="false">IF($A86="","","سهم پایه: "&amp;IFERROR(TEXT($AB86,"0.0"),"—")&amp;" | وضعیت: "&amp;$Q86&amp;" | نوسان ضمنی: "&amp;IFERROR(TEXT($U86,"0%"),"—")&amp;" | بازار÷نظری: "&amp;IFERROR(TEXT($Z86,"0.00"),"—")&amp;" | اهرم: "&amp;IFERROR(TEXT($AA86,"0.0"),"—")&amp;"x"&amp;" | "&amp;$G86&amp;" روز تا سررسید")</f>
        <v/>
      </c>
    </row>
    <row r="87" customFormat="false" ht="15" hidden="false" customHeight="false" outlineLevel="0" collapsed="false">
      <c r="A87" s="5"/>
      <c r="B87" s="6"/>
      <c r="C87" s="7"/>
      <c r="D87" s="7"/>
      <c r="E87" s="8"/>
      <c r="F87" s="9"/>
      <c r="G87" s="10"/>
      <c r="H87" s="8"/>
      <c r="I87" s="8"/>
      <c r="J87" s="8"/>
      <c r="K87" s="8"/>
      <c r="L87" s="8"/>
      <c r="M87" s="8"/>
      <c r="N87" s="8"/>
      <c r="O87" s="8" t="str">
        <f aca="false">IF($A87="","",IFERROR(INDEX(Underlying!$B$1:$B$5000,MATCH($D87,Underlying!$A$1:$A$5000,0)),""))</f>
        <v/>
      </c>
      <c r="P87" s="11" t="str">
        <f aca="false">IF($A87="","",IFERROR($O87/$E87,""))</f>
        <v/>
      </c>
      <c r="Q87" s="7" t="str">
        <f aca="false">IF($A87="","",IF($P87="","",IF($C87="Call",IF($P87&gt;1+OPT_ATM_BAND,"ITM",IF($P87&lt;1-OPT_ATM_BAND,"OTM","ATM")),IF($P87&lt;1-OPT_ATM_BAND,"ITM",IF($P87&gt;1+OPT_ATM_BAND,"OTM","ATM")))))</f>
        <v/>
      </c>
      <c r="R87" s="8" t="str">
        <f aca="false">IF($A87="","",IFERROR(IF($C87="Call",MAX(0,$O87-$E87),MAX(0,$E87-$O87)),""))</f>
        <v/>
      </c>
      <c r="S87" s="8" t="str">
        <f aca="false">IF($A87="","",IFERROR(MAX(0,$I87-$R87),""))</f>
        <v/>
      </c>
      <c r="T87" s="11" t="str">
        <f aca="false">IF($A87="","",IFERROR($G87/365,""))</f>
        <v/>
      </c>
      <c r="U87" s="12" t="str">
        <f aca="false">IF($A87="","",IF(OR($P87="",ABS($P87-1)&gt;3*OPT_ATM_BAND),"",IFERROR($I87/$O87*SQRT(2*PI()/$T87),"")))</f>
        <v/>
      </c>
      <c r="V87" s="11" t="str">
        <f aca="false">IF($A87="","",IFERROR((LN($O87/$E87)+(OPT_RF+OPT_VOL^2/2)*$T87)/(OPT_VOL*SQRT($T87)),""))</f>
        <v/>
      </c>
      <c r="W87" s="11" t="str">
        <f aca="false">IF($A87="","",IFERROR($V87-OPT_VOL*SQRT($T87),""))</f>
        <v/>
      </c>
      <c r="X87" s="11" t="str">
        <f aca="false">IF($A87="","",IFERROR(IF($C87="Call",NORMSDIST($V87),NORMSDIST($V87)-1),""))</f>
        <v/>
      </c>
      <c r="Y87" s="8" t="str">
        <f aca="false">IF($A87="","",IFERROR(IF($C87="Call",$O87*NORMSDIST($V87)-$E87*EXP(-OPT_RF*$T87)*NORMSDIST($W87),$E87*EXP(-OPT_RF*$T87)*NORMSDIST(-$W87)-$O87*NORMSDIST(-$V87)),""))</f>
        <v/>
      </c>
      <c r="Z87" s="11" t="str">
        <f aca="false">IF($A87="","",IFERROR($I87/$Y87,""))</f>
        <v/>
      </c>
      <c r="AA87" s="13" t="str">
        <f aca="false">IF($A87="","",IFERROR($O87*ABS($X87)/$I87,""))</f>
        <v/>
      </c>
      <c r="AB87" s="13" t="str">
        <f aca="false">IF($A87="","",IFERROR(INDEX(Underlying!$D$1:$D$5000,MATCH($D87,Underlying!$A$1:$A$5000,0)),0))</f>
        <v/>
      </c>
      <c r="AC87" s="7" t="str">
        <f aca="false">IF($A87="","",IF(AND($J87&gt;=OPT_MIN_VOL,$G87&gt;=OPT_MIN_DTE),"بله","خیر"))</f>
        <v/>
      </c>
      <c r="AD87" s="13" t="str">
        <f aca="false">IF($A87="","",IF($AC87="خیر",0,IFERROR(MAX(-10,MIN(10,IF($C87="Call",$AB87,-$AB87)*0.6+IF($Z87&lt;0.85,2,IF($Z87&gt;1.25,-2,0))+IF($Q87="ATM",1,IF($Q87="ITM",0.5,-1))+IF($G87&gt;=30,0.5,-0.5))),0)))</f>
        <v/>
      </c>
      <c r="AE87" s="7" t="str">
        <f aca="false">IF($A87="","",IF($AC87="خیر","بدون سیگنال (نقدشوندگی/سررسید)",IF($AD87&gt;=TH_SBUY,"خرید قوی "&amp;$C87,IF($AD87&gt;=TH_BUY,"خرید "&amp;$C87,IF($AD87&lt;=TH_SSELL,"اجتناب / بستن موقعیت",IF($AD87&lt;=TH_SELL,"ضعیف","بی‌طرف"))))))</f>
        <v/>
      </c>
      <c r="AF87" s="14" t="str">
        <f aca="false">IF($A87="","","سهم پایه: "&amp;IFERROR(TEXT($AB87,"0.0"),"—")&amp;" | وضعیت: "&amp;$Q87&amp;" | نوسان ضمنی: "&amp;IFERROR(TEXT($U87,"0%"),"—")&amp;" | بازار÷نظری: "&amp;IFERROR(TEXT($Z87,"0.00"),"—")&amp;" | اهرم: "&amp;IFERROR(TEXT($AA87,"0.0"),"—")&amp;"x"&amp;" | "&amp;$G87&amp;" روز تا سررسید")</f>
        <v/>
      </c>
    </row>
    <row r="88" customFormat="false" ht="15" hidden="false" customHeight="false" outlineLevel="0" collapsed="false">
      <c r="A88" s="5"/>
      <c r="B88" s="6"/>
      <c r="C88" s="7"/>
      <c r="D88" s="7"/>
      <c r="E88" s="8"/>
      <c r="F88" s="9"/>
      <c r="G88" s="10"/>
      <c r="H88" s="8"/>
      <c r="I88" s="8"/>
      <c r="J88" s="8"/>
      <c r="K88" s="8"/>
      <c r="L88" s="8"/>
      <c r="M88" s="8"/>
      <c r="N88" s="8"/>
      <c r="O88" s="8" t="str">
        <f aca="false">IF($A88="","",IFERROR(INDEX(Underlying!$B$1:$B$5000,MATCH($D88,Underlying!$A$1:$A$5000,0)),""))</f>
        <v/>
      </c>
      <c r="P88" s="11" t="str">
        <f aca="false">IF($A88="","",IFERROR($O88/$E88,""))</f>
        <v/>
      </c>
      <c r="Q88" s="7" t="str">
        <f aca="false">IF($A88="","",IF($P88="","",IF($C88="Call",IF($P88&gt;1+OPT_ATM_BAND,"ITM",IF($P88&lt;1-OPT_ATM_BAND,"OTM","ATM")),IF($P88&lt;1-OPT_ATM_BAND,"ITM",IF($P88&gt;1+OPT_ATM_BAND,"OTM","ATM")))))</f>
        <v/>
      </c>
      <c r="R88" s="8" t="str">
        <f aca="false">IF($A88="","",IFERROR(IF($C88="Call",MAX(0,$O88-$E88),MAX(0,$E88-$O88)),""))</f>
        <v/>
      </c>
      <c r="S88" s="8" t="str">
        <f aca="false">IF($A88="","",IFERROR(MAX(0,$I88-$R88),""))</f>
        <v/>
      </c>
      <c r="T88" s="11" t="str">
        <f aca="false">IF($A88="","",IFERROR($G88/365,""))</f>
        <v/>
      </c>
      <c r="U88" s="12" t="str">
        <f aca="false">IF($A88="","",IF(OR($P88="",ABS($P88-1)&gt;3*OPT_ATM_BAND),"",IFERROR($I88/$O88*SQRT(2*PI()/$T88),"")))</f>
        <v/>
      </c>
      <c r="V88" s="11" t="str">
        <f aca="false">IF($A88="","",IFERROR((LN($O88/$E88)+(OPT_RF+OPT_VOL^2/2)*$T88)/(OPT_VOL*SQRT($T88)),""))</f>
        <v/>
      </c>
      <c r="W88" s="11" t="str">
        <f aca="false">IF($A88="","",IFERROR($V88-OPT_VOL*SQRT($T88),""))</f>
        <v/>
      </c>
      <c r="X88" s="11" t="str">
        <f aca="false">IF($A88="","",IFERROR(IF($C88="Call",NORMSDIST($V88),NORMSDIST($V88)-1),""))</f>
        <v/>
      </c>
      <c r="Y88" s="8" t="str">
        <f aca="false">IF($A88="","",IFERROR(IF($C88="Call",$O88*NORMSDIST($V88)-$E88*EXP(-OPT_RF*$T88)*NORMSDIST($W88),$E88*EXP(-OPT_RF*$T88)*NORMSDIST(-$W88)-$O88*NORMSDIST(-$V88)),""))</f>
        <v/>
      </c>
      <c r="Z88" s="11" t="str">
        <f aca="false">IF($A88="","",IFERROR($I88/$Y88,""))</f>
        <v/>
      </c>
      <c r="AA88" s="13" t="str">
        <f aca="false">IF($A88="","",IFERROR($O88*ABS($X88)/$I88,""))</f>
        <v/>
      </c>
      <c r="AB88" s="13" t="str">
        <f aca="false">IF($A88="","",IFERROR(INDEX(Underlying!$D$1:$D$5000,MATCH($D88,Underlying!$A$1:$A$5000,0)),0))</f>
        <v/>
      </c>
      <c r="AC88" s="7" t="str">
        <f aca="false">IF($A88="","",IF(AND($J88&gt;=OPT_MIN_VOL,$G88&gt;=OPT_MIN_DTE),"بله","خیر"))</f>
        <v/>
      </c>
      <c r="AD88" s="13" t="str">
        <f aca="false">IF($A88="","",IF($AC88="خیر",0,IFERROR(MAX(-10,MIN(10,IF($C88="Call",$AB88,-$AB88)*0.6+IF($Z88&lt;0.85,2,IF($Z88&gt;1.25,-2,0))+IF($Q88="ATM",1,IF($Q88="ITM",0.5,-1))+IF($G88&gt;=30,0.5,-0.5))),0)))</f>
        <v/>
      </c>
      <c r="AE88" s="7" t="str">
        <f aca="false">IF($A88="","",IF($AC88="خیر","بدون سیگنال (نقدشوندگی/سررسید)",IF($AD88&gt;=TH_SBUY,"خرید قوی "&amp;$C88,IF($AD88&gt;=TH_BUY,"خرید "&amp;$C88,IF($AD88&lt;=TH_SSELL,"اجتناب / بستن موقعیت",IF($AD88&lt;=TH_SELL,"ضعیف","بی‌طرف"))))))</f>
        <v/>
      </c>
      <c r="AF88" s="14" t="str">
        <f aca="false">IF($A88="","","سهم پایه: "&amp;IFERROR(TEXT($AB88,"0.0"),"—")&amp;" | وضعیت: "&amp;$Q88&amp;" | نوسان ضمنی: "&amp;IFERROR(TEXT($U88,"0%"),"—")&amp;" | بازار÷نظری: "&amp;IFERROR(TEXT($Z88,"0.00"),"—")&amp;" | اهرم: "&amp;IFERROR(TEXT($AA88,"0.0"),"—")&amp;"x"&amp;" | "&amp;$G88&amp;" روز تا سررسید")</f>
        <v/>
      </c>
    </row>
    <row r="89" customFormat="false" ht="15" hidden="false" customHeight="false" outlineLevel="0" collapsed="false">
      <c r="A89" s="5"/>
      <c r="B89" s="6"/>
      <c r="C89" s="7"/>
      <c r="D89" s="7"/>
      <c r="E89" s="8"/>
      <c r="F89" s="9"/>
      <c r="G89" s="10"/>
      <c r="H89" s="8"/>
      <c r="I89" s="8"/>
      <c r="J89" s="8"/>
      <c r="K89" s="8"/>
      <c r="L89" s="8"/>
      <c r="M89" s="8"/>
      <c r="N89" s="8"/>
      <c r="O89" s="8" t="str">
        <f aca="false">IF($A89="","",IFERROR(INDEX(Underlying!$B$1:$B$5000,MATCH($D89,Underlying!$A$1:$A$5000,0)),""))</f>
        <v/>
      </c>
      <c r="P89" s="11" t="str">
        <f aca="false">IF($A89="","",IFERROR($O89/$E89,""))</f>
        <v/>
      </c>
      <c r="Q89" s="7" t="str">
        <f aca="false">IF($A89="","",IF($P89="","",IF($C89="Call",IF($P89&gt;1+OPT_ATM_BAND,"ITM",IF($P89&lt;1-OPT_ATM_BAND,"OTM","ATM")),IF($P89&lt;1-OPT_ATM_BAND,"ITM",IF($P89&gt;1+OPT_ATM_BAND,"OTM","ATM")))))</f>
        <v/>
      </c>
      <c r="R89" s="8" t="str">
        <f aca="false">IF($A89="","",IFERROR(IF($C89="Call",MAX(0,$O89-$E89),MAX(0,$E89-$O89)),""))</f>
        <v/>
      </c>
      <c r="S89" s="8" t="str">
        <f aca="false">IF($A89="","",IFERROR(MAX(0,$I89-$R89),""))</f>
        <v/>
      </c>
      <c r="T89" s="11" t="str">
        <f aca="false">IF($A89="","",IFERROR($G89/365,""))</f>
        <v/>
      </c>
      <c r="U89" s="12" t="str">
        <f aca="false">IF($A89="","",IF(OR($P89="",ABS($P89-1)&gt;3*OPT_ATM_BAND),"",IFERROR($I89/$O89*SQRT(2*PI()/$T89),"")))</f>
        <v/>
      </c>
      <c r="V89" s="11" t="str">
        <f aca="false">IF($A89="","",IFERROR((LN($O89/$E89)+(OPT_RF+OPT_VOL^2/2)*$T89)/(OPT_VOL*SQRT($T89)),""))</f>
        <v/>
      </c>
      <c r="W89" s="11" t="str">
        <f aca="false">IF($A89="","",IFERROR($V89-OPT_VOL*SQRT($T89),""))</f>
        <v/>
      </c>
      <c r="X89" s="11" t="str">
        <f aca="false">IF($A89="","",IFERROR(IF($C89="Call",NORMSDIST($V89),NORMSDIST($V89)-1),""))</f>
        <v/>
      </c>
      <c r="Y89" s="8" t="str">
        <f aca="false">IF($A89="","",IFERROR(IF($C89="Call",$O89*NORMSDIST($V89)-$E89*EXP(-OPT_RF*$T89)*NORMSDIST($W89),$E89*EXP(-OPT_RF*$T89)*NORMSDIST(-$W89)-$O89*NORMSDIST(-$V89)),""))</f>
        <v/>
      </c>
      <c r="Z89" s="11" t="str">
        <f aca="false">IF($A89="","",IFERROR($I89/$Y89,""))</f>
        <v/>
      </c>
      <c r="AA89" s="13" t="str">
        <f aca="false">IF($A89="","",IFERROR($O89*ABS($X89)/$I89,""))</f>
        <v/>
      </c>
      <c r="AB89" s="13" t="str">
        <f aca="false">IF($A89="","",IFERROR(INDEX(Underlying!$D$1:$D$5000,MATCH($D89,Underlying!$A$1:$A$5000,0)),0))</f>
        <v/>
      </c>
      <c r="AC89" s="7" t="str">
        <f aca="false">IF($A89="","",IF(AND($J89&gt;=OPT_MIN_VOL,$G89&gt;=OPT_MIN_DTE),"بله","خیر"))</f>
        <v/>
      </c>
      <c r="AD89" s="13" t="str">
        <f aca="false">IF($A89="","",IF($AC89="خیر",0,IFERROR(MAX(-10,MIN(10,IF($C89="Call",$AB89,-$AB89)*0.6+IF($Z89&lt;0.85,2,IF($Z89&gt;1.25,-2,0))+IF($Q89="ATM",1,IF($Q89="ITM",0.5,-1))+IF($G89&gt;=30,0.5,-0.5))),0)))</f>
        <v/>
      </c>
      <c r="AE89" s="7" t="str">
        <f aca="false">IF($A89="","",IF($AC89="خیر","بدون سیگنال (نقدشوندگی/سررسید)",IF($AD89&gt;=TH_SBUY,"خرید قوی "&amp;$C89,IF($AD89&gt;=TH_BUY,"خرید "&amp;$C89,IF($AD89&lt;=TH_SSELL,"اجتناب / بستن موقعیت",IF($AD89&lt;=TH_SELL,"ضعیف","بی‌طرف"))))))</f>
        <v/>
      </c>
      <c r="AF89" s="14" t="str">
        <f aca="false">IF($A89="","","سهم پایه: "&amp;IFERROR(TEXT($AB89,"0.0"),"—")&amp;" | وضعیت: "&amp;$Q89&amp;" | نوسان ضمنی: "&amp;IFERROR(TEXT($U89,"0%"),"—")&amp;" | بازار÷نظری: "&amp;IFERROR(TEXT($Z89,"0.00"),"—")&amp;" | اهرم: "&amp;IFERROR(TEXT($AA89,"0.0"),"—")&amp;"x"&amp;" | "&amp;$G89&amp;" روز تا سررسید")</f>
        <v/>
      </c>
    </row>
    <row r="90" customFormat="false" ht="15" hidden="false" customHeight="false" outlineLevel="0" collapsed="false">
      <c r="A90" s="5"/>
      <c r="B90" s="6"/>
      <c r="C90" s="7"/>
      <c r="D90" s="7"/>
      <c r="E90" s="8"/>
      <c r="F90" s="9"/>
      <c r="G90" s="10"/>
      <c r="H90" s="8"/>
      <c r="I90" s="8"/>
      <c r="J90" s="8"/>
      <c r="K90" s="8"/>
      <c r="L90" s="8"/>
      <c r="M90" s="8"/>
      <c r="N90" s="8"/>
      <c r="O90" s="8" t="str">
        <f aca="false">IF($A90="","",IFERROR(INDEX(Underlying!$B$1:$B$5000,MATCH($D90,Underlying!$A$1:$A$5000,0)),""))</f>
        <v/>
      </c>
      <c r="P90" s="11" t="str">
        <f aca="false">IF($A90="","",IFERROR($O90/$E90,""))</f>
        <v/>
      </c>
      <c r="Q90" s="7" t="str">
        <f aca="false">IF($A90="","",IF($P90="","",IF($C90="Call",IF($P90&gt;1+OPT_ATM_BAND,"ITM",IF($P90&lt;1-OPT_ATM_BAND,"OTM","ATM")),IF($P90&lt;1-OPT_ATM_BAND,"ITM",IF($P90&gt;1+OPT_ATM_BAND,"OTM","ATM")))))</f>
        <v/>
      </c>
      <c r="R90" s="8" t="str">
        <f aca="false">IF($A90="","",IFERROR(IF($C90="Call",MAX(0,$O90-$E90),MAX(0,$E90-$O90)),""))</f>
        <v/>
      </c>
      <c r="S90" s="8" t="str">
        <f aca="false">IF($A90="","",IFERROR(MAX(0,$I90-$R90),""))</f>
        <v/>
      </c>
      <c r="T90" s="11" t="str">
        <f aca="false">IF($A90="","",IFERROR($G90/365,""))</f>
        <v/>
      </c>
      <c r="U90" s="12" t="str">
        <f aca="false">IF($A90="","",IF(OR($P90="",ABS($P90-1)&gt;3*OPT_ATM_BAND),"",IFERROR($I90/$O90*SQRT(2*PI()/$T90),"")))</f>
        <v/>
      </c>
      <c r="V90" s="11" t="str">
        <f aca="false">IF($A90="","",IFERROR((LN($O90/$E90)+(OPT_RF+OPT_VOL^2/2)*$T90)/(OPT_VOL*SQRT($T90)),""))</f>
        <v/>
      </c>
      <c r="W90" s="11" t="str">
        <f aca="false">IF($A90="","",IFERROR($V90-OPT_VOL*SQRT($T90),""))</f>
        <v/>
      </c>
      <c r="X90" s="11" t="str">
        <f aca="false">IF($A90="","",IFERROR(IF($C90="Call",NORMSDIST($V90),NORMSDIST($V90)-1),""))</f>
        <v/>
      </c>
      <c r="Y90" s="8" t="str">
        <f aca="false">IF($A90="","",IFERROR(IF($C90="Call",$O90*NORMSDIST($V90)-$E90*EXP(-OPT_RF*$T90)*NORMSDIST($W90),$E90*EXP(-OPT_RF*$T90)*NORMSDIST(-$W90)-$O90*NORMSDIST(-$V90)),""))</f>
        <v/>
      </c>
      <c r="Z90" s="11" t="str">
        <f aca="false">IF($A90="","",IFERROR($I90/$Y90,""))</f>
        <v/>
      </c>
      <c r="AA90" s="13" t="str">
        <f aca="false">IF($A90="","",IFERROR($O90*ABS($X90)/$I90,""))</f>
        <v/>
      </c>
      <c r="AB90" s="13" t="str">
        <f aca="false">IF($A90="","",IFERROR(INDEX(Underlying!$D$1:$D$5000,MATCH($D90,Underlying!$A$1:$A$5000,0)),0))</f>
        <v/>
      </c>
      <c r="AC90" s="7" t="str">
        <f aca="false">IF($A90="","",IF(AND($J90&gt;=OPT_MIN_VOL,$G90&gt;=OPT_MIN_DTE),"بله","خیر"))</f>
        <v/>
      </c>
      <c r="AD90" s="13" t="str">
        <f aca="false">IF($A90="","",IF($AC90="خیر",0,IFERROR(MAX(-10,MIN(10,IF($C90="Call",$AB90,-$AB90)*0.6+IF($Z90&lt;0.85,2,IF($Z90&gt;1.25,-2,0))+IF($Q90="ATM",1,IF($Q90="ITM",0.5,-1))+IF($G90&gt;=30,0.5,-0.5))),0)))</f>
        <v/>
      </c>
      <c r="AE90" s="7" t="str">
        <f aca="false">IF($A90="","",IF($AC90="خیر","بدون سیگنال (نقدشوندگی/سررسید)",IF($AD90&gt;=TH_SBUY,"خرید قوی "&amp;$C90,IF($AD90&gt;=TH_BUY,"خرید "&amp;$C90,IF($AD90&lt;=TH_SSELL,"اجتناب / بستن موقعیت",IF($AD90&lt;=TH_SELL,"ضعیف","بی‌طرف"))))))</f>
        <v/>
      </c>
      <c r="AF90" s="14" t="str">
        <f aca="false">IF($A90="","","سهم پایه: "&amp;IFERROR(TEXT($AB90,"0.0"),"—")&amp;" | وضعیت: "&amp;$Q90&amp;" | نوسان ضمنی: "&amp;IFERROR(TEXT($U90,"0%"),"—")&amp;" | بازار÷نظری: "&amp;IFERROR(TEXT($Z90,"0.00"),"—")&amp;" | اهرم: "&amp;IFERROR(TEXT($AA90,"0.0"),"—")&amp;"x"&amp;" | "&amp;$G90&amp;" روز تا سررسید")</f>
        <v/>
      </c>
    </row>
    <row r="91" customFormat="false" ht="15" hidden="false" customHeight="false" outlineLevel="0" collapsed="false">
      <c r="A91" s="5"/>
      <c r="B91" s="6"/>
      <c r="C91" s="7"/>
      <c r="D91" s="7"/>
      <c r="E91" s="8"/>
      <c r="F91" s="9"/>
      <c r="G91" s="10"/>
      <c r="H91" s="8"/>
      <c r="I91" s="8"/>
      <c r="J91" s="8"/>
      <c r="K91" s="8"/>
      <c r="L91" s="8"/>
      <c r="M91" s="8"/>
      <c r="N91" s="8"/>
      <c r="O91" s="8" t="str">
        <f aca="false">IF($A91="","",IFERROR(INDEX(Underlying!$B$1:$B$5000,MATCH($D91,Underlying!$A$1:$A$5000,0)),""))</f>
        <v/>
      </c>
      <c r="P91" s="11" t="str">
        <f aca="false">IF($A91="","",IFERROR($O91/$E91,""))</f>
        <v/>
      </c>
      <c r="Q91" s="7" t="str">
        <f aca="false">IF($A91="","",IF($P91="","",IF($C91="Call",IF($P91&gt;1+OPT_ATM_BAND,"ITM",IF($P91&lt;1-OPT_ATM_BAND,"OTM","ATM")),IF($P91&lt;1-OPT_ATM_BAND,"ITM",IF($P91&gt;1+OPT_ATM_BAND,"OTM","ATM")))))</f>
        <v/>
      </c>
      <c r="R91" s="8" t="str">
        <f aca="false">IF($A91="","",IFERROR(IF($C91="Call",MAX(0,$O91-$E91),MAX(0,$E91-$O91)),""))</f>
        <v/>
      </c>
      <c r="S91" s="8" t="str">
        <f aca="false">IF($A91="","",IFERROR(MAX(0,$I91-$R91),""))</f>
        <v/>
      </c>
      <c r="T91" s="11" t="str">
        <f aca="false">IF($A91="","",IFERROR($G91/365,""))</f>
        <v/>
      </c>
      <c r="U91" s="12" t="str">
        <f aca="false">IF($A91="","",IF(OR($P91="",ABS($P91-1)&gt;3*OPT_ATM_BAND),"",IFERROR($I91/$O91*SQRT(2*PI()/$T91),"")))</f>
        <v/>
      </c>
      <c r="V91" s="11" t="str">
        <f aca="false">IF($A91="","",IFERROR((LN($O91/$E91)+(OPT_RF+OPT_VOL^2/2)*$T91)/(OPT_VOL*SQRT($T91)),""))</f>
        <v/>
      </c>
      <c r="W91" s="11" t="str">
        <f aca="false">IF($A91="","",IFERROR($V91-OPT_VOL*SQRT($T91),""))</f>
        <v/>
      </c>
      <c r="X91" s="11" t="str">
        <f aca="false">IF($A91="","",IFERROR(IF($C91="Call",NORMSDIST($V91),NORMSDIST($V91)-1),""))</f>
        <v/>
      </c>
      <c r="Y91" s="8" t="str">
        <f aca="false">IF($A91="","",IFERROR(IF($C91="Call",$O91*NORMSDIST($V91)-$E91*EXP(-OPT_RF*$T91)*NORMSDIST($W91),$E91*EXP(-OPT_RF*$T91)*NORMSDIST(-$W91)-$O91*NORMSDIST(-$V91)),""))</f>
        <v/>
      </c>
      <c r="Z91" s="11" t="str">
        <f aca="false">IF($A91="","",IFERROR($I91/$Y91,""))</f>
        <v/>
      </c>
      <c r="AA91" s="13" t="str">
        <f aca="false">IF($A91="","",IFERROR($O91*ABS($X91)/$I91,""))</f>
        <v/>
      </c>
      <c r="AB91" s="13" t="str">
        <f aca="false">IF($A91="","",IFERROR(INDEX(Underlying!$D$1:$D$5000,MATCH($D91,Underlying!$A$1:$A$5000,0)),0))</f>
        <v/>
      </c>
      <c r="AC91" s="7" t="str">
        <f aca="false">IF($A91="","",IF(AND($J91&gt;=OPT_MIN_VOL,$G91&gt;=OPT_MIN_DTE),"بله","خیر"))</f>
        <v/>
      </c>
      <c r="AD91" s="13" t="str">
        <f aca="false">IF($A91="","",IF($AC91="خیر",0,IFERROR(MAX(-10,MIN(10,IF($C91="Call",$AB91,-$AB91)*0.6+IF($Z91&lt;0.85,2,IF($Z91&gt;1.25,-2,0))+IF($Q91="ATM",1,IF($Q91="ITM",0.5,-1))+IF($G91&gt;=30,0.5,-0.5))),0)))</f>
        <v/>
      </c>
      <c r="AE91" s="7" t="str">
        <f aca="false">IF($A91="","",IF($AC91="خیر","بدون سیگنال (نقدشوندگی/سررسید)",IF($AD91&gt;=TH_SBUY,"خرید قوی "&amp;$C91,IF($AD91&gt;=TH_BUY,"خرید "&amp;$C91,IF($AD91&lt;=TH_SSELL,"اجتناب / بستن موقعیت",IF($AD91&lt;=TH_SELL,"ضعیف","بی‌طرف"))))))</f>
        <v/>
      </c>
      <c r="AF91" s="14" t="str">
        <f aca="false">IF($A91="","","سهم پایه: "&amp;IFERROR(TEXT($AB91,"0.0"),"—")&amp;" | وضعیت: "&amp;$Q91&amp;" | نوسان ضمنی: "&amp;IFERROR(TEXT($U91,"0%"),"—")&amp;" | بازار÷نظری: "&amp;IFERROR(TEXT($Z91,"0.00"),"—")&amp;" | اهرم: "&amp;IFERROR(TEXT($AA91,"0.0"),"—")&amp;"x"&amp;" | "&amp;$G91&amp;" روز تا سررسید")</f>
        <v/>
      </c>
    </row>
    <row r="92" customFormat="false" ht="15" hidden="false" customHeight="false" outlineLevel="0" collapsed="false">
      <c r="A92" s="5"/>
      <c r="B92" s="6"/>
      <c r="C92" s="7"/>
      <c r="D92" s="7"/>
      <c r="E92" s="8"/>
      <c r="F92" s="9"/>
      <c r="G92" s="10"/>
      <c r="H92" s="8"/>
      <c r="I92" s="8"/>
      <c r="J92" s="8"/>
      <c r="K92" s="8"/>
      <c r="L92" s="8"/>
      <c r="M92" s="8"/>
      <c r="N92" s="8"/>
      <c r="O92" s="8" t="str">
        <f aca="false">IF($A92="","",IFERROR(INDEX(Underlying!$B$1:$B$5000,MATCH($D92,Underlying!$A$1:$A$5000,0)),""))</f>
        <v/>
      </c>
      <c r="P92" s="11" t="str">
        <f aca="false">IF($A92="","",IFERROR($O92/$E92,""))</f>
        <v/>
      </c>
      <c r="Q92" s="7" t="str">
        <f aca="false">IF($A92="","",IF($P92="","",IF($C92="Call",IF($P92&gt;1+OPT_ATM_BAND,"ITM",IF($P92&lt;1-OPT_ATM_BAND,"OTM","ATM")),IF($P92&lt;1-OPT_ATM_BAND,"ITM",IF($P92&gt;1+OPT_ATM_BAND,"OTM","ATM")))))</f>
        <v/>
      </c>
      <c r="R92" s="8" t="str">
        <f aca="false">IF($A92="","",IFERROR(IF($C92="Call",MAX(0,$O92-$E92),MAX(0,$E92-$O92)),""))</f>
        <v/>
      </c>
      <c r="S92" s="8" t="str">
        <f aca="false">IF($A92="","",IFERROR(MAX(0,$I92-$R92),""))</f>
        <v/>
      </c>
      <c r="T92" s="11" t="str">
        <f aca="false">IF($A92="","",IFERROR($G92/365,""))</f>
        <v/>
      </c>
      <c r="U92" s="12" t="str">
        <f aca="false">IF($A92="","",IF(OR($P92="",ABS($P92-1)&gt;3*OPT_ATM_BAND),"",IFERROR($I92/$O92*SQRT(2*PI()/$T92),"")))</f>
        <v/>
      </c>
      <c r="V92" s="11" t="str">
        <f aca="false">IF($A92="","",IFERROR((LN($O92/$E92)+(OPT_RF+OPT_VOL^2/2)*$T92)/(OPT_VOL*SQRT($T92)),""))</f>
        <v/>
      </c>
      <c r="W92" s="11" t="str">
        <f aca="false">IF($A92="","",IFERROR($V92-OPT_VOL*SQRT($T92),""))</f>
        <v/>
      </c>
      <c r="X92" s="11" t="str">
        <f aca="false">IF($A92="","",IFERROR(IF($C92="Call",NORMSDIST($V92),NORMSDIST($V92)-1),""))</f>
        <v/>
      </c>
      <c r="Y92" s="8" t="str">
        <f aca="false">IF($A92="","",IFERROR(IF($C92="Call",$O92*NORMSDIST($V92)-$E92*EXP(-OPT_RF*$T92)*NORMSDIST($W92),$E92*EXP(-OPT_RF*$T92)*NORMSDIST(-$W92)-$O92*NORMSDIST(-$V92)),""))</f>
        <v/>
      </c>
      <c r="Z92" s="11" t="str">
        <f aca="false">IF($A92="","",IFERROR($I92/$Y92,""))</f>
        <v/>
      </c>
      <c r="AA92" s="13" t="str">
        <f aca="false">IF($A92="","",IFERROR($O92*ABS($X92)/$I92,""))</f>
        <v/>
      </c>
      <c r="AB92" s="13" t="str">
        <f aca="false">IF($A92="","",IFERROR(INDEX(Underlying!$D$1:$D$5000,MATCH($D92,Underlying!$A$1:$A$5000,0)),0))</f>
        <v/>
      </c>
      <c r="AC92" s="7" t="str">
        <f aca="false">IF($A92="","",IF(AND($J92&gt;=OPT_MIN_VOL,$G92&gt;=OPT_MIN_DTE),"بله","خیر"))</f>
        <v/>
      </c>
      <c r="AD92" s="13" t="str">
        <f aca="false">IF($A92="","",IF($AC92="خیر",0,IFERROR(MAX(-10,MIN(10,IF($C92="Call",$AB92,-$AB92)*0.6+IF($Z92&lt;0.85,2,IF($Z92&gt;1.25,-2,0))+IF($Q92="ATM",1,IF($Q92="ITM",0.5,-1))+IF($G92&gt;=30,0.5,-0.5))),0)))</f>
        <v/>
      </c>
      <c r="AE92" s="7" t="str">
        <f aca="false">IF($A92="","",IF($AC92="خیر","بدون سیگنال (نقدشوندگی/سررسید)",IF($AD92&gt;=TH_SBUY,"خرید قوی "&amp;$C92,IF($AD92&gt;=TH_BUY,"خرید "&amp;$C92,IF($AD92&lt;=TH_SSELL,"اجتناب / بستن موقعیت",IF($AD92&lt;=TH_SELL,"ضعیف","بی‌طرف"))))))</f>
        <v/>
      </c>
      <c r="AF92" s="14" t="str">
        <f aca="false">IF($A92="","","سهم پایه: "&amp;IFERROR(TEXT($AB92,"0.0"),"—")&amp;" | وضعیت: "&amp;$Q92&amp;" | نوسان ضمنی: "&amp;IFERROR(TEXT($U92,"0%"),"—")&amp;" | بازار÷نظری: "&amp;IFERROR(TEXT($Z92,"0.00"),"—")&amp;" | اهرم: "&amp;IFERROR(TEXT($AA92,"0.0"),"—")&amp;"x"&amp;" | "&amp;$G92&amp;" روز تا سررسید")</f>
        <v/>
      </c>
    </row>
    <row r="93" customFormat="false" ht="15" hidden="false" customHeight="false" outlineLevel="0" collapsed="false">
      <c r="A93" s="5"/>
      <c r="B93" s="6"/>
      <c r="C93" s="7"/>
      <c r="D93" s="7"/>
      <c r="E93" s="8"/>
      <c r="F93" s="9"/>
      <c r="G93" s="10"/>
      <c r="H93" s="8"/>
      <c r="I93" s="8"/>
      <c r="J93" s="8"/>
      <c r="K93" s="8"/>
      <c r="L93" s="8"/>
      <c r="M93" s="8"/>
      <c r="N93" s="8"/>
      <c r="O93" s="8" t="str">
        <f aca="false">IF($A93="","",IFERROR(INDEX(Underlying!$B$1:$B$5000,MATCH($D93,Underlying!$A$1:$A$5000,0)),""))</f>
        <v/>
      </c>
      <c r="P93" s="11" t="str">
        <f aca="false">IF($A93="","",IFERROR($O93/$E93,""))</f>
        <v/>
      </c>
      <c r="Q93" s="7" t="str">
        <f aca="false">IF($A93="","",IF($P93="","",IF($C93="Call",IF($P93&gt;1+OPT_ATM_BAND,"ITM",IF($P93&lt;1-OPT_ATM_BAND,"OTM","ATM")),IF($P93&lt;1-OPT_ATM_BAND,"ITM",IF($P93&gt;1+OPT_ATM_BAND,"OTM","ATM")))))</f>
        <v/>
      </c>
      <c r="R93" s="8" t="str">
        <f aca="false">IF($A93="","",IFERROR(IF($C93="Call",MAX(0,$O93-$E93),MAX(0,$E93-$O93)),""))</f>
        <v/>
      </c>
      <c r="S93" s="8" t="str">
        <f aca="false">IF($A93="","",IFERROR(MAX(0,$I93-$R93),""))</f>
        <v/>
      </c>
      <c r="T93" s="11" t="str">
        <f aca="false">IF($A93="","",IFERROR($G93/365,""))</f>
        <v/>
      </c>
      <c r="U93" s="12" t="str">
        <f aca="false">IF($A93="","",IF(OR($P93="",ABS($P93-1)&gt;3*OPT_ATM_BAND),"",IFERROR($I93/$O93*SQRT(2*PI()/$T93),"")))</f>
        <v/>
      </c>
      <c r="V93" s="11" t="str">
        <f aca="false">IF($A93="","",IFERROR((LN($O93/$E93)+(OPT_RF+OPT_VOL^2/2)*$T93)/(OPT_VOL*SQRT($T93)),""))</f>
        <v/>
      </c>
      <c r="W93" s="11" t="str">
        <f aca="false">IF($A93="","",IFERROR($V93-OPT_VOL*SQRT($T93),""))</f>
        <v/>
      </c>
      <c r="X93" s="11" t="str">
        <f aca="false">IF($A93="","",IFERROR(IF($C93="Call",NORMSDIST($V93),NORMSDIST($V93)-1),""))</f>
        <v/>
      </c>
      <c r="Y93" s="8" t="str">
        <f aca="false">IF($A93="","",IFERROR(IF($C93="Call",$O93*NORMSDIST($V93)-$E93*EXP(-OPT_RF*$T93)*NORMSDIST($W93),$E93*EXP(-OPT_RF*$T93)*NORMSDIST(-$W93)-$O93*NORMSDIST(-$V93)),""))</f>
        <v/>
      </c>
      <c r="Z93" s="11" t="str">
        <f aca="false">IF($A93="","",IFERROR($I93/$Y93,""))</f>
        <v/>
      </c>
      <c r="AA93" s="13" t="str">
        <f aca="false">IF($A93="","",IFERROR($O93*ABS($X93)/$I93,""))</f>
        <v/>
      </c>
      <c r="AB93" s="13" t="str">
        <f aca="false">IF($A93="","",IFERROR(INDEX(Underlying!$D$1:$D$5000,MATCH($D93,Underlying!$A$1:$A$5000,0)),0))</f>
        <v/>
      </c>
      <c r="AC93" s="7" t="str">
        <f aca="false">IF($A93="","",IF(AND($J93&gt;=OPT_MIN_VOL,$G93&gt;=OPT_MIN_DTE),"بله","خیر"))</f>
        <v/>
      </c>
      <c r="AD93" s="13" t="str">
        <f aca="false">IF($A93="","",IF($AC93="خیر",0,IFERROR(MAX(-10,MIN(10,IF($C93="Call",$AB93,-$AB93)*0.6+IF($Z93&lt;0.85,2,IF($Z93&gt;1.25,-2,0))+IF($Q93="ATM",1,IF($Q93="ITM",0.5,-1))+IF($G93&gt;=30,0.5,-0.5))),0)))</f>
        <v/>
      </c>
      <c r="AE93" s="7" t="str">
        <f aca="false">IF($A93="","",IF($AC93="خیر","بدون سیگنال (نقدشوندگی/سررسید)",IF($AD93&gt;=TH_SBUY,"خرید قوی "&amp;$C93,IF($AD93&gt;=TH_BUY,"خرید "&amp;$C93,IF($AD93&lt;=TH_SSELL,"اجتناب / بستن موقعیت",IF($AD93&lt;=TH_SELL,"ضعیف","بی‌طرف"))))))</f>
        <v/>
      </c>
      <c r="AF93" s="14" t="str">
        <f aca="false">IF($A93="","","سهم پایه: "&amp;IFERROR(TEXT($AB93,"0.0"),"—")&amp;" | وضعیت: "&amp;$Q93&amp;" | نوسان ضمنی: "&amp;IFERROR(TEXT($U93,"0%"),"—")&amp;" | بازار÷نظری: "&amp;IFERROR(TEXT($Z93,"0.00"),"—")&amp;" | اهرم: "&amp;IFERROR(TEXT($AA93,"0.0"),"—")&amp;"x"&amp;" | "&amp;$G93&amp;" روز تا سررسید")</f>
        <v/>
      </c>
    </row>
    <row r="94" customFormat="false" ht="15" hidden="false" customHeight="false" outlineLevel="0" collapsed="false">
      <c r="A94" s="5"/>
      <c r="B94" s="6"/>
      <c r="C94" s="7"/>
      <c r="D94" s="7"/>
      <c r="E94" s="8"/>
      <c r="F94" s="9"/>
      <c r="G94" s="10"/>
      <c r="H94" s="8"/>
      <c r="I94" s="8"/>
      <c r="J94" s="8"/>
      <c r="K94" s="8"/>
      <c r="L94" s="8"/>
      <c r="M94" s="8"/>
      <c r="N94" s="8"/>
      <c r="O94" s="8" t="str">
        <f aca="false">IF($A94="","",IFERROR(INDEX(Underlying!$B$1:$B$5000,MATCH($D94,Underlying!$A$1:$A$5000,0)),""))</f>
        <v/>
      </c>
      <c r="P94" s="11" t="str">
        <f aca="false">IF($A94="","",IFERROR($O94/$E94,""))</f>
        <v/>
      </c>
      <c r="Q94" s="7" t="str">
        <f aca="false">IF($A94="","",IF($P94="","",IF($C94="Call",IF($P94&gt;1+OPT_ATM_BAND,"ITM",IF($P94&lt;1-OPT_ATM_BAND,"OTM","ATM")),IF($P94&lt;1-OPT_ATM_BAND,"ITM",IF($P94&gt;1+OPT_ATM_BAND,"OTM","ATM")))))</f>
        <v/>
      </c>
      <c r="R94" s="8" t="str">
        <f aca="false">IF($A94="","",IFERROR(IF($C94="Call",MAX(0,$O94-$E94),MAX(0,$E94-$O94)),""))</f>
        <v/>
      </c>
      <c r="S94" s="8" t="str">
        <f aca="false">IF($A94="","",IFERROR(MAX(0,$I94-$R94),""))</f>
        <v/>
      </c>
      <c r="T94" s="11" t="str">
        <f aca="false">IF($A94="","",IFERROR($G94/365,""))</f>
        <v/>
      </c>
      <c r="U94" s="12" t="str">
        <f aca="false">IF($A94="","",IF(OR($P94="",ABS($P94-1)&gt;3*OPT_ATM_BAND),"",IFERROR($I94/$O94*SQRT(2*PI()/$T94),"")))</f>
        <v/>
      </c>
      <c r="V94" s="11" t="str">
        <f aca="false">IF($A94="","",IFERROR((LN($O94/$E94)+(OPT_RF+OPT_VOL^2/2)*$T94)/(OPT_VOL*SQRT($T94)),""))</f>
        <v/>
      </c>
      <c r="W94" s="11" t="str">
        <f aca="false">IF($A94="","",IFERROR($V94-OPT_VOL*SQRT($T94),""))</f>
        <v/>
      </c>
      <c r="X94" s="11" t="str">
        <f aca="false">IF($A94="","",IFERROR(IF($C94="Call",NORMSDIST($V94),NORMSDIST($V94)-1),""))</f>
        <v/>
      </c>
      <c r="Y94" s="8" t="str">
        <f aca="false">IF($A94="","",IFERROR(IF($C94="Call",$O94*NORMSDIST($V94)-$E94*EXP(-OPT_RF*$T94)*NORMSDIST($W94),$E94*EXP(-OPT_RF*$T94)*NORMSDIST(-$W94)-$O94*NORMSDIST(-$V94)),""))</f>
        <v/>
      </c>
      <c r="Z94" s="11" t="str">
        <f aca="false">IF($A94="","",IFERROR($I94/$Y94,""))</f>
        <v/>
      </c>
      <c r="AA94" s="13" t="str">
        <f aca="false">IF($A94="","",IFERROR($O94*ABS($X94)/$I94,""))</f>
        <v/>
      </c>
      <c r="AB94" s="13" t="str">
        <f aca="false">IF($A94="","",IFERROR(INDEX(Underlying!$D$1:$D$5000,MATCH($D94,Underlying!$A$1:$A$5000,0)),0))</f>
        <v/>
      </c>
      <c r="AC94" s="7" t="str">
        <f aca="false">IF($A94="","",IF(AND($J94&gt;=OPT_MIN_VOL,$G94&gt;=OPT_MIN_DTE),"بله","خیر"))</f>
        <v/>
      </c>
      <c r="AD94" s="13" t="str">
        <f aca="false">IF($A94="","",IF($AC94="خیر",0,IFERROR(MAX(-10,MIN(10,IF($C94="Call",$AB94,-$AB94)*0.6+IF($Z94&lt;0.85,2,IF($Z94&gt;1.25,-2,0))+IF($Q94="ATM",1,IF($Q94="ITM",0.5,-1))+IF($G94&gt;=30,0.5,-0.5))),0)))</f>
        <v/>
      </c>
      <c r="AE94" s="7" t="str">
        <f aca="false">IF($A94="","",IF($AC94="خیر","بدون سیگنال (نقدشوندگی/سررسید)",IF($AD94&gt;=TH_SBUY,"خرید قوی "&amp;$C94,IF($AD94&gt;=TH_BUY,"خرید "&amp;$C94,IF($AD94&lt;=TH_SSELL,"اجتناب / بستن موقعیت",IF($AD94&lt;=TH_SELL,"ضعیف","بی‌طرف"))))))</f>
        <v/>
      </c>
      <c r="AF94" s="14" t="str">
        <f aca="false">IF($A94="","","سهم پایه: "&amp;IFERROR(TEXT($AB94,"0.0"),"—")&amp;" | وضعیت: "&amp;$Q94&amp;" | نوسان ضمنی: "&amp;IFERROR(TEXT($U94,"0%"),"—")&amp;" | بازار÷نظری: "&amp;IFERROR(TEXT($Z94,"0.00"),"—")&amp;" | اهرم: "&amp;IFERROR(TEXT($AA94,"0.0"),"—")&amp;"x"&amp;" | "&amp;$G94&amp;" روز تا سررسید")</f>
        <v/>
      </c>
    </row>
    <row r="95" customFormat="false" ht="15" hidden="false" customHeight="false" outlineLevel="0" collapsed="false">
      <c r="A95" s="5"/>
      <c r="B95" s="6"/>
      <c r="C95" s="7"/>
      <c r="D95" s="7"/>
      <c r="E95" s="8"/>
      <c r="F95" s="9"/>
      <c r="G95" s="10"/>
      <c r="H95" s="8"/>
      <c r="I95" s="8"/>
      <c r="J95" s="8"/>
      <c r="K95" s="8"/>
      <c r="L95" s="8"/>
      <c r="M95" s="8"/>
      <c r="N95" s="8"/>
      <c r="O95" s="8" t="str">
        <f aca="false">IF($A95="","",IFERROR(INDEX(Underlying!$B$1:$B$5000,MATCH($D95,Underlying!$A$1:$A$5000,0)),""))</f>
        <v/>
      </c>
      <c r="P95" s="11" t="str">
        <f aca="false">IF($A95="","",IFERROR($O95/$E95,""))</f>
        <v/>
      </c>
      <c r="Q95" s="7" t="str">
        <f aca="false">IF($A95="","",IF($P95="","",IF($C95="Call",IF($P95&gt;1+OPT_ATM_BAND,"ITM",IF($P95&lt;1-OPT_ATM_BAND,"OTM","ATM")),IF($P95&lt;1-OPT_ATM_BAND,"ITM",IF($P95&gt;1+OPT_ATM_BAND,"OTM","ATM")))))</f>
        <v/>
      </c>
      <c r="R95" s="8" t="str">
        <f aca="false">IF($A95="","",IFERROR(IF($C95="Call",MAX(0,$O95-$E95),MAX(0,$E95-$O95)),""))</f>
        <v/>
      </c>
      <c r="S95" s="8" t="str">
        <f aca="false">IF($A95="","",IFERROR(MAX(0,$I95-$R95),""))</f>
        <v/>
      </c>
      <c r="T95" s="11" t="str">
        <f aca="false">IF($A95="","",IFERROR($G95/365,""))</f>
        <v/>
      </c>
      <c r="U95" s="12" t="str">
        <f aca="false">IF($A95="","",IF(OR($P95="",ABS($P95-1)&gt;3*OPT_ATM_BAND),"",IFERROR($I95/$O95*SQRT(2*PI()/$T95),"")))</f>
        <v/>
      </c>
      <c r="V95" s="11" t="str">
        <f aca="false">IF($A95="","",IFERROR((LN($O95/$E95)+(OPT_RF+OPT_VOL^2/2)*$T95)/(OPT_VOL*SQRT($T95)),""))</f>
        <v/>
      </c>
      <c r="W95" s="11" t="str">
        <f aca="false">IF($A95="","",IFERROR($V95-OPT_VOL*SQRT($T95),""))</f>
        <v/>
      </c>
      <c r="X95" s="11" t="str">
        <f aca="false">IF($A95="","",IFERROR(IF($C95="Call",NORMSDIST($V95),NORMSDIST($V95)-1),""))</f>
        <v/>
      </c>
      <c r="Y95" s="8" t="str">
        <f aca="false">IF($A95="","",IFERROR(IF($C95="Call",$O95*NORMSDIST($V95)-$E95*EXP(-OPT_RF*$T95)*NORMSDIST($W95),$E95*EXP(-OPT_RF*$T95)*NORMSDIST(-$W95)-$O95*NORMSDIST(-$V95)),""))</f>
        <v/>
      </c>
      <c r="Z95" s="11" t="str">
        <f aca="false">IF($A95="","",IFERROR($I95/$Y95,""))</f>
        <v/>
      </c>
      <c r="AA95" s="13" t="str">
        <f aca="false">IF($A95="","",IFERROR($O95*ABS($X95)/$I95,""))</f>
        <v/>
      </c>
      <c r="AB95" s="13" t="str">
        <f aca="false">IF($A95="","",IFERROR(INDEX(Underlying!$D$1:$D$5000,MATCH($D95,Underlying!$A$1:$A$5000,0)),0))</f>
        <v/>
      </c>
      <c r="AC95" s="7" t="str">
        <f aca="false">IF($A95="","",IF(AND($J95&gt;=OPT_MIN_VOL,$G95&gt;=OPT_MIN_DTE),"بله","خیر"))</f>
        <v/>
      </c>
      <c r="AD95" s="13" t="str">
        <f aca="false">IF($A95="","",IF($AC95="خیر",0,IFERROR(MAX(-10,MIN(10,IF($C95="Call",$AB95,-$AB95)*0.6+IF($Z95&lt;0.85,2,IF($Z95&gt;1.25,-2,0))+IF($Q95="ATM",1,IF($Q95="ITM",0.5,-1))+IF($G95&gt;=30,0.5,-0.5))),0)))</f>
        <v/>
      </c>
      <c r="AE95" s="7" t="str">
        <f aca="false">IF($A95="","",IF($AC95="خیر","بدون سیگنال (نقدشوندگی/سررسید)",IF($AD95&gt;=TH_SBUY,"خرید قوی "&amp;$C95,IF($AD95&gt;=TH_BUY,"خرید "&amp;$C95,IF($AD95&lt;=TH_SSELL,"اجتناب / بستن موقعیت",IF($AD95&lt;=TH_SELL,"ضعیف","بی‌طرف"))))))</f>
        <v/>
      </c>
      <c r="AF95" s="14" t="str">
        <f aca="false">IF($A95="","","سهم پایه: "&amp;IFERROR(TEXT($AB95,"0.0"),"—")&amp;" | وضعیت: "&amp;$Q95&amp;" | نوسان ضمنی: "&amp;IFERROR(TEXT($U95,"0%"),"—")&amp;" | بازار÷نظری: "&amp;IFERROR(TEXT($Z95,"0.00"),"—")&amp;" | اهرم: "&amp;IFERROR(TEXT($AA95,"0.0"),"—")&amp;"x"&amp;" | "&amp;$G95&amp;" روز تا سررسید")</f>
        <v/>
      </c>
    </row>
    <row r="96" customFormat="false" ht="15" hidden="false" customHeight="false" outlineLevel="0" collapsed="false">
      <c r="A96" s="5"/>
      <c r="B96" s="6"/>
      <c r="C96" s="7"/>
      <c r="D96" s="7"/>
      <c r="E96" s="8"/>
      <c r="F96" s="9"/>
      <c r="G96" s="10"/>
      <c r="H96" s="8"/>
      <c r="I96" s="8"/>
      <c r="J96" s="8"/>
      <c r="K96" s="8"/>
      <c r="L96" s="8"/>
      <c r="M96" s="8"/>
      <c r="N96" s="8"/>
      <c r="O96" s="8" t="str">
        <f aca="false">IF($A96="","",IFERROR(INDEX(Underlying!$B$1:$B$5000,MATCH($D96,Underlying!$A$1:$A$5000,0)),""))</f>
        <v/>
      </c>
      <c r="P96" s="11" t="str">
        <f aca="false">IF($A96="","",IFERROR($O96/$E96,""))</f>
        <v/>
      </c>
      <c r="Q96" s="7" t="str">
        <f aca="false">IF($A96="","",IF($P96="","",IF($C96="Call",IF($P96&gt;1+OPT_ATM_BAND,"ITM",IF($P96&lt;1-OPT_ATM_BAND,"OTM","ATM")),IF($P96&lt;1-OPT_ATM_BAND,"ITM",IF($P96&gt;1+OPT_ATM_BAND,"OTM","ATM")))))</f>
        <v/>
      </c>
      <c r="R96" s="8" t="str">
        <f aca="false">IF($A96="","",IFERROR(IF($C96="Call",MAX(0,$O96-$E96),MAX(0,$E96-$O96)),""))</f>
        <v/>
      </c>
      <c r="S96" s="8" t="str">
        <f aca="false">IF($A96="","",IFERROR(MAX(0,$I96-$R96),""))</f>
        <v/>
      </c>
      <c r="T96" s="11" t="str">
        <f aca="false">IF($A96="","",IFERROR($G96/365,""))</f>
        <v/>
      </c>
      <c r="U96" s="12" t="str">
        <f aca="false">IF($A96="","",IF(OR($P96="",ABS($P96-1)&gt;3*OPT_ATM_BAND),"",IFERROR($I96/$O96*SQRT(2*PI()/$T96),"")))</f>
        <v/>
      </c>
      <c r="V96" s="11" t="str">
        <f aca="false">IF($A96="","",IFERROR((LN($O96/$E96)+(OPT_RF+OPT_VOL^2/2)*$T96)/(OPT_VOL*SQRT($T96)),""))</f>
        <v/>
      </c>
      <c r="W96" s="11" t="str">
        <f aca="false">IF($A96="","",IFERROR($V96-OPT_VOL*SQRT($T96),""))</f>
        <v/>
      </c>
      <c r="X96" s="11" t="str">
        <f aca="false">IF($A96="","",IFERROR(IF($C96="Call",NORMSDIST($V96),NORMSDIST($V96)-1),""))</f>
        <v/>
      </c>
      <c r="Y96" s="8" t="str">
        <f aca="false">IF($A96="","",IFERROR(IF($C96="Call",$O96*NORMSDIST($V96)-$E96*EXP(-OPT_RF*$T96)*NORMSDIST($W96),$E96*EXP(-OPT_RF*$T96)*NORMSDIST(-$W96)-$O96*NORMSDIST(-$V96)),""))</f>
        <v/>
      </c>
      <c r="Z96" s="11" t="str">
        <f aca="false">IF($A96="","",IFERROR($I96/$Y96,""))</f>
        <v/>
      </c>
      <c r="AA96" s="13" t="str">
        <f aca="false">IF($A96="","",IFERROR($O96*ABS($X96)/$I96,""))</f>
        <v/>
      </c>
      <c r="AB96" s="13" t="str">
        <f aca="false">IF($A96="","",IFERROR(INDEX(Underlying!$D$1:$D$5000,MATCH($D96,Underlying!$A$1:$A$5000,0)),0))</f>
        <v/>
      </c>
      <c r="AC96" s="7" t="str">
        <f aca="false">IF($A96="","",IF(AND($J96&gt;=OPT_MIN_VOL,$G96&gt;=OPT_MIN_DTE),"بله","خیر"))</f>
        <v/>
      </c>
      <c r="AD96" s="13" t="str">
        <f aca="false">IF($A96="","",IF($AC96="خیر",0,IFERROR(MAX(-10,MIN(10,IF($C96="Call",$AB96,-$AB96)*0.6+IF($Z96&lt;0.85,2,IF($Z96&gt;1.25,-2,0))+IF($Q96="ATM",1,IF($Q96="ITM",0.5,-1))+IF($G96&gt;=30,0.5,-0.5))),0)))</f>
        <v/>
      </c>
      <c r="AE96" s="7" t="str">
        <f aca="false">IF($A96="","",IF($AC96="خیر","بدون سیگنال (نقدشوندگی/سررسید)",IF($AD96&gt;=TH_SBUY,"خرید قوی "&amp;$C96,IF($AD96&gt;=TH_BUY,"خرید "&amp;$C96,IF($AD96&lt;=TH_SSELL,"اجتناب / بستن موقعیت",IF($AD96&lt;=TH_SELL,"ضعیف","بی‌طرف"))))))</f>
        <v/>
      </c>
      <c r="AF96" s="14" t="str">
        <f aca="false">IF($A96="","","سهم پایه: "&amp;IFERROR(TEXT($AB96,"0.0"),"—")&amp;" | وضعیت: "&amp;$Q96&amp;" | نوسان ضمنی: "&amp;IFERROR(TEXT($U96,"0%"),"—")&amp;" | بازار÷نظری: "&amp;IFERROR(TEXT($Z96,"0.00"),"—")&amp;" | اهرم: "&amp;IFERROR(TEXT($AA96,"0.0"),"—")&amp;"x"&amp;" | "&amp;$G96&amp;" روز تا سررسید")</f>
        <v/>
      </c>
    </row>
    <row r="97" customFormat="false" ht="15" hidden="false" customHeight="false" outlineLevel="0" collapsed="false">
      <c r="A97" s="5"/>
      <c r="B97" s="6"/>
      <c r="C97" s="7"/>
      <c r="D97" s="7"/>
      <c r="E97" s="8"/>
      <c r="F97" s="9"/>
      <c r="G97" s="10"/>
      <c r="H97" s="8"/>
      <c r="I97" s="8"/>
      <c r="J97" s="8"/>
      <c r="K97" s="8"/>
      <c r="L97" s="8"/>
      <c r="M97" s="8"/>
      <c r="N97" s="8"/>
      <c r="O97" s="8" t="str">
        <f aca="false">IF($A97="","",IFERROR(INDEX(Underlying!$B$1:$B$5000,MATCH($D97,Underlying!$A$1:$A$5000,0)),""))</f>
        <v/>
      </c>
      <c r="P97" s="11" t="str">
        <f aca="false">IF($A97="","",IFERROR($O97/$E97,""))</f>
        <v/>
      </c>
      <c r="Q97" s="7" t="str">
        <f aca="false">IF($A97="","",IF($P97="","",IF($C97="Call",IF($P97&gt;1+OPT_ATM_BAND,"ITM",IF($P97&lt;1-OPT_ATM_BAND,"OTM","ATM")),IF($P97&lt;1-OPT_ATM_BAND,"ITM",IF($P97&gt;1+OPT_ATM_BAND,"OTM","ATM")))))</f>
        <v/>
      </c>
      <c r="R97" s="8" t="str">
        <f aca="false">IF($A97="","",IFERROR(IF($C97="Call",MAX(0,$O97-$E97),MAX(0,$E97-$O97)),""))</f>
        <v/>
      </c>
      <c r="S97" s="8" t="str">
        <f aca="false">IF($A97="","",IFERROR(MAX(0,$I97-$R97),""))</f>
        <v/>
      </c>
      <c r="T97" s="11" t="str">
        <f aca="false">IF($A97="","",IFERROR($G97/365,""))</f>
        <v/>
      </c>
      <c r="U97" s="12" t="str">
        <f aca="false">IF($A97="","",IF(OR($P97="",ABS($P97-1)&gt;3*OPT_ATM_BAND),"",IFERROR($I97/$O97*SQRT(2*PI()/$T97),"")))</f>
        <v/>
      </c>
      <c r="V97" s="11" t="str">
        <f aca="false">IF($A97="","",IFERROR((LN($O97/$E97)+(OPT_RF+OPT_VOL^2/2)*$T97)/(OPT_VOL*SQRT($T97)),""))</f>
        <v/>
      </c>
      <c r="W97" s="11" t="str">
        <f aca="false">IF($A97="","",IFERROR($V97-OPT_VOL*SQRT($T97),""))</f>
        <v/>
      </c>
      <c r="X97" s="11" t="str">
        <f aca="false">IF($A97="","",IFERROR(IF($C97="Call",NORMSDIST($V97),NORMSDIST($V97)-1),""))</f>
        <v/>
      </c>
      <c r="Y97" s="8" t="str">
        <f aca="false">IF($A97="","",IFERROR(IF($C97="Call",$O97*NORMSDIST($V97)-$E97*EXP(-OPT_RF*$T97)*NORMSDIST($W97),$E97*EXP(-OPT_RF*$T97)*NORMSDIST(-$W97)-$O97*NORMSDIST(-$V97)),""))</f>
        <v/>
      </c>
      <c r="Z97" s="11" t="str">
        <f aca="false">IF($A97="","",IFERROR($I97/$Y97,""))</f>
        <v/>
      </c>
      <c r="AA97" s="13" t="str">
        <f aca="false">IF($A97="","",IFERROR($O97*ABS($X97)/$I97,""))</f>
        <v/>
      </c>
      <c r="AB97" s="13" t="str">
        <f aca="false">IF($A97="","",IFERROR(INDEX(Underlying!$D$1:$D$5000,MATCH($D97,Underlying!$A$1:$A$5000,0)),0))</f>
        <v/>
      </c>
      <c r="AC97" s="7" t="str">
        <f aca="false">IF($A97="","",IF(AND($J97&gt;=OPT_MIN_VOL,$G97&gt;=OPT_MIN_DTE),"بله","خیر"))</f>
        <v/>
      </c>
      <c r="AD97" s="13" t="str">
        <f aca="false">IF($A97="","",IF($AC97="خیر",0,IFERROR(MAX(-10,MIN(10,IF($C97="Call",$AB97,-$AB97)*0.6+IF($Z97&lt;0.85,2,IF($Z97&gt;1.25,-2,0))+IF($Q97="ATM",1,IF($Q97="ITM",0.5,-1))+IF($G97&gt;=30,0.5,-0.5))),0)))</f>
        <v/>
      </c>
      <c r="AE97" s="7" t="str">
        <f aca="false">IF($A97="","",IF($AC97="خیر","بدون سیگنال (نقدشوندگی/سررسید)",IF($AD97&gt;=TH_SBUY,"خرید قوی "&amp;$C97,IF($AD97&gt;=TH_BUY,"خرید "&amp;$C97,IF($AD97&lt;=TH_SSELL,"اجتناب / بستن موقعیت",IF($AD97&lt;=TH_SELL,"ضعیف","بی‌طرف"))))))</f>
        <v/>
      </c>
      <c r="AF97" s="14" t="str">
        <f aca="false">IF($A97="","","سهم پایه: "&amp;IFERROR(TEXT($AB97,"0.0"),"—")&amp;" | وضعیت: "&amp;$Q97&amp;" | نوسان ضمنی: "&amp;IFERROR(TEXT($U97,"0%"),"—")&amp;" | بازار÷نظری: "&amp;IFERROR(TEXT($Z97,"0.00"),"—")&amp;" | اهرم: "&amp;IFERROR(TEXT($AA97,"0.0"),"—")&amp;"x"&amp;" | "&amp;$G97&amp;" روز تا سررسید")</f>
        <v/>
      </c>
    </row>
    <row r="98" customFormat="false" ht="15" hidden="false" customHeight="false" outlineLevel="0" collapsed="false">
      <c r="A98" s="5"/>
      <c r="B98" s="6"/>
      <c r="C98" s="7"/>
      <c r="D98" s="7"/>
      <c r="E98" s="8"/>
      <c r="F98" s="9"/>
      <c r="G98" s="10"/>
      <c r="H98" s="8"/>
      <c r="I98" s="8"/>
      <c r="J98" s="8"/>
      <c r="K98" s="8"/>
      <c r="L98" s="8"/>
      <c r="M98" s="8"/>
      <c r="N98" s="8"/>
      <c r="O98" s="8" t="str">
        <f aca="false">IF($A98="","",IFERROR(INDEX(Underlying!$B$1:$B$5000,MATCH($D98,Underlying!$A$1:$A$5000,0)),""))</f>
        <v/>
      </c>
      <c r="P98" s="11" t="str">
        <f aca="false">IF($A98="","",IFERROR($O98/$E98,""))</f>
        <v/>
      </c>
      <c r="Q98" s="7" t="str">
        <f aca="false">IF($A98="","",IF($P98="","",IF($C98="Call",IF($P98&gt;1+OPT_ATM_BAND,"ITM",IF($P98&lt;1-OPT_ATM_BAND,"OTM","ATM")),IF($P98&lt;1-OPT_ATM_BAND,"ITM",IF($P98&gt;1+OPT_ATM_BAND,"OTM","ATM")))))</f>
        <v/>
      </c>
      <c r="R98" s="8" t="str">
        <f aca="false">IF($A98="","",IFERROR(IF($C98="Call",MAX(0,$O98-$E98),MAX(0,$E98-$O98)),""))</f>
        <v/>
      </c>
      <c r="S98" s="8" t="str">
        <f aca="false">IF($A98="","",IFERROR(MAX(0,$I98-$R98),""))</f>
        <v/>
      </c>
      <c r="T98" s="11" t="str">
        <f aca="false">IF($A98="","",IFERROR($G98/365,""))</f>
        <v/>
      </c>
      <c r="U98" s="12" t="str">
        <f aca="false">IF($A98="","",IF(OR($P98="",ABS($P98-1)&gt;3*OPT_ATM_BAND),"",IFERROR($I98/$O98*SQRT(2*PI()/$T98),"")))</f>
        <v/>
      </c>
      <c r="V98" s="11" t="str">
        <f aca="false">IF($A98="","",IFERROR((LN($O98/$E98)+(OPT_RF+OPT_VOL^2/2)*$T98)/(OPT_VOL*SQRT($T98)),""))</f>
        <v/>
      </c>
      <c r="W98" s="11" t="str">
        <f aca="false">IF($A98="","",IFERROR($V98-OPT_VOL*SQRT($T98),""))</f>
        <v/>
      </c>
      <c r="X98" s="11" t="str">
        <f aca="false">IF($A98="","",IFERROR(IF($C98="Call",NORMSDIST($V98),NORMSDIST($V98)-1),""))</f>
        <v/>
      </c>
      <c r="Y98" s="8" t="str">
        <f aca="false">IF($A98="","",IFERROR(IF($C98="Call",$O98*NORMSDIST($V98)-$E98*EXP(-OPT_RF*$T98)*NORMSDIST($W98),$E98*EXP(-OPT_RF*$T98)*NORMSDIST(-$W98)-$O98*NORMSDIST(-$V98)),""))</f>
        <v/>
      </c>
      <c r="Z98" s="11" t="str">
        <f aca="false">IF($A98="","",IFERROR($I98/$Y98,""))</f>
        <v/>
      </c>
      <c r="AA98" s="13" t="str">
        <f aca="false">IF($A98="","",IFERROR($O98*ABS($X98)/$I98,""))</f>
        <v/>
      </c>
      <c r="AB98" s="13" t="str">
        <f aca="false">IF($A98="","",IFERROR(INDEX(Underlying!$D$1:$D$5000,MATCH($D98,Underlying!$A$1:$A$5000,0)),0))</f>
        <v/>
      </c>
      <c r="AC98" s="7" t="str">
        <f aca="false">IF($A98="","",IF(AND($J98&gt;=OPT_MIN_VOL,$G98&gt;=OPT_MIN_DTE),"بله","خیر"))</f>
        <v/>
      </c>
      <c r="AD98" s="13" t="str">
        <f aca="false">IF($A98="","",IF($AC98="خیر",0,IFERROR(MAX(-10,MIN(10,IF($C98="Call",$AB98,-$AB98)*0.6+IF($Z98&lt;0.85,2,IF($Z98&gt;1.25,-2,0))+IF($Q98="ATM",1,IF($Q98="ITM",0.5,-1))+IF($G98&gt;=30,0.5,-0.5))),0)))</f>
        <v/>
      </c>
      <c r="AE98" s="7" t="str">
        <f aca="false">IF($A98="","",IF($AC98="خیر","بدون سیگنال (نقدشوندگی/سررسید)",IF($AD98&gt;=TH_SBUY,"خرید قوی "&amp;$C98,IF($AD98&gt;=TH_BUY,"خرید "&amp;$C98,IF($AD98&lt;=TH_SSELL,"اجتناب / بستن موقعیت",IF($AD98&lt;=TH_SELL,"ضعیف","بی‌طرف"))))))</f>
        <v/>
      </c>
      <c r="AF98" s="14" t="str">
        <f aca="false">IF($A98="","","سهم پایه: "&amp;IFERROR(TEXT($AB98,"0.0"),"—")&amp;" | وضعیت: "&amp;$Q98&amp;" | نوسان ضمنی: "&amp;IFERROR(TEXT($U98,"0%"),"—")&amp;" | بازار÷نظری: "&amp;IFERROR(TEXT($Z98,"0.00"),"—")&amp;" | اهرم: "&amp;IFERROR(TEXT($AA98,"0.0"),"—")&amp;"x"&amp;" | "&amp;$G98&amp;" روز تا سررسید")</f>
        <v/>
      </c>
    </row>
    <row r="99" customFormat="false" ht="15" hidden="false" customHeight="false" outlineLevel="0" collapsed="false">
      <c r="A99" s="5"/>
      <c r="B99" s="6"/>
      <c r="C99" s="7"/>
      <c r="D99" s="7"/>
      <c r="E99" s="8"/>
      <c r="F99" s="9"/>
      <c r="G99" s="10"/>
      <c r="H99" s="8"/>
      <c r="I99" s="8"/>
      <c r="J99" s="8"/>
      <c r="K99" s="8"/>
      <c r="L99" s="8"/>
      <c r="M99" s="8"/>
      <c r="N99" s="8"/>
      <c r="O99" s="8" t="str">
        <f aca="false">IF($A99="","",IFERROR(INDEX(Underlying!$B$1:$B$5000,MATCH($D99,Underlying!$A$1:$A$5000,0)),""))</f>
        <v/>
      </c>
      <c r="P99" s="11" t="str">
        <f aca="false">IF($A99="","",IFERROR($O99/$E99,""))</f>
        <v/>
      </c>
      <c r="Q99" s="7" t="str">
        <f aca="false">IF($A99="","",IF($P99="","",IF($C99="Call",IF($P99&gt;1+OPT_ATM_BAND,"ITM",IF($P99&lt;1-OPT_ATM_BAND,"OTM","ATM")),IF($P99&lt;1-OPT_ATM_BAND,"ITM",IF($P99&gt;1+OPT_ATM_BAND,"OTM","ATM")))))</f>
        <v/>
      </c>
      <c r="R99" s="8" t="str">
        <f aca="false">IF($A99="","",IFERROR(IF($C99="Call",MAX(0,$O99-$E99),MAX(0,$E99-$O99)),""))</f>
        <v/>
      </c>
      <c r="S99" s="8" t="str">
        <f aca="false">IF($A99="","",IFERROR(MAX(0,$I99-$R99),""))</f>
        <v/>
      </c>
      <c r="T99" s="11" t="str">
        <f aca="false">IF($A99="","",IFERROR($G99/365,""))</f>
        <v/>
      </c>
      <c r="U99" s="12" t="str">
        <f aca="false">IF($A99="","",IF(OR($P99="",ABS($P99-1)&gt;3*OPT_ATM_BAND),"",IFERROR($I99/$O99*SQRT(2*PI()/$T99),"")))</f>
        <v/>
      </c>
      <c r="V99" s="11" t="str">
        <f aca="false">IF($A99="","",IFERROR((LN($O99/$E99)+(OPT_RF+OPT_VOL^2/2)*$T99)/(OPT_VOL*SQRT($T99)),""))</f>
        <v/>
      </c>
      <c r="W99" s="11" t="str">
        <f aca="false">IF($A99="","",IFERROR($V99-OPT_VOL*SQRT($T99),""))</f>
        <v/>
      </c>
      <c r="X99" s="11" t="str">
        <f aca="false">IF($A99="","",IFERROR(IF($C99="Call",NORMSDIST($V99),NORMSDIST($V99)-1),""))</f>
        <v/>
      </c>
      <c r="Y99" s="8" t="str">
        <f aca="false">IF($A99="","",IFERROR(IF($C99="Call",$O99*NORMSDIST($V99)-$E99*EXP(-OPT_RF*$T99)*NORMSDIST($W99),$E99*EXP(-OPT_RF*$T99)*NORMSDIST(-$W99)-$O99*NORMSDIST(-$V99)),""))</f>
        <v/>
      </c>
      <c r="Z99" s="11" t="str">
        <f aca="false">IF($A99="","",IFERROR($I99/$Y99,""))</f>
        <v/>
      </c>
      <c r="AA99" s="13" t="str">
        <f aca="false">IF($A99="","",IFERROR($O99*ABS($X99)/$I99,""))</f>
        <v/>
      </c>
      <c r="AB99" s="13" t="str">
        <f aca="false">IF($A99="","",IFERROR(INDEX(Underlying!$D$1:$D$5000,MATCH($D99,Underlying!$A$1:$A$5000,0)),0))</f>
        <v/>
      </c>
      <c r="AC99" s="7" t="str">
        <f aca="false">IF($A99="","",IF(AND($J99&gt;=OPT_MIN_VOL,$G99&gt;=OPT_MIN_DTE),"بله","خیر"))</f>
        <v/>
      </c>
      <c r="AD99" s="13" t="str">
        <f aca="false">IF($A99="","",IF($AC99="خیر",0,IFERROR(MAX(-10,MIN(10,IF($C99="Call",$AB99,-$AB99)*0.6+IF($Z99&lt;0.85,2,IF($Z99&gt;1.25,-2,0))+IF($Q99="ATM",1,IF($Q99="ITM",0.5,-1))+IF($G99&gt;=30,0.5,-0.5))),0)))</f>
        <v/>
      </c>
      <c r="AE99" s="7" t="str">
        <f aca="false">IF($A99="","",IF($AC99="خیر","بدون سیگنال (نقدشوندگی/سررسید)",IF($AD99&gt;=TH_SBUY,"خرید قوی "&amp;$C99,IF($AD99&gt;=TH_BUY,"خرید "&amp;$C99,IF($AD99&lt;=TH_SSELL,"اجتناب / بستن موقعیت",IF($AD99&lt;=TH_SELL,"ضعیف","بی‌طرف"))))))</f>
        <v/>
      </c>
      <c r="AF99" s="14" t="str">
        <f aca="false">IF($A99="","","سهم پایه: "&amp;IFERROR(TEXT($AB99,"0.0"),"—")&amp;" | وضعیت: "&amp;$Q99&amp;" | نوسان ضمنی: "&amp;IFERROR(TEXT($U99,"0%"),"—")&amp;" | بازار÷نظری: "&amp;IFERROR(TEXT($Z99,"0.00"),"—")&amp;" | اهرم: "&amp;IFERROR(TEXT($AA99,"0.0"),"—")&amp;"x"&amp;" | "&amp;$G99&amp;" روز تا سررسید")</f>
        <v/>
      </c>
    </row>
    <row r="100" customFormat="false" ht="15" hidden="false" customHeight="false" outlineLevel="0" collapsed="false">
      <c r="A100" s="5"/>
      <c r="B100" s="6"/>
      <c r="C100" s="7"/>
      <c r="D100" s="7"/>
      <c r="E100" s="8"/>
      <c r="F100" s="9"/>
      <c r="G100" s="10"/>
      <c r="H100" s="8"/>
      <c r="I100" s="8"/>
      <c r="J100" s="8"/>
      <c r="K100" s="8"/>
      <c r="L100" s="8"/>
      <c r="M100" s="8"/>
      <c r="N100" s="8"/>
      <c r="O100" s="8" t="str">
        <f aca="false">IF($A100="","",IFERROR(INDEX(Underlying!$B$1:$B$5000,MATCH($D100,Underlying!$A$1:$A$5000,0)),""))</f>
        <v/>
      </c>
      <c r="P100" s="11" t="str">
        <f aca="false">IF($A100="","",IFERROR($O100/$E100,""))</f>
        <v/>
      </c>
      <c r="Q100" s="7" t="str">
        <f aca="false">IF($A100="","",IF($P100="","",IF($C100="Call",IF($P100&gt;1+OPT_ATM_BAND,"ITM",IF($P100&lt;1-OPT_ATM_BAND,"OTM","ATM")),IF($P100&lt;1-OPT_ATM_BAND,"ITM",IF($P100&gt;1+OPT_ATM_BAND,"OTM","ATM")))))</f>
        <v/>
      </c>
      <c r="R100" s="8" t="str">
        <f aca="false">IF($A100="","",IFERROR(IF($C100="Call",MAX(0,$O100-$E100),MAX(0,$E100-$O100)),""))</f>
        <v/>
      </c>
      <c r="S100" s="8" t="str">
        <f aca="false">IF($A100="","",IFERROR(MAX(0,$I100-$R100),""))</f>
        <v/>
      </c>
      <c r="T100" s="11" t="str">
        <f aca="false">IF($A100="","",IFERROR($G100/365,""))</f>
        <v/>
      </c>
      <c r="U100" s="12" t="str">
        <f aca="false">IF($A100="","",IF(OR($P100="",ABS($P100-1)&gt;3*OPT_ATM_BAND),"",IFERROR($I100/$O100*SQRT(2*PI()/$T100),"")))</f>
        <v/>
      </c>
      <c r="V100" s="11" t="str">
        <f aca="false">IF($A100="","",IFERROR((LN($O100/$E100)+(OPT_RF+OPT_VOL^2/2)*$T100)/(OPT_VOL*SQRT($T100)),""))</f>
        <v/>
      </c>
      <c r="W100" s="11" t="str">
        <f aca="false">IF($A100="","",IFERROR($V100-OPT_VOL*SQRT($T100),""))</f>
        <v/>
      </c>
      <c r="X100" s="11" t="str">
        <f aca="false">IF($A100="","",IFERROR(IF($C100="Call",NORMSDIST($V100),NORMSDIST($V100)-1),""))</f>
        <v/>
      </c>
      <c r="Y100" s="8" t="str">
        <f aca="false">IF($A100="","",IFERROR(IF($C100="Call",$O100*NORMSDIST($V100)-$E100*EXP(-OPT_RF*$T100)*NORMSDIST($W100),$E100*EXP(-OPT_RF*$T100)*NORMSDIST(-$W100)-$O100*NORMSDIST(-$V100)),""))</f>
        <v/>
      </c>
      <c r="Z100" s="11" t="str">
        <f aca="false">IF($A100="","",IFERROR($I100/$Y100,""))</f>
        <v/>
      </c>
      <c r="AA100" s="13" t="str">
        <f aca="false">IF($A100="","",IFERROR($O100*ABS($X100)/$I100,""))</f>
        <v/>
      </c>
      <c r="AB100" s="13" t="str">
        <f aca="false">IF($A100="","",IFERROR(INDEX(Underlying!$D$1:$D$5000,MATCH($D100,Underlying!$A$1:$A$5000,0)),0))</f>
        <v/>
      </c>
      <c r="AC100" s="7" t="str">
        <f aca="false">IF($A100="","",IF(AND($J100&gt;=OPT_MIN_VOL,$G100&gt;=OPT_MIN_DTE),"بله","خیر"))</f>
        <v/>
      </c>
      <c r="AD100" s="13" t="str">
        <f aca="false">IF($A100="","",IF($AC100="خیر",0,IFERROR(MAX(-10,MIN(10,IF($C100="Call",$AB100,-$AB100)*0.6+IF($Z100&lt;0.85,2,IF($Z100&gt;1.25,-2,0))+IF($Q100="ATM",1,IF($Q100="ITM",0.5,-1))+IF($G100&gt;=30,0.5,-0.5))),0)))</f>
        <v/>
      </c>
      <c r="AE100" s="7" t="str">
        <f aca="false">IF($A100="","",IF($AC100="خیر","بدون سیگنال (نقدشوندگی/سررسید)",IF($AD100&gt;=TH_SBUY,"خرید قوی "&amp;$C100,IF($AD100&gt;=TH_BUY,"خرید "&amp;$C100,IF($AD100&lt;=TH_SSELL,"اجتناب / بستن موقعیت",IF($AD100&lt;=TH_SELL,"ضعیف","بی‌طرف"))))))</f>
        <v/>
      </c>
      <c r="AF100" s="14" t="str">
        <f aca="false">IF($A100="","","سهم پایه: "&amp;IFERROR(TEXT($AB100,"0.0"),"—")&amp;" | وضعیت: "&amp;$Q100&amp;" | نوسان ضمنی: "&amp;IFERROR(TEXT($U100,"0%"),"—")&amp;" | بازار÷نظری: "&amp;IFERROR(TEXT($Z100,"0.00"),"—")&amp;" | اهرم: "&amp;IFERROR(TEXT($AA100,"0.0"),"—")&amp;"x"&amp;" | "&amp;$G100&amp;" روز تا سررسید")</f>
        <v/>
      </c>
    </row>
    <row r="101" customFormat="false" ht="15" hidden="false" customHeight="false" outlineLevel="0" collapsed="false">
      <c r="A101" s="5"/>
      <c r="B101" s="6"/>
      <c r="C101" s="7"/>
      <c r="D101" s="7"/>
      <c r="E101" s="8"/>
      <c r="F101" s="9"/>
      <c r="G101" s="10"/>
      <c r="H101" s="8"/>
      <c r="I101" s="8"/>
      <c r="J101" s="8"/>
      <c r="K101" s="8"/>
      <c r="L101" s="8"/>
      <c r="M101" s="8"/>
      <c r="N101" s="8"/>
      <c r="O101" s="8" t="str">
        <f aca="false">IF($A101="","",IFERROR(INDEX(Underlying!$B$1:$B$5000,MATCH($D101,Underlying!$A$1:$A$5000,0)),""))</f>
        <v/>
      </c>
      <c r="P101" s="11" t="str">
        <f aca="false">IF($A101="","",IFERROR($O101/$E101,""))</f>
        <v/>
      </c>
      <c r="Q101" s="7" t="str">
        <f aca="false">IF($A101="","",IF($P101="","",IF($C101="Call",IF($P101&gt;1+OPT_ATM_BAND,"ITM",IF($P101&lt;1-OPT_ATM_BAND,"OTM","ATM")),IF($P101&lt;1-OPT_ATM_BAND,"ITM",IF($P101&gt;1+OPT_ATM_BAND,"OTM","ATM")))))</f>
        <v/>
      </c>
      <c r="R101" s="8" t="str">
        <f aca="false">IF($A101="","",IFERROR(IF($C101="Call",MAX(0,$O101-$E101),MAX(0,$E101-$O101)),""))</f>
        <v/>
      </c>
      <c r="S101" s="8" t="str">
        <f aca="false">IF($A101="","",IFERROR(MAX(0,$I101-$R101),""))</f>
        <v/>
      </c>
      <c r="T101" s="11" t="str">
        <f aca="false">IF($A101="","",IFERROR($G101/365,""))</f>
        <v/>
      </c>
      <c r="U101" s="12" t="str">
        <f aca="false">IF($A101="","",IF(OR($P101="",ABS($P101-1)&gt;3*OPT_ATM_BAND),"",IFERROR($I101/$O101*SQRT(2*PI()/$T101),"")))</f>
        <v/>
      </c>
      <c r="V101" s="11" t="str">
        <f aca="false">IF($A101="","",IFERROR((LN($O101/$E101)+(OPT_RF+OPT_VOL^2/2)*$T101)/(OPT_VOL*SQRT($T101)),""))</f>
        <v/>
      </c>
      <c r="W101" s="11" t="str">
        <f aca="false">IF($A101="","",IFERROR($V101-OPT_VOL*SQRT($T101),""))</f>
        <v/>
      </c>
      <c r="X101" s="11" t="str">
        <f aca="false">IF($A101="","",IFERROR(IF($C101="Call",NORMSDIST($V101),NORMSDIST($V101)-1),""))</f>
        <v/>
      </c>
      <c r="Y101" s="8" t="str">
        <f aca="false">IF($A101="","",IFERROR(IF($C101="Call",$O101*NORMSDIST($V101)-$E101*EXP(-OPT_RF*$T101)*NORMSDIST($W101),$E101*EXP(-OPT_RF*$T101)*NORMSDIST(-$W101)-$O101*NORMSDIST(-$V101)),""))</f>
        <v/>
      </c>
      <c r="Z101" s="11" t="str">
        <f aca="false">IF($A101="","",IFERROR($I101/$Y101,""))</f>
        <v/>
      </c>
      <c r="AA101" s="13" t="str">
        <f aca="false">IF($A101="","",IFERROR($O101*ABS($X101)/$I101,""))</f>
        <v/>
      </c>
      <c r="AB101" s="13" t="str">
        <f aca="false">IF($A101="","",IFERROR(INDEX(Underlying!$D$1:$D$5000,MATCH($D101,Underlying!$A$1:$A$5000,0)),0))</f>
        <v/>
      </c>
      <c r="AC101" s="7" t="str">
        <f aca="false">IF($A101="","",IF(AND($J101&gt;=OPT_MIN_VOL,$G101&gt;=OPT_MIN_DTE),"بله","خیر"))</f>
        <v/>
      </c>
      <c r="AD101" s="13" t="str">
        <f aca="false">IF($A101="","",IF($AC101="خیر",0,IFERROR(MAX(-10,MIN(10,IF($C101="Call",$AB101,-$AB101)*0.6+IF($Z101&lt;0.85,2,IF($Z101&gt;1.25,-2,0))+IF($Q101="ATM",1,IF($Q101="ITM",0.5,-1))+IF($G101&gt;=30,0.5,-0.5))),0)))</f>
        <v/>
      </c>
      <c r="AE101" s="7" t="str">
        <f aca="false">IF($A101="","",IF($AC101="خیر","بدون سیگنال (نقدشوندگی/سررسید)",IF($AD101&gt;=TH_SBUY,"خرید قوی "&amp;$C101,IF($AD101&gt;=TH_BUY,"خرید "&amp;$C101,IF($AD101&lt;=TH_SSELL,"اجتناب / بستن موقعیت",IF($AD101&lt;=TH_SELL,"ضعیف","بی‌طرف"))))))</f>
        <v/>
      </c>
      <c r="AF101" s="14" t="str">
        <f aca="false">IF($A101="","","سهم پایه: "&amp;IFERROR(TEXT($AB101,"0.0"),"—")&amp;" | وضعیت: "&amp;$Q101&amp;" | نوسان ضمنی: "&amp;IFERROR(TEXT($U101,"0%"),"—")&amp;" | بازار÷نظری: "&amp;IFERROR(TEXT($Z101,"0.00"),"—")&amp;" | اهرم: "&amp;IFERROR(TEXT($AA101,"0.0"),"—")&amp;"x"&amp;" | "&amp;$G101&amp;" روز تا سررسید")</f>
        <v/>
      </c>
    </row>
    <row r="102" customFormat="false" ht="15" hidden="false" customHeight="false" outlineLevel="0" collapsed="false">
      <c r="A102" s="5"/>
      <c r="B102" s="6"/>
      <c r="C102" s="7"/>
      <c r="D102" s="7"/>
      <c r="E102" s="8"/>
      <c r="F102" s="9"/>
      <c r="G102" s="10"/>
      <c r="H102" s="8"/>
      <c r="I102" s="8"/>
      <c r="J102" s="8"/>
      <c r="K102" s="8"/>
      <c r="L102" s="8"/>
      <c r="M102" s="8"/>
      <c r="N102" s="8"/>
      <c r="O102" s="8" t="str">
        <f aca="false">IF($A102="","",IFERROR(INDEX(Underlying!$B$1:$B$5000,MATCH($D102,Underlying!$A$1:$A$5000,0)),""))</f>
        <v/>
      </c>
      <c r="P102" s="11" t="str">
        <f aca="false">IF($A102="","",IFERROR($O102/$E102,""))</f>
        <v/>
      </c>
      <c r="Q102" s="7" t="str">
        <f aca="false">IF($A102="","",IF($P102="","",IF($C102="Call",IF($P102&gt;1+OPT_ATM_BAND,"ITM",IF($P102&lt;1-OPT_ATM_BAND,"OTM","ATM")),IF($P102&lt;1-OPT_ATM_BAND,"ITM",IF($P102&gt;1+OPT_ATM_BAND,"OTM","ATM")))))</f>
        <v/>
      </c>
      <c r="R102" s="8" t="str">
        <f aca="false">IF($A102="","",IFERROR(IF($C102="Call",MAX(0,$O102-$E102),MAX(0,$E102-$O102)),""))</f>
        <v/>
      </c>
      <c r="S102" s="8" t="str">
        <f aca="false">IF($A102="","",IFERROR(MAX(0,$I102-$R102),""))</f>
        <v/>
      </c>
      <c r="T102" s="11" t="str">
        <f aca="false">IF($A102="","",IFERROR($G102/365,""))</f>
        <v/>
      </c>
      <c r="U102" s="12" t="str">
        <f aca="false">IF($A102="","",IF(OR($P102="",ABS($P102-1)&gt;3*OPT_ATM_BAND),"",IFERROR($I102/$O102*SQRT(2*PI()/$T102),"")))</f>
        <v/>
      </c>
      <c r="V102" s="11" t="str">
        <f aca="false">IF($A102="","",IFERROR((LN($O102/$E102)+(OPT_RF+OPT_VOL^2/2)*$T102)/(OPT_VOL*SQRT($T102)),""))</f>
        <v/>
      </c>
      <c r="W102" s="11" t="str">
        <f aca="false">IF($A102="","",IFERROR($V102-OPT_VOL*SQRT($T102),""))</f>
        <v/>
      </c>
      <c r="X102" s="11" t="str">
        <f aca="false">IF($A102="","",IFERROR(IF($C102="Call",NORMSDIST($V102),NORMSDIST($V102)-1),""))</f>
        <v/>
      </c>
      <c r="Y102" s="8" t="str">
        <f aca="false">IF($A102="","",IFERROR(IF($C102="Call",$O102*NORMSDIST($V102)-$E102*EXP(-OPT_RF*$T102)*NORMSDIST($W102),$E102*EXP(-OPT_RF*$T102)*NORMSDIST(-$W102)-$O102*NORMSDIST(-$V102)),""))</f>
        <v/>
      </c>
      <c r="Z102" s="11" t="str">
        <f aca="false">IF($A102="","",IFERROR($I102/$Y102,""))</f>
        <v/>
      </c>
      <c r="AA102" s="13" t="str">
        <f aca="false">IF($A102="","",IFERROR($O102*ABS($X102)/$I102,""))</f>
        <v/>
      </c>
      <c r="AB102" s="13" t="str">
        <f aca="false">IF($A102="","",IFERROR(INDEX(Underlying!$D$1:$D$5000,MATCH($D102,Underlying!$A$1:$A$5000,0)),0))</f>
        <v/>
      </c>
      <c r="AC102" s="7" t="str">
        <f aca="false">IF($A102="","",IF(AND($J102&gt;=OPT_MIN_VOL,$G102&gt;=OPT_MIN_DTE),"بله","خیر"))</f>
        <v/>
      </c>
      <c r="AD102" s="13" t="str">
        <f aca="false">IF($A102="","",IF($AC102="خیر",0,IFERROR(MAX(-10,MIN(10,IF($C102="Call",$AB102,-$AB102)*0.6+IF($Z102&lt;0.85,2,IF($Z102&gt;1.25,-2,0))+IF($Q102="ATM",1,IF($Q102="ITM",0.5,-1))+IF($G102&gt;=30,0.5,-0.5))),0)))</f>
        <v/>
      </c>
      <c r="AE102" s="7" t="str">
        <f aca="false">IF($A102="","",IF($AC102="خیر","بدون سیگنال (نقدشوندگی/سررسید)",IF($AD102&gt;=TH_SBUY,"خرید قوی "&amp;$C102,IF($AD102&gt;=TH_BUY,"خرید "&amp;$C102,IF($AD102&lt;=TH_SSELL,"اجتناب / بستن موقعیت",IF($AD102&lt;=TH_SELL,"ضعیف","بی‌طرف"))))))</f>
        <v/>
      </c>
      <c r="AF102" s="14" t="str">
        <f aca="false">IF($A102="","","سهم پایه: "&amp;IFERROR(TEXT($AB102,"0.0"),"—")&amp;" | وضعیت: "&amp;$Q102&amp;" | نوسان ضمنی: "&amp;IFERROR(TEXT($U102,"0%"),"—")&amp;" | بازار÷نظری: "&amp;IFERROR(TEXT($Z102,"0.00"),"—")&amp;" | اهرم: "&amp;IFERROR(TEXT($AA102,"0.0"),"—")&amp;"x"&amp;" | "&amp;$G102&amp;" روز تا سررسید")</f>
        <v/>
      </c>
    </row>
    <row r="103" customFormat="false" ht="15" hidden="false" customHeight="false" outlineLevel="0" collapsed="false">
      <c r="A103" s="5"/>
      <c r="B103" s="6"/>
      <c r="C103" s="7"/>
      <c r="D103" s="7"/>
      <c r="E103" s="8"/>
      <c r="F103" s="9"/>
      <c r="G103" s="10"/>
      <c r="H103" s="8"/>
      <c r="I103" s="8"/>
      <c r="J103" s="8"/>
      <c r="K103" s="8"/>
      <c r="L103" s="8"/>
      <c r="M103" s="8"/>
      <c r="N103" s="8"/>
      <c r="O103" s="8" t="str">
        <f aca="false">IF($A103="","",IFERROR(INDEX(Underlying!$B$1:$B$5000,MATCH($D103,Underlying!$A$1:$A$5000,0)),""))</f>
        <v/>
      </c>
      <c r="P103" s="11" t="str">
        <f aca="false">IF($A103="","",IFERROR($O103/$E103,""))</f>
        <v/>
      </c>
      <c r="Q103" s="7" t="str">
        <f aca="false">IF($A103="","",IF($P103="","",IF($C103="Call",IF($P103&gt;1+OPT_ATM_BAND,"ITM",IF($P103&lt;1-OPT_ATM_BAND,"OTM","ATM")),IF($P103&lt;1-OPT_ATM_BAND,"ITM",IF($P103&gt;1+OPT_ATM_BAND,"OTM","ATM")))))</f>
        <v/>
      </c>
      <c r="R103" s="8" t="str">
        <f aca="false">IF($A103="","",IFERROR(IF($C103="Call",MAX(0,$O103-$E103),MAX(0,$E103-$O103)),""))</f>
        <v/>
      </c>
      <c r="S103" s="8" t="str">
        <f aca="false">IF($A103="","",IFERROR(MAX(0,$I103-$R103),""))</f>
        <v/>
      </c>
      <c r="T103" s="11" t="str">
        <f aca="false">IF($A103="","",IFERROR($G103/365,""))</f>
        <v/>
      </c>
      <c r="U103" s="12" t="str">
        <f aca="false">IF($A103="","",IF(OR($P103="",ABS($P103-1)&gt;3*OPT_ATM_BAND),"",IFERROR($I103/$O103*SQRT(2*PI()/$T103),"")))</f>
        <v/>
      </c>
      <c r="V103" s="11" t="str">
        <f aca="false">IF($A103="","",IFERROR((LN($O103/$E103)+(OPT_RF+OPT_VOL^2/2)*$T103)/(OPT_VOL*SQRT($T103)),""))</f>
        <v/>
      </c>
      <c r="W103" s="11" t="str">
        <f aca="false">IF($A103="","",IFERROR($V103-OPT_VOL*SQRT($T103),""))</f>
        <v/>
      </c>
      <c r="X103" s="11" t="str">
        <f aca="false">IF($A103="","",IFERROR(IF($C103="Call",NORMSDIST($V103),NORMSDIST($V103)-1),""))</f>
        <v/>
      </c>
      <c r="Y103" s="8" t="str">
        <f aca="false">IF($A103="","",IFERROR(IF($C103="Call",$O103*NORMSDIST($V103)-$E103*EXP(-OPT_RF*$T103)*NORMSDIST($W103),$E103*EXP(-OPT_RF*$T103)*NORMSDIST(-$W103)-$O103*NORMSDIST(-$V103)),""))</f>
        <v/>
      </c>
      <c r="Z103" s="11" t="str">
        <f aca="false">IF($A103="","",IFERROR($I103/$Y103,""))</f>
        <v/>
      </c>
      <c r="AA103" s="13" t="str">
        <f aca="false">IF($A103="","",IFERROR($O103*ABS($X103)/$I103,""))</f>
        <v/>
      </c>
      <c r="AB103" s="13" t="str">
        <f aca="false">IF($A103="","",IFERROR(INDEX(Underlying!$D$1:$D$5000,MATCH($D103,Underlying!$A$1:$A$5000,0)),0))</f>
        <v/>
      </c>
      <c r="AC103" s="7" t="str">
        <f aca="false">IF($A103="","",IF(AND($J103&gt;=OPT_MIN_VOL,$G103&gt;=OPT_MIN_DTE),"بله","خیر"))</f>
        <v/>
      </c>
      <c r="AD103" s="13" t="str">
        <f aca="false">IF($A103="","",IF($AC103="خیر",0,IFERROR(MAX(-10,MIN(10,IF($C103="Call",$AB103,-$AB103)*0.6+IF($Z103&lt;0.85,2,IF($Z103&gt;1.25,-2,0))+IF($Q103="ATM",1,IF($Q103="ITM",0.5,-1))+IF($G103&gt;=30,0.5,-0.5))),0)))</f>
        <v/>
      </c>
      <c r="AE103" s="7" t="str">
        <f aca="false">IF($A103="","",IF($AC103="خیر","بدون سیگنال (نقدشوندگی/سررسید)",IF($AD103&gt;=TH_SBUY,"خرید قوی "&amp;$C103,IF($AD103&gt;=TH_BUY,"خرید "&amp;$C103,IF($AD103&lt;=TH_SSELL,"اجتناب / بستن موقعیت",IF($AD103&lt;=TH_SELL,"ضعیف","بی‌طرف"))))))</f>
        <v/>
      </c>
      <c r="AF103" s="14" t="str">
        <f aca="false">IF($A103="","","سهم پایه: "&amp;IFERROR(TEXT($AB103,"0.0"),"—")&amp;" | وضعیت: "&amp;$Q103&amp;" | نوسان ضمنی: "&amp;IFERROR(TEXT($U103,"0%"),"—")&amp;" | بازار÷نظری: "&amp;IFERROR(TEXT($Z103,"0.00"),"—")&amp;" | اهرم: "&amp;IFERROR(TEXT($AA103,"0.0"),"—")&amp;"x"&amp;" | "&amp;$G103&amp;" روز تا سررسید")</f>
        <v/>
      </c>
    </row>
    <row r="104" customFormat="false" ht="15" hidden="false" customHeight="false" outlineLevel="0" collapsed="false">
      <c r="A104" s="5"/>
      <c r="B104" s="6"/>
      <c r="C104" s="7"/>
      <c r="D104" s="7"/>
      <c r="E104" s="8"/>
      <c r="F104" s="9"/>
      <c r="G104" s="10"/>
      <c r="H104" s="8"/>
      <c r="I104" s="8"/>
      <c r="J104" s="8"/>
      <c r="K104" s="8"/>
      <c r="L104" s="8"/>
      <c r="M104" s="8"/>
      <c r="N104" s="8"/>
      <c r="O104" s="8" t="str">
        <f aca="false">IF($A104="","",IFERROR(INDEX(Underlying!$B$1:$B$5000,MATCH($D104,Underlying!$A$1:$A$5000,0)),""))</f>
        <v/>
      </c>
      <c r="P104" s="11" t="str">
        <f aca="false">IF($A104="","",IFERROR($O104/$E104,""))</f>
        <v/>
      </c>
      <c r="Q104" s="7" t="str">
        <f aca="false">IF($A104="","",IF($P104="","",IF($C104="Call",IF($P104&gt;1+OPT_ATM_BAND,"ITM",IF($P104&lt;1-OPT_ATM_BAND,"OTM","ATM")),IF($P104&lt;1-OPT_ATM_BAND,"ITM",IF($P104&gt;1+OPT_ATM_BAND,"OTM","ATM")))))</f>
        <v/>
      </c>
      <c r="R104" s="8" t="str">
        <f aca="false">IF($A104="","",IFERROR(IF($C104="Call",MAX(0,$O104-$E104),MAX(0,$E104-$O104)),""))</f>
        <v/>
      </c>
      <c r="S104" s="8" t="str">
        <f aca="false">IF($A104="","",IFERROR(MAX(0,$I104-$R104),""))</f>
        <v/>
      </c>
      <c r="T104" s="11" t="str">
        <f aca="false">IF($A104="","",IFERROR($G104/365,""))</f>
        <v/>
      </c>
      <c r="U104" s="12" t="str">
        <f aca="false">IF($A104="","",IF(OR($P104="",ABS($P104-1)&gt;3*OPT_ATM_BAND),"",IFERROR($I104/$O104*SQRT(2*PI()/$T104),"")))</f>
        <v/>
      </c>
      <c r="V104" s="11" t="str">
        <f aca="false">IF($A104="","",IFERROR((LN($O104/$E104)+(OPT_RF+OPT_VOL^2/2)*$T104)/(OPT_VOL*SQRT($T104)),""))</f>
        <v/>
      </c>
      <c r="W104" s="11" t="str">
        <f aca="false">IF($A104="","",IFERROR($V104-OPT_VOL*SQRT($T104),""))</f>
        <v/>
      </c>
      <c r="X104" s="11" t="str">
        <f aca="false">IF($A104="","",IFERROR(IF($C104="Call",NORMSDIST($V104),NORMSDIST($V104)-1),""))</f>
        <v/>
      </c>
      <c r="Y104" s="8" t="str">
        <f aca="false">IF($A104="","",IFERROR(IF($C104="Call",$O104*NORMSDIST($V104)-$E104*EXP(-OPT_RF*$T104)*NORMSDIST($W104),$E104*EXP(-OPT_RF*$T104)*NORMSDIST(-$W104)-$O104*NORMSDIST(-$V104)),""))</f>
        <v/>
      </c>
      <c r="Z104" s="11" t="str">
        <f aca="false">IF($A104="","",IFERROR($I104/$Y104,""))</f>
        <v/>
      </c>
      <c r="AA104" s="13" t="str">
        <f aca="false">IF($A104="","",IFERROR($O104*ABS($X104)/$I104,""))</f>
        <v/>
      </c>
      <c r="AB104" s="13" t="str">
        <f aca="false">IF($A104="","",IFERROR(INDEX(Underlying!$D$1:$D$5000,MATCH($D104,Underlying!$A$1:$A$5000,0)),0))</f>
        <v/>
      </c>
      <c r="AC104" s="7" t="str">
        <f aca="false">IF($A104="","",IF(AND($J104&gt;=OPT_MIN_VOL,$G104&gt;=OPT_MIN_DTE),"بله","خیر"))</f>
        <v/>
      </c>
      <c r="AD104" s="13" t="str">
        <f aca="false">IF($A104="","",IF($AC104="خیر",0,IFERROR(MAX(-10,MIN(10,IF($C104="Call",$AB104,-$AB104)*0.6+IF($Z104&lt;0.85,2,IF($Z104&gt;1.25,-2,0))+IF($Q104="ATM",1,IF($Q104="ITM",0.5,-1))+IF($G104&gt;=30,0.5,-0.5))),0)))</f>
        <v/>
      </c>
      <c r="AE104" s="7" t="str">
        <f aca="false">IF($A104="","",IF($AC104="خیر","بدون سیگنال (نقدشوندگی/سررسید)",IF($AD104&gt;=TH_SBUY,"خرید قوی "&amp;$C104,IF($AD104&gt;=TH_BUY,"خرید "&amp;$C104,IF($AD104&lt;=TH_SSELL,"اجتناب / بستن موقعیت",IF($AD104&lt;=TH_SELL,"ضعیف","بی‌طرف"))))))</f>
        <v/>
      </c>
      <c r="AF104" s="14" t="str">
        <f aca="false">IF($A104="","","سهم پایه: "&amp;IFERROR(TEXT($AB104,"0.0"),"—")&amp;" | وضعیت: "&amp;$Q104&amp;" | نوسان ضمنی: "&amp;IFERROR(TEXT($U104,"0%"),"—")&amp;" | بازار÷نظری: "&amp;IFERROR(TEXT($Z104,"0.00"),"—")&amp;" | اهرم: "&amp;IFERROR(TEXT($AA104,"0.0"),"—")&amp;"x"&amp;" | "&amp;$G104&amp;" روز تا سررسید")</f>
        <v/>
      </c>
    </row>
    <row r="105" customFormat="false" ht="15" hidden="false" customHeight="false" outlineLevel="0" collapsed="false">
      <c r="A105" s="5"/>
      <c r="B105" s="6"/>
      <c r="C105" s="7"/>
      <c r="D105" s="7"/>
      <c r="E105" s="8"/>
      <c r="F105" s="9"/>
      <c r="G105" s="10"/>
      <c r="H105" s="8"/>
      <c r="I105" s="8"/>
      <c r="J105" s="8"/>
      <c r="K105" s="8"/>
      <c r="L105" s="8"/>
      <c r="M105" s="8"/>
      <c r="N105" s="8"/>
      <c r="O105" s="8" t="str">
        <f aca="false">IF($A105="","",IFERROR(INDEX(Underlying!$B$1:$B$5000,MATCH($D105,Underlying!$A$1:$A$5000,0)),""))</f>
        <v/>
      </c>
      <c r="P105" s="11" t="str">
        <f aca="false">IF($A105="","",IFERROR($O105/$E105,""))</f>
        <v/>
      </c>
      <c r="Q105" s="7" t="str">
        <f aca="false">IF($A105="","",IF($P105="","",IF($C105="Call",IF($P105&gt;1+OPT_ATM_BAND,"ITM",IF($P105&lt;1-OPT_ATM_BAND,"OTM","ATM")),IF($P105&lt;1-OPT_ATM_BAND,"ITM",IF($P105&gt;1+OPT_ATM_BAND,"OTM","ATM")))))</f>
        <v/>
      </c>
      <c r="R105" s="8" t="str">
        <f aca="false">IF($A105="","",IFERROR(IF($C105="Call",MAX(0,$O105-$E105),MAX(0,$E105-$O105)),""))</f>
        <v/>
      </c>
      <c r="S105" s="8" t="str">
        <f aca="false">IF($A105="","",IFERROR(MAX(0,$I105-$R105),""))</f>
        <v/>
      </c>
      <c r="T105" s="11" t="str">
        <f aca="false">IF($A105="","",IFERROR($G105/365,""))</f>
        <v/>
      </c>
      <c r="U105" s="12" t="str">
        <f aca="false">IF($A105="","",IF(OR($P105="",ABS($P105-1)&gt;3*OPT_ATM_BAND),"",IFERROR($I105/$O105*SQRT(2*PI()/$T105),"")))</f>
        <v/>
      </c>
      <c r="V105" s="11" t="str">
        <f aca="false">IF($A105="","",IFERROR((LN($O105/$E105)+(OPT_RF+OPT_VOL^2/2)*$T105)/(OPT_VOL*SQRT($T105)),""))</f>
        <v/>
      </c>
      <c r="W105" s="11" t="str">
        <f aca="false">IF($A105="","",IFERROR($V105-OPT_VOL*SQRT($T105),""))</f>
        <v/>
      </c>
      <c r="X105" s="11" t="str">
        <f aca="false">IF($A105="","",IFERROR(IF($C105="Call",NORMSDIST($V105),NORMSDIST($V105)-1),""))</f>
        <v/>
      </c>
      <c r="Y105" s="8" t="str">
        <f aca="false">IF($A105="","",IFERROR(IF($C105="Call",$O105*NORMSDIST($V105)-$E105*EXP(-OPT_RF*$T105)*NORMSDIST($W105),$E105*EXP(-OPT_RF*$T105)*NORMSDIST(-$W105)-$O105*NORMSDIST(-$V105)),""))</f>
        <v/>
      </c>
      <c r="Z105" s="11" t="str">
        <f aca="false">IF($A105="","",IFERROR($I105/$Y105,""))</f>
        <v/>
      </c>
      <c r="AA105" s="13" t="str">
        <f aca="false">IF($A105="","",IFERROR($O105*ABS($X105)/$I105,""))</f>
        <v/>
      </c>
      <c r="AB105" s="13" t="str">
        <f aca="false">IF($A105="","",IFERROR(INDEX(Underlying!$D$1:$D$5000,MATCH($D105,Underlying!$A$1:$A$5000,0)),0))</f>
        <v/>
      </c>
      <c r="AC105" s="7" t="str">
        <f aca="false">IF($A105="","",IF(AND($J105&gt;=OPT_MIN_VOL,$G105&gt;=OPT_MIN_DTE),"بله","خیر"))</f>
        <v/>
      </c>
      <c r="AD105" s="13" t="str">
        <f aca="false">IF($A105="","",IF($AC105="خیر",0,IFERROR(MAX(-10,MIN(10,IF($C105="Call",$AB105,-$AB105)*0.6+IF($Z105&lt;0.85,2,IF($Z105&gt;1.25,-2,0))+IF($Q105="ATM",1,IF($Q105="ITM",0.5,-1))+IF($G105&gt;=30,0.5,-0.5))),0)))</f>
        <v/>
      </c>
      <c r="AE105" s="7" t="str">
        <f aca="false">IF($A105="","",IF($AC105="خیر","بدون سیگنال (نقدشوندگی/سررسید)",IF($AD105&gt;=TH_SBUY,"خرید قوی "&amp;$C105,IF($AD105&gt;=TH_BUY,"خرید "&amp;$C105,IF($AD105&lt;=TH_SSELL,"اجتناب / بستن موقعیت",IF($AD105&lt;=TH_SELL,"ضعیف","بی‌طرف"))))))</f>
        <v/>
      </c>
      <c r="AF105" s="14" t="str">
        <f aca="false">IF($A105="","","سهم پایه: "&amp;IFERROR(TEXT($AB105,"0.0"),"—")&amp;" | وضعیت: "&amp;$Q105&amp;" | نوسان ضمنی: "&amp;IFERROR(TEXT($U105,"0%"),"—")&amp;" | بازار÷نظری: "&amp;IFERROR(TEXT($Z105,"0.00"),"—")&amp;" | اهرم: "&amp;IFERROR(TEXT($AA105,"0.0"),"—")&amp;"x"&amp;" | "&amp;$G105&amp;" روز تا سررسید")</f>
        <v/>
      </c>
    </row>
    <row r="106" customFormat="false" ht="15" hidden="false" customHeight="false" outlineLevel="0" collapsed="false">
      <c r="A106" s="5"/>
      <c r="B106" s="6"/>
      <c r="C106" s="7"/>
      <c r="D106" s="7"/>
      <c r="E106" s="8"/>
      <c r="F106" s="9"/>
      <c r="G106" s="10"/>
      <c r="H106" s="8"/>
      <c r="I106" s="8"/>
      <c r="J106" s="8"/>
      <c r="K106" s="8"/>
      <c r="L106" s="8"/>
      <c r="M106" s="8"/>
      <c r="N106" s="8"/>
      <c r="O106" s="8" t="str">
        <f aca="false">IF($A106="","",IFERROR(INDEX(Underlying!$B$1:$B$5000,MATCH($D106,Underlying!$A$1:$A$5000,0)),""))</f>
        <v/>
      </c>
      <c r="P106" s="11" t="str">
        <f aca="false">IF($A106="","",IFERROR($O106/$E106,""))</f>
        <v/>
      </c>
      <c r="Q106" s="7" t="str">
        <f aca="false">IF($A106="","",IF($P106="","",IF($C106="Call",IF($P106&gt;1+OPT_ATM_BAND,"ITM",IF($P106&lt;1-OPT_ATM_BAND,"OTM","ATM")),IF($P106&lt;1-OPT_ATM_BAND,"ITM",IF($P106&gt;1+OPT_ATM_BAND,"OTM","ATM")))))</f>
        <v/>
      </c>
      <c r="R106" s="8" t="str">
        <f aca="false">IF($A106="","",IFERROR(IF($C106="Call",MAX(0,$O106-$E106),MAX(0,$E106-$O106)),""))</f>
        <v/>
      </c>
      <c r="S106" s="8" t="str">
        <f aca="false">IF($A106="","",IFERROR(MAX(0,$I106-$R106),""))</f>
        <v/>
      </c>
      <c r="T106" s="11" t="str">
        <f aca="false">IF($A106="","",IFERROR($G106/365,""))</f>
        <v/>
      </c>
      <c r="U106" s="12" t="str">
        <f aca="false">IF($A106="","",IF(OR($P106="",ABS($P106-1)&gt;3*OPT_ATM_BAND),"",IFERROR($I106/$O106*SQRT(2*PI()/$T106),"")))</f>
        <v/>
      </c>
      <c r="V106" s="11" t="str">
        <f aca="false">IF($A106="","",IFERROR((LN($O106/$E106)+(OPT_RF+OPT_VOL^2/2)*$T106)/(OPT_VOL*SQRT($T106)),""))</f>
        <v/>
      </c>
      <c r="W106" s="11" t="str">
        <f aca="false">IF($A106="","",IFERROR($V106-OPT_VOL*SQRT($T106),""))</f>
        <v/>
      </c>
      <c r="X106" s="11" t="str">
        <f aca="false">IF($A106="","",IFERROR(IF($C106="Call",NORMSDIST($V106),NORMSDIST($V106)-1),""))</f>
        <v/>
      </c>
      <c r="Y106" s="8" t="str">
        <f aca="false">IF($A106="","",IFERROR(IF($C106="Call",$O106*NORMSDIST($V106)-$E106*EXP(-OPT_RF*$T106)*NORMSDIST($W106),$E106*EXP(-OPT_RF*$T106)*NORMSDIST(-$W106)-$O106*NORMSDIST(-$V106)),""))</f>
        <v/>
      </c>
      <c r="Z106" s="11" t="str">
        <f aca="false">IF($A106="","",IFERROR($I106/$Y106,""))</f>
        <v/>
      </c>
      <c r="AA106" s="13" t="str">
        <f aca="false">IF($A106="","",IFERROR($O106*ABS($X106)/$I106,""))</f>
        <v/>
      </c>
      <c r="AB106" s="13" t="str">
        <f aca="false">IF($A106="","",IFERROR(INDEX(Underlying!$D$1:$D$5000,MATCH($D106,Underlying!$A$1:$A$5000,0)),0))</f>
        <v/>
      </c>
      <c r="AC106" s="7" t="str">
        <f aca="false">IF($A106="","",IF(AND($J106&gt;=OPT_MIN_VOL,$G106&gt;=OPT_MIN_DTE),"بله","خیر"))</f>
        <v/>
      </c>
      <c r="AD106" s="13" t="str">
        <f aca="false">IF($A106="","",IF($AC106="خیر",0,IFERROR(MAX(-10,MIN(10,IF($C106="Call",$AB106,-$AB106)*0.6+IF($Z106&lt;0.85,2,IF($Z106&gt;1.25,-2,0))+IF($Q106="ATM",1,IF($Q106="ITM",0.5,-1))+IF($G106&gt;=30,0.5,-0.5))),0)))</f>
        <v/>
      </c>
      <c r="AE106" s="7" t="str">
        <f aca="false">IF($A106="","",IF($AC106="خیر","بدون سیگنال (نقدشوندگی/سررسید)",IF($AD106&gt;=TH_SBUY,"خرید قوی "&amp;$C106,IF($AD106&gt;=TH_BUY,"خرید "&amp;$C106,IF($AD106&lt;=TH_SSELL,"اجتناب / بستن موقعیت",IF($AD106&lt;=TH_SELL,"ضعیف","بی‌طرف"))))))</f>
        <v/>
      </c>
      <c r="AF106" s="14" t="str">
        <f aca="false">IF($A106="","","سهم پایه: "&amp;IFERROR(TEXT($AB106,"0.0"),"—")&amp;" | وضعیت: "&amp;$Q106&amp;" | نوسان ضمنی: "&amp;IFERROR(TEXT($U106,"0%"),"—")&amp;" | بازار÷نظری: "&amp;IFERROR(TEXT($Z106,"0.00"),"—")&amp;" | اهرم: "&amp;IFERROR(TEXT($AA106,"0.0"),"—")&amp;"x"&amp;" | "&amp;$G106&amp;" روز تا سررسید")</f>
        <v/>
      </c>
    </row>
    <row r="107" customFormat="false" ht="15" hidden="false" customHeight="false" outlineLevel="0" collapsed="false">
      <c r="A107" s="5"/>
      <c r="B107" s="6"/>
      <c r="C107" s="7"/>
      <c r="D107" s="7"/>
      <c r="E107" s="8"/>
      <c r="F107" s="9"/>
      <c r="G107" s="10"/>
      <c r="H107" s="8"/>
      <c r="I107" s="8"/>
      <c r="J107" s="8"/>
      <c r="K107" s="8"/>
      <c r="L107" s="8"/>
      <c r="M107" s="8"/>
      <c r="N107" s="8"/>
      <c r="O107" s="8" t="str">
        <f aca="false">IF($A107="","",IFERROR(INDEX(Underlying!$B$1:$B$5000,MATCH($D107,Underlying!$A$1:$A$5000,0)),""))</f>
        <v/>
      </c>
      <c r="P107" s="11" t="str">
        <f aca="false">IF($A107="","",IFERROR($O107/$E107,""))</f>
        <v/>
      </c>
      <c r="Q107" s="7" t="str">
        <f aca="false">IF($A107="","",IF($P107="","",IF($C107="Call",IF($P107&gt;1+OPT_ATM_BAND,"ITM",IF($P107&lt;1-OPT_ATM_BAND,"OTM","ATM")),IF($P107&lt;1-OPT_ATM_BAND,"ITM",IF($P107&gt;1+OPT_ATM_BAND,"OTM","ATM")))))</f>
        <v/>
      </c>
      <c r="R107" s="8" t="str">
        <f aca="false">IF($A107="","",IFERROR(IF($C107="Call",MAX(0,$O107-$E107),MAX(0,$E107-$O107)),""))</f>
        <v/>
      </c>
      <c r="S107" s="8" t="str">
        <f aca="false">IF($A107="","",IFERROR(MAX(0,$I107-$R107),""))</f>
        <v/>
      </c>
      <c r="T107" s="11" t="str">
        <f aca="false">IF($A107="","",IFERROR($G107/365,""))</f>
        <v/>
      </c>
      <c r="U107" s="12" t="str">
        <f aca="false">IF($A107="","",IF(OR($P107="",ABS($P107-1)&gt;3*OPT_ATM_BAND),"",IFERROR($I107/$O107*SQRT(2*PI()/$T107),"")))</f>
        <v/>
      </c>
      <c r="V107" s="11" t="str">
        <f aca="false">IF($A107="","",IFERROR((LN($O107/$E107)+(OPT_RF+OPT_VOL^2/2)*$T107)/(OPT_VOL*SQRT($T107)),""))</f>
        <v/>
      </c>
      <c r="W107" s="11" t="str">
        <f aca="false">IF($A107="","",IFERROR($V107-OPT_VOL*SQRT($T107),""))</f>
        <v/>
      </c>
      <c r="X107" s="11" t="str">
        <f aca="false">IF($A107="","",IFERROR(IF($C107="Call",NORMSDIST($V107),NORMSDIST($V107)-1),""))</f>
        <v/>
      </c>
      <c r="Y107" s="8" t="str">
        <f aca="false">IF($A107="","",IFERROR(IF($C107="Call",$O107*NORMSDIST($V107)-$E107*EXP(-OPT_RF*$T107)*NORMSDIST($W107),$E107*EXP(-OPT_RF*$T107)*NORMSDIST(-$W107)-$O107*NORMSDIST(-$V107)),""))</f>
        <v/>
      </c>
      <c r="Z107" s="11" t="str">
        <f aca="false">IF($A107="","",IFERROR($I107/$Y107,""))</f>
        <v/>
      </c>
      <c r="AA107" s="13" t="str">
        <f aca="false">IF($A107="","",IFERROR($O107*ABS($X107)/$I107,""))</f>
        <v/>
      </c>
      <c r="AB107" s="13" t="str">
        <f aca="false">IF($A107="","",IFERROR(INDEX(Underlying!$D$1:$D$5000,MATCH($D107,Underlying!$A$1:$A$5000,0)),0))</f>
        <v/>
      </c>
      <c r="AC107" s="7" t="str">
        <f aca="false">IF($A107="","",IF(AND($J107&gt;=OPT_MIN_VOL,$G107&gt;=OPT_MIN_DTE),"بله","خیر"))</f>
        <v/>
      </c>
      <c r="AD107" s="13" t="str">
        <f aca="false">IF($A107="","",IF($AC107="خیر",0,IFERROR(MAX(-10,MIN(10,IF($C107="Call",$AB107,-$AB107)*0.6+IF($Z107&lt;0.85,2,IF($Z107&gt;1.25,-2,0))+IF($Q107="ATM",1,IF($Q107="ITM",0.5,-1))+IF($G107&gt;=30,0.5,-0.5))),0)))</f>
        <v/>
      </c>
      <c r="AE107" s="7" t="str">
        <f aca="false">IF($A107="","",IF($AC107="خیر","بدون سیگنال (نقدشوندگی/سررسید)",IF($AD107&gt;=TH_SBUY,"خرید قوی "&amp;$C107,IF($AD107&gt;=TH_BUY,"خرید "&amp;$C107,IF($AD107&lt;=TH_SSELL,"اجتناب / بستن موقعیت",IF($AD107&lt;=TH_SELL,"ضعیف","بی‌طرف"))))))</f>
        <v/>
      </c>
      <c r="AF107" s="14" t="str">
        <f aca="false">IF($A107="","","سهم پایه: "&amp;IFERROR(TEXT($AB107,"0.0"),"—")&amp;" | وضعیت: "&amp;$Q107&amp;" | نوسان ضمنی: "&amp;IFERROR(TEXT($U107,"0%"),"—")&amp;" | بازار÷نظری: "&amp;IFERROR(TEXT($Z107,"0.00"),"—")&amp;" | اهرم: "&amp;IFERROR(TEXT($AA107,"0.0"),"—")&amp;"x"&amp;" | "&amp;$G107&amp;" روز تا سررسید")</f>
        <v/>
      </c>
    </row>
    <row r="108" customFormat="false" ht="15" hidden="false" customHeight="false" outlineLevel="0" collapsed="false">
      <c r="A108" s="5"/>
      <c r="B108" s="6"/>
      <c r="C108" s="7"/>
      <c r="D108" s="7"/>
      <c r="E108" s="8"/>
      <c r="F108" s="9"/>
      <c r="G108" s="10"/>
      <c r="H108" s="8"/>
      <c r="I108" s="8"/>
      <c r="J108" s="8"/>
      <c r="K108" s="8"/>
      <c r="L108" s="8"/>
      <c r="M108" s="8"/>
      <c r="N108" s="8"/>
      <c r="O108" s="8" t="str">
        <f aca="false">IF($A108="","",IFERROR(INDEX(Underlying!$B$1:$B$5000,MATCH($D108,Underlying!$A$1:$A$5000,0)),""))</f>
        <v/>
      </c>
      <c r="P108" s="11" t="str">
        <f aca="false">IF($A108="","",IFERROR($O108/$E108,""))</f>
        <v/>
      </c>
      <c r="Q108" s="7" t="str">
        <f aca="false">IF($A108="","",IF($P108="","",IF($C108="Call",IF($P108&gt;1+OPT_ATM_BAND,"ITM",IF($P108&lt;1-OPT_ATM_BAND,"OTM","ATM")),IF($P108&lt;1-OPT_ATM_BAND,"ITM",IF($P108&gt;1+OPT_ATM_BAND,"OTM","ATM")))))</f>
        <v/>
      </c>
      <c r="R108" s="8" t="str">
        <f aca="false">IF($A108="","",IFERROR(IF($C108="Call",MAX(0,$O108-$E108),MAX(0,$E108-$O108)),""))</f>
        <v/>
      </c>
      <c r="S108" s="8" t="str">
        <f aca="false">IF($A108="","",IFERROR(MAX(0,$I108-$R108),""))</f>
        <v/>
      </c>
      <c r="T108" s="11" t="str">
        <f aca="false">IF($A108="","",IFERROR($G108/365,""))</f>
        <v/>
      </c>
      <c r="U108" s="12" t="str">
        <f aca="false">IF($A108="","",IF(OR($P108="",ABS($P108-1)&gt;3*OPT_ATM_BAND),"",IFERROR($I108/$O108*SQRT(2*PI()/$T108),"")))</f>
        <v/>
      </c>
      <c r="V108" s="11" t="str">
        <f aca="false">IF($A108="","",IFERROR((LN($O108/$E108)+(OPT_RF+OPT_VOL^2/2)*$T108)/(OPT_VOL*SQRT($T108)),""))</f>
        <v/>
      </c>
      <c r="W108" s="11" t="str">
        <f aca="false">IF($A108="","",IFERROR($V108-OPT_VOL*SQRT($T108),""))</f>
        <v/>
      </c>
      <c r="X108" s="11" t="str">
        <f aca="false">IF($A108="","",IFERROR(IF($C108="Call",NORMSDIST($V108),NORMSDIST($V108)-1),""))</f>
        <v/>
      </c>
      <c r="Y108" s="8" t="str">
        <f aca="false">IF($A108="","",IFERROR(IF($C108="Call",$O108*NORMSDIST($V108)-$E108*EXP(-OPT_RF*$T108)*NORMSDIST($W108),$E108*EXP(-OPT_RF*$T108)*NORMSDIST(-$W108)-$O108*NORMSDIST(-$V108)),""))</f>
        <v/>
      </c>
      <c r="Z108" s="11" t="str">
        <f aca="false">IF($A108="","",IFERROR($I108/$Y108,""))</f>
        <v/>
      </c>
      <c r="AA108" s="13" t="str">
        <f aca="false">IF($A108="","",IFERROR($O108*ABS($X108)/$I108,""))</f>
        <v/>
      </c>
      <c r="AB108" s="13" t="str">
        <f aca="false">IF($A108="","",IFERROR(INDEX(Underlying!$D$1:$D$5000,MATCH($D108,Underlying!$A$1:$A$5000,0)),0))</f>
        <v/>
      </c>
      <c r="AC108" s="7" t="str">
        <f aca="false">IF($A108="","",IF(AND($J108&gt;=OPT_MIN_VOL,$G108&gt;=OPT_MIN_DTE),"بله","خیر"))</f>
        <v/>
      </c>
      <c r="AD108" s="13" t="str">
        <f aca="false">IF($A108="","",IF($AC108="خیر",0,IFERROR(MAX(-10,MIN(10,IF($C108="Call",$AB108,-$AB108)*0.6+IF($Z108&lt;0.85,2,IF($Z108&gt;1.25,-2,0))+IF($Q108="ATM",1,IF($Q108="ITM",0.5,-1))+IF($G108&gt;=30,0.5,-0.5))),0)))</f>
        <v/>
      </c>
      <c r="AE108" s="7" t="str">
        <f aca="false">IF($A108="","",IF($AC108="خیر","بدون سیگنال (نقدشوندگی/سررسید)",IF($AD108&gt;=TH_SBUY,"خرید قوی "&amp;$C108,IF($AD108&gt;=TH_BUY,"خرید "&amp;$C108,IF($AD108&lt;=TH_SSELL,"اجتناب / بستن موقعیت",IF($AD108&lt;=TH_SELL,"ضعیف","بی‌طرف"))))))</f>
        <v/>
      </c>
      <c r="AF108" s="14" t="str">
        <f aca="false">IF($A108="","","سهم پایه: "&amp;IFERROR(TEXT($AB108,"0.0"),"—")&amp;" | وضعیت: "&amp;$Q108&amp;" | نوسان ضمنی: "&amp;IFERROR(TEXT($U108,"0%"),"—")&amp;" | بازار÷نظری: "&amp;IFERROR(TEXT($Z108,"0.00"),"—")&amp;" | اهرم: "&amp;IFERROR(TEXT($AA108,"0.0"),"—")&amp;"x"&amp;" | "&amp;$G108&amp;" روز تا سررسید")</f>
        <v/>
      </c>
    </row>
    <row r="109" customFormat="false" ht="15" hidden="false" customHeight="false" outlineLevel="0" collapsed="false">
      <c r="A109" s="5"/>
      <c r="B109" s="6"/>
      <c r="C109" s="7"/>
      <c r="D109" s="7"/>
      <c r="E109" s="8"/>
      <c r="F109" s="9"/>
      <c r="G109" s="10"/>
      <c r="H109" s="8"/>
      <c r="I109" s="8"/>
      <c r="J109" s="8"/>
      <c r="K109" s="8"/>
      <c r="L109" s="8"/>
      <c r="M109" s="8"/>
      <c r="N109" s="8"/>
      <c r="O109" s="8" t="str">
        <f aca="false">IF($A109="","",IFERROR(INDEX(Underlying!$B$1:$B$5000,MATCH($D109,Underlying!$A$1:$A$5000,0)),""))</f>
        <v/>
      </c>
      <c r="P109" s="11" t="str">
        <f aca="false">IF($A109="","",IFERROR($O109/$E109,""))</f>
        <v/>
      </c>
      <c r="Q109" s="7" t="str">
        <f aca="false">IF($A109="","",IF($P109="","",IF($C109="Call",IF($P109&gt;1+OPT_ATM_BAND,"ITM",IF($P109&lt;1-OPT_ATM_BAND,"OTM","ATM")),IF($P109&lt;1-OPT_ATM_BAND,"ITM",IF($P109&gt;1+OPT_ATM_BAND,"OTM","ATM")))))</f>
        <v/>
      </c>
      <c r="R109" s="8" t="str">
        <f aca="false">IF($A109="","",IFERROR(IF($C109="Call",MAX(0,$O109-$E109),MAX(0,$E109-$O109)),""))</f>
        <v/>
      </c>
      <c r="S109" s="8" t="str">
        <f aca="false">IF($A109="","",IFERROR(MAX(0,$I109-$R109),""))</f>
        <v/>
      </c>
      <c r="T109" s="11" t="str">
        <f aca="false">IF($A109="","",IFERROR($G109/365,""))</f>
        <v/>
      </c>
      <c r="U109" s="12" t="str">
        <f aca="false">IF($A109="","",IF(OR($P109="",ABS($P109-1)&gt;3*OPT_ATM_BAND),"",IFERROR($I109/$O109*SQRT(2*PI()/$T109),"")))</f>
        <v/>
      </c>
      <c r="V109" s="11" t="str">
        <f aca="false">IF($A109="","",IFERROR((LN($O109/$E109)+(OPT_RF+OPT_VOL^2/2)*$T109)/(OPT_VOL*SQRT($T109)),""))</f>
        <v/>
      </c>
      <c r="W109" s="11" t="str">
        <f aca="false">IF($A109="","",IFERROR($V109-OPT_VOL*SQRT($T109),""))</f>
        <v/>
      </c>
      <c r="X109" s="11" t="str">
        <f aca="false">IF($A109="","",IFERROR(IF($C109="Call",NORMSDIST($V109),NORMSDIST($V109)-1),""))</f>
        <v/>
      </c>
      <c r="Y109" s="8" t="str">
        <f aca="false">IF($A109="","",IFERROR(IF($C109="Call",$O109*NORMSDIST($V109)-$E109*EXP(-OPT_RF*$T109)*NORMSDIST($W109),$E109*EXP(-OPT_RF*$T109)*NORMSDIST(-$W109)-$O109*NORMSDIST(-$V109)),""))</f>
        <v/>
      </c>
      <c r="Z109" s="11" t="str">
        <f aca="false">IF($A109="","",IFERROR($I109/$Y109,""))</f>
        <v/>
      </c>
      <c r="AA109" s="13" t="str">
        <f aca="false">IF($A109="","",IFERROR($O109*ABS($X109)/$I109,""))</f>
        <v/>
      </c>
      <c r="AB109" s="13" t="str">
        <f aca="false">IF($A109="","",IFERROR(INDEX(Underlying!$D$1:$D$5000,MATCH($D109,Underlying!$A$1:$A$5000,0)),0))</f>
        <v/>
      </c>
      <c r="AC109" s="7" t="str">
        <f aca="false">IF($A109="","",IF(AND($J109&gt;=OPT_MIN_VOL,$G109&gt;=OPT_MIN_DTE),"بله","خیر"))</f>
        <v/>
      </c>
      <c r="AD109" s="13" t="str">
        <f aca="false">IF($A109="","",IF($AC109="خیر",0,IFERROR(MAX(-10,MIN(10,IF($C109="Call",$AB109,-$AB109)*0.6+IF($Z109&lt;0.85,2,IF($Z109&gt;1.25,-2,0))+IF($Q109="ATM",1,IF($Q109="ITM",0.5,-1))+IF($G109&gt;=30,0.5,-0.5))),0)))</f>
        <v/>
      </c>
      <c r="AE109" s="7" t="str">
        <f aca="false">IF($A109="","",IF($AC109="خیر","بدون سیگنال (نقدشوندگی/سررسید)",IF($AD109&gt;=TH_SBUY,"خرید قوی "&amp;$C109,IF($AD109&gt;=TH_BUY,"خرید "&amp;$C109,IF($AD109&lt;=TH_SSELL,"اجتناب / بستن موقعیت",IF($AD109&lt;=TH_SELL,"ضعیف","بی‌طرف"))))))</f>
        <v/>
      </c>
      <c r="AF109" s="14" t="str">
        <f aca="false">IF($A109="","","سهم پایه: "&amp;IFERROR(TEXT($AB109,"0.0"),"—")&amp;" | وضعیت: "&amp;$Q109&amp;" | نوسان ضمنی: "&amp;IFERROR(TEXT($U109,"0%"),"—")&amp;" | بازار÷نظری: "&amp;IFERROR(TEXT($Z109,"0.00"),"—")&amp;" | اهرم: "&amp;IFERROR(TEXT($AA109,"0.0"),"—")&amp;"x"&amp;" | "&amp;$G109&amp;" روز تا سررسید")</f>
        <v/>
      </c>
    </row>
    <row r="110" customFormat="false" ht="15" hidden="false" customHeight="false" outlineLevel="0" collapsed="false">
      <c r="A110" s="5"/>
      <c r="B110" s="6"/>
      <c r="C110" s="7"/>
      <c r="D110" s="7"/>
      <c r="E110" s="8"/>
      <c r="F110" s="9"/>
      <c r="G110" s="10"/>
      <c r="H110" s="8"/>
      <c r="I110" s="8"/>
      <c r="J110" s="8"/>
      <c r="K110" s="8"/>
      <c r="L110" s="8"/>
      <c r="M110" s="8"/>
      <c r="N110" s="8"/>
      <c r="O110" s="8" t="str">
        <f aca="false">IF($A110="","",IFERROR(INDEX(Underlying!$B$1:$B$5000,MATCH($D110,Underlying!$A$1:$A$5000,0)),""))</f>
        <v/>
      </c>
      <c r="P110" s="11" t="str">
        <f aca="false">IF($A110="","",IFERROR($O110/$E110,""))</f>
        <v/>
      </c>
      <c r="Q110" s="7" t="str">
        <f aca="false">IF($A110="","",IF($P110="","",IF($C110="Call",IF($P110&gt;1+OPT_ATM_BAND,"ITM",IF($P110&lt;1-OPT_ATM_BAND,"OTM","ATM")),IF($P110&lt;1-OPT_ATM_BAND,"ITM",IF($P110&gt;1+OPT_ATM_BAND,"OTM","ATM")))))</f>
        <v/>
      </c>
      <c r="R110" s="8" t="str">
        <f aca="false">IF($A110="","",IFERROR(IF($C110="Call",MAX(0,$O110-$E110),MAX(0,$E110-$O110)),""))</f>
        <v/>
      </c>
      <c r="S110" s="8" t="str">
        <f aca="false">IF($A110="","",IFERROR(MAX(0,$I110-$R110),""))</f>
        <v/>
      </c>
      <c r="T110" s="11" t="str">
        <f aca="false">IF($A110="","",IFERROR($G110/365,""))</f>
        <v/>
      </c>
      <c r="U110" s="12" t="str">
        <f aca="false">IF($A110="","",IF(OR($P110="",ABS($P110-1)&gt;3*OPT_ATM_BAND),"",IFERROR($I110/$O110*SQRT(2*PI()/$T110),"")))</f>
        <v/>
      </c>
      <c r="V110" s="11" t="str">
        <f aca="false">IF($A110="","",IFERROR((LN($O110/$E110)+(OPT_RF+OPT_VOL^2/2)*$T110)/(OPT_VOL*SQRT($T110)),""))</f>
        <v/>
      </c>
      <c r="W110" s="11" t="str">
        <f aca="false">IF($A110="","",IFERROR($V110-OPT_VOL*SQRT($T110),""))</f>
        <v/>
      </c>
      <c r="X110" s="11" t="str">
        <f aca="false">IF($A110="","",IFERROR(IF($C110="Call",NORMSDIST($V110),NORMSDIST($V110)-1),""))</f>
        <v/>
      </c>
      <c r="Y110" s="8" t="str">
        <f aca="false">IF($A110="","",IFERROR(IF($C110="Call",$O110*NORMSDIST($V110)-$E110*EXP(-OPT_RF*$T110)*NORMSDIST($W110),$E110*EXP(-OPT_RF*$T110)*NORMSDIST(-$W110)-$O110*NORMSDIST(-$V110)),""))</f>
        <v/>
      </c>
      <c r="Z110" s="11" t="str">
        <f aca="false">IF($A110="","",IFERROR($I110/$Y110,""))</f>
        <v/>
      </c>
      <c r="AA110" s="13" t="str">
        <f aca="false">IF($A110="","",IFERROR($O110*ABS($X110)/$I110,""))</f>
        <v/>
      </c>
      <c r="AB110" s="13" t="str">
        <f aca="false">IF($A110="","",IFERROR(INDEX(Underlying!$D$1:$D$5000,MATCH($D110,Underlying!$A$1:$A$5000,0)),0))</f>
        <v/>
      </c>
      <c r="AC110" s="7" t="str">
        <f aca="false">IF($A110="","",IF(AND($J110&gt;=OPT_MIN_VOL,$G110&gt;=OPT_MIN_DTE),"بله","خیر"))</f>
        <v/>
      </c>
      <c r="AD110" s="13" t="str">
        <f aca="false">IF($A110="","",IF($AC110="خیر",0,IFERROR(MAX(-10,MIN(10,IF($C110="Call",$AB110,-$AB110)*0.6+IF($Z110&lt;0.85,2,IF($Z110&gt;1.25,-2,0))+IF($Q110="ATM",1,IF($Q110="ITM",0.5,-1))+IF($G110&gt;=30,0.5,-0.5))),0)))</f>
        <v/>
      </c>
      <c r="AE110" s="7" t="str">
        <f aca="false">IF($A110="","",IF($AC110="خیر","بدون سیگنال (نقدشوندگی/سررسید)",IF($AD110&gt;=TH_SBUY,"خرید قوی "&amp;$C110,IF($AD110&gt;=TH_BUY,"خرید "&amp;$C110,IF($AD110&lt;=TH_SSELL,"اجتناب / بستن موقعیت",IF($AD110&lt;=TH_SELL,"ضعیف","بی‌طرف"))))))</f>
        <v/>
      </c>
      <c r="AF110" s="14" t="str">
        <f aca="false">IF($A110="","","سهم پایه: "&amp;IFERROR(TEXT($AB110,"0.0"),"—")&amp;" | وضعیت: "&amp;$Q110&amp;" | نوسان ضمنی: "&amp;IFERROR(TEXT($U110,"0%"),"—")&amp;" | بازار÷نظری: "&amp;IFERROR(TEXT($Z110,"0.00"),"—")&amp;" | اهرم: "&amp;IFERROR(TEXT($AA110,"0.0"),"—")&amp;"x"&amp;" | "&amp;$G110&amp;" روز تا سررسید")</f>
        <v/>
      </c>
    </row>
    <row r="111" customFormat="false" ht="15" hidden="false" customHeight="false" outlineLevel="0" collapsed="false">
      <c r="A111" s="5"/>
      <c r="B111" s="6"/>
      <c r="C111" s="7"/>
      <c r="D111" s="7"/>
      <c r="E111" s="8"/>
      <c r="F111" s="9"/>
      <c r="G111" s="10"/>
      <c r="H111" s="8"/>
      <c r="I111" s="8"/>
      <c r="J111" s="8"/>
      <c r="K111" s="8"/>
      <c r="L111" s="8"/>
      <c r="M111" s="8"/>
      <c r="N111" s="8"/>
      <c r="O111" s="8" t="str">
        <f aca="false">IF($A111="","",IFERROR(INDEX(Underlying!$B$1:$B$5000,MATCH($D111,Underlying!$A$1:$A$5000,0)),""))</f>
        <v/>
      </c>
      <c r="P111" s="11" t="str">
        <f aca="false">IF($A111="","",IFERROR($O111/$E111,""))</f>
        <v/>
      </c>
      <c r="Q111" s="7" t="str">
        <f aca="false">IF($A111="","",IF($P111="","",IF($C111="Call",IF($P111&gt;1+OPT_ATM_BAND,"ITM",IF($P111&lt;1-OPT_ATM_BAND,"OTM","ATM")),IF($P111&lt;1-OPT_ATM_BAND,"ITM",IF($P111&gt;1+OPT_ATM_BAND,"OTM","ATM")))))</f>
        <v/>
      </c>
      <c r="R111" s="8" t="str">
        <f aca="false">IF($A111="","",IFERROR(IF($C111="Call",MAX(0,$O111-$E111),MAX(0,$E111-$O111)),""))</f>
        <v/>
      </c>
      <c r="S111" s="8" t="str">
        <f aca="false">IF($A111="","",IFERROR(MAX(0,$I111-$R111),""))</f>
        <v/>
      </c>
      <c r="T111" s="11" t="str">
        <f aca="false">IF($A111="","",IFERROR($G111/365,""))</f>
        <v/>
      </c>
      <c r="U111" s="12" t="str">
        <f aca="false">IF($A111="","",IF(OR($P111="",ABS($P111-1)&gt;3*OPT_ATM_BAND),"",IFERROR($I111/$O111*SQRT(2*PI()/$T111),"")))</f>
        <v/>
      </c>
      <c r="V111" s="11" t="str">
        <f aca="false">IF($A111="","",IFERROR((LN($O111/$E111)+(OPT_RF+OPT_VOL^2/2)*$T111)/(OPT_VOL*SQRT($T111)),""))</f>
        <v/>
      </c>
      <c r="W111" s="11" t="str">
        <f aca="false">IF($A111="","",IFERROR($V111-OPT_VOL*SQRT($T111),""))</f>
        <v/>
      </c>
      <c r="X111" s="11" t="str">
        <f aca="false">IF($A111="","",IFERROR(IF($C111="Call",NORMSDIST($V111),NORMSDIST($V111)-1),""))</f>
        <v/>
      </c>
      <c r="Y111" s="8" t="str">
        <f aca="false">IF($A111="","",IFERROR(IF($C111="Call",$O111*NORMSDIST($V111)-$E111*EXP(-OPT_RF*$T111)*NORMSDIST($W111),$E111*EXP(-OPT_RF*$T111)*NORMSDIST(-$W111)-$O111*NORMSDIST(-$V111)),""))</f>
        <v/>
      </c>
      <c r="Z111" s="11" t="str">
        <f aca="false">IF($A111="","",IFERROR($I111/$Y111,""))</f>
        <v/>
      </c>
      <c r="AA111" s="13" t="str">
        <f aca="false">IF($A111="","",IFERROR($O111*ABS($X111)/$I111,""))</f>
        <v/>
      </c>
      <c r="AB111" s="13" t="str">
        <f aca="false">IF($A111="","",IFERROR(INDEX(Underlying!$D$1:$D$5000,MATCH($D111,Underlying!$A$1:$A$5000,0)),0))</f>
        <v/>
      </c>
      <c r="AC111" s="7" t="str">
        <f aca="false">IF($A111="","",IF(AND($J111&gt;=OPT_MIN_VOL,$G111&gt;=OPT_MIN_DTE),"بله","خیر"))</f>
        <v/>
      </c>
      <c r="AD111" s="13" t="str">
        <f aca="false">IF($A111="","",IF($AC111="خیر",0,IFERROR(MAX(-10,MIN(10,IF($C111="Call",$AB111,-$AB111)*0.6+IF($Z111&lt;0.85,2,IF($Z111&gt;1.25,-2,0))+IF($Q111="ATM",1,IF($Q111="ITM",0.5,-1))+IF($G111&gt;=30,0.5,-0.5))),0)))</f>
        <v/>
      </c>
      <c r="AE111" s="7" t="str">
        <f aca="false">IF($A111="","",IF($AC111="خیر","بدون سیگنال (نقدشوندگی/سررسید)",IF($AD111&gt;=TH_SBUY,"خرید قوی "&amp;$C111,IF($AD111&gt;=TH_BUY,"خرید "&amp;$C111,IF($AD111&lt;=TH_SSELL,"اجتناب / بستن موقعیت",IF($AD111&lt;=TH_SELL,"ضعیف","بی‌طرف"))))))</f>
        <v/>
      </c>
      <c r="AF111" s="14" t="str">
        <f aca="false">IF($A111="","","سهم پایه: "&amp;IFERROR(TEXT($AB111,"0.0"),"—")&amp;" | وضعیت: "&amp;$Q111&amp;" | نوسان ضمنی: "&amp;IFERROR(TEXT($U111,"0%"),"—")&amp;" | بازار÷نظری: "&amp;IFERROR(TEXT($Z111,"0.00"),"—")&amp;" | اهرم: "&amp;IFERROR(TEXT($AA111,"0.0"),"—")&amp;"x"&amp;" | "&amp;$G111&amp;" روز تا سررسید")</f>
        <v/>
      </c>
    </row>
    <row r="112" customFormat="false" ht="15" hidden="false" customHeight="false" outlineLevel="0" collapsed="false">
      <c r="A112" s="5"/>
      <c r="B112" s="6"/>
      <c r="C112" s="7"/>
      <c r="D112" s="7"/>
      <c r="E112" s="8"/>
      <c r="F112" s="9"/>
      <c r="G112" s="10"/>
      <c r="H112" s="8"/>
      <c r="I112" s="8"/>
      <c r="J112" s="8"/>
      <c r="K112" s="8"/>
      <c r="L112" s="8"/>
      <c r="M112" s="8"/>
      <c r="N112" s="8"/>
      <c r="O112" s="8" t="str">
        <f aca="false">IF($A112="","",IFERROR(INDEX(Underlying!$B$1:$B$5000,MATCH($D112,Underlying!$A$1:$A$5000,0)),""))</f>
        <v/>
      </c>
      <c r="P112" s="11" t="str">
        <f aca="false">IF($A112="","",IFERROR($O112/$E112,""))</f>
        <v/>
      </c>
      <c r="Q112" s="7" t="str">
        <f aca="false">IF($A112="","",IF($P112="","",IF($C112="Call",IF($P112&gt;1+OPT_ATM_BAND,"ITM",IF($P112&lt;1-OPT_ATM_BAND,"OTM","ATM")),IF($P112&lt;1-OPT_ATM_BAND,"ITM",IF($P112&gt;1+OPT_ATM_BAND,"OTM","ATM")))))</f>
        <v/>
      </c>
      <c r="R112" s="8" t="str">
        <f aca="false">IF($A112="","",IFERROR(IF($C112="Call",MAX(0,$O112-$E112),MAX(0,$E112-$O112)),""))</f>
        <v/>
      </c>
      <c r="S112" s="8" t="str">
        <f aca="false">IF($A112="","",IFERROR(MAX(0,$I112-$R112),""))</f>
        <v/>
      </c>
      <c r="T112" s="11" t="str">
        <f aca="false">IF($A112="","",IFERROR($G112/365,""))</f>
        <v/>
      </c>
      <c r="U112" s="12" t="str">
        <f aca="false">IF($A112="","",IF(OR($P112="",ABS($P112-1)&gt;3*OPT_ATM_BAND),"",IFERROR($I112/$O112*SQRT(2*PI()/$T112),"")))</f>
        <v/>
      </c>
      <c r="V112" s="11" t="str">
        <f aca="false">IF($A112="","",IFERROR((LN($O112/$E112)+(OPT_RF+OPT_VOL^2/2)*$T112)/(OPT_VOL*SQRT($T112)),""))</f>
        <v/>
      </c>
      <c r="W112" s="11" t="str">
        <f aca="false">IF($A112="","",IFERROR($V112-OPT_VOL*SQRT($T112),""))</f>
        <v/>
      </c>
      <c r="X112" s="11" t="str">
        <f aca="false">IF($A112="","",IFERROR(IF($C112="Call",NORMSDIST($V112),NORMSDIST($V112)-1),""))</f>
        <v/>
      </c>
      <c r="Y112" s="8" t="str">
        <f aca="false">IF($A112="","",IFERROR(IF($C112="Call",$O112*NORMSDIST($V112)-$E112*EXP(-OPT_RF*$T112)*NORMSDIST($W112),$E112*EXP(-OPT_RF*$T112)*NORMSDIST(-$W112)-$O112*NORMSDIST(-$V112)),""))</f>
        <v/>
      </c>
      <c r="Z112" s="11" t="str">
        <f aca="false">IF($A112="","",IFERROR($I112/$Y112,""))</f>
        <v/>
      </c>
      <c r="AA112" s="13" t="str">
        <f aca="false">IF($A112="","",IFERROR($O112*ABS($X112)/$I112,""))</f>
        <v/>
      </c>
      <c r="AB112" s="13" t="str">
        <f aca="false">IF($A112="","",IFERROR(INDEX(Underlying!$D$1:$D$5000,MATCH($D112,Underlying!$A$1:$A$5000,0)),0))</f>
        <v/>
      </c>
      <c r="AC112" s="7" t="str">
        <f aca="false">IF($A112="","",IF(AND($J112&gt;=OPT_MIN_VOL,$G112&gt;=OPT_MIN_DTE),"بله","خیر"))</f>
        <v/>
      </c>
      <c r="AD112" s="13" t="str">
        <f aca="false">IF($A112="","",IF($AC112="خیر",0,IFERROR(MAX(-10,MIN(10,IF($C112="Call",$AB112,-$AB112)*0.6+IF($Z112&lt;0.85,2,IF($Z112&gt;1.25,-2,0))+IF($Q112="ATM",1,IF($Q112="ITM",0.5,-1))+IF($G112&gt;=30,0.5,-0.5))),0)))</f>
        <v/>
      </c>
      <c r="AE112" s="7" t="str">
        <f aca="false">IF($A112="","",IF($AC112="خیر","بدون سیگنال (نقدشوندگی/سررسید)",IF($AD112&gt;=TH_SBUY,"خرید قوی "&amp;$C112,IF($AD112&gt;=TH_BUY,"خرید "&amp;$C112,IF($AD112&lt;=TH_SSELL,"اجتناب / بستن موقعیت",IF($AD112&lt;=TH_SELL,"ضعیف","بی‌طرف"))))))</f>
        <v/>
      </c>
      <c r="AF112" s="14" t="str">
        <f aca="false">IF($A112="","","سهم پایه: "&amp;IFERROR(TEXT($AB112,"0.0"),"—")&amp;" | وضعیت: "&amp;$Q112&amp;" | نوسان ضمنی: "&amp;IFERROR(TEXT($U112,"0%"),"—")&amp;" | بازار÷نظری: "&amp;IFERROR(TEXT($Z112,"0.00"),"—")&amp;" | اهرم: "&amp;IFERROR(TEXT($AA112,"0.0"),"—")&amp;"x"&amp;" | "&amp;$G112&amp;" روز تا سررسید")</f>
        <v/>
      </c>
    </row>
    <row r="113" customFormat="false" ht="15" hidden="false" customHeight="false" outlineLevel="0" collapsed="false">
      <c r="A113" s="5"/>
      <c r="B113" s="6"/>
      <c r="C113" s="7"/>
      <c r="D113" s="7"/>
      <c r="E113" s="8"/>
      <c r="F113" s="9"/>
      <c r="G113" s="10"/>
      <c r="H113" s="8"/>
      <c r="I113" s="8"/>
      <c r="J113" s="8"/>
      <c r="K113" s="8"/>
      <c r="L113" s="8"/>
      <c r="M113" s="8"/>
      <c r="N113" s="8"/>
      <c r="O113" s="8" t="str">
        <f aca="false">IF($A113="","",IFERROR(INDEX(Underlying!$B$1:$B$5000,MATCH($D113,Underlying!$A$1:$A$5000,0)),""))</f>
        <v/>
      </c>
      <c r="P113" s="11" t="str">
        <f aca="false">IF($A113="","",IFERROR($O113/$E113,""))</f>
        <v/>
      </c>
      <c r="Q113" s="7" t="str">
        <f aca="false">IF($A113="","",IF($P113="","",IF($C113="Call",IF($P113&gt;1+OPT_ATM_BAND,"ITM",IF($P113&lt;1-OPT_ATM_BAND,"OTM","ATM")),IF($P113&lt;1-OPT_ATM_BAND,"ITM",IF($P113&gt;1+OPT_ATM_BAND,"OTM","ATM")))))</f>
        <v/>
      </c>
      <c r="R113" s="8" t="str">
        <f aca="false">IF($A113="","",IFERROR(IF($C113="Call",MAX(0,$O113-$E113),MAX(0,$E113-$O113)),""))</f>
        <v/>
      </c>
      <c r="S113" s="8" t="str">
        <f aca="false">IF($A113="","",IFERROR(MAX(0,$I113-$R113),""))</f>
        <v/>
      </c>
      <c r="T113" s="11" t="str">
        <f aca="false">IF($A113="","",IFERROR($G113/365,""))</f>
        <v/>
      </c>
      <c r="U113" s="12" t="str">
        <f aca="false">IF($A113="","",IF(OR($P113="",ABS($P113-1)&gt;3*OPT_ATM_BAND),"",IFERROR($I113/$O113*SQRT(2*PI()/$T113),"")))</f>
        <v/>
      </c>
      <c r="V113" s="11" t="str">
        <f aca="false">IF($A113="","",IFERROR((LN($O113/$E113)+(OPT_RF+OPT_VOL^2/2)*$T113)/(OPT_VOL*SQRT($T113)),""))</f>
        <v/>
      </c>
      <c r="W113" s="11" t="str">
        <f aca="false">IF($A113="","",IFERROR($V113-OPT_VOL*SQRT($T113),""))</f>
        <v/>
      </c>
      <c r="X113" s="11" t="str">
        <f aca="false">IF($A113="","",IFERROR(IF($C113="Call",NORMSDIST($V113),NORMSDIST($V113)-1),""))</f>
        <v/>
      </c>
      <c r="Y113" s="8" t="str">
        <f aca="false">IF($A113="","",IFERROR(IF($C113="Call",$O113*NORMSDIST($V113)-$E113*EXP(-OPT_RF*$T113)*NORMSDIST($W113),$E113*EXP(-OPT_RF*$T113)*NORMSDIST(-$W113)-$O113*NORMSDIST(-$V113)),""))</f>
        <v/>
      </c>
      <c r="Z113" s="11" t="str">
        <f aca="false">IF($A113="","",IFERROR($I113/$Y113,""))</f>
        <v/>
      </c>
      <c r="AA113" s="13" t="str">
        <f aca="false">IF($A113="","",IFERROR($O113*ABS($X113)/$I113,""))</f>
        <v/>
      </c>
      <c r="AB113" s="13" t="str">
        <f aca="false">IF($A113="","",IFERROR(INDEX(Underlying!$D$1:$D$5000,MATCH($D113,Underlying!$A$1:$A$5000,0)),0))</f>
        <v/>
      </c>
      <c r="AC113" s="7" t="str">
        <f aca="false">IF($A113="","",IF(AND($J113&gt;=OPT_MIN_VOL,$G113&gt;=OPT_MIN_DTE),"بله","خیر"))</f>
        <v/>
      </c>
      <c r="AD113" s="13" t="str">
        <f aca="false">IF($A113="","",IF($AC113="خیر",0,IFERROR(MAX(-10,MIN(10,IF($C113="Call",$AB113,-$AB113)*0.6+IF($Z113&lt;0.85,2,IF($Z113&gt;1.25,-2,0))+IF($Q113="ATM",1,IF($Q113="ITM",0.5,-1))+IF($G113&gt;=30,0.5,-0.5))),0)))</f>
        <v/>
      </c>
      <c r="AE113" s="7" t="str">
        <f aca="false">IF($A113="","",IF($AC113="خیر","بدون سیگنال (نقدشوندگی/سررسید)",IF($AD113&gt;=TH_SBUY,"خرید قوی "&amp;$C113,IF($AD113&gt;=TH_BUY,"خرید "&amp;$C113,IF($AD113&lt;=TH_SSELL,"اجتناب / بستن موقعیت",IF($AD113&lt;=TH_SELL,"ضعیف","بی‌طرف"))))))</f>
        <v/>
      </c>
      <c r="AF113" s="14" t="str">
        <f aca="false">IF($A113="","","سهم پایه: "&amp;IFERROR(TEXT($AB113,"0.0"),"—")&amp;" | وضعیت: "&amp;$Q113&amp;" | نوسان ضمنی: "&amp;IFERROR(TEXT($U113,"0%"),"—")&amp;" | بازار÷نظری: "&amp;IFERROR(TEXT($Z113,"0.00"),"—")&amp;" | اهرم: "&amp;IFERROR(TEXT($AA113,"0.0"),"—")&amp;"x"&amp;" | "&amp;$G113&amp;" روز تا سررسید")</f>
        <v/>
      </c>
    </row>
    <row r="114" customFormat="false" ht="15" hidden="false" customHeight="false" outlineLevel="0" collapsed="false">
      <c r="A114" s="5"/>
      <c r="B114" s="6"/>
      <c r="C114" s="7"/>
      <c r="D114" s="7"/>
      <c r="E114" s="8"/>
      <c r="F114" s="9"/>
      <c r="G114" s="10"/>
      <c r="H114" s="8"/>
      <c r="I114" s="8"/>
      <c r="J114" s="8"/>
      <c r="K114" s="8"/>
      <c r="L114" s="8"/>
      <c r="M114" s="8"/>
      <c r="N114" s="8"/>
      <c r="O114" s="8" t="str">
        <f aca="false">IF($A114="","",IFERROR(INDEX(Underlying!$B$1:$B$5000,MATCH($D114,Underlying!$A$1:$A$5000,0)),""))</f>
        <v/>
      </c>
      <c r="P114" s="11" t="str">
        <f aca="false">IF($A114="","",IFERROR($O114/$E114,""))</f>
        <v/>
      </c>
      <c r="Q114" s="7" t="str">
        <f aca="false">IF($A114="","",IF($P114="","",IF($C114="Call",IF($P114&gt;1+OPT_ATM_BAND,"ITM",IF($P114&lt;1-OPT_ATM_BAND,"OTM","ATM")),IF($P114&lt;1-OPT_ATM_BAND,"ITM",IF($P114&gt;1+OPT_ATM_BAND,"OTM","ATM")))))</f>
        <v/>
      </c>
      <c r="R114" s="8" t="str">
        <f aca="false">IF($A114="","",IFERROR(IF($C114="Call",MAX(0,$O114-$E114),MAX(0,$E114-$O114)),""))</f>
        <v/>
      </c>
      <c r="S114" s="8" t="str">
        <f aca="false">IF($A114="","",IFERROR(MAX(0,$I114-$R114),""))</f>
        <v/>
      </c>
      <c r="T114" s="11" t="str">
        <f aca="false">IF($A114="","",IFERROR($G114/365,""))</f>
        <v/>
      </c>
      <c r="U114" s="12" t="str">
        <f aca="false">IF($A114="","",IF(OR($P114="",ABS($P114-1)&gt;3*OPT_ATM_BAND),"",IFERROR($I114/$O114*SQRT(2*PI()/$T114),"")))</f>
        <v/>
      </c>
      <c r="V114" s="11" t="str">
        <f aca="false">IF($A114="","",IFERROR((LN($O114/$E114)+(OPT_RF+OPT_VOL^2/2)*$T114)/(OPT_VOL*SQRT($T114)),""))</f>
        <v/>
      </c>
      <c r="W114" s="11" t="str">
        <f aca="false">IF($A114="","",IFERROR($V114-OPT_VOL*SQRT($T114),""))</f>
        <v/>
      </c>
      <c r="X114" s="11" t="str">
        <f aca="false">IF($A114="","",IFERROR(IF($C114="Call",NORMSDIST($V114),NORMSDIST($V114)-1),""))</f>
        <v/>
      </c>
      <c r="Y114" s="8" t="str">
        <f aca="false">IF($A114="","",IFERROR(IF($C114="Call",$O114*NORMSDIST($V114)-$E114*EXP(-OPT_RF*$T114)*NORMSDIST($W114),$E114*EXP(-OPT_RF*$T114)*NORMSDIST(-$W114)-$O114*NORMSDIST(-$V114)),""))</f>
        <v/>
      </c>
      <c r="Z114" s="11" t="str">
        <f aca="false">IF($A114="","",IFERROR($I114/$Y114,""))</f>
        <v/>
      </c>
      <c r="AA114" s="13" t="str">
        <f aca="false">IF($A114="","",IFERROR($O114*ABS($X114)/$I114,""))</f>
        <v/>
      </c>
      <c r="AB114" s="13" t="str">
        <f aca="false">IF($A114="","",IFERROR(INDEX(Underlying!$D$1:$D$5000,MATCH($D114,Underlying!$A$1:$A$5000,0)),0))</f>
        <v/>
      </c>
      <c r="AC114" s="7" t="str">
        <f aca="false">IF($A114="","",IF(AND($J114&gt;=OPT_MIN_VOL,$G114&gt;=OPT_MIN_DTE),"بله","خیر"))</f>
        <v/>
      </c>
      <c r="AD114" s="13" t="str">
        <f aca="false">IF($A114="","",IF($AC114="خیر",0,IFERROR(MAX(-10,MIN(10,IF($C114="Call",$AB114,-$AB114)*0.6+IF($Z114&lt;0.85,2,IF($Z114&gt;1.25,-2,0))+IF($Q114="ATM",1,IF($Q114="ITM",0.5,-1))+IF($G114&gt;=30,0.5,-0.5))),0)))</f>
        <v/>
      </c>
      <c r="AE114" s="7" t="str">
        <f aca="false">IF($A114="","",IF($AC114="خیر","بدون سیگنال (نقدشوندگی/سررسید)",IF($AD114&gt;=TH_SBUY,"خرید قوی "&amp;$C114,IF($AD114&gt;=TH_BUY,"خرید "&amp;$C114,IF($AD114&lt;=TH_SSELL,"اجتناب / بستن موقعیت",IF($AD114&lt;=TH_SELL,"ضعیف","بی‌طرف"))))))</f>
        <v/>
      </c>
      <c r="AF114" s="14" t="str">
        <f aca="false">IF($A114="","","سهم پایه: "&amp;IFERROR(TEXT($AB114,"0.0"),"—")&amp;" | وضعیت: "&amp;$Q114&amp;" | نوسان ضمنی: "&amp;IFERROR(TEXT($U114,"0%"),"—")&amp;" | بازار÷نظری: "&amp;IFERROR(TEXT($Z114,"0.00"),"—")&amp;" | اهرم: "&amp;IFERROR(TEXT($AA114,"0.0"),"—")&amp;"x"&amp;" | "&amp;$G114&amp;" روز تا سررسید")</f>
        <v/>
      </c>
    </row>
    <row r="115" customFormat="false" ht="15" hidden="false" customHeight="false" outlineLevel="0" collapsed="false">
      <c r="A115" s="5"/>
      <c r="B115" s="6"/>
      <c r="C115" s="7"/>
      <c r="D115" s="7"/>
      <c r="E115" s="8"/>
      <c r="F115" s="9"/>
      <c r="G115" s="10"/>
      <c r="H115" s="8"/>
      <c r="I115" s="8"/>
      <c r="J115" s="8"/>
      <c r="K115" s="8"/>
      <c r="L115" s="8"/>
      <c r="M115" s="8"/>
      <c r="N115" s="8"/>
      <c r="O115" s="8" t="str">
        <f aca="false">IF($A115="","",IFERROR(INDEX(Underlying!$B$1:$B$5000,MATCH($D115,Underlying!$A$1:$A$5000,0)),""))</f>
        <v/>
      </c>
      <c r="P115" s="11" t="str">
        <f aca="false">IF($A115="","",IFERROR($O115/$E115,""))</f>
        <v/>
      </c>
      <c r="Q115" s="7" t="str">
        <f aca="false">IF($A115="","",IF($P115="","",IF($C115="Call",IF($P115&gt;1+OPT_ATM_BAND,"ITM",IF($P115&lt;1-OPT_ATM_BAND,"OTM","ATM")),IF($P115&lt;1-OPT_ATM_BAND,"ITM",IF($P115&gt;1+OPT_ATM_BAND,"OTM","ATM")))))</f>
        <v/>
      </c>
      <c r="R115" s="8" t="str">
        <f aca="false">IF($A115="","",IFERROR(IF($C115="Call",MAX(0,$O115-$E115),MAX(0,$E115-$O115)),""))</f>
        <v/>
      </c>
      <c r="S115" s="8" t="str">
        <f aca="false">IF($A115="","",IFERROR(MAX(0,$I115-$R115),""))</f>
        <v/>
      </c>
      <c r="T115" s="11" t="str">
        <f aca="false">IF($A115="","",IFERROR($G115/365,""))</f>
        <v/>
      </c>
      <c r="U115" s="12" t="str">
        <f aca="false">IF($A115="","",IF(OR($P115="",ABS($P115-1)&gt;3*OPT_ATM_BAND),"",IFERROR($I115/$O115*SQRT(2*PI()/$T115),"")))</f>
        <v/>
      </c>
      <c r="V115" s="11" t="str">
        <f aca="false">IF($A115="","",IFERROR((LN($O115/$E115)+(OPT_RF+OPT_VOL^2/2)*$T115)/(OPT_VOL*SQRT($T115)),""))</f>
        <v/>
      </c>
      <c r="W115" s="11" t="str">
        <f aca="false">IF($A115="","",IFERROR($V115-OPT_VOL*SQRT($T115),""))</f>
        <v/>
      </c>
      <c r="X115" s="11" t="str">
        <f aca="false">IF($A115="","",IFERROR(IF($C115="Call",NORMSDIST($V115),NORMSDIST($V115)-1),""))</f>
        <v/>
      </c>
      <c r="Y115" s="8" t="str">
        <f aca="false">IF($A115="","",IFERROR(IF($C115="Call",$O115*NORMSDIST($V115)-$E115*EXP(-OPT_RF*$T115)*NORMSDIST($W115),$E115*EXP(-OPT_RF*$T115)*NORMSDIST(-$W115)-$O115*NORMSDIST(-$V115)),""))</f>
        <v/>
      </c>
      <c r="Z115" s="11" t="str">
        <f aca="false">IF($A115="","",IFERROR($I115/$Y115,""))</f>
        <v/>
      </c>
      <c r="AA115" s="13" t="str">
        <f aca="false">IF($A115="","",IFERROR($O115*ABS($X115)/$I115,""))</f>
        <v/>
      </c>
      <c r="AB115" s="13" t="str">
        <f aca="false">IF($A115="","",IFERROR(INDEX(Underlying!$D$1:$D$5000,MATCH($D115,Underlying!$A$1:$A$5000,0)),0))</f>
        <v/>
      </c>
      <c r="AC115" s="7" t="str">
        <f aca="false">IF($A115="","",IF(AND($J115&gt;=OPT_MIN_VOL,$G115&gt;=OPT_MIN_DTE),"بله","خیر"))</f>
        <v/>
      </c>
      <c r="AD115" s="13" t="str">
        <f aca="false">IF($A115="","",IF($AC115="خیر",0,IFERROR(MAX(-10,MIN(10,IF($C115="Call",$AB115,-$AB115)*0.6+IF($Z115&lt;0.85,2,IF($Z115&gt;1.25,-2,0))+IF($Q115="ATM",1,IF($Q115="ITM",0.5,-1))+IF($G115&gt;=30,0.5,-0.5))),0)))</f>
        <v/>
      </c>
      <c r="AE115" s="7" t="str">
        <f aca="false">IF($A115="","",IF($AC115="خیر","بدون سیگنال (نقدشوندگی/سررسید)",IF($AD115&gt;=TH_SBUY,"خرید قوی "&amp;$C115,IF($AD115&gt;=TH_BUY,"خرید "&amp;$C115,IF($AD115&lt;=TH_SSELL,"اجتناب / بستن موقعیت",IF($AD115&lt;=TH_SELL,"ضعیف","بی‌طرف"))))))</f>
        <v/>
      </c>
      <c r="AF115" s="14" t="str">
        <f aca="false">IF($A115="","","سهم پایه: "&amp;IFERROR(TEXT($AB115,"0.0"),"—")&amp;" | وضعیت: "&amp;$Q115&amp;" | نوسان ضمنی: "&amp;IFERROR(TEXT($U115,"0%"),"—")&amp;" | بازار÷نظری: "&amp;IFERROR(TEXT($Z115,"0.00"),"—")&amp;" | اهرم: "&amp;IFERROR(TEXT($AA115,"0.0"),"—")&amp;"x"&amp;" | "&amp;$G115&amp;" روز تا سررسید")</f>
        <v/>
      </c>
    </row>
    <row r="116" customFormat="false" ht="15" hidden="false" customHeight="false" outlineLevel="0" collapsed="false">
      <c r="A116" s="5"/>
      <c r="B116" s="6"/>
      <c r="C116" s="7"/>
      <c r="D116" s="7"/>
      <c r="E116" s="8"/>
      <c r="F116" s="9"/>
      <c r="G116" s="10"/>
      <c r="H116" s="8"/>
      <c r="I116" s="8"/>
      <c r="J116" s="8"/>
      <c r="K116" s="8"/>
      <c r="L116" s="8"/>
      <c r="M116" s="8"/>
      <c r="N116" s="8"/>
      <c r="O116" s="8" t="str">
        <f aca="false">IF($A116="","",IFERROR(INDEX(Underlying!$B$1:$B$5000,MATCH($D116,Underlying!$A$1:$A$5000,0)),""))</f>
        <v/>
      </c>
      <c r="P116" s="11" t="str">
        <f aca="false">IF($A116="","",IFERROR($O116/$E116,""))</f>
        <v/>
      </c>
      <c r="Q116" s="7" t="str">
        <f aca="false">IF($A116="","",IF($P116="","",IF($C116="Call",IF($P116&gt;1+OPT_ATM_BAND,"ITM",IF($P116&lt;1-OPT_ATM_BAND,"OTM","ATM")),IF($P116&lt;1-OPT_ATM_BAND,"ITM",IF($P116&gt;1+OPT_ATM_BAND,"OTM","ATM")))))</f>
        <v/>
      </c>
      <c r="R116" s="8" t="str">
        <f aca="false">IF($A116="","",IFERROR(IF($C116="Call",MAX(0,$O116-$E116),MAX(0,$E116-$O116)),""))</f>
        <v/>
      </c>
      <c r="S116" s="8" t="str">
        <f aca="false">IF($A116="","",IFERROR(MAX(0,$I116-$R116),""))</f>
        <v/>
      </c>
      <c r="T116" s="11" t="str">
        <f aca="false">IF($A116="","",IFERROR($G116/365,""))</f>
        <v/>
      </c>
      <c r="U116" s="12" t="str">
        <f aca="false">IF($A116="","",IF(OR($P116="",ABS($P116-1)&gt;3*OPT_ATM_BAND),"",IFERROR($I116/$O116*SQRT(2*PI()/$T116),"")))</f>
        <v/>
      </c>
      <c r="V116" s="11" t="str">
        <f aca="false">IF($A116="","",IFERROR((LN($O116/$E116)+(OPT_RF+OPT_VOL^2/2)*$T116)/(OPT_VOL*SQRT($T116)),""))</f>
        <v/>
      </c>
      <c r="W116" s="11" t="str">
        <f aca="false">IF($A116="","",IFERROR($V116-OPT_VOL*SQRT($T116),""))</f>
        <v/>
      </c>
      <c r="X116" s="11" t="str">
        <f aca="false">IF($A116="","",IFERROR(IF($C116="Call",NORMSDIST($V116),NORMSDIST($V116)-1),""))</f>
        <v/>
      </c>
      <c r="Y116" s="8" t="str">
        <f aca="false">IF($A116="","",IFERROR(IF($C116="Call",$O116*NORMSDIST($V116)-$E116*EXP(-OPT_RF*$T116)*NORMSDIST($W116),$E116*EXP(-OPT_RF*$T116)*NORMSDIST(-$W116)-$O116*NORMSDIST(-$V116)),""))</f>
        <v/>
      </c>
      <c r="Z116" s="11" t="str">
        <f aca="false">IF($A116="","",IFERROR($I116/$Y116,""))</f>
        <v/>
      </c>
      <c r="AA116" s="13" t="str">
        <f aca="false">IF($A116="","",IFERROR($O116*ABS($X116)/$I116,""))</f>
        <v/>
      </c>
      <c r="AB116" s="13" t="str">
        <f aca="false">IF($A116="","",IFERROR(INDEX(Underlying!$D$1:$D$5000,MATCH($D116,Underlying!$A$1:$A$5000,0)),0))</f>
        <v/>
      </c>
      <c r="AC116" s="7" t="str">
        <f aca="false">IF($A116="","",IF(AND($J116&gt;=OPT_MIN_VOL,$G116&gt;=OPT_MIN_DTE),"بله","خیر"))</f>
        <v/>
      </c>
      <c r="AD116" s="13" t="str">
        <f aca="false">IF($A116="","",IF($AC116="خیر",0,IFERROR(MAX(-10,MIN(10,IF($C116="Call",$AB116,-$AB116)*0.6+IF($Z116&lt;0.85,2,IF($Z116&gt;1.25,-2,0))+IF($Q116="ATM",1,IF($Q116="ITM",0.5,-1))+IF($G116&gt;=30,0.5,-0.5))),0)))</f>
        <v/>
      </c>
      <c r="AE116" s="7" t="str">
        <f aca="false">IF($A116="","",IF($AC116="خیر","بدون سیگنال (نقدشوندگی/سررسید)",IF($AD116&gt;=TH_SBUY,"خرید قوی "&amp;$C116,IF($AD116&gt;=TH_BUY,"خرید "&amp;$C116,IF($AD116&lt;=TH_SSELL,"اجتناب / بستن موقعیت",IF($AD116&lt;=TH_SELL,"ضعیف","بی‌طرف"))))))</f>
        <v/>
      </c>
      <c r="AF116" s="14" t="str">
        <f aca="false">IF($A116="","","سهم پایه: "&amp;IFERROR(TEXT($AB116,"0.0"),"—")&amp;" | وضعیت: "&amp;$Q116&amp;" | نوسان ضمنی: "&amp;IFERROR(TEXT($U116,"0%"),"—")&amp;" | بازار÷نظری: "&amp;IFERROR(TEXT($Z116,"0.00"),"—")&amp;" | اهرم: "&amp;IFERROR(TEXT($AA116,"0.0"),"—")&amp;"x"&amp;" | "&amp;$G116&amp;" روز تا سررسید")</f>
        <v/>
      </c>
    </row>
    <row r="117" customFormat="false" ht="15" hidden="false" customHeight="false" outlineLevel="0" collapsed="false">
      <c r="A117" s="5"/>
      <c r="B117" s="6"/>
      <c r="C117" s="7"/>
      <c r="D117" s="7"/>
      <c r="E117" s="8"/>
      <c r="F117" s="9"/>
      <c r="G117" s="10"/>
      <c r="H117" s="8"/>
      <c r="I117" s="8"/>
      <c r="J117" s="8"/>
      <c r="K117" s="8"/>
      <c r="L117" s="8"/>
      <c r="M117" s="8"/>
      <c r="N117" s="8"/>
      <c r="O117" s="8" t="str">
        <f aca="false">IF($A117="","",IFERROR(INDEX(Underlying!$B$1:$B$5000,MATCH($D117,Underlying!$A$1:$A$5000,0)),""))</f>
        <v/>
      </c>
      <c r="P117" s="11" t="str">
        <f aca="false">IF($A117="","",IFERROR($O117/$E117,""))</f>
        <v/>
      </c>
      <c r="Q117" s="7" t="str">
        <f aca="false">IF($A117="","",IF($P117="","",IF($C117="Call",IF($P117&gt;1+OPT_ATM_BAND,"ITM",IF($P117&lt;1-OPT_ATM_BAND,"OTM","ATM")),IF($P117&lt;1-OPT_ATM_BAND,"ITM",IF($P117&gt;1+OPT_ATM_BAND,"OTM","ATM")))))</f>
        <v/>
      </c>
      <c r="R117" s="8" t="str">
        <f aca="false">IF($A117="","",IFERROR(IF($C117="Call",MAX(0,$O117-$E117),MAX(0,$E117-$O117)),""))</f>
        <v/>
      </c>
      <c r="S117" s="8" t="str">
        <f aca="false">IF($A117="","",IFERROR(MAX(0,$I117-$R117),""))</f>
        <v/>
      </c>
      <c r="T117" s="11" t="str">
        <f aca="false">IF($A117="","",IFERROR($G117/365,""))</f>
        <v/>
      </c>
      <c r="U117" s="12" t="str">
        <f aca="false">IF($A117="","",IF(OR($P117="",ABS($P117-1)&gt;3*OPT_ATM_BAND),"",IFERROR($I117/$O117*SQRT(2*PI()/$T117),"")))</f>
        <v/>
      </c>
      <c r="V117" s="11" t="str">
        <f aca="false">IF($A117="","",IFERROR((LN($O117/$E117)+(OPT_RF+OPT_VOL^2/2)*$T117)/(OPT_VOL*SQRT($T117)),""))</f>
        <v/>
      </c>
      <c r="W117" s="11" t="str">
        <f aca="false">IF($A117="","",IFERROR($V117-OPT_VOL*SQRT($T117),""))</f>
        <v/>
      </c>
      <c r="X117" s="11" t="str">
        <f aca="false">IF($A117="","",IFERROR(IF($C117="Call",NORMSDIST($V117),NORMSDIST($V117)-1),""))</f>
        <v/>
      </c>
      <c r="Y117" s="8" t="str">
        <f aca="false">IF($A117="","",IFERROR(IF($C117="Call",$O117*NORMSDIST($V117)-$E117*EXP(-OPT_RF*$T117)*NORMSDIST($W117),$E117*EXP(-OPT_RF*$T117)*NORMSDIST(-$W117)-$O117*NORMSDIST(-$V117)),""))</f>
        <v/>
      </c>
      <c r="Z117" s="11" t="str">
        <f aca="false">IF($A117="","",IFERROR($I117/$Y117,""))</f>
        <v/>
      </c>
      <c r="AA117" s="13" t="str">
        <f aca="false">IF($A117="","",IFERROR($O117*ABS($X117)/$I117,""))</f>
        <v/>
      </c>
      <c r="AB117" s="13" t="str">
        <f aca="false">IF($A117="","",IFERROR(INDEX(Underlying!$D$1:$D$5000,MATCH($D117,Underlying!$A$1:$A$5000,0)),0))</f>
        <v/>
      </c>
      <c r="AC117" s="7" t="str">
        <f aca="false">IF($A117="","",IF(AND($J117&gt;=OPT_MIN_VOL,$G117&gt;=OPT_MIN_DTE),"بله","خیر"))</f>
        <v/>
      </c>
      <c r="AD117" s="13" t="str">
        <f aca="false">IF($A117="","",IF($AC117="خیر",0,IFERROR(MAX(-10,MIN(10,IF($C117="Call",$AB117,-$AB117)*0.6+IF($Z117&lt;0.85,2,IF($Z117&gt;1.25,-2,0))+IF($Q117="ATM",1,IF($Q117="ITM",0.5,-1))+IF($G117&gt;=30,0.5,-0.5))),0)))</f>
        <v/>
      </c>
      <c r="AE117" s="7" t="str">
        <f aca="false">IF($A117="","",IF($AC117="خیر","بدون سیگنال (نقدشوندگی/سررسید)",IF($AD117&gt;=TH_SBUY,"خرید قوی "&amp;$C117,IF($AD117&gt;=TH_BUY,"خرید "&amp;$C117,IF($AD117&lt;=TH_SSELL,"اجتناب / بستن موقعیت",IF($AD117&lt;=TH_SELL,"ضعیف","بی‌طرف"))))))</f>
        <v/>
      </c>
      <c r="AF117" s="14" t="str">
        <f aca="false">IF($A117="","","سهم پایه: "&amp;IFERROR(TEXT($AB117,"0.0"),"—")&amp;" | وضعیت: "&amp;$Q117&amp;" | نوسان ضمنی: "&amp;IFERROR(TEXT($U117,"0%"),"—")&amp;" | بازار÷نظری: "&amp;IFERROR(TEXT($Z117,"0.00"),"—")&amp;" | اهرم: "&amp;IFERROR(TEXT($AA117,"0.0"),"—")&amp;"x"&amp;" | "&amp;$G117&amp;" روز تا سررسید")</f>
        <v/>
      </c>
    </row>
    <row r="118" customFormat="false" ht="15" hidden="false" customHeight="false" outlineLevel="0" collapsed="false">
      <c r="A118" s="5"/>
      <c r="B118" s="6"/>
      <c r="C118" s="7"/>
      <c r="D118" s="7"/>
      <c r="E118" s="8"/>
      <c r="F118" s="9"/>
      <c r="G118" s="10"/>
      <c r="H118" s="8"/>
      <c r="I118" s="8"/>
      <c r="J118" s="8"/>
      <c r="K118" s="8"/>
      <c r="L118" s="8"/>
      <c r="M118" s="8"/>
      <c r="N118" s="8"/>
      <c r="O118" s="8" t="str">
        <f aca="false">IF($A118="","",IFERROR(INDEX(Underlying!$B$1:$B$5000,MATCH($D118,Underlying!$A$1:$A$5000,0)),""))</f>
        <v/>
      </c>
      <c r="P118" s="11" t="str">
        <f aca="false">IF($A118="","",IFERROR($O118/$E118,""))</f>
        <v/>
      </c>
      <c r="Q118" s="7" t="str">
        <f aca="false">IF($A118="","",IF($P118="","",IF($C118="Call",IF($P118&gt;1+OPT_ATM_BAND,"ITM",IF($P118&lt;1-OPT_ATM_BAND,"OTM","ATM")),IF($P118&lt;1-OPT_ATM_BAND,"ITM",IF($P118&gt;1+OPT_ATM_BAND,"OTM","ATM")))))</f>
        <v/>
      </c>
      <c r="R118" s="8" t="str">
        <f aca="false">IF($A118="","",IFERROR(IF($C118="Call",MAX(0,$O118-$E118),MAX(0,$E118-$O118)),""))</f>
        <v/>
      </c>
      <c r="S118" s="8" t="str">
        <f aca="false">IF($A118="","",IFERROR(MAX(0,$I118-$R118),""))</f>
        <v/>
      </c>
      <c r="T118" s="11" t="str">
        <f aca="false">IF($A118="","",IFERROR($G118/365,""))</f>
        <v/>
      </c>
      <c r="U118" s="12" t="str">
        <f aca="false">IF($A118="","",IF(OR($P118="",ABS($P118-1)&gt;3*OPT_ATM_BAND),"",IFERROR($I118/$O118*SQRT(2*PI()/$T118),"")))</f>
        <v/>
      </c>
      <c r="V118" s="11" t="str">
        <f aca="false">IF($A118="","",IFERROR((LN($O118/$E118)+(OPT_RF+OPT_VOL^2/2)*$T118)/(OPT_VOL*SQRT($T118)),""))</f>
        <v/>
      </c>
      <c r="W118" s="11" t="str">
        <f aca="false">IF($A118="","",IFERROR($V118-OPT_VOL*SQRT($T118),""))</f>
        <v/>
      </c>
      <c r="X118" s="11" t="str">
        <f aca="false">IF($A118="","",IFERROR(IF($C118="Call",NORMSDIST($V118),NORMSDIST($V118)-1),""))</f>
        <v/>
      </c>
      <c r="Y118" s="8" t="str">
        <f aca="false">IF($A118="","",IFERROR(IF($C118="Call",$O118*NORMSDIST($V118)-$E118*EXP(-OPT_RF*$T118)*NORMSDIST($W118),$E118*EXP(-OPT_RF*$T118)*NORMSDIST(-$W118)-$O118*NORMSDIST(-$V118)),""))</f>
        <v/>
      </c>
      <c r="Z118" s="11" t="str">
        <f aca="false">IF($A118="","",IFERROR($I118/$Y118,""))</f>
        <v/>
      </c>
      <c r="AA118" s="13" t="str">
        <f aca="false">IF($A118="","",IFERROR($O118*ABS($X118)/$I118,""))</f>
        <v/>
      </c>
      <c r="AB118" s="13" t="str">
        <f aca="false">IF($A118="","",IFERROR(INDEX(Underlying!$D$1:$D$5000,MATCH($D118,Underlying!$A$1:$A$5000,0)),0))</f>
        <v/>
      </c>
      <c r="AC118" s="7" t="str">
        <f aca="false">IF($A118="","",IF(AND($J118&gt;=OPT_MIN_VOL,$G118&gt;=OPT_MIN_DTE),"بله","خیر"))</f>
        <v/>
      </c>
      <c r="AD118" s="13" t="str">
        <f aca="false">IF($A118="","",IF($AC118="خیر",0,IFERROR(MAX(-10,MIN(10,IF($C118="Call",$AB118,-$AB118)*0.6+IF($Z118&lt;0.85,2,IF($Z118&gt;1.25,-2,0))+IF($Q118="ATM",1,IF($Q118="ITM",0.5,-1))+IF($G118&gt;=30,0.5,-0.5))),0)))</f>
        <v/>
      </c>
      <c r="AE118" s="7" t="str">
        <f aca="false">IF($A118="","",IF($AC118="خیر","بدون سیگنال (نقدشوندگی/سررسید)",IF($AD118&gt;=TH_SBUY,"خرید قوی "&amp;$C118,IF($AD118&gt;=TH_BUY,"خرید "&amp;$C118,IF($AD118&lt;=TH_SSELL,"اجتناب / بستن موقعیت",IF($AD118&lt;=TH_SELL,"ضعیف","بی‌طرف"))))))</f>
        <v/>
      </c>
      <c r="AF118" s="14" t="str">
        <f aca="false">IF($A118="","","سهم پایه: "&amp;IFERROR(TEXT($AB118,"0.0"),"—")&amp;" | وضعیت: "&amp;$Q118&amp;" | نوسان ضمنی: "&amp;IFERROR(TEXT($U118,"0%"),"—")&amp;" | بازار÷نظری: "&amp;IFERROR(TEXT($Z118,"0.00"),"—")&amp;" | اهرم: "&amp;IFERROR(TEXT($AA118,"0.0"),"—")&amp;"x"&amp;" | "&amp;$G118&amp;" روز تا سررسید")</f>
        <v/>
      </c>
    </row>
    <row r="119" customFormat="false" ht="15" hidden="false" customHeight="false" outlineLevel="0" collapsed="false">
      <c r="A119" s="5"/>
      <c r="B119" s="6"/>
      <c r="C119" s="7"/>
      <c r="D119" s="7"/>
      <c r="E119" s="8"/>
      <c r="F119" s="9"/>
      <c r="G119" s="10"/>
      <c r="H119" s="8"/>
      <c r="I119" s="8"/>
      <c r="J119" s="8"/>
      <c r="K119" s="8"/>
      <c r="L119" s="8"/>
      <c r="M119" s="8"/>
      <c r="N119" s="8"/>
      <c r="O119" s="8" t="str">
        <f aca="false">IF($A119="","",IFERROR(INDEX(Underlying!$B$1:$B$5000,MATCH($D119,Underlying!$A$1:$A$5000,0)),""))</f>
        <v/>
      </c>
      <c r="P119" s="11" t="str">
        <f aca="false">IF($A119="","",IFERROR($O119/$E119,""))</f>
        <v/>
      </c>
      <c r="Q119" s="7" t="str">
        <f aca="false">IF($A119="","",IF($P119="","",IF($C119="Call",IF($P119&gt;1+OPT_ATM_BAND,"ITM",IF($P119&lt;1-OPT_ATM_BAND,"OTM","ATM")),IF($P119&lt;1-OPT_ATM_BAND,"ITM",IF($P119&gt;1+OPT_ATM_BAND,"OTM","ATM")))))</f>
        <v/>
      </c>
      <c r="R119" s="8" t="str">
        <f aca="false">IF($A119="","",IFERROR(IF($C119="Call",MAX(0,$O119-$E119),MAX(0,$E119-$O119)),""))</f>
        <v/>
      </c>
      <c r="S119" s="8" t="str">
        <f aca="false">IF($A119="","",IFERROR(MAX(0,$I119-$R119),""))</f>
        <v/>
      </c>
      <c r="T119" s="11" t="str">
        <f aca="false">IF($A119="","",IFERROR($G119/365,""))</f>
        <v/>
      </c>
      <c r="U119" s="12" t="str">
        <f aca="false">IF($A119="","",IF(OR($P119="",ABS($P119-1)&gt;3*OPT_ATM_BAND),"",IFERROR($I119/$O119*SQRT(2*PI()/$T119),"")))</f>
        <v/>
      </c>
      <c r="V119" s="11" t="str">
        <f aca="false">IF($A119="","",IFERROR((LN($O119/$E119)+(OPT_RF+OPT_VOL^2/2)*$T119)/(OPT_VOL*SQRT($T119)),""))</f>
        <v/>
      </c>
      <c r="W119" s="11" t="str">
        <f aca="false">IF($A119="","",IFERROR($V119-OPT_VOL*SQRT($T119),""))</f>
        <v/>
      </c>
      <c r="X119" s="11" t="str">
        <f aca="false">IF($A119="","",IFERROR(IF($C119="Call",NORMSDIST($V119),NORMSDIST($V119)-1),""))</f>
        <v/>
      </c>
      <c r="Y119" s="8" t="str">
        <f aca="false">IF($A119="","",IFERROR(IF($C119="Call",$O119*NORMSDIST($V119)-$E119*EXP(-OPT_RF*$T119)*NORMSDIST($W119),$E119*EXP(-OPT_RF*$T119)*NORMSDIST(-$W119)-$O119*NORMSDIST(-$V119)),""))</f>
        <v/>
      </c>
      <c r="Z119" s="11" t="str">
        <f aca="false">IF($A119="","",IFERROR($I119/$Y119,""))</f>
        <v/>
      </c>
      <c r="AA119" s="13" t="str">
        <f aca="false">IF($A119="","",IFERROR($O119*ABS($X119)/$I119,""))</f>
        <v/>
      </c>
      <c r="AB119" s="13" t="str">
        <f aca="false">IF($A119="","",IFERROR(INDEX(Underlying!$D$1:$D$5000,MATCH($D119,Underlying!$A$1:$A$5000,0)),0))</f>
        <v/>
      </c>
      <c r="AC119" s="7" t="str">
        <f aca="false">IF($A119="","",IF(AND($J119&gt;=OPT_MIN_VOL,$G119&gt;=OPT_MIN_DTE),"بله","خیر"))</f>
        <v/>
      </c>
      <c r="AD119" s="13" t="str">
        <f aca="false">IF($A119="","",IF($AC119="خیر",0,IFERROR(MAX(-10,MIN(10,IF($C119="Call",$AB119,-$AB119)*0.6+IF($Z119&lt;0.85,2,IF($Z119&gt;1.25,-2,0))+IF($Q119="ATM",1,IF($Q119="ITM",0.5,-1))+IF($G119&gt;=30,0.5,-0.5))),0)))</f>
        <v/>
      </c>
      <c r="AE119" s="7" t="str">
        <f aca="false">IF($A119="","",IF($AC119="خیر","بدون سیگنال (نقدشوندگی/سررسید)",IF($AD119&gt;=TH_SBUY,"خرید قوی "&amp;$C119,IF($AD119&gt;=TH_BUY,"خرید "&amp;$C119,IF($AD119&lt;=TH_SSELL,"اجتناب / بستن موقعیت",IF($AD119&lt;=TH_SELL,"ضعیف","بی‌طرف"))))))</f>
        <v/>
      </c>
      <c r="AF119" s="14" t="str">
        <f aca="false">IF($A119="","","سهم پایه: "&amp;IFERROR(TEXT($AB119,"0.0"),"—")&amp;" | وضعیت: "&amp;$Q119&amp;" | نوسان ضمنی: "&amp;IFERROR(TEXT($U119,"0%"),"—")&amp;" | بازار÷نظری: "&amp;IFERROR(TEXT($Z119,"0.00"),"—")&amp;" | اهرم: "&amp;IFERROR(TEXT($AA119,"0.0"),"—")&amp;"x"&amp;" | "&amp;$G119&amp;" روز تا سررسید")</f>
        <v/>
      </c>
    </row>
    <row r="120" customFormat="false" ht="15" hidden="false" customHeight="false" outlineLevel="0" collapsed="false">
      <c r="A120" s="5"/>
      <c r="B120" s="6"/>
      <c r="C120" s="7"/>
      <c r="D120" s="7"/>
      <c r="E120" s="8"/>
      <c r="F120" s="9"/>
      <c r="G120" s="10"/>
      <c r="H120" s="8"/>
      <c r="I120" s="8"/>
      <c r="J120" s="8"/>
      <c r="K120" s="8"/>
      <c r="L120" s="8"/>
      <c r="M120" s="8"/>
      <c r="N120" s="8"/>
      <c r="O120" s="8" t="str">
        <f aca="false">IF($A120="","",IFERROR(INDEX(Underlying!$B$1:$B$5000,MATCH($D120,Underlying!$A$1:$A$5000,0)),""))</f>
        <v/>
      </c>
      <c r="P120" s="11" t="str">
        <f aca="false">IF($A120="","",IFERROR($O120/$E120,""))</f>
        <v/>
      </c>
      <c r="Q120" s="7" t="str">
        <f aca="false">IF($A120="","",IF($P120="","",IF($C120="Call",IF($P120&gt;1+OPT_ATM_BAND,"ITM",IF($P120&lt;1-OPT_ATM_BAND,"OTM","ATM")),IF($P120&lt;1-OPT_ATM_BAND,"ITM",IF($P120&gt;1+OPT_ATM_BAND,"OTM","ATM")))))</f>
        <v/>
      </c>
      <c r="R120" s="8" t="str">
        <f aca="false">IF($A120="","",IFERROR(IF($C120="Call",MAX(0,$O120-$E120),MAX(0,$E120-$O120)),""))</f>
        <v/>
      </c>
      <c r="S120" s="8" t="str">
        <f aca="false">IF($A120="","",IFERROR(MAX(0,$I120-$R120),""))</f>
        <v/>
      </c>
      <c r="T120" s="11" t="str">
        <f aca="false">IF($A120="","",IFERROR($G120/365,""))</f>
        <v/>
      </c>
      <c r="U120" s="12" t="str">
        <f aca="false">IF($A120="","",IF(OR($P120="",ABS($P120-1)&gt;3*OPT_ATM_BAND),"",IFERROR($I120/$O120*SQRT(2*PI()/$T120),"")))</f>
        <v/>
      </c>
      <c r="V120" s="11" t="str">
        <f aca="false">IF($A120="","",IFERROR((LN($O120/$E120)+(OPT_RF+OPT_VOL^2/2)*$T120)/(OPT_VOL*SQRT($T120)),""))</f>
        <v/>
      </c>
      <c r="W120" s="11" t="str">
        <f aca="false">IF($A120="","",IFERROR($V120-OPT_VOL*SQRT($T120),""))</f>
        <v/>
      </c>
      <c r="X120" s="11" t="str">
        <f aca="false">IF($A120="","",IFERROR(IF($C120="Call",NORMSDIST($V120),NORMSDIST($V120)-1),""))</f>
        <v/>
      </c>
      <c r="Y120" s="8" t="str">
        <f aca="false">IF($A120="","",IFERROR(IF($C120="Call",$O120*NORMSDIST($V120)-$E120*EXP(-OPT_RF*$T120)*NORMSDIST($W120),$E120*EXP(-OPT_RF*$T120)*NORMSDIST(-$W120)-$O120*NORMSDIST(-$V120)),""))</f>
        <v/>
      </c>
      <c r="Z120" s="11" t="str">
        <f aca="false">IF($A120="","",IFERROR($I120/$Y120,""))</f>
        <v/>
      </c>
      <c r="AA120" s="13" t="str">
        <f aca="false">IF($A120="","",IFERROR($O120*ABS($X120)/$I120,""))</f>
        <v/>
      </c>
      <c r="AB120" s="13" t="str">
        <f aca="false">IF($A120="","",IFERROR(INDEX(Underlying!$D$1:$D$5000,MATCH($D120,Underlying!$A$1:$A$5000,0)),0))</f>
        <v/>
      </c>
      <c r="AC120" s="7" t="str">
        <f aca="false">IF($A120="","",IF(AND($J120&gt;=OPT_MIN_VOL,$G120&gt;=OPT_MIN_DTE),"بله","خیر"))</f>
        <v/>
      </c>
      <c r="AD120" s="13" t="str">
        <f aca="false">IF($A120="","",IF($AC120="خیر",0,IFERROR(MAX(-10,MIN(10,IF($C120="Call",$AB120,-$AB120)*0.6+IF($Z120&lt;0.85,2,IF($Z120&gt;1.25,-2,0))+IF($Q120="ATM",1,IF($Q120="ITM",0.5,-1))+IF($G120&gt;=30,0.5,-0.5))),0)))</f>
        <v/>
      </c>
      <c r="AE120" s="7" t="str">
        <f aca="false">IF($A120="","",IF($AC120="خیر","بدون سیگنال (نقدشوندگی/سررسید)",IF($AD120&gt;=TH_SBUY,"خرید قوی "&amp;$C120,IF($AD120&gt;=TH_BUY,"خرید "&amp;$C120,IF($AD120&lt;=TH_SSELL,"اجتناب / بستن موقعیت",IF($AD120&lt;=TH_SELL,"ضعیف","بی‌طرف"))))))</f>
        <v/>
      </c>
      <c r="AF120" s="14" t="str">
        <f aca="false">IF($A120="","","سهم پایه: "&amp;IFERROR(TEXT($AB120,"0.0"),"—")&amp;" | وضعیت: "&amp;$Q120&amp;" | نوسان ضمنی: "&amp;IFERROR(TEXT($U120,"0%"),"—")&amp;" | بازار÷نظری: "&amp;IFERROR(TEXT($Z120,"0.00"),"—")&amp;" | اهرم: "&amp;IFERROR(TEXT($AA120,"0.0"),"—")&amp;"x"&amp;" | "&amp;$G120&amp;" روز تا سررسید")</f>
        <v/>
      </c>
    </row>
    <row r="121" customFormat="false" ht="15" hidden="false" customHeight="false" outlineLevel="0" collapsed="false">
      <c r="A121" s="5"/>
      <c r="B121" s="6"/>
      <c r="C121" s="7"/>
      <c r="D121" s="7"/>
      <c r="E121" s="8"/>
      <c r="F121" s="9"/>
      <c r="G121" s="10"/>
      <c r="H121" s="8"/>
      <c r="I121" s="8"/>
      <c r="J121" s="8"/>
      <c r="K121" s="8"/>
      <c r="L121" s="8"/>
      <c r="M121" s="8"/>
      <c r="N121" s="8"/>
      <c r="O121" s="8" t="str">
        <f aca="false">IF($A121="","",IFERROR(INDEX(Underlying!$B$1:$B$5000,MATCH($D121,Underlying!$A$1:$A$5000,0)),""))</f>
        <v/>
      </c>
      <c r="P121" s="11" t="str">
        <f aca="false">IF($A121="","",IFERROR($O121/$E121,""))</f>
        <v/>
      </c>
      <c r="Q121" s="7" t="str">
        <f aca="false">IF($A121="","",IF($P121="","",IF($C121="Call",IF($P121&gt;1+OPT_ATM_BAND,"ITM",IF($P121&lt;1-OPT_ATM_BAND,"OTM","ATM")),IF($P121&lt;1-OPT_ATM_BAND,"ITM",IF($P121&gt;1+OPT_ATM_BAND,"OTM","ATM")))))</f>
        <v/>
      </c>
      <c r="R121" s="8" t="str">
        <f aca="false">IF($A121="","",IFERROR(IF($C121="Call",MAX(0,$O121-$E121),MAX(0,$E121-$O121)),""))</f>
        <v/>
      </c>
      <c r="S121" s="8" t="str">
        <f aca="false">IF($A121="","",IFERROR(MAX(0,$I121-$R121),""))</f>
        <v/>
      </c>
      <c r="T121" s="11" t="str">
        <f aca="false">IF($A121="","",IFERROR($G121/365,""))</f>
        <v/>
      </c>
      <c r="U121" s="12" t="str">
        <f aca="false">IF($A121="","",IF(OR($P121="",ABS($P121-1)&gt;3*OPT_ATM_BAND),"",IFERROR($I121/$O121*SQRT(2*PI()/$T121),"")))</f>
        <v/>
      </c>
      <c r="V121" s="11" t="str">
        <f aca="false">IF($A121="","",IFERROR((LN($O121/$E121)+(OPT_RF+OPT_VOL^2/2)*$T121)/(OPT_VOL*SQRT($T121)),""))</f>
        <v/>
      </c>
      <c r="W121" s="11" t="str">
        <f aca="false">IF($A121="","",IFERROR($V121-OPT_VOL*SQRT($T121),""))</f>
        <v/>
      </c>
      <c r="X121" s="11" t="str">
        <f aca="false">IF($A121="","",IFERROR(IF($C121="Call",NORMSDIST($V121),NORMSDIST($V121)-1),""))</f>
        <v/>
      </c>
      <c r="Y121" s="8" t="str">
        <f aca="false">IF($A121="","",IFERROR(IF($C121="Call",$O121*NORMSDIST($V121)-$E121*EXP(-OPT_RF*$T121)*NORMSDIST($W121),$E121*EXP(-OPT_RF*$T121)*NORMSDIST(-$W121)-$O121*NORMSDIST(-$V121)),""))</f>
        <v/>
      </c>
      <c r="Z121" s="11" t="str">
        <f aca="false">IF($A121="","",IFERROR($I121/$Y121,""))</f>
        <v/>
      </c>
      <c r="AA121" s="13" t="str">
        <f aca="false">IF($A121="","",IFERROR($O121*ABS($X121)/$I121,""))</f>
        <v/>
      </c>
      <c r="AB121" s="13" t="str">
        <f aca="false">IF($A121="","",IFERROR(INDEX(Underlying!$D$1:$D$5000,MATCH($D121,Underlying!$A$1:$A$5000,0)),0))</f>
        <v/>
      </c>
      <c r="AC121" s="7" t="str">
        <f aca="false">IF($A121="","",IF(AND($J121&gt;=OPT_MIN_VOL,$G121&gt;=OPT_MIN_DTE),"بله","خیر"))</f>
        <v/>
      </c>
      <c r="AD121" s="13" t="str">
        <f aca="false">IF($A121="","",IF($AC121="خیر",0,IFERROR(MAX(-10,MIN(10,IF($C121="Call",$AB121,-$AB121)*0.6+IF($Z121&lt;0.85,2,IF($Z121&gt;1.25,-2,0))+IF($Q121="ATM",1,IF($Q121="ITM",0.5,-1))+IF($G121&gt;=30,0.5,-0.5))),0)))</f>
        <v/>
      </c>
      <c r="AE121" s="7" t="str">
        <f aca="false">IF($A121="","",IF($AC121="خیر","بدون سیگنال (نقدشوندگی/سررسید)",IF($AD121&gt;=TH_SBUY,"خرید قوی "&amp;$C121,IF($AD121&gt;=TH_BUY,"خرید "&amp;$C121,IF($AD121&lt;=TH_SSELL,"اجتناب / بستن موقعیت",IF($AD121&lt;=TH_SELL,"ضعیف","بی‌طرف"))))))</f>
        <v/>
      </c>
      <c r="AF121" s="14" t="str">
        <f aca="false">IF($A121="","","سهم پایه: "&amp;IFERROR(TEXT($AB121,"0.0"),"—")&amp;" | وضعیت: "&amp;$Q121&amp;" | نوسان ضمنی: "&amp;IFERROR(TEXT($U121,"0%"),"—")&amp;" | بازار÷نظری: "&amp;IFERROR(TEXT($Z121,"0.00"),"—")&amp;" | اهرم: "&amp;IFERROR(TEXT($AA121,"0.0"),"—")&amp;"x"&amp;" | "&amp;$G121&amp;" روز تا سررسید")</f>
        <v/>
      </c>
    </row>
    <row r="122" customFormat="false" ht="15" hidden="false" customHeight="false" outlineLevel="0" collapsed="false">
      <c r="A122" s="5"/>
      <c r="B122" s="6"/>
      <c r="C122" s="7"/>
      <c r="D122" s="7"/>
      <c r="E122" s="8"/>
      <c r="F122" s="9"/>
      <c r="G122" s="10"/>
      <c r="H122" s="8"/>
      <c r="I122" s="8"/>
      <c r="J122" s="8"/>
      <c r="K122" s="8"/>
      <c r="L122" s="8"/>
      <c r="M122" s="8"/>
      <c r="N122" s="8"/>
      <c r="O122" s="8" t="str">
        <f aca="false">IF($A122="","",IFERROR(INDEX(Underlying!$B$1:$B$5000,MATCH($D122,Underlying!$A$1:$A$5000,0)),""))</f>
        <v/>
      </c>
      <c r="P122" s="11" t="str">
        <f aca="false">IF($A122="","",IFERROR($O122/$E122,""))</f>
        <v/>
      </c>
      <c r="Q122" s="7" t="str">
        <f aca="false">IF($A122="","",IF($P122="","",IF($C122="Call",IF($P122&gt;1+OPT_ATM_BAND,"ITM",IF($P122&lt;1-OPT_ATM_BAND,"OTM","ATM")),IF($P122&lt;1-OPT_ATM_BAND,"ITM",IF($P122&gt;1+OPT_ATM_BAND,"OTM","ATM")))))</f>
        <v/>
      </c>
      <c r="R122" s="8" t="str">
        <f aca="false">IF($A122="","",IFERROR(IF($C122="Call",MAX(0,$O122-$E122),MAX(0,$E122-$O122)),""))</f>
        <v/>
      </c>
      <c r="S122" s="8" t="str">
        <f aca="false">IF($A122="","",IFERROR(MAX(0,$I122-$R122),""))</f>
        <v/>
      </c>
      <c r="T122" s="11" t="str">
        <f aca="false">IF($A122="","",IFERROR($G122/365,""))</f>
        <v/>
      </c>
      <c r="U122" s="12" t="str">
        <f aca="false">IF($A122="","",IF(OR($P122="",ABS($P122-1)&gt;3*OPT_ATM_BAND),"",IFERROR($I122/$O122*SQRT(2*PI()/$T122),"")))</f>
        <v/>
      </c>
      <c r="V122" s="11" t="str">
        <f aca="false">IF($A122="","",IFERROR((LN($O122/$E122)+(OPT_RF+OPT_VOL^2/2)*$T122)/(OPT_VOL*SQRT($T122)),""))</f>
        <v/>
      </c>
      <c r="W122" s="11" t="str">
        <f aca="false">IF($A122="","",IFERROR($V122-OPT_VOL*SQRT($T122),""))</f>
        <v/>
      </c>
      <c r="X122" s="11" t="str">
        <f aca="false">IF($A122="","",IFERROR(IF($C122="Call",NORMSDIST($V122),NORMSDIST($V122)-1),""))</f>
        <v/>
      </c>
      <c r="Y122" s="8" t="str">
        <f aca="false">IF($A122="","",IFERROR(IF($C122="Call",$O122*NORMSDIST($V122)-$E122*EXP(-OPT_RF*$T122)*NORMSDIST($W122),$E122*EXP(-OPT_RF*$T122)*NORMSDIST(-$W122)-$O122*NORMSDIST(-$V122)),""))</f>
        <v/>
      </c>
      <c r="Z122" s="11" t="str">
        <f aca="false">IF($A122="","",IFERROR($I122/$Y122,""))</f>
        <v/>
      </c>
      <c r="AA122" s="13" t="str">
        <f aca="false">IF($A122="","",IFERROR($O122*ABS($X122)/$I122,""))</f>
        <v/>
      </c>
      <c r="AB122" s="13" t="str">
        <f aca="false">IF($A122="","",IFERROR(INDEX(Underlying!$D$1:$D$5000,MATCH($D122,Underlying!$A$1:$A$5000,0)),0))</f>
        <v/>
      </c>
      <c r="AC122" s="7" t="str">
        <f aca="false">IF($A122="","",IF(AND($J122&gt;=OPT_MIN_VOL,$G122&gt;=OPT_MIN_DTE),"بله","خیر"))</f>
        <v/>
      </c>
      <c r="AD122" s="13" t="str">
        <f aca="false">IF($A122="","",IF($AC122="خیر",0,IFERROR(MAX(-10,MIN(10,IF($C122="Call",$AB122,-$AB122)*0.6+IF($Z122&lt;0.85,2,IF($Z122&gt;1.25,-2,0))+IF($Q122="ATM",1,IF($Q122="ITM",0.5,-1))+IF($G122&gt;=30,0.5,-0.5))),0)))</f>
        <v/>
      </c>
      <c r="AE122" s="7" t="str">
        <f aca="false">IF($A122="","",IF($AC122="خیر","بدون سیگنال (نقدشوندگی/سررسید)",IF($AD122&gt;=TH_SBUY,"خرید قوی "&amp;$C122,IF($AD122&gt;=TH_BUY,"خرید "&amp;$C122,IF($AD122&lt;=TH_SSELL,"اجتناب / بستن موقعیت",IF($AD122&lt;=TH_SELL,"ضعیف","بی‌طرف"))))))</f>
        <v/>
      </c>
      <c r="AF122" s="14" t="str">
        <f aca="false">IF($A122="","","سهم پایه: "&amp;IFERROR(TEXT($AB122,"0.0"),"—")&amp;" | وضعیت: "&amp;$Q122&amp;" | نوسان ضمنی: "&amp;IFERROR(TEXT($U122,"0%"),"—")&amp;" | بازار÷نظری: "&amp;IFERROR(TEXT($Z122,"0.00"),"—")&amp;" | اهرم: "&amp;IFERROR(TEXT($AA122,"0.0"),"—")&amp;"x"&amp;" | "&amp;$G122&amp;" روز تا سررسید")</f>
        <v/>
      </c>
    </row>
    <row r="123" customFormat="false" ht="15" hidden="false" customHeight="false" outlineLevel="0" collapsed="false">
      <c r="A123" s="5"/>
      <c r="B123" s="6"/>
      <c r="C123" s="7"/>
      <c r="D123" s="7"/>
      <c r="E123" s="8"/>
      <c r="F123" s="9"/>
      <c r="G123" s="10"/>
      <c r="H123" s="8"/>
      <c r="I123" s="8"/>
      <c r="J123" s="8"/>
      <c r="K123" s="8"/>
      <c r="L123" s="8"/>
      <c r="M123" s="8"/>
      <c r="N123" s="8"/>
      <c r="O123" s="8" t="str">
        <f aca="false">IF($A123="","",IFERROR(INDEX(Underlying!$B$1:$B$5000,MATCH($D123,Underlying!$A$1:$A$5000,0)),""))</f>
        <v/>
      </c>
      <c r="P123" s="11" t="str">
        <f aca="false">IF($A123="","",IFERROR($O123/$E123,""))</f>
        <v/>
      </c>
      <c r="Q123" s="7" t="str">
        <f aca="false">IF($A123="","",IF($P123="","",IF($C123="Call",IF($P123&gt;1+OPT_ATM_BAND,"ITM",IF($P123&lt;1-OPT_ATM_BAND,"OTM","ATM")),IF($P123&lt;1-OPT_ATM_BAND,"ITM",IF($P123&gt;1+OPT_ATM_BAND,"OTM","ATM")))))</f>
        <v/>
      </c>
      <c r="R123" s="8" t="str">
        <f aca="false">IF($A123="","",IFERROR(IF($C123="Call",MAX(0,$O123-$E123),MAX(0,$E123-$O123)),""))</f>
        <v/>
      </c>
      <c r="S123" s="8" t="str">
        <f aca="false">IF($A123="","",IFERROR(MAX(0,$I123-$R123),""))</f>
        <v/>
      </c>
      <c r="T123" s="11" t="str">
        <f aca="false">IF($A123="","",IFERROR($G123/365,""))</f>
        <v/>
      </c>
      <c r="U123" s="12" t="str">
        <f aca="false">IF($A123="","",IF(OR($P123="",ABS($P123-1)&gt;3*OPT_ATM_BAND),"",IFERROR($I123/$O123*SQRT(2*PI()/$T123),"")))</f>
        <v/>
      </c>
      <c r="V123" s="11" t="str">
        <f aca="false">IF($A123="","",IFERROR((LN($O123/$E123)+(OPT_RF+OPT_VOL^2/2)*$T123)/(OPT_VOL*SQRT($T123)),""))</f>
        <v/>
      </c>
      <c r="W123" s="11" t="str">
        <f aca="false">IF($A123="","",IFERROR($V123-OPT_VOL*SQRT($T123),""))</f>
        <v/>
      </c>
      <c r="X123" s="11" t="str">
        <f aca="false">IF($A123="","",IFERROR(IF($C123="Call",NORMSDIST($V123),NORMSDIST($V123)-1),""))</f>
        <v/>
      </c>
      <c r="Y123" s="8" t="str">
        <f aca="false">IF($A123="","",IFERROR(IF($C123="Call",$O123*NORMSDIST($V123)-$E123*EXP(-OPT_RF*$T123)*NORMSDIST($W123),$E123*EXP(-OPT_RF*$T123)*NORMSDIST(-$W123)-$O123*NORMSDIST(-$V123)),""))</f>
        <v/>
      </c>
      <c r="Z123" s="11" t="str">
        <f aca="false">IF($A123="","",IFERROR($I123/$Y123,""))</f>
        <v/>
      </c>
      <c r="AA123" s="13" t="str">
        <f aca="false">IF($A123="","",IFERROR($O123*ABS($X123)/$I123,""))</f>
        <v/>
      </c>
      <c r="AB123" s="13" t="str">
        <f aca="false">IF($A123="","",IFERROR(INDEX(Underlying!$D$1:$D$5000,MATCH($D123,Underlying!$A$1:$A$5000,0)),0))</f>
        <v/>
      </c>
      <c r="AC123" s="7" t="str">
        <f aca="false">IF($A123="","",IF(AND($J123&gt;=OPT_MIN_VOL,$G123&gt;=OPT_MIN_DTE),"بله","خیر"))</f>
        <v/>
      </c>
      <c r="AD123" s="13" t="str">
        <f aca="false">IF($A123="","",IF($AC123="خیر",0,IFERROR(MAX(-10,MIN(10,IF($C123="Call",$AB123,-$AB123)*0.6+IF($Z123&lt;0.85,2,IF($Z123&gt;1.25,-2,0))+IF($Q123="ATM",1,IF($Q123="ITM",0.5,-1))+IF($G123&gt;=30,0.5,-0.5))),0)))</f>
        <v/>
      </c>
      <c r="AE123" s="7" t="str">
        <f aca="false">IF($A123="","",IF($AC123="خیر","بدون سیگنال (نقدشوندگی/سررسید)",IF($AD123&gt;=TH_SBUY,"خرید قوی "&amp;$C123,IF($AD123&gt;=TH_BUY,"خرید "&amp;$C123,IF($AD123&lt;=TH_SSELL,"اجتناب / بستن موقعیت",IF($AD123&lt;=TH_SELL,"ضعیف","بی‌طرف"))))))</f>
        <v/>
      </c>
      <c r="AF123" s="14" t="str">
        <f aca="false">IF($A123="","","سهم پایه: "&amp;IFERROR(TEXT($AB123,"0.0"),"—")&amp;" | وضعیت: "&amp;$Q123&amp;" | نوسان ضمنی: "&amp;IFERROR(TEXT($U123,"0%"),"—")&amp;" | بازار÷نظری: "&amp;IFERROR(TEXT($Z123,"0.00"),"—")&amp;" | اهرم: "&amp;IFERROR(TEXT($AA123,"0.0"),"—")&amp;"x"&amp;" | "&amp;$G123&amp;" روز تا سررسید")</f>
        <v/>
      </c>
    </row>
    <row r="124" customFormat="false" ht="15" hidden="false" customHeight="false" outlineLevel="0" collapsed="false">
      <c r="A124" s="5"/>
      <c r="B124" s="6"/>
      <c r="C124" s="7"/>
      <c r="D124" s="7"/>
      <c r="E124" s="8"/>
      <c r="F124" s="9"/>
      <c r="G124" s="10"/>
      <c r="H124" s="8"/>
      <c r="I124" s="8"/>
      <c r="J124" s="8"/>
      <c r="K124" s="8"/>
      <c r="L124" s="8"/>
      <c r="M124" s="8"/>
      <c r="N124" s="8"/>
      <c r="O124" s="8" t="str">
        <f aca="false">IF($A124="","",IFERROR(INDEX(Underlying!$B$1:$B$5000,MATCH($D124,Underlying!$A$1:$A$5000,0)),""))</f>
        <v/>
      </c>
      <c r="P124" s="11" t="str">
        <f aca="false">IF($A124="","",IFERROR($O124/$E124,""))</f>
        <v/>
      </c>
      <c r="Q124" s="7" t="str">
        <f aca="false">IF($A124="","",IF($P124="","",IF($C124="Call",IF($P124&gt;1+OPT_ATM_BAND,"ITM",IF($P124&lt;1-OPT_ATM_BAND,"OTM","ATM")),IF($P124&lt;1-OPT_ATM_BAND,"ITM",IF($P124&gt;1+OPT_ATM_BAND,"OTM","ATM")))))</f>
        <v/>
      </c>
      <c r="R124" s="8" t="str">
        <f aca="false">IF($A124="","",IFERROR(IF($C124="Call",MAX(0,$O124-$E124),MAX(0,$E124-$O124)),""))</f>
        <v/>
      </c>
      <c r="S124" s="8" t="str">
        <f aca="false">IF($A124="","",IFERROR(MAX(0,$I124-$R124),""))</f>
        <v/>
      </c>
      <c r="T124" s="11" t="str">
        <f aca="false">IF($A124="","",IFERROR($G124/365,""))</f>
        <v/>
      </c>
      <c r="U124" s="12" t="str">
        <f aca="false">IF($A124="","",IF(OR($P124="",ABS($P124-1)&gt;3*OPT_ATM_BAND),"",IFERROR($I124/$O124*SQRT(2*PI()/$T124),"")))</f>
        <v/>
      </c>
      <c r="V124" s="11" t="str">
        <f aca="false">IF($A124="","",IFERROR((LN($O124/$E124)+(OPT_RF+OPT_VOL^2/2)*$T124)/(OPT_VOL*SQRT($T124)),""))</f>
        <v/>
      </c>
      <c r="W124" s="11" t="str">
        <f aca="false">IF($A124="","",IFERROR($V124-OPT_VOL*SQRT($T124),""))</f>
        <v/>
      </c>
      <c r="X124" s="11" t="str">
        <f aca="false">IF($A124="","",IFERROR(IF($C124="Call",NORMSDIST($V124),NORMSDIST($V124)-1),""))</f>
        <v/>
      </c>
      <c r="Y124" s="8" t="str">
        <f aca="false">IF($A124="","",IFERROR(IF($C124="Call",$O124*NORMSDIST($V124)-$E124*EXP(-OPT_RF*$T124)*NORMSDIST($W124),$E124*EXP(-OPT_RF*$T124)*NORMSDIST(-$W124)-$O124*NORMSDIST(-$V124)),""))</f>
        <v/>
      </c>
      <c r="Z124" s="11" t="str">
        <f aca="false">IF($A124="","",IFERROR($I124/$Y124,""))</f>
        <v/>
      </c>
      <c r="AA124" s="13" t="str">
        <f aca="false">IF($A124="","",IFERROR($O124*ABS($X124)/$I124,""))</f>
        <v/>
      </c>
      <c r="AB124" s="13" t="str">
        <f aca="false">IF($A124="","",IFERROR(INDEX(Underlying!$D$1:$D$5000,MATCH($D124,Underlying!$A$1:$A$5000,0)),0))</f>
        <v/>
      </c>
      <c r="AC124" s="7" t="str">
        <f aca="false">IF($A124="","",IF(AND($J124&gt;=OPT_MIN_VOL,$G124&gt;=OPT_MIN_DTE),"بله","خیر"))</f>
        <v/>
      </c>
      <c r="AD124" s="13" t="str">
        <f aca="false">IF($A124="","",IF($AC124="خیر",0,IFERROR(MAX(-10,MIN(10,IF($C124="Call",$AB124,-$AB124)*0.6+IF($Z124&lt;0.85,2,IF($Z124&gt;1.25,-2,0))+IF($Q124="ATM",1,IF($Q124="ITM",0.5,-1))+IF($G124&gt;=30,0.5,-0.5))),0)))</f>
        <v/>
      </c>
      <c r="AE124" s="7" t="str">
        <f aca="false">IF($A124="","",IF($AC124="خیر","بدون سیگنال (نقدشوندگی/سررسید)",IF($AD124&gt;=TH_SBUY,"خرید قوی "&amp;$C124,IF($AD124&gt;=TH_BUY,"خرید "&amp;$C124,IF($AD124&lt;=TH_SSELL,"اجتناب / بستن موقعیت",IF($AD124&lt;=TH_SELL,"ضعیف","بی‌طرف"))))))</f>
        <v/>
      </c>
      <c r="AF124" s="14" t="str">
        <f aca="false">IF($A124="","","سهم پایه: "&amp;IFERROR(TEXT($AB124,"0.0"),"—")&amp;" | وضعیت: "&amp;$Q124&amp;" | نوسان ضمنی: "&amp;IFERROR(TEXT($U124,"0%"),"—")&amp;" | بازار÷نظری: "&amp;IFERROR(TEXT($Z124,"0.00"),"—")&amp;" | اهرم: "&amp;IFERROR(TEXT($AA124,"0.0"),"—")&amp;"x"&amp;" | "&amp;$G124&amp;" روز تا سررسید")</f>
        <v/>
      </c>
    </row>
    <row r="126" customFormat="false" ht="15" hidden="false" customHeight="true" outlineLevel="0" collapsed="false">
      <c r="A126" s="15" t="s">
        <v>77</v>
      </c>
      <c r="B126" s="15"/>
      <c r="C126" s="15"/>
      <c r="D126" s="15"/>
      <c r="E126" s="15"/>
      <c r="F126" s="15"/>
      <c r="G126" s="15"/>
      <c r="H126" s="15"/>
      <c r="I126" s="15"/>
      <c r="J126" s="15"/>
      <c r="K126" s="15"/>
      <c r="L126" s="15"/>
      <c r="M126" s="15"/>
      <c r="N126" s="15"/>
    </row>
    <row r="127" customFormat="false" ht="15" hidden="false" customHeight="true" outlineLevel="0" collapsed="false">
      <c r="A127" s="16" t="s">
        <v>78</v>
      </c>
      <c r="B127" s="16"/>
      <c r="C127" s="16"/>
      <c r="D127" s="16"/>
      <c r="E127" s="16"/>
      <c r="F127" s="16"/>
      <c r="G127" s="16"/>
      <c r="H127" s="16"/>
      <c r="I127" s="16"/>
      <c r="J127" s="16"/>
      <c r="K127" s="16"/>
      <c r="L127" s="16"/>
      <c r="M127" s="16"/>
      <c r="N127" s="16"/>
    </row>
    <row r="128" customFormat="false" ht="15" hidden="false" customHeight="true" outlineLevel="0" collapsed="false">
      <c r="A128" s="16" t="s">
        <v>79</v>
      </c>
      <c r="B128" s="16"/>
      <c r="C128" s="16"/>
      <c r="D128" s="16"/>
      <c r="E128" s="16"/>
      <c r="F128" s="16"/>
      <c r="G128" s="16"/>
      <c r="H128" s="16"/>
      <c r="I128" s="16"/>
      <c r="J128" s="16"/>
      <c r="K128" s="16"/>
      <c r="L128" s="16"/>
      <c r="M128" s="16"/>
      <c r="N128" s="16"/>
    </row>
    <row r="129" customFormat="false" ht="15" hidden="false" customHeight="true" outlineLevel="0" collapsed="false">
      <c r="A129" s="16" t="s">
        <v>80</v>
      </c>
      <c r="B129" s="16"/>
      <c r="C129" s="16"/>
      <c r="D129" s="16"/>
      <c r="E129" s="16"/>
      <c r="F129" s="16"/>
      <c r="G129" s="16"/>
      <c r="H129" s="16"/>
      <c r="I129" s="16"/>
      <c r="J129" s="16"/>
      <c r="K129" s="16"/>
      <c r="L129" s="16"/>
      <c r="M129" s="16"/>
      <c r="N129" s="16"/>
    </row>
    <row r="130" customFormat="false" ht="15" hidden="false" customHeight="true" outlineLevel="0" collapsed="false">
      <c r="A130" s="16" t="s">
        <v>81</v>
      </c>
      <c r="B130" s="16"/>
      <c r="C130" s="16"/>
      <c r="D130" s="16"/>
      <c r="E130" s="16"/>
      <c r="F130" s="16"/>
      <c r="G130" s="16"/>
      <c r="H130" s="16"/>
      <c r="I130" s="16"/>
      <c r="J130" s="16"/>
      <c r="K130" s="16"/>
      <c r="L130" s="16"/>
      <c r="M130" s="16"/>
      <c r="N130" s="16"/>
    </row>
  </sheetData>
  <autoFilter ref="A4:AF124"/>
  <mergeCells count="7">
    <mergeCell ref="A1:AF1"/>
    <mergeCell ref="A2:AF2"/>
    <mergeCell ref="A126:N126"/>
    <mergeCell ref="A127:N127"/>
    <mergeCell ref="A128:N128"/>
    <mergeCell ref="A129:N129"/>
    <mergeCell ref="A130:N130"/>
  </mergeCells>
  <conditionalFormatting sqref="AE5:AE124">
    <cfRule type="expression" priority="2" aboveAverage="0" equalAverage="0" bottom="0" percent="0" rank="0" text="" dxfId="12">
      <formula>ISNUMBER(SEARCH("خرید قوی",$AE5))</formula>
    </cfRule>
    <cfRule type="expression" priority="3" aboveAverage="0" equalAverage="0" bottom="0" percent="0" rank="0" text="" dxfId="13">
      <formula>AND(ISNUMBER(SEARCH("خرید",$AE5)),NOT(ISNUMBER(SEARCH("قوی",$AE5))))</formula>
    </cfRule>
    <cfRule type="expression" priority="4" aboveAverage="0" equalAverage="0" bottom="0" percent="0" rank="0" text="" dxfId="14">
      <formula>ISNUMBER(SEARCH("اجتناب",$AE5))</formula>
    </cfRule>
  </conditionalFormatting>
  <conditionalFormatting sqref="AD5:AD124">
    <cfRule type="colorScale" priority="5">
      <colorScale>
        <cfvo type="num" val="-10"/>
        <cfvo type="num" val="0"/>
        <cfvo type="num" val="10"/>
        <color rgb="FFC00000"/>
        <color rgb="FFFFFFFF"/>
        <color rgb="FF00B050"/>
      </colorScale>
    </cfRule>
  </conditionalFormatting>
  <conditionalFormatting sqref="AC5:AC124">
    <cfRule type="cellIs" priority="6" operator="equal" aboveAverage="0" equalAverage="0" bottom="0" percent="0" rank="0" text="" dxfId="15">
      <formula>"خیر"</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4" min="2" style="0" width="14"/>
    <col collapsed="false" customWidth="true" hidden="false" outlineLevel="0" max="5" min="5" style="0" width="16"/>
    <col collapsed="false" customWidth="true" hidden="false" outlineLevel="0" max="6" min="6" style="0" width="12"/>
    <col collapsed="false" customWidth="true" hidden="false" outlineLevel="0" max="7" min="7" style="0" width="16"/>
  </cols>
  <sheetData>
    <row r="1" customFormat="false" ht="27.75" hidden="false" customHeight="true" outlineLevel="0" collapsed="false">
      <c r="A1" s="1" t="s">
        <v>82</v>
      </c>
      <c r="B1" s="1"/>
      <c r="C1" s="1"/>
      <c r="D1" s="1"/>
      <c r="E1" s="1"/>
      <c r="F1" s="1"/>
      <c r="G1" s="1"/>
    </row>
    <row r="2" customFormat="false" ht="18" hidden="false" customHeight="true" outlineLevel="0" collapsed="false">
      <c r="A2" s="2" t="s">
        <v>83</v>
      </c>
      <c r="B2" s="2"/>
      <c r="C2" s="2"/>
      <c r="D2" s="2"/>
      <c r="E2" s="2"/>
      <c r="F2" s="2"/>
      <c r="G2" s="2"/>
    </row>
    <row r="3" customFormat="false" ht="30" hidden="false" customHeight="true" outlineLevel="0" collapsed="false">
      <c r="A3" s="3" t="s">
        <v>5</v>
      </c>
      <c r="B3" s="3" t="s">
        <v>9</v>
      </c>
      <c r="C3" s="3" t="s">
        <v>10</v>
      </c>
      <c r="D3" s="3" t="s">
        <v>84</v>
      </c>
      <c r="E3" s="3" t="s">
        <v>85</v>
      </c>
      <c r="F3" s="3" t="s">
        <v>86</v>
      </c>
      <c r="G3" s="3" t="s">
        <v>87</v>
      </c>
    </row>
    <row r="4" customFormat="false" ht="21.75" hidden="false" customHeight="true" outlineLevel="0" collapsed="false">
      <c r="A4" s="4" t="s">
        <v>88</v>
      </c>
      <c r="B4" s="4" t="s">
        <v>89</v>
      </c>
      <c r="C4" s="4" t="s">
        <v>90</v>
      </c>
      <c r="D4" s="4" t="s">
        <v>91</v>
      </c>
      <c r="E4" s="4" t="s">
        <v>92</v>
      </c>
      <c r="F4" s="4" t="s">
        <v>93</v>
      </c>
      <c r="G4" s="4" t="s">
        <v>36</v>
      </c>
    </row>
    <row r="5" customFormat="false" ht="15" hidden="false" customHeight="false" outlineLevel="0" collapsed="false">
      <c r="A5" s="17" t="s">
        <v>74</v>
      </c>
      <c r="B5" s="18"/>
      <c r="C5" s="18"/>
      <c r="D5" s="19"/>
      <c r="E5" s="17"/>
      <c r="F5" s="17"/>
      <c r="G5" s="20"/>
    </row>
    <row r="6" customFormat="false" ht="15" hidden="false" customHeight="false" outlineLevel="0" collapsed="false">
      <c r="A6" s="17" t="s">
        <v>59</v>
      </c>
      <c r="B6" s="18"/>
      <c r="C6" s="18"/>
      <c r="D6" s="19"/>
      <c r="E6" s="17"/>
      <c r="F6" s="17"/>
      <c r="G6" s="20"/>
    </row>
    <row r="7" customFormat="false" ht="15" hidden="false" customHeight="false" outlineLevel="0" collapsed="false">
      <c r="A7" s="17" t="s">
        <v>67</v>
      </c>
      <c r="B7" s="18"/>
      <c r="C7" s="18"/>
      <c r="D7" s="19"/>
      <c r="E7" s="17"/>
      <c r="F7" s="17"/>
      <c r="G7" s="20"/>
    </row>
    <row r="8" customFormat="false" ht="15" hidden="false" customHeight="false" outlineLevel="0" collapsed="false">
      <c r="A8" s="17"/>
      <c r="B8" s="18"/>
      <c r="C8" s="18"/>
      <c r="D8" s="19"/>
      <c r="E8" s="17"/>
      <c r="F8" s="17"/>
      <c r="G8" s="20"/>
    </row>
    <row r="9" customFormat="false" ht="15" hidden="false" customHeight="false" outlineLevel="0" collapsed="false">
      <c r="A9" s="17"/>
      <c r="B9" s="18"/>
      <c r="C9" s="18"/>
      <c r="D9" s="19"/>
      <c r="E9" s="17"/>
      <c r="F9" s="17"/>
      <c r="G9" s="20"/>
    </row>
    <row r="10" customFormat="false" ht="15" hidden="false" customHeight="false" outlineLevel="0" collapsed="false">
      <c r="A10" s="17"/>
      <c r="B10" s="18"/>
      <c r="C10" s="18"/>
      <c r="D10" s="19"/>
      <c r="E10" s="17"/>
      <c r="F10" s="17"/>
      <c r="G10" s="20"/>
    </row>
    <row r="11" customFormat="false" ht="15" hidden="false" customHeight="false" outlineLevel="0" collapsed="false">
      <c r="A11" s="17"/>
      <c r="B11" s="18"/>
      <c r="C11" s="18"/>
      <c r="D11" s="19"/>
      <c r="E11" s="17"/>
      <c r="F11" s="17"/>
      <c r="G11" s="20"/>
    </row>
    <row r="12" customFormat="false" ht="15" hidden="false" customHeight="false" outlineLevel="0" collapsed="false">
      <c r="A12" s="17"/>
      <c r="B12" s="18"/>
      <c r="C12" s="18"/>
      <c r="D12" s="19"/>
      <c r="E12" s="17"/>
      <c r="F12" s="17"/>
      <c r="G12" s="20"/>
    </row>
    <row r="13" customFormat="false" ht="15" hidden="false" customHeight="false" outlineLevel="0" collapsed="false">
      <c r="A13" s="17"/>
      <c r="B13" s="18"/>
      <c r="C13" s="18"/>
      <c r="D13" s="19"/>
      <c r="E13" s="17"/>
      <c r="F13" s="17"/>
      <c r="G13" s="20"/>
    </row>
    <row r="14" customFormat="false" ht="15" hidden="false" customHeight="false" outlineLevel="0" collapsed="false">
      <c r="A14" s="17"/>
      <c r="B14" s="18"/>
      <c r="C14" s="18"/>
      <c r="D14" s="19"/>
      <c r="E14" s="17"/>
      <c r="F14" s="17"/>
      <c r="G14" s="20"/>
    </row>
    <row r="15" customFormat="false" ht="15" hidden="false" customHeight="false" outlineLevel="0" collapsed="false">
      <c r="A15" s="17"/>
      <c r="B15" s="18"/>
      <c r="C15" s="18"/>
      <c r="D15" s="19"/>
      <c r="E15" s="17"/>
      <c r="F15" s="17"/>
      <c r="G15" s="20"/>
    </row>
    <row r="16" customFormat="false" ht="15" hidden="false" customHeight="false" outlineLevel="0" collapsed="false">
      <c r="A16" s="17"/>
      <c r="B16" s="18"/>
      <c r="C16" s="18"/>
      <c r="D16" s="19"/>
      <c r="E16" s="17"/>
      <c r="F16" s="17"/>
      <c r="G16" s="20"/>
    </row>
    <row r="17" customFormat="false" ht="15" hidden="false" customHeight="false" outlineLevel="0" collapsed="false">
      <c r="A17" s="17"/>
      <c r="B17" s="18"/>
      <c r="C17" s="18"/>
      <c r="D17" s="19"/>
      <c r="E17" s="17"/>
      <c r="F17" s="17"/>
      <c r="G17" s="20"/>
    </row>
    <row r="18" customFormat="false" ht="15" hidden="false" customHeight="false" outlineLevel="0" collapsed="false">
      <c r="A18" s="17"/>
      <c r="B18" s="18"/>
      <c r="C18" s="18"/>
      <c r="D18" s="19"/>
      <c r="E18" s="17"/>
      <c r="F18" s="17"/>
      <c r="G18" s="20"/>
    </row>
    <row r="19" customFormat="false" ht="15" hidden="false" customHeight="false" outlineLevel="0" collapsed="false">
      <c r="A19" s="17"/>
      <c r="B19" s="18"/>
      <c r="C19" s="18"/>
      <c r="D19" s="19"/>
      <c r="E19" s="17"/>
      <c r="F19" s="17"/>
      <c r="G19" s="20"/>
    </row>
    <row r="20" customFormat="false" ht="15" hidden="false" customHeight="false" outlineLevel="0" collapsed="false">
      <c r="A20" s="17"/>
      <c r="B20" s="18"/>
      <c r="C20" s="18"/>
      <c r="D20" s="19"/>
      <c r="E20" s="17"/>
      <c r="F20" s="17"/>
      <c r="G20" s="20"/>
    </row>
    <row r="21" customFormat="false" ht="15" hidden="false" customHeight="false" outlineLevel="0" collapsed="false">
      <c r="A21" s="17"/>
      <c r="B21" s="18"/>
      <c r="C21" s="18"/>
      <c r="D21" s="19"/>
      <c r="E21" s="17"/>
      <c r="F21" s="17"/>
      <c r="G21" s="20"/>
    </row>
    <row r="22" customFormat="false" ht="15" hidden="false" customHeight="false" outlineLevel="0" collapsed="false">
      <c r="A22" s="17"/>
      <c r="B22" s="18"/>
      <c r="C22" s="18"/>
      <c r="D22" s="19"/>
      <c r="E22" s="17"/>
      <c r="F22" s="17"/>
      <c r="G22" s="20"/>
    </row>
    <row r="23" customFormat="false" ht="15" hidden="false" customHeight="false" outlineLevel="0" collapsed="false">
      <c r="A23" s="17"/>
      <c r="B23" s="18"/>
      <c r="C23" s="18"/>
      <c r="D23" s="19"/>
      <c r="E23" s="17"/>
      <c r="F23" s="17"/>
      <c r="G23" s="20"/>
    </row>
    <row r="24" customFormat="false" ht="15" hidden="false" customHeight="false" outlineLevel="0" collapsed="false">
      <c r="A24" s="17"/>
      <c r="B24" s="18"/>
      <c r="C24" s="18"/>
      <c r="D24" s="19"/>
      <c r="E24" s="17"/>
      <c r="F24" s="17"/>
      <c r="G24" s="20"/>
    </row>
    <row r="25" customFormat="false" ht="15" hidden="false" customHeight="false" outlineLevel="0" collapsed="false">
      <c r="A25" s="17"/>
      <c r="B25" s="18"/>
      <c r="C25" s="18"/>
      <c r="D25" s="19"/>
      <c r="E25" s="17"/>
      <c r="F25" s="17"/>
      <c r="G25" s="20"/>
    </row>
    <row r="26" customFormat="false" ht="15" hidden="false" customHeight="false" outlineLevel="0" collapsed="false">
      <c r="A26" s="17"/>
      <c r="B26" s="18"/>
      <c r="C26" s="18"/>
      <c r="D26" s="19"/>
      <c r="E26" s="17"/>
      <c r="F26" s="17"/>
      <c r="G26" s="20"/>
    </row>
    <row r="27" customFormat="false" ht="15" hidden="false" customHeight="false" outlineLevel="0" collapsed="false">
      <c r="A27" s="17"/>
      <c r="B27" s="18"/>
      <c r="C27" s="18"/>
      <c r="D27" s="19"/>
      <c r="E27" s="17"/>
      <c r="F27" s="17"/>
      <c r="G27" s="20"/>
    </row>
    <row r="28" customFormat="false" ht="15" hidden="false" customHeight="false" outlineLevel="0" collapsed="false">
      <c r="A28" s="17"/>
      <c r="B28" s="18"/>
      <c r="C28" s="18"/>
      <c r="D28" s="19"/>
      <c r="E28" s="17"/>
      <c r="F28" s="17"/>
      <c r="G28" s="20"/>
    </row>
    <row r="29" customFormat="false" ht="15" hidden="false" customHeight="false" outlineLevel="0" collapsed="false">
      <c r="A29" s="17"/>
      <c r="B29" s="18"/>
      <c r="C29" s="18"/>
      <c r="D29" s="19"/>
      <c r="E29" s="17"/>
      <c r="F29" s="17"/>
      <c r="G29" s="20"/>
    </row>
    <row r="30" customFormat="false" ht="15" hidden="false" customHeight="false" outlineLevel="0" collapsed="false">
      <c r="A30" s="17"/>
      <c r="B30" s="18"/>
      <c r="C30" s="18"/>
      <c r="D30" s="19"/>
      <c r="E30" s="17"/>
      <c r="F30" s="17"/>
      <c r="G30" s="20"/>
    </row>
    <row r="31" customFormat="false" ht="15" hidden="false" customHeight="false" outlineLevel="0" collapsed="false">
      <c r="A31" s="17"/>
      <c r="B31" s="18"/>
      <c r="C31" s="18"/>
      <c r="D31" s="19"/>
      <c r="E31" s="17"/>
      <c r="F31" s="17"/>
      <c r="G31" s="20"/>
    </row>
    <row r="32" customFormat="false" ht="15" hidden="false" customHeight="false" outlineLevel="0" collapsed="false">
      <c r="A32" s="17"/>
      <c r="B32" s="18"/>
      <c r="C32" s="18"/>
      <c r="D32" s="19"/>
      <c r="E32" s="17"/>
      <c r="F32" s="17"/>
      <c r="G32" s="20"/>
    </row>
    <row r="33" customFormat="false" ht="15" hidden="false" customHeight="false" outlineLevel="0" collapsed="false">
      <c r="A33" s="17"/>
      <c r="B33" s="18"/>
      <c r="C33" s="18"/>
      <c r="D33" s="19"/>
      <c r="E33" s="17"/>
      <c r="F33" s="17"/>
      <c r="G33" s="20"/>
    </row>
    <row r="34" customFormat="false" ht="15" hidden="false" customHeight="false" outlineLevel="0" collapsed="false">
      <c r="A34" s="17"/>
      <c r="B34" s="18"/>
      <c r="C34" s="18"/>
      <c r="D34" s="19"/>
      <c r="E34" s="17"/>
      <c r="F34" s="17"/>
      <c r="G34" s="20"/>
    </row>
    <row r="35" customFormat="false" ht="15" hidden="false" customHeight="false" outlineLevel="0" collapsed="false">
      <c r="A35" s="17"/>
      <c r="B35" s="18"/>
      <c r="C35" s="18"/>
      <c r="D35" s="19"/>
      <c r="E35" s="17"/>
      <c r="F35" s="17"/>
      <c r="G35" s="20"/>
    </row>
    <row r="36" customFormat="false" ht="15" hidden="false" customHeight="false" outlineLevel="0" collapsed="false">
      <c r="A36" s="17"/>
      <c r="B36" s="18"/>
      <c r="C36" s="18"/>
      <c r="D36" s="19"/>
      <c r="E36" s="17"/>
      <c r="F36" s="17"/>
      <c r="G36" s="20"/>
    </row>
    <row r="37" customFormat="false" ht="15" hidden="false" customHeight="false" outlineLevel="0" collapsed="false">
      <c r="A37" s="17"/>
      <c r="B37" s="18"/>
      <c r="C37" s="18"/>
      <c r="D37" s="19"/>
      <c r="E37" s="17"/>
      <c r="F37" s="17"/>
      <c r="G37" s="20"/>
    </row>
    <row r="38" customFormat="false" ht="15" hidden="false" customHeight="false" outlineLevel="0" collapsed="false">
      <c r="A38" s="17"/>
      <c r="B38" s="18"/>
      <c r="C38" s="18"/>
      <c r="D38" s="19"/>
      <c r="E38" s="17"/>
      <c r="F38" s="17"/>
      <c r="G38" s="20"/>
    </row>
    <row r="39" customFormat="false" ht="15" hidden="false" customHeight="false" outlineLevel="0" collapsed="false">
      <c r="A39" s="17"/>
      <c r="B39" s="18"/>
      <c r="C39" s="18"/>
      <c r="D39" s="19"/>
      <c r="E39" s="17"/>
      <c r="F39" s="17"/>
      <c r="G39" s="20"/>
    </row>
    <row r="40" customFormat="false" ht="15" hidden="false" customHeight="false" outlineLevel="0" collapsed="false">
      <c r="A40" s="17"/>
      <c r="B40" s="18"/>
      <c r="C40" s="18"/>
      <c r="D40" s="19"/>
      <c r="E40" s="17"/>
      <c r="F40" s="17"/>
      <c r="G40" s="20"/>
    </row>
    <row r="41" customFormat="false" ht="15" hidden="false" customHeight="false" outlineLevel="0" collapsed="false">
      <c r="A41" s="17"/>
      <c r="B41" s="18"/>
      <c r="C41" s="18"/>
      <c r="D41" s="19"/>
      <c r="E41" s="17"/>
      <c r="F41" s="17"/>
      <c r="G41" s="20"/>
    </row>
    <row r="42" customFormat="false" ht="15" hidden="false" customHeight="false" outlineLevel="0" collapsed="false">
      <c r="A42" s="17"/>
      <c r="B42" s="18"/>
      <c r="C42" s="18"/>
      <c r="D42" s="19"/>
      <c r="E42" s="17"/>
      <c r="F42" s="17"/>
      <c r="G42" s="20"/>
    </row>
    <row r="43" customFormat="false" ht="15" hidden="false" customHeight="false" outlineLevel="0" collapsed="false">
      <c r="A43" s="17"/>
      <c r="B43" s="18"/>
      <c r="C43" s="18"/>
      <c r="D43" s="19"/>
      <c r="E43" s="17"/>
      <c r="F43" s="17"/>
      <c r="G43" s="20"/>
    </row>
    <row r="44" customFormat="false" ht="15" hidden="false" customHeight="false" outlineLevel="0" collapsed="false">
      <c r="A44" s="17"/>
      <c r="B44" s="18"/>
      <c r="C44" s="18"/>
      <c r="D44" s="19"/>
      <c r="E44" s="17"/>
      <c r="F44" s="17"/>
      <c r="G44" s="20"/>
    </row>
    <row r="46" customFormat="false" ht="15" hidden="false" customHeight="true" outlineLevel="0" collapsed="false">
      <c r="A46" s="21" t="s">
        <v>94</v>
      </c>
      <c r="B46" s="21"/>
      <c r="C46" s="21"/>
      <c r="D46" s="21"/>
      <c r="E46" s="21"/>
      <c r="F46" s="21"/>
      <c r="G46" s="21"/>
    </row>
  </sheetData>
  <mergeCells count="3">
    <mergeCell ref="A1:G1"/>
    <mergeCell ref="A2:G2"/>
    <mergeCell ref="A46:G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4"/>
    <col collapsed="false" customWidth="true" hidden="false" outlineLevel="0" max="4" min="4" style="0" width="46"/>
    <col collapsed="false" customWidth="true" hidden="false" outlineLevel="0" max="5" min="5" style="0" width="3"/>
  </cols>
  <sheetData>
    <row r="1" customFormat="false" ht="27.75" hidden="false" customHeight="true" outlineLevel="0" collapsed="false">
      <c r="A1" s="1" t="s">
        <v>95</v>
      </c>
      <c r="B1" s="1"/>
      <c r="C1" s="1"/>
      <c r="D1" s="1"/>
      <c r="E1" s="1"/>
    </row>
    <row r="2" customFormat="false" ht="18" hidden="false" customHeight="true" outlineLevel="0" collapsed="false">
      <c r="A2" s="2" t="s">
        <v>96</v>
      </c>
      <c r="B2" s="2"/>
      <c r="C2" s="2"/>
      <c r="D2" s="2"/>
      <c r="E2" s="2"/>
    </row>
    <row r="4" customFormat="false" ht="19.5" hidden="false" customHeight="true" outlineLevel="0" collapsed="false">
      <c r="B4" s="22" t="s">
        <v>97</v>
      </c>
      <c r="C4" s="22"/>
      <c r="D4" s="22"/>
    </row>
    <row r="5" customFormat="false" ht="15" hidden="false" customHeight="false" outlineLevel="0" collapsed="false">
      <c r="B5" s="23" t="s">
        <v>98</v>
      </c>
      <c r="C5" s="24" t="n">
        <v>5</v>
      </c>
      <c r="D5" s="25"/>
    </row>
    <row r="6" customFormat="false" ht="15" hidden="false" customHeight="false" outlineLevel="0" collapsed="false">
      <c r="B6" s="23" t="s">
        <v>99</v>
      </c>
      <c r="C6" s="24" t="n">
        <v>2</v>
      </c>
      <c r="D6" s="25"/>
    </row>
    <row r="7" customFormat="false" ht="15" hidden="false" customHeight="false" outlineLevel="0" collapsed="false">
      <c r="B7" s="23" t="s">
        <v>100</v>
      </c>
      <c r="C7" s="24" t="n">
        <v>-2</v>
      </c>
      <c r="D7" s="25"/>
    </row>
    <row r="8" customFormat="false" ht="15" hidden="false" customHeight="false" outlineLevel="0" collapsed="false">
      <c r="B8" s="23" t="s">
        <v>101</v>
      </c>
      <c r="C8" s="24" t="n">
        <v>-5</v>
      </c>
      <c r="D8" s="25"/>
    </row>
    <row r="10" customFormat="false" ht="19.5" hidden="false" customHeight="true" outlineLevel="0" collapsed="false">
      <c r="B10" s="22" t="s">
        <v>102</v>
      </c>
      <c r="C10" s="22"/>
      <c r="D10" s="22"/>
    </row>
    <row r="11" customFormat="false" ht="15" hidden="false" customHeight="false" outlineLevel="0" collapsed="false">
      <c r="B11" s="23" t="s">
        <v>103</v>
      </c>
      <c r="C11" s="26" t="n">
        <v>0.3</v>
      </c>
      <c r="D11" s="25" t="s">
        <v>104</v>
      </c>
    </row>
    <row r="12" customFormat="false" ht="15" hidden="false" customHeight="false" outlineLevel="0" collapsed="false">
      <c r="B12" s="23" t="s">
        <v>105</v>
      </c>
      <c r="C12" s="26" t="n">
        <v>0.55</v>
      </c>
      <c r="D12" s="25" t="s">
        <v>106</v>
      </c>
    </row>
    <row r="13" customFormat="false" ht="15" hidden="false" customHeight="false" outlineLevel="0" collapsed="false">
      <c r="B13" s="23" t="s">
        <v>107</v>
      </c>
      <c r="C13" s="27" t="n">
        <v>7</v>
      </c>
      <c r="D13" s="25" t="s">
        <v>108</v>
      </c>
    </row>
    <row r="14" customFormat="false" ht="15" hidden="false" customHeight="false" outlineLevel="0" collapsed="false">
      <c r="B14" s="23" t="s">
        <v>109</v>
      </c>
      <c r="C14" s="27" t="n">
        <v>100</v>
      </c>
      <c r="D14" s="25" t="s">
        <v>110</v>
      </c>
    </row>
    <row r="15" customFormat="false" ht="15" hidden="false" customHeight="false" outlineLevel="0" collapsed="false">
      <c r="B15" s="23" t="s">
        <v>111</v>
      </c>
      <c r="C15" s="26" t="n">
        <v>0.03</v>
      </c>
      <c r="D15" s="25"/>
    </row>
    <row r="16" customFormat="false" ht="15" hidden="false" customHeight="false" outlineLevel="0" collapsed="false">
      <c r="B16" s="23" t="s">
        <v>112</v>
      </c>
      <c r="C16" s="27" t="n">
        <v>245</v>
      </c>
      <c r="D16" s="25"/>
    </row>
    <row r="18" customFormat="false" ht="19.5" hidden="false" customHeight="true" outlineLevel="0" collapsed="false">
      <c r="B18" s="22" t="s">
        <v>113</v>
      </c>
      <c r="C18" s="22"/>
      <c r="D18" s="22"/>
    </row>
    <row r="19" customFormat="false" ht="15" hidden="false" customHeight="false" outlineLevel="0" collapsed="false">
      <c r="B19" s="23" t="s">
        <v>114</v>
      </c>
      <c r="C19" s="27" t="n">
        <v>20</v>
      </c>
      <c r="D19" s="25" t="s">
        <v>115</v>
      </c>
    </row>
    <row r="20" customFormat="false" ht="15" hidden="false" customHeight="false" outlineLevel="0" collapsed="false">
      <c r="B20" s="23" t="s">
        <v>116</v>
      </c>
      <c r="C20" s="27" t="n">
        <v>60</v>
      </c>
      <c r="D20" s="25" t="s">
        <v>117</v>
      </c>
    </row>
    <row r="21" customFormat="false" ht="15" hidden="false" customHeight="false" outlineLevel="0" collapsed="false">
      <c r="B21" s="23" t="s">
        <v>118</v>
      </c>
      <c r="C21" s="26" t="n">
        <v>0.07</v>
      </c>
      <c r="D21" s="25" t="s">
        <v>119</v>
      </c>
    </row>
    <row r="22" customFormat="false" ht="15" hidden="false" customHeight="false" outlineLevel="0" collapsed="false">
      <c r="B22" s="23" t="s">
        <v>120</v>
      </c>
      <c r="C22" s="27" t="n">
        <v>50</v>
      </c>
      <c r="D22" s="25" t="s">
        <v>121</v>
      </c>
    </row>
    <row r="24" customFormat="false" ht="15" hidden="false" customHeight="true" outlineLevel="0" collapsed="false">
      <c r="B24" s="21" t="s">
        <v>122</v>
      </c>
      <c r="C24" s="21"/>
      <c r="D24" s="21"/>
    </row>
  </sheetData>
  <mergeCells count="3">
    <mergeCell ref="A1:E1"/>
    <mergeCell ref="A2:E2"/>
    <mergeCell ref="B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8"/>
    <col collapsed="false" customWidth="true" hidden="false" outlineLevel="0" max="3" min="3" style="0" width="26"/>
    <col collapsed="false" customWidth="true" hidden="false" outlineLevel="0" max="4" min="4" style="0" width="22"/>
    <col collapsed="false" customWidth="true" hidden="false" outlineLevel="0" max="5" min="5" style="0" width="62"/>
    <col collapsed="false" customWidth="true" hidden="false" outlineLevel="0" max="6" min="6" style="0" width="52"/>
    <col collapsed="false" customWidth="true" hidden="false" outlineLevel="0" max="7" min="7" style="0" width="16"/>
  </cols>
  <sheetData>
    <row r="1" customFormat="false" ht="27.75" hidden="false" customHeight="true" outlineLevel="0" collapsed="false">
      <c r="A1" s="1" t="s">
        <v>123</v>
      </c>
      <c r="B1" s="1"/>
      <c r="C1" s="1"/>
      <c r="D1" s="1"/>
      <c r="E1" s="1"/>
      <c r="F1" s="1"/>
      <c r="G1" s="1"/>
    </row>
    <row r="2" customFormat="false" ht="18" hidden="false" customHeight="true" outlineLevel="0" collapsed="false">
      <c r="A2" s="2" t="s">
        <v>124</v>
      </c>
      <c r="B2" s="2"/>
      <c r="C2" s="2"/>
      <c r="D2" s="2"/>
      <c r="E2" s="2"/>
      <c r="F2" s="2"/>
      <c r="G2" s="2"/>
    </row>
    <row r="3" customFormat="false" ht="15" hidden="false" customHeight="false" outlineLevel="0" collapsed="false">
      <c r="A3" s="28" t="s">
        <v>125</v>
      </c>
      <c r="B3" s="28" t="s">
        <v>126</v>
      </c>
      <c r="C3" s="28" t="s">
        <v>127</v>
      </c>
      <c r="D3" s="28" t="s">
        <v>128</v>
      </c>
      <c r="E3" s="28" t="s">
        <v>129</v>
      </c>
      <c r="F3" s="28" t="s">
        <v>130</v>
      </c>
      <c r="G3" s="28" t="s">
        <v>131</v>
      </c>
    </row>
    <row r="4" customFormat="false" ht="15" hidden="false" customHeight="false" outlineLevel="0" collapsed="false">
      <c r="A4" s="29" t="s">
        <v>132</v>
      </c>
      <c r="B4" s="29" t="s">
        <v>133</v>
      </c>
      <c r="C4" s="30" t="s">
        <v>2</v>
      </c>
      <c r="D4" s="29" t="s">
        <v>34</v>
      </c>
      <c r="E4" s="31" t="s">
        <v>134</v>
      </c>
      <c r="F4" s="31" t="s">
        <v>135</v>
      </c>
      <c r="G4" s="29" t="s">
        <v>136</v>
      </c>
    </row>
    <row r="5" customFormat="false" ht="15" hidden="false" customHeight="false" outlineLevel="0" collapsed="false">
      <c r="A5" s="29" t="s">
        <v>132</v>
      </c>
      <c r="B5" s="29" t="s">
        <v>137</v>
      </c>
      <c r="C5" s="30" t="s">
        <v>3</v>
      </c>
      <c r="D5" s="29" t="s">
        <v>35</v>
      </c>
      <c r="E5" s="31" t="s">
        <v>134</v>
      </c>
      <c r="F5" s="31" t="s">
        <v>138</v>
      </c>
      <c r="G5" s="29" t="s">
        <v>136</v>
      </c>
    </row>
    <row r="6" customFormat="false" ht="15" hidden="false" customHeight="false" outlineLevel="0" collapsed="false">
      <c r="A6" s="29" t="s">
        <v>132</v>
      </c>
      <c r="B6" s="29" t="s">
        <v>139</v>
      </c>
      <c r="C6" s="30" t="s">
        <v>6</v>
      </c>
      <c r="D6" s="29" t="s">
        <v>37</v>
      </c>
      <c r="E6" s="31" t="s">
        <v>134</v>
      </c>
      <c r="F6" s="31" t="s">
        <v>6</v>
      </c>
      <c r="G6" s="29" t="s">
        <v>136</v>
      </c>
    </row>
    <row r="7" customFormat="false" ht="15" hidden="false" customHeight="false" outlineLevel="0" collapsed="false">
      <c r="A7" s="29" t="s">
        <v>132</v>
      </c>
      <c r="B7" s="29" t="s">
        <v>140</v>
      </c>
      <c r="C7" s="30" t="s">
        <v>7</v>
      </c>
      <c r="D7" s="29" t="s">
        <v>38</v>
      </c>
      <c r="E7" s="31" t="s">
        <v>134</v>
      </c>
      <c r="F7" s="31" t="s">
        <v>7</v>
      </c>
      <c r="G7" s="29" t="s">
        <v>136</v>
      </c>
    </row>
    <row r="8" customFormat="false" ht="15" hidden="false" customHeight="false" outlineLevel="0" collapsed="false">
      <c r="A8" s="29" t="s">
        <v>132</v>
      </c>
      <c r="B8" s="29" t="s">
        <v>141</v>
      </c>
      <c r="C8" s="30" t="s">
        <v>8</v>
      </c>
      <c r="D8" s="29" t="s">
        <v>39</v>
      </c>
      <c r="E8" s="31" t="s">
        <v>134</v>
      </c>
      <c r="F8" s="31" t="s">
        <v>142</v>
      </c>
      <c r="G8" s="29" t="s">
        <v>136</v>
      </c>
    </row>
    <row r="9" customFormat="false" ht="15" hidden="false" customHeight="false" outlineLevel="0" collapsed="false">
      <c r="A9" s="29" t="s">
        <v>132</v>
      </c>
      <c r="B9" s="29" t="s">
        <v>143</v>
      </c>
      <c r="C9" s="30" t="s">
        <v>9</v>
      </c>
      <c r="D9" s="29" t="s">
        <v>40</v>
      </c>
      <c r="E9" s="31" t="s">
        <v>134</v>
      </c>
      <c r="F9" s="31" t="s">
        <v>144</v>
      </c>
      <c r="G9" s="29" t="s">
        <v>136</v>
      </c>
    </row>
    <row r="10" customFormat="false" ht="15" hidden="false" customHeight="false" outlineLevel="0" collapsed="false">
      <c r="A10" s="29" t="s">
        <v>132</v>
      </c>
      <c r="B10" s="29" t="s">
        <v>145</v>
      </c>
      <c r="C10" s="30" t="s">
        <v>10</v>
      </c>
      <c r="D10" s="29" t="s">
        <v>41</v>
      </c>
      <c r="E10" s="31" t="s">
        <v>134</v>
      </c>
      <c r="F10" s="31" t="s">
        <v>146</v>
      </c>
      <c r="G10" s="29" t="s">
        <v>136</v>
      </c>
    </row>
    <row r="11" customFormat="false" ht="15" hidden="false" customHeight="false" outlineLevel="0" collapsed="false">
      <c r="A11" s="29" t="s">
        <v>132</v>
      </c>
      <c r="B11" s="29" t="s">
        <v>147</v>
      </c>
      <c r="C11" s="30" t="s">
        <v>11</v>
      </c>
      <c r="D11" s="29" t="s">
        <v>42</v>
      </c>
      <c r="E11" s="31" t="s">
        <v>134</v>
      </c>
      <c r="F11" s="31" t="s">
        <v>148</v>
      </c>
      <c r="G11" s="29" t="s">
        <v>136</v>
      </c>
    </row>
    <row r="12" customFormat="false" ht="15" hidden="false" customHeight="false" outlineLevel="0" collapsed="false">
      <c r="A12" s="29" t="s">
        <v>132</v>
      </c>
      <c r="B12" s="29" t="s">
        <v>149</v>
      </c>
      <c r="C12" s="30" t="s">
        <v>12</v>
      </c>
      <c r="D12" s="29" t="s">
        <v>43</v>
      </c>
      <c r="E12" s="31" t="s">
        <v>134</v>
      </c>
      <c r="F12" s="31" t="s">
        <v>150</v>
      </c>
      <c r="G12" s="29" t="s">
        <v>136</v>
      </c>
    </row>
    <row r="13" customFormat="false" ht="15" hidden="false" customHeight="false" outlineLevel="0" collapsed="false">
      <c r="A13" s="29" t="s">
        <v>132</v>
      </c>
      <c r="B13" s="29" t="s">
        <v>151</v>
      </c>
      <c r="C13" s="30" t="s">
        <v>13</v>
      </c>
      <c r="D13" s="29" t="s">
        <v>44</v>
      </c>
      <c r="E13" s="31" t="s">
        <v>134</v>
      </c>
      <c r="F13" s="31" t="s">
        <v>152</v>
      </c>
      <c r="G13" s="29" t="s">
        <v>136</v>
      </c>
    </row>
    <row r="14" customFormat="false" ht="15" hidden="false" customHeight="false" outlineLevel="0" collapsed="false">
      <c r="A14" s="32" t="s">
        <v>132</v>
      </c>
      <c r="B14" s="32" t="s">
        <v>153</v>
      </c>
      <c r="C14" s="33" t="s">
        <v>14</v>
      </c>
      <c r="D14" s="32" t="s">
        <v>45</v>
      </c>
      <c r="E14" s="34" t="s">
        <v>134</v>
      </c>
      <c r="F14" s="34" t="s">
        <v>154</v>
      </c>
      <c r="G14" s="32" t="s">
        <v>155</v>
      </c>
    </row>
    <row r="15" customFormat="false" ht="15" hidden="false" customHeight="false" outlineLevel="0" collapsed="false">
      <c r="A15" s="29" t="s">
        <v>132</v>
      </c>
      <c r="B15" s="29" t="s">
        <v>156</v>
      </c>
      <c r="C15" s="30" t="s">
        <v>15</v>
      </c>
      <c r="D15" s="29" t="s">
        <v>46</v>
      </c>
      <c r="E15" s="31" t="s">
        <v>157</v>
      </c>
      <c r="F15" s="31" t="s">
        <v>158</v>
      </c>
      <c r="G15" s="29" t="s">
        <v>136</v>
      </c>
    </row>
    <row r="16" customFormat="false" ht="15" hidden="false" customHeight="false" outlineLevel="0" collapsed="false">
      <c r="A16" s="29" t="s">
        <v>132</v>
      </c>
      <c r="B16" s="29" t="s">
        <v>159</v>
      </c>
      <c r="C16" s="30" t="s">
        <v>16</v>
      </c>
      <c r="D16" s="29" t="s">
        <v>47</v>
      </c>
      <c r="E16" s="31" t="s">
        <v>160</v>
      </c>
      <c r="F16" s="31" t="s">
        <v>160</v>
      </c>
      <c r="G16" s="29" t="s">
        <v>161</v>
      </c>
    </row>
    <row r="17" customFormat="false" ht="15" hidden="false" customHeight="false" outlineLevel="0" collapsed="false">
      <c r="A17" s="29" t="s">
        <v>132</v>
      </c>
      <c r="B17" s="29" t="s">
        <v>162</v>
      </c>
      <c r="C17" s="30" t="s">
        <v>18</v>
      </c>
      <c r="D17" s="29" t="s">
        <v>48</v>
      </c>
      <c r="E17" s="31" t="s">
        <v>160</v>
      </c>
      <c r="F17" s="31" t="s">
        <v>160</v>
      </c>
      <c r="G17" s="29" t="s">
        <v>161</v>
      </c>
    </row>
    <row r="18" customFormat="false" ht="15" hidden="false" customHeight="false" outlineLevel="0" collapsed="false">
      <c r="A18" s="29" t="s">
        <v>132</v>
      </c>
      <c r="B18" s="29" t="s">
        <v>163</v>
      </c>
      <c r="C18" s="30" t="s">
        <v>22</v>
      </c>
      <c r="D18" s="29" t="s">
        <v>49</v>
      </c>
      <c r="E18" s="31" t="s">
        <v>160</v>
      </c>
      <c r="F18" s="31" t="s">
        <v>160</v>
      </c>
      <c r="G18" s="29" t="s">
        <v>161</v>
      </c>
    </row>
    <row r="19" customFormat="false" ht="15" hidden="false" customHeight="false" outlineLevel="0" collapsed="false">
      <c r="A19" s="29" t="s">
        <v>132</v>
      </c>
      <c r="B19" s="29" t="s">
        <v>164</v>
      </c>
      <c r="C19" s="30" t="s">
        <v>23</v>
      </c>
      <c r="D19" s="29" t="s">
        <v>50</v>
      </c>
      <c r="E19" s="31" t="s">
        <v>160</v>
      </c>
      <c r="F19" s="31" t="s">
        <v>160</v>
      </c>
      <c r="G19" s="29" t="s">
        <v>161</v>
      </c>
    </row>
    <row r="20" customFormat="false" ht="15" hidden="false" customHeight="false" outlineLevel="0" collapsed="false">
      <c r="A20" s="29" t="s">
        <v>132</v>
      </c>
      <c r="B20" s="29" t="s">
        <v>165</v>
      </c>
      <c r="C20" s="30" t="s">
        <v>24</v>
      </c>
      <c r="D20" s="29" t="s">
        <v>50</v>
      </c>
      <c r="E20" s="31" t="s">
        <v>160</v>
      </c>
      <c r="F20" s="31" t="s">
        <v>160</v>
      </c>
      <c r="G20" s="29" t="s">
        <v>161</v>
      </c>
    </row>
    <row r="21" customFormat="false" ht="15" hidden="false" customHeight="false" outlineLevel="0" collapsed="false">
      <c r="A21" s="29" t="s">
        <v>132</v>
      </c>
      <c r="B21" s="29" t="s">
        <v>166</v>
      </c>
      <c r="C21" s="30" t="s">
        <v>25</v>
      </c>
      <c r="D21" s="29" t="s">
        <v>51</v>
      </c>
      <c r="E21" s="31" t="s">
        <v>160</v>
      </c>
      <c r="F21" s="31" t="s">
        <v>160</v>
      </c>
      <c r="G21" s="29" t="s">
        <v>161</v>
      </c>
    </row>
    <row r="22" customFormat="false" ht="15" hidden="false" customHeight="false" outlineLevel="0" collapsed="false">
      <c r="A22" s="29" t="s">
        <v>132</v>
      </c>
      <c r="B22" s="29" t="s">
        <v>167</v>
      </c>
      <c r="C22" s="30" t="s">
        <v>26</v>
      </c>
      <c r="D22" s="29" t="s">
        <v>50</v>
      </c>
      <c r="E22" s="31" t="s">
        <v>160</v>
      </c>
      <c r="F22" s="31" t="s">
        <v>160</v>
      </c>
      <c r="G22" s="29" t="s">
        <v>161</v>
      </c>
    </row>
    <row r="23" customFormat="false" ht="15" hidden="false" customHeight="false" outlineLevel="0" collapsed="false">
      <c r="A23" s="29" t="s">
        <v>132</v>
      </c>
      <c r="B23" s="29" t="s">
        <v>168</v>
      </c>
      <c r="C23" s="30" t="s">
        <v>27</v>
      </c>
      <c r="D23" s="29" t="s">
        <v>52</v>
      </c>
      <c r="E23" s="31" t="s">
        <v>160</v>
      </c>
      <c r="F23" s="31" t="s">
        <v>160</v>
      </c>
      <c r="G23" s="29" t="s">
        <v>161</v>
      </c>
    </row>
    <row r="24" customFormat="false" ht="15" hidden="false" customHeight="false" outlineLevel="0" collapsed="false">
      <c r="A24" s="29" t="s">
        <v>132</v>
      </c>
      <c r="B24" s="29" t="s">
        <v>169</v>
      </c>
      <c r="C24" s="30" t="s">
        <v>28</v>
      </c>
      <c r="D24" s="29" t="s">
        <v>53</v>
      </c>
      <c r="E24" s="31" t="s">
        <v>160</v>
      </c>
      <c r="F24" s="31" t="s">
        <v>160</v>
      </c>
      <c r="G24" s="29" t="s">
        <v>161</v>
      </c>
    </row>
    <row r="25" customFormat="false" ht="15" hidden="false" customHeight="false" outlineLevel="0" collapsed="false">
      <c r="A25" s="29" t="s">
        <v>132</v>
      </c>
      <c r="B25" s="29" t="s">
        <v>170</v>
      </c>
      <c r="C25" s="30" t="s">
        <v>29</v>
      </c>
      <c r="D25" s="29" t="s">
        <v>47</v>
      </c>
      <c r="E25" s="31" t="s">
        <v>160</v>
      </c>
      <c r="F25" s="31" t="s">
        <v>160</v>
      </c>
      <c r="G25" s="29" t="s">
        <v>161</v>
      </c>
    </row>
    <row r="26" customFormat="false" ht="15" hidden="false" customHeight="false" outlineLevel="0" collapsed="false">
      <c r="A26" s="29" t="s">
        <v>132</v>
      </c>
      <c r="B26" s="29" t="s">
        <v>171</v>
      </c>
      <c r="C26" s="30" t="s">
        <v>30</v>
      </c>
      <c r="D26" s="29" t="s">
        <v>54</v>
      </c>
      <c r="E26" s="31" t="s">
        <v>160</v>
      </c>
      <c r="F26" s="31" t="s">
        <v>160</v>
      </c>
      <c r="G26" s="29" t="s">
        <v>161</v>
      </c>
    </row>
    <row r="27" customFormat="false" ht="15" hidden="false" customHeight="false" outlineLevel="0" collapsed="false">
      <c r="A27" s="29" t="s">
        <v>132</v>
      </c>
      <c r="B27" s="29" t="s">
        <v>172</v>
      </c>
      <c r="C27" s="30" t="s">
        <v>31</v>
      </c>
      <c r="D27" s="29" t="s">
        <v>55</v>
      </c>
      <c r="E27" s="31" t="s">
        <v>160</v>
      </c>
      <c r="F27" s="31" t="s">
        <v>160</v>
      </c>
      <c r="G27" s="29" t="s">
        <v>161</v>
      </c>
    </row>
    <row r="29" customFormat="false" ht="15" hidden="false" customHeight="true" outlineLevel="0" collapsed="false">
      <c r="A29" s="35" t="s">
        <v>173</v>
      </c>
      <c r="B29" s="35"/>
      <c r="C29" s="35"/>
      <c r="D29" s="35"/>
      <c r="E29" s="35"/>
      <c r="F29" s="35"/>
      <c r="G29" s="35"/>
    </row>
    <row r="30" customFormat="false" ht="15" hidden="false" customHeight="true" outlineLevel="0" collapsed="false">
      <c r="A30" s="36" t="s">
        <v>174</v>
      </c>
      <c r="B30" s="36"/>
      <c r="C30" s="36"/>
      <c r="D30" s="36"/>
      <c r="E30" s="36"/>
      <c r="F30" s="36"/>
      <c r="G30" s="36"/>
    </row>
    <row r="31" customFormat="false" ht="15" hidden="false" customHeight="true" outlineLevel="0" collapsed="false">
      <c r="A31" s="36" t="s">
        <v>175</v>
      </c>
      <c r="B31" s="36"/>
      <c r="C31" s="36"/>
      <c r="D31" s="36"/>
      <c r="E31" s="36"/>
      <c r="F31" s="36"/>
      <c r="G31" s="36"/>
    </row>
    <row r="32" customFormat="false" ht="15" hidden="false" customHeight="true" outlineLevel="0" collapsed="false">
      <c r="A32" s="36" t="s">
        <v>176</v>
      </c>
      <c r="B32" s="36"/>
      <c r="C32" s="36"/>
      <c r="D32" s="36"/>
      <c r="E32" s="36"/>
      <c r="F32" s="36"/>
      <c r="G32" s="36"/>
    </row>
  </sheetData>
  <mergeCells count="6">
    <mergeCell ref="A1:G1"/>
    <mergeCell ref="A2:G2"/>
    <mergeCell ref="A29:G29"/>
    <mergeCell ref="A30:G30"/>
    <mergeCell ref="A31:G31"/>
    <mergeCell ref="A32:G32"/>
  </mergeCells>
  <conditionalFormatting sqref="A4:G27">
    <cfRule type="expression" priority="2" aboveAverage="0" equalAverage="0" bottom="0" percent="0" rank="0" text="" dxfId="19">
      <formula>$G4="نیازمند تأیید"</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78"/>
    <col collapsed="false" customWidth="true" hidden="false" outlineLevel="0" max="8" min="3" style="0" width="3"/>
  </cols>
  <sheetData>
    <row r="1" customFormat="false" ht="30" hidden="false" customHeight="true" outlineLevel="0" collapsed="false">
      <c r="A1" s="1" t="s">
        <v>177</v>
      </c>
      <c r="B1" s="1"/>
    </row>
    <row r="2" customFormat="false" ht="30" hidden="false" customHeight="true" outlineLevel="0" collapsed="false">
      <c r="A2" s="37" t="s">
        <v>178</v>
      </c>
      <c r="B2" s="37"/>
    </row>
    <row r="3" customFormat="false" ht="33.75" hidden="false" customHeight="true" outlineLevel="0" collapsed="false">
      <c r="A3" s="38" t="s">
        <v>179</v>
      </c>
      <c r="B3" s="38"/>
    </row>
    <row r="4" customFormat="false" ht="24" hidden="false" customHeight="true" outlineLevel="0" collapsed="false">
      <c r="A4" s="39" t="s">
        <v>180</v>
      </c>
      <c r="B4" s="39"/>
    </row>
    <row r="5" customFormat="false" ht="30" hidden="false" customHeight="true" outlineLevel="0" collapsed="false">
      <c r="A5" s="37" t="s">
        <v>181</v>
      </c>
      <c r="B5" s="37"/>
    </row>
    <row r="6" customFormat="false" ht="18" hidden="false" customHeight="true" outlineLevel="0" collapsed="false">
      <c r="A6" s="40" t="s">
        <v>182</v>
      </c>
      <c r="B6" s="40"/>
    </row>
    <row r="7" customFormat="false" ht="18" hidden="false" customHeight="true" outlineLevel="0" collapsed="false">
      <c r="A7" s="40" t="s">
        <v>183</v>
      </c>
      <c r="B7" s="40"/>
    </row>
    <row r="8" customFormat="false" ht="18" hidden="false" customHeight="true" outlineLevel="0" collapsed="false">
      <c r="A8" s="40" t="s">
        <v>184</v>
      </c>
      <c r="B8" s="40"/>
    </row>
    <row r="9" customFormat="false" ht="30" hidden="false" customHeight="true" outlineLevel="0" collapsed="false">
      <c r="A9" s="37" t="s">
        <v>185</v>
      </c>
      <c r="B9" s="37"/>
    </row>
    <row r="10" customFormat="false" ht="24" hidden="false" customHeight="true" outlineLevel="0" collapsed="false">
      <c r="A10" s="39" t="s">
        <v>186</v>
      </c>
      <c r="B10" s="39"/>
    </row>
    <row r="11" customFormat="false" ht="30" hidden="false" customHeight="true" outlineLevel="0" collapsed="false">
      <c r="A11" s="37" t="s">
        <v>187</v>
      </c>
      <c r="B11" s="37"/>
    </row>
    <row r="12" customFormat="false" ht="18" hidden="false" customHeight="true" outlineLevel="0" collapsed="false">
      <c r="A12" s="40" t="s">
        <v>188</v>
      </c>
      <c r="B12" s="40"/>
    </row>
    <row r="13" customFormat="false" ht="18" hidden="false" customHeight="true" outlineLevel="0" collapsed="false">
      <c r="A13" s="40" t="s">
        <v>189</v>
      </c>
      <c r="B13" s="40"/>
    </row>
    <row r="14" customFormat="false" ht="30" hidden="false" customHeight="true" outlineLevel="0" collapsed="false">
      <c r="A14" s="37" t="s">
        <v>190</v>
      </c>
      <c r="B14" s="37"/>
    </row>
    <row r="15" customFormat="false" ht="24" hidden="false" customHeight="true" outlineLevel="0" collapsed="false">
      <c r="A15" s="39" t="s">
        <v>191</v>
      </c>
      <c r="B15" s="39"/>
    </row>
    <row r="16" customFormat="false" ht="30" hidden="false" customHeight="true" outlineLevel="0" collapsed="false">
      <c r="A16" s="37" t="s">
        <v>192</v>
      </c>
      <c r="B16" s="37"/>
    </row>
    <row r="17" customFormat="false" ht="30" hidden="false" customHeight="true" outlineLevel="0" collapsed="false">
      <c r="A17" s="41" t="s">
        <v>193</v>
      </c>
      <c r="B17" s="42" t="s">
        <v>194</v>
      </c>
    </row>
    <row r="18" customFormat="false" ht="30" hidden="false" customHeight="true" outlineLevel="0" collapsed="false">
      <c r="A18" s="41" t="s">
        <v>195</v>
      </c>
      <c r="B18" s="42" t="s">
        <v>196</v>
      </c>
    </row>
    <row r="19" customFormat="false" ht="30" hidden="false" customHeight="true" outlineLevel="0" collapsed="false">
      <c r="A19" s="41" t="s">
        <v>197</v>
      </c>
      <c r="B19" s="42" t="s">
        <v>198</v>
      </c>
    </row>
    <row r="20" customFormat="false" ht="30" hidden="false" customHeight="true" outlineLevel="0" collapsed="false">
      <c r="A20" s="41" t="s">
        <v>199</v>
      </c>
      <c r="B20" s="42" t="s">
        <v>200</v>
      </c>
    </row>
    <row r="21" customFormat="false" ht="30" hidden="false" customHeight="true" outlineLevel="0" collapsed="false">
      <c r="A21" s="41" t="s">
        <v>201</v>
      </c>
      <c r="B21" s="42" t="s">
        <v>202</v>
      </c>
    </row>
    <row r="22" customFormat="false" ht="30" hidden="false" customHeight="true" outlineLevel="0" collapsed="false">
      <c r="A22" s="41" t="s">
        <v>203</v>
      </c>
      <c r="B22" s="42" t="s">
        <v>204</v>
      </c>
    </row>
    <row r="23" customFormat="false" ht="30" hidden="false" customHeight="true" outlineLevel="0" collapsed="false">
      <c r="A23" s="37" t="s">
        <v>205</v>
      </c>
      <c r="B23" s="37"/>
    </row>
    <row r="24" customFormat="false" ht="30" hidden="false" customHeight="true" outlineLevel="0" collapsed="false">
      <c r="A24" s="37" t="s">
        <v>206</v>
      </c>
      <c r="B24" s="37"/>
    </row>
    <row r="25" customFormat="false" ht="30" hidden="false" customHeight="true" outlineLevel="0" collapsed="false">
      <c r="A25" s="41" t="s">
        <v>207</v>
      </c>
      <c r="B25" s="42" t="s">
        <v>208</v>
      </c>
    </row>
    <row r="26" customFormat="false" ht="30" hidden="false" customHeight="true" outlineLevel="0" collapsed="false">
      <c r="A26" s="41" t="s">
        <v>209</v>
      </c>
      <c r="B26" s="42" t="s">
        <v>210</v>
      </c>
    </row>
    <row r="27" customFormat="false" ht="24" hidden="false" customHeight="true" outlineLevel="0" collapsed="false">
      <c r="A27" s="39" t="s">
        <v>211</v>
      </c>
      <c r="B27" s="39"/>
    </row>
    <row r="28" customFormat="false" ht="30" hidden="false" customHeight="true" outlineLevel="0" collapsed="false">
      <c r="A28" s="37" t="s">
        <v>212</v>
      </c>
      <c r="B28" s="37"/>
    </row>
    <row r="29" customFormat="false" ht="30" hidden="false" customHeight="true" outlineLevel="0" collapsed="false">
      <c r="A29" s="37" t="s">
        <v>213</v>
      </c>
      <c r="B29" s="37"/>
    </row>
    <row r="30" customFormat="false" ht="18" hidden="false" customHeight="true" outlineLevel="0" collapsed="false">
      <c r="A30" s="40" t="s">
        <v>214</v>
      </c>
      <c r="B30" s="40"/>
    </row>
    <row r="31" customFormat="false" ht="18" hidden="false" customHeight="true" outlineLevel="0" collapsed="false">
      <c r="A31" s="40" t="s">
        <v>215</v>
      </c>
      <c r="B31" s="40"/>
    </row>
    <row r="32" customFormat="false" ht="18" hidden="false" customHeight="true" outlineLevel="0" collapsed="false">
      <c r="A32" s="40" t="s">
        <v>216</v>
      </c>
      <c r="B32" s="40"/>
    </row>
    <row r="33" customFormat="false" ht="24" hidden="false" customHeight="true" outlineLevel="0" collapsed="false">
      <c r="A33" s="39" t="s">
        <v>217</v>
      </c>
      <c r="B33" s="39"/>
    </row>
    <row r="34" customFormat="false" ht="30" hidden="false" customHeight="true" outlineLevel="0" collapsed="false">
      <c r="A34" s="37" t="s">
        <v>218</v>
      </c>
      <c r="B34" s="37"/>
    </row>
    <row r="35" customFormat="false" ht="30" hidden="false" customHeight="true" outlineLevel="0" collapsed="false">
      <c r="A35" s="41" t="s">
        <v>219</v>
      </c>
      <c r="B35" s="42" t="s">
        <v>220</v>
      </c>
    </row>
    <row r="36" customFormat="false" ht="30" hidden="false" customHeight="true" outlineLevel="0" collapsed="false">
      <c r="A36" s="41" t="s">
        <v>221</v>
      </c>
      <c r="B36" s="42" t="s">
        <v>222</v>
      </c>
    </row>
    <row r="37" customFormat="false" ht="30" hidden="false" customHeight="true" outlineLevel="0" collapsed="false">
      <c r="A37" s="41" t="s">
        <v>223</v>
      </c>
      <c r="B37" s="42" t="s">
        <v>224</v>
      </c>
    </row>
    <row r="38" customFormat="false" ht="30" hidden="false" customHeight="true" outlineLevel="0" collapsed="false">
      <c r="A38" s="41" t="s">
        <v>225</v>
      </c>
      <c r="B38" s="42" t="s">
        <v>226</v>
      </c>
    </row>
    <row r="39" customFormat="false" ht="30" hidden="false" customHeight="true" outlineLevel="0" collapsed="false">
      <c r="A39" s="41" t="s">
        <v>227</v>
      </c>
      <c r="B39" s="42" t="s">
        <v>228</v>
      </c>
    </row>
    <row r="40" customFormat="false" ht="30" hidden="false" customHeight="true" outlineLevel="0" collapsed="false">
      <c r="A40" s="41" t="s">
        <v>229</v>
      </c>
      <c r="B40" s="42" t="s">
        <v>230</v>
      </c>
    </row>
    <row r="41" customFormat="false" ht="30" hidden="false" customHeight="true" outlineLevel="0" collapsed="false">
      <c r="A41" s="41" t="s">
        <v>231</v>
      </c>
      <c r="B41" s="42" t="s">
        <v>232</v>
      </c>
    </row>
    <row r="42" customFormat="false" ht="30" hidden="false" customHeight="true" outlineLevel="0" collapsed="false">
      <c r="A42" s="41" t="s">
        <v>233</v>
      </c>
      <c r="B42" s="42" t="s">
        <v>234</v>
      </c>
    </row>
    <row r="43" customFormat="false" ht="30" hidden="false" customHeight="true" outlineLevel="0" collapsed="false">
      <c r="A43" s="41" t="s">
        <v>235</v>
      </c>
      <c r="B43" s="42" t="s">
        <v>236</v>
      </c>
    </row>
    <row r="44" customFormat="false" ht="30" hidden="false" customHeight="true" outlineLevel="0" collapsed="false">
      <c r="A44" s="41" t="s">
        <v>237</v>
      </c>
      <c r="B44" s="42" t="s">
        <v>238</v>
      </c>
    </row>
    <row r="45" customFormat="false" ht="30" hidden="false" customHeight="true" outlineLevel="0" collapsed="false">
      <c r="A45" s="37" t="s">
        <v>239</v>
      </c>
      <c r="B45" s="37"/>
    </row>
    <row r="46" customFormat="false" ht="30" hidden="false" customHeight="true" outlineLevel="0" collapsed="false">
      <c r="A46" s="37" t="s">
        <v>240</v>
      </c>
      <c r="B46" s="37"/>
    </row>
    <row r="47" customFormat="false" ht="24" hidden="false" customHeight="true" outlineLevel="0" collapsed="false">
      <c r="A47" s="39" t="s">
        <v>241</v>
      </c>
      <c r="B47" s="39"/>
    </row>
    <row r="48" customFormat="false" ht="18" hidden="false" customHeight="true" outlineLevel="0" collapsed="false">
      <c r="A48" s="40" t="s">
        <v>242</v>
      </c>
      <c r="B48" s="40"/>
    </row>
    <row r="49" customFormat="false" ht="18" hidden="false" customHeight="true" outlineLevel="0" collapsed="false">
      <c r="A49" s="40" t="s">
        <v>243</v>
      </c>
      <c r="B49" s="40"/>
    </row>
    <row r="50" customFormat="false" ht="18" hidden="false" customHeight="true" outlineLevel="0" collapsed="false">
      <c r="A50" s="40" t="s">
        <v>244</v>
      </c>
      <c r="B50" s="40"/>
    </row>
    <row r="51" customFormat="false" ht="18" hidden="false" customHeight="true" outlineLevel="0" collapsed="false">
      <c r="A51" s="40" t="s">
        <v>245</v>
      </c>
      <c r="B51" s="40"/>
    </row>
    <row r="52" customFormat="false" ht="18" hidden="false" customHeight="true" outlineLevel="0" collapsed="false">
      <c r="A52" s="40" t="s">
        <v>246</v>
      </c>
      <c r="B52" s="40"/>
    </row>
    <row r="53" customFormat="false" ht="18" hidden="false" customHeight="true" outlineLevel="0" collapsed="false">
      <c r="A53" s="40" t="s">
        <v>247</v>
      </c>
      <c r="B53" s="40"/>
    </row>
  </sheetData>
  <mergeCells count="3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23:B23"/>
    <mergeCell ref="A24:B24"/>
    <mergeCell ref="A27:B27"/>
    <mergeCell ref="A28:B28"/>
    <mergeCell ref="A29:B29"/>
    <mergeCell ref="A30:B30"/>
    <mergeCell ref="A31:B31"/>
    <mergeCell ref="A32:B32"/>
    <mergeCell ref="A33:B33"/>
    <mergeCell ref="A34:B34"/>
    <mergeCell ref="A45:B45"/>
    <mergeCell ref="A46:B46"/>
    <mergeCell ref="A47:B47"/>
    <mergeCell ref="A48:B48"/>
    <mergeCell ref="A49:B49"/>
    <mergeCell ref="A50:B50"/>
    <mergeCell ref="A51:B51"/>
    <mergeCell ref="A52:B52"/>
    <mergeCell ref="A53:B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2026-09-06T19:13:29Z</dcterms:created>
  <dc:creator>openpyxl</dc:creator>
  <dc:description/>
  <dc:language>en-US</dc:language>
  <cp:lastModifiedBy/>
  <dcterms:modified xsi:type="dcterms:W3CDTF">2026-09-06T19:13:29Z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