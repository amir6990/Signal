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X_Dashboard" sheetId="1" state="visible" r:id="rId3"/>
    <sheet name="Spreads" sheetId="2" state="visible" r:id="rId4"/>
    <sheet name="FX_Input" sheetId="3" state="visible" r:id="rId5"/>
    <sheet name="FX_History" sheetId="4" state="visible" r:id="rId6"/>
    <sheet name="Settings" sheetId="5" state="visible" r:id="rId7"/>
    <sheet name="Documentation" sheetId="6" state="visible" r:id="rId8"/>
  </sheets>
  <definedNames>
    <definedName function="false" hidden="true" localSheetId="3" name="_xlnm._FilterDatabase" vbProcedure="false">FX_History!$A$4:$O$1704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DXY" vbProcedure="false">FX_Input!$B$13</definedName>
    <definedName function="false" hidden="false" name="FX_AED" vbProcedure="false">FX_Input!$B$9</definedName>
    <definedName function="false" hidden="false" name="FX_COIN" vbProcedure="false">FX_Input!$B$17</definedName>
    <definedName function="false" hidden="false" name="FX_COIN_BUBBLE" vbProcedure="false">FX_Input!$B$18</definedName>
    <definedName function="false" hidden="false" name="FX_EUR" vbProcedure="false">FX_Input!$B$8</definedName>
    <definedName function="false" hidden="false" name="FX_FREE" vbProcedure="false">FX_Input!$B$5</definedName>
    <definedName function="false" hidden="false" name="FX_FREE_0" vbProcedure="false">FX_Input!$B$21</definedName>
    <definedName function="false" hidden="false" name="FX_GAP" vbProcedure="false">Spreads!$B$5</definedName>
    <definedName function="false" hidden="false" name="FX_GOLD_OZ" vbProcedure="false">FX_Input!$B$14</definedName>
    <definedName function="false" hidden="false" name="FX_NIMA" vbProcedure="false">FX_Input!$B$6</definedName>
    <definedName function="false" hidden="false" name="FX_USDT" vbProcedure="false">FX_Input!$B$7</definedName>
    <definedName function="false" hidden="false" name="FX_USDT_0" vbProcedure="false">FX_Input!$B$22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Settings!$C$21</definedName>
    <definedName function="false" hidden="false" name="PRICE_BAND" vbProcedure="false">Settings!$C$20</definedName>
    <definedName function="false" hidden="false" name="STRUCT_L" vbProcedure="false">Settings!$C$19</definedName>
    <definedName function="false" hidden="false" name="STRUCT_S" vbProcedure="false">Settings!$C$18</definedName>
    <definedName function="false" hidden="false" name="USDT_GLOBAL" vbProcedure="false">FX_Input!$B$12</definedName>
    <definedName function="false" hidden="false" name="USDT_PREMIUM" vbProcedure="false">Spreads!$B$6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6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7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8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9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2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3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4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  <comment ref="B17" authorId="0">
      <text>
        <r>
          <rPr>
            <sz val="10"/>
            <rFont val="FreeSans"/>
            <family val="2"/>
          </rPr>
          <t xml:space="preserve">منبع: فایل دستی </t>
        </r>
        <r>
          <rPr>
            <sz val="10"/>
            <rFont val="Arial"/>
            <family val="2"/>
          </rPr>
          <t xml:space="preserve">(JSON </t>
        </r>
        <r>
          <rPr>
            <sz val="10"/>
            <rFont val="FreeSans"/>
            <family val="2"/>
          </rPr>
          <t xml:space="preserve">محلی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FreeSans"/>
            <family val="2"/>
          </rPr>
          <t xml:space="preserve">زمان: </t>
        </r>
        <r>
          <rPr>
            <sz val="10"/>
            <rFont val="Arial"/>
            <family val="2"/>
          </rPr>
          <t xml:space="preserve">2026-09-06 04:22:32</t>
        </r>
      </text>
    </comment>
  </commentList>
</comments>
</file>

<file path=xl/sharedStrings.xml><?xml version="1.0" encoding="utf-8"?>
<sst xmlns="http://schemas.openxmlformats.org/spreadsheetml/2006/main" count="670" uniqueCount="652">
  <si>
    <t xml:space="preserve">داشبورد دلار و تتر</t>
  </si>
  <si>
    <t xml:space="preserve">⚠️ داده‌های نمونه‌اند. ورودی‌ها را در شیت FX_Input به‌روز کنید.</t>
  </si>
  <si>
    <t xml:space="preserve">۱) نرخ‌ها و شکاف‌ها</t>
  </si>
  <si>
    <t xml:space="preserve">دلار آزاد (ریال)</t>
  </si>
  <si>
    <t xml:space="preserve">نرخ ضمنی از تتر</t>
  </si>
  <si>
    <t xml:space="preserve">دلار نیمایی (ریال)</t>
  </si>
  <si>
    <t xml:space="preserve">نرخ ضمنی از سکه</t>
  </si>
  <si>
    <t xml:space="preserve">تتر USDT (ریال)</t>
  </si>
  <si>
    <t xml:space="preserve">واگرایی ضمنی سکه</t>
  </si>
  <si>
    <t xml:space="preserve">شکاف آزاد و نیمایی</t>
  </si>
  <si>
    <t xml:space="preserve">بازده دلار از مبنا</t>
  </si>
  <si>
    <t xml:space="preserve">پریمیوم تتر</t>
  </si>
  <si>
    <t xml:space="preserve">تغییر پریمیوم از مبنا</t>
  </si>
  <si>
    <t xml:space="preserve">۲) روند دلار آزاد (از شیت FX_History)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</si>
  <si>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</si>
  <si>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</si>
  <si>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</si>
  <si>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</si>
  <si>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</si>
  <si>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</si>
  <si>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</si>
  <si>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</si>
  <si>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</si>
  <si>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</si>
  <si>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</si>
  <si>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</si>
  <si>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</si>
  <si>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</si>
  <si>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نکته‌ای که باید بدانید</t>
  </si>
  <si>
    <t xml:space="preserve">جهش ارزی در ایران پله‌ای است، نه پیوسته — و به تصمیم سیاستی و شوک بیرونی وابسته است، نه به یک چرخه تکرارشونده.</t>
  </si>
  <si>
    <t xml:space="preserve">بنابراین این فایل نرخ را پیش‌بینی نمی‌کند. کاری که می‌کند این است: وضعیت جاری، شکاف‌ها و سازگاری بازارها را شفاف نشان می‌دهد.</t>
  </si>
  <si>
    <t xml:space="preserve">برای تحلیل چرخه‌ای روی سری نرخ:  python -m timeframe symbol --csv usd.csv --name دلار</t>
  </si>
  <si>
    <t xml:space="preserve">شکاف‌ها، پریمیوم و نرخ ضمنی</t>
  </si>
  <si>
    <t xml:space="preserve">اختلاف نرخ‌ها خودش اطلاعات است — نه خطای اندازه‌گیری.</t>
  </si>
  <si>
    <t xml:space="preserve">سنجه</t>
  </si>
  <si>
    <t xml:space="preserve">مقدار</t>
  </si>
  <si>
    <t xml:space="preserve">تفسیر</t>
  </si>
  <si>
    <t xml:space="preserve">-</t>
  </si>
  <si>
    <t xml:space="preserve">محاسبه</t>
  </si>
  <si>
    <t xml:space="preserve">شکاف دلار آزاد و نیمایی</t>
  </si>
  <si>
    <t xml:space="preserve">پریمیوم تتر نسبت به دلار آزاد</t>
  </si>
  <si>
    <t xml:space="preserve">پریمیوم تتر تعدیل‌شده با USDT جهانی</t>
  </si>
  <si>
    <t xml:space="preserve">نرخ دلار ضمنی از تتر</t>
  </si>
  <si>
    <t xml:space="preserve">نرخ دلار ضمنی از سکه</t>
  </si>
  <si>
    <t xml:space="preserve">واگرایی ضمنی سکه با دلار آزاد</t>
  </si>
  <si>
    <t xml:space="preserve">نرخ برابری یورو به دلار (ضمنی)</t>
  </si>
  <si>
    <t xml:space="preserve">نرخ برابری درهم به دلار (ضمنی)</t>
  </si>
  <si>
    <t xml:space="preserve">بازده دلار آزاد از مبنا</t>
  </si>
  <si>
    <t xml:space="preserve">بازده تتر از مبنا</t>
  </si>
  <si>
    <t xml:space="preserve">تغییر پریمیوم تتر از مبنا</t>
  </si>
  <si>
    <t xml:space="preserve">تتر و دلار آزاد هر دو دلارند. اختلافشان نرخ متفاوت نیست — هزینه است: کارمزد، ریسک انتقال و تقاضای لحظه‌ای نقدشوندگی.</t>
  </si>
  <si>
    <t xml:space="preserve">ورودی‌های لحظه‌ای ارز</t>
  </si>
  <si>
    <t xml:space="preserve">سلول‌های زرد را پر کنید. همه محاسبات فایل از همین اعداد می‌آیند.</t>
  </si>
  <si>
    <t xml:space="preserve">نرخ‌های ریالی</t>
  </si>
  <si>
    <t xml:space="preserve">نرخ بازار آزاد</t>
  </si>
  <si>
    <t xml:space="preserve">دلار نیمایی / مرجع (ریال)</t>
  </si>
  <si>
    <t xml:space="preserve">نرخ رسمی معاملات</t>
  </si>
  <si>
    <t xml:space="preserve">میانگین صرافی‌های داخلی</t>
  </si>
  <si>
    <t xml:space="preserve">یورو آزاد (ریال)</t>
  </si>
  <si>
    <t xml:space="preserve">اختیاری</t>
  </si>
  <si>
    <t xml:space="preserve">درهم امارات (ریال)</t>
  </si>
  <si>
    <t xml:space="preserve">اختیاری — مسیر رایج انتقال</t>
  </si>
  <si>
    <t xml:space="preserve">بازار جهانی</t>
  </si>
  <si>
    <t xml:space="preserve">USDT/USD جهانی</t>
  </si>
  <si>
    <t xml:space="preserve">معمولاً بسیار نزدیک ۱</t>
  </si>
  <si>
    <t xml:space="preserve">شاخص دلار DXY</t>
  </si>
  <si>
    <t xml:space="preserve">برای زمینه — نه محاسبه ریالی</t>
  </si>
  <si>
    <t xml:space="preserve">اونس طلا (دلار)</t>
  </si>
  <si>
    <t xml:space="preserve">برای نرخ ضمنی از سکه</t>
  </si>
  <si>
    <t xml:space="preserve">بازار داخلی طلا (برای نرخ ضمنی)</t>
  </si>
  <si>
    <t xml:space="preserve">سکه تمام بهار آزادی (ریال)</t>
  </si>
  <si>
    <t xml:space="preserve">قیمت بازار</t>
  </si>
  <si>
    <t xml:space="preserve">حباب فرضی سکه</t>
  </si>
  <si>
    <t xml:space="preserve">برای پاک‌کردن اثر حباب</t>
  </si>
  <si>
    <t xml:space="preserve">مبنای مقایسه</t>
  </si>
  <si>
    <t xml:space="preserve">دلار آزاد در تاریخ مبنا (ریال)</t>
  </si>
  <si>
    <t xml:space="preserve">تتر در تاریخ مبنا (ریال)</t>
  </si>
  <si>
    <t xml:space="preserve">⚠️ اعداد بالا نمونه‌اند. نرخ واقعی روز را جایگزین کنید.</t>
  </si>
  <si>
    <t xml:space="preserve">تاریخچه روزانه دلار آزاد</t>
  </si>
  <si>
    <t xml:space="preserve">ستون‌های A تا F ورودی؛ بقیه فرمول. جهش‌های پله‌ای در داده نمونه عمدی‌اند.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</si>
  <si>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</si>
  <si>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</si>
  <si>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</si>
  <si>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</si>
  <si>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</si>
  <si>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</si>
  <si>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</si>
  <si>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</si>
  <si>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</si>
  <si>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</si>
  <si>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</si>
  <si>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</si>
  <si>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</si>
  <si>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</si>
  <si>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</si>
  <si>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</si>
  <si>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</si>
  <si>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</si>
  <si>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</si>
  <si>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</si>
  <si>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</si>
  <si>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</si>
  <si>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</si>
  <si>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</si>
  <si>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</si>
  <si>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</si>
  <si>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</si>
  <si>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</si>
  <si>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</si>
  <si>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</si>
  <si>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</si>
  <si>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</si>
  <si>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</si>
  <si>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</si>
  <si>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</si>
  <si>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</si>
  <si>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</si>
  <si>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</si>
  <si>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</si>
  <si>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</si>
  <si>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</si>
  <si>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</si>
  <si>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</si>
  <si>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</si>
  <si>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</si>
  <si>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</si>
  <si>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</si>
  <si>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</si>
  <si>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</si>
  <si>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</si>
  <si>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</si>
  <si>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</si>
  <si>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</si>
  <si>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</si>
  <si>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</si>
  <si>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</si>
  <si>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</si>
  <si>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</si>
  <si>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</si>
  <si>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</si>
  <si>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</si>
  <si>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</si>
  <si>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</si>
  <si>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</si>
  <si>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</si>
  <si>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</si>
  <si>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</si>
  <si>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</si>
  <si>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</si>
  <si>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</si>
  <si>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</si>
  <si>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</si>
  <si>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</si>
  <si>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</si>
  <si>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</si>
  <si>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</si>
  <si>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</si>
  <si>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</si>
  <si>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</si>
  <si>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</si>
  <si>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</si>
  <si>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</si>
  <si>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</si>
  <si>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</si>
  <si>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</si>
  <si>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</si>
  <si>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</si>
  <si>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</si>
  <si>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</si>
  <si>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</si>
  <si>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</si>
  <si>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</si>
  <si>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</si>
  <si>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</si>
  <si>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</si>
  <si>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</si>
  <si>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</si>
  <si>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</si>
  <si>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</si>
  <si>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</si>
  <si>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</si>
  <si>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</si>
  <si>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</si>
  <si>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</si>
  <si>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</si>
  <si>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</si>
  <si>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</si>
  <si>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</si>
  <si>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</si>
  <si>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</si>
  <si>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</si>
  <si>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</si>
  <si>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</si>
  <si>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</si>
  <si>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</si>
  <si>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</si>
  <si>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</si>
  <si>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</si>
  <si>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</si>
  <si>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</si>
  <si>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</si>
  <si>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</si>
  <si>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</si>
  <si>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</si>
  <si>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</si>
  <si>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</si>
  <si>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</si>
  <si>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</si>
  <si>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</si>
  <si>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</si>
  <si>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</si>
  <si>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</si>
  <si>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</si>
  <si>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</si>
  <si>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</si>
  <si>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</si>
  <si>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</si>
  <si>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</si>
  <si>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</si>
  <si>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</si>
  <si>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</si>
  <si>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</si>
  <si>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</si>
  <si>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</si>
  <si>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</si>
  <si>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</si>
  <si>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</si>
  <si>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</si>
  <si>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</si>
  <si>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</si>
  <si>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</si>
  <si>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</si>
  <si>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</si>
  <si>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</si>
  <si>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</si>
  <si>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</si>
  <si>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</si>
  <si>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</si>
  <si>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</si>
  <si>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</si>
  <si>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</si>
  <si>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</si>
  <si>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</si>
  <si>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</si>
  <si>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</si>
  <si>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</si>
  <si>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</si>
  <si>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</si>
  <si>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</si>
  <si>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</si>
  <si>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</si>
  <si>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</si>
  <si>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</si>
  <si>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</si>
  <si>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</si>
  <si>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</si>
  <si>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</si>
  <si>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</si>
  <si>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</si>
  <si>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</si>
  <si>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</si>
  <si>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</si>
  <si>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</si>
  <si>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</si>
  <si>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</si>
  <si>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</si>
  <si>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</si>
  <si>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</si>
  <si>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</si>
  <si>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</si>
  <si>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</si>
  <si>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</si>
  <si>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</si>
  <si>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</si>
  <si>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</si>
  <si>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</si>
  <si>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</si>
  <si>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</si>
  <si>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</si>
  <si>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</si>
  <si>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</si>
  <si>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</si>
  <si>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</si>
  <si>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</si>
  <si>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</si>
  <si>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</si>
  <si>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</si>
  <si>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</si>
  <si>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</si>
  <si>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</si>
  <si>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</si>
  <si>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</si>
  <si>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</si>
  <si>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</si>
  <si>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</si>
  <si>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</si>
  <si>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</si>
  <si>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</si>
  <si>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</si>
  <si>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</si>
  <si>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</si>
  <si>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</si>
  <si>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</si>
  <si>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</si>
  <si>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</si>
  <si>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</si>
  <si>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</si>
  <si>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</si>
  <si>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</si>
  <si>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</si>
  <si>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</si>
  <si>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</si>
  <si>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</si>
  <si>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</si>
  <si>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</si>
  <si>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</si>
  <si>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</si>
  <si>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</si>
  <si>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</si>
  <si>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</si>
  <si>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</si>
  <si>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</si>
  <si>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</si>
  <si>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</si>
  <si>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</si>
  <si>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</si>
  <si>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</si>
  <si>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</si>
  <si>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</si>
  <si>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</si>
  <si>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</si>
  <si>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</si>
  <si>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</si>
  <si>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</si>
  <si>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</si>
  <si>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</si>
  <si>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</si>
  <si>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</si>
  <si>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</si>
  <si>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</si>
  <si>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</si>
  <si>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</si>
  <si>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</si>
  <si>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</si>
  <si>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</si>
  <si>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</si>
  <si>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</si>
  <si>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</si>
  <si>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</si>
  <si>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</si>
  <si>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</si>
  <si>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</si>
  <si>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</si>
  <si>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</si>
  <si>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</si>
  <si>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</si>
  <si>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</si>
  <si>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</si>
  <si>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</si>
  <si>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</si>
  <si>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</si>
  <si>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</si>
  <si>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</si>
  <si>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</si>
  <si>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</si>
  <si>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</si>
  <si>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</si>
  <si>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</si>
  <si>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</si>
  <si>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</si>
  <si>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</si>
  <si>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</si>
  <si>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</si>
  <si>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</si>
  <si>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</si>
  <si>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</si>
  <si>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</si>
  <si>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</si>
  <si>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</si>
  <si>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</si>
  <si>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</si>
  <si>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</si>
  <si>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</si>
  <si>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</si>
  <si>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</si>
  <si>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</si>
  <si>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</si>
  <si>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</si>
  <si>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</si>
  <si>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</si>
  <si>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</si>
  <si>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</si>
  <si>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</si>
  <si>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</si>
  <si>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</si>
  <si>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</si>
  <si>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</si>
  <si>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</si>
  <si>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</si>
  <si>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</si>
  <si>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</si>
  <si>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</si>
  <si>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</si>
  <si>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</si>
  <si>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</si>
  <si>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</si>
  <si>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</si>
  <si>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</si>
  <si>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</si>
  <si>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</si>
  <si>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</si>
  <si>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</si>
  <si>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</si>
  <si>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</si>
  <si>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</si>
  <si>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</si>
  <si>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</si>
  <si>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</si>
  <si>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</si>
  <si>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</si>
  <si>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</si>
  <si>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</si>
  <si>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</si>
  <si>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</si>
  <si>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</si>
  <si>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</si>
  <si>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</si>
  <si>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</si>
  <si>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</si>
  <si>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</si>
  <si>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</si>
  <si>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</si>
  <si>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</si>
  <si>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</si>
  <si>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</si>
  <si>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</si>
  <si>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</si>
  <si>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</si>
  <si>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</si>
  <si>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</si>
  <si>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</si>
  <si>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</si>
  <si>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</si>
  <si>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</si>
  <si>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</si>
  <si>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</si>
  <si>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</si>
  <si>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</si>
  <si>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</si>
  <si>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</si>
  <si>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</si>
  <si>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</si>
  <si>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</si>
  <si>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</si>
  <si>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</si>
  <si>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</si>
  <si>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</si>
  <si>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</si>
  <si>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</si>
  <si>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</si>
  <si>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</si>
  <si>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</si>
  <si>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</si>
  <si>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</si>
  <si>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</si>
  <si>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</si>
  <si>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</si>
  <si>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</si>
  <si>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</si>
  <si>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</si>
  <si>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</si>
  <si>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</si>
  <si>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</si>
  <si>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</si>
  <si>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</si>
  <si>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</si>
  <si>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</si>
  <si>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</si>
  <si>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</si>
  <si>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</si>
  <si>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</si>
  <si>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</si>
  <si>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</si>
  <si>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</si>
  <si>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</si>
  <si>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</si>
  <si>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</si>
  <si>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</si>
  <si>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</si>
  <si>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</si>
  <si>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</si>
  <si>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</si>
  <si>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</si>
  <si>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</si>
  <si>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</si>
  <si>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</si>
  <si>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</si>
  <si>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</si>
  <si>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</si>
  <si>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</si>
  <si>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</si>
  <si>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</si>
  <si>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</si>
  <si>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</si>
  <si>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</si>
  <si>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</si>
  <si>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</si>
  <si>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</si>
  <si>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</si>
  <si>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</si>
  <si>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</si>
  <si>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</si>
  <si>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</si>
  <si>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</si>
  <si>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</si>
  <si>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</si>
  <si>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</si>
  <si>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</si>
  <si>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</si>
  <si>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</si>
  <si>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</si>
  <si>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</si>
  <si>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</si>
  <si>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</si>
  <si>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</si>
  <si>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</si>
  <si>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</si>
  <si>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</si>
  <si>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</si>
  <si>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</si>
  <si>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</si>
  <si>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</si>
  <si>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</si>
  <si>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</si>
  <si>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</si>
  <si>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</si>
  <si>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</si>
  <si>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</si>
  <si>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</si>
  <si>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</si>
  <si>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</si>
  <si>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</si>
  <si>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</si>
  <si>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</si>
  <si>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</si>
  <si>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</si>
  <si>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</si>
  <si>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</si>
  <si>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</si>
  <si>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</si>
  <si>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</si>
  <si>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</si>
  <si>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</si>
  <si>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</si>
  <si>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</si>
  <si>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</si>
  <si>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</si>
  <si>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</si>
  <si>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</si>
  <si>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</si>
  <si>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</si>
  <si>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</si>
  <si>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</si>
  <si>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</si>
  <si>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</si>
  <si>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</si>
  <si>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</si>
  <si>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</si>
  <si>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</si>
  <si>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</si>
  <si>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</si>
  <si>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</si>
  <si>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</si>
  <si>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</si>
  <si>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</si>
  <si>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</si>
  <si>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</si>
  <si>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</si>
  <si>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</si>
  <si>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</si>
  <si>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</si>
  <si>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</si>
  <si>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</si>
  <si>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</si>
  <si>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</si>
  <si>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</si>
  <si>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</si>
  <si>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</si>
  <si>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</si>
  <si>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</si>
  <si>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</si>
  <si>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</si>
  <si>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</si>
  <si>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</si>
  <si>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</si>
  <si>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1405/06/15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</si>
  <si>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</si>
  <si>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</si>
  <si>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</si>
  <si>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</si>
  <si>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</si>
  <si>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</si>
  <si>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</si>
  <si>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</si>
  <si>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</si>
  <si>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</si>
  <si>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</si>
  <si>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</si>
  <si>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</si>
  <si>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</si>
  <si>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</si>
  <si>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</si>
  <si>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</si>
  <si>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</si>
  <si>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</si>
  <si>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</si>
  <si>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</si>
  <si>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</si>
  <si>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</si>
  <si>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</si>
  <si>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</si>
  <si>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</si>
  <si>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</si>
  <si>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</si>
  <si>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</si>
  <si>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</si>
  <si>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</si>
  <si>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</si>
  <si>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</si>
  <si>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</si>
  <si>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</si>
  <si>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</si>
  <si>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</si>
  <si>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</si>
  <si>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</si>
  <si>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</si>
  <si>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</si>
  <si>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</si>
  <si>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</si>
  <si>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</si>
  <si>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</si>
  <si>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</si>
  <si>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دلار و تتر</t>
  </si>
  <si>
    <t xml:space="preserve">⚠️ داده‌های داخل فایل نمونه (DEMO) و ساختگی‌اند.</t>
  </si>
  <si>
    <t xml:space="preserve">۱) چرا چند نرخ داریم و اختلافشان چه می‌گوید</t>
  </si>
  <si>
    <t xml:space="preserve">دلار آزاد</t>
  </si>
  <si>
    <t xml:space="preserve">نرخ بازار آزاد — مرجع قیمت‌گذاری دارایی‌ها</t>
  </si>
  <si>
    <t xml:space="preserve">دلار نیمایی / مرجع</t>
  </si>
  <si>
    <t xml:space="preserve">نرخ رسمی معاملات صادرات و واردات</t>
  </si>
  <si>
    <t xml:space="preserve">تتر (USDT)</t>
  </si>
  <si>
    <t xml:space="preserve">دلار دیجیتال قابل‌معامله — عملاً همان دلار آزاد با اصطکاک متفاوت</t>
  </si>
  <si>
    <t xml:space="preserve">شکاف آزاد و نیمایی سنجه فشار ارزی و انتظارات تورمی است. باز شدن ناگهانی این شکاف معمولاً مقدم بر تعدیل نرخ رسمی بوده — ولی این یک مشاهده است، نه قاعده آزموده‌شده.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</si>
</sst>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;\(0.0%\);\-"/>
    <numFmt numFmtId="167" formatCode="0"/>
    <numFmt numFmtId="168" formatCode="yyyy\-mm\-dd"/>
    <numFmt numFmtId="169" formatCode="#,##0;\(#,##0\);\-"/>
    <numFmt numFmtId="170" formatCode="0.00%;\(0.00%\);\-"/>
    <numFmt numFmtId="171" formatCode="0.0;\(0.0\);\-"/>
    <numFmt numFmtId="172" formatCode="General"/>
    <numFmt numFmtId="173" formatCode="0.00;\(0.00\);\-"/>
    <numFmt numFmtId="174" formatCode="0.0000"/>
    <numFmt numFmtId="175" formatCode="0.00\x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8"/>
      <color rgb="FF000000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4"/>
    <col collapsed="false" customWidth="true" hidden="false" outlineLevel="0" max="4" min="4" style="1" width="34"/>
    <col collapsed="false" customWidth="true" hidden="false" outlineLevel="0" max="5" min="5" style="1" width="22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</row>
    <row r="4" customFormat="false" ht="21.75" hidden="false" customHeight="true" outlineLevel="0" collapsed="false">
      <c r="A4" s="4" t="s">
        <v>2</v>
      </c>
      <c r="B4" s="4"/>
      <c r="C4" s="4"/>
      <c r="D4" s="4"/>
      <c r="E4" s="4"/>
    </row>
    <row r="5" customFormat="false" ht="15" hidden="false" customHeight="true" outlineLevel="0" collapsed="false">
      <c r="A5" s="5" t="s">
        <v>3</v>
      </c>
      <c r="B5" s="6" t="n">
        <f aca="false">FX_FREE</f>
        <v>952000</v>
      </c>
      <c r="D5" s="5" t="s">
        <v>4</v>
      </c>
      <c r="E5" s="7" t="n">
        <f aca="false">Spreads!$B$8</f>
        <v>969306.138772246</v>
      </c>
    </row>
    <row r="6" customFormat="false" ht="15" hidden="false" customHeight="true" outlineLevel="0" collapsed="false">
      <c r="A6" s="5" t="s">
        <v>5</v>
      </c>
      <c r="B6" s="7" t="n">
        <f aca="false">FX_NIMA</f>
        <v>718000</v>
      </c>
      <c r="D6" s="5" t="s">
        <v>6</v>
      </c>
      <c r="E6" s="7" t="n">
        <f aca="false">Spreads!$B$9</f>
        <v>955013.62589647</v>
      </c>
    </row>
    <row r="7" customFormat="false" ht="15" hidden="false" customHeight="true" outlineLevel="0" collapsed="false">
      <c r="A7" s="5" t="s">
        <v>7</v>
      </c>
      <c r="B7" s="7" t="n">
        <f aca="false">FX_USDT</f>
        <v>969500</v>
      </c>
      <c r="D7" s="5" t="s">
        <v>8</v>
      </c>
      <c r="E7" s="8" t="n">
        <f aca="false">Spreads!$B$10</f>
        <v>0.0031655734206617</v>
      </c>
    </row>
    <row r="8" customFormat="false" ht="15" hidden="false" customHeight="true" outlineLevel="0" collapsed="false">
      <c r="A8" s="5" t="s">
        <v>9</v>
      </c>
      <c r="B8" s="8" t="n">
        <f aca="false">FX_GAP</f>
        <v>0.325905292479109</v>
      </c>
      <c r="D8" s="5" t="s">
        <v>10</v>
      </c>
      <c r="E8" s="8" t="n">
        <f aca="false">Spreads!$B$13</f>
        <v>0.586666666666667</v>
      </c>
    </row>
    <row r="9" customFormat="false" ht="15" hidden="false" customHeight="true" outlineLevel="0" collapsed="false">
      <c r="A9" s="5" t="s">
        <v>11</v>
      </c>
      <c r="B9" s="9" t="n">
        <f aca="false">USDT_PREMIUM</f>
        <v>0.0183823529411764</v>
      </c>
      <c r="D9" s="5" t="s">
        <v>12</v>
      </c>
      <c r="E9" s="8" t="n">
        <f aca="false">Spreads!$B$15</f>
        <v>-0.00158592848904271</v>
      </c>
    </row>
    <row r="11" customFormat="false" ht="21.75" hidden="false" customHeight="true" outlineLevel="0" collapsed="false">
      <c r="A11" s="4" t="s">
        <v>13</v>
      </c>
      <c r="B11" s="4"/>
      <c r="C11" s="4"/>
      <c r="D11" s="4"/>
      <c r="E11" s="4"/>
    </row>
    <row r="12" customFormat="false" ht="15" hidden="false" customHeight="true" outlineLevel="0" collapsed="false">
      <c r="A12" s="5" t="s">
        <v>14</v>
      </c>
      <c r="B12" s="10" t="n">
        <f aca="false">COUNT($A$5:$A$1704)+4</f>
        <v>4</v>
      </c>
    </row>
    <row r="13" customFormat="false" ht="15" hidden="false" customHeight="true" outlineLevel="0" collapsed="false">
      <c r="A13" s="5" t="s">
        <v>15</v>
      </c>
      <c r="B13" s="11" t="str">
        <f aca="false">IFERROR(INDEX(FX_History!$A$1:$A$1704,$B$12),"")</f>
        <v>-</v>
      </c>
    </row>
    <row r="14" customFormat="false" ht="15" hidden="false" customHeight="true" outlineLevel="0" collapsed="false">
      <c r="A14" s="5" t="s">
        <v>16</v>
      </c>
      <c r="B14" s="12" t="str">
        <f aca="false">IFERROR(INDEX(FX_History!$B$1:$B$1704,$B$12),"")</f>
        <v>-</v>
      </c>
    </row>
    <row r="15" customFormat="false" ht="15" hidden="false" customHeight="true" outlineLevel="0" collapsed="false">
      <c r="A15" s="5" t="s">
        <v>17</v>
      </c>
      <c r="B15" s="13" t="str">
        <f aca="false">IFERROR(INDEX(FX_History!$C$1:$C$1704,$B$12),"")</f>
        <v>close</v>
      </c>
    </row>
    <row r="16" customFormat="false" ht="15" hidden="false" customHeight="true" outlineLevel="0" collapsed="false">
      <c r="A16" s="5" t="s">
        <v>18</v>
      </c>
      <c r="B16" s="14" t="str">
        <f aca="false">IFERROR(INDEX(FX_History!$H$1:$H$1704,$B$12),"")</f>
        <v>-</v>
      </c>
    </row>
    <row r="17" customFormat="false" ht="15" hidden="false" customHeight="true" outlineLevel="0" collapsed="false">
      <c r="A17" s="5" t="s">
        <v>19</v>
      </c>
      <c r="B17" s="13" t="str">
        <f aca="false">IFERROR(INDEX(FX_History!$I$1:$I$1704,$B$12),"")</f>
        <v>MA_SHORT</v>
      </c>
    </row>
    <row r="18" customFormat="false" ht="15" hidden="false" customHeight="true" outlineLevel="0" collapsed="false">
      <c r="A18" s="5" t="s">
        <v>20</v>
      </c>
      <c r="B18" s="13" t="str">
        <f aca="false">IFERROR(INDEX(FX_History!$J$1:$J$1704,$B$12),"")</f>
        <v>MA_MED</v>
      </c>
    </row>
    <row r="19" customFormat="false" ht="15" hidden="false" customHeight="true" outlineLevel="0" collapsed="false">
      <c r="A19" s="5" t="s">
        <v>21</v>
      </c>
      <c r="B19" s="13" t="str">
        <f aca="false">IFERROR(INDEX(FX_History!$K$1:$K$1704,$B$12),"")</f>
        <v>MA_LONG2</v>
      </c>
    </row>
    <row r="20" customFormat="false" ht="15" hidden="false" customHeight="true" outlineLevel="0" collapsed="false">
      <c r="A20" s="5" t="s">
        <v>22</v>
      </c>
      <c r="B20" s="8" t="str">
        <f aca="false">IFERROR(INDEX(FX_History!$L$1:$L$1704,$B$12),"")</f>
        <v>-</v>
      </c>
    </row>
    <row r="21" customFormat="false" ht="15" hidden="false" customHeight="true" outlineLevel="0" collapsed="false">
      <c r="A21" s="5" t="s">
        <v>23</v>
      </c>
      <c r="B21" s="13" t="str">
        <f aca="false">IFERROR(INDEX(FX_History!$M$1:$M$1704,$B$12),"")</f>
        <v>-</v>
      </c>
    </row>
    <row r="22" customFormat="false" ht="15" hidden="false" customHeight="true" outlineLevel="0" collapsed="false">
      <c r="A22" s="5" t="s">
        <v>24</v>
      </c>
      <c r="B22" s="13" t="str">
        <f aca="false">IFERROR(INDEX(FX_History!$N$1:$N$1704,$B$12),"")</f>
        <v>-</v>
      </c>
    </row>
    <row r="23" customFormat="false" ht="15" hidden="false" customHeight="true" outlineLevel="0" collapsed="false">
      <c r="A23" s="5" t="s">
        <v>25</v>
      </c>
      <c r="B23" s="8" t="str">
        <f aca="false">IFERROR(INDEX(FX_History!$O$1:$O$1704,$B$12),"")</f>
        <v>-</v>
      </c>
    </row>
    <row r="24" customFormat="false" ht="15" hidden="false" customHeight="true" outlineLevel="0" collapsed="false">
      <c r="A24" s="15" t="s">
        <v>26</v>
      </c>
      <c r="B24" s="16" t="n">
        <f aca="false">IFERROR(MAX(-10,MIN(10,IF($B$15&gt;$B$17,2.5,-2.5)+IF($B$15&gt;$B$18,3.5,-3.5)+IF($B$15&gt;$B$19,4,-4))),0)</f>
        <v>-10</v>
      </c>
    </row>
    <row r="25" customFormat="false" ht="15" hidden="false" customHeight="true" outlineLevel="0" collapsed="false">
      <c r="A25" s="15" t="s">
        <v>27</v>
      </c>
      <c r="B25" s="17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4" t="s">
        <v>28</v>
      </c>
      <c r="B27" s="4"/>
      <c r="C27" s="4"/>
      <c r="D27" s="4"/>
      <c r="E27" s="4"/>
    </row>
    <row r="28" customFormat="false" ht="15" hidden="false" customHeight="true" outlineLevel="0" collapsed="false">
      <c r="A28" s="18" t="s">
        <v>29</v>
      </c>
      <c r="B28" s="18"/>
      <c r="C28" s="18"/>
      <c r="D28" s="18"/>
      <c r="E28" s="18"/>
    </row>
    <row r="29" customFormat="false" ht="15" hidden="false" customHeight="true" outlineLevel="0" collapsed="false">
      <c r="A29" s="18" t="s">
        <v>30</v>
      </c>
      <c r="B29" s="18"/>
      <c r="C29" s="18"/>
      <c r="D29" s="18"/>
      <c r="E29" s="18"/>
    </row>
    <row r="30" customFormat="false" ht="15" hidden="false" customHeight="true" outlineLevel="0" collapsed="false">
      <c r="A30" s="18" t="s">
        <v>31</v>
      </c>
      <c r="B30" s="18"/>
      <c r="C30" s="18"/>
      <c r="D30" s="18"/>
      <c r="E30" s="18"/>
    </row>
  </sheetData>
  <mergeCells count="5">
    <mergeCell ref="A1:E1"/>
    <mergeCell ref="A2:E2"/>
    <mergeCell ref="A28:E28"/>
    <mergeCell ref="A29:E29"/>
    <mergeCell ref="A30:E30"/>
  </mergeCells>
  <conditionalFormatting sqref="B9">
    <cfRule type="colorScale" priority="2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70"/>
  </cols>
  <sheetData>
    <row r="1" customFormat="false" ht="27.75" hidden="false" customHeight="true" outlineLevel="0" collapsed="false">
      <c r="A1" s="2" t="s">
        <v>32</v>
      </c>
      <c r="B1" s="2"/>
      <c r="C1" s="2"/>
    </row>
    <row r="2" customFormat="false" ht="18" hidden="false" customHeight="true" outlineLevel="0" collapsed="false">
      <c r="A2" s="19" t="s">
        <v>33</v>
      </c>
      <c r="B2" s="19"/>
      <c r="C2" s="19"/>
    </row>
    <row r="3" customFormat="false" ht="30" hidden="false" customHeight="true" outlineLevel="0" collapsed="false">
      <c r="A3" s="20" t="s">
        <v>34</v>
      </c>
      <c r="B3" s="20" t="s">
        <v>35</v>
      </c>
      <c r="C3" s="20" t="s">
        <v>36</v>
      </c>
    </row>
    <row r="4" customFormat="false" ht="21.75" hidden="false" customHeight="true" outlineLevel="0" collapsed="false">
      <c r="A4" s="21" t="s">
        <v>37</v>
      </c>
      <c r="B4" s="21" t="s">
        <v>38</v>
      </c>
      <c r="C4" s="21" t="s">
        <v>37</v>
      </c>
    </row>
    <row r="5" customFormat="false" ht="15" hidden="false" customHeight="true" outlineLevel="0" collapsed="false">
      <c r="A5" s="5" t="s">
        <v>39</v>
      </c>
      <c r="B5" s="8" t="n">
        <f aca="false">IFERROR(FX_FREE/FX_NIMA-1,"")</f>
        <v>0.325905292479109</v>
      </c>
      <c r="C5" s="22" t="str">
        <f aca="false">IF($B5="","",IF($B5&gt;=0.5,"شکاف بسیار زیاد — فشار ارزی شدید",IF($B5&gt;=0.25,"شکاف زیاد",IF($B5&gt;=0.1,"شکاف متعارف","شکاف کم"))))</f>
        <v>شکاف زیاد</v>
      </c>
    </row>
    <row r="6" customFormat="false" ht="15" hidden="false" customHeight="true" outlineLevel="0" collapsed="false">
      <c r="A6" s="5" t="s">
        <v>40</v>
      </c>
      <c r="B6" s="8" t="n">
        <f aca="false">IFERROR(FX_USDT/FX_FREE-1,"")</f>
        <v>0.0183823529411764</v>
      </c>
      <c r="C6" s="22" t="str">
        <f aca="false">IF($B6="","",IF($B6&gt;=0.04,"تقاضای فوری خروج از ریال",IF($B6&gt;=0.015,"پریمیوم بالاتر از عادی",IF($B6&lt;=-0.01,"تخفیف تتر — نادر","پریمیوم عادی"))))</f>
        <v>پریمیوم بالاتر از عادی</v>
      </c>
    </row>
    <row r="7" customFormat="false" ht="15" hidden="false" customHeight="true" outlineLevel="0" collapsed="false">
      <c r="A7" s="5" t="s">
        <v>41</v>
      </c>
      <c r="B7" s="8" t="n">
        <f aca="false">IFERROR(FX_USDT/(FX_FREE*USDT_GLOBAL)-1,"")</f>
        <v>0.018178717197737</v>
      </c>
      <c r="C7" s="22" t="str">
        <f aca="false">IF($B7="","","انحراف تتر جهانی از ۱ هم لحاظ شده")</f>
        <v>انحراف تتر جهانی از ۱ هم لحاظ شده</v>
      </c>
    </row>
    <row r="8" customFormat="false" ht="15" hidden="false" customHeight="true" outlineLevel="0" collapsed="false">
      <c r="A8" s="5" t="s">
        <v>42</v>
      </c>
      <c r="B8" s="7" t="n">
        <f aca="false">IFERROR(FX_USDT/USDT_GLOBAL,"")</f>
        <v>969306.138772246</v>
      </c>
      <c r="C8" s="22" t="str">
        <f aca="false">IF($B8="","","اگر با دلار آزاد فاصله زیاد دارد، یکی از دو بازار عقب است")</f>
        <v>اگر با دلار آزاد فاصله زیاد دارد، یکی از دو بازار عقب است</v>
      </c>
    </row>
    <row r="9" customFormat="false" ht="15" hidden="false" customHeight="true" outlineLevel="0" collapsed="false">
      <c r="A9" s="5" t="s">
        <v>43</v>
      </c>
      <c r="B9" s="7" t="n">
        <f aca="false">IFERROR(FX_COIN/(1+FX_COIN_BUBBLE)/(7.3197*(FX_GOLD_OZ/31.1034768)),"")</f>
        <v>955013.62589647</v>
      </c>
      <c r="C9" s="22" t="str">
        <f aca="false">IF($B9="","","با فرض حباب واردشده؛ به فرض حباب بسیار حساس است")</f>
        <v>با فرض حباب واردشده؛ به فرض حباب بسیار حساس است</v>
      </c>
    </row>
    <row r="10" customFormat="false" ht="15" hidden="false" customHeight="true" outlineLevel="0" collapsed="false">
      <c r="A10" s="5" t="s">
        <v>44</v>
      </c>
      <c r="B10" s="8" t="n">
        <f aca="false">IFERROR($B9/FX_FREE-1,"")</f>
        <v>0.0031655734206617</v>
      </c>
      <c r="C10" s="22" t="str">
        <f aca="false">IF($B10="","",IF(ABS($B10)&gt;=0.08,"واگرایی معنادار — یکی از بازارها تعدیل نشده","سازگار"))</f>
        <v>سازگار</v>
      </c>
    </row>
    <row r="11" customFormat="false" ht="15" hidden="false" customHeight="true" outlineLevel="0" collapsed="false">
      <c r="A11" s="5" t="s">
        <v>45</v>
      </c>
      <c r="B11" s="23" t="n">
        <f aca="false">IFERROR(FX_EUR/FX_FREE,"")</f>
        <v>1.08718487394958</v>
      </c>
      <c r="C11" s="22" t="str">
        <f aca="false">IF($B11="","","با نرخ جهانی یورو مقایسه کنید")</f>
        <v>با نرخ جهانی یورو مقایسه کنید</v>
      </c>
    </row>
    <row r="12" customFormat="false" ht="15" hidden="false" customHeight="true" outlineLevel="0" collapsed="false">
      <c r="A12" s="5" t="s">
        <v>46</v>
      </c>
      <c r="B12" s="24" t="n">
        <f aca="false">IFERROR(FX_AED/FX_FREE,"")</f>
        <v>0.272373949579832</v>
      </c>
      <c r="C12" s="22" t="str">
        <f aca="false">IF($B12="","","نرخ رسمی درهم حدود ۰٫۲۷۲۳ است")</f>
        <v>نرخ رسمی درهم حدود ۰٫۲۷۲۳ است</v>
      </c>
    </row>
    <row r="13" customFormat="false" ht="15" hidden="false" customHeight="true" outlineLevel="0" collapsed="false">
      <c r="A13" s="5" t="s">
        <v>47</v>
      </c>
      <c r="B13" s="8" t="n">
        <f aca="false">IFERROR(FX_FREE/FX_FREE_0-1,"")</f>
        <v>0.586666666666667</v>
      </c>
    </row>
    <row r="14" customFormat="false" ht="15" hidden="false" customHeight="true" outlineLevel="0" collapsed="false">
      <c r="A14" s="5" t="s">
        <v>48</v>
      </c>
      <c r="B14" s="8" t="n">
        <f aca="false">IFERROR(FX_USDT/FX_USDT_0-1,"")</f>
        <v>0.584150326797386</v>
      </c>
    </row>
    <row r="15" customFormat="false" ht="15" hidden="false" customHeight="true" outlineLevel="0" collapsed="false">
      <c r="A15" s="5" t="s">
        <v>49</v>
      </c>
      <c r="B15" s="8" t="n">
        <f aca="false">IFERROR((FX_USDT/FX_FREE)/(FX_USDT_0/FX_FREE_0)-1,"")</f>
        <v>-0.00158592848904271</v>
      </c>
      <c r="C15" s="22" t="str">
        <f aca="false">IF($B15="","",IF($B15&gt;0,"پریمیوم باز شده — فشار بیشتر","پریمیوم بسته شده"))</f>
        <v>پریمیوم بسته شده</v>
      </c>
    </row>
    <row r="17" customFormat="false" ht="15" hidden="false" customHeight="true" outlineLevel="0" collapsed="false">
      <c r="A17" s="25" t="s">
        <v>50</v>
      </c>
      <c r="B17" s="25"/>
      <c r="C17" s="25"/>
    </row>
  </sheetData>
  <mergeCells count="3">
    <mergeCell ref="A1:C1"/>
    <mergeCell ref="A2:C2"/>
    <mergeCell ref="A17:C17"/>
  </mergeCells>
  <conditionalFormatting sqref="B5">
    <cfRule type="colorScale" priority="2">
      <colorScale>
        <cfvo type="num" val="0"/>
        <cfvo type="num" val="0.25"/>
        <cfvo type="num" val="0.6"/>
        <color rgb="FF00B050"/>
        <color rgb="FFFFFFFF"/>
        <color rgb="FFC00000"/>
      </colorScale>
    </cfRule>
  </conditionalFormatting>
  <conditionalFormatting sqref="B6">
    <cfRule type="colorScale" priority="3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48"/>
    <col collapsed="false" customWidth="true" hidden="false" outlineLevel="0" max="4" min="4" style="1" width="3"/>
  </cols>
  <sheetData>
    <row r="1" customFormat="false" ht="27.75" hidden="false" customHeight="true" outlineLevel="0" collapsed="false">
      <c r="A1" s="2" t="s">
        <v>51</v>
      </c>
      <c r="B1" s="2"/>
      <c r="C1" s="2"/>
      <c r="D1" s="2"/>
    </row>
    <row r="2" customFormat="false" ht="18" hidden="false" customHeight="true" outlineLevel="0" collapsed="false">
      <c r="A2" s="19" t="s">
        <v>52</v>
      </c>
      <c r="B2" s="19"/>
      <c r="C2" s="19"/>
      <c r="D2" s="19"/>
    </row>
    <row r="4" customFormat="false" ht="19.5" hidden="false" customHeight="true" outlineLevel="0" collapsed="false">
      <c r="A4" s="26" t="s">
        <v>53</v>
      </c>
      <c r="B4" s="26"/>
      <c r="C4" s="26"/>
    </row>
    <row r="5" customFormat="false" ht="15" hidden="false" customHeight="true" outlineLevel="0" collapsed="false">
      <c r="A5" s="5" t="s">
        <v>3</v>
      </c>
      <c r="B5" s="27" t="n">
        <v>952000</v>
      </c>
      <c r="C5" s="28" t="s">
        <v>54</v>
      </c>
    </row>
    <row r="6" customFormat="false" ht="15" hidden="false" customHeight="true" outlineLevel="0" collapsed="false">
      <c r="A6" s="5" t="s">
        <v>55</v>
      </c>
      <c r="B6" s="27" t="n">
        <v>718000</v>
      </c>
      <c r="C6" s="28" t="s">
        <v>56</v>
      </c>
    </row>
    <row r="7" customFormat="false" ht="15" hidden="false" customHeight="true" outlineLevel="0" collapsed="false">
      <c r="A7" s="5" t="s">
        <v>7</v>
      </c>
      <c r="B7" s="27" t="n">
        <v>969500</v>
      </c>
      <c r="C7" s="28" t="s">
        <v>57</v>
      </c>
    </row>
    <row r="8" customFormat="false" ht="15" hidden="false" customHeight="true" outlineLevel="0" collapsed="false">
      <c r="A8" s="5" t="s">
        <v>58</v>
      </c>
      <c r="B8" s="27" t="n">
        <v>1035000</v>
      </c>
      <c r="C8" s="28" t="s">
        <v>59</v>
      </c>
    </row>
    <row r="9" customFormat="false" ht="15" hidden="false" customHeight="true" outlineLevel="0" collapsed="false">
      <c r="A9" s="5" t="s">
        <v>60</v>
      </c>
      <c r="B9" s="27" t="n">
        <v>259300</v>
      </c>
      <c r="C9" s="28" t="s">
        <v>61</v>
      </c>
    </row>
    <row r="11" customFormat="false" ht="19.5" hidden="false" customHeight="true" outlineLevel="0" collapsed="false">
      <c r="A11" s="26" t="s">
        <v>62</v>
      </c>
      <c r="B11" s="26"/>
      <c r="C11" s="26"/>
    </row>
    <row r="12" customFormat="false" ht="15" hidden="false" customHeight="true" outlineLevel="0" collapsed="false">
      <c r="A12" s="5" t="s">
        <v>63</v>
      </c>
      <c r="B12" s="29" t="n">
        <v>1.0002</v>
      </c>
      <c r="C12" s="28" t="s">
        <v>64</v>
      </c>
    </row>
    <row r="13" customFormat="false" ht="15" hidden="false" customHeight="true" outlineLevel="0" collapsed="false">
      <c r="A13" s="5" t="s">
        <v>65</v>
      </c>
      <c r="B13" s="29" t="n">
        <v>98.4</v>
      </c>
      <c r="C13" s="28" t="s">
        <v>66</v>
      </c>
    </row>
    <row r="14" customFormat="false" ht="15" hidden="false" customHeight="true" outlineLevel="0" collapsed="false">
      <c r="A14" s="5" t="s">
        <v>67</v>
      </c>
      <c r="B14" s="29" t="n">
        <v>3412.5</v>
      </c>
      <c r="C14" s="28" t="s">
        <v>68</v>
      </c>
    </row>
    <row r="16" customFormat="false" ht="19.5" hidden="false" customHeight="true" outlineLevel="0" collapsed="false">
      <c r="A16" s="26" t="s">
        <v>69</v>
      </c>
      <c r="B16" s="26"/>
      <c r="C16" s="26"/>
    </row>
    <row r="17" customFormat="false" ht="15" hidden="false" customHeight="true" outlineLevel="0" collapsed="false">
      <c r="A17" s="5" t="s">
        <v>70</v>
      </c>
      <c r="B17" s="27" t="n">
        <v>905000000</v>
      </c>
      <c r="C17" s="28" t="s">
        <v>71</v>
      </c>
    </row>
    <row r="18" customFormat="false" ht="15" hidden="false" customHeight="true" outlineLevel="0" collapsed="false">
      <c r="A18" s="5" t="s">
        <v>72</v>
      </c>
      <c r="B18" s="30" t="n">
        <v>0.18</v>
      </c>
      <c r="C18" s="28" t="s">
        <v>73</v>
      </c>
    </row>
    <row r="20" customFormat="false" ht="19.5" hidden="false" customHeight="true" outlineLevel="0" collapsed="false">
      <c r="A20" s="26" t="s">
        <v>74</v>
      </c>
      <c r="B20" s="26"/>
      <c r="C20" s="26"/>
    </row>
    <row r="21" customFormat="false" ht="15" hidden="false" customHeight="true" outlineLevel="0" collapsed="false">
      <c r="A21" s="5" t="s">
        <v>75</v>
      </c>
      <c r="B21" s="27" t="n">
        <v>600000</v>
      </c>
      <c r="C21" s="28"/>
    </row>
    <row r="22" customFormat="false" ht="15" hidden="false" customHeight="true" outlineLevel="0" collapsed="false">
      <c r="A22" s="5" t="s">
        <v>76</v>
      </c>
      <c r="B22" s="27" t="n">
        <v>612000</v>
      </c>
      <c r="C22" s="28"/>
    </row>
    <row r="24" customFormat="false" ht="15" hidden="false" customHeight="true" outlineLevel="0" collapsed="false">
      <c r="A24" s="31" t="s">
        <v>77</v>
      </c>
      <c r="B24" s="31"/>
      <c r="C24" s="31"/>
    </row>
  </sheetData>
  <mergeCells count="3">
    <mergeCell ref="A1:D1"/>
    <mergeCell ref="A2:D2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16"/>
    <col collapsed="false" customWidth="true" hidden="false" outlineLevel="0" max="6" min="4" style="1" width="14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false" outlineLevel="0" max="11" min="9" style="1" width="14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2"/>
  </cols>
  <sheetData>
    <row r="1" customFormat="false" ht="27.75" hidden="false" customHeight="true" outlineLevel="0" collapsed="false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9" t="s">
        <v>79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customFormat="false" ht="30" hidden="false" customHeight="true" outlineLevel="0" collapsed="false">
      <c r="A3" s="20" t="s">
        <v>80</v>
      </c>
      <c r="B3" s="20" t="s">
        <v>16</v>
      </c>
      <c r="C3" s="20" t="s">
        <v>17</v>
      </c>
      <c r="D3" s="20" t="s">
        <v>81</v>
      </c>
      <c r="E3" s="20" t="s">
        <v>82</v>
      </c>
      <c r="F3" s="20" t="s">
        <v>83</v>
      </c>
      <c r="G3" s="20" t="s">
        <v>84</v>
      </c>
      <c r="H3" s="20" t="s">
        <v>85</v>
      </c>
      <c r="I3" s="20" t="s">
        <v>19</v>
      </c>
      <c r="J3" s="20" t="s">
        <v>20</v>
      </c>
      <c r="K3" s="20" t="s">
        <v>21</v>
      </c>
      <c r="L3" s="20" t="s">
        <v>86</v>
      </c>
      <c r="M3" s="20" t="s">
        <v>23</v>
      </c>
      <c r="N3" s="20" t="s">
        <v>24</v>
      </c>
      <c r="O3" s="20" t="s">
        <v>25</v>
      </c>
    </row>
    <row r="4" customFormat="false" ht="21.75" hidden="false" customHeight="true" outlineLevel="0" collapsed="false">
      <c r="A4" s="21" t="s">
        <v>37</v>
      </c>
      <c r="B4" s="21" t="s">
        <v>37</v>
      </c>
      <c r="C4" s="21" t="s">
        <v>87</v>
      </c>
      <c r="D4" s="21" t="s">
        <v>88</v>
      </c>
      <c r="E4" s="21" t="s">
        <v>89</v>
      </c>
      <c r="F4" s="21" t="s">
        <v>90</v>
      </c>
      <c r="G4" s="21" t="s">
        <v>91</v>
      </c>
      <c r="H4" s="21" t="s">
        <v>37</v>
      </c>
      <c r="I4" s="21" t="s">
        <v>92</v>
      </c>
      <c r="J4" s="21" t="s">
        <v>93</v>
      </c>
      <c r="K4" s="21" t="s">
        <v>94</v>
      </c>
      <c r="L4" s="21" t="s">
        <v>37</v>
      </c>
      <c r="M4" s="21" t="s">
        <v>37</v>
      </c>
      <c r="N4" s="21" t="s">
        <v>37</v>
      </c>
      <c r="O4" s="21" t="s">
        <v>37</v>
      </c>
    </row>
    <row r="5" customFormat="false" ht="15" hidden="false" customHeight="true" outlineLevel="0" collapsed="false">
      <c r="A5" s="32" t="n">
        <v>45570</v>
      </c>
      <c r="B5" s="33" t="s">
        <v>95</v>
      </c>
      <c r="C5" s="34" t="n">
        <v>955208</v>
      </c>
      <c r="D5" s="34" t="n">
        <v>955316</v>
      </c>
      <c r="E5" s="34" t="n">
        <v>954576</v>
      </c>
      <c r="F5" s="34" t="n">
        <v>0</v>
      </c>
      <c r="G5" s="35" t="n">
        <f aca="false">IF($A5="","",IF(ISNUMBER($G4),$G4+1,1))</f>
        <v>1</v>
      </c>
      <c r="H5" s="36" t="str">
        <f aca="false">IF(OR(NOT(ISNUMBER($G5)),$G5&lt;2,NOT(ISNUMBER($C4)),$C4=0),"",$C5/$C4-1)</f>
        <v/>
      </c>
      <c r="I5" s="37" t="str">
        <f aca="false">IF(AND(ISNUMBER($G5),$G5&gt;=MA_SHORT),AVERAGE(INDEX($C$5:$C5,2-MA_SHORT):$C5),"")</f>
        <v/>
      </c>
      <c r="J5" s="37" t="str">
        <f aca="false">IF(AND(ISNUMBER($G5),$G5&gt;=MA_MED),AVERAGE(INDEX($C$5:$C5,2-MA_MED):$C5),"")</f>
        <v/>
      </c>
      <c r="K5" s="37" t="str">
        <f aca="false">IF(AND(ISNUMBER($G5),$G5&gt;=MA_LONG2),AVERAGE(INDEX($C$5:$C5,2-MA_LONG2):$C5),"")</f>
        <v/>
      </c>
      <c r="L5" s="38" t="str">
        <f aca="false">IF(AND(ISNUMBER($G5),$G5&gt;=21),STDEV(INDEX($H$5:$H5,2-20):$H5)*SQRT(245),"")</f>
        <v/>
      </c>
      <c r="M5" s="37" t="str">
        <f aca="false">IF(AND(ISNUMBER($G5),$G5&gt;=60),MAX(INDEX($D$5:$D5,2-60):$D5),"")</f>
        <v/>
      </c>
      <c r="N5" s="37" t="str">
        <f aca="false">IF(AND(ISNUMBER($G5),$G5&gt;=60),MIN(INDEX($E$5:$E5,2-60):$E5),"")</f>
        <v/>
      </c>
      <c r="O5" s="38" t="str">
        <f aca="false">IF(OR(NOT(ISNUMBER($C5)),NOT(ISNUMBER($M5)),$M5=0),"",$C5/$M5-1)</f>
        <v/>
      </c>
    </row>
    <row r="6" customFormat="false" ht="15" hidden="false" customHeight="true" outlineLevel="0" collapsed="false">
      <c r="A6" s="32" t="n">
        <v>45571</v>
      </c>
      <c r="B6" s="33" t="s">
        <v>96</v>
      </c>
      <c r="C6" s="34" t="n">
        <v>951961</v>
      </c>
      <c r="D6" s="34" t="n">
        <v>952509</v>
      </c>
      <c r="E6" s="34" t="n">
        <v>947184</v>
      </c>
      <c r="F6" s="34" t="n">
        <v>0</v>
      </c>
      <c r="G6" s="35" t="n">
        <f aca="false">IF($A6="","",IF(ISNUMBER($G5),$G5+1,1))</f>
        <v>2</v>
      </c>
      <c r="H6" s="36" t="n">
        <f aca="false">IF(OR(NOT(ISNUMBER($G6)),$G6&lt;2,NOT(ISNUMBER($C5)),$C5=0),"",$C6/$C5-1)</f>
        <v>-0.0033992596376915</v>
      </c>
      <c r="I6" s="37" t="str">
        <f aca="false">IF(AND(ISNUMBER($G6),$G6&gt;=MA_SHORT),AVERAGE(INDEX($C$5:$C6,3-MA_SHORT):$C6),"")</f>
        <v/>
      </c>
      <c r="J6" s="37" t="str">
        <f aca="false">IF(AND(ISNUMBER($G6),$G6&gt;=MA_MED),AVERAGE(INDEX($C$5:$C6,3-MA_MED):$C6),"")</f>
        <v/>
      </c>
      <c r="K6" s="37" t="str">
        <f aca="false">IF(AND(ISNUMBER($G6),$G6&gt;=MA_LONG2),AVERAGE(INDEX($C$5:$C6,3-MA_LONG2):$C6),"")</f>
        <v/>
      </c>
      <c r="L6" s="38" t="str">
        <f aca="false">IF(AND(ISNUMBER($G6),$G6&gt;=21),STDEV(INDEX($H$5:$H6,3-20):$H6)*SQRT(245),"")</f>
        <v/>
      </c>
      <c r="M6" s="37" t="str">
        <f aca="false">IF(AND(ISNUMBER($G6),$G6&gt;=60),MAX(INDEX($D$5:$D6,3-60):$D6),"")</f>
        <v/>
      </c>
      <c r="N6" s="37" t="str">
        <f aca="false">IF(AND(ISNUMBER($G6),$G6&gt;=60),MIN(INDEX($E$5:$E6,3-60):$E6),"")</f>
        <v/>
      </c>
      <c r="O6" s="38" t="str">
        <f aca="false">IF(OR(NOT(ISNUMBER($C6)),NOT(ISNUMBER($M6)),$M6=0),"",$C6/$M6-1)</f>
        <v/>
      </c>
    </row>
    <row r="7" customFormat="false" ht="15" hidden="false" customHeight="true" outlineLevel="0" collapsed="false">
      <c r="A7" s="32" t="n">
        <v>45572</v>
      </c>
      <c r="B7" s="33" t="s">
        <v>97</v>
      </c>
      <c r="C7" s="34" t="n">
        <v>961466</v>
      </c>
      <c r="D7" s="34" t="n">
        <v>965254</v>
      </c>
      <c r="E7" s="34" t="n">
        <v>959130</v>
      </c>
      <c r="F7" s="34" t="n">
        <v>0</v>
      </c>
      <c r="G7" s="35" t="n">
        <f aca="false">IF($A7="","",IF(ISNUMBER($G6),$G6+1,1))</f>
        <v>3</v>
      </c>
      <c r="H7" s="36" t="n">
        <f aca="false">IF(OR(NOT(ISNUMBER($G7)),$G7&lt;2,NOT(ISNUMBER($C6)),$C6=0),"",$C7/$C6-1)</f>
        <v>0.00998465273262239</v>
      </c>
      <c r="I7" s="37" t="str">
        <f aca="false">IF(AND(ISNUMBER($G7),$G7&gt;=MA_SHORT),AVERAGE(INDEX($C$5:$C7,4-MA_SHORT):$C7),"")</f>
        <v/>
      </c>
      <c r="J7" s="37" t="str">
        <f aca="false">IF(AND(ISNUMBER($G7),$G7&gt;=MA_MED),AVERAGE(INDEX($C$5:$C7,4-MA_MED):$C7),"")</f>
        <v/>
      </c>
      <c r="K7" s="37" t="str">
        <f aca="false">IF(AND(ISNUMBER($G7),$G7&gt;=MA_LONG2),AVERAGE(INDEX($C$5:$C7,4-MA_LONG2):$C7),"")</f>
        <v/>
      </c>
      <c r="L7" s="38" t="str">
        <f aca="false">IF(AND(ISNUMBER($G7),$G7&gt;=21),STDEV(INDEX($H$5:$H7,4-20):$H7)*SQRT(245),"")</f>
        <v/>
      </c>
      <c r="M7" s="37" t="str">
        <f aca="false">IF(AND(ISNUMBER($G7),$G7&gt;=60),MAX(INDEX($D$5:$D7,4-60):$D7),"")</f>
        <v/>
      </c>
      <c r="N7" s="37" t="str">
        <f aca="false">IF(AND(ISNUMBER($G7),$G7&gt;=60),MIN(INDEX($E$5:$E7,4-60):$E7),"")</f>
        <v/>
      </c>
      <c r="O7" s="38" t="str">
        <f aca="false">IF(OR(NOT(ISNUMBER($C7)),NOT(ISNUMBER($M7)),$M7=0),"",$C7/$M7-1)</f>
        <v/>
      </c>
    </row>
    <row r="8" customFormat="false" ht="15" hidden="false" customHeight="true" outlineLevel="0" collapsed="false">
      <c r="A8" s="32" t="n">
        <v>45573</v>
      </c>
      <c r="B8" s="33" t="s">
        <v>98</v>
      </c>
      <c r="C8" s="34" t="n">
        <v>970634</v>
      </c>
      <c r="D8" s="34" t="n">
        <v>978953</v>
      </c>
      <c r="E8" s="34" t="n">
        <v>965540</v>
      </c>
      <c r="F8" s="34" t="n">
        <v>0</v>
      </c>
      <c r="G8" s="35" t="n">
        <f aca="false">IF($A8="","",IF(ISNUMBER($G7),$G7+1,1))</f>
        <v>4</v>
      </c>
      <c r="H8" s="36" t="n">
        <f aca="false">IF(OR(NOT(ISNUMBER($G8)),$G8&lt;2,NOT(ISNUMBER($C7)),$C7=0),"",$C8/$C7-1)</f>
        <v>0.00953543859065209</v>
      </c>
      <c r="I8" s="37" t="str">
        <f aca="false">IF(AND(ISNUMBER($G8),$G8&gt;=MA_SHORT),AVERAGE(INDEX($C$5:$C8,5-MA_SHORT):$C8),"")</f>
        <v/>
      </c>
      <c r="J8" s="37" t="str">
        <f aca="false">IF(AND(ISNUMBER($G8),$G8&gt;=MA_MED),AVERAGE(INDEX($C$5:$C8,5-MA_MED):$C8),"")</f>
        <v/>
      </c>
      <c r="K8" s="37" t="str">
        <f aca="false">IF(AND(ISNUMBER($G8),$G8&gt;=MA_LONG2),AVERAGE(INDEX($C$5:$C8,5-MA_LONG2):$C8),"")</f>
        <v/>
      </c>
      <c r="L8" s="38" t="str">
        <f aca="false">IF(AND(ISNUMBER($G8),$G8&gt;=21),STDEV(INDEX($H$5:$H8,5-20):$H8)*SQRT(245),"")</f>
        <v/>
      </c>
      <c r="M8" s="37" t="str">
        <f aca="false">IF(AND(ISNUMBER($G8),$G8&gt;=60),MAX(INDEX($D$5:$D8,5-60):$D8),"")</f>
        <v/>
      </c>
      <c r="N8" s="37" t="str">
        <f aca="false">IF(AND(ISNUMBER($G8),$G8&gt;=60),MIN(INDEX($E$5:$E8,5-60):$E8),"")</f>
        <v/>
      </c>
      <c r="O8" s="38" t="str">
        <f aca="false">IF(OR(NOT(ISNUMBER($C8)),NOT(ISNUMBER($M8)),$M8=0),"",$C8/$M8-1)</f>
        <v/>
      </c>
    </row>
    <row r="9" customFormat="false" ht="15" hidden="false" customHeight="true" outlineLevel="0" collapsed="false">
      <c r="A9" s="32" t="n">
        <v>45574</v>
      </c>
      <c r="B9" s="33" t="s">
        <v>99</v>
      </c>
      <c r="C9" s="34" t="n">
        <v>973179</v>
      </c>
      <c r="D9" s="34" t="n">
        <v>973506</v>
      </c>
      <c r="E9" s="34" t="n">
        <v>971587</v>
      </c>
      <c r="F9" s="34" t="n">
        <v>0</v>
      </c>
      <c r="G9" s="35" t="n">
        <f aca="false">IF($A9="","",IF(ISNUMBER($G8),$G8+1,1))</f>
        <v>5</v>
      </c>
      <c r="H9" s="36" t="n">
        <f aca="false">IF(OR(NOT(ISNUMBER($G9)),$G9&lt;2,NOT(ISNUMBER($C8)),$C8=0),"",$C9/$C8-1)</f>
        <v>0.00262199758096249</v>
      </c>
      <c r="I9" s="37" t="str">
        <f aca="false">IF(AND(ISNUMBER($G9),$G9&gt;=MA_SHORT),AVERAGE(INDEX($C$5:$C9,6-MA_SHORT):$C9),"")</f>
        <v/>
      </c>
      <c r="J9" s="37" t="str">
        <f aca="false">IF(AND(ISNUMBER($G9),$G9&gt;=MA_MED),AVERAGE(INDEX($C$5:$C9,6-MA_MED):$C9),"")</f>
        <v/>
      </c>
      <c r="K9" s="37" t="str">
        <f aca="false">IF(AND(ISNUMBER($G9),$G9&gt;=MA_LONG2),AVERAGE(INDEX($C$5:$C9,6-MA_LONG2):$C9),"")</f>
        <v/>
      </c>
      <c r="L9" s="38" t="str">
        <f aca="false">IF(AND(ISNUMBER($G9),$G9&gt;=21),STDEV(INDEX($H$5:$H9,6-20):$H9)*SQRT(245),"")</f>
        <v/>
      </c>
      <c r="M9" s="37" t="str">
        <f aca="false">IF(AND(ISNUMBER($G9),$G9&gt;=60),MAX(INDEX($D$5:$D9,6-60):$D9),"")</f>
        <v/>
      </c>
      <c r="N9" s="37" t="str">
        <f aca="false">IF(AND(ISNUMBER($G9),$G9&gt;=60),MIN(INDEX($E$5:$E9,6-60):$E9),"")</f>
        <v/>
      </c>
      <c r="O9" s="38" t="str">
        <f aca="false">IF(OR(NOT(ISNUMBER($C9)),NOT(ISNUMBER($M9)),$M9=0),"",$C9/$M9-1)</f>
        <v/>
      </c>
    </row>
    <row r="10" customFormat="false" ht="15" hidden="false" customHeight="true" outlineLevel="0" collapsed="false">
      <c r="A10" s="32" t="n">
        <v>45577</v>
      </c>
      <c r="B10" s="33" t="s">
        <v>100</v>
      </c>
      <c r="C10" s="34" t="n">
        <v>977586</v>
      </c>
      <c r="D10" s="34" t="n">
        <v>982415</v>
      </c>
      <c r="E10" s="34" t="n">
        <v>972102</v>
      </c>
      <c r="F10" s="34" t="n">
        <v>0</v>
      </c>
      <c r="G10" s="35" t="n">
        <f aca="false">IF($A10="","",IF(ISNUMBER($G9),$G9+1,1))</f>
        <v>6</v>
      </c>
      <c r="H10" s="36" t="n">
        <f aca="false">IF(OR(NOT(ISNUMBER($G10)),$G10&lt;2,NOT(ISNUMBER($C9)),$C9=0),"",$C10/$C9-1)</f>
        <v>0.00452845776573474</v>
      </c>
      <c r="I10" s="37" t="str">
        <f aca="false">IF(AND(ISNUMBER($G10),$G10&gt;=MA_SHORT),AVERAGE(INDEX($C$5:$C10,7-MA_SHORT):$C10),"")</f>
        <v/>
      </c>
      <c r="J10" s="37" t="str">
        <f aca="false">IF(AND(ISNUMBER($G10),$G10&gt;=MA_MED),AVERAGE(INDEX($C$5:$C10,7-MA_MED):$C10),"")</f>
        <v/>
      </c>
      <c r="K10" s="37" t="str">
        <f aca="false">IF(AND(ISNUMBER($G10),$G10&gt;=MA_LONG2),AVERAGE(INDEX($C$5:$C10,7-MA_LONG2):$C10),"")</f>
        <v/>
      </c>
      <c r="L10" s="38" t="str">
        <f aca="false">IF(AND(ISNUMBER($G10),$G10&gt;=21),STDEV(INDEX($H$5:$H10,7-20):$H10)*SQRT(245),"")</f>
        <v/>
      </c>
      <c r="M10" s="37" t="str">
        <f aca="false">IF(AND(ISNUMBER($G10),$G10&gt;=60),MAX(INDEX($D$5:$D10,7-60):$D10),"")</f>
        <v/>
      </c>
      <c r="N10" s="37" t="str">
        <f aca="false">IF(AND(ISNUMBER($G10),$G10&gt;=60),MIN(INDEX($E$5:$E10,7-60):$E10),"")</f>
        <v/>
      </c>
      <c r="O10" s="38" t="str">
        <f aca="false">IF(OR(NOT(ISNUMBER($C10)),NOT(ISNUMBER($M10)),$M10=0),"",$C10/$M10-1)</f>
        <v/>
      </c>
    </row>
    <row r="11" customFormat="false" ht="15" hidden="false" customHeight="true" outlineLevel="0" collapsed="false">
      <c r="A11" s="32" t="n">
        <v>45578</v>
      </c>
      <c r="B11" s="33" t="s">
        <v>101</v>
      </c>
      <c r="C11" s="34" t="n">
        <v>980179</v>
      </c>
      <c r="D11" s="34" t="n">
        <v>982172</v>
      </c>
      <c r="E11" s="34" t="n">
        <v>973209</v>
      </c>
      <c r="F11" s="34" t="n">
        <v>0</v>
      </c>
      <c r="G11" s="35" t="n">
        <f aca="false">IF($A11="","",IF(ISNUMBER($G10),$G10+1,1))</f>
        <v>7</v>
      </c>
      <c r="H11" s="36" t="n">
        <f aca="false">IF(OR(NOT(ISNUMBER($G11)),$G11&lt;2,NOT(ISNUMBER($C10)),$C10=0),"",$C11/$C10-1)</f>
        <v>0.00265245206048359</v>
      </c>
      <c r="I11" s="37" t="str">
        <f aca="false">IF(AND(ISNUMBER($G11),$G11&gt;=MA_SHORT),AVERAGE(INDEX($C$5:$C11,8-MA_SHORT):$C11),"")</f>
        <v/>
      </c>
      <c r="J11" s="37" t="str">
        <f aca="false">IF(AND(ISNUMBER($G11),$G11&gt;=MA_MED),AVERAGE(INDEX($C$5:$C11,8-MA_MED):$C11),"")</f>
        <v/>
      </c>
      <c r="K11" s="37" t="str">
        <f aca="false">IF(AND(ISNUMBER($G11),$G11&gt;=MA_LONG2),AVERAGE(INDEX($C$5:$C11,8-MA_LONG2):$C11),"")</f>
        <v/>
      </c>
      <c r="L11" s="38" t="str">
        <f aca="false">IF(AND(ISNUMBER($G11),$G11&gt;=21),STDEV(INDEX($H$5:$H11,8-20):$H11)*SQRT(245),"")</f>
        <v/>
      </c>
      <c r="M11" s="37" t="str">
        <f aca="false">IF(AND(ISNUMBER($G11),$G11&gt;=60),MAX(INDEX($D$5:$D11,8-60):$D11),"")</f>
        <v/>
      </c>
      <c r="N11" s="37" t="str">
        <f aca="false">IF(AND(ISNUMBER($G11),$G11&gt;=60),MIN(INDEX($E$5:$E11,8-60):$E11),"")</f>
        <v/>
      </c>
      <c r="O11" s="38" t="str">
        <f aca="false">IF(OR(NOT(ISNUMBER($C11)),NOT(ISNUMBER($M11)),$M11=0),"",$C11/$M11-1)</f>
        <v/>
      </c>
    </row>
    <row r="12" customFormat="false" ht="15" hidden="false" customHeight="true" outlineLevel="0" collapsed="false">
      <c r="A12" s="32" t="n">
        <v>45579</v>
      </c>
      <c r="B12" s="33" t="s">
        <v>102</v>
      </c>
      <c r="C12" s="34" t="n">
        <v>974842</v>
      </c>
      <c r="D12" s="34" t="n">
        <v>976057</v>
      </c>
      <c r="E12" s="34" t="n">
        <v>973285</v>
      </c>
      <c r="F12" s="34" t="n">
        <v>0</v>
      </c>
      <c r="G12" s="35" t="n">
        <f aca="false">IF($A12="","",IF(ISNUMBER($G11),$G11+1,1))</f>
        <v>8</v>
      </c>
      <c r="H12" s="36" t="n">
        <f aca="false">IF(OR(NOT(ISNUMBER($G12)),$G12&lt;2,NOT(ISNUMBER($C11)),$C11=0),"",$C12/$C11-1)</f>
        <v>-0.00544492383534023</v>
      </c>
      <c r="I12" s="37" t="str">
        <f aca="false">IF(AND(ISNUMBER($G12),$G12&gt;=MA_SHORT),AVERAGE(INDEX($C$5:$C12,9-MA_SHORT):$C12),"")</f>
        <v/>
      </c>
      <c r="J12" s="37" t="str">
        <f aca="false">IF(AND(ISNUMBER($G12),$G12&gt;=MA_MED),AVERAGE(INDEX($C$5:$C12,9-MA_MED):$C12),"")</f>
        <v/>
      </c>
      <c r="K12" s="37" t="str">
        <f aca="false">IF(AND(ISNUMBER($G12),$G12&gt;=MA_LONG2),AVERAGE(INDEX($C$5:$C12,9-MA_LONG2):$C12),"")</f>
        <v/>
      </c>
      <c r="L12" s="38" t="str">
        <f aca="false">IF(AND(ISNUMBER($G12),$G12&gt;=21),STDEV(INDEX($H$5:$H12,9-20):$H12)*SQRT(245),"")</f>
        <v/>
      </c>
      <c r="M12" s="37" t="str">
        <f aca="false">IF(AND(ISNUMBER($G12),$G12&gt;=60),MAX(INDEX($D$5:$D12,9-60):$D12),"")</f>
        <v/>
      </c>
      <c r="N12" s="37" t="str">
        <f aca="false">IF(AND(ISNUMBER($G12),$G12&gt;=60),MIN(INDEX($E$5:$E12,9-60):$E12),"")</f>
        <v/>
      </c>
      <c r="O12" s="38" t="str">
        <f aca="false">IF(OR(NOT(ISNUMBER($C12)),NOT(ISNUMBER($M12)),$M12=0),"",$C12/$M12-1)</f>
        <v/>
      </c>
    </row>
    <row r="13" customFormat="false" ht="15" hidden="false" customHeight="true" outlineLevel="0" collapsed="false">
      <c r="A13" s="32" t="n">
        <v>45580</v>
      </c>
      <c r="B13" s="33" t="s">
        <v>103</v>
      </c>
      <c r="C13" s="34" t="n">
        <v>989525</v>
      </c>
      <c r="D13" s="34" t="n">
        <v>997157</v>
      </c>
      <c r="E13" s="34" t="n">
        <v>988964</v>
      </c>
      <c r="F13" s="34" t="n">
        <v>0</v>
      </c>
      <c r="G13" s="35" t="n">
        <f aca="false">IF($A13="","",IF(ISNUMBER($G12),$G12+1,1))</f>
        <v>9</v>
      </c>
      <c r="H13" s="36" t="n">
        <f aca="false">IF(OR(NOT(ISNUMBER($G13)),$G13&lt;2,NOT(ISNUMBER($C12)),$C12=0),"",$C13/$C12-1)</f>
        <v>0.0150619279842272</v>
      </c>
      <c r="I13" s="37" t="str">
        <f aca="false">IF(AND(ISNUMBER($G13),$G13&gt;=MA_SHORT),AVERAGE(INDEX($C$5:$C13,10-MA_SHORT):$C13),"")</f>
        <v/>
      </c>
      <c r="J13" s="37" t="str">
        <f aca="false">IF(AND(ISNUMBER($G13),$G13&gt;=MA_MED),AVERAGE(INDEX($C$5:$C13,10-MA_MED):$C13),"")</f>
        <v/>
      </c>
      <c r="K13" s="37" t="str">
        <f aca="false">IF(AND(ISNUMBER($G13),$G13&gt;=MA_LONG2),AVERAGE(INDEX($C$5:$C13,10-MA_LONG2):$C13),"")</f>
        <v/>
      </c>
      <c r="L13" s="38" t="str">
        <f aca="false">IF(AND(ISNUMBER($G13),$G13&gt;=21),STDEV(INDEX($H$5:$H13,10-20):$H13)*SQRT(245),"")</f>
        <v/>
      </c>
      <c r="M13" s="37" t="str">
        <f aca="false">IF(AND(ISNUMBER($G13),$G13&gt;=60),MAX(INDEX($D$5:$D13,10-60):$D13),"")</f>
        <v/>
      </c>
      <c r="N13" s="37" t="str">
        <f aca="false">IF(AND(ISNUMBER($G13),$G13&gt;=60),MIN(INDEX($E$5:$E13,10-60):$E13),"")</f>
        <v/>
      </c>
      <c r="O13" s="38" t="str">
        <f aca="false">IF(OR(NOT(ISNUMBER($C13)),NOT(ISNUMBER($M13)),$M13=0),"",$C13/$M13-1)</f>
        <v/>
      </c>
    </row>
    <row r="14" customFormat="false" ht="15" hidden="false" customHeight="true" outlineLevel="0" collapsed="false">
      <c r="A14" s="32" t="n">
        <v>45581</v>
      </c>
      <c r="B14" s="33" t="s">
        <v>104</v>
      </c>
      <c r="C14" s="34" t="n">
        <v>972759</v>
      </c>
      <c r="D14" s="34" t="n">
        <v>973787</v>
      </c>
      <c r="E14" s="34" t="n">
        <v>967653</v>
      </c>
      <c r="F14" s="34" t="n">
        <v>0</v>
      </c>
      <c r="G14" s="35" t="n">
        <f aca="false">IF($A14="","",IF(ISNUMBER($G13),$G13+1,1))</f>
        <v>10</v>
      </c>
      <c r="H14" s="36" t="n">
        <f aca="false">IF(OR(NOT(ISNUMBER($G14)),$G14&lt;2,NOT(ISNUMBER($C13)),$C13=0),"",$C14/$C13-1)</f>
        <v>-0.0169434829842601</v>
      </c>
      <c r="I14" s="37" t="str">
        <f aca="false">IF(AND(ISNUMBER($G14),$G14&gt;=MA_SHORT),AVERAGE(INDEX($C$5:$C14,11-MA_SHORT):$C14),"")</f>
        <v/>
      </c>
      <c r="J14" s="37" t="str">
        <f aca="false">IF(AND(ISNUMBER($G14),$G14&gt;=MA_MED),AVERAGE(INDEX($C$5:$C14,11-MA_MED):$C14),"")</f>
        <v/>
      </c>
      <c r="K14" s="37" t="str">
        <f aca="false">IF(AND(ISNUMBER($G14),$G14&gt;=MA_LONG2),AVERAGE(INDEX($C$5:$C14,11-MA_LONG2):$C14),"")</f>
        <v/>
      </c>
      <c r="L14" s="38" t="str">
        <f aca="false">IF(AND(ISNUMBER($G14),$G14&gt;=21),STDEV(INDEX($H$5:$H14,11-20):$H14)*SQRT(245),"")</f>
        <v/>
      </c>
      <c r="M14" s="37" t="str">
        <f aca="false">IF(AND(ISNUMBER($G14),$G14&gt;=60),MAX(INDEX($D$5:$D14,11-60):$D14),"")</f>
        <v/>
      </c>
      <c r="N14" s="37" t="str">
        <f aca="false">IF(AND(ISNUMBER($G14),$G14&gt;=60),MIN(INDEX($E$5:$E14,11-60):$E14),"")</f>
        <v/>
      </c>
      <c r="O14" s="38" t="str">
        <f aca="false">IF(OR(NOT(ISNUMBER($C14)),NOT(ISNUMBER($M14)),$M14=0),"",$C14/$M14-1)</f>
        <v/>
      </c>
    </row>
    <row r="15" customFormat="false" ht="15" hidden="false" customHeight="true" outlineLevel="0" collapsed="false">
      <c r="A15" s="32" t="n">
        <v>45584</v>
      </c>
      <c r="B15" s="33" t="s">
        <v>105</v>
      </c>
      <c r="C15" s="34" t="n">
        <v>973102</v>
      </c>
      <c r="D15" s="34" t="n">
        <v>975003</v>
      </c>
      <c r="E15" s="34" t="n">
        <v>972938</v>
      </c>
      <c r="F15" s="34" t="n">
        <v>0</v>
      </c>
      <c r="G15" s="35" t="n">
        <f aca="false">IF($A15="","",IF(ISNUMBER($G14),$G14+1,1))</f>
        <v>11</v>
      </c>
      <c r="H15" s="36" t="n">
        <f aca="false">IF(OR(NOT(ISNUMBER($G15)),$G15&lt;2,NOT(ISNUMBER($C14)),$C14=0),"",$C15/$C14-1)</f>
        <v>0.000352605321564781</v>
      </c>
      <c r="I15" s="37" t="str">
        <f aca="false">IF(AND(ISNUMBER($G15),$G15&gt;=MA_SHORT),AVERAGE(INDEX($C$5:$C15,12-MA_SHORT):$C15),"")</f>
        <v/>
      </c>
      <c r="J15" s="37" t="str">
        <f aca="false">IF(AND(ISNUMBER($G15),$G15&gt;=MA_MED),AVERAGE(INDEX($C$5:$C15,12-MA_MED):$C15),"")</f>
        <v/>
      </c>
      <c r="K15" s="37" t="str">
        <f aca="false">IF(AND(ISNUMBER($G15),$G15&gt;=MA_LONG2),AVERAGE(INDEX($C$5:$C15,12-MA_LONG2):$C15),"")</f>
        <v/>
      </c>
      <c r="L15" s="38" t="str">
        <f aca="false">IF(AND(ISNUMBER($G15),$G15&gt;=21),STDEV(INDEX($H$5:$H15,12-20):$H15)*SQRT(245),"")</f>
        <v/>
      </c>
      <c r="M15" s="37" t="str">
        <f aca="false">IF(AND(ISNUMBER($G15),$G15&gt;=60),MAX(INDEX($D$5:$D15,12-60):$D15),"")</f>
        <v/>
      </c>
      <c r="N15" s="37" t="str">
        <f aca="false">IF(AND(ISNUMBER($G15),$G15&gt;=60),MIN(INDEX($E$5:$E15,12-60):$E15),"")</f>
        <v/>
      </c>
      <c r="O15" s="38" t="str">
        <f aca="false">IF(OR(NOT(ISNUMBER($C15)),NOT(ISNUMBER($M15)),$M15=0),"",$C15/$M15-1)</f>
        <v/>
      </c>
    </row>
    <row r="16" customFormat="false" ht="15" hidden="false" customHeight="true" outlineLevel="0" collapsed="false">
      <c r="A16" s="32" t="n">
        <v>45585</v>
      </c>
      <c r="B16" s="33" t="s">
        <v>106</v>
      </c>
      <c r="C16" s="34" t="n">
        <v>976672</v>
      </c>
      <c r="D16" s="34" t="n">
        <v>978159</v>
      </c>
      <c r="E16" s="34" t="n">
        <v>974132</v>
      </c>
      <c r="F16" s="34" t="n">
        <v>0</v>
      </c>
      <c r="G16" s="35" t="n">
        <f aca="false">IF($A16="","",IF(ISNUMBER($G15),$G15+1,1))</f>
        <v>12</v>
      </c>
      <c r="H16" s="36" t="n">
        <f aca="false">IF(OR(NOT(ISNUMBER($G16)),$G16&lt;2,NOT(ISNUMBER($C15)),$C15=0),"",$C16/$C15-1)</f>
        <v>0.00366868015891453</v>
      </c>
      <c r="I16" s="37" t="str">
        <f aca="false">IF(AND(ISNUMBER($G16),$G16&gt;=MA_SHORT),AVERAGE(INDEX($C$5:$C16,13-MA_SHORT):$C16),"")</f>
        <v/>
      </c>
      <c r="J16" s="37" t="str">
        <f aca="false">IF(AND(ISNUMBER($G16),$G16&gt;=MA_MED),AVERAGE(INDEX($C$5:$C16,13-MA_MED):$C16),"")</f>
        <v/>
      </c>
      <c r="K16" s="37" t="str">
        <f aca="false">IF(AND(ISNUMBER($G16),$G16&gt;=MA_LONG2),AVERAGE(INDEX($C$5:$C16,13-MA_LONG2):$C16),"")</f>
        <v/>
      </c>
      <c r="L16" s="38" t="str">
        <f aca="false">IF(AND(ISNUMBER($G16),$G16&gt;=21),STDEV(INDEX($H$5:$H16,13-20):$H16)*SQRT(245),"")</f>
        <v/>
      </c>
      <c r="M16" s="37" t="str">
        <f aca="false">IF(AND(ISNUMBER($G16),$G16&gt;=60),MAX(INDEX($D$5:$D16,13-60):$D16),"")</f>
        <v/>
      </c>
      <c r="N16" s="37" t="str">
        <f aca="false">IF(AND(ISNUMBER($G16),$G16&gt;=60),MIN(INDEX($E$5:$E16,13-60):$E16),"")</f>
        <v/>
      </c>
      <c r="O16" s="38" t="str">
        <f aca="false">IF(OR(NOT(ISNUMBER($C16)),NOT(ISNUMBER($M16)),$M16=0),"",$C16/$M16-1)</f>
        <v/>
      </c>
    </row>
    <row r="17" customFormat="false" ht="15" hidden="false" customHeight="true" outlineLevel="0" collapsed="false">
      <c r="A17" s="32" t="n">
        <v>45586</v>
      </c>
      <c r="B17" s="33" t="s">
        <v>107</v>
      </c>
      <c r="C17" s="34" t="n">
        <v>967646</v>
      </c>
      <c r="D17" s="34" t="n">
        <v>972046</v>
      </c>
      <c r="E17" s="34" t="n">
        <v>958533</v>
      </c>
      <c r="F17" s="34" t="n">
        <v>0</v>
      </c>
      <c r="G17" s="35" t="n">
        <f aca="false">IF($A17="","",IF(ISNUMBER($G16),$G16+1,1))</f>
        <v>13</v>
      </c>
      <c r="H17" s="36" t="n">
        <f aca="false">IF(OR(NOT(ISNUMBER($G17)),$G17&lt;2,NOT(ISNUMBER($C16)),$C16=0),"",$C17/$C16-1)</f>
        <v>-0.00924158775924777</v>
      </c>
      <c r="I17" s="37" t="str">
        <f aca="false">IF(AND(ISNUMBER($G17),$G17&gt;=MA_SHORT),AVERAGE(INDEX($C$5:$C17,14-MA_SHORT):$C17),"")</f>
        <v/>
      </c>
      <c r="J17" s="37" t="str">
        <f aca="false">IF(AND(ISNUMBER($G17),$G17&gt;=MA_MED),AVERAGE(INDEX($C$5:$C17,14-MA_MED):$C17),"")</f>
        <v/>
      </c>
      <c r="K17" s="37" t="str">
        <f aca="false">IF(AND(ISNUMBER($G17),$G17&gt;=MA_LONG2),AVERAGE(INDEX($C$5:$C17,14-MA_LONG2):$C17),"")</f>
        <v/>
      </c>
      <c r="L17" s="38" t="str">
        <f aca="false">IF(AND(ISNUMBER($G17),$G17&gt;=21),STDEV(INDEX($H$5:$H17,14-20):$H17)*SQRT(245),"")</f>
        <v/>
      </c>
      <c r="M17" s="37" t="str">
        <f aca="false">IF(AND(ISNUMBER($G17),$G17&gt;=60),MAX(INDEX($D$5:$D17,14-60):$D17),"")</f>
        <v/>
      </c>
      <c r="N17" s="37" t="str">
        <f aca="false">IF(AND(ISNUMBER($G17),$G17&gt;=60),MIN(INDEX($E$5:$E17,14-60):$E17),"")</f>
        <v/>
      </c>
      <c r="O17" s="38" t="str">
        <f aca="false">IF(OR(NOT(ISNUMBER($C17)),NOT(ISNUMBER($M17)),$M17=0),"",$C17/$M17-1)</f>
        <v/>
      </c>
    </row>
    <row r="18" customFormat="false" ht="15" hidden="false" customHeight="true" outlineLevel="0" collapsed="false">
      <c r="A18" s="32" t="n">
        <v>45587</v>
      </c>
      <c r="B18" s="33" t="s">
        <v>108</v>
      </c>
      <c r="C18" s="34" t="n">
        <v>964632</v>
      </c>
      <c r="D18" s="34" t="n">
        <v>965256</v>
      </c>
      <c r="E18" s="34" t="n">
        <v>962941</v>
      </c>
      <c r="F18" s="34" t="n">
        <v>0</v>
      </c>
      <c r="G18" s="35" t="n">
        <f aca="false">IF($A18="","",IF(ISNUMBER($G17),$G17+1,1))</f>
        <v>14</v>
      </c>
      <c r="H18" s="36" t="n">
        <f aca="false">IF(OR(NOT(ISNUMBER($G18)),$G18&lt;2,NOT(ISNUMBER($C17)),$C17=0),"",$C18/$C17-1)</f>
        <v>-0.00311477544473904</v>
      </c>
      <c r="I18" s="37" t="str">
        <f aca="false">IF(AND(ISNUMBER($G18),$G18&gt;=MA_SHORT),AVERAGE(INDEX($C$5:$C18,15-MA_SHORT):$C18),"")</f>
        <v/>
      </c>
      <c r="J18" s="37" t="str">
        <f aca="false">IF(AND(ISNUMBER($G18),$G18&gt;=MA_MED),AVERAGE(INDEX($C$5:$C18,15-MA_MED):$C18),"")</f>
        <v/>
      </c>
      <c r="K18" s="37" t="str">
        <f aca="false">IF(AND(ISNUMBER($G18),$G18&gt;=MA_LONG2),AVERAGE(INDEX($C$5:$C18,15-MA_LONG2):$C18),"")</f>
        <v/>
      </c>
      <c r="L18" s="38" t="str">
        <f aca="false">IF(AND(ISNUMBER($G18),$G18&gt;=21),STDEV(INDEX($H$5:$H18,15-20):$H18)*SQRT(245),"")</f>
        <v/>
      </c>
      <c r="M18" s="37" t="str">
        <f aca="false">IF(AND(ISNUMBER($G18),$G18&gt;=60),MAX(INDEX($D$5:$D18,15-60):$D18),"")</f>
        <v/>
      </c>
      <c r="N18" s="37" t="str">
        <f aca="false">IF(AND(ISNUMBER($G18),$G18&gt;=60),MIN(INDEX($E$5:$E18,15-60):$E18),"")</f>
        <v/>
      </c>
      <c r="O18" s="38" t="str">
        <f aca="false">IF(OR(NOT(ISNUMBER($C18)),NOT(ISNUMBER($M18)),$M18=0),"",$C18/$M18-1)</f>
        <v/>
      </c>
    </row>
    <row r="19" customFormat="false" ht="15" hidden="false" customHeight="true" outlineLevel="0" collapsed="false">
      <c r="A19" s="32" t="n">
        <v>45588</v>
      </c>
      <c r="B19" s="33" t="s">
        <v>109</v>
      </c>
      <c r="C19" s="34" t="n">
        <v>957920</v>
      </c>
      <c r="D19" s="34" t="n">
        <v>960453</v>
      </c>
      <c r="E19" s="34" t="n">
        <v>956354</v>
      </c>
      <c r="F19" s="34" t="n">
        <v>0</v>
      </c>
      <c r="G19" s="35" t="n">
        <f aca="false">IF($A19="","",IF(ISNUMBER($G18),$G18+1,1))</f>
        <v>15</v>
      </c>
      <c r="H19" s="36" t="n">
        <f aca="false">IF(OR(NOT(ISNUMBER($G19)),$G19&lt;2,NOT(ISNUMBER($C18)),$C18=0),"",$C19/$C18-1)</f>
        <v>-0.006958093863774</v>
      </c>
      <c r="I19" s="37" t="str">
        <f aca="false">IF(AND(ISNUMBER($G19),$G19&gt;=MA_SHORT),AVERAGE(INDEX($C$5:$C19,16-MA_SHORT):$C19),"")</f>
        <v/>
      </c>
      <c r="J19" s="37" t="str">
        <f aca="false">IF(AND(ISNUMBER($G19),$G19&gt;=MA_MED),AVERAGE(INDEX($C$5:$C19,16-MA_MED):$C19),"")</f>
        <v/>
      </c>
      <c r="K19" s="37" t="str">
        <f aca="false">IF(AND(ISNUMBER($G19),$G19&gt;=MA_LONG2),AVERAGE(INDEX($C$5:$C19,16-MA_LONG2):$C19),"")</f>
        <v/>
      </c>
      <c r="L19" s="38" t="str">
        <f aca="false">IF(AND(ISNUMBER($G19),$G19&gt;=21),STDEV(INDEX($H$5:$H19,16-20):$H19)*SQRT(245),"")</f>
        <v/>
      </c>
      <c r="M19" s="37" t="str">
        <f aca="false">IF(AND(ISNUMBER($G19),$G19&gt;=60),MAX(INDEX($D$5:$D19,16-60):$D19),"")</f>
        <v/>
      </c>
      <c r="N19" s="37" t="str">
        <f aca="false">IF(AND(ISNUMBER($G19),$G19&gt;=60),MIN(INDEX($E$5:$E19,16-60):$E19),"")</f>
        <v/>
      </c>
      <c r="O19" s="38" t="str">
        <f aca="false">IF(OR(NOT(ISNUMBER($C19)),NOT(ISNUMBER($M19)),$M19=0),"",$C19/$M19-1)</f>
        <v/>
      </c>
    </row>
    <row r="20" customFormat="false" ht="15" hidden="false" customHeight="true" outlineLevel="0" collapsed="false">
      <c r="A20" s="32" t="n">
        <v>45591</v>
      </c>
      <c r="B20" s="33" t="s">
        <v>110</v>
      </c>
      <c r="C20" s="34" t="n">
        <v>962102</v>
      </c>
      <c r="D20" s="34" t="n">
        <v>965679</v>
      </c>
      <c r="E20" s="34" t="n">
        <v>959454</v>
      </c>
      <c r="F20" s="34" t="n">
        <v>0</v>
      </c>
      <c r="G20" s="35" t="n">
        <f aca="false">IF($A20="","",IF(ISNUMBER($G19),$G19+1,1))</f>
        <v>16</v>
      </c>
      <c r="H20" s="36" t="n">
        <f aca="false">IF(OR(NOT(ISNUMBER($G20)),$G20&lt;2,NOT(ISNUMBER($C19)),$C19=0),"",$C20/$C19-1)</f>
        <v>0.00436570903624522</v>
      </c>
      <c r="I20" s="37" t="str">
        <f aca="false">IF(AND(ISNUMBER($G20),$G20&gt;=MA_SHORT),AVERAGE(INDEX($C$5:$C20,17-MA_SHORT):$C20),"")</f>
        <v/>
      </c>
      <c r="J20" s="37" t="str">
        <f aca="false">IF(AND(ISNUMBER($G20),$G20&gt;=MA_MED),AVERAGE(INDEX($C$5:$C20,17-MA_MED):$C20),"")</f>
        <v/>
      </c>
      <c r="K20" s="37" t="str">
        <f aca="false">IF(AND(ISNUMBER($G20),$G20&gt;=MA_LONG2),AVERAGE(INDEX($C$5:$C20,17-MA_LONG2):$C20),"")</f>
        <v/>
      </c>
      <c r="L20" s="38" t="str">
        <f aca="false">IF(AND(ISNUMBER($G20),$G20&gt;=21),STDEV(INDEX($H$5:$H20,17-20):$H20)*SQRT(245),"")</f>
        <v/>
      </c>
      <c r="M20" s="37" t="str">
        <f aca="false">IF(AND(ISNUMBER($G20),$G20&gt;=60),MAX(INDEX($D$5:$D20,17-60):$D20),"")</f>
        <v/>
      </c>
      <c r="N20" s="37" t="str">
        <f aca="false">IF(AND(ISNUMBER($G20),$G20&gt;=60),MIN(INDEX($E$5:$E20,17-60):$E20),"")</f>
        <v/>
      </c>
      <c r="O20" s="38" t="str">
        <f aca="false">IF(OR(NOT(ISNUMBER($C20)),NOT(ISNUMBER($M20)),$M20=0),"",$C20/$M20-1)</f>
        <v/>
      </c>
    </row>
    <row r="21" customFormat="false" ht="15" hidden="false" customHeight="true" outlineLevel="0" collapsed="false">
      <c r="A21" s="32" t="n">
        <v>45592</v>
      </c>
      <c r="B21" s="33" t="s">
        <v>111</v>
      </c>
      <c r="C21" s="34" t="n">
        <v>970369</v>
      </c>
      <c r="D21" s="34" t="n">
        <v>972030</v>
      </c>
      <c r="E21" s="34" t="n">
        <v>965044</v>
      </c>
      <c r="F21" s="34" t="n">
        <v>0</v>
      </c>
      <c r="G21" s="35" t="n">
        <f aca="false">IF($A21="","",IF(ISNUMBER($G20),$G20+1,1))</f>
        <v>17</v>
      </c>
      <c r="H21" s="36" t="n">
        <f aca="false">IF(OR(NOT(ISNUMBER($G21)),$G21&lt;2,NOT(ISNUMBER($C20)),$C20=0),"",$C21/$C20-1)</f>
        <v>0.00859264402319093</v>
      </c>
      <c r="I21" s="37" t="str">
        <f aca="false">IF(AND(ISNUMBER($G21),$G21&gt;=MA_SHORT),AVERAGE(INDEX($C$5:$C21,18-MA_SHORT):$C21),"")</f>
        <v/>
      </c>
      <c r="J21" s="37" t="str">
        <f aca="false">IF(AND(ISNUMBER($G21),$G21&gt;=MA_MED),AVERAGE(INDEX($C$5:$C21,18-MA_MED):$C21),"")</f>
        <v/>
      </c>
      <c r="K21" s="37" t="str">
        <f aca="false">IF(AND(ISNUMBER($G21),$G21&gt;=MA_LONG2),AVERAGE(INDEX($C$5:$C21,18-MA_LONG2):$C21),"")</f>
        <v/>
      </c>
      <c r="L21" s="38" t="str">
        <f aca="false">IF(AND(ISNUMBER($G21),$G21&gt;=21),STDEV(INDEX($H$5:$H21,18-20):$H21)*SQRT(245),"")</f>
        <v/>
      </c>
      <c r="M21" s="37" t="str">
        <f aca="false">IF(AND(ISNUMBER($G21),$G21&gt;=60),MAX(INDEX($D$5:$D21,18-60):$D21),"")</f>
        <v/>
      </c>
      <c r="N21" s="37" t="str">
        <f aca="false">IF(AND(ISNUMBER($G21),$G21&gt;=60),MIN(INDEX($E$5:$E21,18-60):$E21),"")</f>
        <v/>
      </c>
      <c r="O21" s="38" t="str">
        <f aca="false">IF(OR(NOT(ISNUMBER($C21)),NOT(ISNUMBER($M21)),$M21=0),"",$C21/$M21-1)</f>
        <v/>
      </c>
    </row>
    <row r="22" customFormat="false" ht="15" hidden="false" customHeight="true" outlineLevel="0" collapsed="false">
      <c r="A22" s="32" t="n">
        <v>45593</v>
      </c>
      <c r="B22" s="33" t="s">
        <v>112</v>
      </c>
      <c r="C22" s="34" t="n">
        <v>949644</v>
      </c>
      <c r="D22" s="34" t="n">
        <v>954555</v>
      </c>
      <c r="E22" s="34" t="n">
        <v>948211</v>
      </c>
      <c r="F22" s="34" t="n">
        <v>0</v>
      </c>
      <c r="G22" s="35" t="n">
        <f aca="false">IF($A22="","",IF(ISNUMBER($G21),$G21+1,1))</f>
        <v>18</v>
      </c>
      <c r="H22" s="36" t="n">
        <f aca="false">IF(OR(NOT(ISNUMBER($G22)),$G22&lt;2,NOT(ISNUMBER($C21)),$C21=0),"",$C22/$C21-1)</f>
        <v>-0.0213578545893366</v>
      </c>
      <c r="I22" s="37" t="str">
        <f aca="false">IF(AND(ISNUMBER($G22),$G22&gt;=MA_SHORT),AVERAGE(INDEX($C$5:$C22,19-MA_SHORT):$C22),"")</f>
        <v/>
      </c>
      <c r="J22" s="37" t="str">
        <f aca="false">IF(AND(ISNUMBER($G22),$G22&gt;=MA_MED),AVERAGE(INDEX($C$5:$C22,19-MA_MED):$C22),"")</f>
        <v/>
      </c>
      <c r="K22" s="37" t="str">
        <f aca="false">IF(AND(ISNUMBER($G22),$G22&gt;=MA_LONG2),AVERAGE(INDEX($C$5:$C22,19-MA_LONG2):$C22),"")</f>
        <v/>
      </c>
      <c r="L22" s="38" t="str">
        <f aca="false">IF(AND(ISNUMBER($G22),$G22&gt;=21),STDEV(INDEX($H$5:$H22,19-20):$H22)*SQRT(245),"")</f>
        <v/>
      </c>
      <c r="M22" s="37" t="str">
        <f aca="false">IF(AND(ISNUMBER($G22),$G22&gt;=60),MAX(INDEX($D$5:$D22,19-60):$D22),"")</f>
        <v/>
      </c>
      <c r="N22" s="37" t="str">
        <f aca="false">IF(AND(ISNUMBER($G22),$G22&gt;=60),MIN(INDEX($E$5:$E22,19-60):$E22),"")</f>
        <v/>
      </c>
      <c r="O22" s="38" t="str">
        <f aca="false">IF(OR(NOT(ISNUMBER($C22)),NOT(ISNUMBER($M22)),$M22=0),"",$C22/$M22-1)</f>
        <v/>
      </c>
    </row>
    <row r="23" customFormat="false" ht="15" hidden="false" customHeight="true" outlineLevel="0" collapsed="false">
      <c r="A23" s="32" t="n">
        <v>45594</v>
      </c>
      <c r="B23" s="33" t="s">
        <v>113</v>
      </c>
      <c r="C23" s="34" t="n">
        <v>936515</v>
      </c>
      <c r="D23" s="34" t="n">
        <v>938204</v>
      </c>
      <c r="E23" s="34" t="n">
        <v>935570</v>
      </c>
      <c r="F23" s="34" t="n">
        <v>0</v>
      </c>
      <c r="G23" s="35" t="n">
        <f aca="false">IF($A23="","",IF(ISNUMBER($G22),$G22+1,1))</f>
        <v>19</v>
      </c>
      <c r="H23" s="36" t="n">
        <f aca="false">IF(OR(NOT(ISNUMBER($G23)),$G23&lt;2,NOT(ISNUMBER($C22)),$C22=0),"",$C23/$C22-1)</f>
        <v>-0.0138251808045963</v>
      </c>
      <c r="I23" s="37" t="str">
        <f aca="false">IF(AND(ISNUMBER($G23),$G23&gt;=MA_SHORT),AVERAGE(INDEX($C$5:$C23,20-MA_SHORT):$C23),"")</f>
        <v/>
      </c>
      <c r="J23" s="37" t="str">
        <f aca="false">IF(AND(ISNUMBER($G23),$G23&gt;=MA_MED),AVERAGE(INDEX($C$5:$C23,20-MA_MED):$C23),"")</f>
        <v/>
      </c>
      <c r="K23" s="37" t="str">
        <f aca="false">IF(AND(ISNUMBER($G23),$G23&gt;=MA_LONG2),AVERAGE(INDEX($C$5:$C23,20-MA_LONG2):$C23),"")</f>
        <v/>
      </c>
      <c r="L23" s="38" t="str">
        <f aca="false">IF(AND(ISNUMBER($G23),$G23&gt;=21),STDEV(INDEX($H$5:$H23,20-20):$H23)*SQRT(245),"")</f>
        <v/>
      </c>
      <c r="M23" s="37" t="str">
        <f aca="false">IF(AND(ISNUMBER($G23),$G23&gt;=60),MAX(INDEX($D$5:$D23,20-60):$D23),"")</f>
        <v/>
      </c>
      <c r="N23" s="37" t="str">
        <f aca="false">IF(AND(ISNUMBER($G23),$G23&gt;=60),MIN(INDEX($E$5:$E23,20-60):$E23),"")</f>
        <v/>
      </c>
      <c r="O23" s="38" t="str">
        <f aca="false">IF(OR(NOT(ISNUMBER($C23)),NOT(ISNUMBER($M23)),$M23=0),"",$C23/$M23-1)</f>
        <v/>
      </c>
    </row>
    <row r="24" customFormat="false" ht="15" hidden="false" customHeight="true" outlineLevel="0" collapsed="false">
      <c r="A24" s="32" t="n">
        <v>45595</v>
      </c>
      <c r="B24" s="33" t="s">
        <v>114</v>
      </c>
      <c r="C24" s="34" t="n">
        <v>940144</v>
      </c>
      <c r="D24" s="34" t="n">
        <v>941500</v>
      </c>
      <c r="E24" s="34" t="n">
        <v>938881</v>
      </c>
      <c r="F24" s="34" t="n">
        <v>0</v>
      </c>
      <c r="G24" s="35" t="n">
        <f aca="false">IF($A24="","",IF(ISNUMBER($G23),$G23+1,1))</f>
        <v>20</v>
      </c>
      <c r="H24" s="36" t="n">
        <f aca="false">IF(OR(NOT(ISNUMBER($G24)),$G24&lt;2,NOT(ISNUMBER($C23)),$C23=0),"",$C24/$C23-1)</f>
        <v>0.00387500467157498</v>
      </c>
      <c r="I24" s="37" t="n">
        <f aca="false">IF(AND(ISNUMBER($G24),$G24&gt;=MA_SHORT),AVERAGE(INDEX($C$5:$C24,21-MA_SHORT):$C24),"")</f>
        <v>965304.25</v>
      </c>
      <c r="J24" s="37" t="str">
        <f aca="false">IF(AND(ISNUMBER($G24),$G24&gt;=MA_MED),AVERAGE(INDEX($C$5:$C24,21-MA_MED):$C24),"")</f>
        <v/>
      </c>
      <c r="K24" s="37" t="str">
        <f aca="false">IF(AND(ISNUMBER($G24),$G24&gt;=MA_LONG2),AVERAGE(INDEX($C$5:$C24,21-MA_LONG2):$C24),"")</f>
        <v/>
      </c>
      <c r="L24" s="38" t="str">
        <f aca="false">IF(AND(ISNUMBER($G24),$G24&gt;=21),STDEV(INDEX($H$5:$H24,21-20):$H24)*SQRT(245),"")</f>
        <v/>
      </c>
      <c r="M24" s="37" t="str">
        <f aca="false">IF(AND(ISNUMBER($G24),$G24&gt;=60),MAX(INDEX($D$5:$D24,21-60):$D24),"")</f>
        <v/>
      </c>
      <c r="N24" s="37" t="str">
        <f aca="false">IF(AND(ISNUMBER($G24),$G24&gt;=60),MIN(INDEX($E$5:$E24,21-60):$E24),"")</f>
        <v/>
      </c>
      <c r="O24" s="38" t="str">
        <f aca="false">IF(OR(NOT(ISNUMBER($C24)),NOT(ISNUMBER($M24)),$M24=0),"",$C24/$M24-1)</f>
        <v/>
      </c>
    </row>
    <row r="25" customFormat="false" ht="15" hidden="false" customHeight="true" outlineLevel="0" collapsed="false">
      <c r="A25" s="32" t="n">
        <v>45598</v>
      </c>
      <c r="B25" s="33" t="s">
        <v>115</v>
      </c>
      <c r="C25" s="34" t="n">
        <v>934352</v>
      </c>
      <c r="D25" s="34" t="n">
        <v>938164</v>
      </c>
      <c r="E25" s="34" t="n">
        <v>931099</v>
      </c>
      <c r="F25" s="34" t="n">
        <v>0</v>
      </c>
      <c r="G25" s="35" t="n">
        <f aca="false">IF($A25="","",IF(ISNUMBER($G24),$G24+1,1))</f>
        <v>21</v>
      </c>
      <c r="H25" s="36" t="n">
        <f aca="false">IF(OR(NOT(ISNUMBER($G25)),$G25&lt;2,NOT(ISNUMBER($C24)),$C24=0),"",$C25/$C24-1)</f>
        <v>-0.0061607583519121</v>
      </c>
      <c r="I25" s="37" t="n">
        <f aca="false">IF(AND(ISNUMBER($G25),$G25&gt;=MA_SHORT),AVERAGE(INDEX($C$5:$C25,22-MA_SHORT):$C25),"")</f>
        <v>964261.45</v>
      </c>
      <c r="J25" s="37" t="str">
        <f aca="false">IF(AND(ISNUMBER($G25),$G25&gt;=MA_MED),AVERAGE(INDEX($C$5:$C25,22-MA_MED):$C25),"")</f>
        <v/>
      </c>
      <c r="K25" s="37" t="str">
        <f aca="false">IF(AND(ISNUMBER($G25),$G25&gt;=MA_LONG2),AVERAGE(INDEX($C$5:$C25,22-MA_LONG2):$C25),"")</f>
        <v/>
      </c>
      <c r="L25" s="38" t="n">
        <f aca="false">IF(AND(ISNUMBER($G25),$G25&gt;=21),STDEV(INDEX($H$5:$H25,22-20):$H25)*SQRT(245),"")</f>
        <v>0.148403809691407</v>
      </c>
      <c r="M25" s="37" t="str">
        <f aca="false">IF(AND(ISNUMBER($G25),$G25&gt;=60),MAX(INDEX($D$5:$D25,22-60):$D25),"")</f>
        <v/>
      </c>
      <c r="N25" s="37" t="str">
        <f aca="false">IF(AND(ISNUMBER($G25),$G25&gt;=60),MIN(INDEX($E$5:$E25,22-60):$E25),"")</f>
        <v/>
      </c>
      <c r="O25" s="38" t="str">
        <f aca="false">IF(OR(NOT(ISNUMBER($C25)),NOT(ISNUMBER($M25)),$M25=0),"",$C25/$M25-1)</f>
        <v/>
      </c>
    </row>
    <row r="26" customFormat="false" ht="15" hidden="false" customHeight="true" outlineLevel="0" collapsed="false">
      <c r="A26" s="32" t="n">
        <v>45599</v>
      </c>
      <c r="B26" s="33" t="s">
        <v>116</v>
      </c>
      <c r="C26" s="34" t="n">
        <v>936883</v>
      </c>
      <c r="D26" s="34" t="n">
        <v>937358</v>
      </c>
      <c r="E26" s="34" t="n">
        <v>934212</v>
      </c>
      <c r="F26" s="34" t="n">
        <v>0</v>
      </c>
      <c r="G26" s="35" t="n">
        <f aca="false">IF($A26="","",IF(ISNUMBER($G25),$G25+1,1))</f>
        <v>22</v>
      </c>
      <c r="H26" s="36" t="n">
        <f aca="false">IF(OR(NOT(ISNUMBER($G26)),$G26&lt;2,NOT(ISNUMBER($C25)),$C25=0),"",$C26/$C25-1)</f>
        <v>0.00270882922067917</v>
      </c>
      <c r="I26" s="37" t="n">
        <f aca="false">IF(AND(ISNUMBER($G26),$G26&gt;=MA_SHORT),AVERAGE(INDEX($C$5:$C26,23-MA_SHORT):$C26),"")</f>
        <v>963507.55</v>
      </c>
      <c r="J26" s="37" t="str">
        <f aca="false">IF(AND(ISNUMBER($G26),$G26&gt;=MA_MED),AVERAGE(INDEX($C$5:$C26,23-MA_MED):$C26),"")</f>
        <v/>
      </c>
      <c r="K26" s="37" t="str">
        <f aca="false">IF(AND(ISNUMBER($G26),$G26&gt;=MA_LONG2),AVERAGE(INDEX($C$5:$C26,23-MA_LONG2):$C26),"")</f>
        <v/>
      </c>
      <c r="L26" s="38" t="n">
        <f aca="false">IF(AND(ISNUMBER($G26),$G26&gt;=21),STDEV(INDEX($H$5:$H26,23-20):$H26)*SQRT(245),"")</f>
        <v>0.148701992057415</v>
      </c>
      <c r="M26" s="37" t="str">
        <f aca="false">IF(AND(ISNUMBER($G26),$G26&gt;=60),MAX(INDEX($D$5:$D26,23-60):$D26),"")</f>
        <v/>
      </c>
      <c r="N26" s="37" t="str">
        <f aca="false">IF(AND(ISNUMBER($G26),$G26&gt;=60),MIN(INDEX($E$5:$E26,23-60):$E26),"")</f>
        <v/>
      </c>
      <c r="O26" s="38" t="str">
        <f aca="false">IF(OR(NOT(ISNUMBER($C26)),NOT(ISNUMBER($M26)),$M26=0),"",$C26/$M26-1)</f>
        <v/>
      </c>
    </row>
    <row r="27" customFormat="false" ht="15" hidden="false" customHeight="true" outlineLevel="0" collapsed="false">
      <c r="A27" s="32" t="n">
        <v>45600</v>
      </c>
      <c r="B27" s="33" t="s">
        <v>117</v>
      </c>
      <c r="C27" s="34" t="n">
        <v>928806</v>
      </c>
      <c r="D27" s="34" t="n">
        <v>931384</v>
      </c>
      <c r="E27" s="34" t="n">
        <v>927649</v>
      </c>
      <c r="F27" s="34" t="n">
        <v>0</v>
      </c>
      <c r="G27" s="35" t="n">
        <f aca="false">IF($A27="","",IF(ISNUMBER($G26),$G26+1,1))</f>
        <v>23</v>
      </c>
      <c r="H27" s="36" t="n">
        <f aca="false">IF(OR(NOT(ISNUMBER($G27)),$G27&lt;2,NOT(ISNUMBER($C26)),$C26=0),"",$C27/$C26-1)</f>
        <v>-0.00862114052661855</v>
      </c>
      <c r="I27" s="37" t="n">
        <f aca="false">IF(AND(ISNUMBER($G27),$G27&gt;=MA_SHORT),AVERAGE(INDEX($C$5:$C27,24-MA_SHORT):$C27),"")</f>
        <v>961874.55</v>
      </c>
      <c r="J27" s="37" t="str">
        <f aca="false">IF(AND(ISNUMBER($G27),$G27&gt;=MA_MED),AVERAGE(INDEX($C$5:$C27,24-MA_MED):$C27),"")</f>
        <v/>
      </c>
      <c r="K27" s="37" t="str">
        <f aca="false">IF(AND(ISNUMBER($G27),$G27&gt;=MA_LONG2),AVERAGE(INDEX($C$5:$C27,24-MA_LONG2):$C27),"")</f>
        <v/>
      </c>
      <c r="L27" s="38" t="n">
        <f aca="false">IF(AND(ISNUMBER($G27),$G27&gt;=21),STDEV(INDEX($H$5:$H27,24-20):$H27)*SQRT(245),"")</f>
        <v>0.145601264492154</v>
      </c>
      <c r="M27" s="37" t="str">
        <f aca="false">IF(AND(ISNUMBER($G27),$G27&gt;=60),MAX(INDEX($D$5:$D27,24-60):$D27),"")</f>
        <v/>
      </c>
      <c r="N27" s="37" t="str">
        <f aca="false">IF(AND(ISNUMBER($G27),$G27&gt;=60),MIN(INDEX($E$5:$E27,24-60):$E27),"")</f>
        <v/>
      </c>
      <c r="O27" s="38" t="str">
        <f aca="false">IF(OR(NOT(ISNUMBER($C27)),NOT(ISNUMBER($M27)),$M27=0),"",$C27/$M27-1)</f>
        <v/>
      </c>
    </row>
    <row r="28" customFormat="false" ht="15" hidden="false" customHeight="true" outlineLevel="0" collapsed="false">
      <c r="A28" s="32" t="n">
        <v>45601</v>
      </c>
      <c r="B28" s="33" t="s">
        <v>118</v>
      </c>
      <c r="C28" s="34" t="n">
        <v>932775</v>
      </c>
      <c r="D28" s="34" t="n">
        <v>935417</v>
      </c>
      <c r="E28" s="34" t="n">
        <v>925727</v>
      </c>
      <c r="F28" s="34" t="n">
        <v>0</v>
      </c>
      <c r="G28" s="35" t="n">
        <f aca="false">IF($A28="","",IF(ISNUMBER($G27),$G27+1,1))</f>
        <v>24</v>
      </c>
      <c r="H28" s="36" t="n">
        <f aca="false">IF(OR(NOT(ISNUMBER($G28)),$G28&lt;2,NOT(ISNUMBER($C27)),$C27=0),"",$C28/$C27-1)</f>
        <v>0.00427322820912002</v>
      </c>
      <c r="I28" s="37" t="n">
        <f aca="false">IF(AND(ISNUMBER($G28),$G28&gt;=MA_SHORT),AVERAGE(INDEX($C$5:$C28,25-MA_SHORT):$C28),"")</f>
        <v>959981.6</v>
      </c>
      <c r="J28" s="37" t="str">
        <f aca="false">IF(AND(ISNUMBER($G28),$G28&gt;=MA_MED),AVERAGE(INDEX($C$5:$C28,25-MA_MED):$C28),"")</f>
        <v/>
      </c>
      <c r="K28" s="37" t="str">
        <f aca="false">IF(AND(ISNUMBER($G28),$G28&gt;=MA_LONG2),AVERAGE(INDEX($C$5:$C28,25-MA_LONG2):$C28),"")</f>
        <v/>
      </c>
      <c r="L28" s="38" t="n">
        <f aca="false">IF(AND(ISNUMBER($G28),$G28&gt;=21),STDEV(INDEX($H$5:$H28,25-20):$H28)*SQRT(245),"")</f>
        <v>0.14147859237972</v>
      </c>
      <c r="M28" s="37" t="str">
        <f aca="false">IF(AND(ISNUMBER($G28),$G28&gt;=60),MAX(INDEX($D$5:$D28,25-60):$D28),"")</f>
        <v/>
      </c>
      <c r="N28" s="37" t="str">
        <f aca="false">IF(AND(ISNUMBER($G28),$G28&gt;=60),MIN(INDEX($E$5:$E28,25-60):$E28),"")</f>
        <v/>
      </c>
      <c r="O28" s="38" t="str">
        <f aca="false">IF(OR(NOT(ISNUMBER($C28)),NOT(ISNUMBER($M28)),$M28=0),"",$C28/$M28-1)</f>
        <v/>
      </c>
    </row>
    <row r="29" customFormat="false" ht="15" hidden="false" customHeight="true" outlineLevel="0" collapsed="false">
      <c r="A29" s="32" t="n">
        <v>45602</v>
      </c>
      <c r="B29" s="33" t="s">
        <v>119</v>
      </c>
      <c r="C29" s="34" t="n">
        <v>934509</v>
      </c>
      <c r="D29" s="34" t="n">
        <v>936646</v>
      </c>
      <c r="E29" s="34" t="n">
        <v>931925</v>
      </c>
      <c r="F29" s="34" t="n">
        <v>0</v>
      </c>
      <c r="G29" s="35" t="n">
        <f aca="false">IF($A29="","",IF(ISNUMBER($G28),$G28+1,1))</f>
        <v>25</v>
      </c>
      <c r="H29" s="36" t="n">
        <f aca="false">IF(OR(NOT(ISNUMBER($G29)),$G29&lt;2,NOT(ISNUMBER($C28)),$C28=0),"",$C29/$C28-1)</f>
        <v>0.00185896920479212</v>
      </c>
      <c r="I29" s="37" t="n">
        <f aca="false">IF(AND(ISNUMBER($G29),$G29&gt;=MA_SHORT),AVERAGE(INDEX($C$5:$C29,26-MA_SHORT):$C29),"")</f>
        <v>958048.1</v>
      </c>
      <c r="J29" s="37" t="str">
        <f aca="false">IF(AND(ISNUMBER($G29),$G29&gt;=MA_MED),AVERAGE(INDEX($C$5:$C29,26-MA_MED):$C29),"")</f>
        <v/>
      </c>
      <c r="K29" s="37" t="str">
        <f aca="false">IF(AND(ISNUMBER($G29),$G29&gt;=MA_LONG2),AVERAGE(INDEX($C$5:$C29,26-MA_LONG2):$C29),"")</f>
        <v/>
      </c>
      <c r="L29" s="38" t="n">
        <f aca="false">IF(AND(ISNUMBER($G29),$G29&gt;=21),STDEV(INDEX($H$5:$H29,26-20):$H29)*SQRT(245),"")</f>
        <v>0.141185654974861</v>
      </c>
      <c r="M29" s="37" t="str">
        <f aca="false">IF(AND(ISNUMBER($G29),$G29&gt;=60),MAX(INDEX($D$5:$D29,26-60):$D29),"")</f>
        <v/>
      </c>
      <c r="N29" s="37" t="str">
        <f aca="false">IF(AND(ISNUMBER($G29),$G29&gt;=60),MIN(INDEX($E$5:$E29,26-60):$E29),"")</f>
        <v/>
      </c>
      <c r="O29" s="38" t="str">
        <f aca="false">IF(OR(NOT(ISNUMBER($C29)),NOT(ISNUMBER($M29)),$M29=0),"",$C29/$M29-1)</f>
        <v/>
      </c>
    </row>
    <row r="30" customFormat="false" ht="15" hidden="false" customHeight="true" outlineLevel="0" collapsed="false">
      <c r="A30" s="32" t="n">
        <v>45605</v>
      </c>
      <c r="B30" s="33" t="s">
        <v>120</v>
      </c>
      <c r="C30" s="34" t="n">
        <v>899780</v>
      </c>
      <c r="D30" s="34" t="n">
        <v>907812</v>
      </c>
      <c r="E30" s="34" t="n">
        <v>896936</v>
      </c>
      <c r="F30" s="34" t="n">
        <v>0</v>
      </c>
      <c r="G30" s="35" t="n">
        <f aca="false">IF($A30="","",IF(ISNUMBER($G29),$G29+1,1))</f>
        <v>26</v>
      </c>
      <c r="H30" s="36" t="n">
        <f aca="false">IF(OR(NOT(ISNUMBER($G30)),$G30&lt;2,NOT(ISNUMBER($C29)),$C29=0),"",$C30/$C29-1)</f>
        <v>-0.0371628309625697</v>
      </c>
      <c r="I30" s="37" t="n">
        <f aca="false">IF(AND(ISNUMBER($G30),$G30&gt;=MA_SHORT),AVERAGE(INDEX($C$5:$C30,27-MA_SHORT):$C30),"")</f>
        <v>954157.8</v>
      </c>
      <c r="J30" s="37" t="str">
        <f aca="false">IF(AND(ISNUMBER($G30),$G30&gt;=MA_MED),AVERAGE(INDEX($C$5:$C30,27-MA_MED):$C30),"")</f>
        <v/>
      </c>
      <c r="K30" s="37" t="str">
        <f aca="false">IF(AND(ISNUMBER($G30),$G30&gt;=MA_LONG2),AVERAGE(INDEX($C$5:$C30,27-MA_LONG2):$C30),"")</f>
        <v/>
      </c>
      <c r="L30" s="38" t="n">
        <f aca="false">IF(AND(ISNUMBER($G30),$G30&gt;=21),STDEV(INDEX($H$5:$H30,27-20):$H30)*SQRT(245),"")</f>
        <v>0.184989382880004</v>
      </c>
      <c r="M30" s="37" t="str">
        <f aca="false">IF(AND(ISNUMBER($G30),$G30&gt;=60),MAX(INDEX($D$5:$D30,27-60):$D30),"")</f>
        <v/>
      </c>
      <c r="N30" s="37" t="str">
        <f aca="false">IF(AND(ISNUMBER($G30),$G30&gt;=60),MIN(INDEX($E$5:$E30,27-60):$E30),"")</f>
        <v/>
      </c>
      <c r="O30" s="38" t="str">
        <f aca="false">IF(OR(NOT(ISNUMBER($C30)),NOT(ISNUMBER($M30)),$M30=0),"",$C30/$M30-1)</f>
        <v/>
      </c>
    </row>
    <row r="31" customFormat="false" ht="15" hidden="false" customHeight="true" outlineLevel="0" collapsed="false">
      <c r="A31" s="32" t="n">
        <v>45606</v>
      </c>
      <c r="B31" s="33" t="s">
        <v>121</v>
      </c>
      <c r="C31" s="34" t="n">
        <v>907840</v>
      </c>
      <c r="D31" s="34" t="n">
        <v>910442</v>
      </c>
      <c r="E31" s="34" t="n">
        <v>902801</v>
      </c>
      <c r="F31" s="34" t="n">
        <v>0</v>
      </c>
      <c r="G31" s="35" t="n">
        <f aca="false">IF($A31="","",IF(ISNUMBER($G30),$G30+1,1))</f>
        <v>27</v>
      </c>
      <c r="H31" s="36" t="n">
        <f aca="false">IF(OR(NOT(ISNUMBER($G31)),$G31&lt;2,NOT(ISNUMBER($C30)),$C30=0),"",$C31/$C30-1)</f>
        <v>0.00895774522661097</v>
      </c>
      <c r="I31" s="37" t="n">
        <f aca="false">IF(AND(ISNUMBER($G31),$G31&gt;=MA_SHORT),AVERAGE(INDEX($C$5:$C31,28-MA_SHORT):$C31),"")</f>
        <v>950540.85</v>
      </c>
      <c r="J31" s="37" t="str">
        <f aca="false">IF(AND(ISNUMBER($G31),$G31&gt;=MA_MED),AVERAGE(INDEX($C$5:$C31,28-MA_MED):$C31),"")</f>
        <v/>
      </c>
      <c r="K31" s="37" t="str">
        <f aca="false">IF(AND(ISNUMBER($G31),$G31&gt;=MA_LONG2),AVERAGE(INDEX($C$5:$C31,28-MA_LONG2):$C31),"")</f>
        <v/>
      </c>
      <c r="L31" s="38" t="n">
        <f aca="false">IF(AND(ISNUMBER($G31),$G31&gt;=21),STDEV(INDEX($H$5:$H31,28-20):$H31)*SQRT(245),"")</f>
        <v>0.189212574008289</v>
      </c>
      <c r="M31" s="37" t="str">
        <f aca="false">IF(AND(ISNUMBER($G31),$G31&gt;=60),MAX(INDEX($D$5:$D31,28-60):$D31),"")</f>
        <v/>
      </c>
      <c r="N31" s="37" t="str">
        <f aca="false">IF(AND(ISNUMBER($G31),$G31&gt;=60),MIN(INDEX($E$5:$E31,28-60):$E31),"")</f>
        <v/>
      </c>
      <c r="O31" s="38" t="str">
        <f aca="false">IF(OR(NOT(ISNUMBER($C31)),NOT(ISNUMBER($M31)),$M31=0),"",$C31/$M31-1)</f>
        <v/>
      </c>
    </row>
    <row r="32" customFormat="false" ht="15" hidden="false" customHeight="true" outlineLevel="0" collapsed="false">
      <c r="A32" s="32" t="n">
        <v>45607</v>
      </c>
      <c r="B32" s="33" t="s">
        <v>122</v>
      </c>
      <c r="C32" s="34" t="n">
        <v>900939</v>
      </c>
      <c r="D32" s="34" t="n">
        <v>906062</v>
      </c>
      <c r="E32" s="34" t="n">
        <v>899155</v>
      </c>
      <c r="F32" s="34" t="n">
        <v>0</v>
      </c>
      <c r="G32" s="35" t="n">
        <f aca="false">IF($A32="","",IF(ISNUMBER($G31),$G31+1,1))</f>
        <v>28</v>
      </c>
      <c r="H32" s="36" t="n">
        <f aca="false">IF(OR(NOT(ISNUMBER($G32)),$G32&lt;2,NOT(ISNUMBER($C31)),$C31=0),"",$C32/$C31-1)</f>
        <v>-0.0076015597462108</v>
      </c>
      <c r="I32" s="37" t="n">
        <f aca="false">IF(AND(ISNUMBER($G32),$G32&gt;=MA_SHORT),AVERAGE(INDEX($C$5:$C32,29-MA_SHORT):$C32),"")</f>
        <v>946845.7</v>
      </c>
      <c r="J32" s="37" t="str">
        <f aca="false">IF(AND(ISNUMBER($G32),$G32&gt;=MA_MED),AVERAGE(INDEX($C$5:$C32,29-MA_MED):$C32),"")</f>
        <v/>
      </c>
      <c r="K32" s="37" t="str">
        <f aca="false">IF(AND(ISNUMBER($G32),$G32&gt;=MA_LONG2),AVERAGE(INDEX($C$5:$C32,29-MA_LONG2):$C32),"")</f>
        <v/>
      </c>
      <c r="L32" s="38" t="n">
        <f aca="false">IF(AND(ISNUMBER($G32),$G32&gt;=21),STDEV(INDEX($H$5:$H32,29-20):$H32)*SQRT(245),"")</f>
        <v>0.189610976480472</v>
      </c>
      <c r="M32" s="37" t="str">
        <f aca="false">IF(AND(ISNUMBER($G32),$G32&gt;=60),MAX(INDEX($D$5:$D32,29-60):$D32),"")</f>
        <v/>
      </c>
      <c r="N32" s="37" t="str">
        <f aca="false">IF(AND(ISNUMBER($G32),$G32&gt;=60),MIN(INDEX($E$5:$E32,29-60):$E32),"")</f>
        <v/>
      </c>
      <c r="O32" s="38" t="str">
        <f aca="false">IF(OR(NOT(ISNUMBER($C32)),NOT(ISNUMBER($M32)),$M32=0),"",$C32/$M32-1)</f>
        <v/>
      </c>
    </row>
    <row r="33" customFormat="false" ht="15" hidden="false" customHeight="true" outlineLevel="0" collapsed="false">
      <c r="A33" s="32" t="n">
        <v>45608</v>
      </c>
      <c r="B33" s="33" t="s">
        <v>123</v>
      </c>
      <c r="C33" s="34" t="n">
        <v>898093</v>
      </c>
      <c r="D33" s="34" t="n">
        <v>901273</v>
      </c>
      <c r="E33" s="34" t="n">
        <v>893871</v>
      </c>
      <c r="F33" s="34" t="n">
        <v>0</v>
      </c>
      <c r="G33" s="35" t="n">
        <f aca="false">IF($A33="","",IF(ISNUMBER($G32),$G32+1,1))</f>
        <v>29</v>
      </c>
      <c r="H33" s="36" t="n">
        <f aca="false">IF(OR(NOT(ISNUMBER($G33)),$G33&lt;2,NOT(ISNUMBER($C32)),$C32=0),"",$C33/$C32-1)</f>
        <v>-0.00315892640900217</v>
      </c>
      <c r="I33" s="37" t="n">
        <f aca="false">IF(AND(ISNUMBER($G33),$G33&gt;=MA_SHORT),AVERAGE(INDEX($C$5:$C33,30-MA_SHORT):$C33),"")</f>
        <v>942274.1</v>
      </c>
      <c r="J33" s="37" t="str">
        <f aca="false">IF(AND(ISNUMBER($G33),$G33&gt;=MA_MED),AVERAGE(INDEX($C$5:$C33,30-MA_MED):$C33),"")</f>
        <v/>
      </c>
      <c r="K33" s="37" t="str">
        <f aca="false">IF(AND(ISNUMBER($G33),$G33&gt;=MA_LONG2),AVERAGE(INDEX($C$5:$C33,30-MA_LONG2):$C33),"")</f>
        <v/>
      </c>
      <c r="L33" s="38" t="n">
        <f aca="false">IF(AND(ISNUMBER($G33),$G33&gt;=21),STDEV(INDEX($H$5:$H33,30-20):$H33)*SQRT(245),"")</f>
        <v>0.176425890246307</v>
      </c>
      <c r="M33" s="37" t="str">
        <f aca="false">IF(AND(ISNUMBER($G33),$G33&gt;=60),MAX(INDEX($D$5:$D33,30-60):$D33),"")</f>
        <v/>
      </c>
      <c r="N33" s="37" t="str">
        <f aca="false">IF(AND(ISNUMBER($G33),$G33&gt;=60),MIN(INDEX($E$5:$E33,30-60):$E33),"")</f>
        <v/>
      </c>
      <c r="O33" s="38" t="str">
        <f aca="false">IF(OR(NOT(ISNUMBER($C33)),NOT(ISNUMBER($M33)),$M33=0),"",$C33/$M33-1)</f>
        <v/>
      </c>
    </row>
    <row r="34" customFormat="false" ht="15" hidden="false" customHeight="true" outlineLevel="0" collapsed="false">
      <c r="A34" s="32" t="n">
        <v>45609</v>
      </c>
      <c r="B34" s="33" t="s">
        <v>124</v>
      </c>
      <c r="C34" s="34" t="n">
        <v>898012</v>
      </c>
      <c r="D34" s="34" t="n">
        <v>898268</v>
      </c>
      <c r="E34" s="34" t="n">
        <v>896258</v>
      </c>
      <c r="F34" s="34" t="n">
        <v>0</v>
      </c>
      <c r="G34" s="35" t="n">
        <f aca="false">IF($A34="","",IF(ISNUMBER($G33),$G33+1,1))</f>
        <v>30</v>
      </c>
      <c r="H34" s="36" t="n">
        <f aca="false">IF(OR(NOT(ISNUMBER($G34)),$G34&lt;2,NOT(ISNUMBER($C33)),$C33=0),"",$C34/$C33-1)</f>
        <v>-9.01911049301374E-005</v>
      </c>
      <c r="I34" s="37" t="n">
        <f aca="false">IF(AND(ISNUMBER($G34),$G34&gt;=MA_SHORT),AVERAGE(INDEX($C$5:$C34,31-MA_SHORT):$C34),"")</f>
        <v>938536.75</v>
      </c>
      <c r="J34" s="37" t="str">
        <f aca="false">IF(AND(ISNUMBER($G34),$G34&gt;=MA_MED),AVERAGE(INDEX($C$5:$C34,31-MA_MED):$C34),"")</f>
        <v/>
      </c>
      <c r="K34" s="37" t="str">
        <f aca="false">IF(AND(ISNUMBER($G34),$G34&gt;=MA_LONG2),AVERAGE(INDEX($C$5:$C34,31-MA_LONG2):$C34),"")</f>
        <v/>
      </c>
      <c r="L34" s="38" t="n">
        <f aca="false">IF(AND(ISNUMBER($G34),$G34&gt;=21),STDEV(INDEX($H$5:$H34,31-20):$H34)*SQRT(245),"")</f>
        <v>0.171220524871664</v>
      </c>
      <c r="M34" s="37" t="str">
        <f aca="false">IF(AND(ISNUMBER($G34),$G34&gt;=60),MAX(INDEX($D$5:$D34,31-60):$D34),"")</f>
        <v/>
      </c>
      <c r="N34" s="37" t="str">
        <f aca="false">IF(AND(ISNUMBER($G34),$G34&gt;=60),MIN(INDEX($E$5:$E34,31-60):$E34),"")</f>
        <v/>
      </c>
      <c r="O34" s="38" t="str">
        <f aca="false">IF(OR(NOT(ISNUMBER($C34)),NOT(ISNUMBER($M34)),$M34=0),"",$C34/$M34-1)</f>
        <v/>
      </c>
    </row>
    <row r="35" customFormat="false" ht="15" hidden="false" customHeight="true" outlineLevel="0" collapsed="false">
      <c r="A35" s="32" t="n">
        <v>45612</v>
      </c>
      <c r="B35" s="33" t="s">
        <v>125</v>
      </c>
      <c r="C35" s="34" t="n">
        <v>893779</v>
      </c>
      <c r="D35" s="34" t="n">
        <v>895297</v>
      </c>
      <c r="E35" s="34" t="n">
        <v>892592</v>
      </c>
      <c r="F35" s="34" t="n">
        <v>0</v>
      </c>
      <c r="G35" s="35" t="n">
        <f aca="false">IF($A35="","",IF(ISNUMBER($G34),$G34+1,1))</f>
        <v>31</v>
      </c>
      <c r="H35" s="36" t="n">
        <f aca="false">IF(OR(NOT(ISNUMBER($G35)),$G35&lt;2,NOT(ISNUMBER($C34)),$C34=0),"",$C35/$C34-1)</f>
        <v>-0.00471374547333447</v>
      </c>
      <c r="I35" s="37" t="n">
        <f aca="false">IF(AND(ISNUMBER($G35),$G35&gt;=MA_SHORT),AVERAGE(INDEX($C$5:$C35,32-MA_SHORT):$C35),"")</f>
        <v>934570.6</v>
      </c>
      <c r="J35" s="37" t="str">
        <f aca="false">IF(AND(ISNUMBER($G35),$G35&gt;=MA_MED),AVERAGE(INDEX($C$5:$C35,32-MA_MED):$C35),"")</f>
        <v/>
      </c>
      <c r="K35" s="37" t="str">
        <f aca="false">IF(AND(ISNUMBER($G35),$G35&gt;=MA_LONG2),AVERAGE(INDEX($C$5:$C35,32-MA_LONG2):$C35),"")</f>
        <v/>
      </c>
      <c r="L35" s="38" t="n">
        <f aca="false">IF(AND(ISNUMBER($G35),$G35&gt;=21),STDEV(INDEX($H$5:$H35,32-20):$H35)*SQRT(245),"")</f>
        <v>0.170502443428213</v>
      </c>
      <c r="M35" s="37" t="str">
        <f aca="false">IF(AND(ISNUMBER($G35),$G35&gt;=60),MAX(INDEX($D$5:$D35,32-60):$D35),"")</f>
        <v/>
      </c>
      <c r="N35" s="37" t="str">
        <f aca="false">IF(AND(ISNUMBER($G35),$G35&gt;=60),MIN(INDEX($E$5:$E35,32-60):$E35),"")</f>
        <v/>
      </c>
      <c r="O35" s="38" t="str">
        <f aca="false">IF(OR(NOT(ISNUMBER($C35)),NOT(ISNUMBER($M35)),$M35=0),"",$C35/$M35-1)</f>
        <v/>
      </c>
    </row>
    <row r="36" customFormat="false" ht="15" hidden="false" customHeight="true" outlineLevel="0" collapsed="false">
      <c r="A36" s="32" t="n">
        <v>45613</v>
      </c>
      <c r="B36" s="33" t="s">
        <v>126</v>
      </c>
      <c r="C36" s="34" t="n">
        <v>901650</v>
      </c>
      <c r="D36" s="34" t="n">
        <v>902658</v>
      </c>
      <c r="E36" s="34" t="n">
        <v>900202</v>
      </c>
      <c r="F36" s="34" t="n">
        <v>0</v>
      </c>
      <c r="G36" s="35" t="n">
        <f aca="false">IF($A36="","",IF(ISNUMBER($G35),$G35+1,1))</f>
        <v>32</v>
      </c>
      <c r="H36" s="36" t="n">
        <f aca="false">IF(OR(NOT(ISNUMBER($G36)),$G36&lt;2,NOT(ISNUMBER($C35)),$C35=0),"",$C36/$C35-1)</f>
        <v>0.00880642753969374</v>
      </c>
      <c r="I36" s="37" t="n">
        <f aca="false">IF(AND(ISNUMBER($G36),$G36&gt;=MA_SHORT),AVERAGE(INDEX($C$5:$C36,33-MA_SHORT):$C36),"")</f>
        <v>930819.5</v>
      </c>
      <c r="J36" s="37" t="str">
        <f aca="false">IF(AND(ISNUMBER($G36),$G36&gt;=MA_MED),AVERAGE(INDEX($C$5:$C36,33-MA_MED):$C36),"")</f>
        <v/>
      </c>
      <c r="K36" s="37" t="str">
        <f aca="false">IF(AND(ISNUMBER($G36),$G36&gt;=MA_LONG2),AVERAGE(INDEX($C$5:$C36,33-MA_LONG2):$C36),"")</f>
        <v/>
      </c>
      <c r="L36" s="38" t="n">
        <f aca="false">IF(AND(ISNUMBER($G36),$G36&gt;=21),STDEV(INDEX($H$5:$H36,33-20):$H36)*SQRT(245),"")</f>
        <v>0.174456554536345</v>
      </c>
      <c r="M36" s="37" t="str">
        <f aca="false">IF(AND(ISNUMBER($G36),$G36&gt;=60),MAX(INDEX($D$5:$D36,33-60):$D36),"")</f>
        <v/>
      </c>
      <c r="N36" s="37" t="str">
        <f aca="false">IF(AND(ISNUMBER($G36),$G36&gt;=60),MIN(INDEX($E$5:$E36,33-60):$E36),"")</f>
        <v/>
      </c>
      <c r="O36" s="38" t="str">
        <f aca="false">IF(OR(NOT(ISNUMBER($C36)),NOT(ISNUMBER($M36)),$M36=0),"",$C36/$M36-1)</f>
        <v/>
      </c>
    </row>
    <row r="37" customFormat="false" ht="15" hidden="false" customHeight="true" outlineLevel="0" collapsed="false">
      <c r="A37" s="32" t="n">
        <v>45614</v>
      </c>
      <c r="B37" s="33" t="s">
        <v>127</v>
      </c>
      <c r="C37" s="34" t="n">
        <v>900540</v>
      </c>
      <c r="D37" s="34" t="n">
        <v>903084</v>
      </c>
      <c r="E37" s="34" t="n">
        <v>896667</v>
      </c>
      <c r="F37" s="34" t="n">
        <v>0</v>
      </c>
      <c r="G37" s="35" t="n">
        <f aca="false">IF($A37="","",IF(ISNUMBER($G36),$G36+1,1))</f>
        <v>33</v>
      </c>
      <c r="H37" s="36" t="n">
        <f aca="false">IF(OR(NOT(ISNUMBER($G37)),$G37&lt;2,NOT(ISNUMBER($C36)),$C36=0),"",$C37/$C36-1)</f>
        <v>-0.00123107636000663</v>
      </c>
      <c r="I37" s="37" t="n">
        <f aca="false">IF(AND(ISNUMBER($G37),$G37&gt;=MA_SHORT),AVERAGE(INDEX($C$5:$C37,34-MA_SHORT):$C37),"")</f>
        <v>927464.2</v>
      </c>
      <c r="J37" s="37" t="str">
        <f aca="false">IF(AND(ISNUMBER($G37),$G37&gt;=MA_MED),AVERAGE(INDEX($C$5:$C37,34-MA_MED):$C37),"")</f>
        <v/>
      </c>
      <c r="K37" s="37" t="str">
        <f aca="false">IF(AND(ISNUMBER($G37),$G37&gt;=MA_LONG2),AVERAGE(INDEX($C$5:$C37,34-MA_LONG2):$C37),"")</f>
        <v/>
      </c>
      <c r="L37" s="38" t="n">
        <f aca="false">IF(AND(ISNUMBER($G37),$G37&gt;=21),STDEV(INDEX($H$5:$H37,34-20):$H37)*SQRT(245),"")</f>
        <v>0.1735612775707</v>
      </c>
      <c r="M37" s="37" t="str">
        <f aca="false">IF(AND(ISNUMBER($G37),$G37&gt;=60),MAX(INDEX($D$5:$D37,34-60):$D37),"")</f>
        <v/>
      </c>
      <c r="N37" s="37" t="str">
        <f aca="false">IF(AND(ISNUMBER($G37),$G37&gt;=60),MIN(INDEX($E$5:$E37,34-60):$E37),"")</f>
        <v/>
      </c>
      <c r="O37" s="38" t="str">
        <f aca="false">IF(OR(NOT(ISNUMBER($C37)),NOT(ISNUMBER($M37)),$M37=0),"",$C37/$M37-1)</f>
        <v/>
      </c>
    </row>
    <row r="38" customFormat="false" ht="15" hidden="false" customHeight="true" outlineLevel="0" collapsed="false">
      <c r="A38" s="32" t="n">
        <v>45615</v>
      </c>
      <c r="B38" s="33" t="s">
        <v>128</v>
      </c>
      <c r="C38" s="34" t="n">
        <v>904671</v>
      </c>
      <c r="D38" s="34" t="n">
        <v>905207</v>
      </c>
      <c r="E38" s="34" t="n">
        <v>902706</v>
      </c>
      <c r="F38" s="34" t="n">
        <v>0</v>
      </c>
      <c r="G38" s="35" t="n">
        <f aca="false">IF($A38="","",IF(ISNUMBER($G37),$G37+1,1))</f>
        <v>34</v>
      </c>
      <c r="H38" s="36" t="n">
        <f aca="false">IF(OR(NOT(ISNUMBER($G38)),$G38&lt;2,NOT(ISNUMBER($C37)),$C37=0),"",$C38/$C37-1)</f>
        <v>0.00458724765140905</v>
      </c>
      <c r="I38" s="37" t="n">
        <f aca="false">IF(AND(ISNUMBER($G38),$G38&gt;=MA_SHORT),AVERAGE(INDEX($C$5:$C38,35-MA_SHORT):$C38),"")</f>
        <v>924466.15</v>
      </c>
      <c r="J38" s="37" t="str">
        <f aca="false">IF(AND(ISNUMBER($G38),$G38&gt;=MA_MED),AVERAGE(INDEX($C$5:$C38,35-MA_MED):$C38),"")</f>
        <v/>
      </c>
      <c r="K38" s="37" t="str">
        <f aca="false">IF(AND(ISNUMBER($G38),$G38&gt;=MA_LONG2),AVERAGE(INDEX($C$5:$C38,35-MA_LONG2):$C38),"")</f>
        <v/>
      </c>
      <c r="L38" s="38" t="n">
        <f aca="false">IF(AND(ISNUMBER($G38),$G38&gt;=21),STDEV(INDEX($H$5:$H38,35-20):$H38)*SQRT(245),"")</f>
        <v>0.175875684695626</v>
      </c>
      <c r="M38" s="37" t="str">
        <f aca="false">IF(AND(ISNUMBER($G38),$G38&gt;=60),MAX(INDEX($D$5:$D38,35-60):$D38),"")</f>
        <v/>
      </c>
      <c r="N38" s="37" t="str">
        <f aca="false">IF(AND(ISNUMBER($G38),$G38&gt;=60),MIN(INDEX($E$5:$E38,35-60):$E38),"")</f>
        <v/>
      </c>
      <c r="O38" s="38" t="str">
        <f aca="false">IF(OR(NOT(ISNUMBER($C38)),NOT(ISNUMBER($M38)),$M38=0),"",$C38/$M38-1)</f>
        <v/>
      </c>
    </row>
    <row r="39" customFormat="false" ht="15" hidden="false" customHeight="true" outlineLevel="0" collapsed="false">
      <c r="A39" s="32" t="n">
        <v>45616</v>
      </c>
      <c r="B39" s="33" t="s">
        <v>129</v>
      </c>
      <c r="C39" s="34" t="n">
        <v>909743</v>
      </c>
      <c r="D39" s="34" t="n">
        <v>910987</v>
      </c>
      <c r="E39" s="34" t="n">
        <v>908471</v>
      </c>
      <c r="F39" s="34" t="n">
        <v>0</v>
      </c>
      <c r="G39" s="35" t="n">
        <f aca="false">IF($A39="","",IF(ISNUMBER($G38),$G38+1,1))</f>
        <v>35</v>
      </c>
      <c r="H39" s="36" t="n">
        <f aca="false">IF(OR(NOT(ISNUMBER($G39)),$G39&lt;2,NOT(ISNUMBER($C38)),$C38=0),"",$C39/$C38-1)</f>
        <v>0.00560645803833659</v>
      </c>
      <c r="I39" s="37" t="n">
        <f aca="false">IF(AND(ISNUMBER($G39),$G39&gt;=MA_SHORT),AVERAGE(INDEX($C$5:$C39,36-MA_SHORT):$C39),"")</f>
        <v>922057.3</v>
      </c>
      <c r="J39" s="37" t="str">
        <f aca="false">IF(AND(ISNUMBER($G39),$G39&gt;=MA_MED),AVERAGE(INDEX($C$5:$C39,36-MA_MED):$C39),"")</f>
        <v/>
      </c>
      <c r="K39" s="37" t="str">
        <f aca="false">IF(AND(ISNUMBER($G39),$G39&gt;=MA_LONG2),AVERAGE(INDEX($C$5:$C39,36-MA_LONG2):$C39),"")</f>
        <v/>
      </c>
      <c r="L39" s="38" t="n">
        <f aca="false">IF(AND(ISNUMBER($G39),$G39&gt;=21),STDEV(INDEX($H$5:$H39,36-20):$H39)*SQRT(245),"")</f>
        <v>0.177847828187597</v>
      </c>
      <c r="M39" s="37" t="str">
        <f aca="false">IF(AND(ISNUMBER($G39),$G39&gt;=60),MAX(INDEX($D$5:$D39,36-60):$D39),"")</f>
        <v/>
      </c>
      <c r="N39" s="37" t="str">
        <f aca="false">IF(AND(ISNUMBER($G39),$G39&gt;=60),MIN(INDEX($E$5:$E39,36-60):$E39),"")</f>
        <v/>
      </c>
      <c r="O39" s="38" t="str">
        <f aca="false">IF(OR(NOT(ISNUMBER($C39)),NOT(ISNUMBER($M39)),$M39=0),"",$C39/$M39-1)</f>
        <v/>
      </c>
    </row>
    <row r="40" customFormat="false" ht="15" hidden="false" customHeight="true" outlineLevel="0" collapsed="false">
      <c r="A40" s="32" t="n">
        <v>45619</v>
      </c>
      <c r="B40" s="33" t="s">
        <v>130</v>
      </c>
      <c r="C40" s="34" t="n">
        <v>920946</v>
      </c>
      <c r="D40" s="34" t="n">
        <v>921744</v>
      </c>
      <c r="E40" s="34" t="n">
        <v>914456</v>
      </c>
      <c r="F40" s="34" t="n">
        <v>0</v>
      </c>
      <c r="G40" s="35" t="n">
        <f aca="false">IF($A40="","",IF(ISNUMBER($G39),$G39+1,1))</f>
        <v>36</v>
      </c>
      <c r="H40" s="36" t="n">
        <f aca="false">IF(OR(NOT(ISNUMBER($G40)),$G40&lt;2,NOT(ISNUMBER($C39)),$C39=0),"",$C40/$C39-1)</f>
        <v>0.0123144668329407</v>
      </c>
      <c r="I40" s="37" t="n">
        <f aca="false">IF(AND(ISNUMBER($G40),$G40&gt;=MA_SHORT),AVERAGE(INDEX($C$5:$C40,37-MA_SHORT):$C40),"")</f>
        <v>919999.5</v>
      </c>
      <c r="J40" s="37" t="str">
        <f aca="false">IF(AND(ISNUMBER($G40),$G40&gt;=MA_MED),AVERAGE(INDEX($C$5:$C40,37-MA_MED):$C40),"")</f>
        <v/>
      </c>
      <c r="K40" s="37" t="str">
        <f aca="false">IF(AND(ISNUMBER($G40),$G40&gt;=MA_LONG2),AVERAGE(INDEX($C$5:$C40,37-MA_LONG2):$C40),"")</f>
        <v/>
      </c>
      <c r="L40" s="38" t="n">
        <f aca="false">IF(AND(ISNUMBER($G40),$G40&gt;=21),STDEV(INDEX($H$5:$H40,37-20):$H40)*SQRT(245),"")</f>
        <v>0.183886520571059</v>
      </c>
      <c r="M40" s="37" t="str">
        <f aca="false">IF(AND(ISNUMBER($G40),$G40&gt;=60),MAX(INDEX($D$5:$D40,37-60):$D40),"")</f>
        <v/>
      </c>
      <c r="N40" s="37" t="str">
        <f aca="false">IF(AND(ISNUMBER($G40),$G40&gt;=60),MIN(INDEX($E$5:$E40,37-60):$E40),"")</f>
        <v/>
      </c>
      <c r="O40" s="38" t="str">
        <f aca="false">IF(OR(NOT(ISNUMBER($C40)),NOT(ISNUMBER($M40)),$M40=0),"",$C40/$M40-1)</f>
        <v/>
      </c>
    </row>
    <row r="41" customFormat="false" ht="15" hidden="false" customHeight="true" outlineLevel="0" collapsed="false">
      <c r="A41" s="32" t="n">
        <v>45620</v>
      </c>
      <c r="B41" s="33" t="s">
        <v>131</v>
      </c>
      <c r="C41" s="34" t="n">
        <v>931068</v>
      </c>
      <c r="D41" s="34" t="n">
        <v>931811</v>
      </c>
      <c r="E41" s="34" t="n">
        <v>930546</v>
      </c>
      <c r="F41" s="34" t="n">
        <v>0</v>
      </c>
      <c r="G41" s="35" t="n">
        <f aca="false">IF($A41="","",IF(ISNUMBER($G40),$G40+1,1))</f>
        <v>37</v>
      </c>
      <c r="H41" s="36" t="n">
        <f aca="false">IF(OR(NOT(ISNUMBER($G41)),$G41&lt;2,NOT(ISNUMBER($C40)),$C40=0),"",$C41/$C40-1)</f>
        <v>0.0109908724290024</v>
      </c>
      <c r="I41" s="37" t="n">
        <f aca="false">IF(AND(ISNUMBER($G41),$G41&gt;=MA_SHORT),AVERAGE(INDEX($C$5:$C41,38-MA_SHORT):$C41),"")</f>
        <v>918034.45</v>
      </c>
      <c r="J41" s="37" t="str">
        <f aca="false">IF(AND(ISNUMBER($G41),$G41&gt;=MA_MED),AVERAGE(INDEX($C$5:$C41,38-MA_MED):$C41),"")</f>
        <v/>
      </c>
      <c r="K41" s="37" t="str">
        <f aca="false">IF(AND(ISNUMBER($G41),$G41&gt;=MA_LONG2),AVERAGE(INDEX($C$5:$C41,38-MA_LONG2):$C41),"")</f>
        <v/>
      </c>
      <c r="L41" s="38" t="n">
        <f aca="false">IF(AND(ISNUMBER($G41),$G41&gt;=21),STDEV(INDEX($H$5:$H41,38-20):$H41)*SQRT(245),"")</f>
        <v>0.185868492612705</v>
      </c>
      <c r="M41" s="37" t="str">
        <f aca="false">IF(AND(ISNUMBER($G41),$G41&gt;=60),MAX(INDEX($D$5:$D41,38-60):$D41),"")</f>
        <v/>
      </c>
      <c r="N41" s="37" t="str">
        <f aca="false">IF(AND(ISNUMBER($G41),$G41&gt;=60),MIN(INDEX($E$5:$E41,38-60):$E41),"")</f>
        <v/>
      </c>
      <c r="O41" s="38" t="str">
        <f aca="false">IF(OR(NOT(ISNUMBER($C41)),NOT(ISNUMBER($M41)),$M41=0),"",$C41/$M41-1)</f>
        <v/>
      </c>
    </row>
    <row r="42" customFormat="false" ht="15" hidden="false" customHeight="true" outlineLevel="0" collapsed="false">
      <c r="A42" s="32" t="n">
        <v>45621</v>
      </c>
      <c r="B42" s="33" t="s">
        <v>132</v>
      </c>
      <c r="C42" s="34" t="n">
        <v>942364</v>
      </c>
      <c r="D42" s="34" t="n">
        <v>942940</v>
      </c>
      <c r="E42" s="34" t="n">
        <v>940507</v>
      </c>
      <c r="F42" s="34" t="n">
        <v>0</v>
      </c>
      <c r="G42" s="35" t="n">
        <f aca="false">IF($A42="","",IF(ISNUMBER($G41),$G41+1,1))</f>
        <v>38</v>
      </c>
      <c r="H42" s="36" t="n">
        <f aca="false">IF(OR(NOT(ISNUMBER($G42)),$G42&lt;2,NOT(ISNUMBER($C41)),$C41=0),"",$C42/$C41-1)</f>
        <v>0.0121323039777976</v>
      </c>
      <c r="I42" s="37" t="n">
        <f aca="false">IF(AND(ISNUMBER($G42),$G42&gt;=MA_SHORT),AVERAGE(INDEX($C$5:$C42,39-MA_SHORT):$C42),"")</f>
        <v>917670.45</v>
      </c>
      <c r="J42" s="37" t="str">
        <f aca="false">IF(AND(ISNUMBER($G42),$G42&gt;=MA_MED),AVERAGE(INDEX($C$5:$C42,39-MA_MED):$C42),"")</f>
        <v/>
      </c>
      <c r="K42" s="37" t="str">
        <f aca="false">IF(AND(ISNUMBER($G42),$G42&gt;=MA_LONG2),AVERAGE(INDEX($C$5:$C42,39-MA_LONG2):$C42),"")</f>
        <v/>
      </c>
      <c r="L42" s="38" t="n">
        <f aca="false">IF(AND(ISNUMBER($G42),$G42&gt;=21),STDEV(INDEX($H$5:$H42,39-20):$H42)*SQRT(245),"")</f>
        <v>0.177665164824955</v>
      </c>
      <c r="M42" s="37" t="str">
        <f aca="false">IF(AND(ISNUMBER($G42),$G42&gt;=60),MAX(INDEX($D$5:$D42,39-60):$D42),"")</f>
        <v/>
      </c>
      <c r="N42" s="37" t="str">
        <f aca="false">IF(AND(ISNUMBER($G42),$G42&gt;=60),MIN(INDEX($E$5:$E42,39-60):$E42),"")</f>
        <v/>
      </c>
      <c r="O42" s="38" t="str">
        <f aca="false">IF(OR(NOT(ISNUMBER($C42)),NOT(ISNUMBER($M42)),$M42=0),"",$C42/$M42-1)</f>
        <v/>
      </c>
    </row>
    <row r="43" customFormat="false" ht="15" hidden="false" customHeight="true" outlineLevel="0" collapsed="false">
      <c r="A43" s="32" t="n">
        <v>45622</v>
      </c>
      <c r="B43" s="33" t="s">
        <v>133</v>
      </c>
      <c r="C43" s="34" t="n">
        <v>952383</v>
      </c>
      <c r="D43" s="34" t="n">
        <v>953027</v>
      </c>
      <c r="E43" s="34" t="n">
        <v>952225</v>
      </c>
      <c r="F43" s="34" t="n">
        <v>0</v>
      </c>
      <c r="G43" s="35" t="n">
        <f aca="false">IF($A43="","",IF(ISNUMBER($G42),$G42+1,1))</f>
        <v>39</v>
      </c>
      <c r="H43" s="36" t="n">
        <f aca="false">IF(OR(NOT(ISNUMBER($G43)),$G43&lt;2,NOT(ISNUMBER($C42)),$C42=0),"",$C43/$C42-1)</f>
        <v>0.0106317728605931</v>
      </c>
      <c r="I43" s="37" t="n">
        <f aca="false">IF(AND(ISNUMBER($G43),$G43&gt;=MA_SHORT),AVERAGE(INDEX($C$5:$C43,40-MA_SHORT):$C43),"")</f>
        <v>918463.85</v>
      </c>
      <c r="J43" s="37" t="str">
        <f aca="false">IF(AND(ISNUMBER($G43),$G43&gt;=MA_MED),AVERAGE(INDEX($C$5:$C43,40-MA_MED):$C43),"")</f>
        <v/>
      </c>
      <c r="K43" s="37" t="str">
        <f aca="false">IF(AND(ISNUMBER($G43),$G43&gt;=MA_LONG2),AVERAGE(INDEX($C$5:$C43,40-MA_LONG2):$C43),"")</f>
        <v/>
      </c>
      <c r="L43" s="38" t="n">
        <f aca="false">IF(AND(ISNUMBER($G43),$G43&gt;=21),STDEV(INDEX($H$5:$H43,40-20):$H43)*SQRT(245),"")</f>
        <v>0.174286277969254</v>
      </c>
      <c r="M43" s="37" t="str">
        <f aca="false">IF(AND(ISNUMBER($G43),$G43&gt;=60),MAX(INDEX($D$5:$D43,40-60):$D43),"")</f>
        <v/>
      </c>
      <c r="N43" s="37" t="str">
        <f aca="false">IF(AND(ISNUMBER($G43),$G43&gt;=60),MIN(INDEX($E$5:$E43,40-60):$E43),"")</f>
        <v/>
      </c>
      <c r="O43" s="38" t="str">
        <f aca="false">IF(OR(NOT(ISNUMBER($C43)),NOT(ISNUMBER($M43)),$M43=0),"",$C43/$M43-1)</f>
        <v/>
      </c>
    </row>
    <row r="44" customFormat="false" ht="15" hidden="false" customHeight="true" outlineLevel="0" collapsed="false">
      <c r="A44" s="32" t="n">
        <v>45623</v>
      </c>
      <c r="B44" s="33" t="s">
        <v>134</v>
      </c>
      <c r="C44" s="34" t="n">
        <v>960972</v>
      </c>
      <c r="D44" s="34" t="n">
        <v>962334</v>
      </c>
      <c r="E44" s="34" t="n">
        <v>960617</v>
      </c>
      <c r="F44" s="34" t="n">
        <v>0</v>
      </c>
      <c r="G44" s="35" t="n">
        <f aca="false">IF($A44="","",IF(ISNUMBER($G43),$G43+1,1))</f>
        <v>40</v>
      </c>
      <c r="H44" s="36" t="n">
        <f aca="false">IF(OR(NOT(ISNUMBER($G44)),$G44&lt;2,NOT(ISNUMBER($C43)),$C43=0),"",$C44/$C43-1)</f>
        <v>0.00901843061037422</v>
      </c>
      <c r="I44" s="37" t="n">
        <f aca="false">IF(AND(ISNUMBER($G44),$G44&gt;=MA_SHORT),AVERAGE(INDEX($C$5:$C44,41-MA_SHORT):$C44),"")</f>
        <v>919505.25</v>
      </c>
      <c r="J44" s="37" t="str">
        <f aca="false">IF(AND(ISNUMBER($G44),$G44&gt;=MA_MED),AVERAGE(INDEX($C$5:$C44,41-MA_MED):$C44),"")</f>
        <v/>
      </c>
      <c r="K44" s="37" t="str">
        <f aca="false">IF(AND(ISNUMBER($G44),$G44&gt;=MA_LONG2),AVERAGE(INDEX($C$5:$C44,41-MA_LONG2):$C44),"")</f>
        <v/>
      </c>
      <c r="L44" s="38" t="n">
        <f aca="false">IF(AND(ISNUMBER($G44),$G44&gt;=21),STDEV(INDEX($H$5:$H44,41-20):$H44)*SQRT(245),"")</f>
        <v>0.176335989032273</v>
      </c>
      <c r="M44" s="37" t="str">
        <f aca="false">IF(AND(ISNUMBER($G44),$G44&gt;=60),MAX(INDEX($D$5:$D44,41-60):$D44),"")</f>
        <v/>
      </c>
      <c r="N44" s="37" t="str">
        <f aca="false">IF(AND(ISNUMBER($G44),$G44&gt;=60),MIN(INDEX($E$5:$E44,41-60):$E44),"")</f>
        <v/>
      </c>
      <c r="O44" s="38" t="str">
        <f aca="false">IF(OR(NOT(ISNUMBER($C44)),NOT(ISNUMBER($M44)),$M44=0),"",$C44/$M44-1)</f>
        <v/>
      </c>
    </row>
    <row r="45" customFormat="false" ht="15" hidden="false" customHeight="true" outlineLevel="0" collapsed="false">
      <c r="A45" s="32" t="n">
        <v>45626</v>
      </c>
      <c r="B45" s="33" t="s">
        <v>135</v>
      </c>
      <c r="C45" s="34" t="n">
        <v>966864</v>
      </c>
      <c r="D45" s="34" t="n">
        <v>974340</v>
      </c>
      <c r="E45" s="34" t="n">
        <v>964757</v>
      </c>
      <c r="F45" s="34" t="n">
        <v>0</v>
      </c>
      <c r="G45" s="35" t="n">
        <f aca="false">IF($A45="","",IF(ISNUMBER($G44),$G44+1,1))</f>
        <v>41</v>
      </c>
      <c r="H45" s="36" t="n">
        <f aca="false">IF(OR(NOT(ISNUMBER($G45)),$G45&lt;2,NOT(ISNUMBER($C44)),$C44=0),"",$C45/$C44-1)</f>
        <v>0.00613129206678242</v>
      </c>
      <c r="I45" s="37" t="n">
        <f aca="false">IF(AND(ISNUMBER($G45),$G45&gt;=MA_SHORT),AVERAGE(INDEX($C$5:$C45,42-MA_SHORT):$C45),"")</f>
        <v>921130.85</v>
      </c>
      <c r="J45" s="37" t="str">
        <f aca="false">IF(AND(ISNUMBER($G45),$G45&gt;=MA_MED),AVERAGE(INDEX($C$5:$C45,42-MA_MED):$C45),"")</f>
        <v/>
      </c>
      <c r="K45" s="37" t="str">
        <f aca="false">IF(AND(ISNUMBER($G45),$G45&gt;=MA_LONG2),AVERAGE(INDEX($C$5:$C45,42-MA_LONG2):$C45),"")</f>
        <v/>
      </c>
      <c r="L45" s="38" t="n">
        <f aca="false">IF(AND(ISNUMBER($G45),$G45&gt;=21),STDEV(INDEX($H$5:$H45,42-20):$H45)*SQRT(245),"")</f>
        <v>0.175001187374068</v>
      </c>
      <c r="M45" s="37" t="str">
        <f aca="false">IF(AND(ISNUMBER($G45),$G45&gt;=60),MAX(INDEX($D$5:$D45,42-60):$D45),"")</f>
        <v/>
      </c>
      <c r="N45" s="37" t="str">
        <f aca="false">IF(AND(ISNUMBER($G45),$G45&gt;=60),MIN(INDEX($E$5:$E45,42-60):$E45),"")</f>
        <v/>
      </c>
      <c r="O45" s="38" t="str">
        <f aca="false">IF(OR(NOT(ISNUMBER($C45)),NOT(ISNUMBER($M45)),$M45=0),"",$C45/$M45-1)</f>
        <v/>
      </c>
    </row>
    <row r="46" customFormat="false" ht="15" hidden="false" customHeight="true" outlineLevel="0" collapsed="false">
      <c r="A46" s="32" t="n">
        <v>45627</v>
      </c>
      <c r="B46" s="33" t="s">
        <v>136</v>
      </c>
      <c r="C46" s="34" t="n">
        <v>950842</v>
      </c>
      <c r="D46" s="34" t="n">
        <v>953254</v>
      </c>
      <c r="E46" s="34" t="n">
        <v>947428</v>
      </c>
      <c r="F46" s="34" t="n">
        <v>0</v>
      </c>
      <c r="G46" s="35" t="n">
        <f aca="false">IF($A46="","",IF(ISNUMBER($G45),$G45+1,1))</f>
        <v>42</v>
      </c>
      <c r="H46" s="36" t="n">
        <f aca="false">IF(OR(NOT(ISNUMBER($G46)),$G46&lt;2,NOT(ISNUMBER($C45)),$C45=0),"",$C46/$C45-1)</f>
        <v>-0.0165710999685581</v>
      </c>
      <c r="I46" s="37" t="n">
        <f aca="false">IF(AND(ISNUMBER($G46),$G46&gt;=MA_SHORT),AVERAGE(INDEX($C$5:$C46,43-MA_SHORT):$C46),"")</f>
        <v>921828.8</v>
      </c>
      <c r="J46" s="37" t="str">
        <f aca="false">IF(AND(ISNUMBER($G46),$G46&gt;=MA_MED),AVERAGE(INDEX($C$5:$C46,43-MA_MED):$C46),"")</f>
        <v/>
      </c>
      <c r="K46" s="37" t="str">
        <f aca="false">IF(AND(ISNUMBER($G46),$G46&gt;=MA_LONG2),AVERAGE(INDEX($C$5:$C46,43-MA_LONG2):$C46),"")</f>
        <v/>
      </c>
      <c r="L46" s="38" t="n">
        <f aca="false">IF(AND(ISNUMBER($G46),$G46&gt;=21),STDEV(INDEX($H$5:$H46,43-20):$H46)*SQRT(245),"")</f>
        <v>0.186314485653417</v>
      </c>
      <c r="M46" s="37" t="str">
        <f aca="false">IF(AND(ISNUMBER($G46),$G46&gt;=60),MAX(INDEX($D$5:$D46,43-60):$D46),"")</f>
        <v/>
      </c>
      <c r="N46" s="37" t="str">
        <f aca="false">IF(AND(ISNUMBER($G46),$G46&gt;=60),MIN(INDEX($E$5:$E46,43-60):$E46),"")</f>
        <v/>
      </c>
      <c r="O46" s="38" t="str">
        <f aca="false">IF(OR(NOT(ISNUMBER($C46)),NOT(ISNUMBER($M46)),$M46=0),"",$C46/$M46-1)</f>
        <v/>
      </c>
    </row>
    <row r="47" customFormat="false" ht="15" hidden="false" customHeight="true" outlineLevel="0" collapsed="false">
      <c r="A47" s="32" t="n">
        <v>45628</v>
      </c>
      <c r="B47" s="33" t="s">
        <v>137</v>
      </c>
      <c r="C47" s="34" t="n">
        <v>949095</v>
      </c>
      <c r="D47" s="34" t="n">
        <v>949623</v>
      </c>
      <c r="E47" s="34" t="n">
        <v>947172</v>
      </c>
      <c r="F47" s="34" t="n">
        <v>0</v>
      </c>
      <c r="G47" s="35" t="n">
        <f aca="false">IF($A47="","",IF(ISNUMBER($G46),$G46+1,1))</f>
        <v>43</v>
      </c>
      <c r="H47" s="36" t="n">
        <f aca="false">IF(OR(NOT(ISNUMBER($G47)),$G47&lt;2,NOT(ISNUMBER($C46)),$C46=0),"",$C47/$C46-1)</f>
        <v>-0.00183731892364869</v>
      </c>
      <c r="I47" s="37" t="n">
        <f aca="false">IF(AND(ISNUMBER($G47),$G47&gt;=MA_SHORT),AVERAGE(INDEX($C$5:$C47,44-MA_SHORT):$C47),"")</f>
        <v>922843.25</v>
      </c>
      <c r="J47" s="37" t="str">
        <f aca="false">IF(AND(ISNUMBER($G47),$G47&gt;=MA_MED),AVERAGE(INDEX($C$5:$C47,44-MA_MED):$C47),"")</f>
        <v/>
      </c>
      <c r="K47" s="37" t="str">
        <f aca="false">IF(AND(ISNUMBER($G47),$G47&gt;=MA_LONG2),AVERAGE(INDEX($C$5:$C47,44-MA_LONG2):$C47),"")</f>
        <v/>
      </c>
      <c r="L47" s="38" t="n">
        <f aca="false">IF(AND(ISNUMBER($G47),$G47&gt;=21),STDEV(INDEX($H$5:$H47,44-20):$H47)*SQRT(245),"")</f>
        <v>0.183377228594213</v>
      </c>
      <c r="M47" s="37" t="str">
        <f aca="false">IF(AND(ISNUMBER($G47),$G47&gt;=60),MAX(INDEX($D$5:$D47,44-60):$D47),"")</f>
        <v/>
      </c>
      <c r="N47" s="37" t="str">
        <f aca="false">IF(AND(ISNUMBER($G47),$G47&gt;=60),MIN(INDEX($E$5:$E47,44-60):$E47),"")</f>
        <v/>
      </c>
      <c r="O47" s="38" t="str">
        <f aca="false">IF(OR(NOT(ISNUMBER($C47)),NOT(ISNUMBER($M47)),$M47=0),"",$C47/$M47-1)</f>
        <v/>
      </c>
    </row>
    <row r="48" customFormat="false" ht="15" hidden="false" customHeight="true" outlineLevel="0" collapsed="false">
      <c r="A48" s="32" t="n">
        <v>45629</v>
      </c>
      <c r="B48" s="33" t="s">
        <v>138</v>
      </c>
      <c r="C48" s="34" t="n">
        <v>935074</v>
      </c>
      <c r="D48" s="34" t="n">
        <v>935455</v>
      </c>
      <c r="E48" s="34" t="n">
        <v>932869</v>
      </c>
      <c r="F48" s="34" t="n">
        <v>0</v>
      </c>
      <c r="G48" s="35" t="n">
        <f aca="false">IF($A48="","",IF(ISNUMBER($G47),$G47+1,1))</f>
        <v>44</v>
      </c>
      <c r="H48" s="36" t="n">
        <f aca="false">IF(OR(NOT(ISNUMBER($G48)),$G48&lt;2,NOT(ISNUMBER($C47)),$C47=0),"",$C48/$C47-1)</f>
        <v>-0.0147730206143748</v>
      </c>
      <c r="I48" s="37" t="n">
        <f aca="false">IF(AND(ISNUMBER($G48),$G48&gt;=MA_SHORT),AVERAGE(INDEX($C$5:$C48,45-MA_SHORT):$C48),"")</f>
        <v>922958.2</v>
      </c>
      <c r="J48" s="37" t="str">
        <f aca="false">IF(AND(ISNUMBER($G48),$G48&gt;=MA_MED),AVERAGE(INDEX($C$5:$C48,45-MA_MED):$C48),"")</f>
        <v/>
      </c>
      <c r="K48" s="37" t="str">
        <f aca="false">IF(AND(ISNUMBER($G48),$G48&gt;=MA_LONG2),AVERAGE(INDEX($C$5:$C48,45-MA_LONG2):$C48),"")</f>
        <v/>
      </c>
      <c r="L48" s="38" t="n">
        <f aca="false">IF(AND(ISNUMBER($G48),$G48&gt;=21),STDEV(INDEX($H$5:$H48,45-20):$H48)*SQRT(245),"")</f>
        <v>0.191142598537439</v>
      </c>
      <c r="M48" s="37" t="str">
        <f aca="false">IF(AND(ISNUMBER($G48),$G48&gt;=60),MAX(INDEX($D$5:$D48,45-60):$D48),"")</f>
        <v/>
      </c>
      <c r="N48" s="37" t="str">
        <f aca="false">IF(AND(ISNUMBER($G48),$G48&gt;=60),MIN(INDEX($E$5:$E48,45-60):$E48),"")</f>
        <v/>
      </c>
      <c r="O48" s="38" t="str">
        <f aca="false">IF(OR(NOT(ISNUMBER($C48)),NOT(ISNUMBER($M48)),$M48=0),"",$C48/$M48-1)</f>
        <v/>
      </c>
    </row>
    <row r="49" customFormat="false" ht="15" hidden="false" customHeight="true" outlineLevel="0" collapsed="false">
      <c r="A49" s="32" t="n">
        <v>45630</v>
      </c>
      <c r="B49" s="33" t="s">
        <v>139</v>
      </c>
      <c r="C49" s="34" t="n">
        <v>932332</v>
      </c>
      <c r="D49" s="34" t="n">
        <v>938065</v>
      </c>
      <c r="E49" s="34" t="n">
        <v>930240</v>
      </c>
      <c r="F49" s="34" t="n">
        <v>0</v>
      </c>
      <c r="G49" s="35" t="n">
        <f aca="false">IF($A49="","",IF(ISNUMBER($G48),$G48+1,1))</f>
        <v>45</v>
      </c>
      <c r="H49" s="36" t="n">
        <f aca="false">IF(OR(NOT(ISNUMBER($G49)),$G49&lt;2,NOT(ISNUMBER($C48)),$C48=0),"",$C49/$C48-1)</f>
        <v>-0.00293238823879183</v>
      </c>
      <c r="I49" s="37" t="n">
        <f aca="false">IF(AND(ISNUMBER($G49),$G49&gt;=MA_SHORT),AVERAGE(INDEX($C$5:$C49,46-MA_SHORT):$C49),"")</f>
        <v>922849.35</v>
      </c>
      <c r="J49" s="37" t="str">
        <f aca="false">IF(AND(ISNUMBER($G49),$G49&gt;=MA_MED),AVERAGE(INDEX($C$5:$C49,46-MA_MED):$C49),"")</f>
        <v/>
      </c>
      <c r="K49" s="37" t="str">
        <f aca="false">IF(AND(ISNUMBER($G49),$G49&gt;=MA_LONG2),AVERAGE(INDEX($C$5:$C49,46-MA_LONG2):$C49),"")</f>
        <v/>
      </c>
      <c r="L49" s="38" t="n">
        <f aca="false">IF(AND(ISNUMBER($G49),$G49&gt;=21),STDEV(INDEX($H$5:$H49,46-20):$H49)*SQRT(245),"")</f>
        <v>0.191340228800966</v>
      </c>
      <c r="M49" s="37" t="str">
        <f aca="false">IF(AND(ISNUMBER($G49),$G49&gt;=60),MAX(INDEX($D$5:$D49,46-60):$D49),"")</f>
        <v/>
      </c>
      <c r="N49" s="37" t="str">
        <f aca="false">IF(AND(ISNUMBER($G49),$G49&gt;=60),MIN(INDEX($E$5:$E49,46-60):$E49),"")</f>
        <v/>
      </c>
      <c r="O49" s="38" t="str">
        <f aca="false">IF(OR(NOT(ISNUMBER($C49)),NOT(ISNUMBER($M49)),$M49=0),"",$C49/$M49-1)</f>
        <v/>
      </c>
    </row>
    <row r="50" customFormat="false" ht="15" hidden="false" customHeight="true" outlineLevel="0" collapsed="false">
      <c r="A50" s="32" t="n">
        <v>45633</v>
      </c>
      <c r="B50" s="33" t="s">
        <v>140</v>
      </c>
      <c r="C50" s="34" t="n">
        <v>949980</v>
      </c>
      <c r="D50" s="34" t="n">
        <v>950089</v>
      </c>
      <c r="E50" s="34" t="n">
        <v>948404</v>
      </c>
      <c r="F50" s="34" t="n">
        <v>0</v>
      </c>
      <c r="G50" s="35" t="n">
        <f aca="false">IF($A50="","",IF(ISNUMBER($G49),$G49+1,1))</f>
        <v>46</v>
      </c>
      <c r="H50" s="36" t="n">
        <f aca="false">IF(OR(NOT(ISNUMBER($G50)),$G50&lt;2,NOT(ISNUMBER($C49)),$C49=0),"",$C50/$C49-1)</f>
        <v>0.018928879412055</v>
      </c>
      <c r="I50" s="37" t="n">
        <f aca="false">IF(AND(ISNUMBER($G50),$G50&gt;=MA_SHORT),AVERAGE(INDEX($C$5:$C50,47-MA_SHORT):$C50),"")</f>
        <v>925359.35</v>
      </c>
      <c r="J50" s="37" t="str">
        <f aca="false">IF(AND(ISNUMBER($G50),$G50&gt;=MA_MED),AVERAGE(INDEX($C$5:$C50,47-MA_MED):$C50),"")</f>
        <v/>
      </c>
      <c r="K50" s="37" t="str">
        <f aca="false">IF(AND(ISNUMBER($G50),$G50&gt;=MA_LONG2),AVERAGE(INDEX($C$5:$C50,47-MA_LONG2):$C50),"")</f>
        <v/>
      </c>
      <c r="L50" s="38" t="n">
        <f aca="false">IF(AND(ISNUMBER($G50),$G50&gt;=21),STDEV(INDEX($H$5:$H50,47-20):$H50)*SQRT(245),"")</f>
        <v>0.146488598404937</v>
      </c>
      <c r="M50" s="37" t="str">
        <f aca="false">IF(AND(ISNUMBER($G50),$G50&gt;=60),MAX(INDEX($D$5:$D50,47-60):$D50),"")</f>
        <v/>
      </c>
      <c r="N50" s="37" t="str">
        <f aca="false">IF(AND(ISNUMBER($G50),$G50&gt;=60),MIN(INDEX($E$5:$E50,47-60):$E50),"")</f>
        <v/>
      </c>
      <c r="O50" s="38" t="str">
        <f aca="false">IF(OR(NOT(ISNUMBER($C50)),NOT(ISNUMBER($M50)),$M50=0),"",$C50/$M50-1)</f>
        <v/>
      </c>
    </row>
    <row r="51" customFormat="false" ht="15" hidden="false" customHeight="true" outlineLevel="0" collapsed="false">
      <c r="A51" s="32" t="n">
        <v>45634</v>
      </c>
      <c r="B51" s="33" t="s">
        <v>141</v>
      </c>
      <c r="C51" s="34" t="n">
        <v>941196</v>
      </c>
      <c r="D51" s="34" t="n">
        <v>944771</v>
      </c>
      <c r="E51" s="34" t="n">
        <v>939071</v>
      </c>
      <c r="F51" s="34" t="n">
        <v>0</v>
      </c>
      <c r="G51" s="35" t="n">
        <f aca="false">IF($A51="","",IF(ISNUMBER($G50),$G50+1,1))</f>
        <v>47</v>
      </c>
      <c r="H51" s="36" t="n">
        <f aca="false">IF(OR(NOT(ISNUMBER($G51)),$G51&lt;2,NOT(ISNUMBER($C50)),$C50=0),"",$C51/$C50-1)</f>
        <v>-0.00924651045285163</v>
      </c>
      <c r="I51" s="37" t="n">
        <f aca="false">IF(AND(ISNUMBER($G51),$G51&gt;=MA_SHORT),AVERAGE(INDEX($C$5:$C51,48-MA_SHORT):$C51),"")</f>
        <v>927027.15</v>
      </c>
      <c r="J51" s="37" t="str">
        <f aca="false">IF(AND(ISNUMBER($G51),$G51&gt;=MA_MED),AVERAGE(INDEX($C$5:$C51,48-MA_MED):$C51),"")</f>
        <v/>
      </c>
      <c r="K51" s="37" t="str">
        <f aca="false">IF(AND(ISNUMBER($G51),$G51&gt;=MA_LONG2),AVERAGE(INDEX($C$5:$C51,48-MA_LONG2):$C51),"")</f>
        <v/>
      </c>
      <c r="L51" s="38" t="n">
        <f aca="false">IF(AND(ISNUMBER($G51),$G51&gt;=21),STDEV(INDEX($H$5:$H51,48-20):$H51)*SQRT(245),"")</f>
        <v>0.150361932241995</v>
      </c>
      <c r="M51" s="37" t="str">
        <f aca="false">IF(AND(ISNUMBER($G51),$G51&gt;=60),MAX(INDEX($D$5:$D51,48-60):$D51),"")</f>
        <v/>
      </c>
      <c r="N51" s="37" t="str">
        <f aca="false">IF(AND(ISNUMBER($G51),$G51&gt;=60),MIN(INDEX($E$5:$E51,48-60):$E51),"")</f>
        <v/>
      </c>
      <c r="O51" s="38" t="str">
        <f aca="false">IF(OR(NOT(ISNUMBER($C51)),NOT(ISNUMBER($M51)),$M51=0),"",$C51/$M51-1)</f>
        <v/>
      </c>
    </row>
    <row r="52" customFormat="false" ht="15" hidden="false" customHeight="true" outlineLevel="0" collapsed="false">
      <c r="A52" s="32" t="n">
        <v>45635</v>
      </c>
      <c r="B52" s="33" t="s">
        <v>142</v>
      </c>
      <c r="C52" s="34" t="n">
        <v>930573</v>
      </c>
      <c r="D52" s="34" t="n">
        <v>933277</v>
      </c>
      <c r="E52" s="34" t="n">
        <v>928767</v>
      </c>
      <c r="F52" s="34" t="n">
        <v>0</v>
      </c>
      <c r="G52" s="35" t="n">
        <f aca="false">IF($A52="","",IF(ISNUMBER($G51),$G51+1,1))</f>
        <v>48</v>
      </c>
      <c r="H52" s="36" t="n">
        <f aca="false">IF(OR(NOT(ISNUMBER($G52)),$G52&lt;2,NOT(ISNUMBER($C51)),$C51=0),"",$C52/$C51-1)</f>
        <v>-0.0112867033009065</v>
      </c>
      <c r="I52" s="37" t="n">
        <f aca="false">IF(AND(ISNUMBER($G52),$G52&gt;=MA_SHORT),AVERAGE(INDEX($C$5:$C52,49-MA_SHORT):$C52),"")</f>
        <v>928508.85</v>
      </c>
      <c r="J52" s="37" t="str">
        <f aca="false">IF(AND(ISNUMBER($G52),$G52&gt;=MA_MED),AVERAGE(INDEX($C$5:$C52,49-MA_MED):$C52),"")</f>
        <v/>
      </c>
      <c r="K52" s="37" t="str">
        <f aca="false">IF(AND(ISNUMBER($G52),$G52&gt;=MA_LONG2),AVERAGE(INDEX($C$5:$C52,49-MA_LONG2):$C52),"")</f>
        <v/>
      </c>
      <c r="L52" s="38" t="n">
        <f aca="false">IF(AND(ISNUMBER($G52),$G52&gt;=21),STDEV(INDEX($H$5:$H52,49-20):$H52)*SQRT(245),"")</f>
        <v>0.153861265828501</v>
      </c>
      <c r="M52" s="37" t="str">
        <f aca="false">IF(AND(ISNUMBER($G52),$G52&gt;=60),MAX(INDEX($D$5:$D52,49-60):$D52),"")</f>
        <v/>
      </c>
      <c r="N52" s="37" t="str">
        <f aca="false">IF(AND(ISNUMBER($G52),$G52&gt;=60),MIN(INDEX($E$5:$E52,49-60):$E52),"")</f>
        <v/>
      </c>
      <c r="O52" s="38" t="str">
        <f aca="false">IF(OR(NOT(ISNUMBER($C52)),NOT(ISNUMBER($M52)),$M52=0),"",$C52/$M52-1)</f>
        <v/>
      </c>
    </row>
    <row r="53" customFormat="false" ht="15" hidden="false" customHeight="true" outlineLevel="0" collapsed="false">
      <c r="A53" s="32" t="n">
        <v>45636</v>
      </c>
      <c r="B53" s="33" t="s">
        <v>143</v>
      </c>
      <c r="C53" s="34" t="n">
        <v>928346</v>
      </c>
      <c r="D53" s="34" t="n">
        <v>931287</v>
      </c>
      <c r="E53" s="34" t="n">
        <v>928046</v>
      </c>
      <c r="F53" s="34" t="n">
        <v>0</v>
      </c>
      <c r="G53" s="35" t="n">
        <f aca="false">IF($A53="","",IF(ISNUMBER($G52),$G52+1,1))</f>
        <v>49</v>
      </c>
      <c r="H53" s="36" t="n">
        <f aca="false">IF(OR(NOT(ISNUMBER($G53)),$G53&lt;2,NOT(ISNUMBER($C52)),$C52=0),"",$C53/$C52-1)</f>
        <v>-0.00239314916723354</v>
      </c>
      <c r="I53" s="37" t="n">
        <f aca="false">IF(AND(ISNUMBER($G53),$G53&gt;=MA_SHORT),AVERAGE(INDEX($C$5:$C53,50-MA_SHORT):$C53),"")</f>
        <v>930021.5</v>
      </c>
      <c r="J53" s="37" t="str">
        <f aca="false">IF(AND(ISNUMBER($G53),$G53&gt;=MA_MED),AVERAGE(INDEX($C$5:$C53,50-MA_MED):$C53),"")</f>
        <v/>
      </c>
      <c r="K53" s="37" t="str">
        <f aca="false">IF(AND(ISNUMBER($G53),$G53&gt;=MA_LONG2),AVERAGE(INDEX($C$5:$C53,50-MA_LONG2):$C53),"")</f>
        <v/>
      </c>
      <c r="L53" s="38" t="n">
        <f aca="false">IF(AND(ISNUMBER($G53),$G53&gt;=21),STDEV(INDEX($H$5:$H53,50-20):$H53)*SQRT(245),"")</f>
        <v>0.1535747307948</v>
      </c>
      <c r="M53" s="37" t="str">
        <f aca="false">IF(AND(ISNUMBER($G53),$G53&gt;=60),MAX(INDEX($D$5:$D53,50-60):$D53),"")</f>
        <v/>
      </c>
      <c r="N53" s="37" t="str">
        <f aca="false">IF(AND(ISNUMBER($G53),$G53&gt;=60),MIN(INDEX($E$5:$E53,50-60):$E53),"")</f>
        <v/>
      </c>
      <c r="O53" s="38" t="str">
        <f aca="false">IF(OR(NOT(ISNUMBER($C53)),NOT(ISNUMBER($M53)),$M53=0),"",$C53/$M53-1)</f>
        <v/>
      </c>
    </row>
    <row r="54" customFormat="false" ht="15" hidden="false" customHeight="true" outlineLevel="0" collapsed="false">
      <c r="A54" s="32" t="n">
        <v>45637</v>
      </c>
      <c r="B54" s="33" t="s">
        <v>144</v>
      </c>
      <c r="C54" s="34" t="n">
        <v>944134</v>
      </c>
      <c r="D54" s="34" t="n">
        <v>945477</v>
      </c>
      <c r="E54" s="34" t="n">
        <v>938380</v>
      </c>
      <c r="F54" s="34" t="n">
        <v>0</v>
      </c>
      <c r="G54" s="35" t="n">
        <f aca="false">IF($A54="","",IF(ISNUMBER($G53),$G53+1,1))</f>
        <v>50</v>
      </c>
      <c r="H54" s="36" t="n">
        <f aca="false">IF(OR(NOT(ISNUMBER($G54)),$G54&lt;2,NOT(ISNUMBER($C53)),$C53=0),"",$C54/$C53-1)</f>
        <v>0.0170065902152861</v>
      </c>
      <c r="I54" s="37" t="n">
        <f aca="false">IF(AND(ISNUMBER($G54),$G54&gt;=MA_SHORT),AVERAGE(INDEX($C$5:$C54,51-MA_SHORT):$C54),"")</f>
        <v>932327.6</v>
      </c>
      <c r="J54" s="37" t="n">
        <f aca="false">IF(AND(ISNUMBER($G54),$G54&gt;=MA_MED),AVERAGE(INDEX($C$5:$C54,51-MA_MED):$C54),"")</f>
        <v>942492.52</v>
      </c>
      <c r="K54" s="37" t="str">
        <f aca="false">IF(AND(ISNUMBER($G54),$G54&gt;=MA_LONG2),AVERAGE(INDEX($C$5:$C54,51-MA_LONG2):$C54),"")</f>
        <v/>
      </c>
      <c r="L54" s="38" t="n">
        <f aca="false">IF(AND(ISNUMBER($G54),$G54&gt;=21),STDEV(INDEX($H$5:$H54,51-20):$H54)*SQRT(245),"")</f>
        <v>0.162403627503136</v>
      </c>
      <c r="M54" s="37" t="str">
        <f aca="false">IF(AND(ISNUMBER($G54),$G54&gt;=60),MAX(INDEX($D$5:$D54,51-60):$D54),"")</f>
        <v/>
      </c>
      <c r="N54" s="37" t="str">
        <f aca="false">IF(AND(ISNUMBER($G54),$G54&gt;=60),MIN(INDEX($E$5:$E54,51-60):$E54),"")</f>
        <v/>
      </c>
      <c r="O54" s="38" t="str">
        <f aca="false">IF(OR(NOT(ISNUMBER($C54)),NOT(ISNUMBER($M54)),$M54=0),"",$C54/$M54-1)</f>
        <v/>
      </c>
    </row>
    <row r="55" customFormat="false" ht="15" hidden="false" customHeight="true" outlineLevel="0" collapsed="false">
      <c r="A55" s="32" t="n">
        <v>45640</v>
      </c>
      <c r="B55" s="33" t="s">
        <v>145</v>
      </c>
      <c r="C55" s="34" t="n">
        <v>945463</v>
      </c>
      <c r="D55" s="34" t="n">
        <v>946350</v>
      </c>
      <c r="E55" s="34" t="n">
        <v>943433</v>
      </c>
      <c r="F55" s="34" t="n">
        <v>0</v>
      </c>
      <c r="G55" s="35" t="n">
        <f aca="false">IF($A55="","",IF(ISNUMBER($G54),$G54+1,1))</f>
        <v>51</v>
      </c>
      <c r="H55" s="36" t="n">
        <f aca="false">IF(OR(NOT(ISNUMBER($G55)),$G55&lt;2,NOT(ISNUMBER($C54)),$C54=0),"",$C55/$C54-1)</f>
        <v>0.00140763916986364</v>
      </c>
      <c r="I55" s="37" t="n">
        <f aca="false">IF(AND(ISNUMBER($G55),$G55&gt;=MA_SHORT),AVERAGE(INDEX($C$5:$C55,52-MA_SHORT):$C55),"")</f>
        <v>934911.8</v>
      </c>
      <c r="J55" s="37" t="n">
        <f aca="false">IF(AND(ISNUMBER($G55),$G55&gt;=MA_MED),AVERAGE(INDEX($C$5:$C55,52-MA_MED):$C55),"")</f>
        <v>942297.62</v>
      </c>
      <c r="K55" s="37" t="str">
        <f aca="false">IF(AND(ISNUMBER($G55),$G55&gt;=MA_LONG2),AVERAGE(INDEX($C$5:$C55,52-MA_LONG2):$C55),"")</f>
        <v/>
      </c>
      <c r="L55" s="38" t="n">
        <f aca="false">IF(AND(ISNUMBER($G55),$G55&gt;=21),STDEV(INDEX($H$5:$H55,52-20):$H55)*SQRT(245),"")</f>
        <v>0.160268258645767</v>
      </c>
      <c r="M55" s="37" t="str">
        <f aca="false">IF(AND(ISNUMBER($G55),$G55&gt;=60),MAX(INDEX($D$5:$D55,52-60):$D55),"")</f>
        <v/>
      </c>
      <c r="N55" s="37" t="str">
        <f aca="false">IF(AND(ISNUMBER($G55),$G55&gt;=60),MIN(INDEX($E$5:$E55,52-60):$E55),"")</f>
        <v/>
      </c>
      <c r="O55" s="38" t="str">
        <f aca="false">IF(OR(NOT(ISNUMBER($C55)),NOT(ISNUMBER($M55)),$M55=0),"",$C55/$M55-1)</f>
        <v/>
      </c>
    </row>
    <row r="56" customFormat="false" ht="15" hidden="false" customHeight="true" outlineLevel="0" collapsed="false">
      <c r="A56" s="32" t="n">
        <v>45641</v>
      </c>
      <c r="B56" s="33" t="s">
        <v>146</v>
      </c>
      <c r="C56" s="34" t="n">
        <v>944902</v>
      </c>
      <c r="D56" s="34" t="n">
        <v>950211</v>
      </c>
      <c r="E56" s="34" t="n">
        <v>941591</v>
      </c>
      <c r="F56" s="34" t="n">
        <v>0</v>
      </c>
      <c r="G56" s="35" t="n">
        <f aca="false">IF($A56="","",IF(ISNUMBER($G55),$G55+1,1))</f>
        <v>52</v>
      </c>
      <c r="H56" s="36" t="n">
        <f aca="false">IF(OR(NOT(ISNUMBER($G56)),$G56&lt;2,NOT(ISNUMBER($C55)),$C55=0),"",$C56/$C55-1)</f>
        <v>-0.000593360078606997</v>
      </c>
      <c r="I56" s="37" t="n">
        <f aca="false">IF(AND(ISNUMBER($G56),$G56&gt;=MA_SHORT),AVERAGE(INDEX($C$5:$C56,53-MA_SHORT):$C56),"")</f>
        <v>937074.4</v>
      </c>
      <c r="J56" s="37" t="n">
        <f aca="false">IF(AND(ISNUMBER($G56),$G56&gt;=MA_MED),AVERAGE(INDEX($C$5:$C56,53-MA_MED):$C56),"")</f>
        <v>942156.44</v>
      </c>
      <c r="K56" s="37" t="str">
        <f aca="false">IF(AND(ISNUMBER($G56),$G56&gt;=MA_LONG2),AVERAGE(INDEX($C$5:$C56,53-MA_LONG2):$C56),"")</f>
        <v/>
      </c>
      <c r="L56" s="38" t="n">
        <f aca="false">IF(AND(ISNUMBER($G56),$G56&gt;=21),STDEV(INDEX($H$5:$H56,53-20):$H56)*SQRT(245),"")</f>
        <v>0.159147332791387</v>
      </c>
      <c r="M56" s="37" t="str">
        <f aca="false">IF(AND(ISNUMBER($G56),$G56&gt;=60),MAX(INDEX($D$5:$D56,53-60):$D56),"")</f>
        <v/>
      </c>
      <c r="N56" s="37" t="str">
        <f aca="false">IF(AND(ISNUMBER($G56),$G56&gt;=60),MIN(INDEX($E$5:$E56,53-60):$E56),"")</f>
        <v/>
      </c>
      <c r="O56" s="38" t="str">
        <f aca="false">IF(OR(NOT(ISNUMBER($C56)),NOT(ISNUMBER($M56)),$M56=0),"",$C56/$M56-1)</f>
        <v/>
      </c>
    </row>
    <row r="57" customFormat="false" ht="15" hidden="false" customHeight="true" outlineLevel="0" collapsed="false">
      <c r="A57" s="32" t="n">
        <v>45642</v>
      </c>
      <c r="B57" s="33" t="s">
        <v>147</v>
      </c>
      <c r="C57" s="34" t="n">
        <v>945357</v>
      </c>
      <c r="D57" s="34" t="n">
        <v>946699</v>
      </c>
      <c r="E57" s="34" t="n">
        <v>943205</v>
      </c>
      <c r="F57" s="34" t="n">
        <v>0</v>
      </c>
      <c r="G57" s="35" t="n">
        <f aca="false">IF($A57="","",IF(ISNUMBER($G56),$G56+1,1))</f>
        <v>53</v>
      </c>
      <c r="H57" s="36" t="n">
        <f aca="false">IF(OR(NOT(ISNUMBER($G57)),$G57&lt;2,NOT(ISNUMBER($C56)),$C56=0),"",$C57/$C56-1)</f>
        <v>0.000481531418073056</v>
      </c>
      <c r="I57" s="37" t="n">
        <f aca="false">IF(AND(ISNUMBER($G57),$G57&gt;=MA_SHORT),AVERAGE(INDEX($C$5:$C57,54-MA_SHORT):$C57),"")</f>
        <v>939315.25</v>
      </c>
      <c r="J57" s="37" t="n">
        <f aca="false">IF(AND(ISNUMBER($G57),$G57&gt;=MA_MED),AVERAGE(INDEX($C$5:$C57,54-MA_MED):$C57),"")</f>
        <v>941834.26</v>
      </c>
      <c r="K57" s="37" t="str">
        <f aca="false">IF(AND(ISNUMBER($G57),$G57&gt;=MA_LONG2),AVERAGE(INDEX($C$5:$C57,54-MA_LONG2):$C57),"")</f>
        <v/>
      </c>
      <c r="L57" s="38" t="n">
        <f aca="false">IF(AND(ISNUMBER($G57),$G57&gt;=21),STDEV(INDEX($H$5:$H57,54-20):$H57)*SQRT(245),"")</f>
        <v>0.158756632673928</v>
      </c>
      <c r="M57" s="37" t="str">
        <f aca="false">IF(AND(ISNUMBER($G57),$G57&gt;=60),MAX(INDEX($D$5:$D57,54-60):$D57),"")</f>
        <v/>
      </c>
      <c r="N57" s="37" t="str">
        <f aca="false">IF(AND(ISNUMBER($G57),$G57&gt;=60),MIN(INDEX($E$5:$E57,54-60):$E57),"")</f>
        <v/>
      </c>
      <c r="O57" s="38" t="str">
        <f aca="false">IF(OR(NOT(ISNUMBER($C57)),NOT(ISNUMBER($M57)),$M57=0),"",$C57/$M57-1)</f>
        <v/>
      </c>
    </row>
    <row r="58" customFormat="false" ht="15" hidden="false" customHeight="true" outlineLevel="0" collapsed="false">
      <c r="A58" s="32" t="n">
        <v>45643</v>
      </c>
      <c r="B58" s="33" t="s">
        <v>148</v>
      </c>
      <c r="C58" s="34" t="n">
        <v>958545</v>
      </c>
      <c r="D58" s="34" t="n">
        <v>962947</v>
      </c>
      <c r="E58" s="34" t="n">
        <v>956391</v>
      </c>
      <c r="F58" s="34" t="n">
        <v>0</v>
      </c>
      <c r="G58" s="35" t="n">
        <f aca="false">IF($A58="","",IF(ISNUMBER($G57),$G57+1,1))</f>
        <v>54</v>
      </c>
      <c r="H58" s="36" t="n">
        <f aca="false">IF(OR(NOT(ISNUMBER($G58)),$G58&lt;2,NOT(ISNUMBER($C57)),$C57=0),"",$C58/$C57-1)</f>
        <v>0.0139502854477198</v>
      </c>
      <c r="I58" s="37" t="n">
        <f aca="false">IF(AND(ISNUMBER($G58),$G58&gt;=MA_SHORT),AVERAGE(INDEX($C$5:$C58,55-MA_SHORT):$C58),"")</f>
        <v>942008.95</v>
      </c>
      <c r="J58" s="37" t="n">
        <f aca="false">IF(AND(ISNUMBER($G58),$G58&gt;=MA_MED),AVERAGE(INDEX($C$5:$C58,55-MA_MED):$C58),"")</f>
        <v>941592.48</v>
      </c>
      <c r="K58" s="37" t="str">
        <f aca="false">IF(AND(ISNUMBER($G58),$G58&gt;=MA_LONG2),AVERAGE(INDEX($C$5:$C58,55-MA_LONG2):$C58),"")</f>
        <v/>
      </c>
      <c r="L58" s="38" t="n">
        <f aca="false">IF(AND(ISNUMBER($G58),$G58&gt;=21),STDEV(INDEX($H$5:$H58,55-20):$H58)*SQRT(245),"")</f>
        <v>0.163665414038664</v>
      </c>
      <c r="M58" s="37" t="str">
        <f aca="false">IF(AND(ISNUMBER($G58),$G58&gt;=60),MAX(INDEX($D$5:$D58,55-60):$D58),"")</f>
        <v/>
      </c>
      <c r="N58" s="37" t="str">
        <f aca="false">IF(AND(ISNUMBER($G58),$G58&gt;=60),MIN(INDEX($E$5:$E58,55-60):$E58),"")</f>
        <v/>
      </c>
      <c r="O58" s="38" t="str">
        <f aca="false">IF(OR(NOT(ISNUMBER($C58)),NOT(ISNUMBER($M58)),$M58=0),"",$C58/$M58-1)</f>
        <v/>
      </c>
    </row>
    <row r="59" customFormat="false" ht="15" hidden="false" customHeight="true" outlineLevel="0" collapsed="false">
      <c r="A59" s="32" t="n">
        <v>45644</v>
      </c>
      <c r="B59" s="33" t="s">
        <v>149</v>
      </c>
      <c r="C59" s="34" t="n">
        <v>953999</v>
      </c>
      <c r="D59" s="34" t="n">
        <v>958775</v>
      </c>
      <c r="E59" s="34" t="n">
        <v>953122</v>
      </c>
      <c r="F59" s="34" t="n">
        <v>0</v>
      </c>
      <c r="G59" s="35" t="n">
        <f aca="false">IF($A59="","",IF(ISNUMBER($G58),$G58+1,1))</f>
        <v>55</v>
      </c>
      <c r="H59" s="36" t="n">
        <f aca="false">IF(OR(NOT(ISNUMBER($G59)),$G59&lt;2,NOT(ISNUMBER($C58)),$C58=0),"",$C59/$C58-1)</f>
        <v>-0.00474260467688004</v>
      </c>
      <c r="I59" s="37" t="n">
        <f aca="false">IF(AND(ISNUMBER($G59),$G59&gt;=MA_SHORT),AVERAGE(INDEX($C$5:$C59,56-MA_SHORT):$C59),"")</f>
        <v>944221.75</v>
      </c>
      <c r="J59" s="37" t="n">
        <f aca="false">IF(AND(ISNUMBER($G59),$G59&gt;=MA_MED),AVERAGE(INDEX($C$5:$C59,56-MA_MED):$C59),"")</f>
        <v>941208.88</v>
      </c>
      <c r="K59" s="37" t="str">
        <f aca="false">IF(AND(ISNUMBER($G59),$G59&gt;=MA_LONG2),AVERAGE(INDEX($C$5:$C59,56-MA_LONG2):$C59),"")</f>
        <v/>
      </c>
      <c r="L59" s="38" t="n">
        <f aca="false">IF(AND(ISNUMBER($G59),$G59&gt;=21),STDEV(INDEX($H$5:$H59,56-20):$H59)*SQRT(245),"")</f>
        <v>0.165496041026409</v>
      </c>
      <c r="M59" s="37" t="str">
        <f aca="false">IF(AND(ISNUMBER($G59),$G59&gt;=60),MAX(INDEX($D$5:$D59,56-60):$D59),"")</f>
        <v/>
      </c>
      <c r="N59" s="37" t="str">
        <f aca="false">IF(AND(ISNUMBER($G59),$G59&gt;=60),MIN(INDEX($E$5:$E59,56-60):$E59),"")</f>
        <v/>
      </c>
      <c r="O59" s="38" t="str">
        <f aca="false">IF(OR(NOT(ISNUMBER($C59)),NOT(ISNUMBER($M59)),$M59=0),"",$C59/$M59-1)</f>
        <v/>
      </c>
    </row>
    <row r="60" customFormat="false" ht="15" hidden="false" customHeight="true" outlineLevel="0" collapsed="false">
      <c r="A60" s="32" t="n">
        <v>45647</v>
      </c>
      <c r="B60" s="33" t="s">
        <v>150</v>
      </c>
      <c r="C60" s="34" t="n">
        <v>971914</v>
      </c>
      <c r="D60" s="34" t="n">
        <v>974928</v>
      </c>
      <c r="E60" s="34" t="n">
        <v>970339</v>
      </c>
      <c r="F60" s="34" t="n">
        <v>0</v>
      </c>
      <c r="G60" s="35" t="n">
        <f aca="false">IF($A60="","",IF(ISNUMBER($G59),$G59+1,1))</f>
        <v>56</v>
      </c>
      <c r="H60" s="36" t="n">
        <f aca="false">IF(OR(NOT(ISNUMBER($G60)),$G60&lt;2,NOT(ISNUMBER($C59)),$C59=0),"",$C60/$C59-1)</f>
        <v>0.0187788456801317</v>
      </c>
      <c r="I60" s="37" t="n">
        <f aca="false">IF(AND(ISNUMBER($G60),$G60&gt;=MA_SHORT),AVERAGE(INDEX($C$5:$C60,57-MA_SHORT):$C60),"")</f>
        <v>946770.15</v>
      </c>
      <c r="J60" s="37" t="n">
        <f aca="false">IF(AND(ISNUMBER($G60),$G60&gt;=MA_MED),AVERAGE(INDEX($C$5:$C60,57-MA_MED):$C60),"")</f>
        <v>941095.44</v>
      </c>
      <c r="K60" s="37" t="str">
        <f aca="false">IF(AND(ISNUMBER($G60),$G60&gt;=MA_LONG2),AVERAGE(INDEX($C$5:$C60,57-MA_LONG2):$C60),"")</f>
        <v/>
      </c>
      <c r="L60" s="38" t="n">
        <f aca="false">IF(AND(ISNUMBER($G60),$G60&gt;=21),STDEV(INDEX($H$5:$H60,57-20):$H60)*SQRT(245),"")</f>
        <v>0.171896957786523</v>
      </c>
      <c r="M60" s="37" t="str">
        <f aca="false">IF(AND(ISNUMBER($G60),$G60&gt;=60),MAX(INDEX($D$5:$D60,57-60):$D60),"")</f>
        <v/>
      </c>
      <c r="N60" s="37" t="str">
        <f aca="false">IF(AND(ISNUMBER($G60),$G60&gt;=60),MIN(INDEX($E$5:$E60,57-60):$E60),"")</f>
        <v/>
      </c>
      <c r="O60" s="38" t="str">
        <f aca="false">IF(OR(NOT(ISNUMBER($C60)),NOT(ISNUMBER($M60)),$M60=0),"",$C60/$M60-1)</f>
        <v/>
      </c>
    </row>
    <row r="61" customFormat="false" ht="15" hidden="false" customHeight="true" outlineLevel="0" collapsed="false">
      <c r="A61" s="32" t="n">
        <v>45648</v>
      </c>
      <c r="B61" s="33" t="s">
        <v>151</v>
      </c>
      <c r="C61" s="34" t="n">
        <v>966115</v>
      </c>
      <c r="D61" s="34" t="n">
        <v>966500</v>
      </c>
      <c r="E61" s="34" t="n">
        <v>965996</v>
      </c>
      <c r="F61" s="34" t="n">
        <v>0</v>
      </c>
      <c r="G61" s="35" t="n">
        <f aca="false">IF($A61="","",IF(ISNUMBER($G60),$G60+1,1))</f>
        <v>57</v>
      </c>
      <c r="H61" s="36" t="n">
        <f aca="false">IF(OR(NOT(ISNUMBER($G61)),$G61&lt;2,NOT(ISNUMBER($C60)),$C60=0),"",$C61/$C60-1)</f>
        <v>-0.00596657728976024</v>
      </c>
      <c r="I61" s="37" t="n">
        <f aca="false">IF(AND(ISNUMBER($G61),$G61&gt;=MA_SHORT),AVERAGE(INDEX($C$5:$C61,58-MA_SHORT):$C61),"")</f>
        <v>948522.5</v>
      </c>
      <c r="J61" s="37" t="n">
        <f aca="false">IF(AND(ISNUMBER($G61),$G61&gt;=MA_MED),AVERAGE(INDEX($C$5:$C61,58-MA_MED):$C61),"")</f>
        <v>940814.16</v>
      </c>
      <c r="K61" s="37" t="str">
        <f aca="false">IF(AND(ISNUMBER($G61),$G61&gt;=MA_LONG2),AVERAGE(INDEX($C$5:$C61,58-MA_LONG2):$C61),"")</f>
        <v/>
      </c>
      <c r="L61" s="38" t="n">
        <f aca="false">IF(AND(ISNUMBER($G61),$G61&gt;=21),STDEV(INDEX($H$5:$H61,58-20):$H61)*SQRT(245),"")</f>
        <v>0.171665327180335</v>
      </c>
      <c r="M61" s="37" t="str">
        <f aca="false">IF(AND(ISNUMBER($G61),$G61&gt;=60),MAX(INDEX($D$5:$D61,58-60):$D61),"")</f>
        <v/>
      </c>
      <c r="N61" s="37" t="str">
        <f aca="false">IF(AND(ISNUMBER($G61),$G61&gt;=60),MIN(INDEX($E$5:$E61,58-60):$E61),"")</f>
        <v/>
      </c>
      <c r="O61" s="38" t="str">
        <f aca="false">IF(OR(NOT(ISNUMBER($C61)),NOT(ISNUMBER($M61)),$M61=0),"",$C61/$M61-1)</f>
        <v/>
      </c>
    </row>
    <row r="62" customFormat="false" ht="15" hidden="false" customHeight="true" outlineLevel="0" collapsed="false">
      <c r="A62" s="32" t="n">
        <v>45649</v>
      </c>
      <c r="B62" s="33" t="s">
        <v>152</v>
      </c>
      <c r="C62" s="34" t="n">
        <v>966556</v>
      </c>
      <c r="D62" s="34" t="n">
        <v>970718</v>
      </c>
      <c r="E62" s="34" t="n">
        <v>965984</v>
      </c>
      <c r="F62" s="34" t="n">
        <v>0</v>
      </c>
      <c r="G62" s="35" t="n">
        <f aca="false">IF($A62="","",IF(ISNUMBER($G61),$G61+1,1))</f>
        <v>58</v>
      </c>
      <c r="H62" s="36" t="n">
        <f aca="false">IF(OR(NOT(ISNUMBER($G62)),$G62&lt;2,NOT(ISNUMBER($C61)),$C61=0),"",$C62/$C61-1)</f>
        <v>0.000456467397773608</v>
      </c>
      <c r="I62" s="37" t="n">
        <f aca="false">IF(AND(ISNUMBER($G62),$G62&gt;=MA_SHORT),AVERAGE(INDEX($C$5:$C62,59-MA_SHORT):$C62),"")</f>
        <v>949732.1</v>
      </c>
      <c r="J62" s="37" t="n">
        <f aca="false">IF(AND(ISNUMBER($G62),$G62&gt;=MA_MED),AVERAGE(INDEX($C$5:$C62,59-MA_MED):$C62),"")</f>
        <v>940648.44</v>
      </c>
      <c r="K62" s="37" t="str">
        <f aca="false">IF(AND(ISNUMBER($G62),$G62&gt;=MA_LONG2),AVERAGE(INDEX($C$5:$C62,59-MA_LONG2):$C62),"")</f>
        <v/>
      </c>
      <c r="L62" s="38" t="n">
        <f aca="false">IF(AND(ISNUMBER($G62),$G62&gt;=21),STDEV(INDEX($H$5:$H62,59-20):$H62)*SQRT(245),"")</f>
        <v>0.167510479014916</v>
      </c>
      <c r="M62" s="37" t="str">
        <f aca="false">IF(AND(ISNUMBER($G62),$G62&gt;=60),MAX(INDEX($D$5:$D62,59-60):$D62),"")</f>
        <v/>
      </c>
      <c r="N62" s="37" t="str">
        <f aca="false">IF(AND(ISNUMBER($G62),$G62&gt;=60),MIN(INDEX($E$5:$E62,59-60):$E62),"")</f>
        <v/>
      </c>
      <c r="O62" s="38" t="str">
        <f aca="false">IF(OR(NOT(ISNUMBER($C62)),NOT(ISNUMBER($M62)),$M62=0),"",$C62/$M62-1)</f>
        <v/>
      </c>
    </row>
    <row r="63" customFormat="false" ht="15" hidden="false" customHeight="true" outlineLevel="0" collapsed="false">
      <c r="A63" s="32" t="n">
        <v>45650</v>
      </c>
      <c r="B63" s="33" t="s">
        <v>153</v>
      </c>
      <c r="C63" s="34" t="n">
        <v>970176</v>
      </c>
      <c r="D63" s="34" t="n">
        <v>979315</v>
      </c>
      <c r="E63" s="34" t="n">
        <v>965855</v>
      </c>
      <c r="F63" s="34" t="n">
        <v>0</v>
      </c>
      <c r="G63" s="35" t="n">
        <f aca="false">IF($A63="","",IF(ISNUMBER($G62),$G62+1,1))</f>
        <v>59</v>
      </c>
      <c r="H63" s="36" t="n">
        <f aca="false">IF(OR(NOT(ISNUMBER($G63)),$G63&lt;2,NOT(ISNUMBER($C62)),$C62=0),"",$C63/$C62-1)</f>
        <v>0.00374525635348588</v>
      </c>
      <c r="I63" s="37" t="n">
        <f aca="false">IF(AND(ISNUMBER($G63),$G63&gt;=MA_SHORT),AVERAGE(INDEX($C$5:$C63,60-MA_SHORT):$C63),"")</f>
        <v>950621.75</v>
      </c>
      <c r="J63" s="37" t="n">
        <f aca="false">IF(AND(ISNUMBER($G63),$G63&gt;=MA_MED),AVERAGE(INDEX($C$5:$C63,60-MA_MED):$C63),"")</f>
        <v>940261.46</v>
      </c>
      <c r="K63" s="37" t="str">
        <f aca="false">IF(AND(ISNUMBER($G63),$G63&gt;=MA_LONG2),AVERAGE(INDEX($C$5:$C63,60-MA_LONG2):$C63),"")</f>
        <v/>
      </c>
      <c r="L63" s="38" t="n">
        <f aca="false">IF(AND(ISNUMBER($G63),$G63&gt;=21),STDEV(INDEX($H$5:$H63,60-20):$H63)*SQRT(245),"")</f>
        <v>0.164278341794377</v>
      </c>
      <c r="M63" s="37" t="str">
        <f aca="false">IF(AND(ISNUMBER($G63),$G63&gt;=60),MAX(INDEX($D$5:$D63,60-60):$D63),"")</f>
        <v/>
      </c>
      <c r="N63" s="37" t="str">
        <f aca="false">IF(AND(ISNUMBER($G63),$G63&gt;=60),MIN(INDEX($E$5:$E63,60-60):$E63),"")</f>
        <v/>
      </c>
      <c r="O63" s="38" t="str">
        <f aca="false">IF(OR(NOT(ISNUMBER($C63)),NOT(ISNUMBER($M63)),$M63=0),"",$C63/$M63-1)</f>
        <v/>
      </c>
    </row>
    <row r="64" customFormat="false" ht="15" hidden="false" customHeight="true" outlineLevel="0" collapsed="false">
      <c r="A64" s="32" t="n">
        <v>45651</v>
      </c>
      <c r="B64" s="33" t="s">
        <v>154</v>
      </c>
      <c r="C64" s="34" t="n">
        <v>987122</v>
      </c>
      <c r="D64" s="34" t="n">
        <v>989932</v>
      </c>
      <c r="E64" s="34" t="n">
        <v>984117</v>
      </c>
      <c r="F64" s="34" t="n">
        <v>0</v>
      </c>
      <c r="G64" s="35" t="n">
        <f aca="false">IF($A64="","",IF(ISNUMBER($G63),$G63+1,1))</f>
        <v>60</v>
      </c>
      <c r="H64" s="36" t="n">
        <f aca="false">IF(OR(NOT(ISNUMBER($G64)),$G64&lt;2,NOT(ISNUMBER($C63)),$C63=0),"",$C64/$C63-1)</f>
        <v>0.0174669338346856</v>
      </c>
      <c r="I64" s="37" t="n">
        <f aca="false">IF(AND(ISNUMBER($G64),$G64&gt;=MA_SHORT),AVERAGE(INDEX($C$5:$C64,61-MA_SHORT):$C64),"")</f>
        <v>951929.25</v>
      </c>
      <c r="J64" s="37" t="n">
        <f aca="false">IF(AND(ISNUMBER($G64),$G64&gt;=MA_MED),AVERAGE(INDEX($C$5:$C64,61-MA_MED):$C64),"")</f>
        <v>940548.72</v>
      </c>
      <c r="K64" s="37" t="str">
        <f aca="false">IF(AND(ISNUMBER($G64),$G64&gt;=MA_LONG2),AVERAGE(INDEX($C$5:$C64,61-MA_LONG2):$C64),"")</f>
        <v/>
      </c>
      <c r="L64" s="38" t="n">
        <f aca="false">IF(AND(ISNUMBER($G64),$G64&gt;=21),STDEV(INDEX($H$5:$H64,61-20):$H64)*SQRT(245),"")</f>
        <v>0.172085984396527</v>
      </c>
      <c r="M64" s="37" t="n">
        <f aca="false">IF(AND(ISNUMBER($G64),$G64&gt;=60),MAX(INDEX($D$5:$D64,61-60):$D64),"")</f>
        <v>997157</v>
      </c>
      <c r="N64" s="37" t="n">
        <f aca="false">IF(AND(ISNUMBER($G64),$G64&gt;=60),MIN(INDEX($E$5:$E64,61-60):$E64),"")</f>
        <v>892592</v>
      </c>
      <c r="O64" s="38" t="n">
        <f aca="false">IF(OR(NOT(ISNUMBER($C64)),NOT(ISNUMBER($M64)),$M64=0),"",$C64/$M64-1)</f>
        <v>-0.0100636108456341</v>
      </c>
    </row>
    <row r="65" customFormat="false" ht="15" hidden="false" customHeight="true" outlineLevel="0" collapsed="false">
      <c r="A65" s="32" t="n">
        <v>45654</v>
      </c>
      <c r="B65" s="33" t="s">
        <v>155</v>
      </c>
      <c r="C65" s="34" t="n">
        <v>990056</v>
      </c>
      <c r="D65" s="34" t="n">
        <v>992051</v>
      </c>
      <c r="E65" s="34" t="n">
        <v>987853</v>
      </c>
      <c r="F65" s="34" t="n">
        <v>0</v>
      </c>
      <c r="G65" s="35" t="n">
        <f aca="false">IF($A65="","",IF(ISNUMBER($G64),$G64+1,1))</f>
        <v>61</v>
      </c>
      <c r="H65" s="36" t="n">
        <f aca="false">IF(OR(NOT(ISNUMBER($G65)),$G65&lt;2,NOT(ISNUMBER($C64)),$C64=0),"",$C65/$C64-1)</f>
        <v>0.00297227698298697</v>
      </c>
      <c r="I65" s="37" t="n">
        <f aca="false">IF(AND(ISNUMBER($G65),$G65&gt;=MA_SHORT),AVERAGE(INDEX($C$5:$C65,62-MA_SHORT):$C65),"")</f>
        <v>953088.85</v>
      </c>
      <c r="J65" s="37" t="n">
        <f aca="false">IF(AND(ISNUMBER($G65),$G65&gt;=MA_MED),AVERAGE(INDEX($C$5:$C65,62-MA_MED):$C65),"")</f>
        <v>940887.8</v>
      </c>
      <c r="K65" s="37" t="str">
        <f aca="false">IF(AND(ISNUMBER($G65),$G65&gt;=MA_LONG2),AVERAGE(INDEX($C$5:$C65,62-MA_LONG2):$C65),"")</f>
        <v/>
      </c>
      <c r="L65" s="38" t="n">
        <f aca="false">IF(AND(ISNUMBER($G65),$G65&gt;=21),STDEV(INDEX($H$5:$H65,62-20):$H65)*SQRT(245),"")</f>
        <v>0.171319651298217</v>
      </c>
      <c r="M65" s="37" t="n">
        <f aca="false">IF(AND(ISNUMBER($G65),$G65&gt;=60),MAX(INDEX($D$5:$D65,62-60):$D65),"")</f>
        <v>997157</v>
      </c>
      <c r="N65" s="37" t="n">
        <f aca="false">IF(AND(ISNUMBER($G65),$G65&gt;=60),MIN(INDEX($E$5:$E65,62-60):$E65),"")</f>
        <v>892592</v>
      </c>
      <c r="O65" s="38" t="n">
        <f aca="false">IF(OR(NOT(ISNUMBER($C65)),NOT(ISNUMBER($M65)),$M65=0),"",$C65/$M65-1)</f>
        <v>-0.0071212457015295</v>
      </c>
    </row>
    <row r="66" customFormat="false" ht="15" hidden="false" customHeight="true" outlineLevel="0" collapsed="false">
      <c r="A66" s="32" t="n">
        <v>45655</v>
      </c>
      <c r="B66" s="33" t="s">
        <v>156</v>
      </c>
      <c r="C66" s="34" t="n">
        <v>984066</v>
      </c>
      <c r="D66" s="34" t="n">
        <v>988262</v>
      </c>
      <c r="E66" s="34" t="n">
        <v>981481</v>
      </c>
      <c r="F66" s="34" t="n">
        <v>0</v>
      </c>
      <c r="G66" s="35" t="n">
        <f aca="false">IF($A66="","",IF(ISNUMBER($G65),$G65+1,1))</f>
        <v>62</v>
      </c>
      <c r="H66" s="36" t="n">
        <f aca="false">IF(OR(NOT(ISNUMBER($G66)),$G66&lt;2,NOT(ISNUMBER($C65)),$C65=0),"",$C66/$C65-1)</f>
        <v>-0.00605016281907289</v>
      </c>
      <c r="I66" s="37" t="n">
        <f aca="false">IF(AND(ISNUMBER($G66),$G66&gt;=MA_SHORT),AVERAGE(INDEX($C$5:$C66,63-MA_SHORT):$C66),"")</f>
        <v>954750.05</v>
      </c>
      <c r="J66" s="37" t="n">
        <f aca="false">IF(AND(ISNUMBER($G66),$G66&gt;=MA_MED),AVERAGE(INDEX($C$5:$C66,63-MA_MED):$C66),"")</f>
        <v>941035.68</v>
      </c>
      <c r="K66" s="37" t="str">
        <f aca="false">IF(AND(ISNUMBER($G66),$G66&gt;=MA_LONG2),AVERAGE(INDEX($C$5:$C66,63-MA_LONG2):$C66),"")</f>
        <v/>
      </c>
      <c r="L66" s="38" t="n">
        <f aca="false">IF(AND(ISNUMBER($G66),$G66&gt;=21),STDEV(INDEX($H$6:$H66,62-20):$H66)*SQRT(245),"")</f>
        <v>0.160850850623655</v>
      </c>
      <c r="M66" s="37" t="n">
        <f aca="false">IF(AND(ISNUMBER($G66),$G66&gt;=60),MAX(INDEX($D$5:$D66,63-60):$D66),"")</f>
        <v>997157</v>
      </c>
      <c r="N66" s="37" t="n">
        <f aca="false">IF(AND(ISNUMBER($G66),$G66&gt;=60),MIN(INDEX($E$5:$E66,63-60):$E66),"")</f>
        <v>892592</v>
      </c>
      <c r="O66" s="38" t="n">
        <f aca="false">IF(OR(NOT(ISNUMBER($C66)),NOT(ISNUMBER($M66)),$M66=0),"",$C66/$M66-1)</f>
        <v>-0.0131283238246335</v>
      </c>
    </row>
    <row r="67" customFormat="false" ht="15" hidden="false" customHeight="true" outlineLevel="0" collapsed="false">
      <c r="A67" s="32" t="n">
        <v>45656</v>
      </c>
      <c r="B67" s="33" t="s">
        <v>157</v>
      </c>
      <c r="C67" s="34" t="n">
        <v>1000210</v>
      </c>
      <c r="D67" s="34" t="n">
        <v>1006068</v>
      </c>
      <c r="E67" s="34" t="n">
        <v>996732</v>
      </c>
      <c r="F67" s="34" t="n">
        <v>0</v>
      </c>
      <c r="G67" s="35" t="n">
        <f aca="false">IF($A67="","",IF(ISNUMBER($G66),$G66+1,1))</f>
        <v>63</v>
      </c>
      <c r="H67" s="36" t="n">
        <f aca="false">IF(OR(NOT(ISNUMBER($G67)),$G67&lt;2,NOT(ISNUMBER($C66)),$C66=0),"",$C67/$C66-1)</f>
        <v>0.0164054037025971</v>
      </c>
      <c r="I67" s="37" t="n">
        <f aca="false">IF(AND(ISNUMBER($G67),$G67&gt;=MA_SHORT),AVERAGE(INDEX($C$5:$C67,64-MA_SHORT):$C67),"")</f>
        <v>957305.8</v>
      </c>
      <c r="J67" s="37" t="n">
        <f aca="false">IF(AND(ISNUMBER($G67),$G67&gt;=MA_MED),AVERAGE(INDEX($C$5:$C67,64-MA_MED):$C67),"")</f>
        <v>941686.96</v>
      </c>
      <c r="K67" s="37" t="str">
        <f aca="false">IF(AND(ISNUMBER($G67),$G67&gt;=MA_LONG2),AVERAGE(INDEX($C$5:$C67,64-MA_LONG2):$C67),"")</f>
        <v/>
      </c>
      <c r="L67" s="38" t="n">
        <f aca="false">IF(AND(ISNUMBER($G67),$G67&gt;=21),STDEV(INDEX($H$7:$H67,62-20):$H67)*SQRT(245),"")</f>
        <v>0.168087059758074</v>
      </c>
      <c r="M67" s="37" t="n">
        <f aca="false">IF(AND(ISNUMBER($G67),$G67&gt;=60),MAX(INDEX($D$5:$D67,64-60):$D67),"")</f>
        <v>1006068</v>
      </c>
      <c r="N67" s="37" t="n">
        <f aca="false">IF(AND(ISNUMBER($G67),$G67&gt;=60),MIN(INDEX($E$5:$E67,64-60):$E67),"")</f>
        <v>892592</v>
      </c>
      <c r="O67" s="38" t="n">
        <f aca="false">IF(OR(NOT(ISNUMBER($C67)),NOT(ISNUMBER($M67)),$M67=0),"",$C67/$M67-1)</f>
        <v>-0.00582266805027099</v>
      </c>
    </row>
    <row r="68" customFormat="false" ht="15" hidden="false" customHeight="true" outlineLevel="0" collapsed="false">
      <c r="A68" s="32" t="n">
        <v>45657</v>
      </c>
      <c r="B68" s="33" t="s">
        <v>158</v>
      </c>
      <c r="C68" s="34" t="n">
        <v>998330</v>
      </c>
      <c r="D68" s="34" t="n">
        <v>998484</v>
      </c>
      <c r="E68" s="34" t="n">
        <v>996024</v>
      </c>
      <c r="F68" s="34" t="n">
        <v>0</v>
      </c>
      <c r="G68" s="35" t="n">
        <f aca="false">IF($A68="","",IF(ISNUMBER($G67),$G67+1,1))</f>
        <v>64</v>
      </c>
      <c r="H68" s="36" t="n">
        <f aca="false">IF(OR(NOT(ISNUMBER($G68)),$G68&lt;2,NOT(ISNUMBER($C67)),$C67=0),"",$C68/$C67-1)</f>
        <v>-0.00187960528289055</v>
      </c>
      <c r="I68" s="37" t="n">
        <f aca="false">IF(AND(ISNUMBER($G68),$G68&gt;=MA_SHORT),AVERAGE(INDEX($C$5:$C68,65-MA_SHORT):$C68),"")</f>
        <v>960468.6</v>
      </c>
      <c r="J68" s="37" t="n">
        <f aca="false">IF(AND(ISNUMBER($G68),$G68&gt;=MA_MED),AVERAGE(INDEX($C$5:$C68,65-MA_MED):$C68),"")</f>
        <v>942360.92</v>
      </c>
      <c r="K68" s="37" t="str">
        <f aca="false">IF(AND(ISNUMBER($G68),$G68&gt;=MA_LONG2),AVERAGE(INDEX($C$5:$C68,65-MA_LONG2):$C68),"")</f>
        <v/>
      </c>
      <c r="L68" s="38" t="n">
        <f aca="false">IF(AND(ISNUMBER($G68),$G68&gt;=21),STDEV(INDEX($H$8:$H68,62-20):$H68)*SQRT(245),"")</f>
        <v>0.156480225900747</v>
      </c>
      <c r="M68" s="37" t="n">
        <f aca="false">IF(AND(ISNUMBER($G68),$G68&gt;=60),MAX(INDEX($D$5:$D68,65-60):$D68),"")</f>
        <v>1006068</v>
      </c>
      <c r="N68" s="37" t="n">
        <f aca="false">IF(AND(ISNUMBER($G68),$G68&gt;=60),MIN(INDEX($E$5:$E68,65-60):$E68),"")</f>
        <v>892592</v>
      </c>
      <c r="O68" s="38" t="n">
        <f aca="false">IF(OR(NOT(ISNUMBER($C68)),NOT(ISNUMBER($M68)),$M68=0),"",$C68/$M68-1)</f>
        <v>-0.00769132901553371</v>
      </c>
    </row>
    <row r="69" customFormat="false" ht="15" hidden="false" customHeight="true" outlineLevel="0" collapsed="false">
      <c r="A69" s="32" t="n">
        <v>45658</v>
      </c>
      <c r="B69" s="33" t="s">
        <v>159</v>
      </c>
      <c r="C69" s="34" t="n">
        <v>1001991</v>
      </c>
      <c r="D69" s="34" t="n">
        <v>1002542</v>
      </c>
      <c r="E69" s="34" t="n">
        <v>1000343</v>
      </c>
      <c r="F69" s="34" t="n">
        <v>0</v>
      </c>
      <c r="G69" s="35" t="n">
        <f aca="false">IF($A69="","",IF(ISNUMBER($G68),$G68+1,1))</f>
        <v>65</v>
      </c>
      <c r="H69" s="36" t="n">
        <f aca="false">IF(OR(NOT(ISNUMBER($G69)),$G69&lt;2,NOT(ISNUMBER($C68)),$C68=0),"",$C69/$C68-1)</f>
        <v>0.00366712409724235</v>
      </c>
      <c r="I69" s="37" t="n">
        <f aca="false">IF(AND(ISNUMBER($G69),$G69&gt;=MA_SHORT),AVERAGE(INDEX($C$5:$C69,66-MA_SHORT):$C69),"")</f>
        <v>963951.55</v>
      </c>
      <c r="J69" s="37" t="n">
        <f aca="false">IF(AND(ISNUMBER($G69),$G69&gt;=MA_MED),AVERAGE(INDEX($C$5:$C69,66-MA_MED):$C69),"")</f>
        <v>943242.34</v>
      </c>
      <c r="K69" s="37" t="str">
        <f aca="false">IF(AND(ISNUMBER($G69),$G69&gt;=MA_LONG2),AVERAGE(INDEX($C$5:$C69,66-MA_LONG2):$C69),"")</f>
        <v/>
      </c>
      <c r="L69" s="38" t="n">
        <f aca="false">IF(AND(ISNUMBER($G69),$G69&gt;=21),STDEV(INDEX($H$9:$H69,62-20):$H69)*SQRT(245),"")</f>
        <v>0.154772480100925</v>
      </c>
      <c r="M69" s="37" t="n">
        <f aca="false">IF(AND(ISNUMBER($G69),$G69&gt;=60),MAX(INDEX($D$5:$D69,66-60):$D69),"")</f>
        <v>1006068</v>
      </c>
      <c r="N69" s="37" t="n">
        <f aca="false">IF(AND(ISNUMBER($G69),$G69&gt;=60),MIN(INDEX($E$5:$E69,66-60):$E69),"")</f>
        <v>892592</v>
      </c>
      <c r="O69" s="38" t="n">
        <f aca="false">IF(OR(NOT(ISNUMBER($C69)),NOT(ISNUMBER($M69)),$M69=0),"",$C69/$M69-1)</f>
        <v>-0.00405240997626399</v>
      </c>
    </row>
    <row r="70" customFormat="false" ht="15" hidden="false" customHeight="true" outlineLevel="0" collapsed="false">
      <c r="A70" s="32" t="n">
        <v>45661</v>
      </c>
      <c r="B70" s="33" t="s">
        <v>160</v>
      </c>
      <c r="C70" s="34" t="n">
        <v>1016376</v>
      </c>
      <c r="D70" s="34" t="n">
        <v>1018481</v>
      </c>
      <c r="E70" s="34" t="n">
        <v>1013672</v>
      </c>
      <c r="F70" s="34" t="n">
        <v>0</v>
      </c>
      <c r="G70" s="35" t="n">
        <f aca="false">IF($A70="","",IF(ISNUMBER($G69),$G69+1,1))</f>
        <v>66</v>
      </c>
      <c r="H70" s="36" t="n">
        <f aca="false">IF(OR(NOT(ISNUMBER($G70)),$G70&lt;2,NOT(ISNUMBER($C69)),$C69=0),"",$C70/$C69-1)</f>
        <v>0.0143564163749974</v>
      </c>
      <c r="I70" s="37" t="n">
        <f aca="false">IF(AND(ISNUMBER($G70),$G70&gt;=MA_SHORT),AVERAGE(INDEX($C$5:$C70,67-MA_SHORT):$C70),"")</f>
        <v>967271.35</v>
      </c>
      <c r="J70" s="37" t="n">
        <f aca="false">IF(AND(ISNUMBER($G70),$G70&gt;=MA_MED),AVERAGE(INDEX($C$5:$C70,67-MA_MED):$C70),"")</f>
        <v>944327.82</v>
      </c>
      <c r="K70" s="37" t="str">
        <f aca="false">IF(AND(ISNUMBER($G70),$G70&gt;=MA_LONG2),AVERAGE(INDEX($C$5:$C70,67-MA_LONG2):$C70),"")</f>
        <v/>
      </c>
      <c r="L70" s="38" t="n">
        <f aca="false">IF(AND(ISNUMBER($G70),$G70&gt;=21),STDEV(INDEX($H$10:$H70,62-20):$H70)*SQRT(245),"")</f>
        <v>0.149698261408287</v>
      </c>
      <c r="M70" s="37" t="n">
        <f aca="false">IF(AND(ISNUMBER($G70),$G70&gt;=60),MAX(INDEX($D$5:$D70,67-60):$D70),"")</f>
        <v>1018481</v>
      </c>
      <c r="N70" s="37" t="n">
        <f aca="false">IF(AND(ISNUMBER($G70),$G70&gt;=60),MIN(INDEX($E$5:$E70,67-60):$E70),"")</f>
        <v>892592</v>
      </c>
      <c r="O70" s="38" t="n">
        <f aca="false">IF(OR(NOT(ISNUMBER($C70)),NOT(ISNUMBER($M70)),$M70=0),"",$C70/$M70-1)</f>
        <v>-0.0020668034062491</v>
      </c>
    </row>
    <row r="71" customFormat="false" ht="15" hidden="false" customHeight="true" outlineLevel="0" collapsed="false">
      <c r="A71" s="32" t="n">
        <v>45662</v>
      </c>
      <c r="B71" s="33" t="s">
        <v>161</v>
      </c>
      <c r="C71" s="34" t="n">
        <v>1016192</v>
      </c>
      <c r="D71" s="34" t="n">
        <v>1018941</v>
      </c>
      <c r="E71" s="34" t="n">
        <v>1015295</v>
      </c>
      <c r="F71" s="34" t="n">
        <v>0</v>
      </c>
      <c r="G71" s="35" t="n">
        <f aca="false">IF($A71="","",IF(ISNUMBER($G70),$G70+1,1))</f>
        <v>67</v>
      </c>
      <c r="H71" s="36" t="n">
        <f aca="false">IF(OR(NOT(ISNUMBER($G71)),$G71&lt;2,NOT(ISNUMBER($C70)),$C70=0),"",$C71/$C70-1)</f>
        <v>-0.000181035364865023</v>
      </c>
      <c r="I71" s="37" t="n">
        <f aca="false">IF(AND(ISNUMBER($G71),$G71&gt;=MA_SHORT),AVERAGE(INDEX($C$5:$C71,68-MA_SHORT):$C71),"")</f>
        <v>971021.15</v>
      </c>
      <c r="J71" s="37" t="n">
        <f aca="false">IF(AND(ISNUMBER($G71),$G71&gt;=MA_MED),AVERAGE(INDEX($C$5:$C71,68-MA_MED):$C71),"")</f>
        <v>945244.28</v>
      </c>
      <c r="K71" s="37" t="str">
        <f aca="false">IF(AND(ISNUMBER($G71),$G71&gt;=MA_LONG2),AVERAGE(INDEX($C$5:$C71,68-MA_LONG2):$C71),"")</f>
        <v/>
      </c>
      <c r="L71" s="38" t="n">
        <f aca="false">IF(AND(ISNUMBER($G71),$G71&gt;=21),STDEV(INDEX($H$11:$H71,62-20):$H71)*SQRT(245),"")</f>
        <v>0.143015265951568</v>
      </c>
      <c r="M71" s="37" t="n">
        <f aca="false">IF(AND(ISNUMBER($G71),$G71&gt;=60),MAX(INDEX($D$5:$D71,68-60):$D71),"")</f>
        <v>1018941</v>
      </c>
      <c r="N71" s="37" t="n">
        <f aca="false">IF(AND(ISNUMBER($G71),$G71&gt;=60),MIN(INDEX($E$5:$E71,68-60):$E71),"")</f>
        <v>892592</v>
      </c>
      <c r="O71" s="38" t="n">
        <f aca="false">IF(OR(NOT(ISNUMBER($C71)),NOT(ISNUMBER($M71)),$M71=0),"",$C71/$M71-1)</f>
        <v>-0.00269789909327434</v>
      </c>
    </row>
    <row r="72" customFormat="false" ht="15" hidden="false" customHeight="true" outlineLevel="0" collapsed="false">
      <c r="A72" s="32" t="n">
        <v>45663</v>
      </c>
      <c r="B72" s="33" t="s">
        <v>162</v>
      </c>
      <c r="C72" s="34" t="n">
        <v>1000186</v>
      </c>
      <c r="D72" s="34" t="n">
        <v>1001533</v>
      </c>
      <c r="E72" s="34" t="n">
        <v>997358</v>
      </c>
      <c r="F72" s="34" t="n">
        <v>0</v>
      </c>
      <c r="G72" s="35" t="n">
        <f aca="false">IF($A72="","",IF(ISNUMBER($G71),$G71+1,1))</f>
        <v>68</v>
      </c>
      <c r="H72" s="36" t="n">
        <f aca="false">IF(OR(NOT(ISNUMBER($G72)),$G72&lt;2,NOT(ISNUMBER($C71)),$C71=0),"",$C72/$C71-1)</f>
        <v>-0.0157509604484192</v>
      </c>
      <c r="I72" s="37" t="n">
        <f aca="false">IF(AND(ISNUMBER($G72),$G72&gt;=MA_SHORT),AVERAGE(INDEX($C$5:$C72,69-MA_SHORT):$C72),"")</f>
        <v>974501.8</v>
      </c>
      <c r="J72" s="37" t="n">
        <f aca="false">IF(AND(ISNUMBER($G72),$G72&gt;=MA_MED),AVERAGE(INDEX($C$5:$C72,69-MA_MED):$C72),"")</f>
        <v>946255.12</v>
      </c>
      <c r="K72" s="37" t="str">
        <f aca="false">IF(AND(ISNUMBER($G72),$G72&gt;=MA_LONG2),AVERAGE(INDEX($C$5:$C72,69-MA_LONG2):$C72),"")</f>
        <v/>
      </c>
      <c r="L72" s="38" t="n">
        <f aca="false">IF(AND(ISNUMBER($G72),$G72&gt;=21),STDEV(INDEX($H$12:$H72,62-20):$H72)*SQRT(245),"")</f>
        <v>0.149812109570004</v>
      </c>
      <c r="M72" s="37" t="n">
        <f aca="false">IF(AND(ISNUMBER($G72),$G72&gt;=60),MAX(INDEX($D$5:$D72,69-60):$D72),"")</f>
        <v>1018941</v>
      </c>
      <c r="N72" s="37" t="n">
        <f aca="false">IF(AND(ISNUMBER($G72),$G72&gt;=60),MIN(INDEX($E$5:$E72,69-60):$E72),"")</f>
        <v>892592</v>
      </c>
      <c r="O72" s="38" t="n">
        <f aca="false">IF(OR(NOT(ISNUMBER($C72)),NOT(ISNUMBER($M72)),$M72=0),"",$C72/$M72-1)</f>
        <v>-0.0184063650397815</v>
      </c>
    </row>
    <row r="73" customFormat="false" ht="15" hidden="false" customHeight="true" outlineLevel="0" collapsed="false">
      <c r="A73" s="32" t="n">
        <v>45664</v>
      </c>
      <c r="B73" s="33" t="s">
        <v>163</v>
      </c>
      <c r="C73" s="34" t="n">
        <v>1013142</v>
      </c>
      <c r="D73" s="34" t="n">
        <v>1014999</v>
      </c>
      <c r="E73" s="34" t="n">
        <v>1010105</v>
      </c>
      <c r="F73" s="34" t="n">
        <v>0</v>
      </c>
      <c r="G73" s="35" t="n">
        <f aca="false">IF($A73="","",IF(ISNUMBER($G72),$G72+1,1))</f>
        <v>69</v>
      </c>
      <c r="H73" s="36" t="n">
        <f aca="false">IF(OR(NOT(ISNUMBER($G73)),$G73&lt;2,NOT(ISNUMBER($C72)),$C72=0),"",$C73/$C72-1)</f>
        <v>0.0129535906321425</v>
      </c>
      <c r="I73" s="37" t="n">
        <f aca="false">IF(AND(ISNUMBER($G73),$G73&gt;=MA_SHORT),AVERAGE(INDEX($C$5:$C73,70-MA_SHORT):$C73),"")</f>
        <v>978741.6</v>
      </c>
      <c r="J73" s="37" t="n">
        <f aca="false">IF(AND(ISNUMBER($G73),$G73&gt;=MA_MED),AVERAGE(INDEX($C$5:$C73,70-MA_MED):$C73),"")</f>
        <v>947787.66</v>
      </c>
      <c r="K73" s="37" t="str">
        <f aca="false">IF(AND(ISNUMBER($G73),$G73&gt;=MA_LONG2),AVERAGE(INDEX($C$5:$C73,70-MA_LONG2):$C73),"")</f>
        <v/>
      </c>
      <c r="L73" s="38" t="n">
        <f aca="false">IF(AND(ISNUMBER($G73),$G73&gt;=21),STDEV(INDEX($H$13:$H73,62-20):$H73)*SQRT(245),"")</f>
        <v>0.151440802506981</v>
      </c>
      <c r="M73" s="37" t="n">
        <f aca="false">IF(AND(ISNUMBER($G73),$G73&gt;=60),MAX(INDEX($D$5:$D73,70-60):$D73),"")</f>
        <v>1018941</v>
      </c>
      <c r="N73" s="37" t="n">
        <f aca="false">IF(AND(ISNUMBER($G73),$G73&gt;=60),MIN(INDEX($E$5:$E73,70-60):$E73),"")</f>
        <v>892592</v>
      </c>
      <c r="O73" s="38" t="n">
        <f aca="false">IF(OR(NOT(ISNUMBER($C73)),NOT(ISNUMBER($M73)),$M73=0),"",$C73/$M73-1)</f>
        <v>-0.00569120292539016</v>
      </c>
    </row>
    <row r="74" customFormat="false" ht="15" hidden="false" customHeight="true" outlineLevel="0" collapsed="false">
      <c r="A74" s="32" t="n">
        <v>45665</v>
      </c>
      <c r="B74" s="33" t="s">
        <v>164</v>
      </c>
      <c r="C74" s="34" t="n">
        <v>992446</v>
      </c>
      <c r="D74" s="34" t="n">
        <v>995229</v>
      </c>
      <c r="E74" s="34" t="n">
        <v>988691</v>
      </c>
      <c r="F74" s="34" t="n">
        <v>0</v>
      </c>
      <c r="G74" s="35" t="n">
        <f aca="false">IF($A74="","",IF(ISNUMBER($G73),$G73+1,1))</f>
        <v>70</v>
      </c>
      <c r="H74" s="36" t="n">
        <f aca="false">IF(OR(NOT(ISNUMBER($G74)),$G74&lt;2,NOT(ISNUMBER($C73)),$C73=0),"",$C74/$C73-1)</f>
        <v>-0.020427541252855</v>
      </c>
      <c r="I74" s="37" t="n">
        <f aca="false">IF(AND(ISNUMBER($G74),$G74&gt;=MA_SHORT),AVERAGE(INDEX($C$5:$C74,71-MA_SHORT):$C74),"")</f>
        <v>981157.2</v>
      </c>
      <c r="J74" s="37" t="n">
        <f aca="false">IF(AND(ISNUMBER($G74),$G74&gt;=MA_MED),AVERAGE(INDEX($C$5:$C74,71-MA_MED):$C74),"")</f>
        <v>948833.7</v>
      </c>
      <c r="K74" s="37" t="str">
        <f aca="false">IF(AND(ISNUMBER($G74),$G74&gt;=MA_LONG2),AVERAGE(INDEX($C$5:$C74,71-MA_LONG2):$C74),"")</f>
        <v/>
      </c>
      <c r="L74" s="38" t="n">
        <f aca="false">IF(AND(ISNUMBER($G74),$G74&gt;=21),STDEV(INDEX($H$14:$H74,62-20):$H74)*SQRT(245),"")</f>
        <v>0.167192393254934</v>
      </c>
      <c r="M74" s="37" t="n">
        <f aca="false">IF(AND(ISNUMBER($G74),$G74&gt;=60),MAX(INDEX($D$5:$D74,71-60):$D74),"")</f>
        <v>1018941</v>
      </c>
      <c r="N74" s="37" t="n">
        <f aca="false">IF(AND(ISNUMBER($G74),$G74&gt;=60),MIN(INDEX($E$5:$E74,71-60):$E74),"")</f>
        <v>892592</v>
      </c>
      <c r="O74" s="38" t="n">
        <f aca="false">IF(OR(NOT(ISNUMBER($C74)),NOT(ISNUMBER($M74)),$M74=0),"",$C74/$M74-1)</f>
        <v>-0.0260024868957084</v>
      </c>
    </row>
    <row r="75" customFormat="false" ht="15" hidden="false" customHeight="true" outlineLevel="0" collapsed="false">
      <c r="A75" s="32" t="n">
        <v>45668</v>
      </c>
      <c r="B75" s="33" t="s">
        <v>165</v>
      </c>
      <c r="C75" s="34" t="n">
        <v>988660</v>
      </c>
      <c r="D75" s="34" t="n">
        <v>992734</v>
      </c>
      <c r="E75" s="34" t="n">
        <v>987495</v>
      </c>
      <c r="F75" s="34" t="n">
        <v>0</v>
      </c>
      <c r="G75" s="35" t="n">
        <f aca="false">IF($A75="","",IF(ISNUMBER($G74),$G74+1,1))</f>
        <v>71</v>
      </c>
      <c r="H75" s="36" t="n">
        <f aca="false">IF(OR(NOT(ISNUMBER($G75)),$G75&lt;2,NOT(ISNUMBER($C74)),$C74=0),"",$C75/$C74-1)</f>
        <v>-0.00381481712858933</v>
      </c>
      <c r="I75" s="37" t="n">
        <f aca="false">IF(AND(ISNUMBER($G75),$G75&gt;=MA_SHORT),AVERAGE(INDEX($C$5:$C75,72-MA_SHORT):$C75),"")</f>
        <v>983317.05</v>
      </c>
      <c r="J75" s="37" t="n">
        <f aca="false">IF(AND(ISNUMBER($G75),$G75&gt;=MA_MED),AVERAGE(INDEX($C$5:$C75,72-MA_MED):$C75),"")</f>
        <v>949919.86</v>
      </c>
      <c r="K75" s="37" t="str">
        <f aca="false">IF(AND(ISNUMBER($G75),$G75&gt;=MA_LONG2),AVERAGE(INDEX($C$5:$C75,72-MA_LONG2):$C75),"")</f>
        <v/>
      </c>
      <c r="L75" s="38" t="n">
        <f aca="false">IF(AND(ISNUMBER($G75),$G75&gt;=21),STDEV(INDEX($H$15:$H75,62-20):$H75)*SQRT(245),"")</f>
        <v>0.168646369224992</v>
      </c>
      <c r="M75" s="37" t="n">
        <f aca="false">IF(AND(ISNUMBER($G75),$G75&gt;=60),MAX(INDEX($D$5:$D75,72-60):$D75),"")</f>
        <v>1018941</v>
      </c>
      <c r="N75" s="37" t="n">
        <f aca="false">IF(AND(ISNUMBER($G75),$G75&gt;=60),MIN(INDEX($E$5:$E75,72-60):$E75),"")</f>
        <v>892592</v>
      </c>
      <c r="O75" s="38" t="n">
        <f aca="false">IF(OR(NOT(ISNUMBER($C75)),NOT(ISNUMBER($M75)),$M75=0),"",$C75/$M75-1)</f>
        <v>-0.0297181092919021</v>
      </c>
    </row>
    <row r="76" customFormat="false" ht="15" hidden="false" customHeight="true" outlineLevel="0" collapsed="false">
      <c r="A76" s="32" t="n">
        <v>45669</v>
      </c>
      <c r="B76" s="33" t="s">
        <v>166</v>
      </c>
      <c r="C76" s="34" t="n">
        <v>999776</v>
      </c>
      <c r="D76" s="34" t="n">
        <v>1004686</v>
      </c>
      <c r="E76" s="34" t="n">
        <v>996221</v>
      </c>
      <c r="F76" s="34" t="n">
        <v>0</v>
      </c>
      <c r="G76" s="35" t="n">
        <f aca="false">IF($A76="","",IF(ISNUMBER($G75),$G75+1,1))</f>
        <v>72</v>
      </c>
      <c r="H76" s="36" t="n">
        <f aca="false">IF(OR(NOT(ISNUMBER($G76)),$G76&lt;2,NOT(ISNUMBER($C75)),$C75=0),"",$C76/$C75-1)</f>
        <v>0.0112435013047965</v>
      </c>
      <c r="I76" s="37" t="n">
        <f aca="false">IF(AND(ISNUMBER($G76),$G76&gt;=MA_SHORT),AVERAGE(INDEX($C$5:$C76,73-MA_SHORT):$C76),"")</f>
        <v>986060.75</v>
      </c>
      <c r="J76" s="37" t="n">
        <f aca="false">IF(AND(ISNUMBER($G76),$G76&gt;=MA_MED),AVERAGE(INDEX($C$5:$C76,73-MA_MED):$C76),"")</f>
        <v>951177.72</v>
      </c>
      <c r="K76" s="37" t="str">
        <f aca="false">IF(AND(ISNUMBER($G76),$G76&gt;=MA_LONG2),AVERAGE(INDEX($C$5:$C76,73-MA_LONG2):$C76),"")</f>
        <v/>
      </c>
      <c r="L76" s="38" t="n">
        <f aca="false">IF(AND(ISNUMBER($G76),$G76&gt;=21),STDEV(INDEX($H$16:$H76,62-20):$H76)*SQRT(245),"")</f>
        <v>0.171106250188087</v>
      </c>
      <c r="M76" s="37" t="n">
        <f aca="false">IF(AND(ISNUMBER($G76),$G76&gt;=60),MAX(INDEX($D$5:$D76,73-60):$D76),"")</f>
        <v>1018941</v>
      </c>
      <c r="N76" s="37" t="n">
        <f aca="false">IF(AND(ISNUMBER($G76),$G76&gt;=60),MIN(INDEX($E$5:$E76,73-60):$E76),"")</f>
        <v>892592</v>
      </c>
      <c r="O76" s="38" t="n">
        <f aca="false">IF(OR(NOT(ISNUMBER($C76)),NOT(ISNUMBER($M76)),$M76=0),"",$C76/$M76-1)</f>
        <v>-0.0188087435877052</v>
      </c>
    </row>
    <row r="77" customFormat="false" ht="15" hidden="false" customHeight="true" outlineLevel="0" collapsed="false">
      <c r="A77" s="32" t="n">
        <v>45670</v>
      </c>
      <c r="B77" s="33" t="s">
        <v>167</v>
      </c>
      <c r="C77" s="34" t="n">
        <v>995925</v>
      </c>
      <c r="D77" s="34" t="n">
        <v>996166</v>
      </c>
      <c r="E77" s="34" t="n">
        <v>994643</v>
      </c>
      <c r="F77" s="34" t="n">
        <v>0</v>
      </c>
      <c r="G77" s="35" t="n">
        <f aca="false">IF($A77="","",IF(ISNUMBER($G76),$G76+1,1))</f>
        <v>73</v>
      </c>
      <c r="H77" s="36" t="n">
        <f aca="false">IF(OR(NOT(ISNUMBER($G77)),$G77&lt;2,NOT(ISNUMBER($C76)),$C76=0),"",$C77/$C76-1)</f>
        <v>-0.00385186281727112</v>
      </c>
      <c r="I77" s="37" t="n">
        <f aca="false">IF(AND(ISNUMBER($G77),$G77&gt;=MA_SHORT),AVERAGE(INDEX($C$5:$C77,74-MA_SHORT):$C77),"")</f>
        <v>988589.15</v>
      </c>
      <c r="J77" s="37" t="n">
        <f aca="false">IF(AND(ISNUMBER($G77),$G77&gt;=MA_MED),AVERAGE(INDEX($C$5:$C77,74-MA_MED):$C77),"")</f>
        <v>952520.1</v>
      </c>
      <c r="K77" s="37" t="str">
        <f aca="false">IF(AND(ISNUMBER($G77),$G77&gt;=MA_LONG2),AVERAGE(INDEX($C$5:$C77,74-MA_LONG2):$C77),"")</f>
        <v/>
      </c>
      <c r="L77" s="38" t="n">
        <f aca="false">IF(AND(ISNUMBER($G77),$G77&gt;=21),STDEV(INDEX($H$17:$H77,62-20):$H77)*SQRT(245),"")</f>
        <v>0.172556615940956</v>
      </c>
      <c r="M77" s="37" t="n">
        <f aca="false">IF(AND(ISNUMBER($G77),$G77&gt;=60),MAX(INDEX($D$5:$D77,74-60):$D77),"")</f>
        <v>1018941</v>
      </c>
      <c r="N77" s="37" t="n">
        <f aca="false">IF(AND(ISNUMBER($G77),$G77&gt;=60),MIN(INDEX($E$5:$E77,74-60):$E77),"")</f>
        <v>892592</v>
      </c>
      <c r="O77" s="38" t="n">
        <f aca="false">IF(OR(NOT(ISNUMBER($C77)),NOT(ISNUMBER($M77)),$M77=0),"",$C77/$M77-1)</f>
        <v>-0.0225881577049113</v>
      </c>
    </row>
    <row r="78" customFormat="false" ht="15" hidden="false" customHeight="true" outlineLevel="0" collapsed="false">
      <c r="A78" s="32" t="n">
        <v>45671</v>
      </c>
      <c r="B78" s="33" t="s">
        <v>168</v>
      </c>
      <c r="C78" s="34" t="n">
        <v>1002735</v>
      </c>
      <c r="D78" s="34" t="n">
        <v>1004277</v>
      </c>
      <c r="E78" s="34" t="n">
        <v>1000665</v>
      </c>
      <c r="F78" s="34" t="n">
        <v>0</v>
      </c>
      <c r="G78" s="35" t="n">
        <f aca="false">IF($A78="","",IF(ISNUMBER($G77),$G77+1,1))</f>
        <v>74</v>
      </c>
      <c r="H78" s="36" t="n">
        <f aca="false">IF(OR(NOT(ISNUMBER($G78)),$G78&lt;2,NOT(ISNUMBER($C77)),$C77=0),"",$C78/$C77-1)</f>
        <v>0.00683786429701039</v>
      </c>
      <c r="I78" s="37" t="n">
        <f aca="false">IF(AND(ISNUMBER($G78),$G78&gt;=MA_SHORT),AVERAGE(INDEX($C$5:$C78,75-MA_SHORT):$C78),"")</f>
        <v>990798.65</v>
      </c>
      <c r="J78" s="37" t="n">
        <f aca="false">IF(AND(ISNUMBER($G78),$G78&gt;=MA_MED),AVERAGE(INDEX($C$5:$C78,75-MA_MED):$C78),"")</f>
        <v>953919.3</v>
      </c>
      <c r="K78" s="37" t="str">
        <f aca="false">IF(AND(ISNUMBER($G78),$G78&gt;=MA_LONG2),AVERAGE(INDEX($C$5:$C78,75-MA_LONG2):$C78),"")</f>
        <v/>
      </c>
      <c r="L78" s="38" t="n">
        <f aca="false">IF(AND(ISNUMBER($G78),$G78&gt;=21),STDEV(INDEX($H$18:$H78,62-20):$H78)*SQRT(245),"")</f>
        <v>0.168302537806933</v>
      </c>
      <c r="M78" s="37" t="n">
        <f aca="false">IF(AND(ISNUMBER($G78),$G78&gt;=60),MAX(INDEX($D$5:$D78,75-60):$D78),"")</f>
        <v>1018941</v>
      </c>
      <c r="N78" s="37" t="n">
        <f aca="false">IF(AND(ISNUMBER($G78),$G78&gt;=60),MIN(INDEX($E$5:$E78,75-60):$E78),"")</f>
        <v>892592</v>
      </c>
      <c r="O78" s="38" t="n">
        <f aca="false">IF(OR(NOT(ISNUMBER($C78)),NOT(ISNUMBER($M78)),$M78=0),"",$C78/$M78-1)</f>
        <v>-0.0159047481650066</v>
      </c>
    </row>
    <row r="79" customFormat="false" ht="15" hidden="false" customHeight="true" outlineLevel="0" collapsed="false">
      <c r="A79" s="32" t="n">
        <v>45672</v>
      </c>
      <c r="B79" s="33" t="s">
        <v>169</v>
      </c>
      <c r="C79" s="34" t="n">
        <v>1011290</v>
      </c>
      <c r="D79" s="34" t="n">
        <v>1012265</v>
      </c>
      <c r="E79" s="34" t="n">
        <v>1008176</v>
      </c>
      <c r="F79" s="34" t="n">
        <v>0</v>
      </c>
      <c r="G79" s="35" t="n">
        <f aca="false">IF($A79="","",IF(ISNUMBER($G78),$G78+1,1))</f>
        <v>75</v>
      </c>
      <c r="H79" s="36" t="n">
        <f aca="false">IF(OR(NOT(ISNUMBER($G79)),$G79&lt;2,NOT(ISNUMBER($C78)),$C78=0),"",$C79/$C78-1)</f>
        <v>0.00853166589378041</v>
      </c>
      <c r="I79" s="37" t="n">
        <f aca="false">IF(AND(ISNUMBER($G79),$G79&gt;=MA_SHORT),AVERAGE(INDEX($C$5:$C79,76-MA_SHORT):$C79),"")</f>
        <v>993663.2</v>
      </c>
      <c r="J79" s="37" t="n">
        <f aca="false">IF(AND(ISNUMBER($G79),$G79&gt;=MA_MED),AVERAGE(INDEX($C$5:$C79,76-MA_MED):$C79),"")</f>
        <v>955454.92</v>
      </c>
      <c r="K79" s="37" t="str">
        <f aca="false">IF(AND(ISNUMBER($G79),$G79&gt;=MA_LONG2),AVERAGE(INDEX($C$5:$C79,76-MA_LONG2):$C79),"")</f>
        <v/>
      </c>
      <c r="L79" s="38" t="n">
        <f aca="false">IF(AND(ISNUMBER($G79),$G79&gt;=21),STDEV(INDEX($H$19:$H79,62-20):$H79)*SQRT(245),"")</f>
        <v>0.167539817220557</v>
      </c>
      <c r="M79" s="37" t="n">
        <f aca="false">IF(AND(ISNUMBER($G79),$G79&gt;=60),MAX(INDEX($D$5:$D79,76-60):$D79),"")</f>
        <v>1018941</v>
      </c>
      <c r="N79" s="37" t="n">
        <f aca="false">IF(AND(ISNUMBER($G79),$G79&gt;=60),MIN(INDEX($E$5:$E79,76-60):$E79),"")</f>
        <v>892592</v>
      </c>
      <c r="O79" s="38" t="n">
        <f aca="false">IF(OR(NOT(ISNUMBER($C79)),NOT(ISNUMBER($M79)),$M79=0),"",$C79/$M79-1)</f>
        <v>-0.00750877626869462</v>
      </c>
    </row>
    <row r="80" customFormat="false" ht="15" hidden="false" customHeight="true" outlineLevel="0" collapsed="false">
      <c r="A80" s="32" t="n">
        <v>45675</v>
      </c>
      <c r="B80" s="33" t="s">
        <v>170</v>
      </c>
      <c r="C80" s="34" t="n">
        <v>998458</v>
      </c>
      <c r="D80" s="34" t="n">
        <v>998946</v>
      </c>
      <c r="E80" s="34" t="n">
        <v>994914</v>
      </c>
      <c r="F80" s="34" t="n">
        <v>0</v>
      </c>
      <c r="G80" s="35" t="n">
        <f aca="false">IF($A80="","",IF(ISNUMBER($G79),$G79+1,1))</f>
        <v>76</v>
      </c>
      <c r="H80" s="36" t="n">
        <f aca="false">IF(OR(NOT(ISNUMBER($G80)),$G80&lt;2,NOT(ISNUMBER($C79)),$C79=0),"",$C80/$C79-1)</f>
        <v>-0.0126887440793442</v>
      </c>
      <c r="I80" s="37" t="n">
        <f aca="false">IF(AND(ISNUMBER($G80),$G80&gt;=MA_SHORT),AVERAGE(INDEX($C$5:$C80,77-MA_SHORT):$C80),"")</f>
        <v>994990.4</v>
      </c>
      <c r="J80" s="37" t="n">
        <f aca="false">IF(AND(ISNUMBER($G80),$G80&gt;=MA_MED),AVERAGE(INDEX($C$5:$C80,77-MA_MED):$C80),"")</f>
        <v>957428.48</v>
      </c>
      <c r="K80" s="37" t="str">
        <f aca="false">IF(AND(ISNUMBER($G80),$G80&gt;=MA_LONG2),AVERAGE(INDEX($C$5:$C80,77-MA_LONG2):$C80),"")</f>
        <v/>
      </c>
      <c r="L80" s="38" t="n">
        <f aca="false">IF(AND(ISNUMBER($G80),$G80&gt;=21),STDEV(INDEX($H$20:$H80,62-20):$H80)*SQRT(245),"")</f>
        <v>0.165450973695171</v>
      </c>
      <c r="M80" s="37" t="n">
        <f aca="false">IF(AND(ISNUMBER($G80),$G80&gt;=60),MAX(INDEX($D$5:$D80,77-60):$D80),"")</f>
        <v>1018941</v>
      </c>
      <c r="N80" s="37" t="n">
        <f aca="false">IF(AND(ISNUMBER($G80),$G80&gt;=60),MIN(INDEX($E$5:$E80,77-60):$E80),"")</f>
        <v>892592</v>
      </c>
      <c r="O80" s="38" t="n">
        <f aca="false">IF(OR(NOT(ISNUMBER($C80)),NOT(ISNUMBER($M80)),$M80=0),"",$C80/$M80-1)</f>
        <v>-0.0201022434076164</v>
      </c>
    </row>
    <row r="81" customFormat="false" ht="15" hidden="false" customHeight="true" outlineLevel="0" collapsed="false">
      <c r="A81" s="32" t="n">
        <v>45676</v>
      </c>
      <c r="B81" s="33" t="s">
        <v>171</v>
      </c>
      <c r="C81" s="34" t="n">
        <v>994712</v>
      </c>
      <c r="D81" s="34" t="n">
        <v>995661</v>
      </c>
      <c r="E81" s="34" t="n">
        <v>993723</v>
      </c>
      <c r="F81" s="34" t="n">
        <v>0</v>
      </c>
      <c r="G81" s="35" t="n">
        <f aca="false">IF($A81="","",IF(ISNUMBER($G80),$G80+1,1))</f>
        <v>77</v>
      </c>
      <c r="H81" s="36" t="n">
        <f aca="false">IF(OR(NOT(ISNUMBER($G81)),$G81&lt;2,NOT(ISNUMBER($C80)),$C80=0),"",$C81/$C80-1)</f>
        <v>-0.00375178525285991</v>
      </c>
      <c r="I81" s="37" t="n">
        <f aca="false">IF(AND(ISNUMBER($G81),$G81&gt;=MA_SHORT),AVERAGE(INDEX($C$5:$C81,78-MA_SHORT):$C81),"")</f>
        <v>996420.25</v>
      </c>
      <c r="J81" s="37" t="n">
        <f aca="false">IF(AND(ISNUMBER($G81),$G81&gt;=MA_MED),AVERAGE(INDEX($C$5:$C81,78-MA_MED):$C81),"")</f>
        <v>959165.92</v>
      </c>
      <c r="K81" s="37" t="str">
        <f aca="false">IF(AND(ISNUMBER($G81),$G81&gt;=MA_LONG2),AVERAGE(INDEX($C$5:$C81,78-MA_LONG2):$C81),"")</f>
        <v/>
      </c>
      <c r="L81" s="38" t="n">
        <f aca="false">IF(AND(ISNUMBER($G81),$G81&gt;=21),STDEV(INDEX($H$21:$H81,62-20):$H81)*SQRT(245),"")</f>
        <v>0.164357160442777</v>
      </c>
      <c r="M81" s="37" t="n">
        <f aca="false">IF(AND(ISNUMBER($G81),$G81&gt;=60),MAX(INDEX($D$5:$D81,78-60):$D81),"")</f>
        <v>1018941</v>
      </c>
      <c r="N81" s="37" t="n">
        <f aca="false">IF(AND(ISNUMBER($G81),$G81&gt;=60),MIN(INDEX($E$5:$E81,78-60):$E81),"")</f>
        <v>892592</v>
      </c>
      <c r="O81" s="38" t="n">
        <f aca="false">IF(OR(NOT(ISNUMBER($C81)),NOT(ISNUMBER($M81)),$M81=0),"",$C81/$M81-1)</f>
        <v>-0.0237786093601101</v>
      </c>
    </row>
    <row r="82" customFormat="false" ht="15" hidden="false" customHeight="true" outlineLevel="0" collapsed="false">
      <c r="A82" s="32" t="n">
        <v>45677</v>
      </c>
      <c r="B82" s="33" t="s">
        <v>172</v>
      </c>
      <c r="C82" s="34" t="n">
        <v>1004182</v>
      </c>
      <c r="D82" s="34" t="n">
        <v>1005881</v>
      </c>
      <c r="E82" s="34" t="n">
        <v>1000438</v>
      </c>
      <c r="F82" s="34" t="n">
        <v>0</v>
      </c>
      <c r="G82" s="35" t="n">
        <f aca="false">IF($A82="","",IF(ISNUMBER($G81),$G81+1,1))</f>
        <v>78</v>
      </c>
      <c r="H82" s="36" t="n">
        <f aca="false">IF(OR(NOT(ISNUMBER($G82)),$G82&lt;2,NOT(ISNUMBER($C81)),$C81=0),"",$C82/$C81-1)</f>
        <v>0.00952034357683429</v>
      </c>
      <c r="I82" s="37" t="n">
        <f aca="false">IF(AND(ISNUMBER($G82),$G82&gt;=MA_SHORT),AVERAGE(INDEX($C$5:$C82,79-MA_SHORT):$C82),"")</f>
        <v>998301.55</v>
      </c>
      <c r="J82" s="37" t="n">
        <f aca="false">IF(AND(ISNUMBER($G82),$G82&gt;=MA_MED),AVERAGE(INDEX($C$5:$C82,79-MA_MED):$C82),"")</f>
        <v>961230.78</v>
      </c>
      <c r="K82" s="37" t="str">
        <f aca="false">IF(AND(ISNUMBER($G82),$G82&gt;=MA_LONG2),AVERAGE(INDEX($C$5:$C82,79-MA_LONG2):$C82),"")</f>
        <v/>
      </c>
      <c r="L82" s="38" t="n">
        <f aca="false">IF(AND(ISNUMBER($G82),$G82&gt;=21),STDEV(INDEX($H$22:$H82,62-20):$H82)*SQRT(245),"")</f>
        <v>0.16665211532065</v>
      </c>
      <c r="M82" s="37" t="n">
        <f aca="false">IF(AND(ISNUMBER($G82),$G82&gt;=60),MAX(INDEX($D$5:$D82,79-60):$D82),"")</f>
        <v>1018941</v>
      </c>
      <c r="N82" s="37" t="n">
        <f aca="false">IF(AND(ISNUMBER($G82),$G82&gt;=60),MIN(INDEX($E$5:$E82,79-60):$E82),"")</f>
        <v>892592</v>
      </c>
      <c r="O82" s="38" t="n">
        <f aca="false">IF(OR(NOT(ISNUMBER($C82)),NOT(ISNUMBER($M82)),$M82=0),"",$C82/$M82-1)</f>
        <v>-0.0144846463141635</v>
      </c>
    </row>
    <row r="83" customFormat="false" ht="15" hidden="false" customHeight="true" outlineLevel="0" collapsed="false">
      <c r="A83" s="32" t="n">
        <v>45678</v>
      </c>
      <c r="B83" s="33" t="s">
        <v>173</v>
      </c>
      <c r="C83" s="34" t="n">
        <v>998490</v>
      </c>
      <c r="D83" s="34" t="n">
        <v>1002927</v>
      </c>
      <c r="E83" s="34" t="n">
        <v>996243</v>
      </c>
      <c r="F83" s="34" t="n">
        <v>0</v>
      </c>
      <c r="G83" s="35" t="n">
        <f aca="false">IF($A83="","",IF(ISNUMBER($G82),$G82+1,1))</f>
        <v>79</v>
      </c>
      <c r="H83" s="36" t="n">
        <f aca="false">IF(OR(NOT(ISNUMBER($G83)),$G83&lt;2,NOT(ISNUMBER($C82)),$C82=0),"",$C83/$C82-1)</f>
        <v>-0.00566829518951739</v>
      </c>
      <c r="I83" s="37" t="n">
        <f aca="false">IF(AND(ISNUMBER($G83),$G83&gt;=MA_SHORT),AVERAGE(INDEX($C$5:$C83,80-MA_SHORT):$C83),"")</f>
        <v>999717.25</v>
      </c>
      <c r="J83" s="37" t="n">
        <f aca="false">IF(AND(ISNUMBER($G83),$G83&gt;=MA_MED),AVERAGE(INDEX($C$5:$C83,80-MA_MED):$C83),"")</f>
        <v>963238.72</v>
      </c>
      <c r="K83" s="37" t="str">
        <f aca="false">IF(AND(ISNUMBER($G83),$G83&gt;=MA_LONG2),AVERAGE(INDEX($C$5:$C83,80-MA_LONG2):$C83),"")</f>
        <v/>
      </c>
      <c r="L83" s="38" t="n">
        <f aca="false">IF(AND(ISNUMBER($G83),$G83&gt;=21),STDEV(INDEX($H$23:$H83,62-20):$H83)*SQRT(245),"")</f>
        <v>0.168601049229432</v>
      </c>
      <c r="M83" s="37" t="n">
        <f aca="false">IF(AND(ISNUMBER($G83),$G83&gt;=60),MAX(INDEX($D$5:$D83,80-60):$D83),"")</f>
        <v>1018941</v>
      </c>
      <c r="N83" s="37" t="n">
        <f aca="false">IF(AND(ISNUMBER($G83),$G83&gt;=60),MIN(INDEX($E$5:$E83,80-60):$E83),"")</f>
        <v>892592</v>
      </c>
      <c r="O83" s="38" t="n">
        <f aca="false">IF(OR(NOT(ISNUMBER($C83)),NOT(ISNUMBER($M83)),$M83=0),"",$C83/$M83-1)</f>
        <v>-0.0200708382526564</v>
      </c>
    </row>
    <row r="84" customFormat="false" ht="15" hidden="false" customHeight="true" outlineLevel="0" collapsed="false">
      <c r="A84" s="32" t="n">
        <v>45679</v>
      </c>
      <c r="B84" s="33" t="s">
        <v>174</v>
      </c>
      <c r="C84" s="34" t="n">
        <v>1011532</v>
      </c>
      <c r="D84" s="34" t="n">
        <v>1016231</v>
      </c>
      <c r="E84" s="34" t="n">
        <v>1010335</v>
      </c>
      <c r="F84" s="34" t="n">
        <v>0</v>
      </c>
      <c r="G84" s="35" t="n">
        <f aca="false">IF($A84="","",IF(ISNUMBER($G83),$G83+1,1))</f>
        <v>80</v>
      </c>
      <c r="H84" s="36" t="n">
        <f aca="false">IF(OR(NOT(ISNUMBER($G84)),$G84&lt;2,NOT(ISNUMBER($C83)),$C83=0),"",$C84/$C83-1)</f>
        <v>0.0130617232020351</v>
      </c>
      <c r="I84" s="37" t="n">
        <f aca="false">IF(AND(ISNUMBER($G84),$G84&gt;=MA_SHORT),AVERAGE(INDEX($C$5:$C84,81-MA_SHORT):$C84),"")</f>
        <v>1000937.75</v>
      </c>
      <c r="J84" s="37" t="n">
        <f aca="false">IF(AND(ISNUMBER($G84),$G84&gt;=MA_MED),AVERAGE(INDEX($C$5:$C84,81-MA_MED):$C84),"")</f>
        <v>965509.12</v>
      </c>
      <c r="K84" s="37" t="str">
        <f aca="false">IF(AND(ISNUMBER($G84),$G84&gt;=MA_LONG2),AVERAGE(INDEX($C$5:$C84,81-MA_LONG2):$C84),"")</f>
        <v/>
      </c>
      <c r="L84" s="38" t="n">
        <f aca="false">IF(AND(ISNUMBER($G84),$G84&gt;=21),STDEV(INDEX($H$24:$H84,62-20):$H84)*SQRT(245),"")</f>
        <v>0.163857988290877</v>
      </c>
      <c r="M84" s="37" t="n">
        <f aca="false">IF(AND(ISNUMBER($G84),$G84&gt;=60),MAX(INDEX($D$5:$D84,81-60):$D84),"")</f>
        <v>1018941</v>
      </c>
      <c r="N84" s="37" t="n">
        <f aca="false">IF(AND(ISNUMBER($G84),$G84&gt;=60),MIN(INDEX($E$5:$E84,81-60):$E84),"")</f>
        <v>892592</v>
      </c>
      <c r="O84" s="38" t="n">
        <f aca="false">IF(OR(NOT(ISNUMBER($C84)),NOT(ISNUMBER($M84)),$M84=0),"",$C84/$M84-1)</f>
        <v>-0.00727127478431033</v>
      </c>
    </row>
    <row r="85" customFormat="false" ht="15" hidden="false" customHeight="true" outlineLevel="0" collapsed="false">
      <c r="A85" s="32" t="n">
        <v>45682</v>
      </c>
      <c r="B85" s="33" t="s">
        <v>175</v>
      </c>
      <c r="C85" s="34" t="n">
        <v>1009723</v>
      </c>
      <c r="D85" s="34" t="n">
        <v>1014599</v>
      </c>
      <c r="E85" s="34" t="n">
        <v>1007901</v>
      </c>
      <c r="F85" s="34" t="n">
        <v>0</v>
      </c>
      <c r="G85" s="35" t="n">
        <f aca="false">IF($A85="","",IF(ISNUMBER($G84),$G84+1,1))</f>
        <v>81</v>
      </c>
      <c r="H85" s="36" t="n">
        <f aca="false">IF(OR(NOT(ISNUMBER($G85)),$G85&lt;2,NOT(ISNUMBER($C84)),$C84=0),"",$C85/$C84-1)</f>
        <v>-0.0017883764428609</v>
      </c>
      <c r="I85" s="37" t="n">
        <f aca="false">IF(AND(ISNUMBER($G85),$G85&gt;=MA_SHORT),AVERAGE(INDEX($C$5:$C85,82-MA_SHORT):$C85),"")</f>
        <v>1001921.1</v>
      </c>
      <c r="J85" s="37" t="n">
        <f aca="false">IF(AND(ISNUMBER($G85),$G85&gt;=MA_MED),AVERAGE(INDEX($C$5:$C85,82-MA_MED):$C85),"")</f>
        <v>967828</v>
      </c>
      <c r="K85" s="37" t="str">
        <f aca="false">IF(AND(ISNUMBER($G85),$G85&gt;=MA_LONG2),AVERAGE(INDEX($C$5:$C85,82-MA_LONG2):$C85),"")</f>
        <v/>
      </c>
      <c r="L85" s="38" t="n">
        <f aca="false">IF(AND(ISNUMBER($G85),$G85&gt;=21),STDEV(INDEX($H$25:$H85,62-20):$H85)*SQRT(245),"")</f>
        <v>0.164068881629142</v>
      </c>
      <c r="M85" s="37" t="n">
        <f aca="false">IF(AND(ISNUMBER($G85),$G85&gt;=60),MAX(INDEX($D$5:$D85,82-60):$D85),"")</f>
        <v>1018941</v>
      </c>
      <c r="N85" s="37" t="n">
        <f aca="false">IF(AND(ISNUMBER($G85),$G85&gt;=60),MIN(INDEX($E$5:$E85,82-60):$E85),"")</f>
        <v>892592</v>
      </c>
      <c r="O85" s="38" t="n">
        <f aca="false">IF(OR(NOT(ISNUMBER($C85)),NOT(ISNUMBER($M85)),$M85=0),"",$C85/$M85-1)</f>
        <v>-0.00904664745063744</v>
      </c>
    </row>
    <row r="86" customFormat="false" ht="15" hidden="false" customHeight="true" outlineLevel="0" collapsed="false">
      <c r="A86" s="32" t="n">
        <v>45683</v>
      </c>
      <c r="B86" s="33" t="s">
        <v>176</v>
      </c>
      <c r="C86" s="34" t="n">
        <v>1009670</v>
      </c>
      <c r="D86" s="34" t="n">
        <v>1011326</v>
      </c>
      <c r="E86" s="34" t="n">
        <v>1006013</v>
      </c>
      <c r="F86" s="34" t="n">
        <v>0</v>
      </c>
      <c r="G86" s="35" t="n">
        <f aca="false">IF($A86="","",IF(ISNUMBER($G85),$G85+1,1))</f>
        <v>82</v>
      </c>
      <c r="H86" s="36" t="n">
        <f aca="false">IF(OR(NOT(ISNUMBER($G86)),$G86&lt;2,NOT(ISNUMBER($C85)),$C85=0),"",$C86/$C85-1)</f>
        <v>-5.24896431991495E-005</v>
      </c>
      <c r="I86" s="37" t="n">
        <f aca="false">IF(AND(ISNUMBER($G86),$G86&gt;=MA_SHORT),AVERAGE(INDEX($C$5:$C86,83-MA_SHORT):$C86),"")</f>
        <v>1003201.3</v>
      </c>
      <c r="J86" s="37" t="n">
        <f aca="false">IF(AND(ISNUMBER($G86),$G86&gt;=MA_MED),AVERAGE(INDEX($C$5:$C86,83-MA_MED):$C86),"")</f>
        <v>969988.4</v>
      </c>
      <c r="K86" s="37" t="str">
        <f aca="false">IF(AND(ISNUMBER($G86),$G86&gt;=MA_LONG2),AVERAGE(INDEX($C$5:$C86,83-MA_LONG2):$C86),"")</f>
        <v/>
      </c>
      <c r="L86" s="38" t="n">
        <f aca="false">IF(AND(ISNUMBER($G86),$G86&gt;=21),STDEV(INDEX($H$26:$H86,62-20):$H86)*SQRT(245),"")</f>
        <v>0.162059113646652</v>
      </c>
      <c r="M86" s="37" t="n">
        <f aca="false">IF(AND(ISNUMBER($G86),$G86&gt;=60),MAX(INDEX($D$5:$D86,83-60):$D86),"")</f>
        <v>1018941</v>
      </c>
      <c r="N86" s="37" t="n">
        <f aca="false">IF(AND(ISNUMBER($G86),$G86&gt;=60),MIN(INDEX($E$5:$E86,83-60):$E86),"")</f>
        <v>892592</v>
      </c>
      <c r="O86" s="38" t="n">
        <f aca="false">IF(OR(NOT(ISNUMBER($C86)),NOT(ISNUMBER($M86)),$M86=0),"",$C86/$M86-1)</f>
        <v>-0.00909866223853983</v>
      </c>
    </row>
    <row r="87" customFormat="false" ht="15" hidden="false" customHeight="true" outlineLevel="0" collapsed="false">
      <c r="A87" s="32" t="n">
        <v>45684</v>
      </c>
      <c r="B87" s="33" t="s">
        <v>177</v>
      </c>
      <c r="C87" s="34" t="n">
        <v>1014106</v>
      </c>
      <c r="D87" s="34" t="n">
        <v>1017445</v>
      </c>
      <c r="E87" s="34" t="n">
        <v>1013614</v>
      </c>
      <c r="F87" s="34" t="n">
        <v>0</v>
      </c>
      <c r="G87" s="35" t="n">
        <f aca="false">IF($A87="","",IF(ISNUMBER($G86),$G86+1,1))</f>
        <v>83</v>
      </c>
      <c r="H87" s="36" t="n">
        <f aca="false">IF(OR(NOT(ISNUMBER($G87)),$G87&lt;2,NOT(ISNUMBER($C86)),$C86=0),"",$C87/$C86-1)</f>
        <v>0.00439351471272786</v>
      </c>
      <c r="I87" s="37" t="n">
        <f aca="false">IF(AND(ISNUMBER($G87),$G87&gt;=MA_SHORT),AVERAGE(INDEX($C$5:$C87,84-MA_SHORT):$C87),"")</f>
        <v>1003896.1</v>
      </c>
      <c r="J87" s="37" t="n">
        <f aca="false">IF(AND(ISNUMBER($G87),$G87&gt;=MA_MED),AVERAGE(INDEX($C$5:$C87,84-MA_MED):$C87),"")</f>
        <v>972259.72</v>
      </c>
      <c r="K87" s="37" t="str">
        <f aca="false">IF(AND(ISNUMBER($G87),$G87&gt;=MA_LONG2),AVERAGE(INDEX($C$5:$C87,84-MA_LONG2):$C87),"")</f>
        <v/>
      </c>
      <c r="L87" s="38" t="n">
        <f aca="false">IF(AND(ISNUMBER($G87),$G87&gt;=21),STDEV(INDEX($H$27:$H87,62-20):$H87)*SQRT(245),"")</f>
        <v>0.152847904550442</v>
      </c>
      <c r="M87" s="37" t="n">
        <f aca="false">IF(AND(ISNUMBER($G87),$G87&gt;=60),MAX(INDEX($D$5:$D87,84-60):$D87),"")</f>
        <v>1018941</v>
      </c>
      <c r="N87" s="37" t="n">
        <f aca="false">IF(AND(ISNUMBER($G87),$G87&gt;=60),MIN(INDEX($E$5:$E87,84-60):$E87),"")</f>
        <v>892592</v>
      </c>
      <c r="O87" s="38" t="n">
        <f aca="false">IF(OR(NOT(ISNUMBER($C87)),NOT(ISNUMBER($M87)),$M87=0),"",$C87/$M87-1)</f>
        <v>-0.00474512263222304</v>
      </c>
    </row>
    <row r="88" customFormat="false" ht="15" hidden="false" customHeight="true" outlineLevel="0" collapsed="false">
      <c r="A88" s="32" t="n">
        <v>45685</v>
      </c>
      <c r="B88" s="33" t="s">
        <v>178</v>
      </c>
      <c r="C88" s="34" t="n">
        <v>1015388</v>
      </c>
      <c r="D88" s="34" t="n">
        <v>1015770</v>
      </c>
      <c r="E88" s="34" t="n">
        <v>1010539</v>
      </c>
      <c r="F88" s="34" t="n">
        <v>0</v>
      </c>
      <c r="G88" s="35" t="n">
        <f aca="false">IF($A88="","",IF(ISNUMBER($G87),$G87+1,1))</f>
        <v>84</v>
      </c>
      <c r="H88" s="36" t="n">
        <f aca="false">IF(OR(NOT(ISNUMBER($G88)),$G88&lt;2,NOT(ISNUMBER($C87)),$C87=0),"",$C88/$C87-1)</f>
        <v>0.00126416765111337</v>
      </c>
      <c r="I88" s="37" t="n">
        <f aca="false">IF(AND(ISNUMBER($G88),$G88&gt;=MA_SHORT),AVERAGE(INDEX($C$5:$C88,85-MA_SHORT):$C88),"")</f>
        <v>1004749</v>
      </c>
      <c r="J88" s="37" t="n">
        <f aca="false">IF(AND(ISNUMBER($G88),$G88&gt;=MA_MED),AVERAGE(INDEX($C$5:$C88,85-MA_MED):$C88),"")</f>
        <v>974474.06</v>
      </c>
      <c r="K88" s="37" t="str">
        <f aca="false">IF(AND(ISNUMBER($G88),$G88&gt;=MA_LONG2),AVERAGE(INDEX($C$5:$C88,85-MA_LONG2):$C88),"")</f>
        <v/>
      </c>
      <c r="L88" s="38" t="n">
        <f aca="false">IF(AND(ISNUMBER($G88),$G88&gt;=21),STDEV(INDEX($H$28:$H88,62-20):$H88)*SQRT(245),"")</f>
        <v>0.152550085501329</v>
      </c>
      <c r="M88" s="37" t="n">
        <f aca="false">IF(AND(ISNUMBER($G88),$G88&gt;=60),MAX(INDEX($D$5:$D88,85-60):$D88),"")</f>
        <v>1018941</v>
      </c>
      <c r="N88" s="37" t="n">
        <f aca="false">IF(AND(ISNUMBER($G88),$G88&gt;=60),MIN(INDEX($E$5:$E88,85-60):$E88),"")</f>
        <v>892592</v>
      </c>
      <c r="O88" s="38" t="n">
        <f aca="false">IF(OR(NOT(ISNUMBER($C88)),NOT(ISNUMBER($M88)),$M88=0),"",$C88/$M88-1)</f>
        <v>-0.00348695361164186</v>
      </c>
    </row>
    <row r="89" customFormat="false" ht="15" hidden="false" customHeight="true" outlineLevel="0" collapsed="false">
      <c r="A89" s="32" t="n">
        <v>45686</v>
      </c>
      <c r="B89" s="33" t="s">
        <v>179</v>
      </c>
      <c r="C89" s="34" t="n">
        <v>1008707</v>
      </c>
      <c r="D89" s="34" t="n">
        <v>1008980</v>
      </c>
      <c r="E89" s="34" t="n">
        <v>1005931</v>
      </c>
      <c r="F89" s="34" t="n">
        <v>0</v>
      </c>
      <c r="G89" s="35" t="n">
        <f aca="false">IF($A89="","",IF(ISNUMBER($G88),$G88+1,1))</f>
        <v>85</v>
      </c>
      <c r="H89" s="36" t="n">
        <f aca="false">IF(OR(NOT(ISNUMBER($G89)),$G89&lt;2,NOT(ISNUMBER($C88)),$C88=0),"",$C89/$C88-1)</f>
        <v>-0.00657975079477002</v>
      </c>
      <c r="I89" s="37" t="n">
        <f aca="false">IF(AND(ISNUMBER($G89),$G89&gt;=MA_SHORT),AVERAGE(INDEX($C$5:$C89,86-MA_SHORT):$C89),"")</f>
        <v>1005084.8</v>
      </c>
      <c r="J89" s="37" t="n">
        <f aca="false">IF(AND(ISNUMBER($G89),$G89&gt;=MA_MED),AVERAGE(INDEX($C$5:$C89,86-MA_MED):$C89),"")</f>
        <v>976453.34</v>
      </c>
      <c r="K89" s="37" t="str">
        <f aca="false">IF(AND(ISNUMBER($G89),$G89&gt;=MA_LONG2),AVERAGE(INDEX($C$5:$C89,86-MA_LONG2):$C89),"")</f>
        <v/>
      </c>
      <c r="L89" s="38" t="n">
        <f aca="false">IF(AND(ISNUMBER($G89),$G89&gt;=21),STDEV(INDEX($H$29:$H89,62-20):$H89)*SQRT(245),"")</f>
        <v>0.154352149614057</v>
      </c>
      <c r="M89" s="37" t="n">
        <f aca="false">IF(AND(ISNUMBER($G89),$G89&gt;=60),MAX(INDEX($D$5:$D89,86-60):$D89),"")</f>
        <v>1018941</v>
      </c>
      <c r="N89" s="37" t="n">
        <f aca="false">IF(AND(ISNUMBER($G89),$G89&gt;=60),MIN(INDEX($E$5:$E89,86-60):$E89),"")</f>
        <v>892592</v>
      </c>
      <c r="O89" s="38" t="n">
        <f aca="false">IF(OR(NOT(ISNUMBER($C89)),NOT(ISNUMBER($M89)),$M89=0),"",$C89/$M89-1)</f>
        <v>-0.0100437611206144</v>
      </c>
    </row>
    <row r="90" customFormat="false" ht="15" hidden="false" customHeight="true" outlineLevel="0" collapsed="false">
      <c r="A90" s="32" t="n">
        <v>45689</v>
      </c>
      <c r="B90" s="33" t="s">
        <v>180</v>
      </c>
      <c r="C90" s="34" t="n">
        <v>1015522</v>
      </c>
      <c r="D90" s="34" t="n">
        <v>1017050</v>
      </c>
      <c r="E90" s="34" t="n">
        <v>1014941</v>
      </c>
      <c r="F90" s="34" t="n">
        <v>0</v>
      </c>
      <c r="G90" s="35" t="n">
        <f aca="false">IF($A90="","",IF(ISNUMBER($G89),$G89+1,1))</f>
        <v>86</v>
      </c>
      <c r="H90" s="36" t="n">
        <f aca="false">IF(OR(NOT(ISNUMBER($G90)),$G90&lt;2,NOT(ISNUMBER($C89)),$C89=0),"",$C90/$C89-1)</f>
        <v>0.00675617399304262</v>
      </c>
      <c r="I90" s="37" t="n">
        <f aca="false">IF(AND(ISNUMBER($G90),$G90&gt;=MA_SHORT),AVERAGE(INDEX($C$5:$C90,87-MA_SHORT):$C90),"")</f>
        <v>1005042.1</v>
      </c>
      <c r="J90" s="37" t="n">
        <f aca="false">IF(AND(ISNUMBER($G90),$G90&gt;=MA_MED),AVERAGE(INDEX($C$5:$C90,87-MA_MED):$C90),"")</f>
        <v>978344.86</v>
      </c>
      <c r="K90" s="37" t="str">
        <f aca="false">IF(AND(ISNUMBER($G90),$G90&gt;=MA_LONG2),AVERAGE(INDEX($C$5:$C90,87-MA_LONG2):$C90),"")</f>
        <v/>
      </c>
      <c r="L90" s="38" t="n">
        <f aca="false">IF(AND(ISNUMBER($G90),$G90&gt;=21),STDEV(INDEX($H$30:$H90,62-20):$H90)*SQRT(245),"")</f>
        <v>0.147623833159445</v>
      </c>
      <c r="M90" s="37" t="n">
        <f aca="false">IF(AND(ISNUMBER($G90),$G90&gt;=60),MAX(INDEX($D$5:$D90,87-60):$D90),"")</f>
        <v>1018941</v>
      </c>
      <c r="N90" s="37" t="n">
        <f aca="false">IF(AND(ISNUMBER($G90),$G90&gt;=60),MIN(INDEX($E$5:$E90,87-60):$E90),"")</f>
        <v>892592</v>
      </c>
      <c r="O90" s="38" t="n">
        <f aca="false">IF(OR(NOT(ISNUMBER($C90)),NOT(ISNUMBER($M90)),$M90=0),"",$C90/$M90-1)</f>
        <v>-0.00335544452524728</v>
      </c>
    </row>
    <row r="91" customFormat="false" ht="15" hidden="false" customHeight="true" outlineLevel="0" collapsed="false">
      <c r="A91" s="32" t="n">
        <v>45690</v>
      </c>
      <c r="B91" s="33" t="s">
        <v>181</v>
      </c>
      <c r="C91" s="34" t="n">
        <v>1029846</v>
      </c>
      <c r="D91" s="34" t="n">
        <v>1032457</v>
      </c>
      <c r="E91" s="34" t="n">
        <v>1025262</v>
      </c>
      <c r="F91" s="34" t="n">
        <v>0</v>
      </c>
      <c r="G91" s="35" t="n">
        <f aca="false">IF($A91="","",IF(ISNUMBER($G90),$G90+1,1))</f>
        <v>87</v>
      </c>
      <c r="H91" s="36" t="n">
        <f aca="false">IF(OR(NOT(ISNUMBER($G91)),$G91&lt;2,NOT(ISNUMBER($C90)),$C90=0),"",$C91/$C90-1)</f>
        <v>0.0141050612394413</v>
      </c>
      <c r="I91" s="37" t="n">
        <f aca="false">IF(AND(ISNUMBER($G91),$G91&gt;=MA_SHORT),AVERAGE(INDEX($C$5:$C91,88-MA_SHORT):$C91),"")</f>
        <v>1005724.8</v>
      </c>
      <c r="J91" s="37" t="n">
        <f aca="false">IF(AND(ISNUMBER($G91),$G91&gt;=MA_MED),AVERAGE(INDEX($C$5:$C91,88-MA_MED):$C91),"")</f>
        <v>980320.42</v>
      </c>
      <c r="K91" s="37" t="str">
        <f aca="false">IF(AND(ISNUMBER($G91),$G91&gt;=MA_LONG2),AVERAGE(INDEX($C$5:$C91,88-MA_LONG2):$C91),"")</f>
        <v/>
      </c>
      <c r="L91" s="38" t="n">
        <f aca="false">IF(AND(ISNUMBER($G91),$G91&gt;=21),STDEV(INDEX($H$31:$H91,62-20):$H91)*SQRT(245),"")</f>
        <v>0.155647370806336</v>
      </c>
      <c r="M91" s="37" t="n">
        <f aca="false">IF(AND(ISNUMBER($G91),$G91&gt;=60),MAX(INDEX($D$5:$D91,88-60):$D91),"")</f>
        <v>1032457</v>
      </c>
      <c r="N91" s="37" t="n">
        <f aca="false">IF(AND(ISNUMBER($G91),$G91&gt;=60),MIN(INDEX($E$5:$E91,88-60):$E91),"")</f>
        <v>892592</v>
      </c>
      <c r="O91" s="38" t="n">
        <f aca="false">IF(OR(NOT(ISNUMBER($C91)),NOT(ISNUMBER($M91)),$M91=0),"",$C91/$M91-1)</f>
        <v>-0.00252891887991458</v>
      </c>
    </row>
    <row r="92" customFormat="false" ht="15" hidden="false" customHeight="true" outlineLevel="0" collapsed="false">
      <c r="A92" s="32" t="n">
        <v>45691</v>
      </c>
      <c r="B92" s="33" t="s">
        <v>182</v>
      </c>
      <c r="C92" s="34" t="n">
        <v>1021001</v>
      </c>
      <c r="D92" s="34" t="n">
        <v>1021990</v>
      </c>
      <c r="E92" s="34" t="n">
        <v>1020884</v>
      </c>
      <c r="F92" s="34" t="n">
        <v>0</v>
      </c>
      <c r="G92" s="35" t="n">
        <f aca="false">IF($A92="","",IF(ISNUMBER($G91),$G91+1,1))</f>
        <v>88</v>
      </c>
      <c r="H92" s="36" t="n">
        <f aca="false">IF(OR(NOT(ISNUMBER($G92)),$G92&lt;2,NOT(ISNUMBER($C91)),$C91=0),"",$C92/$C91-1)</f>
        <v>-0.00858866277093862</v>
      </c>
      <c r="I92" s="37" t="n">
        <f aca="false">IF(AND(ISNUMBER($G92),$G92&gt;=MA_SHORT),AVERAGE(INDEX($C$5:$C92,89-MA_SHORT):$C92),"")</f>
        <v>1006765.55</v>
      </c>
      <c r="J92" s="37" t="n">
        <f aca="false">IF(AND(ISNUMBER($G92),$G92&gt;=MA_MED),AVERAGE(INDEX($C$5:$C92,89-MA_MED):$C92),"")</f>
        <v>981893.16</v>
      </c>
      <c r="K92" s="37" t="str">
        <f aca="false">IF(AND(ISNUMBER($G92),$G92&gt;=MA_LONG2),AVERAGE(INDEX($C$5:$C92,89-MA_LONG2):$C92),"")</f>
        <v/>
      </c>
      <c r="L92" s="38" t="n">
        <f aca="false">IF(AND(ISNUMBER($G92),$G92&gt;=21),STDEV(INDEX($H$32:$H92,62-20):$H92)*SQRT(245),"")</f>
        <v>0.147692643454898</v>
      </c>
      <c r="M92" s="37" t="n">
        <f aca="false">IF(AND(ISNUMBER($G92),$G92&gt;=60),MAX(INDEX($D$5:$D92,89-60):$D92),"")</f>
        <v>1032457</v>
      </c>
      <c r="N92" s="37" t="n">
        <f aca="false">IF(AND(ISNUMBER($G92),$G92&gt;=60),MIN(INDEX($E$5:$E92,89-60):$E92),"")</f>
        <v>892592</v>
      </c>
      <c r="O92" s="38" t="n">
        <f aca="false">IF(OR(NOT(ISNUMBER($C92)),NOT(ISNUMBER($M92)),$M92=0),"",$C92/$M92-1)</f>
        <v>-0.0110958616194186</v>
      </c>
    </row>
    <row r="93" customFormat="false" ht="15" hidden="false" customHeight="true" outlineLevel="0" collapsed="false">
      <c r="A93" s="32" t="n">
        <v>45692</v>
      </c>
      <c r="B93" s="33" t="s">
        <v>183</v>
      </c>
      <c r="C93" s="34" t="n">
        <v>1033921</v>
      </c>
      <c r="D93" s="34" t="n">
        <v>1034408</v>
      </c>
      <c r="E93" s="34" t="n">
        <v>1031715</v>
      </c>
      <c r="F93" s="34" t="n">
        <v>0</v>
      </c>
      <c r="G93" s="35" t="n">
        <f aca="false">IF($A93="","",IF(ISNUMBER($G92),$G92+1,1))</f>
        <v>89</v>
      </c>
      <c r="H93" s="36" t="n">
        <f aca="false">IF(OR(NOT(ISNUMBER($G93)),$G93&lt;2,NOT(ISNUMBER($C92)),$C92=0),"",$C93/$C92-1)</f>
        <v>0.0126542481349186</v>
      </c>
      <c r="I93" s="37" t="n">
        <f aca="false">IF(AND(ISNUMBER($G93),$G93&gt;=MA_SHORT),AVERAGE(INDEX($C$5:$C93,90-MA_SHORT):$C93),"")</f>
        <v>1007804.5</v>
      </c>
      <c r="J93" s="37" t="n">
        <f aca="false">IF(AND(ISNUMBER($G93),$G93&gt;=MA_MED),AVERAGE(INDEX($C$5:$C93,90-MA_MED):$C93),"")</f>
        <v>983523.92</v>
      </c>
      <c r="K93" s="37" t="str">
        <f aca="false">IF(AND(ISNUMBER($G93),$G93&gt;=MA_LONG2),AVERAGE(INDEX($C$5:$C93,90-MA_LONG2):$C93),"")</f>
        <v/>
      </c>
      <c r="L93" s="38" t="n">
        <f aca="false">IF(AND(ISNUMBER($G93),$G93&gt;=21),STDEV(INDEX($H$33:$H93,62-20):$H93)*SQRT(245),"")</f>
        <v>0.14738553518943</v>
      </c>
      <c r="M93" s="37" t="n">
        <f aca="false">IF(AND(ISNUMBER($G93),$G93&gt;=60),MAX(INDEX($D$5:$D93,90-60):$D93),"")</f>
        <v>1034408</v>
      </c>
      <c r="N93" s="37" t="n">
        <f aca="false">IF(AND(ISNUMBER($G93),$G93&gt;=60),MIN(INDEX($E$5:$E93,90-60):$E93),"")</f>
        <v>892592</v>
      </c>
      <c r="O93" s="38" t="n">
        <f aca="false">IF(OR(NOT(ISNUMBER($C93)),NOT(ISNUMBER($M93)),$M93=0),"",$C93/$M93-1)</f>
        <v>-0.00047080068986316</v>
      </c>
    </row>
    <row r="94" customFormat="false" ht="15" hidden="false" customHeight="true" outlineLevel="0" collapsed="false">
      <c r="A94" s="32" t="n">
        <v>45693</v>
      </c>
      <c r="B94" s="33" t="s">
        <v>184</v>
      </c>
      <c r="C94" s="34" t="n">
        <v>1042064</v>
      </c>
      <c r="D94" s="34" t="n">
        <v>1045140</v>
      </c>
      <c r="E94" s="34" t="n">
        <v>1041337</v>
      </c>
      <c r="F94" s="34" t="n">
        <v>0</v>
      </c>
      <c r="G94" s="35" t="n">
        <f aca="false">IF($A94="","",IF(ISNUMBER($G93),$G93+1,1))</f>
        <v>90</v>
      </c>
      <c r="H94" s="36" t="n">
        <f aca="false">IF(OR(NOT(ISNUMBER($G94)),$G94&lt;2,NOT(ISNUMBER($C93)),$C93=0),"",$C94/$C93-1)</f>
        <v>0.00787584351222193</v>
      </c>
      <c r="I94" s="37" t="n">
        <f aca="false">IF(AND(ISNUMBER($G94),$G94&gt;=MA_SHORT),AVERAGE(INDEX($C$5:$C94,91-MA_SHORT):$C94),"")</f>
        <v>1010285.4</v>
      </c>
      <c r="J94" s="37" t="n">
        <f aca="false">IF(AND(ISNUMBER($G94),$G94&gt;=MA_MED),AVERAGE(INDEX($C$5:$C94,91-MA_MED):$C94),"")</f>
        <v>985145.76</v>
      </c>
      <c r="K94" s="37" t="str">
        <f aca="false">IF(AND(ISNUMBER($G94),$G94&gt;=MA_LONG2),AVERAGE(INDEX($C$5:$C94,91-MA_LONG2):$C94),"")</f>
        <v/>
      </c>
      <c r="L94" s="38" t="n">
        <f aca="false">IF(AND(ISNUMBER($G94),$G94&gt;=21),STDEV(INDEX($H$34:$H94,62-20):$H94)*SQRT(245),"")</f>
        <v>0.125908560130292</v>
      </c>
      <c r="M94" s="37" t="n">
        <f aca="false">IF(AND(ISNUMBER($G94),$G94&gt;=60),MAX(INDEX($D$5:$D94,91-60):$D94),"")</f>
        <v>1045140</v>
      </c>
      <c r="N94" s="37" t="n">
        <f aca="false">IF(AND(ISNUMBER($G94),$G94&gt;=60),MIN(INDEX($E$5:$E94,91-60):$E94),"")</f>
        <v>892592</v>
      </c>
      <c r="O94" s="38" t="n">
        <f aca="false">IF(OR(NOT(ISNUMBER($C94)),NOT(ISNUMBER($M94)),$M94=0),"",$C94/$M94-1)</f>
        <v>-0.00294314637273474</v>
      </c>
    </row>
    <row r="95" customFormat="false" ht="15" hidden="false" customHeight="true" outlineLevel="0" collapsed="false">
      <c r="A95" s="32" t="n">
        <v>45696</v>
      </c>
      <c r="B95" s="33" t="s">
        <v>185</v>
      </c>
      <c r="C95" s="34" t="n">
        <v>1046658</v>
      </c>
      <c r="D95" s="34" t="n">
        <v>1047478</v>
      </c>
      <c r="E95" s="34" t="n">
        <v>1045410</v>
      </c>
      <c r="F95" s="34" t="n">
        <v>0</v>
      </c>
      <c r="G95" s="35" t="n">
        <f aca="false">IF($A95="","",IF(ISNUMBER($G94),$G94+1,1))</f>
        <v>91</v>
      </c>
      <c r="H95" s="36" t="n">
        <f aca="false">IF(OR(NOT(ISNUMBER($G95)),$G95&lt;2,NOT(ISNUMBER($C94)),$C94=0),"",$C95/$C94-1)</f>
        <v>0.00440855839948418</v>
      </c>
      <c r="I95" s="37" t="n">
        <f aca="false">IF(AND(ISNUMBER($G95),$G95&gt;=MA_SHORT),AVERAGE(INDEX($C$5:$C95,92-MA_SHORT):$C95),"")</f>
        <v>1013185.3</v>
      </c>
      <c r="J95" s="37" t="n">
        <f aca="false">IF(AND(ISNUMBER($G95),$G95&gt;=MA_MED),AVERAGE(INDEX($C$5:$C95,92-MA_MED):$C95),"")</f>
        <v>986741.64</v>
      </c>
      <c r="K95" s="37" t="str">
        <f aca="false">IF(AND(ISNUMBER($G95),$G95&gt;=MA_LONG2),AVERAGE(INDEX($C$5:$C95,92-MA_LONG2):$C95),"")</f>
        <v/>
      </c>
      <c r="L95" s="38" t="n">
        <f aca="false">IF(AND(ISNUMBER($G95),$G95&gt;=21),STDEV(INDEX($H$35:$H95,62-20):$H95)*SQRT(245),"")</f>
        <v>0.123886508983775</v>
      </c>
      <c r="M95" s="37" t="n">
        <f aca="false">IF(AND(ISNUMBER($G95),$G95&gt;=60),MAX(INDEX($D$5:$D95,92-60):$D95),"")</f>
        <v>1047478</v>
      </c>
      <c r="N95" s="37" t="n">
        <f aca="false">IF(AND(ISNUMBER($G95),$G95&gt;=60),MIN(INDEX($E$5:$E95,92-60):$E95),"")</f>
        <v>896667</v>
      </c>
      <c r="O95" s="38" t="n">
        <f aca="false">IF(OR(NOT(ISNUMBER($C95)),NOT(ISNUMBER($M95)),$M95=0),"",$C95/$M95-1)</f>
        <v>-0.000782832670471412</v>
      </c>
    </row>
    <row r="96" customFormat="false" ht="15" hidden="false" customHeight="true" outlineLevel="0" collapsed="false">
      <c r="A96" s="32" t="n">
        <v>45697</v>
      </c>
      <c r="B96" s="33" t="s">
        <v>186</v>
      </c>
      <c r="C96" s="34" t="n">
        <v>1060927</v>
      </c>
      <c r="D96" s="34" t="n">
        <v>1064006</v>
      </c>
      <c r="E96" s="34" t="n">
        <v>1060082</v>
      </c>
      <c r="F96" s="34" t="n">
        <v>0</v>
      </c>
      <c r="G96" s="35" t="n">
        <f aca="false">IF($A96="","",IF(ISNUMBER($G95),$G95+1,1))</f>
        <v>92</v>
      </c>
      <c r="H96" s="36" t="n">
        <f aca="false">IF(OR(NOT(ISNUMBER($G96)),$G96&lt;2,NOT(ISNUMBER($C95)),$C95=0),"",$C96/$C95-1)</f>
        <v>0.0136329154317838</v>
      </c>
      <c r="I96" s="37" t="n">
        <f aca="false">IF(AND(ISNUMBER($G96),$G96&gt;=MA_SHORT),AVERAGE(INDEX($C$5:$C96,93-MA_SHORT):$C96),"")</f>
        <v>1016242.85</v>
      </c>
      <c r="J96" s="37" t="n">
        <f aca="false">IF(AND(ISNUMBER($G96),$G96&gt;=MA_MED),AVERAGE(INDEX($C$5:$C96,93-MA_MED):$C96),"")</f>
        <v>988943.34</v>
      </c>
      <c r="K96" s="37" t="str">
        <f aca="false">IF(AND(ISNUMBER($G96),$G96&gt;=MA_LONG2),AVERAGE(INDEX($C$5:$C96,93-MA_LONG2):$C96),"")</f>
        <v/>
      </c>
      <c r="L96" s="38" t="n">
        <f aca="false">IF(AND(ISNUMBER($G96),$G96&gt;=21),STDEV(INDEX($H$36:$H96,62-20):$H96)*SQRT(245),"")</f>
        <v>0.126225689426862</v>
      </c>
      <c r="M96" s="37" t="n">
        <f aca="false">IF(AND(ISNUMBER($G96),$G96&gt;=60),MAX(INDEX($D$5:$D96,93-60):$D96),"")</f>
        <v>1064006</v>
      </c>
      <c r="N96" s="37" t="n">
        <f aca="false">IF(AND(ISNUMBER($G96),$G96&gt;=60),MIN(INDEX($E$5:$E96,93-60):$E96),"")</f>
        <v>896667</v>
      </c>
      <c r="O96" s="38" t="n">
        <f aca="false">IF(OR(NOT(ISNUMBER($C96)),NOT(ISNUMBER($M96)),$M96=0),"",$C96/$M96-1)</f>
        <v>-0.00289378067416912</v>
      </c>
    </row>
    <row r="97" customFormat="false" ht="15" hidden="false" customHeight="true" outlineLevel="0" collapsed="false">
      <c r="A97" s="32" t="n">
        <v>45698</v>
      </c>
      <c r="B97" s="33" t="s">
        <v>187</v>
      </c>
      <c r="C97" s="34" t="n">
        <v>1058279</v>
      </c>
      <c r="D97" s="34" t="n">
        <v>1063550</v>
      </c>
      <c r="E97" s="34" t="n">
        <v>1056362</v>
      </c>
      <c r="F97" s="34" t="n">
        <v>0</v>
      </c>
      <c r="G97" s="35" t="n">
        <f aca="false">IF($A97="","",IF(ISNUMBER($G96),$G96+1,1))</f>
        <v>93</v>
      </c>
      <c r="H97" s="36" t="n">
        <f aca="false">IF(OR(NOT(ISNUMBER($G97)),$G97&lt;2,NOT(ISNUMBER($C96)),$C96=0),"",$C97/$C96-1)</f>
        <v>-0.00249593044573282</v>
      </c>
      <c r="I97" s="37" t="n">
        <f aca="false">IF(AND(ISNUMBER($G97),$G97&gt;=MA_SHORT),AVERAGE(INDEX($C$5:$C97,94-MA_SHORT):$C97),"")</f>
        <v>1019360.55</v>
      </c>
      <c r="J97" s="37" t="n">
        <f aca="false">IF(AND(ISNUMBER($G97),$G97&gt;=MA_MED),AVERAGE(INDEX($C$5:$C97,94-MA_MED):$C97),"")</f>
        <v>991127.02</v>
      </c>
      <c r="K97" s="37" t="str">
        <f aca="false">IF(AND(ISNUMBER($G97),$G97&gt;=MA_LONG2),AVERAGE(INDEX($C$5:$C97,94-MA_LONG2):$C97),"")</f>
        <v/>
      </c>
      <c r="L97" s="38" t="n">
        <f aca="false">IF(AND(ISNUMBER($G97),$G97&gt;=21),STDEV(INDEX($H$37:$H97,62-20):$H97)*SQRT(245),"")</f>
        <v>0.125362353027907</v>
      </c>
      <c r="M97" s="37" t="n">
        <f aca="false">IF(AND(ISNUMBER($G97),$G97&gt;=60),MAX(INDEX($D$5:$D97,94-60):$D97),"")</f>
        <v>1064006</v>
      </c>
      <c r="N97" s="37" t="n">
        <f aca="false">IF(AND(ISNUMBER($G97),$G97&gt;=60),MIN(INDEX($E$5:$E97,94-60):$E97),"")</f>
        <v>902706</v>
      </c>
      <c r="O97" s="38" t="n">
        <f aca="false">IF(OR(NOT(ISNUMBER($C97)),NOT(ISNUMBER($M97)),$M97=0),"",$C97/$M97-1)</f>
        <v>-0.00538248844461409</v>
      </c>
    </row>
    <row r="98" customFormat="false" ht="15" hidden="false" customHeight="true" outlineLevel="0" collapsed="false">
      <c r="A98" s="32" t="n">
        <v>45699</v>
      </c>
      <c r="B98" s="33" t="s">
        <v>188</v>
      </c>
      <c r="C98" s="34" t="n">
        <v>1063679</v>
      </c>
      <c r="D98" s="34" t="n">
        <v>1067208</v>
      </c>
      <c r="E98" s="34" t="n">
        <v>1062928</v>
      </c>
      <c r="F98" s="34" t="n">
        <v>0</v>
      </c>
      <c r="G98" s="35" t="n">
        <f aca="false">IF($A98="","",IF(ISNUMBER($G97),$G97+1,1))</f>
        <v>94</v>
      </c>
      <c r="H98" s="36" t="n">
        <f aca="false">IF(OR(NOT(ISNUMBER($G98)),$G98&lt;2,NOT(ISNUMBER($C97)),$C97=0),"",$C98/$C97-1)</f>
        <v>0.0051026241662171</v>
      </c>
      <c r="I98" s="37" t="n">
        <f aca="false">IF(AND(ISNUMBER($G98),$G98&gt;=MA_SHORT),AVERAGE(INDEX($C$5:$C98,95-MA_SHORT):$C98),"")</f>
        <v>1022407.75</v>
      </c>
      <c r="J98" s="37" t="n">
        <f aca="false">IF(AND(ISNUMBER($G98),$G98&gt;=MA_MED),AVERAGE(INDEX($C$5:$C98,95-MA_MED):$C98),"")</f>
        <v>993699.12</v>
      </c>
      <c r="K98" s="37" t="str">
        <f aca="false">IF(AND(ISNUMBER($G98),$G98&gt;=MA_LONG2),AVERAGE(INDEX($C$5:$C98,95-MA_LONG2):$C98),"")</f>
        <v/>
      </c>
      <c r="L98" s="38" t="n">
        <f aca="false">IF(AND(ISNUMBER($G98),$G98&gt;=21),STDEV(INDEX($H$38:$H98,62-20):$H98)*SQRT(245),"")</f>
        <v>0.124836101924561</v>
      </c>
      <c r="M98" s="37" t="n">
        <f aca="false">IF(AND(ISNUMBER($G98),$G98&gt;=60),MAX(INDEX($D$5:$D98,95-60):$D98),"")</f>
        <v>1067208</v>
      </c>
      <c r="N98" s="37" t="n">
        <f aca="false">IF(AND(ISNUMBER($G98),$G98&gt;=60),MIN(INDEX($E$5:$E98,95-60):$E98),"")</f>
        <v>908471</v>
      </c>
      <c r="O98" s="38" t="n">
        <f aca="false">IF(OR(NOT(ISNUMBER($C98)),NOT(ISNUMBER($M98)),$M98=0),"",$C98/$M98-1)</f>
        <v>-0.0033067593196453</v>
      </c>
    </row>
    <row r="99" customFormat="false" ht="15" hidden="false" customHeight="true" outlineLevel="0" collapsed="false">
      <c r="A99" s="32" t="n">
        <v>45700</v>
      </c>
      <c r="B99" s="33" t="s">
        <v>189</v>
      </c>
      <c r="C99" s="34" t="n">
        <v>1066714</v>
      </c>
      <c r="D99" s="34" t="n">
        <v>1070551</v>
      </c>
      <c r="E99" s="34" t="n">
        <v>1062095</v>
      </c>
      <c r="F99" s="34" t="n">
        <v>0</v>
      </c>
      <c r="G99" s="35" t="n">
        <f aca="false">IF($A99="","",IF(ISNUMBER($G98),$G98+1,1))</f>
        <v>95</v>
      </c>
      <c r="H99" s="36" t="n">
        <f aca="false">IF(OR(NOT(ISNUMBER($G99)),$G99&lt;2,NOT(ISNUMBER($C98)),$C98=0),"",$C99/$C98-1)</f>
        <v>0.00285330442736953</v>
      </c>
      <c r="I99" s="37" t="n">
        <f aca="false">IF(AND(ISNUMBER($G99),$G99&gt;=MA_SHORT),AVERAGE(INDEX($C$5:$C99,96-MA_SHORT):$C99),"")</f>
        <v>1025178.95</v>
      </c>
      <c r="J99" s="37" t="n">
        <f aca="false">IF(AND(ISNUMBER($G99),$G99&gt;=MA_MED),AVERAGE(INDEX($C$5:$C99,96-MA_MED):$C99),"")</f>
        <v>996386.76</v>
      </c>
      <c r="K99" s="37" t="str">
        <f aca="false">IF(AND(ISNUMBER($G99),$G99&gt;=MA_LONG2),AVERAGE(INDEX($C$5:$C99,96-MA_LONG2):$C99),"")</f>
        <v/>
      </c>
      <c r="L99" s="38" t="n">
        <f aca="false">IF(AND(ISNUMBER($G99),$G99&gt;=21),STDEV(INDEX($H$39:$H99,62-20):$H99)*SQRT(245),"")</f>
        <v>0.123153243921724</v>
      </c>
      <c r="M99" s="37" t="n">
        <f aca="false">IF(AND(ISNUMBER($G99),$G99&gt;=60),MAX(INDEX($D$5:$D99,96-60):$D99),"")</f>
        <v>1070551</v>
      </c>
      <c r="N99" s="37" t="n">
        <f aca="false">IF(AND(ISNUMBER($G99),$G99&gt;=60),MIN(INDEX($E$5:$E99,96-60):$E99),"")</f>
        <v>914456</v>
      </c>
      <c r="O99" s="38" t="n">
        <f aca="false">IF(OR(NOT(ISNUMBER($C99)),NOT(ISNUMBER($M99)),$M99=0),"",$C99/$M99-1)</f>
        <v>-0.00358413564603644</v>
      </c>
    </row>
    <row r="100" customFormat="false" ht="15" hidden="false" customHeight="true" outlineLevel="0" collapsed="false">
      <c r="A100" s="32" t="n">
        <v>45703</v>
      </c>
      <c r="B100" s="33" t="s">
        <v>190</v>
      </c>
      <c r="C100" s="34" t="n">
        <v>1067254</v>
      </c>
      <c r="D100" s="34" t="n">
        <v>1068347</v>
      </c>
      <c r="E100" s="34" t="n">
        <v>1062862</v>
      </c>
      <c r="F100" s="34" t="n">
        <v>0</v>
      </c>
      <c r="G100" s="35" t="n">
        <f aca="false">IF($A100="","",IF(ISNUMBER($G99),$G99+1,1))</f>
        <v>96</v>
      </c>
      <c r="H100" s="36" t="n">
        <f aca="false">IF(OR(NOT(ISNUMBER($G100)),$G100&lt;2,NOT(ISNUMBER($C99)),$C99=0),"",$C100/$C99-1)</f>
        <v>0.000506227536153148</v>
      </c>
      <c r="I100" s="37" t="n">
        <f aca="false">IF(AND(ISNUMBER($G100),$G100&gt;=MA_SHORT),AVERAGE(INDEX($C$5:$C100,97-MA_SHORT):$C100),"")</f>
        <v>1028618.75</v>
      </c>
      <c r="J100" s="37" t="n">
        <f aca="false">IF(AND(ISNUMBER($G100),$G100&gt;=MA_MED),AVERAGE(INDEX($C$5:$C100,97-MA_MED):$C100),"")</f>
        <v>998732.24</v>
      </c>
      <c r="K100" s="37" t="str">
        <f aca="false">IF(AND(ISNUMBER($G100),$G100&gt;=MA_LONG2),AVERAGE(INDEX($C$5:$C100,97-MA_LONG2):$C100),"")</f>
        <v/>
      </c>
      <c r="L100" s="38" t="n">
        <f aca="false">IF(AND(ISNUMBER($G100),$G100&gt;=21),STDEV(INDEX($H$40:$H100,62-20):$H100)*SQRT(245),"")</f>
        <v>0.109830018701189</v>
      </c>
      <c r="M100" s="37" t="n">
        <f aca="false">IF(AND(ISNUMBER($G100),$G100&gt;=60),MAX(INDEX($D$5:$D100,97-60):$D100),"")</f>
        <v>1070551</v>
      </c>
      <c r="N100" s="37" t="n">
        <f aca="false">IF(AND(ISNUMBER($G100),$G100&gt;=60),MIN(INDEX($E$5:$E100,97-60):$E100),"")</f>
        <v>928046</v>
      </c>
      <c r="O100" s="38" t="n">
        <f aca="false">IF(OR(NOT(ISNUMBER($C100)),NOT(ISNUMBER($M100)),$M100=0),"",$C100/$M100-1)</f>
        <v>-0.00307972249804078</v>
      </c>
    </row>
    <row r="101" customFormat="false" ht="15" hidden="false" customHeight="true" outlineLevel="0" collapsed="false">
      <c r="A101" s="32" t="n">
        <v>45704</v>
      </c>
      <c r="B101" s="33" t="s">
        <v>191</v>
      </c>
      <c r="C101" s="34" t="n">
        <v>1068806</v>
      </c>
      <c r="D101" s="34" t="n">
        <v>1071030</v>
      </c>
      <c r="E101" s="34" t="n">
        <v>1068255</v>
      </c>
      <c r="F101" s="34" t="n">
        <v>0</v>
      </c>
      <c r="G101" s="35" t="n">
        <f aca="false">IF($A101="","",IF(ISNUMBER($G100),$G100+1,1))</f>
        <v>97</v>
      </c>
      <c r="H101" s="36" t="n">
        <f aca="false">IF(OR(NOT(ISNUMBER($G101)),$G101&lt;2,NOT(ISNUMBER($C100)),$C100=0),"",$C101/$C100-1)</f>
        <v>0.00145419928152069</v>
      </c>
      <c r="I101" s="37" t="n">
        <f aca="false">IF(AND(ISNUMBER($G101),$G101&gt;=MA_SHORT),AVERAGE(INDEX($C$5:$C101,98-MA_SHORT):$C101),"")</f>
        <v>1032323.45</v>
      </c>
      <c r="J101" s="37" t="n">
        <f aca="false">IF(AND(ISNUMBER($G101),$G101&gt;=MA_MED),AVERAGE(INDEX($C$5:$C101,98-MA_MED):$C101),"")</f>
        <v>1001284.44</v>
      </c>
      <c r="K101" s="37" t="str">
        <f aca="false">IF(AND(ISNUMBER($G101),$G101&gt;=MA_LONG2),AVERAGE(INDEX($C$5:$C101,98-MA_LONG2):$C101),"")</f>
        <v/>
      </c>
      <c r="L101" s="38" t="n">
        <f aca="false">IF(AND(ISNUMBER($G101),$G101&gt;=21),STDEV(INDEX($H$41:$H101,62-20):$H101)*SQRT(245),"")</f>
        <v>0.10695675396681</v>
      </c>
      <c r="M101" s="37" t="n">
        <f aca="false">IF(AND(ISNUMBER($G101),$G101&gt;=60),MAX(INDEX($D$5:$D101,98-60):$D101),"")</f>
        <v>1071030</v>
      </c>
      <c r="N101" s="37" t="n">
        <f aca="false">IF(AND(ISNUMBER($G101),$G101&gt;=60),MIN(INDEX($E$5:$E101,98-60):$E101),"")</f>
        <v>928046</v>
      </c>
      <c r="O101" s="38" t="n">
        <f aca="false">IF(OR(NOT(ISNUMBER($C101)),NOT(ISNUMBER($M101)),$M101=0),"",$C101/$M101-1)</f>
        <v>-0.0020765057934885</v>
      </c>
    </row>
    <row r="102" customFormat="false" ht="15" hidden="false" customHeight="true" outlineLevel="0" collapsed="false">
      <c r="A102" s="32" t="n">
        <v>45705</v>
      </c>
      <c r="B102" s="33" t="s">
        <v>192</v>
      </c>
      <c r="C102" s="34" t="n">
        <v>1057045</v>
      </c>
      <c r="D102" s="34" t="n">
        <v>1059105</v>
      </c>
      <c r="E102" s="34" t="n">
        <v>1055500</v>
      </c>
      <c r="F102" s="34" t="n">
        <v>0</v>
      </c>
      <c r="G102" s="35" t="n">
        <f aca="false">IF($A102="","",IF(ISNUMBER($G101),$G101+1,1))</f>
        <v>98</v>
      </c>
      <c r="H102" s="36" t="n">
        <f aca="false">IF(OR(NOT(ISNUMBER($G102)),$G102&lt;2,NOT(ISNUMBER($C101)),$C101=0),"",$C102/$C101-1)</f>
        <v>-0.0110038678675082</v>
      </c>
      <c r="I102" s="37" t="n">
        <f aca="false">IF(AND(ISNUMBER($G102),$G102&gt;=MA_SHORT),AVERAGE(INDEX($C$5:$C102,99-MA_SHORT):$C102),"")</f>
        <v>1034966.6</v>
      </c>
      <c r="J102" s="37" t="n">
        <f aca="false">IF(AND(ISNUMBER($G102),$G102&gt;=MA_MED),AVERAGE(INDEX($C$5:$C102,99-MA_MED):$C102),"")</f>
        <v>1003813.88</v>
      </c>
      <c r="K102" s="37" t="str">
        <f aca="false">IF(AND(ISNUMBER($G102),$G102&gt;=MA_LONG2),AVERAGE(INDEX($C$5:$C102,99-MA_LONG2):$C102),"")</f>
        <v/>
      </c>
      <c r="L102" s="38" t="n">
        <f aca="false">IF(AND(ISNUMBER($G102),$G102&gt;=21),STDEV(INDEX($H$42:$H102,62-20):$H102)*SQRT(245),"")</f>
        <v>0.116091696525965</v>
      </c>
      <c r="M102" s="37" t="n">
        <f aca="false">IF(AND(ISNUMBER($G102),$G102&gt;=60),MAX(INDEX($D$5:$D102,99-60):$D102),"")</f>
        <v>1071030</v>
      </c>
      <c r="N102" s="37" t="n">
        <f aca="false">IF(AND(ISNUMBER($G102),$G102&gt;=60),MIN(INDEX($E$5:$E102,99-60):$E102),"")</f>
        <v>928046</v>
      </c>
      <c r="O102" s="38" t="n">
        <f aca="false">IF(OR(NOT(ISNUMBER($C102)),NOT(ISNUMBER($M102)),$M102=0),"",$C102/$M102-1)</f>
        <v>-0.0130575240656191</v>
      </c>
    </row>
    <row r="103" customFormat="false" ht="15" hidden="false" customHeight="true" outlineLevel="0" collapsed="false">
      <c r="A103" s="32" t="n">
        <v>45706</v>
      </c>
      <c r="B103" s="33" t="s">
        <v>193</v>
      </c>
      <c r="C103" s="34" t="n">
        <v>1060796</v>
      </c>
      <c r="D103" s="34" t="n">
        <v>1062906</v>
      </c>
      <c r="E103" s="34" t="n">
        <v>1059622</v>
      </c>
      <c r="F103" s="34" t="n">
        <v>0</v>
      </c>
      <c r="G103" s="35" t="n">
        <f aca="false">IF($A103="","",IF(ISNUMBER($G102),$G102+1,1))</f>
        <v>99</v>
      </c>
      <c r="H103" s="36" t="n">
        <f aca="false">IF(OR(NOT(ISNUMBER($G103)),$G103&lt;2,NOT(ISNUMBER($C102)),$C102=0),"",$C103/$C102-1)</f>
        <v>0.00354857172589629</v>
      </c>
      <c r="I103" s="37" t="n">
        <f aca="false">IF(AND(ISNUMBER($G103),$G103&gt;=MA_SHORT),AVERAGE(INDEX($C$5:$C103,100-MA_SHORT):$C103),"")</f>
        <v>1038081.9</v>
      </c>
      <c r="J103" s="37" t="n">
        <f aca="false">IF(AND(ISNUMBER($G103),$G103&gt;=MA_MED),AVERAGE(INDEX($C$5:$C103,100-MA_MED):$C103),"")</f>
        <v>1006462.88</v>
      </c>
      <c r="K103" s="37" t="str">
        <f aca="false">IF(AND(ISNUMBER($G103),$G103&gt;=MA_LONG2),AVERAGE(INDEX($C$5:$C103,100-MA_LONG2):$C103),"")</f>
        <v/>
      </c>
      <c r="L103" s="38" t="n">
        <f aca="false">IF(AND(ISNUMBER($G103),$G103&gt;=21),STDEV(INDEX($H$43:$H103,62-20):$H103)*SQRT(245),"")</f>
        <v>0.112044018406977</v>
      </c>
      <c r="M103" s="37" t="n">
        <f aca="false">IF(AND(ISNUMBER($G103),$G103&gt;=60),MAX(INDEX($D$5:$D103,100-60):$D103),"")</f>
        <v>1071030</v>
      </c>
      <c r="N103" s="37" t="n">
        <f aca="false">IF(AND(ISNUMBER($G103),$G103&gt;=60),MIN(INDEX($E$5:$E103,100-60):$E103),"")</f>
        <v>928046</v>
      </c>
      <c r="O103" s="38" t="n">
        <f aca="false">IF(OR(NOT(ISNUMBER($C103)),NOT(ISNUMBER($M103)),$M103=0),"",$C103/$M103-1)</f>
        <v>-0.00955528790043225</v>
      </c>
    </row>
    <row r="104" customFormat="false" ht="15" hidden="false" customHeight="true" outlineLevel="0" collapsed="false">
      <c r="A104" s="32" t="n">
        <v>45707</v>
      </c>
      <c r="B104" s="33" t="s">
        <v>194</v>
      </c>
      <c r="C104" s="34" t="n">
        <v>1076332</v>
      </c>
      <c r="D104" s="34" t="n">
        <v>1076852</v>
      </c>
      <c r="E104" s="34" t="n">
        <v>1073342</v>
      </c>
      <c r="F104" s="34" t="n">
        <v>0</v>
      </c>
      <c r="G104" s="35" t="n">
        <f aca="false">IF($A104="","",IF(ISNUMBER($G103),$G103+1,1))</f>
        <v>100</v>
      </c>
      <c r="H104" s="36" t="n">
        <f aca="false">IF(OR(NOT(ISNUMBER($G104)),$G104&lt;2,NOT(ISNUMBER($C103)),$C103=0),"",$C104/$C103-1)</f>
        <v>0.0146456057526612</v>
      </c>
      <c r="I104" s="37" t="n">
        <f aca="false">IF(AND(ISNUMBER($G104),$G104&gt;=MA_SHORT),AVERAGE(INDEX($C$5:$C104,101-MA_SHORT):$C104),"")</f>
        <v>1041321.9</v>
      </c>
      <c r="J104" s="37" t="n">
        <f aca="false">IF(AND(ISNUMBER($G104),$G104&gt;=MA_MED),AVERAGE(INDEX($C$5:$C104,101-MA_MED):$C104),"")</f>
        <v>1009106.84</v>
      </c>
      <c r="K104" s="37" t="str">
        <f aca="false">IF(AND(ISNUMBER($G104),$G104&gt;=MA_LONG2),AVERAGE(INDEX($C$5:$C104,101-MA_LONG2):$C104),"")</f>
        <v/>
      </c>
      <c r="L104" s="38" t="n">
        <f aca="false">IF(AND(ISNUMBER($G104),$G104&gt;=21),STDEV(INDEX($H$44:$H104,62-20):$H104)*SQRT(245),"")</f>
        <v>0.113988273898196</v>
      </c>
      <c r="M104" s="37" t="n">
        <f aca="false">IF(AND(ISNUMBER($G104),$G104&gt;=60),MAX(INDEX($D$5:$D104,101-60):$D104),"")</f>
        <v>1076852</v>
      </c>
      <c r="N104" s="37" t="n">
        <f aca="false">IF(AND(ISNUMBER($G104),$G104&gt;=60),MIN(INDEX($E$5:$E104,101-60):$E104),"")</f>
        <v>928046</v>
      </c>
      <c r="O104" s="38" t="n">
        <f aca="false">IF(OR(NOT(ISNUMBER($C104)),NOT(ISNUMBER($M104)),$M104=0),"",$C104/$M104-1)</f>
        <v>-0.000482889013531995</v>
      </c>
    </row>
    <row r="105" customFormat="false" ht="15" hidden="false" customHeight="true" outlineLevel="0" collapsed="false">
      <c r="A105" s="32" t="n">
        <v>45710</v>
      </c>
      <c r="B105" s="33" t="s">
        <v>195</v>
      </c>
      <c r="C105" s="34" t="n">
        <v>1084863</v>
      </c>
      <c r="D105" s="34" t="n">
        <v>1085546</v>
      </c>
      <c r="E105" s="34" t="n">
        <v>1082273</v>
      </c>
      <c r="F105" s="34" t="n">
        <v>0</v>
      </c>
      <c r="G105" s="35" t="n">
        <f aca="false">IF($A105="","",IF(ISNUMBER($G104),$G104+1,1))</f>
        <v>101</v>
      </c>
      <c r="H105" s="36" t="n">
        <f aca="false">IF(OR(NOT(ISNUMBER($G105)),$G105&lt;2,NOT(ISNUMBER($C104)),$C104=0),"",$C105/$C104-1)</f>
        <v>0.00792599309506725</v>
      </c>
      <c r="I105" s="37" t="n">
        <f aca="false">IF(AND(ISNUMBER($G105),$G105&gt;=MA_SHORT),AVERAGE(INDEX($C$5:$C105,102-MA_SHORT):$C105),"")</f>
        <v>1045078.9</v>
      </c>
      <c r="J105" s="37" t="n">
        <f aca="false">IF(AND(ISNUMBER($G105),$G105&gt;=MA_MED),AVERAGE(INDEX($C$5:$C105,102-MA_MED):$C105),"")</f>
        <v>1011894.84</v>
      </c>
      <c r="K105" s="37" t="str">
        <f aca="false">IF(AND(ISNUMBER($G105),$G105&gt;=MA_LONG2),AVERAGE(INDEX($C$5:$C105,102-MA_LONG2):$C105),"")</f>
        <v/>
      </c>
      <c r="L105" s="38" t="n">
        <f aca="false">IF(AND(ISNUMBER($G105),$G105&gt;=21),STDEV(INDEX($H$45:$H105,62-20):$H105)*SQRT(245),"")</f>
        <v>0.113648587847662</v>
      </c>
      <c r="M105" s="37" t="n">
        <f aca="false">IF(AND(ISNUMBER($G105),$G105&gt;=60),MAX(INDEX($D$5:$D105,102-60):$D105),"")</f>
        <v>1085546</v>
      </c>
      <c r="N105" s="37" t="n">
        <f aca="false">IF(AND(ISNUMBER($G105),$G105&gt;=60),MIN(INDEX($E$5:$E105,102-60):$E105),"")</f>
        <v>928046</v>
      </c>
      <c r="O105" s="38" t="n">
        <f aca="false">IF(OR(NOT(ISNUMBER($C105)),NOT(ISNUMBER($M105)),$M105=0),"",$C105/$M105-1)</f>
        <v>-0.000629176469721271</v>
      </c>
    </row>
    <row r="106" customFormat="false" ht="15" hidden="false" customHeight="true" outlineLevel="0" collapsed="false">
      <c r="A106" s="32" t="n">
        <v>45711</v>
      </c>
      <c r="B106" s="33" t="s">
        <v>196</v>
      </c>
      <c r="C106" s="34" t="n">
        <v>1097797</v>
      </c>
      <c r="D106" s="34" t="n">
        <v>1101326</v>
      </c>
      <c r="E106" s="34" t="n">
        <v>1095710</v>
      </c>
      <c r="F106" s="34" t="n">
        <v>0</v>
      </c>
      <c r="G106" s="35" t="n">
        <f aca="false">IF($A106="","",IF(ISNUMBER($G105),$G105+1,1))</f>
        <v>102</v>
      </c>
      <c r="H106" s="36" t="n">
        <f aca="false">IF(OR(NOT(ISNUMBER($G106)),$G106&lt;2,NOT(ISNUMBER($C105)),$C105=0),"",$C106/$C105-1)</f>
        <v>0.0119222427163614</v>
      </c>
      <c r="I106" s="37" t="n">
        <f aca="false">IF(AND(ISNUMBER($G106),$G106&gt;=MA_SHORT),AVERAGE(INDEX($C$5:$C106,103-MA_SHORT):$C106),"")</f>
        <v>1049485.25</v>
      </c>
      <c r="J106" s="37" t="n">
        <f aca="false">IF(AND(ISNUMBER($G106),$G106&gt;=MA_MED),AVERAGE(INDEX($C$5:$C106,103-MA_MED):$C106),"")</f>
        <v>1014952.74</v>
      </c>
      <c r="K106" s="37" t="str">
        <f aca="false">IF(AND(ISNUMBER($G106),$G106&gt;=MA_LONG2),AVERAGE(INDEX($C$5:$C106,103-MA_LONG2):$C106),"")</f>
        <v/>
      </c>
      <c r="L106" s="38" t="n">
        <f aca="false">IF(AND(ISNUMBER($G106),$G106&gt;=21),STDEV(INDEX($H$46:$H106,62-20):$H106)*SQRT(245),"")</f>
        <v>0.116354361745152</v>
      </c>
      <c r="M106" s="37" t="n">
        <f aca="false">IF(AND(ISNUMBER($G106),$G106&gt;=60),MAX(INDEX($D$5:$D106,103-60):$D106),"")</f>
        <v>1101326</v>
      </c>
      <c r="N106" s="37" t="n">
        <f aca="false">IF(AND(ISNUMBER($G106),$G106&gt;=60),MIN(INDEX($E$5:$E106,103-60):$E106),"")</f>
        <v>928046</v>
      </c>
      <c r="O106" s="38" t="n">
        <f aca="false">IF(OR(NOT(ISNUMBER($C106)),NOT(ISNUMBER($M106)),$M106=0),"",$C106/$M106-1)</f>
        <v>-0.00320431915708885</v>
      </c>
    </row>
    <row r="107" customFormat="false" ht="15" hidden="false" customHeight="true" outlineLevel="0" collapsed="false">
      <c r="A107" s="32" t="n">
        <v>45712</v>
      </c>
      <c r="B107" s="33" t="s">
        <v>197</v>
      </c>
      <c r="C107" s="34" t="n">
        <v>1098742</v>
      </c>
      <c r="D107" s="34" t="n">
        <v>1099336</v>
      </c>
      <c r="E107" s="34" t="n">
        <v>1094398</v>
      </c>
      <c r="F107" s="34" t="n">
        <v>0</v>
      </c>
      <c r="G107" s="35" t="n">
        <f aca="false">IF($A107="","",IF(ISNUMBER($G106),$G106+1,1))</f>
        <v>103</v>
      </c>
      <c r="H107" s="36" t="n">
        <f aca="false">IF(OR(NOT(ISNUMBER($G107)),$G107&lt;2,NOT(ISNUMBER($C106)),$C106=0),"",$C107/$C106-1)</f>
        <v>0.000860814886540995</v>
      </c>
      <c r="I107" s="37" t="n">
        <f aca="false">IF(AND(ISNUMBER($G107),$G107&gt;=MA_SHORT),AVERAGE(INDEX($C$5:$C107,104-MA_SHORT):$C107),"")</f>
        <v>1053717.05</v>
      </c>
      <c r="J107" s="37" t="n">
        <f aca="false">IF(AND(ISNUMBER($G107),$G107&gt;=MA_MED),AVERAGE(INDEX($C$5:$C107,104-MA_MED):$C107),"")</f>
        <v>1018020.44</v>
      </c>
      <c r="K107" s="37" t="str">
        <f aca="false">IF(AND(ISNUMBER($G107),$G107&gt;=MA_LONG2),AVERAGE(INDEX($C$5:$C107,104-MA_LONG2):$C107),"")</f>
        <v/>
      </c>
      <c r="L107" s="38" t="n">
        <f aca="false">IF(AND(ISNUMBER($G107),$G107&gt;=21),STDEV(INDEX($H$47:$H107,62-20):$H107)*SQRT(245),"")</f>
        <v>0.116941534211107</v>
      </c>
      <c r="M107" s="37" t="n">
        <f aca="false">IF(AND(ISNUMBER($G107),$G107&gt;=60),MAX(INDEX($D$5:$D107,104-60):$D107),"")</f>
        <v>1101326</v>
      </c>
      <c r="N107" s="37" t="n">
        <f aca="false">IF(AND(ISNUMBER($G107),$G107&gt;=60),MIN(INDEX($E$5:$E107,104-60):$E107),"")</f>
        <v>928046</v>
      </c>
      <c r="O107" s="38" t="n">
        <f aca="false">IF(OR(NOT(ISNUMBER($C107)),NOT(ISNUMBER($M107)),$M107=0),"",$C107/$M107-1)</f>
        <v>-0.00234626259617954</v>
      </c>
    </row>
    <row r="108" customFormat="false" ht="15" hidden="false" customHeight="true" outlineLevel="0" collapsed="false">
      <c r="A108" s="32" t="n">
        <v>45713</v>
      </c>
      <c r="B108" s="33" t="s">
        <v>198</v>
      </c>
      <c r="C108" s="34" t="n">
        <v>1097470</v>
      </c>
      <c r="D108" s="34" t="n">
        <v>1100942</v>
      </c>
      <c r="E108" s="34" t="n">
        <v>1095614</v>
      </c>
      <c r="F108" s="34" t="n">
        <v>0</v>
      </c>
      <c r="G108" s="35" t="n">
        <f aca="false">IF($A108="","",IF(ISNUMBER($G107),$G107+1,1))</f>
        <v>104</v>
      </c>
      <c r="H108" s="36" t="n">
        <f aca="false">IF(OR(NOT(ISNUMBER($G108)),$G108&lt;2,NOT(ISNUMBER($C107)),$C107=0),"",$C108/$C107-1)</f>
        <v>-0.00115768761001223</v>
      </c>
      <c r="I108" s="37" t="n">
        <f aca="false">IF(AND(ISNUMBER($G108),$G108&gt;=MA_SHORT),AVERAGE(INDEX($C$5:$C108,105-MA_SHORT):$C108),"")</f>
        <v>1057821.15</v>
      </c>
      <c r="J108" s="37" t="n">
        <f aca="false">IF(AND(ISNUMBER($G108),$G108&gt;=MA_MED),AVERAGE(INDEX($C$5:$C108,105-MA_MED):$C108),"")</f>
        <v>1020798.94</v>
      </c>
      <c r="K108" s="37" t="str">
        <f aca="false">IF(AND(ISNUMBER($G108),$G108&gt;=MA_LONG2),AVERAGE(INDEX($C$5:$C108,105-MA_LONG2):$C108),"")</f>
        <v/>
      </c>
      <c r="L108" s="38" t="n">
        <f aca="false">IF(AND(ISNUMBER($G108),$G108&gt;=21),STDEV(INDEX($H$48:$H108,62-20):$H108)*SQRT(245),"")</f>
        <v>0.117986008904709</v>
      </c>
      <c r="M108" s="37" t="n">
        <f aca="false">IF(AND(ISNUMBER($G108),$G108&gt;=60),MAX(INDEX($D$5:$D108,105-60):$D108),"")</f>
        <v>1101326</v>
      </c>
      <c r="N108" s="37" t="n">
        <f aca="false">IF(AND(ISNUMBER($G108),$G108&gt;=60),MIN(INDEX($E$5:$E108,105-60):$E108),"")</f>
        <v>928046</v>
      </c>
      <c r="O108" s="38" t="n">
        <f aca="false">IF(OR(NOT(ISNUMBER($C108)),NOT(ISNUMBER($M108)),$M108=0),"",$C108/$M108-1)</f>
        <v>-0.00350123396705426</v>
      </c>
    </row>
    <row r="109" customFormat="false" ht="15" hidden="false" customHeight="true" outlineLevel="0" collapsed="false">
      <c r="A109" s="32" t="n">
        <v>45714</v>
      </c>
      <c r="B109" s="33" t="s">
        <v>199</v>
      </c>
      <c r="C109" s="34" t="n">
        <v>1091405</v>
      </c>
      <c r="D109" s="34" t="n">
        <v>1099019</v>
      </c>
      <c r="E109" s="34" t="n">
        <v>1090997</v>
      </c>
      <c r="F109" s="34" t="n">
        <v>0</v>
      </c>
      <c r="G109" s="35" t="n">
        <f aca="false">IF($A109="","",IF(ISNUMBER($G108),$G108+1,1))</f>
        <v>105</v>
      </c>
      <c r="H109" s="36" t="n">
        <f aca="false">IF(OR(NOT(ISNUMBER($G109)),$G109&lt;2,NOT(ISNUMBER($C108)),$C108=0),"",$C109/$C108-1)</f>
        <v>-0.00552634696164811</v>
      </c>
      <c r="I109" s="37" t="n">
        <f aca="false">IF(AND(ISNUMBER($G109),$G109&gt;=MA_SHORT),AVERAGE(INDEX($C$5:$C109,106-MA_SHORT):$C109),"")</f>
        <v>1061956.05</v>
      </c>
      <c r="J109" s="37" t="n">
        <f aca="false">IF(AND(ISNUMBER($G109),$G109&gt;=MA_MED),AVERAGE(INDEX($C$5:$C109,106-MA_MED):$C109),"")</f>
        <v>1023547.06</v>
      </c>
      <c r="K109" s="37" t="str">
        <f aca="false">IF(AND(ISNUMBER($G109),$G109&gt;=MA_LONG2),AVERAGE(INDEX($C$5:$C109,106-MA_LONG2):$C109),"")</f>
        <v/>
      </c>
      <c r="L109" s="38" t="n">
        <f aca="false">IF(AND(ISNUMBER($G109),$G109&gt;=21),STDEV(INDEX($H$49:$H109,62-20):$H109)*SQRT(245),"")</f>
        <v>0.116828985072445</v>
      </c>
      <c r="M109" s="37" t="n">
        <f aca="false">IF(AND(ISNUMBER($G109),$G109&gt;=60),MAX(INDEX($D$5:$D109,106-60):$D109),"")</f>
        <v>1101326</v>
      </c>
      <c r="N109" s="37" t="n">
        <f aca="false">IF(AND(ISNUMBER($G109),$G109&gt;=60),MIN(INDEX($E$5:$E109,106-60):$E109),"")</f>
        <v>928046</v>
      </c>
      <c r="O109" s="38" t="n">
        <f aca="false">IF(OR(NOT(ISNUMBER($C109)),NOT(ISNUMBER($M109)),$M109=0),"",$C109/$M109-1)</f>
        <v>-0.00900823189500655</v>
      </c>
    </row>
    <row r="110" customFormat="false" ht="15" hidden="false" customHeight="true" outlineLevel="0" collapsed="false">
      <c r="A110" s="32" t="n">
        <v>45717</v>
      </c>
      <c r="B110" s="33" t="s">
        <v>200</v>
      </c>
      <c r="C110" s="34" t="n">
        <v>1081253</v>
      </c>
      <c r="D110" s="34" t="n">
        <v>1081382</v>
      </c>
      <c r="E110" s="34" t="n">
        <v>1081208</v>
      </c>
      <c r="F110" s="34" t="n">
        <v>0</v>
      </c>
      <c r="G110" s="35" t="n">
        <f aca="false">IF($A110="","",IF(ISNUMBER($G109),$G109+1,1))</f>
        <v>106</v>
      </c>
      <c r="H110" s="36" t="n">
        <f aca="false">IF(OR(NOT(ISNUMBER($G110)),$G110&lt;2,NOT(ISNUMBER($C109)),$C109=0),"",$C110/$C109-1)</f>
        <v>-0.00930177156967393</v>
      </c>
      <c r="I110" s="37" t="n">
        <f aca="false">IF(AND(ISNUMBER($G110),$G110&gt;=MA_SHORT),AVERAGE(INDEX($C$5:$C110,107-MA_SHORT):$C110),"")</f>
        <v>1065242.6</v>
      </c>
      <c r="J110" s="37" t="n">
        <f aca="false">IF(AND(ISNUMBER($G110),$G110&gt;=MA_MED),AVERAGE(INDEX($C$5:$C110,107-MA_MED):$C110),"")</f>
        <v>1025733.84</v>
      </c>
      <c r="K110" s="37" t="str">
        <f aca="false">IF(AND(ISNUMBER($G110),$G110&gt;=MA_LONG2),AVERAGE(INDEX($C$5:$C110,107-MA_LONG2):$C110),"")</f>
        <v/>
      </c>
      <c r="L110" s="38" t="n">
        <f aca="false">IF(AND(ISNUMBER($G110),$G110&gt;=21),STDEV(INDEX($H$50:$H110,62-20):$H110)*SQRT(245),"")</f>
        <v>0.125122319156973</v>
      </c>
      <c r="M110" s="37" t="n">
        <f aca="false">IF(AND(ISNUMBER($G110),$G110&gt;=60),MAX(INDEX($D$5:$D110,107-60):$D110),"")</f>
        <v>1101326</v>
      </c>
      <c r="N110" s="37" t="n">
        <f aca="false">IF(AND(ISNUMBER($G110),$G110&gt;=60),MIN(INDEX($E$5:$E110,107-60):$E110),"")</f>
        <v>928046</v>
      </c>
      <c r="O110" s="38" t="n">
        <f aca="false">IF(OR(NOT(ISNUMBER($C110)),NOT(ISNUMBER($M110)),$M110=0),"",$C110/$M110-1)</f>
        <v>-0.0182262109493465</v>
      </c>
    </row>
    <row r="111" customFormat="false" ht="15" hidden="false" customHeight="true" outlineLevel="0" collapsed="false">
      <c r="A111" s="32" t="n">
        <v>45718</v>
      </c>
      <c r="B111" s="33" t="s">
        <v>201</v>
      </c>
      <c r="C111" s="34" t="n">
        <v>1079304</v>
      </c>
      <c r="D111" s="34" t="n">
        <v>1079327</v>
      </c>
      <c r="E111" s="34" t="n">
        <v>1075787</v>
      </c>
      <c r="F111" s="34" t="n">
        <v>0</v>
      </c>
      <c r="G111" s="35" t="n">
        <f aca="false">IF($A111="","",IF(ISNUMBER($G110),$G110+1,1))</f>
        <v>107</v>
      </c>
      <c r="H111" s="36" t="n">
        <f aca="false">IF(OR(NOT(ISNUMBER($G111)),$G111&lt;2,NOT(ISNUMBER($C110)),$C110=0),"",$C111/$C110-1)</f>
        <v>-0.0018025383513387</v>
      </c>
      <c r="I111" s="37" t="n">
        <f aca="false">IF(AND(ISNUMBER($G111),$G111&gt;=MA_SHORT),AVERAGE(INDEX($C$5:$C111,108-MA_SHORT):$C111),"")</f>
        <v>1067715.5</v>
      </c>
      <c r="J111" s="37" t="n">
        <f aca="false">IF(AND(ISNUMBER($G111),$G111&gt;=MA_MED),AVERAGE(INDEX($C$5:$C111,108-MA_MED):$C111),"")</f>
        <v>1027997.62</v>
      </c>
      <c r="K111" s="37" t="str">
        <f aca="false">IF(AND(ISNUMBER($G111),$G111&gt;=MA_LONG2),AVERAGE(INDEX($C$5:$C111,108-MA_LONG2):$C111),"")</f>
        <v/>
      </c>
      <c r="L111" s="38" t="n">
        <f aca="false">IF(AND(ISNUMBER($G111),$G111&gt;=21),STDEV(INDEX($H$51:$H111,62-20):$H111)*SQRT(245),"")</f>
        <v>0.119456413351903</v>
      </c>
      <c r="M111" s="37" t="n">
        <f aca="false">IF(AND(ISNUMBER($G111),$G111&gt;=60),MAX(INDEX($D$5:$D111,108-60):$D111),"")</f>
        <v>1101326</v>
      </c>
      <c r="N111" s="37" t="n">
        <f aca="false">IF(AND(ISNUMBER($G111),$G111&gt;=60),MIN(INDEX($E$5:$E111,108-60):$E111),"")</f>
        <v>928046</v>
      </c>
      <c r="O111" s="38" t="n">
        <f aca="false">IF(OR(NOT(ISNUMBER($C111)),NOT(ISNUMBER($M111)),$M111=0),"",$C111/$M111-1)</f>
        <v>-0.0199958958564495</v>
      </c>
    </row>
    <row r="112" customFormat="false" ht="15" hidden="false" customHeight="true" outlineLevel="0" collapsed="false">
      <c r="A112" s="32" t="n">
        <v>45719</v>
      </c>
      <c r="B112" s="33" t="s">
        <v>202</v>
      </c>
      <c r="C112" s="34" t="n">
        <v>1068131</v>
      </c>
      <c r="D112" s="34" t="n">
        <v>1070181</v>
      </c>
      <c r="E112" s="34" t="n">
        <v>1066876</v>
      </c>
      <c r="F112" s="34" t="n">
        <v>0</v>
      </c>
      <c r="G112" s="35" t="n">
        <f aca="false">IF($A112="","",IF(ISNUMBER($G111),$G111+1,1))</f>
        <v>108</v>
      </c>
      <c r="H112" s="36" t="n">
        <f aca="false">IF(OR(NOT(ISNUMBER($G112)),$G112&lt;2,NOT(ISNUMBER($C111)),$C111=0),"",$C112/$C111-1)</f>
        <v>-0.0103520416861237</v>
      </c>
      <c r="I112" s="37" t="n">
        <f aca="false">IF(AND(ISNUMBER($G112),$G112&gt;=MA_SHORT),AVERAGE(INDEX($C$5:$C112,109-MA_SHORT):$C112),"")</f>
        <v>1070072</v>
      </c>
      <c r="J112" s="37" t="n">
        <f aca="false">IF(AND(ISNUMBER($G112),$G112&gt;=MA_MED),AVERAGE(INDEX($C$5:$C112,109-MA_MED):$C112),"")</f>
        <v>1030029.12</v>
      </c>
      <c r="K112" s="37" t="str">
        <f aca="false">IF(AND(ISNUMBER($G112),$G112&gt;=MA_LONG2),AVERAGE(INDEX($C$5:$C112,109-MA_LONG2):$C112),"")</f>
        <v/>
      </c>
      <c r="L112" s="38" t="n">
        <f aca="false">IF(AND(ISNUMBER($G112),$G112&gt;=21),STDEV(INDEX($H$52:$H112,62-20):$H112)*SQRT(245),"")</f>
        <v>0.121682163875884</v>
      </c>
      <c r="M112" s="37" t="n">
        <f aca="false">IF(AND(ISNUMBER($G112),$G112&gt;=60),MAX(INDEX($D$5:$D112,109-60):$D112),"")</f>
        <v>1101326</v>
      </c>
      <c r="N112" s="37" t="n">
        <f aca="false">IF(AND(ISNUMBER($G112),$G112&gt;=60),MIN(INDEX($E$5:$E112,109-60):$E112),"")</f>
        <v>928046</v>
      </c>
      <c r="O112" s="38" t="n">
        <f aca="false">IF(OR(NOT(ISNUMBER($C112)),NOT(ISNUMBER($M112)),$M112=0),"",$C112/$M112-1)</f>
        <v>-0.0301409391951157</v>
      </c>
    </row>
    <row r="113" customFormat="false" ht="15" hidden="false" customHeight="true" outlineLevel="0" collapsed="false">
      <c r="A113" s="32" t="n">
        <v>45720</v>
      </c>
      <c r="B113" s="33" t="s">
        <v>203</v>
      </c>
      <c r="C113" s="34" t="n">
        <v>1062530</v>
      </c>
      <c r="D113" s="34" t="n">
        <v>1063332</v>
      </c>
      <c r="E113" s="34" t="n">
        <v>1060226</v>
      </c>
      <c r="F113" s="34" t="n">
        <v>0</v>
      </c>
      <c r="G113" s="35" t="n">
        <f aca="false">IF($A113="","",IF(ISNUMBER($G112),$G112+1,1))</f>
        <v>109</v>
      </c>
      <c r="H113" s="36" t="n">
        <f aca="false">IF(OR(NOT(ISNUMBER($G113)),$G113&lt;2,NOT(ISNUMBER($C112)),$C112=0),"",$C113/$C112-1)</f>
        <v>-0.00524373882978768</v>
      </c>
      <c r="I113" s="37" t="n">
        <f aca="false">IF(AND(ISNUMBER($G113),$G113&gt;=MA_SHORT),AVERAGE(INDEX($C$5:$C113,110-MA_SHORT):$C113),"")</f>
        <v>1071502.45</v>
      </c>
      <c r="J113" s="37" t="n">
        <f aca="false">IF(AND(ISNUMBER($G113),$G113&gt;=MA_MED),AVERAGE(INDEX($C$5:$C113,110-MA_MED):$C113),"")</f>
        <v>1031876.2</v>
      </c>
      <c r="K113" s="37" t="str">
        <f aca="false">IF(AND(ISNUMBER($G113),$G113&gt;=MA_LONG2),AVERAGE(INDEX($C$5:$C113,110-MA_LONG2):$C113),"")</f>
        <v/>
      </c>
      <c r="L113" s="38" t="n">
        <f aca="false">IF(AND(ISNUMBER($G113),$G113&gt;=21),STDEV(INDEX($H$53:$H113,62-20):$H113)*SQRT(245),"")</f>
        <v>0.118091620705408</v>
      </c>
      <c r="M113" s="37" t="n">
        <f aca="false">IF(AND(ISNUMBER($G113),$G113&gt;=60),MAX(INDEX($D$5:$D113,110-60):$D113),"")</f>
        <v>1101326</v>
      </c>
      <c r="N113" s="37" t="n">
        <f aca="false">IF(AND(ISNUMBER($G113),$G113&gt;=60),MIN(INDEX($E$5:$E113,110-60):$E113),"")</f>
        <v>938380</v>
      </c>
      <c r="O113" s="38" t="n">
        <f aca="false">IF(OR(NOT(ISNUMBER($C113)),NOT(ISNUMBER($M113)),$M113=0),"",$C113/$M113-1)</f>
        <v>-0.0352266268116798</v>
      </c>
    </row>
    <row r="114" customFormat="false" ht="15" hidden="false" customHeight="true" outlineLevel="0" collapsed="false">
      <c r="A114" s="32" t="n">
        <v>45721</v>
      </c>
      <c r="B114" s="33" t="s">
        <v>204</v>
      </c>
      <c r="C114" s="34" t="n">
        <v>1064017</v>
      </c>
      <c r="D114" s="34" t="n">
        <v>1064254</v>
      </c>
      <c r="E114" s="34" t="n">
        <v>1060069</v>
      </c>
      <c r="F114" s="34" t="n">
        <v>0</v>
      </c>
      <c r="G114" s="35" t="n">
        <f aca="false">IF($A114="","",IF(ISNUMBER($G113),$G113+1,1))</f>
        <v>110</v>
      </c>
      <c r="H114" s="36" t="n">
        <f aca="false">IF(OR(NOT(ISNUMBER($G114)),$G114&lt;2,NOT(ISNUMBER($C113)),$C113=0),"",$C114/$C113-1)</f>
        <v>0.00139948989675576</v>
      </c>
      <c r="I114" s="37" t="n">
        <f aca="false">IF(AND(ISNUMBER($G114),$G114&gt;=MA_SHORT),AVERAGE(INDEX($C$5:$C114,111-MA_SHORT):$C114),"")</f>
        <v>1072600.1</v>
      </c>
      <c r="J114" s="37" t="n">
        <f aca="false">IF(AND(ISNUMBER($G114),$G114&gt;=MA_MED),AVERAGE(INDEX($C$5:$C114,111-MA_MED):$C114),"")</f>
        <v>1033414.1</v>
      </c>
      <c r="K114" s="37" t="str">
        <f aca="false">IF(AND(ISNUMBER($G114),$G114&gt;=MA_LONG2),AVERAGE(INDEX($C$5:$C114,111-MA_LONG2):$C114),"")</f>
        <v/>
      </c>
      <c r="L114" s="38" t="n">
        <f aca="false">IF(AND(ISNUMBER($G114),$G114&gt;=21),STDEV(INDEX($H$54:$H114,62-20):$H114)*SQRT(245),"")</f>
        <v>0.115657252359506</v>
      </c>
      <c r="M114" s="37" t="n">
        <f aca="false">IF(AND(ISNUMBER($G114),$G114&gt;=60),MAX(INDEX($D$5:$D114,111-60):$D114),"")</f>
        <v>1101326</v>
      </c>
      <c r="N114" s="37" t="n">
        <f aca="false">IF(AND(ISNUMBER($G114),$G114&gt;=60),MIN(INDEX($E$5:$E114,111-60):$E114),"")</f>
        <v>941591</v>
      </c>
      <c r="O114" s="38" t="n">
        <f aca="false">IF(OR(NOT(ISNUMBER($C114)),NOT(ISNUMBER($M114)),$M114=0),"",$C114/$M114-1)</f>
        <v>-0.0338764362232437</v>
      </c>
    </row>
    <row r="115" customFormat="false" ht="15" hidden="false" customHeight="true" outlineLevel="0" collapsed="false">
      <c r="A115" s="32" t="n">
        <v>45724</v>
      </c>
      <c r="B115" s="33" t="s">
        <v>205</v>
      </c>
      <c r="C115" s="34" t="n">
        <v>1061113</v>
      </c>
      <c r="D115" s="34" t="n">
        <v>1063181</v>
      </c>
      <c r="E115" s="34" t="n">
        <v>1054813</v>
      </c>
      <c r="F115" s="34" t="n">
        <v>0</v>
      </c>
      <c r="G115" s="35" t="n">
        <f aca="false">IF($A115="","",IF(ISNUMBER($G114),$G114+1,1))</f>
        <v>111</v>
      </c>
      <c r="H115" s="36" t="n">
        <f aca="false">IF(OR(NOT(ISNUMBER($G115)),$G115&lt;2,NOT(ISNUMBER($C114)),$C114=0),"",$C115/$C114-1)</f>
        <v>-0.00272927970135817</v>
      </c>
      <c r="I115" s="37" t="n">
        <f aca="false">IF(AND(ISNUMBER($G115),$G115&gt;=MA_SHORT),AVERAGE(INDEX($C$5:$C115,112-MA_SHORT):$C115),"")</f>
        <v>1073322.85</v>
      </c>
      <c r="J115" s="37" t="n">
        <f aca="false">IF(AND(ISNUMBER($G115),$G115&gt;=MA_MED),AVERAGE(INDEX($C$5:$C115,112-MA_MED):$C115),"")</f>
        <v>1034835.24</v>
      </c>
      <c r="K115" s="37" t="str">
        <f aca="false">IF(AND(ISNUMBER($G115),$G115&gt;=MA_LONG2),AVERAGE(INDEX($C$5:$C115,112-MA_LONG2):$C115),"")</f>
        <v/>
      </c>
      <c r="L115" s="38" t="n">
        <f aca="false">IF(AND(ISNUMBER($G115),$G115&gt;=21),STDEV(INDEX($H$55:$H115,62-20):$H115)*SQRT(245),"")</f>
        <v>0.115697629117801</v>
      </c>
      <c r="M115" s="37" t="n">
        <f aca="false">IF(AND(ISNUMBER($G115),$G115&gt;=60),MAX(INDEX($D$5:$D115,112-60):$D115),"")</f>
        <v>1101326</v>
      </c>
      <c r="N115" s="37" t="n">
        <f aca="false">IF(AND(ISNUMBER($G115),$G115&gt;=60),MIN(INDEX($E$5:$E115,112-60):$E115),"")</f>
        <v>941591</v>
      </c>
      <c r="O115" s="38" t="n">
        <f aca="false">IF(OR(NOT(ISNUMBER($C115)),NOT(ISNUMBER($M115)),$M115=0),"",$C115/$M115-1)</f>
        <v>-0.0365132576548634</v>
      </c>
    </row>
    <row r="116" customFormat="false" ht="15" hidden="false" customHeight="true" outlineLevel="0" collapsed="false">
      <c r="A116" s="32" t="n">
        <v>45725</v>
      </c>
      <c r="B116" s="33" t="s">
        <v>206</v>
      </c>
      <c r="C116" s="34" t="n">
        <v>1060653</v>
      </c>
      <c r="D116" s="34" t="n">
        <v>1061401</v>
      </c>
      <c r="E116" s="34" t="n">
        <v>1060082</v>
      </c>
      <c r="F116" s="34" t="n">
        <v>0</v>
      </c>
      <c r="G116" s="35" t="n">
        <f aca="false">IF($A116="","",IF(ISNUMBER($G115),$G115+1,1))</f>
        <v>112</v>
      </c>
      <c r="H116" s="36" t="n">
        <f aca="false">IF(OR(NOT(ISNUMBER($G116)),$G116&lt;2,NOT(ISNUMBER($C115)),$C115=0),"",$C116/$C115-1)</f>
        <v>-0.00043350708171519</v>
      </c>
      <c r="I116" s="37" t="n">
        <f aca="false">IF(AND(ISNUMBER($G116),$G116&gt;=MA_SHORT),AVERAGE(INDEX($C$5:$C116,113-MA_SHORT):$C116),"")</f>
        <v>1073309.15</v>
      </c>
      <c r="J116" s="37" t="n">
        <f aca="false">IF(AND(ISNUMBER($G116),$G116&gt;=MA_MED),AVERAGE(INDEX($C$5:$C116,113-MA_MED):$C116),"")</f>
        <v>1036366.98</v>
      </c>
      <c r="K116" s="37" t="str">
        <f aca="false">IF(AND(ISNUMBER($G116),$G116&gt;=MA_LONG2),AVERAGE(INDEX($C$5:$C116,113-MA_LONG2):$C116),"")</f>
        <v/>
      </c>
      <c r="L116" s="38" t="n">
        <f aca="false">IF(AND(ISNUMBER($G116),$G116&gt;=21),STDEV(INDEX($H$56:$H116,62-20):$H116)*SQRT(245),"")</f>
        <v>0.105463227058064</v>
      </c>
      <c r="M116" s="37" t="n">
        <f aca="false">IF(AND(ISNUMBER($G116),$G116&gt;=60),MAX(INDEX($D$5:$D116,113-60):$D116),"")</f>
        <v>1101326</v>
      </c>
      <c r="N116" s="37" t="n">
        <f aca="false">IF(AND(ISNUMBER($G116),$G116&gt;=60),MIN(INDEX($E$5:$E116,113-60):$E116),"")</f>
        <v>943205</v>
      </c>
      <c r="O116" s="38" t="n">
        <f aca="false">IF(OR(NOT(ISNUMBER($C116)),NOT(ISNUMBER($M116)),$M116=0),"",$C116/$M116-1)</f>
        <v>-0.0369309359808085</v>
      </c>
    </row>
    <row r="117" customFormat="false" ht="15" hidden="false" customHeight="true" outlineLevel="0" collapsed="false">
      <c r="A117" s="32" t="n">
        <v>45726</v>
      </c>
      <c r="B117" s="33" t="s">
        <v>207</v>
      </c>
      <c r="C117" s="34" t="n">
        <v>1059812</v>
      </c>
      <c r="D117" s="34" t="n">
        <v>1061062</v>
      </c>
      <c r="E117" s="34" t="n">
        <v>1055276</v>
      </c>
      <c r="F117" s="34" t="n">
        <v>0</v>
      </c>
      <c r="G117" s="35" t="n">
        <f aca="false">IF($A117="","",IF(ISNUMBER($G116),$G116+1,1))</f>
        <v>113</v>
      </c>
      <c r="H117" s="36" t="n">
        <f aca="false">IF(OR(NOT(ISNUMBER($G117)),$G117&lt;2,NOT(ISNUMBER($C116)),$C116=0),"",$C117/$C116-1)</f>
        <v>-0.000792907765310602</v>
      </c>
      <c r="I117" s="37" t="n">
        <f aca="false">IF(AND(ISNUMBER($G117),$G117&gt;=MA_SHORT),AVERAGE(INDEX($C$5:$C117,114-MA_SHORT):$C117),"")</f>
        <v>1073385.8</v>
      </c>
      <c r="J117" s="37" t="n">
        <f aca="false">IF(AND(ISNUMBER($G117),$G117&gt;=MA_MED),AVERAGE(INDEX($C$5:$C117,114-MA_MED):$C117),"")</f>
        <v>1037559.02</v>
      </c>
      <c r="K117" s="37" t="str">
        <f aca="false">IF(AND(ISNUMBER($G117),$G117&gt;=MA_LONG2),AVERAGE(INDEX($C$5:$C117,114-MA_LONG2):$C117),"")</f>
        <v/>
      </c>
      <c r="L117" s="38" t="n">
        <f aca="false">IF(AND(ISNUMBER($G117),$G117&gt;=21),STDEV(INDEX($H$57:$H117,62-20):$H117)*SQRT(245),"")</f>
        <v>0.105109565911661</v>
      </c>
      <c r="M117" s="37" t="n">
        <f aca="false">IF(AND(ISNUMBER($G117),$G117&gt;=60),MAX(INDEX($D$5:$D117,114-60):$D117),"")</f>
        <v>1101326</v>
      </c>
      <c r="N117" s="37" t="n">
        <f aca="false">IF(AND(ISNUMBER($G117),$G117&gt;=60),MIN(INDEX($E$5:$E117,114-60):$E117),"")</f>
        <v>953122</v>
      </c>
      <c r="O117" s="38" t="n">
        <f aca="false">IF(OR(NOT(ISNUMBER($C117)),NOT(ISNUMBER($M117)),$M117=0),"",$C117/$M117-1)</f>
        <v>-0.0376945609201999</v>
      </c>
    </row>
    <row r="118" customFormat="false" ht="15" hidden="false" customHeight="true" outlineLevel="0" collapsed="false">
      <c r="A118" s="32" t="n">
        <v>45727</v>
      </c>
      <c r="B118" s="33" t="s">
        <v>208</v>
      </c>
      <c r="C118" s="34" t="n">
        <v>1060376</v>
      </c>
      <c r="D118" s="34" t="n">
        <v>1062228</v>
      </c>
      <c r="E118" s="34" t="n">
        <v>1054977</v>
      </c>
      <c r="F118" s="34" t="n">
        <v>0</v>
      </c>
      <c r="G118" s="35" t="n">
        <f aca="false">IF($A118="","",IF(ISNUMBER($G117),$G117+1,1))</f>
        <v>114</v>
      </c>
      <c r="H118" s="36" t="n">
        <f aca="false">IF(OR(NOT(ISNUMBER($G118)),$G118&lt;2,NOT(ISNUMBER($C117)),$C117=0),"",$C118/$C117-1)</f>
        <v>0.000532169856540588</v>
      </c>
      <c r="I118" s="37" t="n">
        <f aca="false">IF(AND(ISNUMBER($G118),$G118&gt;=MA_SHORT),AVERAGE(INDEX($C$5:$C118,115-MA_SHORT):$C118),"")</f>
        <v>1073220.65</v>
      </c>
      <c r="J118" s="37" t="n">
        <f aca="false">IF(AND(ISNUMBER($G118),$G118&gt;=MA_MED),AVERAGE(INDEX($C$5:$C118,115-MA_MED):$C118),"")</f>
        <v>1038799.94</v>
      </c>
      <c r="K118" s="37" t="str">
        <f aca="false">IF(AND(ISNUMBER($G118),$G118&gt;=MA_LONG2),AVERAGE(INDEX($C$5:$C118,115-MA_LONG2):$C118),"")</f>
        <v/>
      </c>
      <c r="L118" s="38" t="n">
        <f aca="false">IF(AND(ISNUMBER($G118),$G118&gt;=21),STDEV(INDEX($H$58:$H118,62-20):$H118)*SQRT(245),"")</f>
        <v>0.103506134916941</v>
      </c>
      <c r="M118" s="37" t="n">
        <f aca="false">IF(AND(ISNUMBER($G118),$G118&gt;=60),MAX(INDEX($D$5:$D118,115-60):$D118),"")</f>
        <v>1101326</v>
      </c>
      <c r="N118" s="37" t="n">
        <f aca="false">IF(AND(ISNUMBER($G118),$G118&gt;=60),MIN(INDEX($E$5:$E118,115-60):$E118),"")</f>
        <v>953122</v>
      </c>
      <c r="O118" s="38" t="n">
        <f aca="false">IF(OR(NOT(ISNUMBER($C118)),NOT(ISNUMBER($M118)),$M118=0),"",$C118/$M118-1)</f>
        <v>-0.0371824509727365</v>
      </c>
    </row>
    <row r="119" customFormat="false" ht="15" hidden="false" customHeight="true" outlineLevel="0" collapsed="false">
      <c r="A119" s="32" t="n">
        <v>45728</v>
      </c>
      <c r="B119" s="33" t="s">
        <v>209</v>
      </c>
      <c r="C119" s="34" t="n">
        <v>1069809</v>
      </c>
      <c r="D119" s="34" t="n">
        <v>1071159</v>
      </c>
      <c r="E119" s="34" t="n">
        <v>1069211</v>
      </c>
      <c r="F119" s="34" t="n">
        <v>0</v>
      </c>
      <c r="G119" s="35" t="n">
        <f aca="false">IF($A119="","",IF(ISNUMBER($G118),$G118+1,1))</f>
        <v>115</v>
      </c>
      <c r="H119" s="36" t="n">
        <f aca="false">IF(OR(NOT(ISNUMBER($G119)),$G119&lt;2,NOT(ISNUMBER($C118)),$C118=0),"",$C119/$C118-1)</f>
        <v>0.00889590107659921</v>
      </c>
      <c r="I119" s="37" t="n">
        <f aca="false">IF(AND(ISNUMBER($G119),$G119&gt;=MA_SHORT),AVERAGE(INDEX($C$5:$C119,116-MA_SHORT):$C119),"")</f>
        <v>1073375.4</v>
      </c>
      <c r="J119" s="37" t="n">
        <f aca="false">IF(AND(ISNUMBER($G119),$G119&gt;=MA_MED),AVERAGE(INDEX($C$5:$C119,116-MA_MED):$C119),"")</f>
        <v>1040156.3</v>
      </c>
      <c r="K119" s="37" t="str">
        <f aca="false">IF(AND(ISNUMBER($G119),$G119&gt;=MA_LONG2),AVERAGE(INDEX($C$5:$C119,116-MA_LONG2):$C119),"")</f>
        <v/>
      </c>
      <c r="L119" s="38" t="n">
        <f aca="false">IF(AND(ISNUMBER($G119),$G119&gt;=21),STDEV(INDEX($H$59:$H119,62-20):$H119)*SQRT(245),"")</f>
        <v>0.107826012867261</v>
      </c>
      <c r="M119" s="37" t="n">
        <f aca="false">IF(AND(ISNUMBER($G119),$G119&gt;=60),MAX(INDEX($D$5:$D119,116-60):$D119),"")</f>
        <v>1101326</v>
      </c>
      <c r="N119" s="37" t="n">
        <f aca="false">IF(AND(ISNUMBER($G119),$G119&gt;=60),MIN(INDEX($E$5:$E119,116-60):$E119),"")</f>
        <v>965855</v>
      </c>
      <c r="O119" s="38" t="n">
        <f aca="false">IF(OR(NOT(ISNUMBER($C119)),NOT(ISNUMBER($M119)),$M119=0),"",$C119/$M119-1)</f>
        <v>-0.0286173213017762</v>
      </c>
    </row>
    <row r="120" customFormat="false" ht="15" hidden="false" customHeight="true" outlineLevel="0" collapsed="false">
      <c r="A120" s="32" t="n">
        <v>45731</v>
      </c>
      <c r="B120" s="33" t="s">
        <v>210</v>
      </c>
      <c r="C120" s="34" t="n">
        <v>1078439</v>
      </c>
      <c r="D120" s="34" t="n">
        <v>1080850</v>
      </c>
      <c r="E120" s="34" t="n">
        <v>1074997</v>
      </c>
      <c r="F120" s="34" t="n">
        <v>0</v>
      </c>
      <c r="G120" s="35" t="n">
        <f aca="false">IF($A120="","",IF(ISNUMBER($G119),$G119+1,1))</f>
        <v>116</v>
      </c>
      <c r="H120" s="36" t="n">
        <f aca="false">IF(OR(NOT(ISNUMBER($G120)),$G120&lt;2,NOT(ISNUMBER($C119)),$C119=0),"",$C120/$C119-1)</f>
        <v>0.0080668605330485</v>
      </c>
      <c r="I120" s="37" t="n">
        <f aca="false">IF(AND(ISNUMBER($G120),$G120&gt;=MA_SHORT),AVERAGE(INDEX($C$5:$C120,117-MA_SHORT):$C120),"")</f>
        <v>1073934.65</v>
      </c>
      <c r="J120" s="37" t="n">
        <f aca="false">IF(AND(ISNUMBER($G120),$G120&gt;=MA_MED),AVERAGE(INDEX($C$5:$C120,117-MA_MED):$C120),"")</f>
        <v>1041397.56</v>
      </c>
      <c r="K120" s="37" t="str">
        <f aca="false">IF(AND(ISNUMBER($G120),$G120&gt;=MA_LONG2),AVERAGE(INDEX($C$5:$C120,117-MA_LONG2):$C120),"")</f>
        <v/>
      </c>
      <c r="L120" s="38" t="n">
        <f aca="false">IF(AND(ISNUMBER($G120),$G120&gt;=21),STDEV(INDEX($H$60:$H120,62-20):$H120)*SQRT(245),"")</f>
        <v>0.111322813017657</v>
      </c>
      <c r="M120" s="37" t="n">
        <f aca="false">IF(AND(ISNUMBER($G120),$G120&gt;=60),MAX(INDEX($D$5:$D120,117-60):$D120),"")</f>
        <v>1101326</v>
      </c>
      <c r="N120" s="37" t="n">
        <f aca="false">IF(AND(ISNUMBER($G120),$G120&gt;=60),MIN(INDEX($E$5:$E120,117-60):$E120),"")</f>
        <v>965855</v>
      </c>
      <c r="O120" s="38" t="n">
        <f aca="false">IF(OR(NOT(ISNUMBER($C120)),NOT(ISNUMBER($M120)),$M120=0),"",$C120/$M120-1)</f>
        <v>-0.0207813127084987</v>
      </c>
    </row>
    <row r="121" customFormat="false" ht="15" hidden="false" customHeight="true" outlineLevel="0" collapsed="false">
      <c r="A121" s="32" t="n">
        <v>45732</v>
      </c>
      <c r="B121" s="33" t="s">
        <v>211</v>
      </c>
      <c r="C121" s="34" t="n">
        <v>1085786</v>
      </c>
      <c r="D121" s="34" t="n">
        <v>1086731</v>
      </c>
      <c r="E121" s="34" t="n">
        <v>1083605</v>
      </c>
      <c r="F121" s="34" t="n">
        <v>0</v>
      </c>
      <c r="G121" s="35" t="n">
        <f aca="false">IF($A121="","",IF(ISNUMBER($G120),$G120+1,1))</f>
        <v>117</v>
      </c>
      <c r="H121" s="36" t="n">
        <f aca="false">IF(OR(NOT(ISNUMBER($G121)),$G121&lt;2,NOT(ISNUMBER($C120)),$C120=0),"",$C121/$C120-1)</f>
        <v>0.00681262454343723</v>
      </c>
      <c r="I121" s="37" t="n">
        <f aca="false">IF(AND(ISNUMBER($G121),$G121&gt;=MA_SHORT),AVERAGE(INDEX($C$5:$C121,118-MA_SHORT):$C121),"")</f>
        <v>1074783.65</v>
      </c>
      <c r="J121" s="37" t="n">
        <f aca="false">IF(AND(ISNUMBER($G121),$G121&gt;=MA_MED),AVERAGE(INDEX($C$5:$C121,118-MA_MED):$C121),"")</f>
        <v>1042789.44</v>
      </c>
      <c r="K121" s="37" t="str">
        <f aca="false">IF(AND(ISNUMBER($G121),$G121&gt;=MA_LONG2),AVERAGE(INDEX($C$5:$C121,118-MA_LONG2):$C121),"")</f>
        <v/>
      </c>
      <c r="L121" s="38" t="n">
        <f aca="false">IF(AND(ISNUMBER($G121),$G121&gt;=21),STDEV(INDEX($H$61:$H121,62-20):$H121)*SQRT(245),"")</f>
        <v>0.113446402633743</v>
      </c>
      <c r="M121" s="37" t="n">
        <f aca="false">IF(AND(ISNUMBER($G121),$G121&gt;=60),MAX(INDEX($D$5:$D121,118-60):$D121),"")</f>
        <v>1101326</v>
      </c>
      <c r="N121" s="37" t="n">
        <f aca="false">IF(AND(ISNUMBER($G121),$G121&gt;=60),MIN(INDEX($E$5:$E121,118-60):$E121),"")</f>
        <v>965855</v>
      </c>
      <c r="O121" s="38" t="n">
        <f aca="false">IF(OR(NOT(ISNUMBER($C121)),NOT(ISNUMBER($M121)),$M121=0),"",$C121/$M121-1)</f>
        <v>-0.0141102634460641</v>
      </c>
    </row>
    <row r="122" customFormat="false" ht="15" hidden="false" customHeight="true" outlineLevel="0" collapsed="false">
      <c r="A122" s="32" t="n">
        <v>45733</v>
      </c>
      <c r="B122" s="33" t="s">
        <v>212</v>
      </c>
      <c r="C122" s="34" t="n">
        <v>1084969</v>
      </c>
      <c r="D122" s="34" t="n">
        <v>1088966</v>
      </c>
      <c r="E122" s="34" t="n">
        <v>1083604</v>
      </c>
      <c r="F122" s="34" t="n">
        <v>0</v>
      </c>
      <c r="G122" s="35" t="n">
        <f aca="false">IF($A122="","",IF(ISNUMBER($G121),$G121+1,1))</f>
        <v>118</v>
      </c>
      <c r="H122" s="36" t="n">
        <f aca="false">IF(OR(NOT(ISNUMBER($G122)),$G122&lt;2,NOT(ISNUMBER($C121)),$C121=0),"",$C122/$C121-1)</f>
        <v>-0.000752450298677654</v>
      </c>
      <c r="I122" s="37" t="n">
        <f aca="false">IF(AND(ISNUMBER($G122),$G122&gt;=MA_SHORT),AVERAGE(INDEX($C$5:$C122,119-MA_SHORT):$C122),"")</f>
        <v>1076179.85</v>
      </c>
      <c r="J122" s="37" t="n">
        <f aca="false">IF(AND(ISNUMBER($G122),$G122&gt;=MA_MED),AVERAGE(INDEX($C$5:$C122,119-MA_MED):$C122),"")</f>
        <v>1044485.1</v>
      </c>
      <c r="K122" s="37" t="str">
        <f aca="false">IF(AND(ISNUMBER($G122),$G122&gt;=MA_LONG2),AVERAGE(INDEX($C$5:$C122,119-MA_LONG2):$C122),"")</f>
        <v/>
      </c>
      <c r="L122" s="38" t="n">
        <f aca="false">IF(AND(ISNUMBER($G122),$G122&gt;=21),STDEV(INDEX($H$62:$H122,62-20):$H122)*SQRT(245),"")</f>
        <v>0.105039245539825</v>
      </c>
      <c r="M122" s="37" t="n">
        <f aca="false">IF(AND(ISNUMBER($G122),$G122&gt;=60),MAX(INDEX($D$5:$D122,119-60):$D122),"")</f>
        <v>1101326</v>
      </c>
      <c r="N122" s="37" t="n">
        <f aca="false">IF(AND(ISNUMBER($G122),$G122&gt;=60),MIN(INDEX($E$5:$E122,119-60):$E122),"")</f>
        <v>965855</v>
      </c>
      <c r="O122" s="38" t="n">
        <f aca="false">IF(OR(NOT(ISNUMBER($C122)),NOT(ISNUMBER($M122)),$M122=0),"",$C122/$M122-1)</f>
        <v>-0.0148520964727973</v>
      </c>
    </row>
    <row r="123" customFormat="false" ht="15" hidden="false" customHeight="true" outlineLevel="0" collapsed="false">
      <c r="A123" s="32" t="n">
        <v>45734</v>
      </c>
      <c r="B123" s="33" t="s">
        <v>213</v>
      </c>
      <c r="C123" s="34" t="n">
        <v>1082861</v>
      </c>
      <c r="D123" s="34" t="n">
        <v>1083021</v>
      </c>
      <c r="E123" s="34" t="n">
        <v>1082071</v>
      </c>
      <c r="F123" s="34" t="n">
        <v>0</v>
      </c>
      <c r="G123" s="35" t="n">
        <f aca="false">IF($A123="","",IF(ISNUMBER($G122),$G122+1,1))</f>
        <v>119</v>
      </c>
      <c r="H123" s="36" t="n">
        <f aca="false">IF(OR(NOT(ISNUMBER($G123)),$G123&lt;2,NOT(ISNUMBER($C122)),$C122=0),"",$C123/$C122-1)</f>
        <v>-0.0019429126546473</v>
      </c>
      <c r="I123" s="37" t="n">
        <f aca="false">IF(AND(ISNUMBER($G123),$G123&gt;=MA_SHORT),AVERAGE(INDEX($C$5:$C123,120-MA_SHORT):$C123),"")</f>
        <v>1077283.1</v>
      </c>
      <c r="J123" s="37" t="n">
        <f aca="false">IF(AND(ISNUMBER($G123),$G123&gt;=MA_MED),AVERAGE(INDEX($C$5:$C123,120-MA_MED):$C123),"")</f>
        <v>1045879.48</v>
      </c>
      <c r="K123" s="37" t="str">
        <f aca="false">IF(AND(ISNUMBER($G123),$G123&gt;=MA_LONG2),AVERAGE(INDEX($C$5:$C123,120-MA_LONG2):$C123),"")</f>
        <v/>
      </c>
      <c r="L123" s="38" t="n">
        <f aca="false">IF(AND(ISNUMBER($G123),$G123&gt;=21),STDEV(INDEX($H$63:$H123,62-20):$H123)*SQRT(245),"")</f>
        <v>0.105298996830767</v>
      </c>
      <c r="M123" s="37" t="n">
        <f aca="false">IF(AND(ISNUMBER($G123),$G123&gt;=60),MAX(INDEX($D$5:$D123,120-60):$D123),"")</f>
        <v>1101326</v>
      </c>
      <c r="N123" s="37" t="n">
        <f aca="false">IF(AND(ISNUMBER($G123),$G123&gt;=60),MIN(INDEX($E$5:$E123,120-60):$E123),"")</f>
        <v>981481</v>
      </c>
      <c r="O123" s="38" t="n">
        <f aca="false">IF(OR(NOT(ISNUMBER($C123)),NOT(ISNUMBER($M123)),$M123=0),"",$C123/$M123-1)</f>
        <v>-0.0167661528012596</v>
      </c>
    </row>
    <row r="124" customFormat="false" ht="15" hidden="false" customHeight="true" outlineLevel="0" collapsed="false">
      <c r="A124" s="32" t="n">
        <v>45735</v>
      </c>
      <c r="B124" s="33" t="s">
        <v>214</v>
      </c>
      <c r="C124" s="34" t="n">
        <v>1091183</v>
      </c>
      <c r="D124" s="34" t="n">
        <v>1092227</v>
      </c>
      <c r="E124" s="34" t="n">
        <v>1090605</v>
      </c>
      <c r="F124" s="34" t="n">
        <v>0</v>
      </c>
      <c r="G124" s="35" t="n">
        <f aca="false">IF($A124="","",IF(ISNUMBER($G123),$G123+1,1))</f>
        <v>120</v>
      </c>
      <c r="H124" s="36" t="n">
        <f aca="false">IF(OR(NOT(ISNUMBER($G124)),$G124&lt;2,NOT(ISNUMBER($C123)),$C123=0),"",$C124/$C123-1)</f>
        <v>0.00768519689969449</v>
      </c>
      <c r="I124" s="37" t="n">
        <f aca="false">IF(AND(ISNUMBER($G124),$G124&gt;=MA_SHORT),AVERAGE(INDEX($C$5:$C124,121-MA_SHORT):$C124),"")</f>
        <v>1078025.65</v>
      </c>
      <c r="J124" s="37" t="n">
        <f aca="false">IF(AND(ISNUMBER($G124),$G124&gt;=MA_MED),AVERAGE(INDEX($C$5:$C124,121-MA_MED):$C124),"")</f>
        <v>1047854.22</v>
      </c>
      <c r="K124" s="37" t="str">
        <f aca="false">IF(AND(ISNUMBER($G124),$G124&gt;=MA_LONG2),AVERAGE(INDEX($C$5:$C124,121-MA_LONG2):$C124),"")</f>
        <v/>
      </c>
      <c r="L124" s="38" t="n">
        <f aca="false">IF(AND(ISNUMBER($G124),$G124&gt;=21),STDEV(INDEX($H$64:$H124,62-20):$H124)*SQRT(245),"")</f>
        <v>0.0961307081301305</v>
      </c>
      <c r="M124" s="37" t="n">
        <f aca="false">IF(AND(ISNUMBER($G124),$G124&gt;=60),MAX(INDEX($D$5:$D124,121-60):$D124),"")</f>
        <v>1101326</v>
      </c>
      <c r="N124" s="37" t="n">
        <f aca="false">IF(AND(ISNUMBER($G124),$G124&gt;=60),MIN(INDEX($E$5:$E124,121-60):$E124),"")</f>
        <v>981481</v>
      </c>
      <c r="O124" s="38" t="n">
        <f aca="false">IF(OR(NOT(ISNUMBER($C124)),NOT(ISNUMBER($M124)),$M124=0),"",$C124/$M124-1)</f>
        <v>-0.00920980708709318</v>
      </c>
    </row>
    <row r="125" customFormat="false" ht="15" hidden="false" customHeight="true" outlineLevel="0" collapsed="false">
      <c r="A125" s="32" t="n">
        <v>45738</v>
      </c>
      <c r="B125" s="33" t="s">
        <v>215</v>
      </c>
      <c r="C125" s="34" t="n">
        <v>1097011</v>
      </c>
      <c r="D125" s="34" t="n">
        <v>1099466</v>
      </c>
      <c r="E125" s="34" t="n">
        <v>1094097</v>
      </c>
      <c r="F125" s="34" t="n">
        <v>0</v>
      </c>
      <c r="G125" s="35" t="n">
        <f aca="false">IF($A125="","",IF(ISNUMBER($G124),$G124+1,1))</f>
        <v>121</v>
      </c>
      <c r="H125" s="36" t="n">
        <f aca="false">IF(OR(NOT(ISNUMBER($G125)),$G125&lt;2,NOT(ISNUMBER($C124)),$C124=0),"",$C125/$C124-1)</f>
        <v>0.00534099229918361</v>
      </c>
      <c r="I125" s="37" t="n">
        <f aca="false">IF(AND(ISNUMBER($G125),$G125&gt;=MA_SHORT),AVERAGE(INDEX($C$5:$C125,122-MA_SHORT):$C125),"")</f>
        <v>1078633.05</v>
      </c>
      <c r="J125" s="37" t="n">
        <f aca="false">IF(AND(ISNUMBER($G125),$G125&gt;=MA_MED),AVERAGE(INDEX($C$5:$C125,122-MA_MED):$C125),"")</f>
        <v>1050021.24</v>
      </c>
      <c r="K125" s="37" t="str">
        <f aca="false">IF(AND(ISNUMBER($G125),$G125&gt;=MA_LONG2),AVERAGE(INDEX($C$5:$C125,122-MA_LONG2):$C125),"")</f>
        <v/>
      </c>
      <c r="L125" s="38" t="n">
        <f aca="false">IF(AND(ISNUMBER($G125),$G125&gt;=21),STDEV(INDEX($H$65:$H125,62-20):$H125)*SQRT(245),"")</f>
        <v>0.0940290595330638</v>
      </c>
      <c r="M125" s="37" t="n">
        <f aca="false">IF(AND(ISNUMBER($G125),$G125&gt;=60),MAX(INDEX($D$5:$D125,122-60):$D125),"")</f>
        <v>1101326</v>
      </c>
      <c r="N125" s="37" t="n">
        <f aca="false">IF(AND(ISNUMBER($G125),$G125&gt;=60),MIN(INDEX($E$5:$E125,122-60):$E125),"")</f>
        <v>981481</v>
      </c>
      <c r="O125" s="38" t="n">
        <f aca="false">IF(OR(NOT(ISNUMBER($C125)),NOT(ISNUMBER($M125)),$M125=0),"",$C125/$M125-1)</f>
        <v>-0.0039180042966388</v>
      </c>
    </row>
    <row r="126" customFormat="false" ht="15" hidden="false" customHeight="true" outlineLevel="0" collapsed="false">
      <c r="A126" s="32" t="n">
        <v>45739</v>
      </c>
      <c r="B126" s="33" t="s">
        <v>216</v>
      </c>
      <c r="C126" s="34" t="n">
        <v>1097499</v>
      </c>
      <c r="D126" s="34" t="n">
        <v>1100614</v>
      </c>
      <c r="E126" s="34" t="n">
        <v>1094155</v>
      </c>
      <c r="F126" s="34" t="n">
        <v>0</v>
      </c>
      <c r="G126" s="35" t="n">
        <f aca="false">IF($A126="","",IF(ISNUMBER($G125),$G125+1,1))</f>
        <v>122</v>
      </c>
      <c r="H126" s="36" t="n">
        <f aca="false">IF(OR(NOT(ISNUMBER($G126)),$G126&lt;2,NOT(ISNUMBER($C125)),$C125=0),"",$C126/$C125-1)</f>
        <v>0.000444845129173643</v>
      </c>
      <c r="I126" s="37" t="n">
        <f aca="false">IF(AND(ISNUMBER($G126),$G126&gt;=MA_SHORT),AVERAGE(INDEX($C$5:$C126,123-MA_SHORT):$C126),"")</f>
        <v>1078618.15</v>
      </c>
      <c r="J126" s="37" t="n">
        <f aca="false">IF(AND(ISNUMBER($G126),$G126&gt;=MA_MED),AVERAGE(INDEX($C$5:$C126,123-MA_MED):$C126),"")</f>
        <v>1051975.7</v>
      </c>
      <c r="K126" s="37" t="str">
        <f aca="false">IF(AND(ISNUMBER($G126),$G126&gt;=MA_LONG2),AVERAGE(INDEX($C$5:$C126,123-MA_LONG2):$C126),"")</f>
        <v/>
      </c>
      <c r="L126" s="38" t="n">
        <f aca="false">IF(AND(ISNUMBER($G126),$G126&gt;=21),STDEV(INDEX($H$66:$H126,62-20):$H126)*SQRT(245),"")</f>
        <v>0.084238625678721</v>
      </c>
      <c r="M126" s="37" t="n">
        <f aca="false">IF(AND(ISNUMBER($G126),$G126&gt;=60),MAX(INDEX($D$5:$D126,123-60):$D126),"")</f>
        <v>1101326</v>
      </c>
      <c r="N126" s="37" t="n">
        <f aca="false">IF(AND(ISNUMBER($G126),$G126&gt;=60),MIN(INDEX($E$5:$E126,123-60):$E126),"")</f>
        <v>987495</v>
      </c>
      <c r="O126" s="38" t="n">
        <f aca="false">IF(OR(NOT(ISNUMBER($C126)),NOT(ISNUMBER($M126)),$M126=0),"",$C126/$M126-1)</f>
        <v>-0.00347490207259249</v>
      </c>
    </row>
    <row r="127" customFormat="false" ht="15" hidden="false" customHeight="true" outlineLevel="0" collapsed="false">
      <c r="A127" s="32" t="n">
        <v>45740</v>
      </c>
      <c r="B127" s="33" t="s">
        <v>217</v>
      </c>
      <c r="C127" s="34" t="n">
        <v>1116185</v>
      </c>
      <c r="D127" s="34" t="n">
        <v>1119417</v>
      </c>
      <c r="E127" s="34" t="n">
        <v>1112328</v>
      </c>
      <c r="F127" s="34" t="n">
        <v>0</v>
      </c>
      <c r="G127" s="35" t="n">
        <f aca="false">IF($A127="","",IF(ISNUMBER($G126),$G126+1,1))</f>
        <v>123</v>
      </c>
      <c r="H127" s="36" t="n">
        <f aca="false">IF(OR(NOT(ISNUMBER($G127)),$G127&lt;2,NOT(ISNUMBER($C126)),$C126=0),"",$C127/$C126-1)</f>
        <v>0.0170259836227642</v>
      </c>
      <c r="I127" s="37" t="n">
        <f aca="false">IF(AND(ISNUMBER($G127),$G127&gt;=MA_SHORT),AVERAGE(INDEX($C$5:$C127,124-MA_SHORT):$C127),"")</f>
        <v>1079490.3</v>
      </c>
      <c r="J127" s="37" t="n">
        <f aca="false">IF(AND(ISNUMBER($G127),$G127&gt;=MA_MED),AVERAGE(INDEX($C$5:$C127,124-MA_MED):$C127),"")</f>
        <v>1054380.9</v>
      </c>
      <c r="K127" s="37" t="str">
        <f aca="false">IF(AND(ISNUMBER($G127),$G127&gt;=MA_LONG2),AVERAGE(INDEX($C$5:$C127,124-MA_LONG2):$C127),"")</f>
        <v/>
      </c>
      <c r="L127" s="38" t="n">
        <f aca="false">IF(AND(ISNUMBER($G127),$G127&gt;=21),STDEV(INDEX($H$67:$H127,62-20):$H127)*SQRT(245),"")</f>
        <v>0.103227976573429</v>
      </c>
      <c r="M127" s="37" t="n">
        <f aca="false">IF(AND(ISNUMBER($G127),$G127&gt;=60),MAX(INDEX($D$5:$D127,124-60):$D127),"")</f>
        <v>1119417</v>
      </c>
      <c r="N127" s="37" t="n">
        <f aca="false">IF(AND(ISNUMBER($G127),$G127&gt;=60),MIN(INDEX($E$5:$E127,124-60):$E127),"")</f>
        <v>987495</v>
      </c>
      <c r="O127" s="38" t="n">
        <f aca="false">IF(OR(NOT(ISNUMBER($C127)),NOT(ISNUMBER($M127)),$M127=0),"",$C127/$M127-1)</f>
        <v>-0.00288721718537421</v>
      </c>
    </row>
    <row r="128" customFormat="false" ht="15" hidden="false" customHeight="true" outlineLevel="0" collapsed="false">
      <c r="A128" s="32" t="n">
        <v>45741</v>
      </c>
      <c r="B128" s="33" t="s">
        <v>218</v>
      </c>
      <c r="C128" s="34" t="n">
        <v>1100093</v>
      </c>
      <c r="D128" s="34" t="n">
        <v>1104892</v>
      </c>
      <c r="E128" s="34" t="n">
        <v>1099992</v>
      </c>
      <c r="F128" s="34" t="n">
        <v>0</v>
      </c>
      <c r="G128" s="35" t="n">
        <f aca="false">IF($A128="","",IF(ISNUMBER($G127),$G127+1,1))</f>
        <v>124</v>
      </c>
      <c r="H128" s="36" t="n">
        <f aca="false">IF(OR(NOT(ISNUMBER($G128)),$G128&lt;2,NOT(ISNUMBER($C127)),$C127=0),"",$C128/$C127-1)</f>
        <v>-0.0144169649296487</v>
      </c>
      <c r="I128" s="37" t="n">
        <f aca="false">IF(AND(ISNUMBER($G128),$G128&gt;=MA_SHORT),AVERAGE(INDEX($C$5:$C128,125-MA_SHORT):$C128),"")</f>
        <v>1079621.45</v>
      </c>
      <c r="J128" s="37" t="n">
        <f aca="false">IF(AND(ISNUMBER($G128),$G128&gt;=MA_MED),AVERAGE(INDEX($C$5:$C128,125-MA_MED):$C128),"")</f>
        <v>1056328.06</v>
      </c>
      <c r="K128" s="37" t="str">
        <f aca="false">IF(AND(ISNUMBER($G128),$G128&gt;=MA_LONG2),AVERAGE(INDEX($C$5:$C128,125-MA_LONG2):$C128),"")</f>
        <v/>
      </c>
      <c r="L128" s="38" t="n">
        <f aca="false">IF(AND(ISNUMBER($G128),$G128&gt;=21),STDEV(INDEX($H$68:$H128,62-20):$H128)*SQRT(245),"")</f>
        <v>0.116111957946156</v>
      </c>
      <c r="M128" s="37" t="n">
        <f aca="false">IF(AND(ISNUMBER($G128),$G128&gt;=60),MAX(INDEX($D$5:$D128,125-60):$D128),"")</f>
        <v>1119417</v>
      </c>
      <c r="N128" s="37" t="n">
        <f aca="false">IF(AND(ISNUMBER($G128),$G128&gt;=60),MIN(INDEX($E$5:$E128,125-60):$E128),"")</f>
        <v>987495</v>
      </c>
      <c r="O128" s="38" t="n">
        <f aca="false">IF(OR(NOT(ISNUMBER($C128)),NOT(ISNUMBER($M128)),$M128=0),"",$C128/$M128-1)</f>
        <v>-0.0172625572061171</v>
      </c>
    </row>
    <row r="129" customFormat="false" ht="15" hidden="false" customHeight="true" outlineLevel="0" collapsed="false">
      <c r="A129" s="32" t="n">
        <v>45742</v>
      </c>
      <c r="B129" s="33" t="s">
        <v>219</v>
      </c>
      <c r="C129" s="34" t="n">
        <v>1105974</v>
      </c>
      <c r="D129" s="34" t="n">
        <v>1112750</v>
      </c>
      <c r="E129" s="34" t="n">
        <v>1105530</v>
      </c>
      <c r="F129" s="34" t="n">
        <v>0</v>
      </c>
      <c r="G129" s="35" t="n">
        <f aca="false">IF($A129="","",IF(ISNUMBER($G128),$G128+1,1))</f>
        <v>125</v>
      </c>
      <c r="H129" s="36" t="n">
        <f aca="false">IF(OR(NOT(ISNUMBER($G129)),$G129&lt;2,NOT(ISNUMBER($C128)),$C128=0),"",$C129/$C128-1)</f>
        <v>0.00534591166383214</v>
      </c>
      <c r="I129" s="37" t="n">
        <f aca="false">IF(AND(ISNUMBER($G129),$G129&gt;=MA_SHORT),AVERAGE(INDEX($C$5:$C129,126-MA_SHORT):$C129),"")</f>
        <v>1080349.9</v>
      </c>
      <c r="J129" s="37" t="n">
        <f aca="false">IF(AND(ISNUMBER($G129),$G129&gt;=MA_MED),AVERAGE(INDEX($C$5:$C129,126-MA_MED):$C129),"")</f>
        <v>1058221.74</v>
      </c>
      <c r="K129" s="37" t="str">
        <f aca="false">IF(AND(ISNUMBER($G129),$G129&gt;=MA_LONG2),AVERAGE(INDEX($C$5:$C129,126-MA_LONG2):$C129),"")</f>
        <v/>
      </c>
      <c r="L129" s="38" t="n">
        <f aca="false">IF(AND(ISNUMBER($G129),$G129&gt;=21),STDEV(INDEX($H$69:$H129,62-20):$H129)*SQRT(245),"")</f>
        <v>0.115497565906778</v>
      </c>
      <c r="M129" s="37" t="n">
        <f aca="false">IF(AND(ISNUMBER($G129),$G129&gt;=60),MAX(INDEX($D$5:$D129,126-60):$D129),"")</f>
        <v>1119417</v>
      </c>
      <c r="N129" s="37" t="n">
        <f aca="false">IF(AND(ISNUMBER($G129),$G129&gt;=60),MIN(INDEX($E$5:$E129,126-60):$E129),"")</f>
        <v>987495</v>
      </c>
      <c r="O129" s="38" t="n">
        <f aca="false">IF(OR(NOT(ISNUMBER($C129)),NOT(ISNUMBER($M129)),$M129=0),"",$C129/$M129-1)</f>
        <v>-0.0120089296482008</v>
      </c>
    </row>
    <row r="130" customFormat="false" ht="15" hidden="false" customHeight="true" outlineLevel="0" collapsed="false">
      <c r="A130" s="32" t="n">
        <v>45745</v>
      </c>
      <c r="B130" s="33" t="s">
        <v>220</v>
      </c>
      <c r="C130" s="34" t="n">
        <v>1105478</v>
      </c>
      <c r="D130" s="34" t="n">
        <v>1108306</v>
      </c>
      <c r="E130" s="34" t="n">
        <v>1104254</v>
      </c>
      <c r="F130" s="34" t="n">
        <v>0</v>
      </c>
      <c r="G130" s="35" t="n">
        <f aca="false">IF($A130="","",IF(ISNUMBER($G129),$G129+1,1))</f>
        <v>126</v>
      </c>
      <c r="H130" s="36" t="n">
        <f aca="false">IF(OR(NOT(ISNUMBER($G130)),$G130&lt;2,NOT(ISNUMBER($C129)),$C129=0),"",$C130/$C129-1)</f>
        <v>-0.000448473472251632</v>
      </c>
      <c r="I130" s="37" t="n">
        <f aca="false">IF(AND(ISNUMBER($G130),$G130&gt;=MA_SHORT),AVERAGE(INDEX($C$5:$C130,127-MA_SHORT):$C130),"")</f>
        <v>1081561.15</v>
      </c>
      <c r="J130" s="37" t="n">
        <f aca="false">IF(AND(ISNUMBER($G130),$G130&gt;=MA_MED),AVERAGE(INDEX($C$5:$C130,127-MA_MED):$C130),"")</f>
        <v>1060362.14</v>
      </c>
      <c r="K130" s="37" t="str">
        <f aca="false">IF(AND(ISNUMBER($G130),$G130&gt;=MA_LONG2),AVERAGE(INDEX($C$5:$C130,127-MA_LONG2):$C130),"")</f>
        <v/>
      </c>
      <c r="L130" s="38" t="n">
        <f aca="false">IF(AND(ISNUMBER($G130),$G130&gt;=21),STDEV(INDEX($H$70:$H130,62-20):$H130)*SQRT(245),"")</f>
        <v>0.109629924765564</v>
      </c>
      <c r="M130" s="37" t="n">
        <f aca="false">IF(AND(ISNUMBER($G130),$G130&gt;=60),MAX(INDEX($D$5:$D130,127-60):$D130),"")</f>
        <v>1119417</v>
      </c>
      <c r="N130" s="37" t="n">
        <f aca="false">IF(AND(ISNUMBER($G130),$G130&gt;=60),MIN(INDEX($E$5:$E130,127-60):$E130),"")</f>
        <v>987495</v>
      </c>
      <c r="O130" s="38" t="n">
        <f aca="false">IF(OR(NOT(ISNUMBER($C130)),NOT(ISNUMBER($M130)),$M130=0),"",$C130/$M130-1)</f>
        <v>-0.0124520174340751</v>
      </c>
    </row>
    <row r="131" customFormat="false" ht="15" hidden="false" customHeight="true" outlineLevel="0" collapsed="false">
      <c r="A131" s="32" t="n">
        <v>45746</v>
      </c>
      <c r="B131" s="33" t="s">
        <v>221</v>
      </c>
      <c r="C131" s="34" t="n">
        <v>1117437</v>
      </c>
      <c r="D131" s="34" t="n">
        <v>1119268</v>
      </c>
      <c r="E131" s="34" t="n">
        <v>1115233</v>
      </c>
      <c r="F131" s="34" t="n">
        <v>0</v>
      </c>
      <c r="G131" s="35" t="n">
        <f aca="false">IF($A131="","",IF(ISNUMBER($G130),$G130+1,1))</f>
        <v>127</v>
      </c>
      <c r="H131" s="36" t="n">
        <f aca="false">IF(OR(NOT(ISNUMBER($G131)),$G131&lt;2,NOT(ISNUMBER($C130)),$C130=0),"",$C131/$C130-1)</f>
        <v>0.0108179448166315</v>
      </c>
      <c r="I131" s="37" t="n">
        <f aca="false">IF(AND(ISNUMBER($G131),$G131&gt;=MA_SHORT),AVERAGE(INDEX($C$5:$C131,128-MA_SHORT):$C131),"")</f>
        <v>1083467.8</v>
      </c>
      <c r="J131" s="37" t="n">
        <f aca="false">IF(AND(ISNUMBER($G131),$G131&gt;=MA_MED),AVERAGE(INDEX($C$5:$C131,128-MA_MED):$C131),"")</f>
        <v>1062816.64</v>
      </c>
      <c r="K131" s="37" t="str">
        <f aca="false">IF(AND(ISNUMBER($G131),$G131&gt;=MA_LONG2),AVERAGE(INDEX($C$5:$C131,128-MA_LONG2):$C131),"")</f>
        <v/>
      </c>
      <c r="L131" s="38" t="n">
        <f aca="false">IF(AND(ISNUMBER($G131),$G131&gt;=21),STDEV(INDEX($H$71:$H131,62-20):$H131)*SQRT(245),"")</f>
        <v>0.114082499821493</v>
      </c>
      <c r="M131" s="37" t="n">
        <f aca="false">IF(AND(ISNUMBER($G131),$G131&gt;=60),MAX(INDEX($D$5:$D131,128-60):$D131),"")</f>
        <v>1119417</v>
      </c>
      <c r="N131" s="37" t="n">
        <f aca="false">IF(AND(ISNUMBER($G131),$G131&gt;=60),MIN(INDEX($E$5:$E131,128-60):$E131),"")</f>
        <v>987495</v>
      </c>
      <c r="O131" s="38" t="n">
        <f aca="false">IF(OR(NOT(ISNUMBER($C131)),NOT(ISNUMBER($M131)),$M131=0),"",$C131/$M131-1)</f>
        <v>-0.00176877785490126</v>
      </c>
    </row>
    <row r="132" customFormat="false" ht="15" hidden="false" customHeight="true" outlineLevel="0" collapsed="false">
      <c r="A132" s="32" t="n">
        <v>45747</v>
      </c>
      <c r="B132" s="33" t="s">
        <v>222</v>
      </c>
      <c r="C132" s="34" t="n">
        <v>1127548</v>
      </c>
      <c r="D132" s="34" t="n">
        <v>1133830</v>
      </c>
      <c r="E132" s="34" t="n">
        <v>1124707</v>
      </c>
      <c r="F132" s="34" t="n">
        <v>0</v>
      </c>
      <c r="G132" s="35" t="n">
        <f aca="false">IF($A132="","",IF(ISNUMBER($G131),$G131+1,1))</f>
        <v>128</v>
      </c>
      <c r="H132" s="36" t="n">
        <f aca="false">IF(OR(NOT(ISNUMBER($G132)),$G132&lt;2,NOT(ISNUMBER($C131)),$C131=0),"",$C132/$C131-1)</f>
        <v>0.00904838483064374</v>
      </c>
      <c r="I132" s="37" t="n">
        <f aca="false">IF(AND(ISNUMBER($G132),$G132&gt;=MA_SHORT),AVERAGE(INDEX($C$5:$C132,129-MA_SHORT):$C132),"")</f>
        <v>1086438.65</v>
      </c>
      <c r="J132" s="37" t="n">
        <f aca="false">IF(AND(ISNUMBER($G132),$G132&gt;=MA_MED),AVERAGE(INDEX($C$5:$C132,129-MA_MED):$C132),"")</f>
        <v>1065283.96</v>
      </c>
      <c r="K132" s="37" t="str">
        <f aca="false">IF(AND(ISNUMBER($G132),$G132&gt;=MA_LONG2),AVERAGE(INDEX($C$5:$C132,129-MA_LONG2):$C132),"")</f>
        <v/>
      </c>
      <c r="L132" s="38" t="n">
        <f aca="false">IF(AND(ISNUMBER($G132),$G132&gt;=21),STDEV(INDEX($H$72:$H132,62-20):$H132)*SQRT(245),"")</f>
        <v>0.107536312739274</v>
      </c>
      <c r="M132" s="37" t="n">
        <f aca="false">IF(AND(ISNUMBER($G132),$G132&gt;=60),MAX(INDEX($D$5:$D132,129-60):$D132),"")</f>
        <v>1133830</v>
      </c>
      <c r="N132" s="37" t="n">
        <f aca="false">IF(AND(ISNUMBER($G132),$G132&gt;=60),MIN(INDEX($E$5:$E132,129-60):$E132),"")</f>
        <v>987495</v>
      </c>
      <c r="O132" s="38" t="n">
        <f aca="false">IF(OR(NOT(ISNUMBER($C132)),NOT(ISNUMBER($M132)),$M132=0),"",$C132/$M132-1)</f>
        <v>-0.00554051312807036</v>
      </c>
    </row>
    <row r="133" customFormat="false" ht="15" hidden="false" customHeight="true" outlineLevel="0" collapsed="false">
      <c r="A133" s="32" t="n">
        <v>45748</v>
      </c>
      <c r="B133" s="33" t="s">
        <v>223</v>
      </c>
      <c r="C133" s="34" t="n">
        <v>1138389</v>
      </c>
      <c r="D133" s="34" t="n">
        <v>1141149</v>
      </c>
      <c r="E133" s="34" t="n">
        <v>1134393</v>
      </c>
      <c r="F133" s="34" t="n">
        <v>0</v>
      </c>
      <c r="G133" s="35" t="n">
        <f aca="false">IF($A133="","",IF(ISNUMBER($G132),$G132+1,1))</f>
        <v>129</v>
      </c>
      <c r="H133" s="36" t="n">
        <f aca="false">IF(OR(NOT(ISNUMBER($G133)),$G133&lt;2,NOT(ISNUMBER($C132)),$C132=0),"",$C133/$C132-1)</f>
        <v>0.0096146682890661</v>
      </c>
      <c r="I133" s="37" t="n">
        <f aca="false">IF(AND(ISNUMBER($G133),$G133&gt;=MA_SHORT),AVERAGE(INDEX($C$5:$C133,130-MA_SHORT):$C133),"")</f>
        <v>1090231.6</v>
      </c>
      <c r="J133" s="37" t="n">
        <f aca="false">IF(AND(ISNUMBER($G133),$G133&gt;=MA_MED),AVERAGE(INDEX($C$5:$C133,130-MA_MED):$C133),"")</f>
        <v>1068081.94</v>
      </c>
      <c r="K133" s="37" t="str">
        <f aca="false">IF(AND(ISNUMBER($G133),$G133&gt;=MA_LONG2),AVERAGE(INDEX($C$5:$C133,130-MA_LONG2):$C133),"")</f>
        <v/>
      </c>
      <c r="L133" s="38" t="n">
        <f aca="false">IF(AND(ISNUMBER($G133),$G133&gt;=21),STDEV(INDEX($H$73:$H133,62-20):$H133)*SQRT(245),"")</f>
        <v>0.105886654123096</v>
      </c>
      <c r="M133" s="37" t="n">
        <f aca="false">IF(AND(ISNUMBER($G133),$G133&gt;=60),MAX(INDEX($D$5:$D133,130-60):$D133),"")</f>
        <v>1141149</v>
      </c>
      <c r="N133" s="37" t="n">
        <f aca="false">IF(AND(ISNUMBER($G133),$G133&gt;=60),MIN(INDEX($E$5:$E133,130-60):$E133),"")</f>
        <v>987495</v>
      </c>
      <c r="O133" s="38" t="n">
        <f aca="false">IF(OR(NOT(ISNUMBER($C133)),NOT(ISNUMBER($M133)),$M133=0),"",$C133/$M133-1)</f>
        <v>-0.00241861492232831</v>
      </c>
    </row>
    <row r="134" customFormat="false" ht="15" hidden="false" customHeight="true" outlineLevel="0" collapsed="false">
      <c r="A134" s="32" t="n">
        <v>45749</v>
      </c>
      <c r="B134" s="33" t="s">
        <v>224</v>
      </c>
      <c r="C134" s="34" t="n">
        <v>1151934</v>
      </c>
      <c r="D134" s="34" t="n">
        <v>1154759</v>
      </c>
      <c r="E134" s="34" t="n">
        <v>1151420</v>
      </c>
      <c r="F134" s="34" t="n">
        <v>0</v>
      </c>
      <c r="G134" s="35" t="n">
        <f aca="false">IF($A134="","",IF(ISNUMBER($G133),$G133+1,1))</f>
        <v>130</v>
      </c>
      <c r="H134" s="36" t="n">
        <f aca="false">IF(OR(NOT(ISNUMBER($G134)),$G134&lt;2,NOT(ISNUMBER($C133)),$C133=0),"",$C134/$C133-1)</f>
        <v>0.0118983932557324</v>
      </c>
      <c r="I134" s="37" t="n">
        <f aca="false">IF(AND(ISNUMBER($G134),$G134&gt;=MA_SHORT),AVERAGE(INDEX($C$5:$C134,131-MA_SHORT):$C134),"")</f>
        <v>1094627.45</v>
      </c>
      <c r="J134" s="37" t="n">
        <f aca="false">IF(AND(ISNUMBER($G134),$G134&gt;=MA_MED),AVERAGE(INDEX($C$5:$C134,131-MA_MED):$C134),"")</f>
        <v>1070889.98</v>
      </c>
      <c r="K134" s="37" t="str">
        <f aca="false">IF(AND(ISNUMBER($G134),$G134&gt;=MA_LONG2),AVERAGE(INDEX($C$5:$C134,131-MA_LONG2):$C134),"")</f>
        <v/>
      </c>
      <c r="L134" s="38" t="n">
        <f aca="false">IF(AND(ISNUMBER($G134),$G134&gt;=21),STDEV(INDEX($H$74:$H134,62-20):$H134)*SQRT(245),"")</f>
        <v>0.109544969477811</v>
      </c>
      <c r="M134" s="37" t="n">
        <f aca="false">IF(AND(ISNUMBER($G134),$G134&gt;=60),MAX(INDEX($D$5:$D134,131-60):$D134),"")</f>
        <v>1154759</v>
      </c>
      <c r="N134" s="37" t="n">
        <f aca="false">IF(AND(ISNUMBER($G134),$G134&gt;=60),MIN(INDEX($E$5:$E134,131-60):$E134),"")</f>
        <v>987495</v>
      </c>
      <c r="O134" s="38" t="n">
        <f aca="false">IF(OR(NOT(ISNUMBER($C134)),NOT(ISNUMBER($M134)),$M134=0),"",$C134/$M134-1)</f>
        <v>-0.002446397906403</v>
      </c>
    </row>
    <row r="135" customFormat="false" ht="15" hidden="false" customHeight="true" outlineLevel="0" collapsed="false">
      <c r="A135" s="32" t="n">
        <v>45752</v>
      </c>
      <c r="B135" s="33" t="s">
        <v>225</v>
      </c>
      <c r="C135" s="34" t="n">
        <v>1131031</v>
      </c>
      <c r="D135" s="34" t="n">
        <v>1133279</v>
      </c>
      <c r="E135" s="34" t="n">
        <v>1127463</v>
      </c>
      <c r="F135" s="34" t="n">
        <v>0</v>
      </c>
      <c r="G135" s="35" t="n">
        <f aca="false">IF($A135="","",IF(ISNUMBER($G134),$G134+1,1))</f>
        <v>131</v>
      </c>
      <c r="H135" s="36" t="n">
        <f aca="false">IF(OR(NOT(ISNUMBER($G135)),$G135&lt;2,NOT(ISNUMBER($C134)),$C134=0),"",$C135/$C134-1)</f>
        <v>-0.0181460048926414</v>
      </c>
      <c r="I135" s="37" t="n">
        <f aca="false">IF(AND(ISNUMBER($G135),$G135&gt;=MA_SHORT),AVERAGE(INDEX($C$5:$C135,132-MA_SHORT):$C135),"")</f>
        <v>1098123.35</v>
      </c>
      <c r="J135" s="37" t="n">
        <f aca="false">IF(AND(ISNUMBER($G135),$G135&gt;=MA_MED),AVERAGE(INDEX($C$5:$C135,132-MA_MED):$C135),"")</f>
        <v>1073316.14</v>
      </c>
      <c r="K135" s="37" t="str">
        <f aca="false">IF(AND(ISNUMBER($G135),$G135&gt;=MA_LONG2),AVERAGE(INDEX($C$5:$C135,132-MA_LONG2):$C135),"")</f>
        <v/>
      </c>
      <c r="L135" s="38" t="n">
        <f aca="false">IF(AND(ISNUMBER($G135),$G135&gt;=21),STDEV(INDEX($H$75:$H135,62-20):$H135)*SQRT(245),"")</f>
        <v>0.132617417069685</v>
      </c>
      <c r="M135" s="37" t="n">
        <f aca="false">IF(AND(ISNUMBER($G135),$G135&gt;=60),MAX(INDEX($D$5:$D135,132-60):$D135),"")</f>
        <v>1154759</v>
      </c>
      <c r="N135" s="37" t="n">
        <f aca="false">IF(AND(ISNUMBER($G135),$G135&gt;=60),MIN(INDEX($E$5:$E135,132-60):$E135),"")</f>
        <v>993723</v>
      </c>
      <c r="O135" s="38" t="n">
        <f aca="false">IF(OR(NOT(ISNUMBER($C135)),NOT(ISNUMBER($M135)),$M135=0),"",$C135/$M135-1)</f>
        <v>-0.0205480104506655</v>
      </c>
    </row>
    <row r="136" customFormat="false" ht="15" hidden="false" customHeight="true" outlineLevel="0" collapsed="false">
      <c r="A136" s="32" t="n">
        <v>45753</v>
      </c>
      <c r="B136" s="33" t="s">
        <v>226</v>
      </c>
      <c r="C136" s="34" t="n">
        <v>1139749</v>
      </c>
      <c r="D136" s="34" t="n">
        <v>1141707</v>
      </c>
      <c r="E136" s="34" t="n">
        <v>1139727</v>
      </c>
      <c r="F136" s="34" t="n">
        <v>0</v>
      </c>
      <c r="G136" s="35" t="n">
        <f aca="false">IF($A136="","",IF(ISNUMBER($G135),$G135+1,1))</f>
        <v>132</v>
      </c>
      <c r="H136" s="36" t="n">
        <f aca="false">IF(OR(NOT(ISNUMBER($G136)),$G136&lt;2,NOT(ISNUMBER($C135)),$C135=0),"",$C136/$C135-1)</f>
        <v>0.00770801153991352</v>
      </c>
      <c r="I136" s="37" t="n">
        <f aca="false">IF(AND(ISNUMBER($G136),$G136&gt;=MA_SHORT),AVERAGE(INDEX($C$5:$C136,133-MA_SHORT):$C136),"")</f>
        <v>1102078.15</v>
      </c>
      <c r="J136" s="37" t="n">
        <f aca="false">IF(AND(ISNUMBER($G136),$G136&gt;=MA_MED),AVERAGE(INDEX($C$5:$C136,133-MA_MED):$C136),"")</f>
        <v>1075917.72</v>
      </c>
      <c r="K136" s="37" t="str">
        <f aca="false">IF(AND(ISNUMBER($G136),$G136&gt;=MA_LONG2),AVERAGE(INDEX($C$5:$C136,133-MA_LONG2):$C136),"")</f>
        <v/>
      </c>
      <c r="L136" s="38" t="n">
        <f aca="false">IF(AND(ISNUMBER($G136),$G136&gt;=21),STDEV(INDEX($H$76:$H136,62-20):$H136)*SQRT(245),"")</f>
        <v>0.132778715849219</v>
      </c>
      <c r="M136" s="37" t="n">
        <f aca="false">IF(AND(ISNUMBER($G136),$G136&gt;=60),MAX(INDEX($D$5:$D136,133-60):$D136),"")</f>
        <v>1154759</v>
      </c>
      <c r="N136" s="37" t="n">
        <f aca="false">IF(AND(ISNUMBER($G136),$G136&gt;=60),MIN(INDEX($E$5:$E136,133-60):$E136),"")</f>
        <v>993723</v>
      </c>
      <c r="O136" s="38" t="n">
        <f aca="false">IF(OR(NOT(ISNUMBER($C136)),NOT(ISNUMBER($M136)),$M136=0),"",$C136/$M136-1)</f>
        <v>-0.0129983832124279</v>
      </c>
    </row>
    <row r="137" customFormat="false" ht="15" hidden="false" customHeight="true" outlineLevel="0" collapsed="false">
      <c r="A137" s="32" t="n">
        <v>45754</v>
      </c>
      <c r="B137" s="33" t="s">
        <v>227</v>
      </c>
      <c r="C137" s="34" t="n">
        <v>1141066</v>
      </c>
      <c r="D137" s="34" t="n">
        <v>1142760</v>
      </c>
      <c r="E137" s="34" t="n">
        <v>1140190</v>
      </c>
      <c r="F137" s="34" t="n">
        <v>0</v>
      </c>
      <c r="G137" s="35" t="n">
        <f aca="false">IF($A137="","",IF(ISNUMBER($G136),$G136+1,1))</f>
        <v>133</v>
      </c>
      <c r="H137" s="36" t="n">
        <f aca="false">IF(OR(NOT(ISNUMBER($G137)),$G137&lt;2,NOT(ISNUMBER($C136)),$C136=0),"",$C137/$C136-1)</f>
        <v>0.00115551757448351</v>
      </c>
      <c r="I137" s="37" t="n">
        <f aca="false">IF(AND(ISNUMBER($G137),$G137&gt;=MA_SHORT),AVERAGE(INDEX($C$5:$C137,134-MA_SHORT):$C137),"")</f>
        <v>1106140.85</v>
      </c>
      <c r="J137" s="37" t="n">
        <f aca="false">IF(AND(ISNUMBER($G137),$G137&gt;=MA_MED),AVERAGE(INDEX($C$5:$C137,134-MA_MED):$C137),"")</f>
        <v>1078456.92</v>
      </c>
      <c r="K137" s="37" t="str">
        <f aca="false">IF(AND(ISNUMBER($G137),$G137&gt;=MA_LONG2),AVERAGE(INDEX($C$5:$C137,134-MA_LONG2):$C137),"")</f>
        <v/>
      </c>
      <c r="L137" s="38" t="n">
        <f aca="false">IF(AND(ISNUMBER($G137),$G137&gt;=21),STDEV(INDEX($H$77:$H137,62-20):$H137)*SQRT(245),"")</f>
        <v>0.132113964297731</v>
      </c>
      <c r="M137" s="37" t="n">
        <f aca="false">IF(AND(ISNUMBER($G137),$G137&gt;=60),MAX(INDEX($D$5:$D137,134-60):$D137),"")</f>
        <v>1154759</v>
      </c>
      <c r="N137" s="37" t="n">
        <f aca="false">IF(AND(ISNUMBER($G137),$G137&gt;=60),MIN(INDEX($E$5:$E137,134-60):$E137),"")</f>
        <v>993723</v>
      </c>
      <c r="O137" s="38" t="n">
        <f aca="false">IF(OR(NOT(ISNUMBER($C137)),NOT(ISNUMBER($M137)),$M137=0),"",$C137/$M137-1)</f>
        <v>-0.0118578854981862</v>
      </c>
    </row>
    <row r="138" customFormat="false" ht="15" hidden="false" customHeight="true" outlineLevel="0" collapsed="false">
      <c r="A138" s="32" t="n">
        <v>45755</v>
      </c>
      <c r="B138" s="33" t="s">
        <v>228</v>
      </c>
      <c r="C138" s="34" t="n">
        <v>1127082</v>
      </c>
      <c r="D138" s="34" t="n">
        <v>1128783</v>
      </c>
      <c r="E138" s="34" t="n">
        <v>1122088</v>
      </c>
      <c r="F138" s="34" t="n">
        <v>0</v>
      </c>
      <c r="G138" s="35" t="n">
        <f aca="false">IF($A138="","",IF(ISNUMBER($G137),$G137+1,1))</f>
        <v>134</v>
      </c>
      <c r="H138" s="36" t="n">
        <f aca="false">IF(OR(NOT(ISNUMBER($G138)),$G138&lt;2,NOT(ISNUMBER($C137)),$C137=0),"",$C138/$C137-1)</f>
        <v>-0.0122552069731287</v>
      </c>
      <c r="I138" s="37" t="n">
        <f aca="false">IF(AND(ISNUMBER($G138),$G138&gt;=MA_SHORT),AVERAGE(INDEX($C$5:$C138,135-MA_SHORT):$C138),"")</f>
        <v>1109476.15</v>
      </c>
      <c r="J138" s="37" t="n">
        <f aca="false">IF(AND(ISNUMBER($G138),$G138&gt;=MA_MED),AVERAGE(INDEX($C$5:$C138,135-MA_MED):$C138),"")</f>
        <v>1080690.8</v>
      </c>
      <c r="K138" s="37" t="str">
        <f aca="false">IF(AND(ISNUMBER($G138),$G138&gt;=MA_LONG2),AVERAGE(INDEX($C$5:$C138,135-MA_LONG2):$C138),"")</f>
        <v/>
      </c>
      <c r="L138" s="38" t="n">
        <f aca="false">IF(AND(ISNUMBER($G138),$G138&gt;=21),STDEV(INDEX($H$78:$H138,62-20):$H138)*SQRT(245),"")</f>
        <v>0.143224265935812</v>
      </c>
      <c r="M138" s="37" t="n">
        <f aca="false">IF(AND(ISNUMBER($G138),$G138&gt;=60),MAX(INDEX($D$5:$D138,135-60):$D138),"")</f>
        <v>1154759</v>
      </c>
      <c r="N138" s="37" t="n">
        <f aca="false">IF(AND(ISNUMBER($G138),$G138&gt;=60),MIN(INDEX($E$5:$E138,135-60):$E138),"")</f>
        <v>993723</v>
      </c>
      <c r="O138" s="38" t="n">
        <f aca="false">IF(OR(NOT(ISNUMBER($C138)),NOT(ISNUMBER($M138)),$M138=0),"",$C138/$M138-1)</f>
        <v>-0.0239677716302709</v>
      </c>
    </row>
    <row r="139" customFormat="false" ht="15" hidden="false" customHeight="true" outlineLevel="0" collapsed="false">
      <c r="A139" s="32" t="n">
        <v>45756</v>
      </c>
      <c r="B139" s="33" t="s">
        <v>229</v>
      </c>
      <c r="C139" s="34" t="n">
        <v>1118051</v>
      </c>
      <c r="D139" s="34" t="n">
        <v>1123265</v>
      </c>
      <c r="E139" s="34" t="n">
        <v>1117484</v>
      </c>
      <c r="F139" s="34" t="n">
        <v>0</v>
      </c>
      <c r="G139" s="35" t="n">
        <f aca="false">IF($A139="","",IF(ISNUMBER($G138),$G138+1,1))</f>
        <v>135</v>
      </c>
      <c r="H139" s="36" t="n">
        <f aca="false">IF(OR(NOT(ISNUMBER($G139)),$G139&lt;2,NOT(ISNUMBER($C138)),$C138=0),"",$C139/$C138-1)</f>
        <v>-0.00801272666939934</v>
      </c>
      <c r="I139" s="37" t="n">
        <f aca="false">IF(AND(ISNUMBER($G139),$G139&gt;=MA_SHORT),AVERAGE(INDEX($C$5:$C139,136-MA_SHORT):$C139),"")</f>
        <v>1111888.25</v>
      </c>
      <c r="J139" s="37" t="n">
        <f aca="false">IF(AND(ISNUMBER($G139),$G139&gt;=MA_MED),AVERAGE(INDEX($C$5:$C139,136-MA_MED):$C139),"")</f>
        <v>1082877.68</v>
      </c>
      <c r="K139" s="37" t="str">
        <f aca="false">IF(AND(ISNUMBER($G139),$G139&gt;=MA_LONG2),AVERAGE(INDEX($C$5:$C139,136-MA_LONG2):$C139),"")</f>
        <v/>
      </c>
      <c r="L139" s="38" t="n">
        <f aca="false">IF(AND(ISNUMBER($G139),$G139&gt;=21),STDEV(INDEX($H$79:$H139,62-20):$H139)*SQRT(245),"")</f>
        <v>0.146580699518493</v>
      </c>
      <c r="M139" s="37" t="n">
        <f aca="false">IF(AND(ISNUMBER($G139),$G139&gt;=60),MAX(INDEX($D$5:$D139,136-60):$D139),"")</f>
        <v>1154759</v>
      </c>
      <c r="N139" s="37" t="n">
        <f aca="false">IF(AND(ISNUMBER($G139),$G139&gt;=60),MIN(INDEX($E$5:$E139,136-60):$E139),"")</f>
        <v>993723</v>
      </c>
      <c r="O139" s="38" t="n">
        <f aca="false">IF(OR(NOT(ISNUMBER($C139)),NOT(ISNUMBER($M139)),$M139=0),"",$C139/$M139-1)</f>
        <v>-0.0317884510967224</v>
      </c>
    </row>
    <row r="140" customFormat="false" ht="15" hidden="false" customHeight="true" outlineLevel="0" collapsed="false">
      <c r="A140" s="32" t="n">
        <v>45759</v>
      </c>
      <c r="B140" s="33" t="s">
        <v>230</v>
      </c>
      <c r="C140" s="34" t="n">
        <v>1128963</v>
      </c>
      <c r="D140" s="34" t="n">
        <v>1132201</v>
      </c>
      <c r="E140" s="34" t="n">
        <v>1128519</v>
      </c>
      <c r="F140" s="34" t="n">
        <v>0</v>
      </c>
      <c r="G140" s="35" t="n">
        <f aca="false">IF($A140="","",IF(ISNUMBER($G139),$G139+1,1))</f>
        <v>136</v>
      </c>
      <c r="H140" s="36" t="n">
        <f aca="false">IF(OR(NOT(ISNUMBER($G140)),$G140&lt;2,NOT(ISNUMBER($C139)),$C139=0),"",$C140/$C139-1)</f>
        <v>0.00975984100904159</v>
      </c>
      <c r="I140" s="37" t="n">
        <f aca="false">IF(AND(ISNUMBER($G140),$G140&gt;=MA_SHORT),AVERAGE(INDEX($C$5:$C140,137-MA_SHORT):$C140),"")</f>
        <v>1114414.45</v>
      </c>
      <c r="J140" s="37" t="n">
        <f aca="false">IF(AND(ISNUMBER($G140),$G140&gt;=MA_MED),AVERAGE(INDEX($C$5:$C140,137-MA_MED):$C140),"")</f>
        <v>1085146.5</v>
      </c>
      <c r="K140" s="37" t="str">
        <f aca="false">IF(AND(ISNUMBER($G140),$G140&gt;=MA_LONG2),AVERAGE(INDEX($C$5:$C140,137-MA_LONG2):$C140),"")</f>
        <v/>
      </c>
      <c r="L140" s="38" t="n">
        <f aca="false">IF(AND(ISNUMBER($G140),$G140&gt;=21),STDEV(INDEX($H$80:$H140,62-20):$H140)*SQRT(245),"")</f>
        <v>0.147563556238203</v>
      </c>
      <c r="M140" s="37" t="n">
        <f aca="false">IF(AND(ISNUMBER($G140),$G140&gt;=60),MAX(INDEX($D$5:$D140,137-60):$D140),"")</f>
        <v>1154759</v>
      </c>
      <c r="N140" s="37" t="n">
        <f aca="false">IF(AND(ISNUMBER($G140),$G140&gt;=60),MIN(INDEX($E$5:$E140,137-60):$E140),"")</f>
        <v>993723</v>
      </c>
      <c r="O140" s="38" t="n">
        <f aca="false">IF(OR(NOT(ISNUMBER($C140)),NOT(ISNUMBER($M140)),$M140=0),"",$C140/$M140-1)</f>
        <v>-0.0223388603163084</v>
      </c>
    </row>
    <row r="141" customFormat="false" ht="15" hidden="false" customHeight="true" outlineLevel="0" collapsed="false">
      <c r="A141" s="32" t="n">
        <v>45760</v>
      </c>
      <c r="B141" s="33" t="s">
        <v>231</v>
      </c>
      <c r="C141" s="34" t="n">
        <v>1135313</v>
      </c>
      <c r="D141" s="34" t="n">
        <v>1136781</v>
      </c>
      <c r="E141" s="34" t="n">
        <v>1133489</v>
      </c>
      <c r="F141" s="34" t="n">
        <v>0</v>
      </c>
      <c r="G141" s="35" t="n">
        <f aca="false">IF($A141="","",IF(ISNUMBER($G140),$G140+1,1))</f>
        <v>137</v>
      </c>
      <c r="H141" s="36" t="n">
        <f aca="false">IF(OR(NOT(ISNUMBER($G141)),$G141&lt;2,NOT(ISNUMBER($C140)),$C140=0),"",$C141/$C140-1)</f>
        <v>0.00562463074520592</v>
      </c>
      <c r="I141" s="37" t="n">
        <f aca="false">IF(AND(ISNUMBER($G141),$G141&gt;=MA_SHORT),AVERAGE(INDEX($C$5:$C141,138-MA_SHORT):$C141),"")</f>
        <v>1116890.8</v>
      </c>
      <c r="J141" s="37" t="n">
        <f aca="false">IF(AND(ISNUMBER($G141),$G141&gt;=MA_MED),AVERAGE(INDEX($C$5:$C141,138-MA_MED):$C141),"")</f>
        <v>1087255.84</v>
      </c>
      <c r="K141" s="37" t="str">
        <f aca="false">IF(AND(ISNUMBER($G141),$G141&gt;=MA_LONG2),AVERAGE(INDEX($C$5:$C141,138-MA_LONG2):$C141),"")</f>
        <v/>
      </c>
      <c r="L141" s="38" t="n">
        <f aca="false">IF(AND(ISNUMBER($G141),$G141&gt;=21),STDEV(INDEX($H$81:$H141,62-20):$H141)*SQRT(245),"")</f>
        <v>0.147156659650628</v>
      </c>
      <c r="M141" s="37" t="n">
        <f aca="false">IF(AND(ISNUMBER($G141),$G141&gt;=60),MAX(INDEX($D$5:$D141,138-60):$D141),"")</f>
        <v>1154759</v>
      </c>
      <c r="N141" s="37" t="n">
        <f aca="false">IF(AND(ISNUMBER($G141),$G141&gt;=60),MIN(INDEX($E$5:$E141,138-60):$E141),"")</f>
        <v>996243</v>
      </c>
      <c r="O141" s="38" t="n">
        <f aca="false">IF(OR(NOT(ISNUMBER($C141)),NOT(ISNUMBER($M141)),$M141=0),"",$C141/$M141-1)</f>
        <v>-0.0168398774116504</v>
      </c>
    </row>
    <row r="142" customFormat="false" ht="15" hidden="false" customHeight="true" outlineLevel="0" collapsed="false">
      <c r="A142" s="32" t="n">
        <v>45761</v>
      </c>
      <c r="B142" s="33" t="s">
        <v>232</v>
      </c>
      <c r="C142" s="34" t="n">
        <v>1124321</v>
      </c>
      <c r="D142" s="34" t="n">
        <v>1126963</v>
      </c>
      <c r="E142" s="34" t="n">
        <v>1121024</v>
      </c>
      <c r="F142" s="34" t="n">
        <v>0</v>
      </c>
      <c r="G142" s="35" t="n">
        <f aca="false">IF($A142="","",IF(ISNUMBER($G141),$G141+1,1))</f>
        <v>138</v>
      </c>
      <c r="H142" s="36" t="n">
        <f aca="false">IF(OR(NOT(ISNUMBER($G142)),$G142&lt;2,NOT(ISNUMBER($C141)),$C141=0),"",$C142/$C141-1)</f>
        <v>-0.00968191150810394</v>
      </c>
      <c r="I142" s="37" t="n">
        <f aca="false">IF(AND(ISNUMBER($G142),$G142&gt;=MA_SHORT),AVERAGE(INDEX($C$5:$C142,139-MA_SHORT):$C142),"")</f>
        <v>1118858.4</v>
      </c>
      <c r="J142" s="37" t="n">
        <f aca="false">IF(AND(ISNUMBER($G142),$G142&gt;=MA_MED),AVERAGE(INDEX($C$5:$C142,139-MA_MED):$C142),"")</f>
        <v>1089322.24</v>
      </c>
      <c r="K142" s="37" t="str">
        <f aca="false">IF(AND(ISNUMBER($G142),$G142&gt;=MA_LONG2),AVERAGE(INDEX($C$5:$C142,139-MA_LONG2):$C142),"")</f>
        <v/>
      </c>
      <c r="L142" s="38" t="n">
        <f aca="false">IF(AND(ISNUMBER($G142),$G142&gt;=21),STDEV(INDEX($H$82:$H142,62-20):$H142)*SQRT(245),"")</f>
        <v>0.152738235203563</v>
      </c>
      <c r="M142" s="37" t="n">
        <f aca="false">IF(AND(ISNUMBER($G142),$G142&gt;=60),MAX(INDEX($D$5:$D142,139-60):$D142),"")</f>
        <v>1154759</v>
      </c>
      <c r="N142" s="37" t="n">
        <f aca="false">IF(AND(ISNUMBER($G142),$G142&gt;=60),MIN(INDEX($E$5:$E142,139-60):$E142),"")</f>
        <v>996243</v>
      </c>
      <c r="O142" s="38" t="n">
        <f aca="false">IF(OR(NOT(ISNUMBER($C142)),NOT(ISNUMBER($M142)),$M142=0),"",$C142/$M142-1)</f>
        <v>-0.0263587467168475</v>
      </c>
    </row>
    <row r="143" customFormat="false" ht="15" hidden="false" customHeight="true" outlineLevel="0" collapsed="false">
      <c r="A143" s="32" t="n">
        <v>45762</v>
      </c>
      <c r="B143" s="33" t="s">
        <v>233</v>
      </c>
      <c r="C143" s="34" t="n">
        <v>1139291</v>
      </c>
      <c r="D143" s="34" t="n">
        <v>1141150</v>
      </c>
      <c r="E143" s="34" t="n">
        <v>1139044</v>
      </c>
      <c r="F143" s="34" t="n">
        <v>0</v>
      </c>
      <c r="G143" s="35" t="n">
        <f aca="false">IF($A143="","",IF(ISNUMBER($G142),$G142+1,1))</f>
        <v>139</v>
      </c>
      <c r="H143" s="36" t="n">
        <f aca="false">IF(OR(NOT(ISNUMBER($G143)),$G143&lt;2,NOT(ISNUMBER($C142)),$C142=0),"",$C143/$C142-1)</f>
        <v>0.01331470282953</v>
      </c>
      <c r="I143" s="37" t="n">
        <f aca="false">IF(AND(ISNUMBER($G143),$G143&gt;=MA_SHORT),AVERAGE(INDEX($C$5:$C143,140-MA_SHORT):$C143),"")</f>
        <v>1121679.9</v>
      </c>
      <c r="J143" s="37" t="n">
        <f aca="false">IF(AND(ISNUMBER($G143),$G143&gt;=MA_MED),AVERAGE(INDEX($C$5:$C143,140-MA_MED):$C143),"")</f>
        <v>1091429.64</v>
      </c>
      <c r="K143" s="37" t="str">
        <f aca="false">IF(AND(ISNUMBER($G143),$G143&gt;=MA_LONG2),AVERAGE(INDEX($C$5:$C143,140-MA_LONG2):$C143),"")</f>
        <v/>
      </c>
      <c r="L143" s="38" t="n">
        <f aca="false">IF(AND(ISNUMBER($G143),$G143&gt;=21),STDEV(INDEX($H$83:$H143,62-20):$H143)*SQRT(245),"")</f>
        <v>0.157152104306148</v>
      </c>
      <c r="M143" s="37" t="n">
        <f aca="false">IF(AND(ISNUMBER($G143),$G143&gt;=60),MAX(INDEX($D$5:$D143,140-60):$D143),"")</f>
        <v>1154759</v>
      </c>
      <c r="N143" s="37" t="n">
        <f aca="false">IF(AND(ISNUMBER($G143),$G143&gt;=60),MIN(INDEX($E$5:$E143,140-60):$E143),"")</f>
        <v>1005931</v>
      </c>
      <c r="O143" s="38" t="n">
        <f aca="false">IF(OR(NOT(ISNUMBER($C143)),NOT(ISNUMBER($M143)),$M143=0),"",$C143/$M143-1)</f>
        <v>-0.013395002766811</v>
      </c>
    </row>
    <row r="144" customFormat="false" ht="15" hidden="false" customHeight="true" outlineLevel="0" collapsed="false">
      <c r="A144" s="32" t="n">
        <v>45763</v>
      </c>
      <c r="B144" s="33" t="s">
        <v>234</v>
      </c>
      <c r="C144" s="34" t="n">
        <v>1151965</v>
      </c>
      <c r="D144" s="34" t="n">
        <v>1153099</v>
      </c>
      <c r="E144" s="34" t="n">
        <v>1147926</v>
      </c>
      <c r="F144" s="34" t="n">
        <v>0</v>
      </c>
      <c r="G144" s="35" t="n">
        <f aca="false">IF($A144="","",IF(ISNUMBER($G143),$G143+1,1))</f>
        <v>140</v>
      </c>
      <c r="H144" s="36" t="n">
        <f aca="false">IF(OR(NOT(ISNUMBER($G144)),$G144&lt;2,NOT(ISNUMBER($C143)),$C143=0),"",$C144/$C143-1)</f>
        <v>0.0111244624946567</v>
      </c>
      <c r="I144" s="37" t="n">
        <f aca="false">IF(AND(ISNUMBER($G144),$G144&gt;=MA_SHORT),AVERAGE(INDEX($C$5:$C144,141-MA_SHORT):$C144),"")</f>
        <v>1124719</v>
      </c>
      <c r="J144" s="37" t="n">
        <f aca="false">IF(AND(ISNUMBER($G144),$G144&gt;=MA_MED),AVERAGE(INDEX($C$5:$C144,141-MA_MED):$C144),"")</f>
        <v>1093627.66</v>
      </c>
      <c r="K144" s="37" t="str">
        <f aca="false">IF(AND(ISNUMBER($G144),$G144&gt;=MA_LONG2),AVERAGE(INDEX($C$5:$C144,141-MA_LONG2):$C144),"")</f>
        <v/>
      </c>
      <c r="L144" s="38" t="n">
        <f aca="false">IF(AND(ISNUMBER($G144),$G144&gt;=21),STDEV(INDEX($H$84:$H144,62-20):$H144)*SQRT(245),"")</f>
        <v>0.159039322954974</v>
      </c>
      <c r="M144" s="37" t="n">
        <f aca="false">IF(AND(ISNUMBER($G144),$G144&gt;=60),MAX(INDEX($D$5:$D144,141-60):$D144),"")</f>
        <v>1154759</v>
      </c>
      <c r="N144" s="37" t="n">
        <f aca="false">IF(AND(ISNUMBER($G144),$G144&gt;=60),MIN(INDEX($E$5:$E144,141-60):$E144),"")</f>
        <v>1005931</v>
      </c>
      <c r="O144" s="38" t="n">
        <f aca="false">IF(OR(NOT(ISNUMBER($C144)),NOT(ISNUMBER($M144)),$M144=0),"",$C144/$M144-1)</f>
        <v>-0.00241955247804948</v>
      </c>
    </row>
    <row r="145" customFormat="false" ht="15" hidden="false" customHeight="true" outlineLevel="0" collapsed="false">
      <c r="A145" s="32" t="n">
        <v>45766</v>
      </c>
      <c r="B145" s="33" t="s">
        <v>235</v>
      </c>
      <c r="C145" s="34" t="n">
        <v>1163104</v>
      </c>
      <c r="D145" s="34" t="n">
        <v>1167375</v>
      </c>
      <c r="E145" s="34" t="n">
        <v>1160921</v>
      </c>
      <c r="F145" s="34" t="n">
        <v>0</v>
      </c>
      <c r="G145" s="35" t="n">
        <f aca="false">IF($A145="","",IF(ISNUMBER($G144),$G144+1,1))</f>
        <v>141</v>
      </c>
      <c r="H145" s="36" t="n">
        <f aca="false">IF(OR(NOT(ISNUMBER($G145)),$G145&lt;2,NOT(ISNUMBER($C144)),$C144=0),"",$C145/$C144-1)</f>
        <v>0.00966956461350832</v>
      </c>
      <c r="I145" s="37" t="n">
        <f aca="false">IF(AND(ISNUMBER($G145),$G145&gt;=MA_SHORT),AVERAGE(INDEX($C$5:$C145,142-MA_SHORT):$C145),"")</f>
        <v>1128023.65</v>
      </c>
      <c r="J145" s="37" t="n">
        <f aca="false">IF(AND(ISNUMBER($G145),$G145&gt;=MA_MED),AVERAGE(INDEX($C$5:$C145,142-MA_MED):$C145),"")</f>
        <v>1095956.58</v>
      </c>
      <c r="K145" s="37" t="str">
        <f aca="false">IF(AND(ISNUMBER($G145),$G145&gt;=MA_LONG2),AVERAGE(INDEX($C$5:$C145,142-MA_LONG2):$C145),"")</f>
        <v/>
      </c>
      <c r="L145" s="38" t="n">
        <f aca="false">IF(AND(ISNUMBER($G145),$G145&gt;=21),STDEV(INDEX($H$85:$H145,62-20):$H145)*SQRT(245),"")</f>
        <v>0.160657391662183</v>
      </c>
      <c r="M145" s="37" t="n">
        <f aca="false">IF(AND(ISNUMBER($G145),$G145&gt;=60),MAX(INDEX($D$5:$D145,142-60):$D145),"")</f>
        <v>1167375</v>
      </c>
      <c r="N145" s="37" t="n">
        <f aca="false">IF(AND(ISNUMBER($G145),$G145&gt;=60),MIN(INDEX($E$5:$E145,142-60):$E145),"")</f>
        <v>1005931</v>
      </c>
      <c r="O145" s="38" t="n">
        <f aca="false">IF(OR(NOT(ISNUMBER($C145)),NOT(ISNUMBER($M145)),$M145=0),"",$C145/$M145-1)</f>
        <v>-0.0036586358282471</v>
      </c>
    </row>
    <row r="146" customFormat="false" ht="15" hidden="false" customHeight="true" outlineLevel="0" collapsed="false">
      <c r="A146" s="32" t="n">
        <v>45767</v>
      </c>
      <c r="B146" s="33" t="s">
        <v>236</v>
      </c>
      <c r="C146" s="34" t="n">
        <v>1159860</v>
      </c>
      <c r="D146" s="34" t="n">
        <v>1164449</v>
      </c>
      <c r="E146" s="34" t="n">
        <v>1159722</v>
      </c>
      <c r="F146" s="34" t="n">
        <v>0</v>
      </c>
      <c r="G146" s="35" t="n">
        <f aca="false">IF($A146="","",IF(ISNUMBER($G145),$G145+1,1))</f>
        <v>142</v>
      </c>
      <c r="H146" s="36" t="n">
        <f aca="false">IF(OR(NOT(ISNUMBER($G146)),$G146&lt;2,NOT(ISNUMBER($C145)),$C145=0),"",$C146/$C145-1)</f>
        <v>-0.00278908850799242</v>
      </c>
      <c r="I146" s="37" t="n">
        <f aca="false">IF(AND(ISNUMBER($G146),$G146&gt;=MA_SHORT),AVERAGE(INDEX($C$5:$C146,143-MA_SHORT):$C146),"")</f>
        <v>1131141.7</v>
      </c>
      <c r="J146" s="37" t="n">
        <f aca="false">IF(AND(ISNUMBER($G146),$G146&gt;=MA_MED),AVERAGE(INDEX($C$5:$C146,143-MA_MED):$C146),"")</f>
        <v>1097935.24</v>
      </c>
      <c r="K146" s="37" t="str">
        <f aca="false">IF(AND(ISNUMBER($G146),$G146&gt;=MA_LONG2),AVERAGE(INDEX($C$5:$C146,143-MA_LONG2):$C146),"")</f>
        <v/>
      </c>
      <c r="L146" s="38" t="n">
        <f aca="false">IF(AND(ISNUMBER($G146),$G146&gt;=21),STDEV(INDEX($H$86:$H146,62-20):$H146)*SQRT(245),"")</f>
        <v>0.161710582351995</v>
      </c>
      <c r="M146" s="37" t="n">
        <f aca="false">IF(AND(ISNUMBER($G146),$G146&gt;=60),MAX(INDEX($D$5:$D146,143-60):$D146),"")</f>
        <v>1167375</v>
      </c>
      <c r="N146" s="37" t="n">
        <f aca="false">IF(AND(ISNUMBER($G146),$G146&gt;=60),MIN(INDEX($E$5:$E146,143-60):$E146),"")</f>
        <v>1005931</v>
      </c>
      <c r="O146" s="38" t="n">
        <f aca="false">IF(OR(NOT(ISNUMBER($C146)),NOT(ISNUMBER($M146)),$M146=0),"",$C146/$M146-1)</f>
        <v>-0.00643752007709608</v>
      </c>
    </row>
    <row r="147" customFormat="false" ht="15" hidden="false" customHeight="true" outlineLevel="0" collapsed="false">
      <c r="A147" s="32" t="n">
        <v>45768</v>
      </c>
      <c r="B147" s="33" t="s">
        <v>237</v>
      </c>
      <c r="C147" s="34" t="n">
        <v>1175330</v>
      </c>
      <c r="D147" s="34" t="n">
        <v>1175583</v>
      </c>
      <c r="E147" s="34" t="n">
        <v>1163820</v>
      </c>
      <c r="F147" s="34" t="n">
        <v>0</v>
      </c>
      <c r="G147" s="35" t="n">
        <f aca="false">IF($A147="","",IF(ISNUMBER($G146),$G146+1,1))</f>
        <v>143</v>
      </c>
      <c r="H147" s="36" t="n">
        <f aca="false">IF(OR(NOT(ISNUMBER($G147)),$G147&lt;2,NOT(ISNUMBER($C146)),$C146=0),"",$C147/$C146-1)</f>
        <v>0.013337816633042</v>
      </c>
      <c r="I147" s="37" t="n">
        <f aca="false">IF(AND(ISNUMBER($G147),$G147&gt;=MA_SHORT),AVERAGE(INDEX($C$5:$C147,144-MA_SHORT):$C147),"")</f>
        <v>1134098.95</v>
      </c>
      <c r="J147" s="37" t="n">
        <f aca="false">IF(AND(ISNUMBER($G147),$G147&gt;=MA_MED),AVERAGE(INDEX($C$5:$C147,144-MA_MED):$C147),"")</f>
        <v>1100276.26</v>
      </c>
      <c r="K147" s="37" t="str">
        <f aca="false">IF(AND(ISNUMBER($G147),$G147&gt;=MA_LONG2),AVERAGE(INDEX($C$5:$C147,144-MA_LONG2):$C147),"")</f>
        <v/>
      </c>
      <c r="L147" s="38" t="n">
        <f aca="false">IF(AND(ISNUMBER($G147),$G147&gt;=21),STDEV(INDEX($H$87:$H147,62-20):$H147)*SQRT(245),"")</f>
        <v>0.158004834836136</v>
      </c>
      <c r="M147" s="37" t="n">
        <f aca="false">IF(AND(ISNUMBER($G147),$G147&gt;=60),MAX(INDEX($D$5:$D147,144-60):$D147),"")</f>
        <v>1175583</v>
      </c>
      <c r="N147" s="37" t="n">
        <f aca="false">IF(AND(ISNUMBER($G147),$G147&gt;=60),MIN(INDEX($E$5:$E147,144-60):$E147),"")</f>
        <v>1005931</v>
      </c>
      <c r="O147" s="38" t="n">
        <f aca="false">IF(OR(NOT(ISNUMBER($C147)),NOT(ISNUMBER($M147)),$M147=0),"",$C147/$M147-1)</f>
        <v>-0.000215212366970308</v>
      </c>
    </row>
    <row r="148" customFormat="false" ht="15" hidden="false" customHeight="true" outlineLevel="0" collapsed="false">
      <c r="A148" s="32" t="n">
        <v>45769</v>
      </c>
      <c r="B148" s="33" t="s">
        <v>238</v>
      </c>
      <c r="C148" s="34" t="n">
        <v>1169669</v>
      </c>
      <c r="D148" s="34" t="n">
        <v>1171408</v>
      </c>
      <c r="E148" s="34" t="n">
        <v>1165791</v>
      </c>
      <c r="F148" s="34" t="n">
        <v>0</v>
      </c>
      <c r="G148" s="35" t="n">
        <f aca="false">IF($A148="","",IF(ISNUMBER($G147),$G147+1,1))</f>
        <v>144</v>
      </c>
      <c r="H148" s="36" t="n">
        <f aca="false">IF(OR(NOT(ISNUMBER($G148)),$G148&lt;2,NOT(ISNUMBER($C147)),$C147=0),"",$C148/$C147-1)</f>
        <v>-0.00481651961576746</v>
      </c>
      <c r="I148" s="37" t="n">
        <f aca="false">IF(AND(ISNUMBER($G148),$G148&gt;=MA_SHORT),AVERAGE(INDEX($C$5:$C148,145-MA_SHORT):$C148),"")</f>
        <v>1137577.75</v>
      </c>
      <c r="J148" s="37" t="n">
        <f aca="false">IF(AND(ISNUMBER($G148),$G148&gt;=MA_MED),AVERAGE(INDEX($C$5:$C148,145-MA_MED):$C148),"")</f>
        <v>1102396.06</v>
      </c>
      <c r="K148" s="37" t="str">
        <f aca="false">IF(AND(ISNUMBER($G148),$G148&gt;=MA_LONG2),AVERAGE(INDEX($C$5:$C148,145-MA_LONG2):$C148),"")</f>
        <v/>
      </c>
      <c r="L148" s="38" t="n">
        <f aca="false">IF(AND(ISNUMBER($G148),$G148&gt;=21),STDEV(INDEX($H$88:$H148,62-20):$H148)*SQRT(245),"")</f>
        <v>0.147895460098193</v>
      </c>
      <c r="M148" s="37" t="n">
        <f aca="false">IF(AND(ISNUMBER($G148),$G148&gt;=60),MAX(INDEX($D$5:$D148,145-60):$D148),"")</f>
        <v>1175583</v>
      </c>
      <c r="N148" s="37" t="n">
        <f aca="false">IF(AND(ISNUMBER($G148),$G148&gt;=60),MIN(INDEX($E$5:$E148,145-60):$E148),"")</f>
        <v>1005931</v>
      </c>
      <c r="O148" s="38" t="n">
        <f aca="false">IF(OR(NOT(ISNUMBER($C148)),NOT(ISNUMBER($M148)),$M148=0),"",$C148/$M148-1)</f>
        <v>-0.00503069540815071</v>
      </c>
    </row>
    <row r="149" customFormat="false" ht="15" hidden="false" customHeight="true" outlineLevel="0" collapsed="false">
      <c r="A149" s="32" t="n">
        <v>45770</v>
      </c>
      <c r="B149" s="33" t="s">
        <v>239</v>
      </c>
      <c r="C149" s="34" t="n">
        <v>1158280</v>
      </c>
      <c r="D149" s="34" t="n">
        <v>1164135</v>
      </c>
      <c r="E149" s="34" t="n">
        <v>1157889</v>
      </c>
      <c r="F149" s="34" t="n">
        <v>0</v>
      </c>
      <c r="G149" s="35" t="n">
        <f aca="false">IF($A149="","",IF(ISNUMBER($G148),$G148+1,1))</f>
        <v>145</v>
      </c>
      <c r="H149" s="36" t="n">
        <f aca="false">IF(OR(NOT(ISNUMBER($G149)),$G149&lt;2,NOT(ISNUMBER($C148)),$C148=0),"",$C149/$C148-1)</f>
        <v>-0.00973694267352554</v>
      </c>
      <c r="I149" s="37" t="n">
        <f aca="false">IF(AND(ISNUMBER($G149),$G149&gt;=MA_SHORT),AVERAGE(INDEX($C$5:$C149,146-MA_SHORT):$C149),"")</f>
        <v>1140193.05</v>
      </c>
      <c r="J149" s="37" t="n">
        <f aca="false">IF(AND(ISNUMBER($G149),$G149&gt;=MA_MED),AVERAGE(INDEX($C$5:$C149,146-MA_MED):$C149),"")</f>
        <v>1104227.38</v>
      </c>
      <c r="K149" s="37" t="str">
        <f aca="false">IF(AND(ISNUMBER($G149),$G149&gt;=MA_LONG2),AVERAGE(INDEX($C$5:$C149,146-MA_LONG2):$C149),"")</f>
        <v/>
      </c>
      <c r="L149" s="38" t="n">
        <f aca="false">IF(AND(ISNUMBER($G149),$G149&gt;=21),STDEV(INDEX($H$89:$H149,62-20):$H149)*SQRT(245),"")</f>
        <v>0.154244894960303</v>
      </c>
      <c r="M149" s="37" t="n">
        <f aca="false">IF(AND(ISNUMBER($G149),$G149&gt;=60),MAX(INDEX($D$5:$D149,146-60):$D149),"")</f>
        <v>1175583</v>
      </c>
      <c r="N149" s="37" t="n">
        <f aca="false">IF(AND(ISNUMBER($G149),$G149&gt;=60),MIN(INDEX($E$5:$E149,146-60):$E149),"")</f>
        <v>1014941</v>
      </c>
      <c r="O149" s="38" t="n">
        <f aca="false">IF(OR(NOT(ISNUMBER($C149)),NOT(ISNUMBER($M149)),$M149=0),"",$C149/$M149-1)</f>
        <v>-0.0147186544888791</v>
      </c>
    </row>
    <row r="150" customFormat="false" ht="15" hidden="false" customHeight="true" outlineLevel="0" collapsed="false">
      <c r="A150" s="32" t="n">
        <v>45773</v>
      </c>
      <c r="B150" s="33" t="s">
        <v>240</v>
      </c>
      <c r="C150" s="34" t="n">
        <v>1160365</v>
      </c>
      <c r="D150" s="34" t="n">
        <v>1165166</v>
      </c>
      <c r="E150" s="34" t="n">
        <v>1159387</v>
      </c>
      <c r="F150" s="34" t="n">
        <v>0</v>
      </c>
      <c r="G150" s="35" t="n">
        <f aca="false">IF($A150="","",IF(ISNUMBER($G149),$G149+1,1))</f>
        <v>146</v>
      </c>
      <c r="H150" s="36" t="n">
        <f aca="false">IF(OR(NOT(ISNUMBER($G150)),$G150&lt;2,NOT(ISNUMBER($C149)),$C149=0),"",$C150/$C149-1)</f>
        <v>0.0018000828815139</v>
      </c>
      <c r="I150" s="37" t="n">
        <f aca="false">IF(AND(ISNUMBER($G150),$G150&gt;=MA_SHORT),AVERAGE(INDEX($C$5:$C150,147-MA_SHORT):$C150),"")</f>
        <v>1142937.4</v>
      </c>
      <c r="J150" s="37" t="n">
        <f aca="false">IF(AND(ISNUMBER($G150),$G150&gt;=MA_MED),AVERAGE(INDEX($C$5:$C150,147-MA_MED):$C150),"")</f>
        <v>1106089.6</v>
      </c>
      <c r="K150" s="37" t="str">
        <f aca="false">IF(AND(ISNUMBER($G150),$G150&gt;=MA_LONG2),AVERAGE(INDEX($C$5:$C150,147-MA_LONG2):$C150),"")</f>
        <v/>
      </c>
      <c r="L150" s="38" t="n">
        <f aca="false">IF(AND(ISNUMBER($G150),$G150&gt;=21),STDEV(INDEX($H$90:$H150,62-20):$H150)*SQRT(245),"")</f>
        <v>0.153917511643753</v>
      </c>
      <c r="M150" s="37" t="n">
        <f aca="false">IF(AND(ISNUMBER($G150),$G150&gt;=60),MAX(INDEX($D$5:$D150,147-60):$D150),"")</f>
        <v>1175583</v>
      </c>
      <c r="N150" s="37" t="n">
        <f aca="false">IF(AND(ISNUMBER($G150),$G150&gt;=60),MIN(INDEX($E$5:$E150,147-60):$E150),"")</f>
        <v>1020884</v>
      </c>
      <c r="O150" s="38" t="n">
        <f aca="false">IF(OR(NOT(ISNUMBER($C150)),NOT(ISNUMBER($M150)),$M150=0),"",$C150/$M150-1)</f>
        <v>-0.0129450664053495</v>
      </c>
    </row>
    <row r="151" customFormat="false" ht="15" hidden="false" customHeight="true" outlineLevel="0" collapsed="false">
      <c r="A151" s="32" t="n">
        <v>45774</v>
      </c>
      <c r="B151" s="33" t="s">
        <v>241</v>
      </c>
      <c r="C151" s="34" t="n">
        <v>1175634</v>
      </c>
      <c r="D151" s="34" t="n">
        <v>1176074</v>
      </c>
      <c r="E151" s="34" t="n">
        <v>1174903</v>
      </c>
      <c r="F151" s="34" t="n">
        <v>0</v>
      </c>
      <c r="G151" s="35" t="n">
        <f aca="false">IF($A151="","",IF(ISNUMBER($G150),$G150+1,1))</f>
        <v>147</v>
      </c>
      <c r="H151" s="36" t="n">
        <f aca="false">IF(OR(NOT(ISNUMBER($G151)),$G151&lt;2,NOT(ISNUMBER($C150)),$C150=0),"",$C151/$C150-1)</f>
        <v>0.0131587905529726</v>
      </c>
      <c r="I151" s="37" t="n">
        <f aca="false">IF(AND(ISNUMBER($G151),$G151&gt;=MA_SHORT),AVERAGE(INDEX($C$5:$C151,148-MA_SHORT):$C151),"")</f>
        <v>1145847.25</v>
      </c>
      <c r="J151" s="37" t="n">
        <f aca="false">IF(AND(ISNUMBER($G151),$G151&gt;=MA_MED),AVERAGE(INDEX($C$5:$C151,148-MA_MED):$C151),"")</f>
        <v>1108226.16</v>
      </c>
      <c r="K151" s="37" t="str">
        <f aca="false">IF(AND(ISNUMBER($G151),$G151&gt;=MA_LONG2),AVERAGE(INDEX($C$5:$C151,148-MA_LONG2):$C151),"")</f>
        <v/>
      </c>
      <c r="L151" s="38" t="n">
        <f aca="false">IF(AND(ISNUMBER($G151),$G151&gt;=21),STDEV(INDEX($H$91:$H151,62-20):$H151)*SQRT(245),"")</f>
        <v>0.155761279030185</v>
      </c>
      <c r="M151" s="37" t="n">
        <f aca="false">IF(AND(ISNUMBER($G151),$G151&gt;=60),MAX(INDEX($D$5:$D151,148-60):$D151),"")</f>
        <v>1176074</v>
      </c>
      <c r="N151" s="37" t="n">
        <f aca="false">IF(AND(ISNUMBER($G151),$G151&gt;=60),MIN(INDEX($E$5:$E151,148-60):$E151),"")</f>
        <v>1020884</v>
      </c>
      <c r="O151" s="38" t="n">
        <f aca="false">IF(OR(NOT(ISNUMBER($C151)),NOT(ISNUMBER($M151)),$M151=0),"",$C151/$M151-1)</f>
        <v>-0.00037412611791432</v>
      </c>
    </row>
    <row r="152" customFormat="false" ht="15" hidden="false" customHeight="true" outlineLevel="0" collapsed="false">
      <c r="A152" s="32" t="n">
        <v>45775</v>
      </c>
      <c r="B152" s="33" t="s">
        <v>242</v>
      </c>
      <c r="C152" s="34" t="n">
        <v>1187846</v>
      </c>
      <c r="D152" s="34" t="n">
        <v>1190726</v>
      </c>
      <c r="E152" s="34" t="n">
        <v>1186603</v>
      </c>
      <c r="F152" s="34" t="n">
        <v>0</v>
      </c>
      <c r="G152" s="35" t="n">
        <f aca="false">IF($A152="","",IF(ISNUMBER($G151),$G151+1,1))</f>
        <v>148</v>
      </c>
      <c r="H152" s="36" t="n">
        <f aca="false">IF(OR(NOT(ISNUMBER($G152)),$G152&lt;2,NOT(ISNUMBER($C151)),$C151=0),"",$C152/$C151-1)</f>
        <v>0.0103875866128405</v>
      </c>
      <c r="I152" s="37" t="n">
        <f aca="false">IF(AND(ISNUMBER($G152),$G152&gt;=MA_SHORT),AVERAGE(INDEX($C$5:$C152,149-MA_SHORT):$C152),"")</f>
        <v>1148862.15</v>
      </c>
      <c r="J152" s="37" t="n">
        <f aca="false">IF(AND(ISNUMBER($G152),$G152&gt;=MA_MED),AVERAGE(INDEX($C$5:$C152,149-MA_MED):$C152),"")</f>
        <v>1110842.18</v>
      </c>
      <c r="K152" s="37" t="str">
        <f aca="false">IF(AND(ISNUMBER($G152),$G152&gt;=MA_LONG2),AVERAGE(INDEX($C$5:$C152,149-MA_LONG2):$C152),"")</f>
        <v/>
      </c>
      <c r="L152" s="38" t="n">
        <f aca="false">IF(AND(ISNUMBER($G152),$G152&gt;=21),STDEV(INDEX($H$92:$H152,62-20):$H152)*SQRT(245),"")</f>
        <v>0.156545973503282</v>
      </c>
      <c r="M152" s="37" t="n">
        <f aca="false">IF(AND(ISNUMBER($G152),$G152&gt;=60),MAX(INDEX($D$5:$D152,149-60):$D152),"")</f>
        <v>1190726</v>
      </c>
      <c r="N152" s="37" t="n">
        <f aca="false">IF(AND(ISNUMBER($G152),$G152&gt;=60),MIN(INDEX($E$5:$E152,149-60):$E152),"")</f>
        <v>1031715</v>
      </c>
      <c r="O152" s="38" t="n">
        <f aca="false">IF(OR(NOT(ISNUMBER($C152)),NOT(ISNUMBER($M152)),$M152=0),"",$C152/$M152-1)</f>
        <v>-0.00241869246157389</v>
      </c>
    </row>
    <row r="153" customFormat="false" ht="15" hidden="false" customHeight="true" outlineLevel="0" collapsed="false">
      <c r="A153" s="32" t="n">
        <v>45776</v>
      </c>
      <c r="B153" s="33" t="s">
        <v>243</v>
      </c>
      <c r="C153" s="34" t="n">
        <v>1188603</v>
      </c>
      <c r="D153" s="34" t="n">
        <v>1190827</v>
      </c>
      <c r="E153" s="34" t="n">
        <v>1188062</v>
      </c>
      <c r="F153" s="34" t="n">
        <v>0</v>
      </c>
      <c r="G153" s="35" t="n">
        <f aca="false">IF($A153="","",IF(ISNUMBER($G152),$G152+1,1))</f>
        <v>149</v>
      </c>
      <c r="H153" s="36" t="n">
        <f aca="false">IF(OR(NOT(ISNUMBER($G153)),$G153&lt;2,NOT(ISNUMBER($C152)),$C152=0),"",$C153/$C152-1)</f>
        <v>0.000637287998612512</v>
      </c>
      <c r="I153" s="37" t="n">
        <f aca="false">IF(AND(ISNUMBER($G153),$G153&gt;=MA_SHORT),AVERAGE(INDEX($C$5:$C153,150-MA_SHORT):$C153),"")</f>
        <v>1151372.85</v>
      </c>
      <c r="J153" s="37" t="n">
        <f aca="false">IF(AND(ISNUMBER($G153),$G153&gt;=MA_MED),AVERAGE(INDEX($C$5:$C153,150-MA_MED):$C153),"")</f>
        <v>1113398.32</v>
      </c>
      <c r="K153" s="37" t="str">
        <f aca="false">IF(AND(ISNUMBER($G153),$G153&gt;=MA_LONG2),AVERAGE(INDEX($C$5:$C153,150-MA_LONG2):$C153),"")</f>
        <v/>
      </c>
      <c r="L153" s="38" t="n">
        <f aca="false">IF(AND(ISNUMBER($G153),$G153&gt;=21),STDEV(INDEX($H$93:$H153,62-20):$H153)*SQRT(245),"")</f>
        <v>0.154540532236445</v>
      </c>
      <c r="M153" s="37" t="n">
        <f aca="false">IF(AND(ISNUMBER($G153),$G153&gt;=60),MAX(INDEX($D$5:$D153,150-60):$D153),"")</f>
        <v>1190827</v>
      </c>
      <c r="N153" s="37" t="n">
        <f aca="false">IF(AND(ISNUMBER($G153),$G153&gt;=60),MIN(INDEX($E$5:$E153,150-60):$E153),"")</f>
        <v>1041337</v>
      </c>
      <c r="O153" s="38" t="n">
        <f aca="false">IF(OR(NOT(ISNUMBER($C153)),NOT(ISNUMBER($M153)),$M153=0),"",$C153/$M153-1)</f>
        <v>-0.00186760965278754</v>
      </c>
    </row>
    <row r="154" customFormat="false" ht="15" hidden="false" customHeight="true" outlineLevel="0" collapsed="false">
      <c r="A154" s="32" t="n">
        <v>45777</v>
      </c>
      <c r="B154" s="33" t="s">
        <v>244</v>
      </c>
      <c r="C154" s="34" t="n">
        <v>1186852</v>
      </c>
      <c r="D154" s="34" t="n">
        <v>1189651</v>
      </c>
      <c r="E154" s="34" t="n">
        <v>1184738</v>
      </c>
      <c r="F154" s="34" t="n">
        <v>0</v>
      </c>
      <c r="G154" s="35" t="n">
        <f aca="false">IF($A154="","",IF(ISNUMBER($G153),$G153+1,1))</f>
        <v>150</v>
      </c>
      <c r="H154" s="36" t="n">
        <f aca="false">IF(OR(NOT(ISNUMBER($G154)),$G154&lt;2,NOT(ISNUMBER($C153)),$C153=0),"",$C154/$C153-1)</f>
        <v>-0.00147315798462566</v>
      </c>
      <c r="I154" s="37" t="n">
        <f aca="false">IF(AND(ISNUMBER($G154),$G154&gt;=MA_SHORT),AVERAGE(INDEX($C$5:$C154,151-MA_SHORT):$C154),"")</f>
        <v>1153118.75</v>
      </c>
      <c r="J154" s="37" t="n">
        <f aca="false">IF(AND(ISNUMBER($G154),$G154&gt;=MA_MED),AVERAGE(INDEX($C$5:$C154,151-MA_MED):$C154),"")</f>
        <v>1115608.72</v>
      </c>
      <c r="K154" s="37" t="str">
        <f aca="false">IF(AND(ISNUMBER($G154),$G154&gt;=MA_LONG2),AVERAGE(INDEX($C$5:$C154,151-MA_LONG2):$C154),"")</f>
        <v/>
      </c>
      <c r="L154" s="38" t="n">
        <f aca="false">IF(AND(ISNUMBER($G154),$G154&gt;=21),STDEV(INDEX($H$94:$H154,62-20):$H154)*SQRT(245),"")</f>
        <v>0.150768019345501</v>
      </c>
      <c r="M154" s="37" t="n">
        <f aca="false">IF(AND(ISNUMBER($G154),$G154&gt;=60),MAX(INDEX($D$5:$D154,151-60):$D154),"")</f>
        <v>1190827</v>
      </c>
      <c r="N154" s="37" t="n">
        <f aca="false">IF(AND(ISNUMBER($G154),$G154&gt;=60),MIN(INDEX($E$5:$E154,151-60):$E154),"")</f>
        <v>1045410</v>
      </c>
      <c r="O154" s="38" t="n">
        <f aca="false">IF(OR(NOT(ISNUMBER($C154)),NOT(ISNUMBER($M154)),$M154=0),"",$C154/$M154-1)</f>
        <v>-0.00333801635334097</v>
      </c>
    </row>
    <row r="155" customFormat="false" ht="15" hidden="false" customHeight="true" outlineLevel="0" collapsed="false">
      <c r="A155" s="32" t="n">
        <v>45780</v>
      </c>
      <c r="B155" s="33" t="s">
        <v>245</v>
      </c>
      <c r="C155" s="34" t="n">
        <v>1176389</v>
      </c>
      <c r="D155" s="34" t="n">
        <v>1178110</v>
      </c>
      <c r="E155" s="34" t="n">
        <v>1174480</v>
      </c>
      <c r="F155" s="34" t="n">
        <v>0</v>
      </c>
      <c r="G155" s="35" t="n">
        <f aca="false">IF($A155="","",IF(ISNUMBER($G154),$G154+1,1))</f>
        <v>151</v>
      </c>
      <c r="H155" s="36" t="n">
        <f aca="false">IF(OR(NOT(ISNUMBER($G155)),$G155&lt;2,NOT(ISNUMBER($C154)),$C154=0),"",$C155/$C154-1)</f>
        <v>-0.0088157579883591</v>
      </c>
      <c r="I155" s="37" t="n">
        <f aca="false">IF(AND(ISNUMBER($G155),$G155&gt;=MA_SHORT),AVERAGE(INDEX($C$5:$C155,152-MA_SHORT):$C155),"")</f>
        <v>1155386.65</v>
      </c>
      <c r="J155" s="37" t="n">
        <f aca="false">IF(AND(ISNUMBER($G155),$G155&gt;=MA_MED),AVERAGE(INDEX($C$5:$C155,152-MA_MED):$C155),"")</f>
        <v>1117439.24</v>
      </c>
      <c r="K155" s="37" t="str">
        <f aca="false">IF(AND(ISNUMBER($G155),$G155&gt;=MA_LONG2),AVERAGE(INDEX($C$5:$C155,152-MA_LONG2):$C155),"")</f>
        <v/>
      </c>
      <c r="L155" s="38" t="n">
        <f aca="false">IF(AND(ISNUMBER($G155),$G155&gt;=21),STDEV(INDEX($H$95:$H155,62-20):$H155)*SQRT(245),"")</f>
        <v>0.138061263055483</v>
      </c>
      <c r="M155" s="37" t="n">
        <f aca="false">IF(AND(ISNUMBER($G155),$G155&gt;=60),MAX(INDEX($D$5:$D155,152-60):$D155),"")</f>
        <v>1190827</v>
      </c>
      <c r="N155" s="37" t="n">
        <f aca="false">IF(AND(ISNUMBER($G155),$G155&gt;=60),MIN(INDEX($E$5:$E155,152-60):$E155),"")</f>
        <v>1054813</v>
      </c>
      <c r="O155" s="38" t="n">
        <f aca="false">IF(OR(NOT(ISNUMBER($C155)),NOT(ISNUMBER($M155)),$M155=0),"",$C155/$M155-1)</f>
        <v>-0.0121243471973679</v>
      </c>
    </row>
    <row r="156" customFormat="false" ht="15" hidden="false" customHeight="true" outlineLevel="0" collapsed="false">
      <c r="A156" s="32" t="n">
        <v>45781</v>
      </c>
      <c r="B156" s="33" t="s">
        <v>246</v>
      </c>
      <c r="C156" s="34" t="n">
        <v>1165943</v>
      </c>
      <c r="D156" s="34" t="n">
        <v>1170117</v>
      </c>
      <c r="E156" s="34" t="n">
        <v>1163098</v>
      </c>
      <c r="F156" s="34" t="n">
        <v>0</v>
      </c>
      <c r="G156" s="35" t="n">
        <f aca="false">IF($A156="","",IF(ISNUMBER($G155),$G155+1,1))</f>
        <v>152</v>
      </c>
      <c r="H156" s="36" t="n">
        <f aca="false">IF(OR(NOT(ISNUMBER($G156)),$G156&lt;2,NOT(ISNUMBER($C155)),$C155=0),"",$C156/$C155-1)</f>
        <v>-0.00887971580829128</v>
      </c>
      <c r="I156" s="37" t="n">
        <f aca="false">IF(AND(ISNUMBER($G156),$G156&gt;=MA_SHORT),AVERAGE(INDEX($C$5:$C156,153-MA_SHORT):$C156),"")</f>
        <v>1156696.35</v>
      </c>
      <c r="J156" s="37" t="n">
        <f aca="false">IF(AND(ISNUMBER($G156),$G156&gt;=MA_MED),AVERAGE(INDEX($C$5:$C156,153-MA_MED):$C156),"")</f>
        <v>1118802.16</v>
      </c>
      <c r="K156" s="37" t="str">
        <f aca="false">IF(AND(ISNUMBER($G156),$G156&gt;=MA_LONG2),AVERAGE(INDEX($C$5:$C156,153-MA_LONG2):$C156),"")</f>
        <v/>
      </c>
      <c r="L156" s="38" t="n">
        <f aca="false">IF(AND(ISNUMBER($G156),$G156&gt;=21),STDEV(INDEX($H$96:$H156,62-20):$H156)*SQRT(245),"")</f>
        <v>0.141392305911933</v>
      </c>
      <c r="M156" s="37" t="n">
        <f aca="false">IF(AND(ISNUMBER($G156),$G156&gt;=60),MAX(INDEX($D$5:$D156,153-60):$D156),"")</f>
        <v>1190827</v>
      </c>
      <c r="N156" s="37" t="n">
        <f aca="false">IF(AND(ISNUMBER($G156),$G156&gt;=60),MIN(INDEX($E$5:$E156,153-60):$E156),"")</f>
        <v>1054813</v>
      </c>
      <c r="O156" s="38" t="n">
        <f aca="false">IF(OR(NOT(ISNUMBER($C156)),NOT(ISNUMBER($M156)),$M156=0),"",$C156/$M156-1)</f>
        <v>-0.0208964022481855</v>
      </c>
    </row>
    <row r="157" customFormat="false" ht="15" hidden="false" customHeight="true" outlineLevel="0" collapsed="false">
      <c r="A157" s="32" t="n">
        <v>45782</v>
      </c>
      <c r="B157" s="33" t="s">
        <v>247</v>
      </c>
      <c r="C157" s="34" t="n">
        <v>1158304</v>
      </c>
      <c r="D157" s="34" t="n">
        <v>1159719</v>
      </c>
      <c r="E157" s="34" t="n">
        <v>1155688</v>
      </c>
      <c r="F157" s="34" t="n">
        <v>0</v>
      </c>
      <c r="G157" s="35" t="n">
        <f aca="false">IF($A157="","",IF(ISNUMBER($G156),$G156+1,1))</f>
        <v>153</v>
      </c>
      <c r="H157" s="36" t="n">
        <f aca="false">IF(OR(NOT(ISNUMBER($G157)),$G157&lt;2,NOT(ISNUMBER($C156)),$C156=0),"",$C157/$C156-1)</f>
        <v>-0.00655177826017228</v>
      </c>
      <c r="I157" s="37" t="n">
        <f aca="false">IF(AND(ISNUMBER($G157),$G157&gt;=MA_SHORT),AVERAGE(INDEX($C$5:$C157,154-MA_SHORT):$C157),"")</f>
        <v>1157558.25</v>
      </c>
      <c r="J157" s="37" t="n">
        <f aca="false">IF(AND(ISNUMBER($G157),$G157&gt;=MA_MED),AVERAGE(INDEX($C$5:$C157,154-MA_MED):$C157),"")</f>
        <v>1119993.4</v>
      </c>
      <c r="K157" s="37" t="str">
        <f aca="false">IF(AND(ISNUMBER($G157),$G157&gt;=MA_LONG2),AVERAGE(INDEX($C$5:$C157,154-MA_LONG2):$C157),"")</f>
        <v/>
      </c>
      <c r="L157" s="38" t="n">
        <f aca="false">IF(AND(ISNUMBER($G157),$G157&gt;=21),STDEV(INDEX($H$97:$H157,62-20):$H157)*SQRT(245),"")</f>
        <v>0.143956341087167</v>
      </c>
      <c r="M157" s="37" t="n">
        <f aca="false">IF(AND(ISNUMBER($G157),$G157&gt;=60),MAX(INDEX($D$5:$D157,154-60):$D157),"")</f>
        <v>1190827</v>
      </c>
      <c r="N157" s="37" t="n">
        <f aca="false">IF(AND(ISNUMBER($G157),$G157&gt;=60),MIN(INDEX($E$5:$E157,154-60):$E157),"")</f>
        <v>1054813</v>
      </c>
      <c r="O157" s="38" t="n">
        <f aca="false">IF(OR(NOT(ISNUMBER($C157)),NOT(ISNUMBER($M157)),$M157=0),"",$C157/$M157-1)</f>
        <v>-0.0273112719143923</v>
      </c>
    </row>
    <row r="158" customFormat="false" ht="15" hidden="false" customHeight="true" outlineLevel="0" collapsed="false">
      <c r="A158" s="32" t="n">
        <v>45783</v>
      </c>
      <c r="B158" s="33" t="s">
        <v>248</v>
      </c>
      <c r="C158" s="34" t="n">
        <v>1162748</v>
      </c>
      <c r="D158" s="34" t="n">
        <v>1166833</v>
      </c>
      <c r="E158" s="34" t="n">
        <v>1158827</v>
      </c>
      <c r="F158" s="34" t="n">
        <v>0</v>
      </c>
      <c r="G158" s="35" t="n">
        <f aca="false">IF($A158="","",IF(ISNUMBER($G157),$G157+1,1))</f>
        <v>154</v>
      </c>
      <c r="H158" s="36" t="n">
        <f aca="false">IF(OR(NOT(ISNUMBER($G158)),$G158&lt;2,NOT(ISNUMBER($C157)),$C157=0),"",$C158/$C157-1)</f>
        <v>0.00383664392076688</v>
      </c>
      <c r="I158" s="37" t="n">
        <f aca="false">IF(AND(ISNUMBER($G158),$G158&gt;=MA_SHORT),AVERAGE(INDEX($C$5:$C158,155-MA_SHORT):$C158),"")</f>
        <v>1159341.55</v>
      </c>
      <c r="J158" s="37" t="n">
        <f aca="false">IF(AND(ISNUMBER($G158),$G158&gt;=MA_MED),AVERAGE(INDEX($C$5:$C158,155-MA_MED):$C158),"")</f>
        <v>1121298.96</v>
      </c>
      <c r="K158" s="37" t="str">
        <f aca="false">IF(AND(ISNUMBER($G158),$G158&gt;=MA_LONG2),AVERAGE(INDEX($C$5:$C158,155-MA_LONG2):$C158),"")</f>
        <v/>
      </c>
      <c r="L158" s="38" t="n">
        <f aca="false">IF(AND(ISNUMBER($G158),$G158&gt;=21),STDEV(INDEX($H$98:$H158,62-20):$H158)*SQRT(245),"")</f>
        <v>0.13594752922518</v>
      </c>
      <c r="M158" s="37" t="n">
        <f aca="false">IF(AND(ISNUMBER($G158),$G158&gt;=60),MAX(INDEX($D$5:$D158,155-60):$D158),"")</f>
        <v>1190827</v>
      </c>
      <c r="N158" s="37" t="n">
        <f aca="false">IF(AND(ISNUMBER($G158),$G158&gt;=60),MIN(INDEX($E$5:$E158,155-60):$E158),"")</f>
        <v>1054813</v>
      </c>
      <c r="O158" s="38" t="n">
        <f aca="false">IF(OR(NOT(ISNUMBER($C158)),NOT(ISNUMBER($M158)),$M158=0),"",$C158/$M158-1)</f>
        <v>-0.0235794116189841</v>
      </c>
    </row>
    <row r="159" customFormat="false" ht="15" hidden="false" customHeight="true" outlineLevel="0" collapsed="false">
      <c r="A159" s="32" t="n">
        <v>45784</v>
      </c>
      <c r="B159" s="33" t="s">
        <v>249</v>
      </c>
      <c r="C159" s="34" t="n">
        <v>1173253</v>
      </c>
      <c r="D159" s="34" t="n">
        <v>1176674</v>
      </c>
      <c r="E159" s="34" t="n">
        <v>1170859</v>
      </c>
      <c r="F159" s="34" t="n">
        <v>0</v>
      </c>
      <c r="G159" s="35" t="n">
        <f aca="false">IF($A159="","",IF(ISNUMBER($G158),$G158+1,1))</f>
        <v>155</v>
      </c>
      <c r="H159" s="36" t="n">
        <f aca="false">IF(OR(NOT(ISNUMBER($G159)),$G159&lt;2,NOT(ISNUMBER($C158)),$C158=0),"",$C159/$C158-1)</f>
        <v>0.00903463175167785</v>
      </c>
      <c r="I159" s="37" t="n">
        <f aca="false">IF(AND(ISNUMBER($G159),$G159&gt;=MA_SHORT),AVERAGE(INDEX($C$5:$C159,156-MA_SHORT):$C159),"")</f>
        <v>1162101.65</v>
      </c>
      <c r="J159" s="37" t="n">
        <f aca="false">IF(AND(ISNUMBER($G159),$G159&gt;=MA_MED),AVERAGE(INDEX($C$5:$C159,156-MA_MED):$C159),"")</f>
        <v>1122935.92</v>
      </c>
      <c r="K159" s="37" t="str">
        <f aca="false">IF(AND(ISNUMBER($G159),$G159&gt;=MA_LONG2),AVERAGE(INDEX($C$5:$C159,156-MA_LONG2):$C159),"")</f>
        <v/>
      </c>
      <c r="L159" s="38" t="n">
        <f aca="false">IF(AND(ISNUMBER($G159),$G159&gt;=21),STDEV(INDEX($H$99:$H159,62-20):$H159)*SQRT(245),"")</f>
        <v>0.133483725509327</v>
      </c>
      <c r="M159" s="37" t="n">
        <f aca="false">IF(AND(ISNUMBER($G159),$G159&gt;=60),MAX(INDEX($D$5:$D159,156-60):$D159),"")</f>
        <v>1190827</v>
      </c>
      <c r="N159" s="37" t="n">
        <f aca="false">IF(AND(ISNUMBER($G159),$G159&gt;=60),MIN(INDEX($E$5:$E159,156-60):$E159),"")</f>
        <v>1054813</v>
      </c>
      <c r="O159" s="38" t="n">
        <f aca="false">IF(OR(NOT(ISNUMBER($C159)),NOT(ISNUMBER($M159)),$M159=0),"",$C159/$M159-1)</f>
        <v>-0.014757811168205</v>
      </c>
    </row>
    <row r="160" customFormat="false" ht="15" hidden="false" customHeight="true" outlineLevel="0" collapsed="false">
      <c r="A160" s="32" t="n">
        <v>45787</v>
      </c>
      <c r="B160" s="33" t="s">
        <v>250</v>
      </c>
      <c r="C160" s="34" t="n">
        <v>1185924</v>
      </c>
      <c r="D160" s="34" t="n">
        <v>1188837</v>
      </c>
      <c r="E160" s="34" t="n">
        <v>1181985</v>
      </c>
      <c r="F160" s="34" t="n">
        <v>0</v>
      </c>
      <c r="G160" s="35" t="n">
        <f aca="false">IF($A160="","",IF(ISNUMBER($G159),$G159+1,1))</f>
        <v>156</v>
      </c>
      <c r="H160" s="36" t="n">
        <f aca="false">IF(OR(NOT(ISNUMBER($G160)),$G160&lt;2,NOT(ISNUMBER($C159)),$C159=0),"",$C160/$C159-1)</f>
        <v>0.0107998871513646</v>
      </c>
      <c r="I160" s="37" t="n">
        <f aca="false">IF(AND(ISNUMBER($G160),$G160&gt;=MA_SHORT),AVERAGE(INDEX($C$5:$C160,157-MA_SHORT):$C160),"")</f>
        <v>1164949.7</v>
      </c>
      <c r="J160" s="37" t="n">
        <f aca="false">IF(AND(ISNUMBER($G160),$G160&gt;=MA_MED),AVERAGE(INDEX($C$5:$C160,157-MA_MED):$C160),"")</f>
        <v>1125029.34</v>
      </c>
      <c r="K160" s="37" t="str">
        <f aca="false">IF(AND(ISNUMBER($G160),$G160&gt;=MA_LONG2),AVERAGE(INDEX($C$5:$C160,157-MA_LONG2):$C160),"")</f>
        <v/>
      </c>
      <c r="L160" s="38" t="n">
        <f aca="false">IF(AND(ISNUMBER($G160),$G160&gt;=21),STDEV(INDEX($H$100:$H160,62-20):$H160)*SQRT(245),"")</f>
        <v>0.134265784839838</v>
      </c>
      <c r="M160" s="37" t="n">
        <f aca="false">IF(AND(ISNUMBER($G160),$G160&gt;=60),MAX(INDEX($D$5:$D160,157-60):$D160),"")</f>
        <v>1190827</v>
      </c>
      <c r="N160" s="37" t="n">
        <f aca="false">IF(AND(ISNUMBER($G160),$G160&gt;=60),MIN(INDEX($E$5:$E160,157-60):$E160),"")</f>
        <v>1054813</v>
      </c>
      <c r="O160" s="38" t="n">
        <f aca="false">IF(OR(NOT(ISNUMBER($C160)),NOT(ISNUMBER($M160)),$M160=0),"",$C160/$M160-1)</f>
        <v>-0.00411730671205812</v>
      </c>
    </row>
    <row r="161" customFormat="false" ht="15" hidden="false" customHeight="true" outlineLevel="0" collapsed="false">
      <c r="A161" s="32" t="n">
        <v>45788</v>
      </c>
      <c r="B161" s="33" t="s">
        <v>251</v>
      </c>
      <c r="C161" s="34" t="n">
        <v>1174615</v>
      </c>
      <c r="D161" s="34" t="n">
        <v>1178748</v>
      </c>
      <c r="E161" s="34" t="n">
        <v>1172342</v>
      </c>
      <c r="F161" s="34" t="n">
        <v>0</v>
      </c>
      <c r="G161" s="35" t="n">
        <f aca="false">IF($A161="","",IF(ISNUMBER($G160),$G160+1,1))</f>
        <v>157</v>
      </c>
      <c r="H161" s="36" t="n">
        <f aca="false">IF(OR(NOT(ISNUMBER($G161)),$G161&lt;2,NOT(ISNUMBER($C160)),$C160=0),"",$C161/$C160-1)</f>
        <v>-0.00953602423089506</v>
      </c>
      <c r="I161" s="37" t="n">
        <f aca="false">IF(AND(ISNUMBER($G161),$G161&gt;=MA_SHORT),AVERAGE(INDEX($C$5:$C161,158-MA_SHORT):$C161),"")</f>
        <v>1166914.8</v>
      </c>
      <c r="J161" s="37" t="n">
        <f aca="false">IF(AND(ISNUMBER($G161),$G161&gt;=MA_MED),AVERAGE(INDEX($C$5:$C161,158-MA_MED):$C161),"")</f>
        <v>1126935.56</v>
      </c>
      <c r="K161" s="37" t="str">
        <f aca="false">IF(AND(ISNUMBER($G161),$G161&gt;=MA_LONG2),AVERAGE(INDEX($C$5:$C161,158-MA_LONG2):$C161),"")</f>
        <v/>
      </c>
      <c r="L161" s="38" t="n">
        <f aca="false">IF(AND(ISNUMBER($G161),$G161&gt;=21),STDEV(INDEX($H$101:$H161,62-20):$H161)*SQRT(245),"")</f>
        <v>0.140074465589161</v>
      </c>
      <c r="M161" s="37" t="n">
        <f aca="false">IF(AND(ISNUMBER($G161),$G161&gt;=60),MAX(INDEX($D$5:$D161,158-60):$D161),"")</f>
        <v>1190827</v>
      </c>
      <c r="N161" s="37" t="n">
        <f aca="false">IF(AND(ISNUMBER($G161),$G161&gt;=60),MIN(INDEX($E$5:$E161,158-60):$E161),"")</f>
        <v>1054813</v>
      </c>
      <c r="O161" s="38" t="n">
        <f aca="false">IF(OR(NOT(ISNUMBER($C161)),NOT(ISNUMBER($M161)),$M161=0),"",$C161/$M161-1)</f>
        <v>-0.0136140682063809</v>
      </c>
    </row>
    <row r="162" customFormat="false" ht="15" hidden="false" customHeight="true" outlineLevel="0" collapsed="false">
      <c r="A162" s="32" t="n">
        <v>45789</v>
      </c>
      <c r="B162" s="33" t="s">
        <v>252</v>
      </c>
      <c r="C162" s="34" t="n">
        <v>1167145</v>
      </c>
      <c r="D162" s="34" t="n">
        <v>1169471</v>
      </c>
      <c r="E162" s="34" t="n">
        <v>1163079</v>
      </c>
      <c r="F162" s="34" t="n">
        <v>0</v>
      </c>
      <c r="G162" s="35" t="n">
        <f aca="false">IF($A162="","",IF(ISNUMBER($G161),$G161+1,1))</f>
        <v>158</v>
      </c>
      <c r="H162" s="36" t="n">
        <f aca="false">IF(OR(NOT(ISNUMBER($G162)),$G162&lt;2,NOT(ISNUMBER($C161)),$C161=0),"",$C162/$C161-1)</f>
        <v>-0.00635953056959093</v>
      </c>
      <c r="I162" s="37" t="n">
        <f aca="false">IF(AND(ISNUMBER($G162),$G162&gt;=MA_SHORT),AVERAGE(INDEX($C$5:$C162,159-MA_SHORT):$C162),"")</f>
        <v>1169056</v>
      </c>
      <c r="J162" s="37" t="n">
        <f aca="false">IF(AND(ISNUMBER($G162),$G162&gt;=MA_MED),AVERAGE(INDEX($C$5:$C162,159-MA_MED):$C162),"")</f>
        <v>1128915.84</v>
      </c>
      <c r="K162" s="37" t="str">
        <f aca="false">IF(AND(ISNUMBER($G162),$G162&gt;=MA_LONG2),AVERAGE(INDEX($C$5:$C162,159-MA_LONG2):$C162),"")</f>
        <v/>
      </c>
      <c r="L162" s="38" t="n">
        <f aca="false">IF(AND(ISNUMBER($G162),$G162&gt;=21),STDEV(INDEX($H$102:$H162,62-20):$H162)*SQRT(245),"")</f>
        <v>0.137030392731188</v>
      </c>
      <c r="M162" s="37" t="n">
        <f aca="false">IF(AND(ISNUMBER($G162),$G162&gt;=60),MAX(INDEX($D$5:$D162,159-60):$D162),"")</f>
        <v>1190827</v>
      </c>
      <c r="N162" s="37" t="n">
        <f aca="false">IF(AND(ISNUMBER($G162),$G162&gt;=60),MIN(INDEX($E$5:$E162,159-60):$E162),"")</f>
        <v>1054813</v>
      </c>
      <c r="O162" s="38" t="n">
        <f aca="false">IF(OR(NOT(ISNUMBER($C162)),NOT(ISNUMBER($M162)),$M162=0),"",$C162/$M162-1)</f>
        <v>-0.0198870196930369</v>
      </c>
    </row>
    <row r="163" customFormat="false" ht="15" hidden="false" customHeight="true" outlineLevel="0" collapsed="false">
      <c r="A163" s="32" t="n">
        <v>45790</v>
      </c>
      <c r="B163" s="33" t="s">
        <v>253</v>
      </c>
      <c r="C163" s="34" t="n">
        <v>1179095</v>
      </c>
      <c r="D163" s="34" t="n">
        <v>1185297</v>
      </c>
      <c r="E163" s="34" t="n">
        <v>1170499</v>
      </c>
      <c r="F163" s="34" t="n">
        <v>0</v>
      </c>
      <c r="G163" s="35" t="n">
        <f aca="false">IF($A163="","",IF(ISNUMBER($G162),$G162+1,1))</f>
        <v>159</v>
      </c>
      <c r="H163" s="36" t="n">
        <f aca="false">IF(OR(NOT(ISNUMBER($G163)),$G163&lt;2,NOT(ISNUMBER($C162)),$C162=0),"",$C163/$C162-1)</f>
        <v>0.0102386592925472</v>
      </c>
      <c r="I163" s="37" t="n">
        <f aca="false">IF(AND(ISNUMBER($G163),$G163&gt;=MA_SHORT),AVERAGE(INDEX($C$5:$C163,160-MA_SHORT):$C163),"")</f>
        <v>1171046.2</v>
      </c>
      <c r="J163" s="37" t="n">
        <f aca="false">IF(AND(ISNUMBER($G163),$G163&gt;=MA_MED),AVERAGE(INDEX($C$5:$C163,160-MA_MED):$C163),"")</f>
        <v>1131247.14</v>
      </c>
      <c r="K163" s="37" t="str">
        <f aca="false">IF(AND(ISNUMBER($G163),$G163&gt;=MA_LONG2),AVERAGE(INDEX($C$5:$C163,160-MA_LONG2):$C163),"")</f>
        <v/>
      </c>
      <c r="L163" s="38" t="n">
        <f aca="false">IF(AND(ISNUMBER($G163),$G163&gt;=21),STDEV(INDEX($H$103:$H163,62-20):$H163)*SQRT(245),"")</f>
        <v>0.134120402534002</v>
      </c>
      <c r="M163" s="37" t="n">
        <f aca="false">IF(AND(ISNUMBER($G163),$G163&gt;=60),MAX(INDEX($D$5:$D163,160-60):$D163),"")</f>
        <v>1190827</v>
      </c>
      <c r="N163" s="37" t="n">
        <f aca="false">IF(AND(ISNUMBER($G163),$G163&gt;=60),MIN(INDEX($E$5:$E163,160-60):$E163),"")</f>
        <v>1054813</v>
      </c>
      <c r="O163" s="38" t="n">
        <f aca="false">IF(OR(NOT(ISNUMBER($C163)),NOT(ISNUMBER($M163)),$M163=0),"",$C163/$M163-1)</f>
        <v>-0.00985197681947081</v>
      </c>
    </row>
    <row r="164" customFormat="false" ht="15" hidden="false" customHeight="true" outlineLevel="0" collapsed="false">
      <c r="A164" s="32" t="n">
        <v>45791</v>
      </c>
      <c r="B164" s="33" t="s">
        <v>254</v>
      </c>
      <c r="C164" s="34" t="n">
        <v>1172645</v>
      </c>
      <c r="D164" s="34" t="n">
        <v>1176465</v>
      </c>
      <c r="E164" s="34" t="n">
        <v>1171763</v>
      </c>
      <c r="F164" s="34" t="n">
        <v>0</v>
      </c>
      <c r="G164" s="35" t="n">
        <f aca="false">IF($A164="","",IF(ISNUMBER($G163),$G163+1,1))</f>
        <v>160</v>
      </c>
      <c r="H164" s="36" t="n">
        <f aca="false">IF(OR(NOT(ISNUMBER($G164)),$G164&lt;2,NOT(ISNUMBER($C163)),$C163=0),"",$C164/$C163-1)</f>
        <v>-0.00547029713466685</v>
      </c>
      <c r="I164" s="37" t="n">
        <f aca="false">IF(AND(ISNUMBER($G164),$G164&gt;=MA_SHORT),AVERAGE(INDEX($C$5:$C164,161-MA_SHORT):$C164),"")</f>
        <v>1172080.2</v>
      </c>
      <c r="J164" s="37" t="n">
        <f aca="false">IF(AND(ISNUMBER($G164),$G164&gt;=MA_MED),AVERAGE(INDEX($C$5:$C164,161-MA_MED):$C164),"")</f>
        <v>1133419.7</v>
      </c>
      <c r="K164" s="37" t="str">
        <f aca="false">IF(AND(ISNUMBER($G164),$G164&gt;=MA_LONG2),AVERAGE(INDEX($C$5:$C164,161-MA_LONG2):$C164),"")</f>
        <v/>
      </c>
      <c r="L164" s="38" t="n">
        <f aca="false">IF(AND(ISNUMBER($G164),$G164&gt;=21),STDEV(INDEX($H$104:$H164,62-20):$H164)*SQRT(245),"")</f>
        <v>0.131723965807538</v>
      </c>
      <c r="M164" s="37" t="n">
        <f aca="false">IF(AND(ISNUMBER($G164),$G164&gt;=60),MAX(INDEX($D$5:$D164,161-60):$D164),"")</f>
        <v>1190827</v>
      </c>
      <c r="N164" s="37" t="n">
        <f aca="false">IF(AND(ISNUMBER($G164),$G164&gt;=60),MIN(INDEX($E$5:$E164,161-60):$E164),"")</f>
        <v>1054813</v>
      </c>
      <c r="O164" s="38" t="n">
        <f aca="false">IF(OR(NOT(ISNUMBER($C164)),NOT(ISNUMBER($M164)),$M164=0),"",$C164/$M164-1)</f>
        <v>-0.0152683807135713</v>
      </c>
    </row>
    <row r="165" customFormat="false" ht="15" hidden="false" customHeight="true" outlineLevel="0" collapsed="false">
      <c r="A165" s="32" t="n">
        <v>45794</v>
      </c>
      <c r="B165" s="33" t="s">
        <v>255</v>
      </c>
      <c r="C165" s="34" t="n">
        <v>1185370</v>
      </c>
      <c r="D165" s="34" t="n">
        <v>1186298</v>
      </c>
      <c r="E165" s="34" t="n">
        <v>1182968</v>
      </c>
      <c r="F165" s="34" t="n">
        <v>0</v>
      </c>
      <c r="G165" s="35" t="n">
        <f aca="false">IF($A165="","",IF(ISNUMBER($G164),$G164+1,1))</f>
        <v>161</v>
      </c>
      <c r="H165" s="36" t="n">
        <f aca="false">IF(OR(NOT(ISNUMBER($G165)),$G165&lt;2,NOT(ISNUMBER($C164)),$C164=0),"",$C165/$C164-1)</f>
        <v>0.0108515364837611</v>
      </c>
      <c r="I165" s="37" t="n">
        <f aca="false">IF(AND(ISNUMBER($G165),$G165&gt;=MA_SHORT),AVERAGE(INDEX($C$5:$C165,162-MA_SHORT):$C165),"")</f>
        <v>1173193.5</v>
      </c>
      <c r="J165" s="37" t="n">
        <f aca="false">IF(AND(ISNUMBER($G165),$G165&gt;=MA_MED),AVERAGE(INDEX($C$5:$C165,162-MA_MED):$C165),"")</f>
        <v>1135904.84</v>
      </c>
      <c r="K165" s="37" t="str">
        <f aca="false">IF(AND(ISNUMBER($G165),$G165&gt;=MA_LONG2),AVERAGE(INDEX($C$5:$C165,162-MA_LONG2):$C165),"")</f>
        <v/>
      </c>
      <c r="L165" s="38" t="n">
        <f aca="false">IF(AND(ISNUMBER($G165),$G165&gt;=21),STDEV(INDEX($H$105:$H165,62-20):$H165)*SQRT(245),"")</f>
        <v>0.132796517976385</v>
      </c>
      <c r="M165" s="37" t="n">
        <f aca="false">IF(AND(ISNUMBER($G165),$G165&gt;=60),MAX(INDEX($D$5:$D165,162-60):$D165),"")</f>
        <v>1190827</v>
      </c>
      <c r="N165" s="37" t="n">
        <f aca="false">IF(AND(ISNUMBER($G165),$G165&gt;=60),MIN(INDEX($E$5:$E165,162-60):$E165),"")</f>
        <v>1054813</v>
      </c>
      <c r="O165" s="38" t="n">
        <f aca="false">IF(OR(NOT(ISNUMBER($C165)),NOT(ISNUMBER($M165)),$M165=0),"",$C165/$M165-1)</f>
        <v>-0.00458252962017158</v>
      </c>
    </row>
    <row r="166" customFormat="false" ht="15" hidden="false" customHeight="true" outlineLevel="0" collapsed="false">
      <c r="A166" s="32" t="n">
        <v>45795</v>
      </c>
      <c r="B166" s="33" t="s">
        <v>256</v>
      </c>
      <c r="C166" s="34" t="n">
        <v>1205658</v>
      </c>
      <c r="D166" s="34" t="n">
        <v>1212788</v>
      </c>
      <c r="E166" s="34" t="n">
        <v>1201150</v>
      </c>
      <c r="F166" s="34" t="n">
        <v>0</v>
      </c>
      <c r="G166" s="35" t="n">
        <f aca="false">IF($A166="","",IF(ISNUMBER($G165),$G165+1,1))</f>
        <v>162</v>
      </c>
      <c r="H166" s="36" t="n">
        <f aca="false">IF(OR(NOT(ISNUMBER($G166)),$G166&lt;2,NOT(ISNUMBER($C165)),$C165=0),"",$C166/$C165-1)</f>
        <v>0.0171153310780601</v>
      </c>
      <c r="I166" s="37" t="n">
        <f aca="false">IF(AND(ISNUMBER($G166),$G166&gt;=MA_SHORT),AVERAGE(INDEX($C$5:$C166,163-MA_SHORT):$C166),"")</f>
        <v>1175483.4</v>
      </c>
      <c r="J166" s="37" t="n">
        <f aca="false">IF(AND(ISNUMBER($G166),$G166&gt;=MA_MED),AVERAGE(INDEX($C$5:$C166,163-MA_MED):$C166),"")</f>
        <v>1138804.94</v>
      </c>
      <c r="K166" s="37" t="str">
        <f aca="false">IF(AND(ISNUMBER($G166),$G166&gt;=MA_LONG2),AVERAGE(INDEX($C$5:$C166,163-MA_LONG2):$C166),"")</f>
        <v/>
      </c>
      <c r="L166" s="38" t="n">
        <f aca="false">IF(AND(ISNUMBER($G166),$G166&gt;=21),STDEV(INDEX($H$106:$H166,62-20):$H166)*SQRT(245),"")</f>
        <v>0.143359821392177</v>
      </c>
      <c r="M166" s="37" t="n">
        <f aca="false">IF(AND(ISNUMBER($G166),$G166&gt;=60),MAX(INDEX($D$5:$D166,163-60):$D166),"")</f>
        <v>1212788</v>
      </c>
      <c r="N166" s="37" t="n">
        <f aca="false">IF(AND(ISNUMBER($G166),$G166&gt;=60),MIN(INDEX($E$5:$E166,163-60):$E166),"")</f>
        <v>1054813</v>
      </c>
      <c r="O166" s="38" t="n">
        <f aca="false">IF(OR(NOT(ISNUMBER($C166)),NOT(ISNUMBER($M166)),$M166=0),"",$C166/$M166-1)</f>
        <v>-0.00587901595332407</v>
      </c>
    </row>
    <row r="167" customFormat="false" ht="15" hidden="false" customHeight="true" outlineLevel="0" collapsed="false">
      <c r="A167" s="32" t="n">
        <v>45796</v>
      </c>
      <c r="B167" s="33" t="s">
        <v>257</v>
      </c>
      <c r="C167" s="34" t="n">
        <v>1198010</v>
      </c>
      <c r="D167" s="34" t="n">
        <v>1203931</v>
      </c>
      <c r="E167" s="34" t="n">
        <v>1197724</v>
      </c>
      <c r="F167" s="34" t="n">
        <v>0</v>
      </c>
      <c r="G167" s="35" t="n">
        <f aca="false">IF($A167="","",IF(ISNUMBER($G166),$G166+1,1))</f>
        <v>163</v>
      </c>
      <c r="H167" s="36" t="n">
        <f aca="false">IF(OR(NOT(ISNUMBER($G167)),$G167&lt;2,NOT(ISNUMBER($C166)),$C166=0),"",$C167/$C166-1)</f>
        <v>-0.00634342408875488</v>
      </c>
      <c r="I167" s="37" t="n">
        <f aca="false">IF(AND(ISNUMBER($G167),$G167&gt;=MA_SHORT),AVERAGE(INDEX($C$5:$C167,164-MA_SHORT):$C167),"")</f>
        <v>1176617.4</v>
      </c>
      <c r="J167" s="37" t="n">
        <f aca="false">IF(AND(ISNUMBER($G167),$G167&gt;=MA_MED),AVERAGE(INDEX($C$5:$C167,164-MA_MED):$C167),"")</f>
        <v>1141568.9</v>
      </c>
      <c r="K167" s="37" t="str">
        <f aca="false">IF(AND(ISNUMBER($G167),$G167&gt;=MA_LONG2),AVERAGE(INDEX($C$5:$C167,164-MA_LONG2):$C167),"")</f>
        <v/>
      </c>
      <c r="L167" s="38" t="n">
        <f aca="false">IF(AND(ISNUMBER($G167),$G167&gt;=21),STDEV(INDEX($H$107:$H167,62-20):$H167)*SQRT(245),"")</f>
        <v>0.139753943713997</v>
      </c>
      <c r="M167" s="37" t="n">
        <f aca="false">IF(AND(ISNUMBER($G167),$G167&gt;=60),MAX(INDEX($D$5:$D167,164-60):$D167),"")</f>
        <v>1212788</v>
      </c>
      <c r="N167" s="37" t="n">
        <f aca="false">IF(AND(ISNUMBER($G167),$G167&gt;=60),MIN(INDEX($E$5:$E167,164-60):$E167),"")</f>
        <v>1054813</v>
      </c>
      <c r="O167" s="38" t="n">
        <f aca="false">IF(OR(NOT(ISNUMBER($C167)),NOT(ISNUMBER($M167)),$M167=0),"",$C167/$M167-1)</f>
        <v>-0.0121851469506624</v>
      </c>
    </row>
    <row r="168" customFormat="false" ht="15" hidden="false" customHeight="true" outlineLevel="0" collapsed="false">
      <c r="A168" s="32" t="n">
        <v>45797</v>
      </c>
      <c r="B168" s="33" t="s">
        <v>258</v>
      </c>
      <c r="C168" s="34" t="n">
        <v>1198832</v>
      </c>
      <c r="D168" s="34" t="n">
        <v>1206708</v>
      </c>
      <c r="E168" s="34" t="n">
        <v>1197270</v>
      </c>
      <c r="F168" s="34" t="n">
        <v>0</v>
      </c>
      <c r="G168" s="35" t="n">
        <f aca="false">IF($A168="","",IF(ISNUMBER($G167),$G167+1,1))</f>
        <v>164</v>
      </c>
      <c r="H168" s="36" t="n">
        <f aca="false">IF(OR(NOT(ISNUMBER($G168)),$G168&lt;2,NOT(ISNUMBER($C167)),$C167=0),"",$C168/$C167-1)</f>
        <v>0.00068613784526006</v>
      </c>
      <c r="I168" s="37" t="n">
        <f aca="false">IF(AND(ISNUMBER($G168),$G168&gt;=MA_SHORT),AVERAGE(INDEX($C$5:$C168,165-MA_SHORT):$C168),"")</f>
        <v>1178075.55</v>
      </c>
      <c r="J168" s="37" t="n">
        <f aca="false">IF(AND(ISNUMBER($G168),$G168&gt;=MA_MED),AVERAGE(INDEX($C$5:$C168,165-MA_MED):$C168),"")</f>
        <v>1144338.02</v>
      </c>
      <c r="K168" s="37" t="str">
        <f aca="false">IF(AND(ISNUMBER($G168),$G168&gt;=MA_LONG2),AVERAGE(INDEX($C$5:$C168,165-MA_LONG2):$C168),"")</f>
        <v/>
      </c>
      <c r="L168" s="38" t="n">
        <f aca="false">IF(AND(ISNUMBER($G168),$G168&gt;=21),STDEV(INDEX($H$108:$H168,62-20):$H168)*SQRT(245),"")</f>
        <v>0.138121432588181</v>
      </c>
      <c r="M168" s="37" t="n">
        <f aca="false">IF(AND(ISNUMBER($G168),$G168&gt;=60),MAX(INDEX($D$5:$D168,165-60):$D168),"")</f>
        <v>1212788</v>
      </c>
      <c r="N168" s="37" t="n">
        <f aca="false">IF(AND(ISNUMBER($G168),$G168&gt;=60),MIN(INDEX($E$5:$E168,165-60):$E168),"")</f>
        <v>1054813</v>
      </c>
      <c r="O168" s="38" t="n">
        <f aca="false">IF(OR(NOT(ISNUMBER($C168)),NOT(ISNUMBER($M168)),$M168=0),"",$C168/$M168-1)</f>
        <v>-0.0115073697958753</v>
      </c>
    </row>
    <row r="169" customFormat="false" ht="15" hidden="false" customHeight="true" outlineLevel="0" collapsed="false">
      <c r="A169" s="32" t="n">
        <v>45798</v>
      </c>
      <c r="B169" s="33" t="s">
        <v>259</v>
      </c>
      <c r="C169" s="34" t="n">
        <v>1197402</v>
      </c>
      <c r="D169" s="34" t="n">
        <v>1200201</v>
      </c>
      <c r="E169" s="34" t="n">
        <v>1190248</v>
      </c>
      <c r="F169" s="34" t="n">
        <v>0</v>
      </c>
      <c r="G169" s="35" t="n">
        <f aca="false">IF($A169="","",IF(ISNUMBER($G168),$G168+1,1))</f>
        <v>165</v>
      </c>
      <c r="H169" s="36" t="n">
        <f aca="false">IF(OR(NOT(ISNUMBER($G169)),$G169&lt;2,NOT(ISNUMBER($C168)),$C168=0),"",$C169/$C168-1)</f>
        <v>-0.00119282768561402</v>
      </c>
      <c r="I169" s="37" t="n">
        <f aca="false">IF(AND(ISNUMBER($G169),$G169&gt;=MA_SHORT),AVERAGE(INDEX($C$5:$C169,166-MA_SHORT):$C169),"")</f>
        <v>1180031.65</v>
      </c>
      <c r="J169" s="37" t="n">
        <f aca="false">IF(AND(ISNUMBER($G169),$G169&gt;=MA_MED),AVERAGE(INDEX($C$5:$C169,166-MA_MED):$C169),"")</f>
        <v>1146889.88</v>
      </c>
      <c r="K169" s="37" t="str">
        <f aca="false">IF(AND(ISNUMBER($G169),$G169&gt;=MA_LONG2),AVERAGE(INDEX($C$5:$C169,166-MA_LONG2):$C169),"")</f>
        <v/>
      </c>
      <c r="L169" s="38" t="n">
        <f aca="false">IF(AND(ISNUMBER($G169),$G169&gt;=21),STDEV(INDEX($H$109:$H169,62-20):$H169)*SQRT(245),"")</f>
        <v>0.132463821626046</v>
      </c>
      <c r="M169" s="37" t="n">
        <f aca="false">IF(AND(ISNUMBER($G169),$G169&gt;=60),MAX(INDEX($D$5:$D169,166-60):$D169),"")</f>
        <v>1212788</v>
      </c>
      <c r="N169" s="37" t="n">
        <f aca="false">IF(AND(ISNUMBER($G169),$G169&gt;=60),MIN(INDEX($E$5:$E169,166-60):$E169),"")</f>
        <v>1054813</v>
      </c>
      <c r="O169" s="38" t="n">
        <f aca="false">IF(OR(NOT(ISNUMBER($C169)),NOT(ISNUMBER($M169)),$M169=0),"",$C169/$M169-1)</f>
        <v>-0.0126864711722081</v>
      </c>
    </row>
    <row r="170" customFormat="false" ht="15" hidden="false" customHeight="true" outlineLevel="0" collapsed="false">
      <c r="A170" s="32" t="n">
        <v>45801</v>
      </c>
      <c r="B170" s="33" t="s">
        <v>260</v>
      </c>
      <c r="C170" s="34" t="n">
        <v>1214490</v>
      </c>
      <c r="D170" s="34" t="n">
        <v>1219579</v>
      </c>
      <c r="E170" s="34" t="n">
        <v>1209750</v>
      </c>
      <c r="F170" s="34" t="n">
        <v>0</v>
      </c>
      <c r="G170" s="35" t="n">
        <f aca="false">IF($A170="","",IF(ISNUMBER($G169),$G169+1,1))</f>
        <v>166</v>
      </c>
      <c r="H170" s="36" t="n">
        <f aca="false">IF(OR(NOT(ISNUMBER($G170)),$G170&lt;2,NOT(ISNUMBER($C169)),$C169=0),"",$C170/$C169-1)</f>
        <v>0.0142708964909029</v>
      </c>
      <c r="I170" s="37" t="n">
        <f aca="false">IF(AND(ISNUMBER($G170),$G170&gt;=MA_SHORT),AVERAGE(INDEX($C$5:$C170,167-MA_SHORT):$C170),"")</f>
        <v>1182737.9</v>
      </c>
      <c r="J170" s="37" t="n">
        <f aca="false">IF(AND(ISNUMBER($G170),$G170&gt;=MA_MED),AVERAGE(INDEX($C$5:$C170,167-MA_MED):$C170),"")</f>
        <v>1149610.9</v>
      </c>
      <c r="K170" s="37" t="str">
        <f aca="false">IF(AND(ISNUMBER($G170),$G170&gt;=MA_LONG2),AVERAGE(INDEX($C$5:$C170,167-MA_LONG2):$C170),"")</f>
        <v/>
      </c>
      <c r="L170" s="38" t="n">
        <f aca="false">IF(AND(ISNUMBER($G170),$G170&gt;=21),STDEV(INDEX($H$110:$H170,62-20):$H170)*SQRT(245),"")</f>
        <v>0.139589426592207</v>
      </c>
      <c r="M170" s="37" t="n">
        <f aca="false">IF(AND(ISNUMBER($G170),$G170&gt;=60),MAX(INDEX($D$5:$D170,167-60):$D170),"")</f>
        <v>1219579</v>
      </c>
      <c r="N170" s="37" t="n">
        <f aca="false">IF(AND(ISNUMBER($G170),$G170&gt;=60),MIN(INDEX($E$5:$E170,167-60):$E170),"")</f>
        <v>1054813</v>
      </c>
      <c r="O170" s="38" t="n">
        <f aca="false">IF(OR(NOT(ISNUMBER($C170)),NOT(ISNUMBER($M170)),$M170=0),"",$C170/$M170-1)</f>
        <v>-0.00417275141667739</v>
      </c>
    </row>
    <row r="171" customFormat="false" ht="15" hidden="false" customHeight="true" outlineLevel="0" collapsed="false">
      <c r="A171" s="32" t="n">
        <v>45802</v>
      </c>
      <c r="B171" s="33" t="s">
        <v>261</v>
      </c>
      <c r="C171" s="34" t="n">
        <v>1216442</v>
      </c>
      <c r="D171" s="34" t="n">
        <v>1219158</v>
      </c>
      <c r="E171" s="34" t="n">
        <v>1215719</v>
      </c>
      <c r="F171" s="34" t="n">
        <v>0</v>
      </c>
      <c r="G171" s="35" t="n">
        <f aca="false">IF($A171="","",IF(ISNUMBER($G170),$G170+1,1))</f>
        <v>167</v>
      </c>
      <c r="H171" s="36" t="n">
        <f aca="false">IF(OR(NOT(ISNUMBER($G171)),$G171&lt;2,NOT(ISNUMBER($C170)),$C170=0),"",$C171/$C170-1)</f>
        <v>0.00160725901407166</v>
      </c>
      <c r="I171" s="37" t="n">
        <f aca="false">IF(AND(ISNUMBER($G171),$G171&gt;=MA_SHORT),AVERAGE(INDEX($C$5:$C171,168-MA_SHORT):$C171),"")</f>
        <v>1184778.3</v>
      </c>
      <c r="J171" s="37" t="n">
        <f aca="false">IF(AND(ISNUMBER($G171),$G171&gt;=MA_MED),AVERAGE(INDEX($C$5:$C171,168-MA_MED):$C171),"")</f>
        <v>1152224.02</v>
      </c>
      <c r="K171" s="37" t="str">
        <f aca="false">IF(AND(ISNUMBER($G171),$G171&gt;=MA_LONG2),AVERAGE(INDEX($C$5:$C171,168-MA_LONG2):$C171),"")</f>
        <v/>
      </c>
      <c r="L171" s="38" t="n">
        <f aca="false">IF(AND(ISNUMBER($G171),$G171&gt;=21),STDEV(INDEX($H$111:$H171,62-20):$H171)*SQRT(245),"")</f>
        <v>0.133756436071722</v>
      </c>
      <c r="M171" s="37" t="n">
        <f aca="false">IF(AND(ISNUMBER($G171),$G171&gt;=60),MAX(INDEX($D$5:$D171,168-60):$D171),"")</f>
        <v>1219579</v>
      </c>
      <c r="N171" s="37" t="n">
        <f aca="false">IF(AND(ISNUMBER($G171),$G171&gt;=60),MIN(INDEX($E$5:$E171,168-60):$E171),"")</f>
        <v>1054813</v>
      </c>
      <c r="O171" s="38" t="n">
        <f aca="false">IF(OR(NOT(ISNUMBER($C171)),NOT(ISNUMBER($M171)),$M171=0),"",$C171/$M171-1)</f>
        <v>-0.00257219909493356</v>
      </c>
    </row>
    <row r="172" customFormat="false" ht="15" hidden="false" customHeight="true" outlineLevel="0" collapsed="false">
      <c r="A172" s="32" t="n">
        <v>45803</v>
      </c>
      <c r="B172" s="33" t="s">
        <v>262</v>
      </c>
      <c r="C172" s="34" t="n">
        <v>1208005</v>
      </c>
      <c r="D172" s="34" t="n">
        <v>1209921</v>
      </c>
      <c r="E172" s="34" t="n">
        <v>1205610</v>
      </c>
      <c r="F172" s="34" t="n">
        <v>0</v>
      </c>
      <c r="G172" s="35" t="n">
        <f aca="false">IF($A172="","",IF(ISNUMBER($G171),$G171+1,1))</f>
        <v>168</v>
      </c>
      <c r="H172" s="36" t="n">
        <f aca="false">IF(OR(NOT(ISNUMBER($G172)),$G172&lt;2,NOT(ISNUMBER($C171)),$C171=0),"",$C172/$C171-1)</f>
        <v>-0.00693580129591054</v>
      </c>
      <c r="I172" s="37" t="n">
        <f aca="false">IF(AND(ISNUMBER($G172),$G172&gt;=MA_SHORT),AVERAGE(INDEX($C$5:$C172,169-MA_SHORT):$C172),"")</f>
        <v>1185786.25</v>
      </c>
      <c r="J172" s="37" t="n">
        <f aca="false">IF(AND(ISNUMBER($G172),$G172&gt;=MA_MED),AVERAGE(INDEX($C$5:$C172,169-MA_MED):$C172),"")</f>
        <v>1154684.74</v>
      </c>
      <c r="K172" s="37" t="str">
        <f aca="false">IF(AND(ISNUMBER($G172),$G172&gt;=MA_LONG2),AVERAGE(INDEX($C$5:$C172,169-MA_LONG2):$C172),"")</f>
        <v/>
      </c>
      <c r="L172" s="38" t="n">
        <f aca="false">IF(AND(ISNUMBER($G172),$G172&gt;=21),STDEV(INDEX($H$112:$H172,62-20):$H172)*SQRT(245),"")</f>
        <v>0.133058519615811</v>
      </c>
      <c r="M172" s="37" t="n">
        <f aca="false">IF(AND(ISNUMBER($G172),$G172&gt;=60),MAX(INDEX($D$5:$D172,169-60):$D172),"")</f>
        <v>1219579</v>
      </c>
      <c r="N172" s="37" t="n">
        <f aca="false">IF(AND(ISNUMBER($G172),$G172&gt;=60),MIN(INDEX($E$5:$E172,169-60):$E172),"")</f>
        <v>1054813</v>
      </c>
      <c r="O172" s="38" t="n">
        <f aca="false">IF(OR(NOT(ISNUMBER($C172)),NOT(ISNUMBER($M172)),$M172=0),"",$C172/$M172-1)</f>
        <v>-0.00949016012902815</v>
      </c>
    </row>
    <row r="173" customFormat="false" ht="15" hidden="false" customHeight="true" outlineLevel="0" collapsed="false">
      <c r="A173" s="32" t="n">
        <v>45804</v>
      </c>
      <c r="B173" s="33" t="s">
        <v>263</v>
      </c>
      <c r="C173" s="34" t="n">
        <v>1204867</v>
      </c>
      <c r="D173" s="34" t="n">
        <v>1207891</v>
      </c>
      <c r="E173" s="34" t="n">
        <v>1203392</v>
      </c>
      <c r="F173" s="34" t="n">
        <v>0</v>
      </c>
      <c r="G173" s="35" t="n">
        <f aca="false">IF($A173="","",IF(ISNUMBER($G172),$G172+1,1))</f>
        <v>169</v>
      </c>
      <c r="H173" s="36" t="n">
        <f aca="false">IF(OR(NOT(ISNUMBER($G173)),$G173&lt;2,NOT(ISNUMBER($C172)),$C172=0),"",$C173/$C172-1)</f>
        <v>-0.00259767136725431</v>
      </c>
      <c r="I173" s="37" t="n">
        <f aca="false">IF(AND(ISNUMBER($G173),$G173&gt;=MA_SHORT),AVERAGE(INDEX($C$5:$C173,170-MA_SHORT):$C173),"")</f>
        <v>1186599.45</v>
      </c>
      <c r="J173" s="37" t="n">
        <f aca="false">IF(AND(ISNUMBER($G173),$G173&gt;=MA_MED),AVERAGE(INDEX($C$5:$C173,170-MA_MED):$C173),"")</f>
        <v>1157124.86</v>
      </c>
      <c r="K173" s="37" t="str">
        <f aca="false">IF(AND(ISNUMBER($G173),$G173&gt;=MA_LONG2),AVERAGE(INDEX($C$5:$C173,170-MA_LONG2):$C173),"")</f>
        <v/>
      </c>
      <c r="L173" s="38" t="n">
        <f aca="false">IF(AND(ISNUMBER($G173),$G173&gt;=21),STDEV(INDEX($H$113:$H173,62-20):$H173)*SQRT(245),"")</f>
        <v>0.133613923246356</v>
      </c>
      <c r="M173" s="37" t="n">
        <f aca="false">IF(AND(ISNUMBER($G173),$G173&gt;=60),MAX(INDEX($D$5:$D173,170-60):$D173),"")</f>
        <v>1219579</v>
      </c>
      <c r="N173" s="37" t="n">
        <f aca="false">IF(AND(ISNUMBER($G173),$G173&gt;=60),MIN(INDEX($E$5:$E173,170-60):$E173),"")</f>
        <v>1054813</v>
      </c>
      <c r="O173" s="38" t="n">
        <f aca="false">IF(OR(NOT(ISNUMBER($C173)),NOT(ISNUMBER($M173)),$M173=0),"",$C173/$M173-1)</f>
        <v>-0.0120631791790445</v>
      </c>
    </row>
    <row r="174" customFormat="false" ht="15" hidden="false" customHeight="true" outlineLevel="0" collapsed="false">
      <c r="A174" s="32" t="n">
        <v>45805</v>
      </c>
      <c r="B174" s="33" t="s">
        <v>264</v>
      </c>
      <c r="C174" s="34" t="n">
        <v>1200578</v>
      </c>
      <c r="D174" s="34" t="n">
        <v>1202129</v>
      </c>
      <c r="E174" s="34" t="n">
        <v>1193896</v>
      </c>
      <c r="F174" s="34" t="n">
        <v>0</v>
      </c>
      <c r="G174" s="35" t="n">
        <f aca="false">IF($A174="","",IF(ISNUMBER($G173),$G173+1,1))</f>
        <v>170</v>
      </c>
      <c r="H174" s="36" t="n">
        <f aca="false">IF(OR(NOT(ISNUMBER($G174)),$G174&lt;2,NOT(ISNUMBER($C173)),$C173=0),"",$C174/$C173-1)</f>
        <v>-0.00355972899913437</v>
      </c>
      <c r="I174" s="37" t="n">
        <f aca="false">IF(AND(ISNUMBER($G174),$G174&gt;=MA_SHORT),AVERAGE(INDEX($C$5:$C174,171-MA_SHORT):$C174),"")</f>
        <v>1187285.75</v>
      </c>
      <c r="J174" s="37" t="n">
        <f aca="false">IF(AND(ISNUMBER($G174),$G174&gt;=MA_MED),AVERAGE(INDEX($C$5:$C174,171-MA_MED):$C174),"")</f>
        <v>1159312.76</v>
      </c>
      <c r="K174" s="37" t="str">
        <f aca="false">IF(AND(ISNUMBER($G174),$G174&gt;=MA_LONG2),AVERAGE(INDEX($C$5:$C174,171-MA_LONG2):$C174),"")</f>
        <v/>
      </c>
      <c r="L174" s="38" t="n">
        <f aca="false">IF(AND(ISNUMBER($G174),$G174&gt;=21),STDEV(INDEX($H$114:$H174,62-20):$H174)*SQRT(245),"")</f>
        <v>0.134252456655746</v>
      </c>
      <c r="M174" s="37" t="n">
        <f aca="false">IF(AND(ISNUMBER($G174),$G174&gt;=60),MAX(INDEX($D$5:$D174,171-60):$D174),"")</f>
        <v>1219579</v>
      </c>
      <c r="N174" s="37" t="n">
        <f aca="false">IF(AND(ISNUMBER($G174),$G174&gt;=60),MIN(INDEX($E$5:$E174,171-60):$E174),"")</f>
        <v>1054813</v>
      </c>
      <c r="O174" s="38" t="n">
        <f aca="false">IF(OR(NOT(ISNUMBER($C174)),NOT(ISNUMBER($M174)),$M174=0),"",$C174/$M174-1)</f>
        <v>-0.0155799665294335</v>
      </c>
    </row>
    <row r="175" customFormat="false" ht="15" hidden="false" customHeight="true" outlineLevel="0" collapsed="false">
      <c r="A175" s="32" t="n">
        <v>45808</v>
      </c>
      <c r="B175" s="33" t="s">
        <v>265</v>
      </c>
      <c r="C175" s="34" t="n">
        <v>1184452</v>
      </c>
      <c r="D175" s="34" t="n">
        <v>1187109</v>
      </c>
      <c r="E175" s="34" t="n">
        <v>1179280</v>
      </c>
      <c r="F175" s="34" t="n">
        <v>0</v>
      </c>
      <c r="G175" s="35" t="n">
        <f aca="false">IF($A175="","",IF(ISNUMBER($G174),$G174+1,1))</f>
        <v>171</v>
      </c>
      <c r="H175" s="36" t="n">
        <f aca="false">IF(OR(NOT(ISNUMBER($G175)),$G175&lt;2,NOT(ISNUMBER($C174)),$C174=0),"",$C175/$C174-1)</f>
        <v>-0.0134318636523408</v>
      </c>
      <c r="I175" s="37" t="n">
        <f aca="false">IF(AND(ISNUMBER($G175),$G175&gt;=MA_SHORT),AVERAGE(INDEX($C$5:$C175,172-MA_SHORT):$C175),"")</f>
        <v>1187688.9</v>
      </c>
      <c r="J175" s="37" t="n">
        <f aca="false">IF(AND(ISNUMBER($G175),$G175&gt;=MA_MED),AVERAGE(INDEX($C$5:$C175,172-MA_MED):$C175),"")</f>
        <v>1161061.58</v>
      </c>
      <c r="K175" s="37" t="str">
        <f aca="false">IF(AND(ISNUMBER($G175),$G175&gt;=MA_LONG2),AVERAGE(INDEX($C$5:$C175,172-MA_LONG2):$C175),"")</f>
        <v/>
      </c>
      <c r="L175" s="38" t="n">
        <f aca="false">IF(AND(ISNUMBER($G175),$G175&gt;=21),STDEV(INDEX($H$115:$H175,62-20):$H175)*SQRT(245),"")</f>
        <v>0.139308465774035</v>
      </c>
      <c r="M175" s="37" t="n">
        <f aca="false">IF(AND(ISNUMBER($G175),$G175&gt;=60),MAX(INDEX($D$5:$D175,172-60):$D175),"")</f>
        <v>1219579</v>
      </c>
      <c r="N175" s="37" t="n">
        <f aca="false">IF(AND(ISNUMBER($G175),$G175&gt;=60),MIN(INDEX($E$5:$E175,172-60):$E175),"")</f>
        <v>1054977</v>
      </c>
      <c r="O175" s="38" t="n">
        <f aca="false">IF(OR(NOT(ISNUMBER($C175)),NOT(ISNUMBER($M175)),$M175=0),"",$C175/$M175-1)</f>
        <v>-0.0288025621956429</v>
      </c>
    </row>
    <row r="176" customFormat="false" ht="15" hidden="false" customHeight="true" outlineLevel="0" collapsed="false">
      <c r="A176" s="32" t="n">
        <v>45809</v>
      </c>
      <c r="B176" s="33" t="s">
        <v>266</v>
      </c>
      <c r="C176" s="34" t="n">
        <v>1185359</v>
      </c>
      <c r="D176" s="34" t="n">
        <v>1188160</v>
      </c>
      <c r="E176" s="34" t="n">
        <v>1184822</v>
      </c>
      <c r="F176" s="34" t="n">
        <v>0</v>
      </c>
      <c r="G176" s="35" t="n">
        <f aca="false">IF($A176="","",IF(ISNUMBER($G175),$G175+1,1))</f>
        <v>172</v>
      </c>
      <c r="H176" s="36" t="n">
        <f aca="false">IF(OR(NOT(ISNUMBER($G176)),$G176&lt;2,NOT(ISNUMBER($C175)),$C175=0),"",$C176/$C175-1)</f>
        <v>0.000765754965165399</v>
      </c>
      <c r="I176" s="37" t="n">
        <f aca="false">IF(AND(ISNUMBER($G176),$G176&gt;=MA_SHORT),AVERAGE(INDEX($C$5:$C176,173-MA_SHORT):$C176),"")</f>
        <v>1188659.7</v>
      </c>
      <c r="J176" s="37" t="n">
        <f aca="false">IF(AND(ISNUMBER($G176),$G176&gt;=MA_MED),AVERAGE(INDEX($C$5:$C176,173-MA_MED):$C176),"")</f>
        <v>1162818.78</v>
      </c>
      <c r="K176" s="37" t="str">
        <f aca="false">IF(AND(ISNUMBER($G176),$G176&gt;=MA_LONG2),AVERAGE(INDEX($C$5:$C176,173-MA_LONG2):$C176),"")</f>
        <v/>
      </c>
      <c r="L176" s="38" t="n">
        <f aca="false">IF(AND(ISNUMBER($G176),$G176&gt;=21),STDEV(INDEX($H$116:$H176,62-20):$H176)*SQRT(245),"")</f>
        <v>0.135068054434144</v>
      </c>
      <c r="M176" s="37" t="n">
        <f aca="false">IF(AND(ISNUMBER($G176),$G176&gt;=60),MAX(INDEX($D$5:$D176,173-60):$D176),"")</f>
        <v>1219579</v>
      </c>
      <c r="N176" s="37" t="n">
        <f aca="false">IF(AND(ISNUMBER($G176),$G176&gt;=60),MIN(INDEX($E$5:$E176,173-60):$E176),"")</f>
        <v>1054977</v>
      </c>
      <c r="O176" s="38" t="n">
        <f aca="false">IF(OR(NOT(ISNUMBER($C176)),NOT(ISNUMBER($M176)),$M176=0),"",$C176/$M176-1)</f>
        <v>-0.0280588629354884</v>
      </c>
    </row>
    <row r="177" customFormat="false" ht="15" hidden="false" customHeight="true" outlineLevel="0" collapsed="false">
      <c r="A177" s="32" t="n">
        <v>45810</v>
      </c>
      <c r="B177" s="33" t="s">
        <v>267</v>
      </c>
      <c r="C177" s="34" t="n">
        <v>1188687</v>
      </c>
      <c r="D177" s="34" t="n">
        <v>1193471</v>
      </c>
      <c r="E177" s="34" t="n">
        <v>1187815</v>
      </c>
      <c r="F177" s="34" t="n">
        <v>0</v>
      </c>
      <c r="G177" s="35" t="n">
        <f aca="false">IF($A177="","",IF(ISNUMBER($G176),$G176+1,1))</f>
        <v>173</v>
      </c>
      <c r="H177" s="36" t="n">
        <f aca="false">IF(OR(NOT(ISNUMBER($G177)),$G177&lt;2,NOT(ISNUMBER($C176)),$C176=0),"",$C177/$C176-1)</f>
        <v>0.00280758824963567</v>
      </c>
      <c r="I177" s="37" t="n">
        <f aca="false">IF(AND(ISNUMBER($G177),$G177&gt;=MA_SHORT),AVERAGE(INDEX($C$5:$C177,174-MA_SHORT):$C177),"")</f>
        <v>1190178.85</v>
      </c>
      <c r="J177" s="37" t="n">
        <f aca="false">IF(AND(ISNUMBER($G177),$G177&gt;=MA_MED),AVERAGE(INDEX($C$5:$C177,174-MA_MED):$C177),"")</f>
        <v>1164268.82</v>
      </c>
      <c r="K177" s="37" t="str">
        <f aca="false">IF(AND(ISNUMBER($G177),$G177&gt;=MA_LONG2),AVERAGE(INDEX($C$5:$C177,174-MA_LONG2):$C177),"")</f>
        <v/>
      </c>
      <c r="L177" s="38" t="n">
        <f aca="false">IF(AND(ISNUMBER($G177),$G177&gt;=21),STDEV(INDEX($H$117:$H177,62-20):$H177)*SQRT(245),"")</f>
        <v>0.13239000000294</v>
      </c>
      <c r="M177" s="37" t="n">
        <f aca="false">IF(AND(ISNUMBER($G177),$G177&gt;=60),MAX(INDEX($D$5:$D177,174-60):$D177),"")</f>
        <v>1219579</v>
      </c>
      <c r="N177" s="37" t="n">
        <f aca="false">IF(AND(ISNUMBER($G177),$G177&gt;=60),MIN(INDEX($E$5:$E177,174-60):$E177),"")</f>
        <v>1054977</v>
      </c>
      <c r="O177" s="38" t="n">
        <f aca="false">IF(OR(NOT(ISNUMBER($C177)),NOT(ISNUMBER($M177)),$M177=0),"",$C177/$M177-1)</f>
        <v>-0.0253300524197284</v>
      </c>
    </row>
    <row r="178" customFormat="false" ht="15" hidden="false" customHeight="true" outlineLevel="0" collapsed="false">
      <c r="A178" s="32" t="n">
        <v>45811</v>
      </c>
      <c r="B178" s="33" t="s">
        <v>268</v>
      </c>
      <c r="C178" s="34" t="n">
        <v>1177857</v>
      </c>
      <c r="D178" s="34" t="n">
        <v>1179001</v>
      </c>
      <c r="E178" s="34" t="n">
        <v>1177480</v>
      </c>
      <c r="F178" s="34" t="n">
        <v>0</v>
      </c>
      <c r="G178" s="35" t="n">
        <f aca="false">IF($A178="","",IF(ISNUMBER($G177),$G177+1,1))</f>
        <v>174</v>
      </c>
      <c r="H178" s="36" t="n">
        <f aca="false">IF(OR(NOT(ISNUMBER($G178)),$G178&lt;2,NOT(ISNUMBER($C177)),$C177=0),"",$C178/$C177-1)</f>
        <v>-0.0091108929432222</v>
      </c>
      <c r="I178" s="37" t="n">
        <f aca="false">IF(AND(ISNUMBER($G178),$G178&gt;=MA_SHORT),AVERAGE(INDEX($C$5:$C178,175-MA_SHORT):$C178),"")</f>
        <v>1190934.3</v>
      </c>
      <c r="J178" s="37" t="n">
        <f aca="false">IF(AND(ISNUMBER($G178),$G178&gt;=MA_MED),AVERAGE(INDEX($C$5:$C178,175-MA_MED):$C178),"")</f>
        <v>1165824.1</v>
      </c>
      <c r="K178" s="37" t="str">
        <f aca="false">IF(AND(ISNUMBER($G178),$G178&gt;=MA_LONG2),AVERAGE(INDEX($C$5:$C178,175-MA_LONG2):$C178),"")</f>
        <v/>
      </c>
      <c r="L178" s="38" t="n">
        <f aca="false">IF(AND(ISNUMBER($G178),$G178&gt;=21),STDEV(INDEX($H$118:$H178,62-20):$H178)*SQRT(245),"")</f>
        <v>0.136906822387131</v>
      </c>
      <c r="M178" s="37" t="n">
        <f aca="false">IF(AND(ISNUMBER($G178),$G178&gt;=60),MAX(INDEX($D$5:$D178,175-60):$D178),"")</f>
        <v>1219579</v>
      </c>
      <c r="N178" s="37" t="n">
        <f aca="false">IF(AND(ISNUMBER($G178),$G178&gt;=60),MIN(INDEX($E$5:$E178,175-60):$E178),"")</f>
        <v>1069211</v>
      </c>
      <c r="O178" s="38" t="n">
        <f aca="false">IF(OR(NOT(ISNUMBER($C178)),NOT(ISNUMBER($M178)),$M178=0),"",$C178/$M178-1)</f>
        <v>-0.0342101659671084</v>
      </c>
    </row>
    <row r="179" customFormat="false" ht="15" hidden="false" customHeight="true" outlineLevel="0" collapsed="false">
      <c r="A179" s="32" t="n">
        <v>45812</v>
      </c>
      <c r="B179" s="33" t="s">
        <v>269</v>
      </c>
      <c r="C179" s="34" t="n">
        <v>1183797</v>
      </c>
      <c r="D179" s="34" t="n">
        <v>1185652</v>
      </c>
      <c r="E179" s="34" t="n">
        <v>1180024</v>
      </c>
      <c r="F179" s="34" t="n">
        <v>0</v>
      </c>
      <c r="G179" s="35" t="n">
        <f aca="false">IF($A179="","",IF(ISNUMBER($G178),$G178+1,1))</f>
        <v>175</v>
      </c>
      <c r="H179" s="36" t="n">
        <f aca="false">IF(OR(NOT(ISNUMBER($G179)),$G179&lt;2,NOT(ISNUMBER($C178)),$C178=0),"",$C179/$C178-1)</f>
        <v>0.00504305700946728</v>
      </c>
      <c r="I179" s="37" t="n">
        <f aca="false">IF(AND(ISNUMBER($G179),$G179&gt;=MA_SHORT),AVERAGE(INDEX($C$5:$C179,176-MA_SHORT):$C179),"")</f>
        <v>1191461.5</v>
      </c>
      <c r="J179" s="37" t="n">
        <f aca="false">IF(AND(ISNUMBER($G179),$G179&gt;=MA_MED),AVERAGE(INDEX($C$5:$C179,176-MA_MED):$C179),"")</f>
        <v>1167380.56</v>
      </c>
      <c r="K179" s="37" t="str">
        <f aca="false">IF(AND(ISNUMBER($G179),$G179&gt;=MA_LONG2),AVERAGE(INDEX($C$5:$C179,176-MA_LONG2):$C179),"")</f>
        <v/>
      </c>
      <c r="L179" s="38" t="n">
        <f aca="false">IF(AND(ISNUMBER($G179),$G179&gt;=21),STDEV(INDEX($H$119:$H179,62-20):$H179)*SQRT(245),"")</f>
        <v>0.134457525761741</v>
      </c>
      <c r="M179" s="37" t="n">
        <f aca="false">IF(AND(ISNUMBER($G179),$G179&gt;=60),MAX(INDEX($D$5:$D179,176-60):$D179),"")</f>
        <v>1219579</v>
      </c>
      <c r="N179" s="37" t="n">
        <f aca="false">IF(AND(ISNUMBER($G179),$G179&gt;=60),MIN(INDEX($E$5:$E179,176-60):$E179),"")</f>
        <v>1074997</v>
      </c>
      <c r="O179" s="38" t="n">
        <f aca="false">IF(OR(NOT(ISNUMBER($C179)),NOT(ISNUMBER($M179)),$M179=0),"",$C179/$M179-1)</f>
        <v>-0.0293396327749166</v>
      </c>
    </row>
    <row r="180" customFormat="false" ht="15" hidden="false" customHeight="true" outlineLevel="0" collapsed="false">
      <c r="A180" s="32" t="n">
        <v>45815</v>
      </c>
      <c r="B180" s="33" t="s">
        <v>270</v>
      </c>
      <c r="C180" s="34" t="n">
        <v>1183750</v>
      </c>
      <c r="D180" s="34" t="n">
        <v>1187293</v>
      </c>
      <c r="E180" s="34" t="n">
        <v>1177205</v>
      </c>
      <c r="F180" s="34" t="n">
        <v>0</v>
      </c>
      <c r="G180" s="35" t="n">
        <f aca="false">IF($A180="","",IF(ISNUMBER($G179),$G179+1,1))</f>
        <v>176</v>
      </c>
      <c r="H180" s="36" t="n">
        <f aca="false">IF(OR(NOT(ISNUMBER($G180)),$G180&lt;2,NOT(ISNUMBER($C179)),$C179=0),"",$C180/$C179-1)</f>
        <v>-3.97027530902871E-005</v>
      </c>
      <c r="I180" s="37" t="n">
        <f aca="false">IF(AND(ISNUMBER($G180),$G180&gt;=MA_SHORT),AVERAGE(INDEX($C$5:$C180,177-MA_SHORT):$C180),"")</f>
        <v>1191352.8</v>
      </c>
      <c r="J180" s="37" t="n">
        <f aca="false">IF(AND(ISNUMBER($G180),$G180&gt;=MA_MED),AVERAGE(INDEX($C$5:$C180,177-MA_MED):$C180),"")</f>
        <v>1168946</v>
      </c>
      <c r="K180" s="37" t="str">
        <f aca="false">IF(AND(ISNUMBER($G180),$G180&gt;=MA_LONG2),AVERAGE(INDEX($C$5:$C180,177-MA_LONG2):$C180),"")</f>
        <v/>
      </c>
      <c r="L180" s="38" t="n">
        <f aca="false">IF(AND(ISNUMBER($G180),$G180&gt;=21),STDEV(INDEX($H$120:$H180,62-20):$H180)*SQRT(245),"")</f>
        <v>0.128972616057309</v>
      </c>
      <c r="M180" s="37" t="n">
        <f aca="false">IF(AND(ISNUMBER($G180),$G180&gt;=60),MAX(INDEX($D$5:$D180,177-60):$D180),"")</f>
        <v>1219579</v>
      </c>
      <c r="N180" s="37" t="n">
        <f aca="false">IF(AND(ISNUMBER($G180),$G180&gt;=60),MIN(INDEX($E$5:$E180,177-60):$E180),"")</f>
        <v>1082071</v>
      </c>
      <c r="O180" s="38" t="n">
        <f aca="false">IF(OR(NOT(ISNUMBER($C180)),NOT(ISNUMBER($M180)),$M180=0),"",$C180/$M180-1)</f>
        <v>-0.029378170663811</v>
      </c>
    </row>
    <row r="181" customFormat="false" ht="15" hidden="false" customHeight="true" outlineLevel="0" collapsed="false">
      <c r="A181" s="32" t="n">
        <v>45816</v>
      </c>
      <c r="B181" s="33" t="s">
        <v>271</v>
      </c>
      <c r="C181" s="34" t="n">
        <v>1176445</v>
      </c>
      <c r="D181" s="34" t="n">
        <v>1179228</v>
      </c>
      <c r="E181" s="34" t="n">
        <v>1175842</v>
      </c>
      <c r="F181" s="34" t="n">
        <v>0</v>
      </c>
      <c r="G181" s="35" t="n">
        <f aca="false">IF($A181="","",IF(ISNUMBER($G180),$G180+1,1))</f>
        <v>177</v>
      </c>
      <c r="H181" s="36" t="n">
        <f aca="false">IF(OR(NOT(ISNUMBER($G181)),$G181&lt;2,NOT(ISNUMBER($C180)),$C180=0),"",$C181/$C180-1)</f>
        <v>-0.00617106652587118</v>
      </c>
      <c r="I181" s="37" t="n">
        <f aca="false">IF(AND(ISNUMBER($G181),$G181&gt;=MA_SHORT),AVERAGE(INDEX($C$5:$C181,178-MA_SHORT):$C181),"")</f>
        <v>1191444.3</v>
      </c>
      <c r="J181" s="37" t="n">
        <f aca="false">IF(AND(ISNUMBER($G181),$G181&gt;=MA_MED),AVERAGE(INDEX($C$5:$C181,178-MA_MED):$C181),"")</f>
        <v>1170126.16</v>
      </c>
      <c r="K181" s="37" t="str">
        <f aca="false">IF(AND(ISNUMBER($G181),$G181&gt;=MA_LONG2),AVERAGE(INDEX($C$5:$C181,178-MA_LONG2):$C181),"")</f>
        <v/>
      </c>
      <c r="L181" s="38" t="n">
        <f aca="false">IF(AND(ISNUMBER($G181),$G181&gt;=21),STDEV(INDEX($H$121:$H181,62-20):$H181)*SQRT(245),"")</f>
        <v>0.126294382352208</v>
      </c>
      <c r="M181" s="37" t="n">
        <f aca="false">IF(AND(ISNUMBER($G181),$G181&gt;=60),MAX(INDEX($D$5:$D181,178-60):$D181),"")</f>
        <v>1219579</v>
      </c>
      <c r="N181" s="37" t="n">
        <f aca="false">IF(AND(ISNUMBER($G181),$G181&gt;=60),MIN(INDEX($E$5:$E181,178-60):$E181),"")</f>
        <v>1082071</v>
      </c>
      <c r="O181" s="38" t="n">
        <f aca="false">IF(OR(NOT(ISNUMBER($C181)),NOT(ISNUMBER($M181)),$M181=0),"",$C181/$M181-1)</f>
        <v>-0.0353679425441075</v>
      </c>
    </row>
    <row r="182" customFormat="false" ht="15" hidden="false" customHeight="true" outlineLevel="0" collapsed="false">
      <c r="A182" s="32" t="n">
        <v>45817</v>
      </c>
      <c r="B182" s="33" t="s">
        <v>272</v>
      </c>
      <c r="C182" s="34" t="n">
        <v>1163667</v>
      </c>
      <c r="D182" s="34" t="n">
        <v>1164651</v>
      </c>
      <c r="E182" s="34" t="n">
        <v>1157185</v>
      </c>
      <c r="F182" s="34" t="n">
        <v>0</v>
      </c>
      <c r="G182" s="35" t="n">
        <f aca="false">IF($A182="","",IF(ISNUMBER($G181),$G181+1,1))</f>
        <v>178</v>
      </c>
      <c r="H182" s="36" t="n">
        <f aca="false">IF(OR(NOT(ISNUMBER($G182)),$G182&lt;2,NOT(ISNUMBER($C181)),$C181=0),"",$C182/$C181-1)</f>
        <v>-0.0108615362384132</v>
      </c>
      <c r="I182" s="37" t="n">
        <f aca="false">IF(AND(ISNUMBER($G182),$G182&gt;=MA_SHORT),AVERAGE(INDEX($C$5:$C182,179-MA_SHORT):$C182),"")</f>
        <v>1191270.4</v>
      </c>
      <c r="J182" s="37" t="n">
        <f aca="false">IF(AND(ISNUMBER($G182),$G182&gt;=MA_MED),AVERAGE(INDEX($C$5:$C182,179-MA_MED):$C182),"")</f>
        <v>1170848.54</v>
      </c>
      <c r="K182" s="37" t="str">
        <f aca="false">IF(AND(ISNUMBER($G182),$G182&gt;=MA_LONG2),AVERAGE(INDEX($C$5:$C182,179-MA_LONG2):$C182),"")</f>
        <v/>
      </c>
      <c r="L182" s="38" t="n">
        <f aca="false">IF(AND(ISNUMBER($G182),$G182&gt;=21),STDEV(INDEX($H$122:$H182,62-20):$H182)*SQRT(245),"")</f>
        <v>0.130190402995545</v>
      </c>
      <c r="M182" s="37" t="n">
        <f aca="false">IF(AND(ISNUMBER($G182),$G182&gt;=60),MAX(INDEX($D$5:$D182,179-60):$D182),"")</f>
        <v>1219579</v>
      </c>
      <c r="N182" s="37" t="n">
        <f aca="false">IF(AND(ISNUMBER($G182),$G182&gt;=60),MIN(INDEX($E$5:$E182,179-60):$E182),"")</f>
        <v>1082071</v>
      </c>
      <c r="O182" s="38" t="n">
        <f aca="false">IF(OR(NOT(ISNUMBER($C182)),NOT(ISNUMBER($M182)),$M182=0),"",$C182/$M182-1)</f>
        <v>-0.0458453285928997</v>
      </c>
    </row>
    <row r="183" customFormat="false" ht="15" hidden="false" customHeight="true" outlineLevel="0" collapsed="false">
      <c r="A183" s="32" t="n">
        <v>45818</v>
      </c>
      <c r="B183" s="33" t="s">
        <v>273</v>
      </c>
      <c r="C183" s="34" t="n">
        <v>1162000</v>
      </c>
      <c r="D183" s="34" t="n">
        <v>1164743</v>
      </c>
      <c r="E183" s="34" t="n">
        <v>1156745</v>
      </c>
      <c r="F183" s="34" t="n">
        <v>0</v>
      </c>
      <c r="G183" s="35" t="n">
        <f aca="false">IF($A183="","",IF(ISNUMBER($G182),$G182+1,1))</f>
        <v>179</v>
      </c>
      <c r="H183" s="36" t="n">
        <f aca="false">IF(OR(NOT(ISNUMBER($G183)),$G183&lt;2,NOT(ISNUMBER($C182)),$C182=0),"",$C183/$C182-1)</f>
        <v>-0.00143254040889707</v>
      </c>
      <c r="I183" s="37" t="n">
        <f aca="false">IF(AND(ISNUMBER($G183),$G183&gt;=MA_SHORT),AVERAGE(INDEX($C$5:$C183,180-MA_SHORT):$C183),"")</f>
        <v>1190415.65</v>
      </c>
      <c r="J183" s="37" t="n">
        <f aca="false">IF(AND(ISNUMBER($G183),$G183&gt;=MA_MED),AVERAGE(INDEX($C$5:$C183,180-MA_MED):$C183),"")</f>
        <v>1171320.76</v>
      </c>
      <c r="K183" s="37" t="str">
        <f aca="false">IF(AND(ISNUMBER($G183),$G183&gt;=MA_LONG2),AVERAGE(INDEX($C$5:$C183,180-MA_LONG2):$C183),"")</f>
        <v/>
      </c>
      <c r="L183" s="38" t="n">
        <f aca="false">IF(AND(ISNUMBER($G183),$G183&gt;=21),STDEV(INDEX($H$123:$H183,62-20):$H183)*SQRT(245),"")</f>
        <v>0.12450452781793</v>
      </c>
      <c r="M183" s="37" t="n">
        <f aca="false">IF(AND(ISNUMBER($G183),$G183&gt;=60),MAX(INDEX($D$5:$D183,180-60):$D183),"")</f>
        <v>1219579</v>
      </c>
      <c r="N183" s="37" t="n">
        <f aca="false">IF(AND(ISNUMBER($G183),$G183&gt;=60),MIN(INDEX($E$5:$E183,180-60):$E183),"")</f>
        <v>1090605</v>
      </c>
      <c r="O183" s="38" t="n">
        <f aca="false">IF(OR(NOT(ISNUMBER($C183)),NOT(ISNUMBER($M183)),$M183=0),"",$C183/$M183-1)</f>
        <v>-0.0472121937160283</v>
      </c>
    </row>
    <row r="184" customFormat="false" ht="15" hidden="false" customHeight="true" outlineLevel="0" collapsed="false">
      <c r="A184" s="32" t="n">
        <v>45819</v>
      </c>
      <c r="B184" s="33" t="s">
        <v>274</v>
      </c>
      <c r="C184" s="34" t="n">
        <v>1162379</v>
      </c>
      <c r="D184" s="34" t="n">
        <v>1165736</v>
      </c>
      <c r="E184" s="34" t="n">
        <v>1161524</v>
      </c>
      <c r="F184" s="34" t="n">
        <v>0</v>
      </c>
      <c r="G184" s="35" t="n">
        <f aca="false">IF($A184="","",IF(ISNUMBER($G183),$G183+1,1))</f>
        <v>180</v>
      </c>
      <c r="H184" s="36" t="n">
        <f aca="false">IF(OR(NOT(ISNUMBER($G184)),$G184&lt;2,NOT(ISNUMBER($C183)),$C183=0),"",$C184/$C183-1)</f>
        <v>0.00032616179001721</v>
      </c>
      <c r="I184" s="37" t="n">
        <f aca="false">IF(AND(ISNUMBER($G184),$G184&gt;=MA_SHORT),AVERAGE(INDEX($C$5:$C184,181-MA_SHORT):$C184),"")</f>
        <v>1189902.35</v>
      </c>
      <c r="J184" s="37" t="n">
        <f aca="false">IF(AND(ISNUMBER($G184),$G184&gt;=MA_MED),AVERAGE(INDEX($C$5:$C184,181-MA_MED):$C184),"")</f>
        <v>1171529.66</v>
      </c>
      <c r="K184" s="37" t="str">
        <f aca="false">IF(AND(ISNUMBER($G184),$G184&gt;=MA_LONG2),AVERAGE(INDEX($C$5:$C184,181-MA_LONG2):$C184),"")</f>
        <v/>
      </c>
      <c r="L184" s="38" t="n">
        <f aca="false">IF(AND(ISNUMBER($G184),$G184&gt;=21),STDEV(INDEX($H$124:$H184,62-20):$H184)*SQRT(245),"")</f>
        <v>0.12328772230132</v>
      </c>
      <c r="M184" s="37" t="n">
        <f aca="false">IF(AND(ISNUMBER($G184),$G184&gt;=60),MAX(INDEX($D$5:$D184,181-60):$D184),"")</f>
        <v>1219579</v>
      </c>
      <c r="N184" s="37" t="n">
        <f aca="false">IF(AND(ISNUMBER($G184),$G184&gt;=60),MIN(INDEX($E$5:$E184,181-60):$E184),"")</f>
        <v>1094097</v>
      </c>
      <c r="O184" s="38" t="n">
        <f aca="false">IF(OR(NOT(ISNUMBER($C184)),NOT(ISNUMBER($M184)),$M184=0),"",$C184/$M184-1)</f>
        <v>-0.0469014307396241</v>
      </c>
    </row>
    <row r="185" customFormat="false" ht="15" hidden="false" customHeight="true" outlineLevel="0" collapsed="false">
      <c r="A185" s="32" t="n">
        <v>45822</v>
      </c>
      <c r="B185" s="33" t="s">
        <v>275</v>
      </c>
      <c r="C185" s="34" t="n">
        <v>1143543</v>
      </c>
      <c r="D185" s="34" t="n">
        <v>1145848</v>
      </c>
      <c r="E185" s="34" t="n">
        <v>1142172</v>
      </c>
      <c r="F185" s="34" t="n">
        <v>0</v>
      </c>
      <c r="G185" s="35" t="n">
        <f aca="false">IF($A185="","",IF(ISNUMBER($G184),$G184+1,1))</f>
        <v>181</v>
      </c>
      <c r="H185" s="36" t="n">
        <f aca="false">IF(OR(NOT(ISNUMBER($G185)),$G185&lt;2,NOT(ISNUMBER($C184)),$C184=0),"",$C185/$C184-1)</f>
        <v>-0.0162046974351739</v>
      </c>
      <c r="I185" s="37" t="n">
        <f aca="false">IF(AND(ISNUMBER($G185),$G185&gt;=MA_SHORT),AVERAGE(INDEX($C$5:$C185,182-MA_SHORT):$C185),"")</f>
        <v>1187811</v>
      </c>
      <c r="J185" s="37" t="n">
        <f aca="false">IF(AND(ISNUMBER($G185),$G185&gt;=MA_MED),AVERAGE(INDEX($C$5:$C185,182-MA_MED):$C185),"")</f>
        <v>1171779.9</v>
      </c>
      <c r="K185" s="37" t="str">
        <f aca="false">IF(AND(ISNUMBER($G185),$G185&gt;=MA_LONG2),AVERAGE(INDEX($C$5:$C185,182-MA_LONG2):$C185),"")</f>
        <v/>
      </c>
      <c r="L185" s="38" t="n">
        <f aca="false">IF(AND(ISNUMBER($G185),$G185&gt;=21),STDEV(INDEX($H$125:$H185,62-20):$H185)*SQRT(245),"")</f>
        <v>0.127707932516441</v>
      </c>
      <c r="M185" s="37" t="n">
        <f aca="false">IF(AND(ISNUMBER($G185),$G185&gt;=60),MAX(INDEX($D$5:$D185,182-60):$D185),"")</f>
        <v>1219579</v>
      </c>
      <c r="N185" s="37" t="n">
        <f aca="false">IF(AND(ISNUMBER($G185),$G185&gt;=60),MIN(INDEX($E$5:$E185,182-60):$E185),"")</f>
        <v>1094155</v>
      </c>
      <c r="O185" s="38" t="n">
        <f aca="false">IF(OR(NOT(ISNUMBER($C185)),NOT(ISNUMBER($M185)),$M185=0),"",$C185/$M185-1)</f>
        <v>-0.0623461046803856</v>
      </c>
    </row>
    <row r="186" customFormat="false" ht="15" hidden="false" customHeight="true" outlineLevel="0" collapsed="false">
      <c r="A186" s="32" t="n">
        <v>45823</v>
      </c>
      <c r="B186" s="33" t="s">
        <v>276</v>
      </c>
      <c r="C186" s="34" t="n">
        <v>1142997</v>
      </c>
      <c r="D186" s="34" t="n">
        <v>1146273</v>
      </c>
      <c r="E186" s="34" t="n">
        <v>1140723</v>
      </c>
      <c r="F186" s="34" t="n">
        <v>0</v>
      </c>
      <c r="G186" s="35" t="n">
        <f aca="false">IF($A186="","",IF(ISNUMBER($G185),$G185+1,1))</f>
        <v>182</v>
      </c>
      <c r="H186" s="36" t="n">
        <f aca="false">IF(OR(NOT(ISNUMBER($G186)),$G186&lt;2,NOT(ISNUMBER($C185)),$C185=0),"",$C186/$C185-1)</f>
        <v>-0.000477463462239758</v>
      </c>
      <c r="I186" s="37" t="n">
        <f aca="false">IF(AND(ISNUMBER($G186),$G186&gt;=MA_SHORT),AVERAGE(INDEX($C$5:$C186,183-MA_SHORT):$C186),"")</f>
        <v>1184677.95</v>
      </c>
      <c r="J186" s="37" t="n">
        <f aca="false">IF(AND(ISNUMBER($G186),$G186&gt;=MA_MED),AVERAGE(INDEX($C$5:$C186,183-MA_MED):$C186),"")</f>
        <v>1171844.86</v>
      </c>
      <c r="K186" s="37" t="str">
        <f aca="false">IF(AND(ISNUMBER($G186),$G186&gt;=MA_LONG2),AVERAGE(INDEX($C$5:$C186,183-MA_LONG2):$C186),"")</f>
        <v/>
      </c>
      <c r="L186" s="38" t="n">
        <f aca="false">IF(AND(ISNUMBER($G186),$G186&gt;=21),STDEV(INDEX($H$126:$H186,62-20):$H186)*SQRT(245),"")</f>
        <v>0.107403502935155</v>
      </c>
      <c r="M186" s="37" t="n">
        <f aca="false">IF(AND(ISNUMBER($G186),$G186&gt;=60),MAX(INDEX($D$5:$D186,183-60):$D186),"")</f>
        <v>1219579</v>
      </c>
      <c r="N186" s="37" t="n">
        <f aca="false">IF(AND(ISNUMBER($G186),$G186&gt;=60),MIN(INDEX($E$5:$E186,183-60):$E186),"")</f>
        <v>1099992</v>
      </c>
      <c r="O186" s="38" t="n">
        <f aca="false">IF(OR(NOT(ISNUMBER($C186)),NOT(ISNUMBER($M186)),$M186=0),"",$C186/$M186-1)</f>
        <v>-0.0627938001556275</v>
      </c>
    </row>
    <row r="187" customFormat="false" ht="15" hidden="false" customHeight="true" outlineLevel="0" collapsed="false">
      <c r="A187" s="32" t="n">
        <v>45824</v>
      </c>
      <c r="B187" s="33" t="s">
        <v>277</v>
      </c>
      <c r="C187" s="34" t="n">
        <v>1141894</v>
      </c>
      <c r="D187" s="34" t="n">
        <v>1142987</v>
      </c>
      <c r="E187" s="34" t="n">
        <v>1141577</v>
      </c>
      <c r="F187" s="34" t="n">
        <v>0</v>
      </c>
      <c r="G187" s="35" t="n">
        <f aca="false">IF($A187="","",IF(ISNUMBER($G186),$G186+1,1))</f>
        <v>183</v>
      </c>
      <c r="H187" s="36" t="n">
        <f aca="false">IF(OR(NOT(ISNUMBER($G187)),$G187&lt;2,NOT(ISNUMBER($C186)),$C186=0),"",$C187/$C186-1)</f>
        <v>-0.000965006907279742</v>
      </c>
      <c r="I187" s="37" t="n">
        <f aca="false">IF(AND(ISNUMBER($G187),$G187&gt;=MA_SHORT),AVERAGE(INDEX($C$5:$C187,184-MA_SHORT):$C187),"")</f>
        <v>1181872.15</v>
      </c>
      <c r="J187" s="37" t="n">
        <f aca="false">IF(AND(ISNUMBER($G187),$G187&gt;=MA_MED),AVERAGE(INDEX($C$5:$C187,184-MA_MED):$C187),"")</f>
        <v>1171861.42</v>
      </c>
      <c r="K187" s="37" t="str">
        <f aca="false">IF(AND(ISNUMBER($G187),$G187&gt;=MA_LONG2),AVERAGE(INDEX($C$5:$C187,184-MA_LONG2):$C187),"")</f>
        <v/>
      </c>
      <c r="L187" s="38" t="n">
        <f aca="false">IF(AND(ISNUMBER($G187),$G187&gt;=21),STDEV(INDEX($H$127:$H187,62-20):$H187)*SQRT(245),"")</f>
        <v>0.106660895897833</v>
      </c>
      <c r="M187" s="37" t="n">
        <f aca="false">IF(AND(ISNUMBER($G187),$G187&gt;=60),MAX(INDEX($D$5:$D187,184-60):$D187),"")</f>
        <v>1219579</v>
      </c>
      <c r="N187" s="37" t="n">
        <f aca="false">IF(AND(ISNUMBER($G187),$G187&gt;=60),MIN(INDEX($E$5:$E187,184-60):$E187),"")</f>
        <v>1099992</v>
      </c>
      <c r="O187" s="38" t="n">
        <f aca="false">IF(OR(NOT(ISNUMBER($C187)),NOT(ISNUMBER($M187)),$M187=0),"",$C187/$M187-1)</f>
        <v>-0.0636982106120226</v>
      </c>
    </row>
    <row r="188" customFormat="false" ht="15" hidden="false" customHeight="true" outlineLevel="0" collapsed="false">
      <c r="A188" s="32" t="n">
        <v>45825</v>
      </c>
      <c r="B188" s="33" t="s">
        <v>278</v>
      </c>
      <c r="C188" s="34" t="n">
        <v>1119919</v>
      </c>
      <c r="D188" s="34" t="n">
        <v>1120172</v>
      </c>
      <c r="E188" s="34" t="n">
        <v>1116216</v>
      </c>
      <c r="F188" s="34" t="n">
        <v>0</v>
      </c>
      <c r="G188" s="35" t="n">
        <f aca="false">IF($A188="","",IF(ISNUMBER($G187),$G187+1,1))</f>
        <v>184</v>
      </c>
      <c r="H188" s="36" t="n">
        <f aca="false">IF(OR(NOT(ISNUMBER($G188)),$G188&lt;2,NOT(ISNUMBER($C187)),$C187=0),"",$C188/$C187-1)</f>
        <v>-0.0192443431702067</v>
      </c>
      <c r="I188" s="37" t="n">
        <f aca="false">IF(AND(ISNUMBER($G188),$G188&gt;=MA_SHORT),AVERAGE(INDEX($C$5:$C188,185-MA_SHORT):$C188),"")</f>
        <v>1177926.5</v>
      </c>
      <c r="J188" s="37" t="n">
        <f aca="false">IF(AND(ISNUMBER($G188),$G188&gt;=MA_MED),AVERAGE(INDEX($C$5:$C188,185-MA_MED):$C188),"")</f>
        <v>1171718.16</v>
      </c>
      <c r="K188" s="37" t="str">
        <f aca="false">IF(AND(ISNUMBER($G188),$G188&gt;=MA_LONG2),AVERAGE(INDEX($C$5:$C188,185-MA_LONG2):$C188),"")</f>
        <v/>
      </c>
      <c r="L188" s="38" t="n">
        <f aca="false">IF(AND(ISNUMBER($G188),$G188&gt;=21),STDEV(INDEX($H$128:$H188,62-20):$H188)*SQRT(245),"")</f>
        <v>0.121118936374488</v>
      </c>
      <c r="M188" s="37" t="n">
        <f aca="false">IF(AND(ISNUMBER($G188),$G188&gt;=60),MAX(INDEX($D$5:$D188,185-60):$D188),"")</f>
        <v>1219579</v>
      </c>
      <c r="N188" s="37" t="n">
        <f aca="false">IF(AND(ISNUMBER($G188),$G188&gt;=60),MIN(INDEX($E$5:$E188,185-60):$E188),"")</f>
        <v>1104254</v>
      </c>
      <c r="O188" s="38" t="n">
        <f aca="false">IF(OR(NOT(ISNUMBER($C188)),NOT(ISNUMBER($M188)),$M188=0),"",$C188/$M188-1)</f>
        <v>-0.0817167235578835</v>
      </c>
    </row>
    <row r="189" customFormat="false" ht="15" hidden="false" customHeight="true" outlineLevel="0" collapsed="false">
      <c r="A189" s="32" t="n">
        <v>45826</v>
      </c>
      <c r="B189" s="33" t="s">
        <v>279</v>
      </c>
      <c r="C189" s="34" t="n">
        <v>1126343</v>
      </c>
      <c r="D189" s="34" t="n">
        <v>1128179</v>
      </c>
      <c r="E189" s="34" t="n">
        <v>1126082</v>
      </c>
      <c r="F189" s="34" t="n">
        <v>0</v>
      </c>
      <c r="G189" s="35" t="n">
        <f aca="false">IF($A189="","",IF(ISNUMBER($G188),$G188+1,1))</f>
        <v>185</v>
      </c>
      <c r="H189" s="36" t="n">
        <f aca="false">IF(OR(NOT(ISNUMBER($G189)),$G189&lt;2,NOT(ISNUMBER($C188)),$C188=0),"",$C189/$C188-1)</f>
        <v>0.0057361291307676</v>
      </c>
      <c r="I189" s="37" t="n">
        <f aca="false">IF(AND(ISNUMBER($G189),$G189&gt;=MA_SHORT),AVERAGE(INDEX($C$5:$C189,186-MA_SHORT):$C189),"")</f>
        <v>1174373.55</v>
      </c>
      <c r="J189" s="37" t="n">
        <f aca="false">IF(AND(ISNUMBER($G189),$G189&gt;=MA_MED),AVERAGE(INDEX($C$5:$C189,186-MA_MED):$C189),"")</f>
        <v>1171884</v>
      </c>
      <c r="K189" s="37" t="str">
        <f aca="false">IF(AND(ISNUMBER($G189),$G189&gt;=MA_LONG2),AVERAGE(INDEX($C$5:$C189,186-MA_LONG2):$C189),"")</f>
        <v/>
      </c>
      <c r="L189" s="38" t="n">
        <f aca="false">IF(AND(ISNUMBER($G189),$G189&gt;=21),STDEV(INDEX($H$129:$H189,62-20):$H189)*SQRT(245),"")</f>
        <v>0.125088017666982</v>
      </c>
      <c r="M189" s="37" t="n">
        <f aca="false">IF(AND(ISNUMBER($G189),$G189&gt;=60),MAX(INDEX($D$5:$D189,186-60):$D189),"")</f>
        <v>1219579</v>
      </c>
      <c r="N189" s="37" t="n">
        <f aca="false">IF(AND(ISNUMBER($G189),$G189&gt;=60),MIN(INDEX($E$5:$E189,186-60):$E189),"")</f>
        <v>1104254</v>
      </c>
      <c r="O189" s="38" t="n">
        <f aca="false">IF(OR(NOT(ISNUMBER($C189)),NOT(ISNUMBER($M189)),$M189=0),"",$C189/$M189-1)</f>
        <v>-0.0764493321055872</v>
      </c>
    </row>
    <row r="190" customFormat="false" ht="15" hidden="false" customHeight="true" outlineLevel="0" collapsed="false">
      <c r="A190" s="32" t="n">
        <v>45829</v>
      </c>
      <c r="B190" s="33" t="s">
        <v>280</v>
      </c>
      <c r="C190" s="34" t="n">
        <v>1128649</v>
      </c>
      <c r="D190" s="34" t="n">
        <v>1130990</v>
      </c>
      <c r="E190" s="34" t="n">
        <v>1127171</v>
      </c>
      <c r="F190" s="34" t="n">
        <v>0</v>
      </c>
      <c r="G190" s="35" t="n">
        <f aca="false">IF($A190="","",IF(ISNUMBER($G189),$G189+1,1))</f>
        <v>186</v>
      </c>
      <c r="H190" s="36" t="n">
        <f aca="false">IF(OR(NOT(ISNUMBER($G190)),$G190&lt;2,NOT(ISNUMBER($C189)),$C189=0),"",$C190/$C189-1)</f>
        <v>0.00204733371628363</v>
      </c>
      <c r="I190" s="37" t="n">
        <f aca="false">IF(AND(ISNUMBER($G190),$G190&gt;=MA_SHORT),AVERAGE(INDEX($C$5:$C190,187-MA_SHORT):$C190),"")</f>
        <v>1170081.5</v>
      </c>
      <c r="J190" s="37" t="n">
        <f aca="false">IF(AND(ISNUMBER($G190),$G190&gt;=MA_MED),AVERAGE(INDEX($C$5:$C190,187-MA_MED):$C190),"")</f>
        <v>1171877.72</v>
      </c>
      <c r="K190" s="37" t="str">
        <f aca="false">IF(AND(ISNUMBER($G190),$G190&gt;=MA_LONG2),AVERAGE(INDEX($C$5:$C190,187-MA_LONG2):$C190),"")</f>
        <v/>
      </c>
      <c r="L190" s="38" t="n">
        <f aca="false">IF(AND(ISNUMBER($G190),$G190&gt;=21),STDEV(INDEX($H$130:$H190,62-20):$H190)*SQRT(245),"")</f>
        <v>0.109660353347545</v>
      </c>
      <c r="M190" s="37" t="n">
        <f aca="false">IF(AND(ISNUMBER($G190),$G190&gt;=60),MAX(INDEX($D$5:$D190,187-60):$D190),"")</f>
        <v>1219579</v>
      </c>
      <c r="N190" s="37" t="n">
        <f aca="false">IF(AND(ISNUMBER($G190),$G190&gt;=60),MIN(INDEX($E$5:$E190,187-60):$E190),"")</f>
        <v>1115233</v>
      </c>
      <c r="O190" s="38" t="n">
        <f aca="false">IF(OR(NOT(ISNUMBER($C190)),NOT(ISNUMBER($M190)),$M190=0),"",$C190/$M190-1)</f>
        <v>-0.0745585156845108</v>
      </c>
    </row>
    <row r="191" customFormat="false" ht="15" hidden="false" customHeight="true" outlineLevel="0" collapsed="false">
      <c r="A191" s="32" t="n">
        <v>45830</v>
      </c>
      <c r="B191" s="33" t="s">
        <v>281</v>
      </c>
      <c r="C191" s="34" t="n">
        <v>1138970</v>
      </c>
      <c r="D191" s="34" t="n">
        <v>1146911</v>
      </c>
      <c r="E191" s="34" t="n">
        <v>1134901</v>
      </c>
      <c r="F191" s="34" t="n">
        <v>0</v>
      </c>
      <c r="G191" s="35" t="n">
        <f aca="false">IF($A191="","",IF(ISNUMBER($G190),$G190+1,1))</f>
        <v>187</v>
      </c>
      <c r="H191" s="36" t="n">
        <f aca="false">IF(OR(NOT(ISNUMBER($G191)),$G191&lt;2,NOT(ISNUMBER($C190)),$C190=0),"",$C191/$C190-1)</f>
        <v>0.00914456132951869</v>
      </c>
      <c r="I191" s="37" t="n">
        <f aca="false">IF(AND(ISNUMBER($G191),$G191&gt;=MA_SHORT),AVERAGE(INDEX($C$5:$C191,188-MA_SHORT):$C191),"")</f>
        <v>1166207.9</v>
      </c>
      <c r="J191" s="37" t="n">
        <f aca="false">IF(AND(ISNUMBER($G191),$G191&gt;=MA_MED),AVERAGE(INDEX($C$5:$C191,188-MA_MED):$C191),"")</f>
        <v>1171950.86</v>
      </c>
      <c r="K191" s="37" t="str">
        <f aca="false">IF(AND(ISNUMBER($G191),$G191&gt;=MA_LONG2),AVERAGE(INDEX($C$5:$C191,188-MA_LONG2):$C191),"")</f>
        <v/>
      </c>
      <c r="L191" s="38" t="n">
        <f aca="false">IF(AND(ISNUMBER($G191),$G191&gt;=21),STDEV(INDEX($H$131:$H191,62-20):$H191)*SQRT(245),"")</f>
        <v>0.117219127594677</v>
      </c>
      <c r="M191" s="37" t="n">
        <f aca="false">IF(AND(ISNUMBER($G191),$G191&gt;=60),MAX(INDEX($D$5:$D191,188-60):$D191),"")</f>
        <v>1219579</v>
      </c>
      <c r="N191" s="37" t="n">
        <f aca="false">IF(AND(ISNUMBER($G191),$G191&gt;=60),MIN(INDEX($E$5:$E191,188-60):$E191),"")</f>
        <v>1116216</v>
      </c>
      <c r="O191" s="38" t="n">
        <f aca="false">IF(OR(NOT(ISNUMBER($C191)),NOT(ISNUMBER($M191)),$M191=0),"",$C191/$M191-1)</f>
        <v>-0.066095759274307</v>
      </c>
    </row>
    <row r="192" customFormat="false" ht="15" hidden="false" customHeight="true" outlineLevel="0" collapsed="false">
      <c r="A192" s="32" t="n">
        <v>45831</v>
      </c>
      <c r="B192" s="33" t="s">
        <v>282</v>
      </c>
      <c r="C192" s="34" t="n">
        <v>1144080</v>
      </c>
      <c r="D192" s="34" t="n">
        <v>1151647</v>
      </c>
      <c r="E192" s="34" t="n">
        <v>1141472</v>
      </c>
      <c r="F192" s="34" t="n">
        <v>0</v>
      </c>
      <c r="G192" s="35" t="n">
        <f aca="false">IF($A192="","",IF(ISNUMBER($G191),$G191+1,1))</f>
        <v>188</v>
      </c>
      <c r="H192" s="36" t="n">
        <f aca="false">IF(OR(NOT(ISNUMBER($G192)),$G192&lt;2,NOT(ISNUMBER($C191)),$C191=0),"",$C192/$C191-1)</f>
        <v>0.00448650974125742</v>
      </c>
      <c r="I192" s="37" t="n">
        <f aca="false">IF(AND(ISNUMBER($G192),$G192&gt;=MA_SHORT),AVERAGE(INDEX($C$5:$C192,189-MA_SHORT):$C192),"")</f>
        <v>1163011.65</v>
      </c>
      <c r="J192" s="37" t="n">
        <f aca="false">IF(AND(ISNUMBER($G192),$G192&gt;=MA_MED),AVERAGE(INDEX($C$5:$C192,189-MA_MED):$C192),"")</f>
        <v>1172346.04</v>
      </c>
      <c r="K192" s="37" t="str">
        <f aca="false">IF(AND(ISNUMBER($G192),$G192&gt;=MA_LONG2),AVERAGE(INDEX($C$5:$C192,189-MA_LONG2):$C192),"")</f>
        <v/>
      </c>
      <c r="L192" s="38" t="n">
        <f aca="false">IF(AND(ISNUMBER($G192),$G192&gt;=21),STDEV(INDEX($H$132:$H192,62-20):$H192)*SQRT(245),"")</f>
        <v>0.119395172261724</v>
      </c>
      <c r="M192" s="37" t="n">
        <f aca="false">IF(AND(ISNUMBER($G192),$G192&gt;=60),MAX(INDEX($D$5:$D192,189-60):$D192),"")</f>
        <v>1219579</v>
      </c>
      <c r="N192" s="37" t="n">
        <f aca="false">IF(AND(ISNUMBER($G192),$G192&gt;=60),MIN(INDEX($E$5:$E192,189-60):$E192),"")</f>
        <v>1116216</v>
      </c>
      <c r="O192" s="38" t="n">
        <f aca="false">IF(OR(NOT(ISNUMBER($C192)),NOT(ISNUMBER($M192)),$M192=0),"",$C192/$M192-1)</f>
        <v>-0.0619057888008895</v>
      </c>
    </row>
    <row r="193" customFormat="false" ht="15" hidden="false" customHeight="true" outlineLevel="0" collapsed="false">
      <c r="A193" s="32" t="n">
        <v>45832</v>
      </c>
      <c r="B193" s="33" t="s">
        <v>283</v>
      </c>
      <c r="C193" s="34" t="n">
        <v>1154422</v>
      </c>
      <c r="D193" s="34" t="n">
        <v>1163824</v>
      </c>
      <c r="E193" s="34" t="n">
        <v>1153390</v>
      </c>
      <c r="F193" s="34" t="n">
        <v>0</v>
      </c>
      <c r="G193" s="35" t="n">
        <f aca="false">IF($A193="","",IF(ISNUMBER($G192),$G192+1,1))</f>
        <v>189</v>
      </c>
      <c r="H193" s="36" t="n">
        <f aca="false">IF(OR(NOT(ISNUMBER($G193)),$G193&lt;2,NOT(ISNUMBER($C192)),$C192=0),"",$C193/$C192-1)</f>
        <v>0.00903957765191255</v>
      </c>
      <c r="I193" s="37" t="n">
        <f aca="false">IF(AND(ISNUMBER($G193),$G193&gt;=MA_SHORT),AVERAGE(INDEX($C$5:$C193,190-MA_SHORT):$C193),"")</f>
        <v>1160489.4</v>
      </c>
      <c r="J193" s="37" t="n">
        <f aca="false">IF(AND(ISNUMBER($G193),$G193&gt;=MA_MED),AVERAGE(INDEX($C$5:$C193,190-MA_MED):$C193),"")</f>
        <v>1172648.66</v>
      </c>
      <c r="K193" s="37" t="str">
        <f aca="false">IF(AND(ISNUMBER($G193),$G193&gt;=MA_LONG2),AVERAGE(INDEX($C$5:$C193,190-MA_LONG2):$C193),"")</f>
        <v/>
      </c>
      <c r="L193" s="38" t="n">
        <f aca="false">IF(AND(ISNUMBER($G193),$G193&gt;=21),STDEV(INDEX($H$133:$H193,62-20):$H193)*SQRT(245),"")</f>
        <v>0.126257557281232</v>
      </c>
      <c r="M193" s="37" t="n">
        <f aca="false">IF(AND(ISNUMBER($G193),$G193&gt;=60),MAX(INDEX($D$5:$D193,190-60):$D193),"")</f>
        <v>1219579</v>
      </c>
      <c r="N193" s="37" t="n">
        <f aca="false">IF(AND(ISNUMBER($G193),$G193&gt;=60),MIN(INDEX($E$5:$E193,190-60):$E193),"")</f>
        <v>1116216</v>
      </c>
      <c r="O193" s="38" t="n">
        <f aca="false">IF(OR(NOT(ISNUMBER($C193)),NOT(ISNUMBER($M193)),$M193=0),"",$C193/$M193-1)</f>
        <v>-0.0534258133339456</v>
      </c>
    </row>
    <row r="194" customFormat="false" ht="15" hidden="false" customHeight="true" outlineLevel="0" collapsed="false">
      <c r="A194" s="32" t="n">
        <v>45833</v>
      </c>
      <c r="B194" s="33" t="s">
        <v>284</v>
      </c>
      <c r="C194" s="34" t="n">
        <v>1162819</v>
      </c>
      <c r="D194" s="34" t="n">
        <v>1163395</v>
      </c>
      <c r="E194" s="34" t="n">
        <v>1160353</v>
      </c>
      <c r="F194" s="34" t="n">
        <v>0</v>
      </c>
      <c r="G194" s="35" t="n">
        <f aca="false">IF($A194="","",IF(ISNUMBER($G193),$G193+1,1))</f>
        <v>190</v>
      </c>
      <c r="H194" s="36" t="n">
        <f aca="false">IF(OR(NOT(ISNUMBER($G194)),$G194&lt;2,NOT(ISNUMBER($C193)),$C193=0),"",$C194/$C193-1)</f>
        <v>0.00727376990390005</v>
      </c>
      <c r="I194" s="37" t="n">
        <f aca="false">IF(AND(ISNUMBER($G194),$G194&gt;=MA_SHORT),AVERAGE(INDEX($C$5:$C194,191-MA_SHORT):$C194),"")</f>
        <v>1158601.45</v>
      </c>
      <c r="J194" s="37" t="n">
        <f aca="false">IF(AND(ISNUMBER($G194),$G194&gt;=MA_MED),AVERAGE(INDEX($C$5:$C194,191-MA_MED):$C194),"")</f>
        <v>1172865.74</v>
      </c>
      <c r="K194" s="37" t="str">
        <f aca="false">IF(AND(ISNUMBER($G194),$G194&gt;=MA_LONG2),AVERAGE(INDEX($C$5:$C194,191-MA_LONG2):$C194),"")</f>
        <v/>
      </c>
      <c r="L194" s="38" t="n">
        <f aca="false">IF(AND(ISNUMBER($G194),$G194&gt;=21),STDEV(INDEX($H$134:$H194,62-20):$H194)*SQRT(245),"")</f>
        <v>0.13027770933253</v>
      </c>
      <c r="M194" s="37" t="n">
        <f aca="false">IF(AND(ISNUMBER($G194),$G194&gt;=60),MAX(INDEX($D$5:$D194,191-60):$D194),"")</f>
        <v>1219579</v>
      </c>
      <c r="N194" s="37" t="n">
        <f aca="false">IF(AND(ISNUMBER($G194),$G194&gt;=60),MIN(INDEX($E$5:$E194,191-60):$E194),"")</f>
        <v>1116216</v>
      </c>
      <c r="O194" s="38" t="n">
        <f aca="false">IF(OR(NOT(ISNUMBER($C194)),NOT(ISNUMBER($M194)),$M194=0),"",$C194/$M194-1)</f>
        <v>-0.0465406505031655</v>
      </c>
    </row>
    <row r="195" customFormat="false" ht="15" hidden="false" customHeight="true" outlineLevel="0" collapsed="false">
      <c r="A195" s="32" t="n">
        <v>45836</v>
      </c>
      <c r="B195" s="33" t="s">
        <v>285</v>
      </c>
      <c r="C195" s="34" t="n">
        <v>1180253</v>
      </c>
      <c r="D195" s="34" t="n">
        <v>1184115</v>
      </c>
      <c r="E195" s="34" t="n">
        <v>1179598</v>
      </c>
      <c r="F195" s="34" t="n">
        <v>0</v>
      </c>
      <c r="G195" s="35" t="n">
        <f aca="false">IF($A195="","",IF(ISNUMBER($G194),$G194+1,1))</f>
        <v>191</v>
      </c>
      <c r="H195" s="36" t="n">
        <f aca="false">IF(OR(NOT(ISNUMBER($G195)),$G195&lt;2,NOT(ISNUMBER($C194)),$C194=0),"",$C195/$C194-1)</f>
        <v>0.0149928750734207</v>
      </c>
      <c r="I195" s="37" t="n">
        <f aca="false">IF(AND(ISNUMBER($G195),$G195&gt;=MA_SHORT),AVERAGE(INDEX($C$5:$C195,192-MA_SHORT):$C195),"")</f>
        <v>1158391.5</v>
      </c>
      <c r="J195" s="37" t="n">
        <f aca="false">IF(AND(ISNUMBER($G195),$G195&gt;=MA_MED),AVERAGE(INDEX($C$5:$C195,192-MA_MED):$C195),"")</f>
        <v>1173208.72</v>
      </c>
      <c r="K195" s="37" t="str">
        <f aca="false">IF(AND(ISNUMBER($G195),$G195&gt;=MA_LONG2),AVERAGE(INDEX($C$5:$C195,192-MA_LONG2):$C195),"")</f>
        <v/>
      </c>
      <c r="L195" s="38" t="n">
        <f aca="false">IF(AND(ISNUMBER($G195),$G195&gt;=21),STDEV(INDEX($H$135:$H195,62-20):$H195)*SQRT(245),"")</f>
        <v>0.134794666449466</v>
      </c>
      <c r="M195" s="37" t="n">
        <f aca="false">IF(AND(ISNUMBER($G195),$G195&gt;=60),MAX(INDEX($D$5:$D195,192-60):$D195),"")</f>
        <v>1219579</v>
      </c>
      <c r="N195" s="37" t="n">
        <f aca="false">IF(AND(ISNUMBER($G195),$G195&gt;=60),MIN(INDEX($E$5:$E195,192-60):$E195),"")</f>
        <v>1116216</v>
      </c>
      <c r="O195" s="38" t="n">
        <f aca="false">IF(OR(NOT(ISNUMBER($C195)),NOT(ISNUMBER($M195)),$M195=0),"",$C195/$M195-1)</f>
        <v>-0.0322455535885744</v>
      </c>
    </row>
    <row r="196" customFormat="false" ht="15" hidden="false" customHeight="true" outlineLevel="0" collapsed="false">
      <c r="A196" s="32" t="n">
        <v>45837</v>
      </c>
      <c r="B196" s="33" t="s">
        <v>286</v>
      </c>
      <c r="C196" s="34" t="n">
        <v>1185863</v>
      </c>
      <c r="D196" s="34" t="n">
        <v>1189883</v>
      </c>
      <c r="E196" s="34" t="n">
        <v>1185188</v>
      </c>
      <c r="F196" s="34" t="n">
        <v>0</v>
      </c>
      <c r="G196" s="35" t="n">
        <f aca="false">IF($A196="","",IF(ISNUMBER($G195),$G195+1,1))</f>
        <v>192</v>
      </c>
      <c r="H196" s="36" t="n">
        <f aca="false">IF(OR(NOT(ISNUMBER($G196)),$G196&lt;2,NOT(ISNUMBER($C195)),$C195=0),"",$C196/$C195-1)</f>
        <v>0.00475321816593555</v>
      </c>
      <c r="I196" s="37" t="n">
        <f aca="false">IF(AND(ISNUMBER($G196),$G196&gt;=MA_SHORT),AVERAGE(INDEX($C$5:$C196,193-MA_SHORT):$C196),"")</f>
        <v>1158416.7</v>
      </c>
      <c r="J196" s="37" t="n">
        <f aca="false">IF(AND(ISNUMBER($G196),$G196&gt;=MA_MED),AVERAGE(INDEX($C$5:$C196,193-MA_MED):$C196),"")</f>
        <v>1173728.78</v>
      </c>
      <c r="K196" s="37" t="str">
        <f aca="false">IF(AND(ISNUMBER($G196),$G196&gt;=MA_LONG2),AVERAGE(INDEX($C$5:$C196,193-MA_LONG2):$C196),"")</f>
        <v/>
      </c>
      <c r="L196" s="38" t="n">
        <f aca="false">IF(AND(ISNUMBER($G196),$G196&gt;=21),STDEV(INDEX($H$136:$H196,62-20):$H196)*SQRT(245),"")</f>
        <v>0.135859281000445</v>
      </c>
      <c r="M196" s="37" t="n">
        <f aca="false">IF(AND(ISNUMBER($G196),$G196&gt;=60),MAX(INDEX($D$5:$D196,193-60):$D196),"")</f>
        <v>1219579</v>
      </c>
      <c r="N196" s="37" t="n">
        <f aca="false">IF(AND(ISNUMBER($G196),$G196&gt;=60),MIN(INDEX($E$5:$E196,193-60):$E196),"")</f>
        <v>1116216</v>
      </c>
      <c r="O196" s="38" t="n">
        <f aca="false">IF(OR(NOT(ISNUMBER($C196)),NOT(ISNUMBER($M196)),$M196=0),"",$C196/$M196-1)</f>
        <v>-0.0276456055737266</v>
      </c>
    </row>
    <row r="197" customFormat="false" ht="15" hidden="false" customHeight="true" outlineLevel="0" collapsed="false">
      <c r="A197" s="32" t="n">
        <v>45838</v>
      </c>
      <c r="B197" s="33" t="s">
        <v>287</v>
      </c>
      <c r="C197" s="34" t="n">
        <v>1182423</v>
      </c>
      <c r="D197" s="34" t="n">
        <v>1186820</v>
      </c>
      <c r="E197" s="34" t="n">
        <v>1179614</v>
      </c>
      <c r="F197" s="34" t="n">
        <v>0</v>
      </c>
      <c r="G197" s="35" t="n">
        <f aca="false">IF($A197="","",IF(ISNUMBER($G196),$G196+1,1))</f>
        <v>193</v>
      </c>
      <c r="H197" s="36" t="n">
        <f aca="false">IF(OR(NOT(ISNUMBER($G197)),$G197&lt;2,NOT(ISNUMBER($C196)),$C196=0),"",$C197/$C196-1)</f>
        <v>-0.00290084099090704</v>
      </c>
      <c r="I197" s="37" t="n">
        <f aca="false">IF(AND(ISNUMBER($G197),$G197&gt;=MA_SHORT),AVERAGE(INDEX($C$5:$C197,194-MA_SHORT):$C197),"")</f>
        <v>1158103.5</v>
      </c>
      <c r="J197" s="37" t="n">
        <f aca="false">IF(AND(ISNUMBER($G197),$G197&gt;=MA_MED),AVERAGE(INDEX($C$5:$C197,194-MA_MED):$C197),"")</f>
        <v>1173870.64</v>
      </c>
      <c r="K197" s="37" t="str">
        <f aca="false">IF(AND(ISNUMBER($G197),$G197&gt;=MA_LONG2),AVERAGE(INDEX($C$5:$C197,194-MA_LONG2):$C197),"")</f>
        <v/>
      </c>
      <c r="L197" s="38" t="n">
        <f aca="false">IF(AND(ISNUMBER($G197),$G197&gt;=21),STDEV(INDEX($H$137:$H197,62-20):$H197)*SQRT(245),"")</f>
        <v>0.135838199099469</v>
      </c>
      <c r="M197" s="37" t="n">
        <f aca="false">IF(AND(ISNUMBER($G197),$G197&gt;=60),MAX(INDEX($D$5:$D197,194-60):$D197),"")</f>
        <v>1219579</v>
      </c>
      <c r="N197" s="37" t="n">
        <f aca="false">IF(AND(ISNUMBER($G197),$G197&gt;=60),MIN(INDEX($E$5:$E197,194-60):$E197),"")</f>
        <v>1116216</v>
      </c>
      <c r="O197" s="38" t="n">
        <f aca="false">IF(OR(NOT(ISNUMBER($C197)),NOT(ISNUMBER($M197)),$M197=0),"",$C197/$M197-1)</f>
        <v>-0.030466251058767</v>
      </c>
    </row>
    <row r="198" customFormat="false" ht="15" hidden="false" customHeight="true" outlineLevel="0" collapsed="false">
      <c r="A198" s="32" t="n">
        <v>45839</v>
      </c>
      <c r="B198" s="33" t="s">
        <v>288</v>
      </c>
      <c r="C198" s="34" t="n">
        <v>1184801</v>
      </c>
      <c r="D198" s="34" t="n">
        <v>1189213</v>
      </c>
      <c r="E198" s="34" t="n">
        <v>1181149</v>
      </c>
      <c r="F198" s="34" t="n">
        <v>0</v>
      </c>
      <c r="G198" s="35" t="n">
        <f aca="false">IF($A198="","",IF(ISNUMBER($G197),$G197+1,1))</f>
        <v>194</v>
      </c>
      <c r="H198" s="36" t="n">
        <f aca="false">IF(OR(NOT(ISNUMBER($G198)),$G198&lt;2,NOT(ISNUMBER($C197)),$C197=0),"",$C198/$C197-1)</f>
        <v>0.00201112461445696</v>
      </c>
      <c r="I198" s="37" t="n">
        <f aca="false">IF(AND(ISNUMBER($G198),$G198&gt;=MA_SHORT),AVERAGE(INDEX($C$5:$C198,195-MA_SHORT):$C198),"")</f>
        <v>1158450.7</v>
      </c>
      <c r="J198" s="37" t="n">
        <f aca="false">IF(AND(ISNUMBER($G198),$G198&gt;=MA_MED),AVERAGE(INDEX($C$5:$C198,195-MA_MED):$C198),"")</f>
        <v>1174173.28</v>
      </c>
      <c r="K198" s="37" t="str">
        <f aca="false">IF(AND(ISNUMBER($G198),$G198&gt;=MA_LONG2),AVERAGE(INDEX($C$5:$C198,195-MA_LONG2):$C198),"")</f>
        <v/>
      </c>
      <c r="L198" s="38" t="n">
        <f aca="false">IF(AND(ISNUMBER($G198),$G198&gt;=21),STDEV(INDEX($H$138:$H198,62-20):$H198)*SQRT(245),"")</f>
        <v>0.131983005734623</v>
      </c>
      <c r="M198" s="37" t="n">
        <f aca="false">IF(AND(ISNUMBER($G198),$G198&gt;=60),MAX(INDEX($D$5:$D198,195-60):$D198),"")</f>
        <v>1219579</v>
      </c>
      <c r="N198" s="37" t="n">
        <f aca="false">IF(AND(ISNUMBER($G198),$G198&gt;=60),MIN(INDEX($E$5:$E198,195-60):$E198),"")</f>
        <v>1116216</v>
      </c>
      <c r="O198" s="38" t="n">
        <f aca="false">IF(OR(NOT(ISNUMBER($C198)),NOT(ISNUMBER($M198)),$M198=0),"",$C198/$M198-1)</f>
        <v>-0.0285163978717246</v>
      </c>
    </row>
    <row r="199" customFormat="false" ht="15" hidden="false" customHeight="true" outlineLevel="0" collapsed="false">
      <c r="A199" s="32" t="n">
        <v>45840</v>
      </c>
      <c r="B199" s="33" t="s">
        <v>289</v>
      </c>
      <c r="C199" s="34" t="n">
        <v>1184412</v>
      </c>
      <c r="D199" s="34" t="n">
        <v>1185070</v>
      </c>
      <c r="E199" s="34" t="n">
        <v>1182913</v>
      </c>
      <c r="F199" s="34" t="n">
        <v>0</v>
      </c>
      <c r="G199" s="35" t="n">
        <f aca="false">IF($A199="","",IF(ISNUMBER($G198),$G198+1,1))</f>
        <v>195</v>
      </c>
      <c r="H199" s="36" t="n">
        <f aca="false">IF(OR(NOT(ISNUMBER($G199)),$G199&lt;2,NOT(ISNUMBER($C198)),$C198=0),"",$C199/$C198-1)</f>
        <v>-0.000328325178658662</v>
      </c>
      <c r="I199" s="37" t="n">
        <f aca="false">IF(AND(ISNUMBER($G199),$G199&gt;=MA_SHORT),AVERAGE(INDEX($C$5:$C199,196-MA_SHORT):$C199),"")</f>
        <v>1158481.45</v>
      </c>
      <c r="J199" s="37" t="n">
        <f aca="false">IF(AND(ISNUMBER($G199),$G199&gt;=MA_MED),AVERAGE(INDEX($C$5:$C199,196-MA_MED):$C199),"")</f>
        <v>1174695.92</v>
      </c>
      <c r="K199" s="37" t="str">
        <f aca="false">IF(AND(ISNUMBER($G199),$G199&gt;=MA_LONG2),AVERAGE(INDEX($C$5:$C199,196-MA_LONG2):$C199),"")</f>
        <v/>
      </c>
      <c r="L199" s="38" t="n">
        <f aca="false">IF(AND(ISNUMBER($G199),$G199&gt;=21),STDEV(INDEX($H$139:$H199,62-20):$H199)*SQRT(245),"")</f>
        <v>0.130842553921252</v>
      </c>
      <c r="M199" s="37" t="n">
        <f aca="false">IF(AND(ISNUMBER($G199),$G199&gt;=60),MAX(INDEX($D$5:$D199,196-60):$D199),"")</f>
        <v>1219579</v>
      </c>
      <c r="N199" s="37" t="n">
        <f aca="false">IF(AND(ISNUMBER($G199),$G199&gt;=60),MIN(INDEX($E$5:$E199,196-60):$E199),"")</f>
        <v>1116216</v>
      </c>
      <c r="O199" s="38" t="n">
        <f aca="false">IF(OR(NOT(ISNUMBER($C199)),NOT(ISNUMBER($M199)),$M199=0),"",$C199/$M199-1)</f>
        <v>-0.0288353603989574</v>
      </c>
    </row>
    <row r="200" customFormat="false" ht="15" hidden="false" customHeight="true" outlineLevel="0" collapsed="false">
      <c r="A200" s="32" t="n">
        <v>45843</v>
      </c>
      <c r="B200" s="33" t="s">
        <v>290</v>
      </c>
      <c r="C200" s="34" t="n">
        <v>1168548</v>
      </c>
      <c r="D200" s="34" t="n">
        <v>1171487</v>
      </c>
      <c r="E200" s="34" t="n">
        <v>1165742</v>
      </c>
      <c r="F200" s="34" t="n">
        <v>0</v>
      </c>
      <c r="G200" s="35" t="n">
        <f aca="false">IF($A200="","",IF(ISNUMBER($G199),$G199+1,1))</f>
        <v>196</v>
      </c>
      <c r="H200" s="36" t="n">
        <f aca="false">IF(OR(NOT(ISNUMBER($G200)),$G200&lt;2,NOT(ISNUMBER($C199)),$C199=0),"",$C200/$C199-1)</f>
        <v>-0.0133939879028582</v>
      </c>
      <c r="I200" s="37" t="n">
        <f aca="false">IF(AND(ISNUMBER($G200),$G200&gt;=MA_SHORT),AVERAGE(INDEX($C$5:$C200,197-MA_SHORT):$C200),"")</f>
        <v>1157721.35</v>
      </c>
      <c r="J200" s="37" t="n">
        <f aca="false">IF(AND(ISNUMBER($G200),$G200&gt;=MA_MED),AVERAGE(INDEX($C$5:$C200,197-MA_MED):$C200),"")</f>
        <v>1174859.58</v>
      </c>
      <c r="K200" s="37" t="str">
        <f aca="false">IF(AND(ISNUMBER($G200),$G200&gt;=MA_LONG2),AVERAGE(INDEX($C$5:$C200,197-MA_LONG2):$C200),"")</f>
        <v/>
      </c>
      <c r="L200" s="38" t="n">
        <f aca="false">IF(AND(ISNUMBER($G200),$G200&gt;=21),STDEV(INDEX($H$140:$H200,62-20):$H200)*SQRT(245),"")</f>
        <v>0.139062911546626</v>
      </c>
      <c r="M200" s="37" t="n">
        <f aca="false">IF(AND(ISNUMBER($G200),$G200&gt;=60),MAX(INDEX($D$5:$D200,197-60):$D200),"")</f>
        <v>1219579</v>
      </c>
      <c r="N200" s="37" t="n">
        <f aca="false">IF(AND(ISNUMBER($G200),$G200&gt;=60),MIN(INDEX($E$5:$E200,197-60):$E200),"")</f>
        <v>1116216</v>
      </c>
      <c r="O200" s="38" t="n">
        <f aca="false">IF(OR(NOT(ISNUMBER($C200)),NOT(ISNUMBER($M200)),$M200=0),"",$C200/$M200-1)</f>
        <v>-0.0418431278334573</v>
      </c>
    </row>
    <row r="201" customFormat="false" ht="15" hidden="false" customHeight="true" outlineLevel="0" collapsed="false">
      <c r="A201" s="32" t="n">
        <v>45844</v>
      </c>
      <c r="B201" s="33" t="s">
        <v>291</v>
      </c>
      <c r="C201" s="34" t="n">
        <v>1157930</v>
      </c>
      <c r="D201" s="34" t="n">
        <v>1161888</v>
      </c>
      <c r="E201" s="34" t="n">
        <v>1156114</v>
      </c>
      <c r="F201" s="34" t="n">
        <v>0</v>
      </c>
      <c r="G201" s="35" t="n">
        <f aca="false">IF($A201="","",IF(ISNUMBER($G200),$G200+1,1))</f>
        <v>197</v>
      </c>
      <c r="H201" s="36" t="n">
        <f aca="false">IF(OR(NOT(ISNUMBER($G201)),$G201&lt;2,NOT(ISNUMBER($C200)),$C200=0),"",$C201/$C200-1)</f>
        <v>-0.00908649024259167</v>
      </c>
      <c r="I201" s="37" t="n">
        <f aca="false">IF(AND(ISNUMBER($G201),$G201&gt;=MA_SHORT),AVERAGE(INDEX($C$5:$C201,198-MA_SHORT):$C201),"")</f>
        <v>1156795.6</v>
      </c>
      <c r="J201" s="37" t="n">
        <f aca="false">IF(AND(ISNUMBER($G201),$G201&gt;=MA_MED),AVERAGE(INDEX($C$5:$C201,198-MA_MED):$C201),"")</f>
        <v>1174505.5</v>
      </c>
      <c r="K201" s="37" t="str">
        <f aca="false">IF(AND(ISNUMBER($G201),$G201&gt;=MA_LONG2),AVERAGE(INDEX($C$5:$C201,198-MA_LONG2):$C201),"")</f>
        <v/>
      </c>
      <c r="L201" s="38" t="n">
        <f aca="false">IF(AND(ISNUMBER($G201),$G201&gt;=21),STDEV(INDEX($H$141:$H201,62-20):$H201)*SQRT(245),"")</f>
        <v>0.140928542677985</v>
      </c>
      <c r="M201" s="37" t="n">
        <f aca="false">IF(AND(ISNUMBER($G201),$G201&gt;=60),MAX(INDEX($D$5:$D201,198-60):$D201),"")</f>
        <v>1219579</v>
      </c>
      <c r="N201" s="37" t="n">
        <f aca="false">IF(AND(ISNUMBER($G201),$G201&gt;=60),MIN(INDEX($E$5:$E201,198-60):$E201),"")</f>
        <v>1116216</v>
      </c>
      <c r="O201" s="38" t="n">
        <f aca="false">IF(OR(NOT(ISNUMBER($C201)),NOT(ISNUMBER($M201)),$M201=0),"",$C201/$M201-1)</f>
        <v>-0.0505494109032707</v>
      </c>
    </row>
    <row r="202" customFormat="false" ht="15" hidden="false" customHeight="true" outlineLevel="0" collapsed="false">
      <c r="A202" s="32" t="n">
        <v>45845</v>
      </c>
      <c r="B202" s="33" t="s">
        <v>292</v>
      </c>
      <c r="C202" s="34" t="n">
        <v>1158405</v>
      </c>
      <c r="D202" s="34" t="n">
        <v>1160490</v>
      </c>
      <c r="E202" s="34" t="n">
        <v>1157878</v>
      </c>
      <c r="F202" s="34" t="n">
        <v>0</v>
      </c>
      <c r="G202" s="35" t="n">
        <f aca="false">IF($A202="","",IF(ISNUMBER($G201),$G201+1,1))</f>
        <v>198</v>
      </c>
      <c r="H202" s="36" t="n">
        <f aca="false">IF(OR(NOT(ISNUMBER($G202)),$G202&lt;2,NOT(ISNUMBER($C201)),$C201=0),"",$C202/$C201-1)</f>
        <v>0.000410214779822615</v>
      </c>
      <c r="I202" s="37" t="n">
        <f aca="false">IF(AND(ISNUMBER($G202),$G202&gt;=MA_SHORT),AVERAGE(INDEX($C$5:$C202,199-MA_SHORT):$C202),"")</f>
        <v>1156532.5</v>
      </c>
      <c r="J202" s="37" t="n">
        <f aca="false">IF(AND(ISNUMBER($G202),$G202&gt;=MA_MED),AVERAGE(INDEX($C$5:$C202,199-MA_MED):$C202),"")</f>
        <v>1173916.68</v>
      </c>
      <c r="K202" s="37" t="str">
        <f aca="false">IF(AND(ISNUMBER($G202),$G202&gt;=MA_LONG2),AVERAGE(INDEX($C$5:$C202,199-MA_LONG2):$C202),"")</f>
        <v/>
      </c>
      <c r="L202" s="38" t="n">
        <f aca="false">IF(AND(ISNUMBER($G202),$G202&gt;=21),STDEV(INDEX($H$142:$H202,62-20):$H202)*SQRT(245),"")</f>
        <v>0.135937920233006</v>
      </c>
      <c r="M202" s="37" t="n">
        <f aca="false">IF(AND(ISNUMBER($G202),$G202&gt;=60),MAX(INDEX($D$5:$D202,199-60):$D202),"")</f>
        <v>1219579</v>
      </c>
      <c r="N202" s="37" t="n">
        <f aca="false">IF(AND(ISNUMBER($G202),$G202&gt;=60),MIN(INDEX($E$5:$E202,199-60):$E202),"")</f>
        <v>1116216</v>
      </c>
      <c r="O202" s="38" t="n">
        <f aca="false">IF(OR(NOT(ISNUMBER($C202)),NOT(ISNUMBER($M202)),$M202=0),"",$C202/$M202-1)</f>
        <v>-0.0501599322389119</v>
      </c>
    </row>
    <row r="203" customFormat="false" ht="15" hidden="false" customHeight="true" outlineLevel="0" collapsed="false">
      <c r="A203" s="32" t="n">
        <v>45846</v>
      </c>
      <c r="B203" s="33" t="s">
        <v>293</v>
      </c>
      <c r="C203" s="34" t="n">
        <v>1170440</v>
      </c>
      <c r="D203" s="34" t="n">
        <v>1171542</v>
      </c>
      <c r="E203" s="34" t="n">
        <v>1166500</v>
      </c>
      <c r="F203" s="34" t="n">
        <v>0</v>
      </c>
      <c r="G203" s="35" t="n">
        <f aca="false">IF($A203="","",IF(ISNUMBER($G202),$G202+1,1))</f>
        <v>199</v>
      </c>
      <c r="H203" s="36" t="n">
        <f aca="false">IF(OR(NOT(ISNUMBER($G203)),$G203&lt;2,NOT(ISNUMBER($C202)),$C202=0),"",$C203/$C202-1)</f>
        <v>0.0103892852672425</v>
      </c>
      <c r="I203" s="37" t="n">
        <f aca="false">IF(AND(ISNUMBER($G203),$G203&gt;=MA_SHORT),AVERAGE(INDEX($C$5:$C203,200-MA_SHORT):$C203),"")</f>
        <v>1156954.5</v>
      </c>
      <c r="J203" s="37" t="n">
        <f aca="false">IF(AND(ISNUMBER($G203),$G203&gt;=MA_MED),AVERAGE(INDEX($C$5:$C203,200-MA_MED):$C203),"")</f>
        <v>1173553.42</v>
      </c>
      <c r="K203" s="37" t="str">
        <f aca="false">IF(AND(ISNUMBER($G203),$G203&gt;=MA_LONG2),AVERAGE(INDEX($C$5:$C203,200-MA_LONG2):$C203),"")</f>
        <v/>
      </c>
      <c r="L203" s="38" t="n">
        <f aca="false">IF(AND(ISNUMBER($G203),$G203&gt;=21),STDEV(INDEX($H$143:$H203,62-20):$H203)*SQRT(245),"")</f>
        <v>0.140756832928046</v>
      </c>
      <c r="M203" s="37" t="n">
        <f aca="false">IF(AND(ISNUMBER($G203),$G203&gt;=60),MAX(INDEX($D$5:$D203,200-60):$D203),"")</f>
        <v>1219579</v>
      </c>
      <c r="N203" s="37" t="n">
        <f aca="false">IF(AND(ISNUMBER($G203),$G203&gt;=60),MIN(INDEX($E$5:$E203,200-60):$E203),"")</f>
        <v>1116216</v>
      </c>
      <c r="O203" s="38" t="n">
        <f aca="false">IF(OR(NOT(ISNUMBER($C203)),NOT(ISNUMBER($M203)),$M203=0),"",$C203/$M203-1)</f>
        <v>-0.0402917728166851</v>
      </c>
    </row>
    <row r="204" customFormat="false" ht="15" hidden="false" customHeight="true" outlineLevel="0" collapsed="false">
      <c r="A204" s="32" t="n">
        <v>45847</v>
      </c>
      <c r="B204" s="33" t="s">
        <v>294</v>
      </c>
      <c r="C204" s="34" t="n">
        <v>1186783</v>
      </c>
      <c r="D204" s="34" t="n">
        <v>1193336</v>
      </c>
      <c r="E204" s="34" t="n">
        <v>1183171</v>
      </c>
      <c r="F204" s="34" t="n">
        <v>0</v>
      </c>
      <c r="G204" s="35" t="n">
        <f aca="false">IF($A204="","",IF(ISNUMBER($G203),$G203+1,1))</f>
        <v>200</v>
      </c>
      <c r="H204" s="36" t="n">
        <f aca="false">IF(OR(NOT(ISNUMBER($G204)),$G204&lt;2,NOT(ISNUMBER($C203)),$C203=0),"",$C204/$C203-1)</f>
        <v>0.0139631249786405</v>
      </c>
      <c r="I204" s="37" t="n">
        <f aca="false">IF(AND(ISNUMBER($G204),$G204&gt;=MA_SHORT),AVERAGE(INDEX($C$5:$C204,201-MA_SHORT):$C204),"")</f>
        <v>1158174.7</v>
      </c>
      <c r="J204" s="37" t="n">
        <f aca="false">IF(AND(ISNUMBER($G204),$G204&gt;=MA_MED),AVERAGE(INDEX($C$5:$C204,201-MA_MED):$C204),"")</f>
        <v>1173552.04</v>
      </c>
      <c r="K204" s="37" t="n">
        <f aca="false">IF(AND(ISNUMBER($G204),$G204&gt;=MA_LONG2),AVERAGE(INDEX($C$5:$C204,201-MA_LONG2):$C204),"")</f>
        <v>1060190.03</v>
      </c>
      <c r="L204" s="38" t="n">
        <f aca="false">IF(AND(ISNUMBER($G204),$G204&gt;=21),STDEV(INDEX($H$144:$H204,62-20):$H204)*SQRT(245),"")</f>
        <v>0.14854104417646</v>
      </c>
      <c r="M204" s="37" t="n">
        <f aca="false">IF(AND(ISNUMBER($G204),$G204&gt;=60),MAX(INDEX($D$5:$D204,201-60):$D204),"")</f>
        <v>1219579</v>
      </c>
      <c r="N204" s="37" t="n">
        <f aca="false">IF(AND(ISNUMBER($G204),$G204&gt;=60),MIN(INDEX($E$5:$E204,201-60):$E204),"")</f>
        <v>1116216</v>
      </c>
      <c r="O204" s="38" t="n">
        <f aca="false">IF(OR(NOT(ISNUMBER($C204)),NOT(ISNUMBER($M204)),$M204=0),"",$C204/$M204-1)</f>
        <v>-0.026891246897495</v>
      </c>
    </row>
    <row r="205" customFormat="false" ht="15" hidden="false" customHeight="true" outlineLevel="0" collapsed="false">
      <c r="A205" s="32" t="n">
        <v>45850</v>
      </c>
      <c r="B205" s="33" t="s">
        <v>295</v>
      </c>
      <c r="C205" s="34" t="n">
        <v>1183687</v>
      </c>
      <c r="D205" s="34" t="n">
        <v>1185434</v>
      </c>
      <c r="E205" s="34" t="n">
        <v>1180369</v>
      </c>
      <c r="F205" s="34" t="n">
        <v>0</v>
      </c>
      <c r="G205" s="35" t="n">
        <f aca="false">IF($A205="","",IF(ISNUMBER($G204),$G204+1,1))</f>
        <v>201</v>
      </c>
      <c r="H205" s="36" t="n">
        <f aca="false">IF(OR(NOT(ISNUMBER($G205)),$G205&lt;2,NOT(ISNUMBER($C204)),$C204=0),"",$C205/$C204-1)</f>
        <v>-0.00260873302027409</v>
      </c>
      <c r="I205" s="37" t="n">
        <f aca="false">IF(AND(ISNUMBER($G205),$G205&gt;=MA_SHORT),AVERAGE(INDEX($C$5:$C205,202-MA_SHORT):$C205),"")</f>
        <v>1160181.9</v>
      </c>
      <c r="J205" s="37" t="n">
        <f aca="false">IF(AND(ISNUMBER($G205),$G205&gt;=MA_MED),AVERAGE(INDEX($C$5:$C205,202-MA_MED):$C205),"")</f>
        <v>1173698</v>
      </c>
      <c r="K205" s="37" t="n">
        <f aca="false">IF(AND(ISNUMBER($G205),$G205&gt;=MA_LONG2),AVERAGE(INDEX($C$5:$C205,202-MA_LONG2):$C205),"")</f>
        <v>1061332.425</v>
      </c>
      <c r="L205" s="38" t="n">
        <f aca="false">IF(AND(ISNUMBER($G205),$G205&gt;=21),STDEV(INDEX($H$145:$H205,62-20):$H205)*SQRT(245),"")</f>
        <v>0.135157166424786</v>
      </c>
      <c r="M205" s="37" t="n">
        <f aca="false">IF(AND(ISNUMBER($G205),$G205&gt;=60),MAX(INDEX($D$5:$D205,202-60):$D205),"")</f>
        <v>1219579</v>
      </c>
      <c r="N205" s="37" t="n">
        <f aca="false">IF(AND(ISNUMBER($G205),$G205&gt;=60),MIN(INDEX($E$5:$E205,202-60):$E205),"")</f>
        <v>1116216</v>
      </c>
      <c r="O205" s="38" t="n">
        <f aca="false">IF(OR(NOT(ISNUMBER($C205)),NOT(ISNUMBER($M205)),$M205=0),"",$C205/$M205-1)</f>
        <v>-0.0294298278340313</v>
      </c>
    </row>
    <row r="206" customFormat="false" ht="15" hidden="false" customHeight="true" outlineLevel="0" collapsed="false">
      <c r="A206" s="32" t="n">
        <v>45851</v>
      </c>
      <c r="B206" s="33" t="s">
        <v>296</v>
      </c>
      <c r="C206" s="34" t="n">
        <v>1185547</v>
      </c>
      <c r="D206" s="34" t="n">
        <v>1186966</v>
      </c>
      <c r="E206" s="34" t="n">
        <v>1184867</v>
      </c>
      <c r="F206" s="34" t="n">
        <v>0</v>
      </c>
      <c r="G206" s="35" t="n">
        <f aca="false">IF($A206="","",IF(ISNUMBER($G205),$G205+1,1))</f>
        <v>202</v>
      </c>
      <c r="H206" s="36" t="n">
        <f aca="false">IF(OR(NOT(ISNUMBER($G206)),$G206&lt;2,NOT(ISNUMBER($C205)),$C205=0),"",$C206/$C205-1)</f>
        <v>0.00157136134805902</v>
      </c>
      <c r="I206" s="37" t="n">
        <f aca="false">IF(AND(ISNUMBER($G206),$G206&gt;=MA_SHORT),AVERAGE(INDEX($C$5:$C206,203-MA_SHORT):$C206),"")</f>
        <v>1162309.4</v>
      </c>
      <c r="J206" s="37" t="n">
        <f aca="false">IF(AND(ISNUMBER($G206),$G206&gt;=MA_MED),AVERAGE(INDEX($C$5:$C206,203-MA_MED):$C206),"")</f>
        <v>1174090.08</v>
      </c>
      <c r="K206" s="37" t="n">
        <f aca="false">IF(AND(ISNUMBER($G206),$G206&gt;=MA_LONG2),AVERAGE(INDEX($C$5:$C206,203-MA_LONG2):$C206),"")</f>
        <v>1062500.355</v>
      </c>
      <c r="L206" s="38" t="n">
        <f aca="false">IF(AND(ISNUMBER($G206),$G206&gt;=21),STDEV(INDEX($H$146:$H206,62-20):$H206)*SQRT(245),"")</f>
        <v>0.134909397508554</v>
      </c>
      <c r="M206" s="37" t="n">
        <f aca="false">IF(AND(ISNUMBER($G206),$G206&gt;=60),MAX(INDEX($D$6:$D206,202-60):$D206),"")</f>
        <v>1219579</v>
      </c>
      <c r="N206" s="37" t="n">
        <f aca="false">IF(AND(ISNUMBER($G206),$G206&gt;=60),MIN(INDEX($E$6:$E206,202-60):$E206),"")</f>
        <v>1116216</v>
      </c>
      <c r="O206" s="38" t="n">
        <f aca="false">IF(OR(NOT(ISNUMBER($C206)),NOT(ISNUMBER($M206)),$M206=0),"",$C206/$M206-1)</f>
        <v>-0.0279047113799106</v>
      </c>
    </row>
    <row r="207" customFormat="false" ht="15" hidden="false" customHeight="true" outlineLevel="0" collapsed="false">
      <c r="A207" s="32" t="n">
        <v>45852</v>
      </c>
      <c r="B207" s="33" t="s">
        <v>297</v>
      </c>
      <c r="C207" s="34" t="n">
        <v>1162916</v>
      </c>
      <c r="D207" s="34" t="n">
        <v>1163922</v>
      </c>
      <c r="E207" s="34" t="n">
        <v>1155258</v>
      </c>
      <c r="F207" s="34" t="n">
        <v>0</v>
      </c>
      <c r="G207" s="35" t="n">
        <f aca="false">IF($A207="","",IF(ISNUMBER($G206),$G206+1,1))</f>
        <v>203</v>
      </c>
      <c r="H207" s="36" t="n">
        <f aca="false">IF(OR(NOT(ISNUMBER($G207)),$G207&lt;2,NOT(ISNUMBER($C206)),$C206=0),"",$C207/$C206-1)</f>
        <v>-0.0190890787121893</v>
      </c>
      <c r="I207" s="37" t="n">
        <f aca="false">IF(AND(ISNUMBER($G207),$G207&gt;=MA_SHORT),AVERAGE(INDEX($C$5:$C207,204-MA_SHORT):$C207),"")</f>
        <v>1163360.5</v>
      </c>
      <c r="J207" s="37" t="n">
        <f aca="false">IF(AND(ISNUMBER($G207),$G207&gt;=MA_MED),AVERAGE(INDEX($C$5:$C207,204-MA_MED):$C207),"")</f>
        <v>1174182.32</v>
      </c>
      <c r="K207" s="37" t="n">
        <f aca="false">IF(AND(ISNUMBER($G207),$G207&gt;=MA_LONG2),AVERAGE(INDEX($C$5:$C207,204-MA_LONG2):$C207),"")</f>
        <v>1063507.605</v>
      </c>
      <c r="L207" s="38" t="n">
        <f aca="false">IF(AND(ISNUMBER($G207),$G207&gt;=21),STDEV(INDEX($H$147:$H207,62-20):$H207)*SQRT(245),"")</f>
        <v>0.153450389754447</v>
      </c>
      <c r="M207" s="37" t="n">
        <f aca="false">IF(AND(ISNUMBER($G207),$G207&gt;=60),MAX(INDEX($D$7:$D207,202-60):$D207),"")</f>
        <v>1219579</v>
      </c>
      <c r="N207" s="37" t="n">
        <f aca="false">IF(AND(ISNUMBER($G207),$G207&gt;=60),MIN(INDEX($E$7:$E207,202-60):$E207),"")</f>
        <v>1116216</v>
      </c>
      <c r="O207" s="38" t="n">
        <f aca="false">IF(OR(NOT(ISNUMBER($C207)),NOT(ISNUMBER($M207)),$M207=0),"",$C207/$M207-1)</f>
        <v>-0.0464611148601279</v>
      </c>
    </row>
    <row r="208" customFormat="false" ht="15" hidden="false" customHeight="true" outlineLevel="0" collapsed="false">
      <c r="A208" s="32" t="n">
        <v>45853</v>
      </c>
      <c r="B208" s="33" t="s">
        <v>298</v>
      </c>
      <c r="C208" s="34" t="n">
        <v>1164241</v>
      </c>
      <c r="D208" s="34" t="n">
        <v>1164447</v>
      </c>
      <c r="E208" s="34" t="n">
        <v>1160811</v>
      </c>
      <c r="F208" s="34" t="n">
        <v>0</v>
      </c>
      <c r="G208" s="35" t="n">
        <f aca="false">IF($A208="","",IF(ISNUMBER($G207),$G207+1,1))</f>
        <v>204</v>
      </c>
      <c r="H208" s="36" t="n">
        <f aca="false">IF(OR(NOT(ISNUMBER($G208)),$G208&lt;2,NOT(ISNUMBER($C207)),$C207=0),"",$C208/$C207-1)</f>
        <v>0.00113937722071067</v>
      </c>
      <c r="I208" s="37" t="n">
        <f aca="false">IF(AND(ISNUMBER($G208),$G208&gt;=MA_SHORT),AVERAGE(INDEX($C$5:$C208,205-MA_SHORT):$C208),"")</f>
        <v>1165576.6</v>
      </c>
      <c r="J208" s="37" t="n">
        <f aca="false">IF(AND(ISNUMBER($G208),$G208&gt;=MA_MED),AVERAGE(INDEX($C$5:$C208,205-MA_MED):$C208),"")</f>
        <v>1174212.18</v>
      </c>
      <c r="K208" s="37" t="n">
        <f aca="false">IF(AND(ISNUMBER($G208),$G208&gt;=MA_LONG2),AVERAGE(INDEX($C$5:$C208,205-MA_LONG2):$C208),"")</f>
        <v>1064475.64</v>
      </c>
      <c r="L208" s="38" t="n">
        <f aca="false">IF(AND(ISNUMBER($G208),$G208&gt;=21),STDEV(INDEX($H$148:$H208,62-20):$H208)*SQRT(245),"")</f>
        <v>0.134225854540525</v>
      </c>
      <c r="M208" s="37" t="n">
        <f aca="false">IF(AND(ISNUMBER($G208),$G208&gt;=60),MAX(INDEX($D$8:$D208,202-60):$D208),"")</f>
        <v>1219579</v>
      </c>
      <c r="N208" s="37" t="n">
        <f aca="false">IF(AND(ISNUMBER($G208),$G208&gt;=60),MIN(INDEX($E$8:$E208,202-60):$E208),"")</f>
        <v>1116216</v>
      </c>
      <c r="O208" s="38" t="n">
        <f aca="false">IF(OR(NOT(ISNUMBER($C208)),NOT(ISNUMBER($M208)),$M208=0),"",$C208/$M208-1)</f>
        <v>-0.0453746743753377</v>
      </c>
    </row>
    <row r="209" customFormat="false" ht="15" hidden="false" customHeight="true" outlineLevel="0" collapsed="false">
      <c r="A209" s="32" t="n">
        <v>45854</v>
      </c>
      <c r="B209" s="33" t="s">
        <v>299</v>
      </c>
      <c r="C209" s="34" t="n">
        <v>1151719</v>
      </c>
      <c r="D209" s="34" t="n">
        <v>1154180</v>
      </c>
      <c r="E209" s="34" t="n">
        <v>1145883</v>
      </c>
      <c r="F209" s="34" t="n">
        <v>0</v>
      </c>
      <c r="G209" s="35" t="n">
        <f aca="false">IF($A209="","",IF(ISNUMBER($G208),$G208+1,1))</f>
        <v>205</v>
      </c>
      <c r="H209" s="36" t="n">
        <f aca="false">IF(OR(NOT(ISNUMBER($G209)),$G209&lt;2,NOT(ISNUMBER($C208)),$C208=0),"",$C209/$C208-1)</f>
        <v>-0.010755505088723</v>
      </c>
      <c r="I209" s="37" t="n">
        <f aca="false">IF(AND(ISNUMBER($G209),$G209&gt;=MA_SHORT),AVERAGE(INDEX($C$5:$C209,206-MA_SHORT):$C209),"")</f>
        <v>1166845.4</v>
      </c>
      <c r="J209" s="37" t="n">
        <f aca="false">IF(AND(ISNUMBER($G209),$G209&gt;=MA_MED),AVERAGE(INDEX($C$5:$C209,206-MA_MED):$C209),"")</f>
        <v>1173781.5</v>
      </c>
      <c r="K209" s="37" t="n">
        <f aca="false">IF(AND(ISNUMBER($G209),$G209&gt;=MA_LONG2),AVERAGE(INDEX($C$5:$C209,206-MA_LONG2):$C209),"")</f>
        <v>1065368.34</v>
      </c>
      <c r="L209" s="38" t="n">
        <f aca="false">IF(AND(ISNUMBER($G209),$G209&gt;=21),STDEV(INDEX($H$149:$H209,62-20):$H209)*SQRT(245),"")</f>
        <v>0.140533619620861</v>
      </c>
      <c r="M209" s="37" t="n">
        <f aca="false">IF(AND(ISNUMBER($G209),$G209&gt;=60),MAX(INDEX($D$9:$D209,202-60):$D209),"")</f>
        <v>1219579</v>
      </c>
      <c r="N209" s="37" t="n">
        <f aca="false">IF(AND(ISNUMBER($G209),$G209&gt;=60),MIN(INDEX($E$9:$E209,202-60):$E209),"")</f>
        <v>1116216</v>
      </c>
      <c r="O209" s="38" t="n">
        <f aca="false">IF(OR(NOT(ISNUMBER($C209)),NOT(ISNUMBER($M209)),$M209=0),"",$C209/$M209-1)</f>
        <v>-0.0556421519229177</v>
      </c>
    </row>
    <row r="210" customFormat="false" ht="15" hidden="false" customHeight="true" outlineLevel="0" collapsed="false">
      <c r="A210" s="32" t="n">
        <v>45857</v>
      </c>
      <c r="B210" s="33" t="s">
        <v>300</v>
      </c>
      <c r="C210" s="34" t="n">
        <v>1152951</v>
      </c>
      <c r="D210" s="34" t="n">
        <v>1153045</v>
      </c>
      <c r="E210" s="34" t="n">
        <v>1147448</v>
      </c>
      <c r="F210" s="34" t="n">
        <v>0</v>
      </c>
      <c r="G210" s="35" t="n">
        <f aca="false">IF($A210="","",IF(ISNUMBER($G209),$G209+1,1))</f>
        <v>206</v>
      </c>
      <c r="H210" s="36" t="n">
        <f aca="false">IF(OR(NOT(ISNUMBER($G210)),$G210&lt;2,NOT(ISNUMBER($C209)),$C209=0),"",$C210/$C209-1)</f>
        <v>0.00106970537084128</v>
      </c>
      <c r="I210" s="37" t="n">
        <f aca="false">IF(AND(ISNUMBER($G210),$G210&gt;=MA_SHORT),AVERAGE(INDEX($C$5:$C210,207-MA_SHORT):$C210),"")</f>
        <v>1168060.5</v>
      </c>
      <c r="J210" s="37" t="n">
        <f aca="false">IF(AND(ISNUMBER($G210),$G210&gt;=MA_MED),AVERAGE(INDEX($C$5:$C210,207-MA_MED):$C210),"")</f>
        <v>1173122.04</v>
      </c>
      <c r="K210" s="37" t="n">
        <f aca="false">IF(AND(ISNUMBER($G210),$G210&gt;=MA_LONG2),AVERAGE(INDEX($C$5:$C210,207-MA_LONG2):$C210),"")</f>
        <v>1066245.165</v>
      </c>
      <c r="L210" s="38" t="n">
        <f aca="false">IF(AND(ISNUMBER($G210),$G210&gt;=21),STDEV(INDEX($H$150:$H210,62-20):$H210)*SQRT(245),"")</f>
        <v>0.140495042870651</v>
      </c>
      <c r="M210" s="37" t="n">
        <f aca="false">IF(AND(ISNUMBER($G210),$G210&gt;=60),MAX(INDEX($D$10:$D210,202-60):$D210),"")</f>
        <v>1219579</v>
      </c>
      <c r="N210" s="37" t="n">
        <f aca="false">IF(AND(ISNUMBER($G210),$G210&gt;=60),MIN(INDEX($E$10:$E210,202-60):$E210),"")</f>
        <v>1116216</v>
      </c>
      <c r="O210" s="38" t="n">
        <f aca="false">IF(OR(NOT(ISNUMBER($C210)),NOT(ISNUMBER($M210)),$M210=0),"",$C210/$M210-1)</f>
        <v>-0.0546319672608334</v>
      </c>
    </row>
    <row r="211" customFormat="false" ht="15" hidden="false" customHeight="true" outlineLevel="0" collapsed="false">
      <c r="A211" s="32" t="n">
        <v>45858</v>
      </c>
      <c r="B211" s="33" t="s">
        <v>301</v>
      </c>
      <c r="C211" s="34" t="n">
        <v>1157132</v>
      </c>
      <c r="D211" s="34" t="n">
        <v>1157342</v>
      </c>
      <c r="E211" s="34" t="n">
        <v>1155259</v>
      </c>
      <c r="F211" s="34" t="n">
        <v>0</v>
      </c>
      <c r="G211" s="35" t="n">
        <f aca="false">IF($A211="","",IF(ISNUMBER($G210),$G210+1,1))</f>
        <v>207</v>
      </c>
      <c r="H211" s="36" t="n">
        <f aca="false">IF(OR(NOT(ISNUMBER($G211)),$G211&lt;2,NOT(ISNUMBER($C210)),$C210=0),"",$C211/$C210-1)</f>
        <v>0.00362634665306683</v>
      </c>
      <c r="I211" s="37" t="n">
        <f aca="false">IF(AND(ISNUMBER($G211),$G211&gt;=MA_SHORT),AVERAGE(INDEX($C$5:$C211,208-MA_SHORT):$C211),"")</f>
        <v>1168968.6</v>
      </c>
      <c r="J211" s="37" t="n">
        <f aca="false">IF(AND(ISNUMBER($G211),$G211&gt;=MA_MED),AVERAGE(INDEX($C$5:$C211,208-MA_MED):$C211),"")</f>
        <v>1172772.38</v>
      </c>
      <c r="K211" s="37" t="n">
        <f aca="false">IF(AND(ISNUMBER($G211),$G211&gt;=MA_LONG2),AVERAGE(INDEX($C$5:$C211,208-MA_LONG2):$C211),"")</f>
        <v>1067129.93</v>
      </c>
      <c r="L211" s="38" t="n">
        <f aca="false">IF(AND(ISNUMBER($G211),$G211&gt;=21),STDEV(INDEX($H$151:$H211,62-20):$H211)*SQRT(245),"")</f>
        <v>0.137722994810316</v>
      </c>
      <c r="M211" s="37" t="n">
        <f aca="false">IF(AND(ISNUMBER($G211),$G211&gt;=60),MAX(INDEX($D$11:$D211,202-60):$D211),"")</f>
        <v>1219579</v>
      </c>
      <c r="N211" s="37" t="n">
        <f aca="false">IF(AND(ISNUMBER($G211),$G211&gt;=60),MIN(INDEX($E$11:$E211,202-60):$E211),"")</f>
        <v>1116216</v>
      </c>
      <c r="O211" s="38" t="n">
        <f aca="false">IF(OR(NOT(ISNUMBER($C211)),NOT(ISNUMBER($M211)),$M211=0),"",$C211/$M211-1)</f>
        <v>-0.0512037350593935</v>
      </c>
    </row>
    <row r="212" customFormat="false" ht="15" hidden="false" customHeight="true" outlineLevel="0" collapsed="false">
      <c r="A212" s="32" t="n">
        <v>45859</v>
      </c>
      <c r="B212" s="33" t="s">
        <v>302</v>
      </c>
      <c r="C212" s="34" t="n">
        <v>1166286</v>
      </c>
      <c r="D212" s="34" t="n">
        <v>1166930</v>
      </c>
      <c r="E212" s="34" t="n">
        <v>1165330</v>
      </c>
      <c r="F212" s="34" t="n">
        <v>0</v>
      </c>
      <c r="G212" s="35" t="n">
        <f aca="false">IF($A212="","",IF(ISNUMBER($G211),$G211+1,1))</f>
        <v>208</v>
      </c>
      <c r="H212" s="36" t="n">
        <f aca="false">IF(OR(NOT(ISNUMBER($G212)),$G212&lt;2,NOT(ISNUMBER($C211)),$C211=0),"",$C212/$C211-1)</f>
        <v>0.00791093842361978</v>
      </c>
      <c r="I212" s="37" t="n">
        <f aca="false">IF(AND(ISNUMBER($G212),$G212&gt;=MA_SHORT),AVERAGE(INDEX($C$5:$C212,209-MA_SHORT):$C212),"")</f>
        <v>1170078.9</v>
      </c>
      <c r="J212" s="37" t="n">
        <f aca="false">IF(AND(ISNUMBER($G212),$G212&gt;=MA_MED),AVERAGE(INDEX($C$5:$C212,209-MA_MED):$C212),"")</f>
        <v>1172755.2</v>
      </c>
      <c r="K212" s="37" t="n">
        <f aca="false">IF(AND(ISNUMBER($G212),$G212&gt;=MA_LONG2),AVERAGE(INDEX($C$5:$C212,209-MA_LONG2):$C212),"")</f>
        <v>1068087.15</v>
      </c>
      <c r="L212" s="38" t="n">
        <f aca="false">IF(AND(ISNUMBER($G212),$G212&gt;=21),STDEV(INDEX($H$152:$H212,62-20):$H212)*SQRT(245),"")</f>
        <v>0.139407167474308</v>
      </c>
      <c r="M212" s="37" t="n">
        <f aca="false">IF(AND(ISNUMBER($G212),$G212&gt;=60),MAX(INDEX($D$12:$D212,202-60):$D212),"")</f>
        <v>1219579</v>
      </c>
      <c r="N212" s="37" t="n">
        <f aca="false">IF(AND(ISNUMBER($G212),$G212&gt;=60),MIN(INDEX($E$12:$E212,202-60):$E212),"")</f>
        <v>1116216</v>
      </c>
      <c r="O212" s="38" t="n">
        <f aca="false">IF(OR(NOT(ISNUMBER($C212)),NOT(ISNUMBER($M212)),$M212=0),"",$C212/$M212-1)</f>
        <v>-0.0436978662308879</v>
      </c>
    </row>
    <row r="213" customFormat="false" ht="15" hidden="false" customHeight="true" outlineLevel="0" collapsed="false">
      <c r="A213" s="32" t="n">
        <v>45860</v>
      </c>
      <c r="B213" s="33" t="s">
        <v>303</v>
      </c>
      <c r="C213" s="34" t="n">
        <v>1169557</v>
      </c>
      <c r="D213" s="34" t="n">
        <v>1170823</v>
      </c>
      <c r="E213" s="34" t="n">
        <v>1169125</v>
      </c>
      <c r="F213" s="34" t="n">
        <v>0</v>
      </c>
      <c r="G213" s="35" t="n">
        <f aca="false">IF($A213="","",IF(ISNUMBER($G212),$G212+1,1))</f>
        <v>209</v>
      </c>
      <c r="H213" s="36" t="n">
        <f aca="false">IF(OR(NOT(ISNUMBER($G213)),$G213&lt;2,NOT(ISNUMBER($C212)),$C212=0),"",$C213/$C212-1)</f>
        <v>0.00280462939622006</v>
      </c>
      <c r="I213" s="37" t="n">
        <f aca="false">IF(AND(ISNUMBER($G213),$G213&gt;=MA_SHORT),AVERAGE(INDEX($C$5:$C213,210-MA_SHORT):$C213),"")</f>
        <v>1170835.65</v>
      </c>
      <c r="J213" s="37" t="n">
        <f aca="false">IF(AND(ISNUMBER($G213),$G213&gt;=MA_MED),AVERAGE(INDEX($C$5:$C213,210-MA_MED):$C213),"")</f>
        <v>1172564.44</v>
      </c>
      <c r="K213" s="37" t="n">
        <f aca="false">IF(AND(ISNUMBER($G213),$G213&gt;=MA_LONG2),AVERAGE(INDEX($C$5:$C213,210-MA_LONG2):$C213),"")</f>
        <v>1068987.31</v>
      </c>
      <c r="L213" s="38" t="n">
        <f aca="false">IF(AND(ISNUMBER($G213),$G213&gt;=21),STDEV(INDEX($H$153:$H213,62-20):$H213)*SQRT(245),"")</f>
        <v>0.136446850206385</v>
      </c>
      <c r="M213" s="37" t="n">
        <f aca="false">IF(AND(ISNUMBER($G213),$G213&gt;=60),MAX(INDEX($D$13:$D213,202-60):$D213),"")</f>
        <v>1219579</v>
      </c>
      <c r="N213" s="37" t="n">
        <f aca="false">IF(AND(ISNUMBER($G213),$G213&gt;=60),MIN(INDEX($E$13:$E213,202-60):$E213),"")</f>
        <v>1116216</v>
      </c>
      <c r="O213" s="38" t="n">
        <f aca="false">IF(OR(NOT(ISNUMBER($C213)),NOT(ISNUMBER($M213)),$M213=0),"",$C213/$M213-1)</f>
        <v>-0.0410157931548509</v>
      </c>
    </row>
    <row r="214" customFormat="false" ht="15" hidden="false" customHeight="true" outlineLevel="0" collapsed="false">
      <c r="A214" s="32" t="n">
        <v>45861</v>
      </c>
      <c r="B214" s="33" t="s">
        <v>304</v>
      </c>
      <c r="C214" s="34" t="n">
        <v>1170778</v>
      </c>
      <c r="D214" s="34" t="n">
        <v>1176497</v>
      </c>
      <c r="E214" s="34" t="n">
        <v>1167066</v>
      </c>
      <c r="F214" s="34" t="n">
        <v>0</v>
      </c>
      <c r="G214" s="35" t="n">
        <f aca="false">IF($A214="","",IF(ISNUMBER($G213),$G213+1,1))</f>
        <v>210</v>
      </c>
      <c r="H214" s="36" t="n">
        <f aca="false">IF(OR(NOT(ISNUMBER($G214)),$G214&lt;2,NOT(ISNUMBER($C213)),$C213=0),"",$C214/$C213-1)</f>
        <v>0.00104398503022929</v>
      </c>
      <c r="I214" s="37" t="n">
        <f aca="false">IF(AND(ISNUMBER($G214),$G214&gt;=MA_SHORT),AVERAGE(INDEX($C$5:$C214,211-MA_SHORT):$C214),"")</f>
        <v>1171233.6</v>
      </c>
      <c r="J214" s="37" t="n">
        <f aca="false">IF(AND(ISNUMBER($G214),$G214&gt;=MA_MED),AVERAGE(INDEX($C$5:$C214,211-MA_MED):$C214),"")</f>
        <v>1172527.1</v>
      </c>
      <c r="K214" s="37" t="n">
        <f aca="false">IF(AND(ISNUMBER($G214),$G214&gt;=MA_LONG2),AVERAGE(INDEX($C$5:$C214,211-MA_LONG2):$C214),"")</f>
        <v>1069977.405</v>
      </c>
      <c r="L214" s="38" t="n">
        <f aca="false">IF(AND(ISNUMBER($G214),$G214&gt;=21),STDEV(INDEX($H$154:$H214,62-20):$H214)*SQRT(245),"")</f>
        <v>0.134294539188125</v>
      </c>
      <c r="M214" s="37" t="n">
        <f aca="false">IF(AND(ISNUMBER($G214),$G214&gt;=60),MAX(INDEX($D$14:$D214,202-60):$D214),"")</f>
        <v>1219579</v>
      </c>
      <c r="N214" s="37" t="n">
        <f aca="false">IF(AND(ISNUMBER($G214),$G214&gt;=60),MIN(INDEX($E$14:$E214,202-60):$E214),"")</f>
        <v>1116216</v>
      </c>
      <c r="O214" s="38" t="n">
        <f aca="false">IF(OR(NOT(ISNUMBER($C214)),NOT(ISNUMBER($M214)),$M214=0),"",$C214/$M214-1)</f>
        <v>-0.0400146279986783</v>
      </c>
    </row>
    <row r="215" customFormat="false" ht="15" hidden="false" customHeight="true" outlineLevel="0" collapsed="false">
      <c r="A215" s="32" t="n">
        <v>45864</v>
      </c>
      <c r="B215" s="33" t="s">
        <v>305</v>
      </c>
      <c r="C215" s="34" t="n">
        <v>1170514</v>
      </c>
      <c r="D215" s="34" t="n">
        <v>1174913</v>
      </c>
      <c r="E215" s="34" t="n">
        <v>1167536</v>
      </c>
      <c r="F215" s="34" t="n">
        <v>0</v>
      </c>
      <c r="G215" s="35" t="n">
        <f aca="false">IF($A215="","",IF(ISNUMBER($G214),$G214+1,1))</f>
        <v>211</v>
      </c>
      <c r="H215" s="36" t="n">
        <f aca="false">IF(OR(NOT(ISNUMBER($G215)),$G215&lt;2,NOT(ISNUMBER($C214)),$C214=0),"",$C215/$C214-1)</f>
        <v>-0.00022549108370673</v>
      </c>
      <c r="I215" s="37" t="n">
        <f aca="false">IF(AND(ISNUMBER($G215),$G215&gt;=MA_SHORT),AVERAGE(INDEX($C$5:$C215,212-MA_SHORT):$C215),"")</f>
        <v>1170746.65</v>
      </c>
      <c r="J215" s="37" t="n">
        <f aca="false">IF(AND(ISNUMBER($G215),$G215&gt;=MA_MED),AVERAGE(INDEX($C$5:$C215,212-MA_MED):$C215),"")</f>
        <v>1172229.98</v>
      </c>
      <c r="K215" s="37" t="n">
        <f aca="false">IF(AND(ISNUMBER($G215),$G215&gt;=MA_LONG2),AVERAGE(INDEX($C$5:$C215,212-MA_LONG2):$C215),"")</f>
        <v>1070964.465</v>
      </c>
      <c r="L215" s="38" t="n">
        <f aca="false">IF(AND(ISNUMBER($G215),$G215&gt;=21),STDEV(INDEX($H$155:$H215,62-20):$H215)*SQRT(245),"")</f>
        <v>0.123026143041279</v>
      </c>
      <c r="M215" s="37" t="n">
        <f aca="false">IF(AND(ISNUMBER($G215),$G215&gt;=60),MAX(INDEX($D$15:$D215,202-60):$D215),"")</f>
        <v>1219579</v>
      </c>
      <c r="N215" s="37" t="n">
        <f aca="false">IF(AND(ISNUMBER($G215),$G215&gt;=60),MIN(INDEX($E$15:$E215,202-60):$E215),"")</f>
        <v>1116216</v>
      </c>
      <c r="O215" s="38" t="n">
        <f aca="false">IF(OR(NOT(ISNUMBER($C215)),NOT(ISNUMBER($M215)),$M215=0),"",$C215/$M215-1)</f>
        <v>-0.0402310961405534</v>
      </c>
    </row>
    <row r="216" customFormat="false" ht="15" hidden="false" customHeight="true" outlineLevel="0" collapsed="false">
      <c r="A216" s="32" t="n">
        <v>45865</v>
      </c>
      <c r="B216" s="33" t="s">
        <v>306</v>
      </c>
      <c r="C216" s="34" t="n">
        <v>1175353</v>
      </c>
      <c r="D216" s="34" t="n">
        <v>1180280</v>
      </c>
      <c r="E216" s="34" t="n">
        <v>1169751</v>
      </c>
      <c r="F216" s="34" t="n">
        <v>0</v>
      </c>
      <c r="G216" s="35" t="n">
        <f aca="false">IF($A216="","",IF(ISNUMBER($G215),$G215+1,1))</f>
        <v>212</v>
      </c>
      <c r="H216" s="36" t="n">
        <f aca="false">IF(OR(NOT(ISNUMBER($G216)),$G216&lt;2,NOT(ISNUMBER($C215)),$C215=0),"",$C216/$C215-1)</f>
        <v>0.00413408126686221</v>
      </c>
      <c r="I216" s="37" t="n">
        <f aca="false">IF(AND(ISNUMBER($G216),$G216&gt;=MA_SHORT),AVERAGE(INDEX($C$5:$C216,213-MA_SHORT):$C216),"")</f>
        <v>1170221.15</v>
      </c>
      <c r="J216" s="37" t="n">
        <f aca="false">IF(AND(ISNUMBER($G216),$G216&gt;=MA_MED),AVERAGE(INDEX($C$5:$C216,213-MA_MED):$C216),"")</f>
        <v>1171623.88</v>
      </c>
      <c r="K216" s="37" t="n">
        <f aca="false">IF(AND(ISNUMBER($G216),$G216&gt;=MA_LONG2),AVERAGE(INDEX($C$5:$C216,213-MA_LONG2):$C216),"")</f>
        <v>1071957.87</v>
      </c>
      <c r="L216" s="38" t="n">
        <f aca="false">IF(AND(ISNUMBER($G216),$G216&gt;=21),STDEV(INDEX($H$156:$H216,62-20):$H216)*SQRT(245),"")</f>
        <v>0.122711403367926</v>
      </c>
      <c r="M216" s="37" t="n">
        <f aca="false">IF(AND(ISNUMBER($G216),$G216&gt;=60),MAX(INDEX($D$16:$D216,202-60):$D216),"")</f>
        <v>1219579</v>
      </c>
      <c r="N216" s="37" t="n">
        <f aca="false">IF(AND(ISNUMBER($G216),$G216&gt;=60),MIN(INDEX($E$16:$E216,202-60):$E216),"")</f>
        <v>1116216</v>
      </c>
      <c r="O216" s="38" t="n">
        <f aca="false">IF(OR(NOT(ISNUMBER($C216)),NOT(ISNUMBER($M216)),$M216=0),"",$C216/$M216-1)</f>
        <v>-0.0362633334945912</v>
      </c>
    </row>
    <row r="217" customFormat="false" ht="15" hidden="false" customHeight="true" outlineLevel="0" collapsed="false">
      <c r="A217" s="32" t="n">
        <v>45866</v>
      </c>
      <c r="B217" s="33" t="s">
        <v>307</v>
      </c>
      <c r="C217" s="34" t="n">
        <v>1176476</v>
      </c>
      <c r="D217" s="34" t="n">
        <v>1176872</v>
      </c>
      <c r="E217" s="34" t="n">
        <v>1173189</v>
      </c>
      <c r="F217" s="34" t="n">
        <v>0</v>
      </c>
      <c r="G217" s="35" t="n">
        <f aca="false">IF($A217="","",IF(ISNUMBER($G216),$G216+1,1))</f>
        <v>213</v>
      </c>
      <c r="H217" s="36" t="n">
        <f aca="false">IF(OR(NOT(ISNUMBER($G217)),$G217&lt;2,NOT(ISNUMBER($C216)),$C216=0),"",$C217/$C216-1)</f>
        <v>0.000955457636982349</v>
      </c>
      <c r="I217" s="37" t="n">
        <f aca="false">IF(AND(ISNUMBER($G217),$G217&gt;=MA_SHORT),AVERAGE(INDEX($C$5:$C217,214-MA_SHORT):$C217),"")</f>
        <v>1169923.8</v>
      </c>
      <c r="J217" s="37" t="n">
        <f aca="false">IF(AND(ISNUMBER($G217),$G217&gt;=MA_MED),AVERAGE(INDEX($C$5:$C217,214-MA_MED):$C217),"")</f>
        <v>1171193.2</v>
      </c>
      <c r="K217" s="37" t="n">
        <f aca="false">IF(AND(ISNUMBER($G217),$G217&gt;=MA_LONG2),AVERAGE(INDEX($C$5:$C217,214-MA_LONG2):$C217),"")</f>
        <v>1073002.02</v>
      </c>
      <c r="L217" s="38" t="n">
        <f aca="false">IF(AND(ISNUMBER($G217),$G217&gt;=21),STDEV(INDEX($H$157:$H217,62-20):$H217)*SQRT(245),"")</f>
        <v>0.122446347859936</v>
      </c>
      <c r="M217" s="37" t="n">
        <f aca="false">IF(AND(ISNUMBER($G217),$G217&gt;=60),MAX(INDEX($D$17:$D217,202-60):$D217),"")</f>
        <v>1219579</v>
      </c>
      <c r="N217" s="37" t="n">
        <f aca="false">IF(AND(ISNUMBER($G217),$G217&gt;=60),MIN(INDEX($E$17:$E217,202-60):$E217),"")</f>
        <v>1116216</v>
      </c>
      <c r="O217" s="38" t="n">
        <f aca="false">IF(OR(NOT(ISNUMBER($C217)),NOT(ISNUMBER($M217)),$M217=0),"",$C217/$M217-1)</f>
        <v>-0.0353425239365388</v>
      </c>
    </row>
    <row r="218" customFormat="false" ht="15" hidden="false" customHeight="true" outlineLevel="0" collapsed="false">
      <c r="A218" s="32" t="n">
        <v>45867</v>
      </c>
      <c r="B218" s="33" t="s">
        <v>308</v>
      </c>
      <c r="C218" s="34" t="n">
        <v>1160618</v>
      </c>
      <c r="D218" s="34" t="n">
        <v>1162404</v>
      </c>
      <c r="E218" s="34" t="n">
        <v>1157250</v>
      </c>
      <c r="F218" s="34" t="n">
        <v>0</v>
      </c>
      <c r="G218" s="35" t="n">
        <f aca="false">IF($A218="","",IF(ISNUMBER($G217),$G217+1,1))</f>
        <v>214</v>
      </c>
      <c r="H218" s="36" t="n">
        <f aca="false">IF(OR(NOT(ISNUMBER($G218)),$G218&lt;2,NOT(ISNUMBER($C217)),$C217=0),"",$C218/$C217-1)</f>
        <v>-0.0134792379955052</v>
      </c>
      <c r="I218" s="37" t="n">
        <f aca="false">IF(AND(ISNUMBER($G218),$G218&gt;=MA_SHORT),AVERAGE(INDEX($C$5:$C218,215-MA_SHORT):$C218),"")</f>
        <v>1168714.65</v>
      </c>
      <c r="J218" s="37" t="n">
        <f aca="false">IF(AND(ISNUMBER($G218),$G218&gt;=MA_MED),AVERAGE(INDEX($C$5:$C218,215-MA_MED):$C218),"")</f>
        <v>1170428.92</v>
      </c>
      <c r="K218" s="37" t="n">
        <f aca="false">IF(AND(ISNUMBER($G218),$G218&gt;=MA_LONG2),AVERAGE(INDEX($C$5:$C218,215-MA_LONG2):$C218),"")</f>
        <v>1073981.95</v>
      </c>
      <c r="L218" s="38" t="n">
        <f aca="false">IF(AND(ISNUMBER($G218),$G218&gt;=21),STDEV(INDEX($H$158:$H218,62-20):$H218)*SQRT(245),"")</f>
        <v>0.130537525887617</v>
      </c>
      <c r="M218" s="37" t="n">
        <f aca="false">IF(AND(ISNUMBER($G218),$G218&gt;=60),MAX(INDEX($D$18:$D218,202-60):$D218),"")</f>
        <v>1219579</v>
      </c>
      <c r="N218" s="37" t="n">
        <f aca="false">IF(AND(ISNUMBER($G218),$G218&gt;=60),MIN(INDEX($E$18:$E218,202-60):$E218),"")</f>
        <v>1116216</v>
      </c>
      <c r="O218" s="38" t="n">
        <f aca="false">IF(OR(NOT(ISNUMBER($C218)),NOT(ISNUMBER($M218)),$M218=0),"",$C218/$M218-1)</f>
        <v>-0.0483453716405415</v>
      </c>
    </row>
    <row r="219" customFormat="false" ht="15" hidden="false" customHeight="true" outlineLevel="0" collapsed="false">
      <c r="A219" s="32" t="n">
        <v>45868</v>
      </c>
      <c r="B219" s="33" t="s">
        <v>309</v>
      </c>
      <c r="C219" s="34" t="n">
        <v>1136154</v>
      </c>
      <c r="D219" s="34" t="n">
        <v>1137238</v>
      </c>
      <c r="E219" s="34" t="n">
        <v>1134220</v>
      </c>
      <c r="F219" s="34" t="n">
        <v>0</v>
      </c>
      <c r="G219" s="35" t="n">
        <f aca="false">IF($A219="","",IF(ISNUMBER($G218),$G218+1,1))</f>
        <v>215</v>
      </c>
      <c r="H219" s="36" t="n">
        <f aca="false">IF(OR(NOT(ISNUMBER($G219)),$G219&lt;2,NOT(ISNUMBER($C218)),$C218=0),"",$C219/$C218-1)</f>
        <v>-0.0210784254595396</v>
      </c>
      <c r="I219" s="37" t="n">
        <f aca="false">IF(AND(ISNUMBER($G219),$G219&gt;=MA_SHORT),AVERAGE(INDEX($C$5:$C219,216-MA_SHORT):$C219),"")</f>
        <v>1166301.75</v>
      </c>
      <c r="J219" s="37" t="n">
        <f aca="false">IF(AND(ISNUMBER($G219),$G219&gt;=MA_MED),AVERAGE(INDEX($C$5:$C219,216-MA_MED):$C219),"")</f>
        <v>1169203.96</v>
      </c>
      <c r="K219" s="37" t="n">
        <f aca="false">IF(AND(ISNUMBER($G219),$G219&gt;=MA_LONG2),AVERAGE(INDEX($C$5:$C219,216-MA_LONG2):$C219),"")</f>
        <v>1074873.12</v>
      </c>
      <c r="L219" s="38" t="n">
        <f aca="false">IF(AND(ISNUMBER($G219),$G219&gt;=21),STDEV(INDEX($H$159:$H219,62-20):$H219)*SQRT(245),"")</f>
        <v>0.148177033738373</v>
      </c>
      <c r="M219" s="37" t="n">
        <f aca="false">IF(AND(ISNUMBER($G219),$G219&gt;=60),MAX(INDEX($D$19:$D219,202-60):$D219),"")</f>
        <v>1219579</v>
      </c>
      <c r="N219" s="37" t="n">
        <f aca="false">IF(AND(ISNUMBER($G219),$G219&gt;=60),MIN(INDEX($E$19:$E219,202-60):$E219),"")</f>
        <v>1116216</v>
      </c>
      <c r="O219" s="38" t="n">
        <f aca="false">IF(OR(NOT(ISNUMBER($C219)),NOT(ISNUMBER($M219)),$M219=0),"",$C219/$M219-1)</f>
        <v>-0.0684047527876422</v>
      </c>
    </row>
    <row r="220" customFormat="false" ht="15" hidden="false" customHeight="true" outlineLevel="0" collapsed="false">
      <c r="A220" s="32" t="n">
        <v>45871</v>
      </c>
      <c r="B220" s="33" t="s">
        <v>310</v>
      </c>
      <c r="C220" s="34" t="n">
        <v>1142238</v>
      </c>
      <c r="D220" s="34" t="n">
        <v>1142673</v>
      </c>
      <c r="E220" s="34" t="n">
        <v>1140533</v>
      </c>
      <c r="F220" s="34" t="n">
        <v>0</v>
      </c>
      <c r="G220" s="35" t="n">
        <f aca="false">IF($A220="","",IF(ISNUMBER($G219),$G219+1,1))</f>
        <v>216</v>
      </c>
      <c r="H220" s="36" t="n">
        <f aca="false">IF(OR(NOT(ISNUMBER($G220)),$G220&lt;2,NOT(ISNUMBER($C219)),$C219=0),"",$C220/$C219-1)</f>
        <v>0.00535490787340454</v>
      </c>
      <c r="I220" s="37" t="n">
        <f aca="false">IF(AND(ISNUMBER($G220),$G220&gt;=MA_SHORT),AVERAGE(INDEX($C$5:$C220,217-MA_SHORT):$C220),"")</f>
        <v>1164986.25</v>
      </c>
      <c r="J220" s="37" t="n">
        <f aca="false">IF(AND(ISNUMBER($G220),$G220&gt;=MA_MED),AVERAGE(INDEX($C$5:$C220,217-MA_MED):$C220),"")</f>
        <v>1167758.92</v>
      </c>
      <c r="K220" s="37" t="n">
        <f aca="false">IF(AND(ISNUMBER($G220),$G220&gt;=MA_LONG2),AVERAGE(INDEX($C$5:$C220,217-MA_LONG2):$C220),"")</f>
        <v>1075773.8</v>
      </c>
      <c r="L220" s="38" t="n">
        <f aca="false">IF(AND(ISNUMBER($G220),$G220&gt;=21),STDEV(INDEX($H$160:$H220,62-20):$H220)*SQRT(245),"")</f>
        <v>0.144118645680247</v>
      </c>
      <c r="M220" s="37" t="n">
        <f aca="false">IF(AND(ISNUMBER($G220),$G220&gt;=60),MAX(INDEX($D$20:$D220,202-60):$D220),"")</f>
        <v>1219579</v>
      </c>
      <c r="N220" s="37" t="n">
        <f aca="false">IF(AND(ISNUMBER($G220),$G220&gt;=60),MIN(INDEX($E$20:$E220,202-60):$E220),"")</f>
        <v>1116216</v>
      </c>
      <c r="O220" s="38" t="n">
        <f aca="false">IF(OR(NOT(ISNUMBER($C220)),NOT(ISNUMBER($M220)),$M220=0),"",$C220/$M220-1)</f>
        <v>-0.0634161460635186</v>
      </c>
    </row>
    <row r="221" customFormat="false" ht="15" hidden="false" customHeight="true" outlineLevel="0" collapsed="false">
      <c r="A221" s="32" t="n">
        <v>45872</v>
      </c>
      <c r="B221" s="33" t="s">
        <v>311</v>
      </c>
      <c r="C221" s="34" t="n">
        <v>1129416</v>
      </c>
      <c r="D221" s="34" t="n">
        <v>1130998</v>
      </c>
      <c r="E221" s="34" t="n">
        <v>1123686</v>
      </c>
      <c r="F221" s="34" t="n">
        <v>0</v>
      </c>
      <c r="G221" s="35" t="n">
        <f aca="false">IF($A221="","",IF(ISNUMBER($G220),$G220+1,1))</f>
        <v>217</v>
      </c>
      <c r="H221" s="36" t="n">
        <f aca="false">IF(OR(NOT(ISNUMBER($G221)),$G221&lt;2,NOT(ISNUMBER($C220)),$C220=0),"",$C221/$C220-1)</f>
        <v>-0.0112253313232443</v>
      </c>
      <c r="I221" s="37" t="n">
        <f aca="false">IF(AND(ISNUMBER($G221),$G221&gt;=MA_SHORT),AVERAGE(INDEX($C$5:$C221,218-MA_SHORT):$C221),"")</f>
        <v>1163560.55</v>
      </c>
      <c r="J221" s="37" t="n">
        <f aca="false">IF(AND(ISNUMBER($G221),$G221&gt;=MA_MED),AVERAGE(INDEX($C$5:$C221,218-MA_MED):$C221),"")</f>
        <v>1166018.4</v>
      </c>
      <c r="K221" s="37" t="n">
        <f aca="false">IF(AND(ISNUMBER($G221),$G221&gt;=MA_LONG2),AVERAGE(INDEX($C$5:$C221,218-MA_LONG2):$C221),"")</f>
        <v>1076569.035</v>
      </c>
      <c r="L221" s="38" t="n">
        <f aca="false">IF(AND(ISNUMBER($G221),$G221&gt;=21),STDEV(INDEX($H$161:$H221,62-20):$H221)*SQRT(245),"")</f>
        <v>0.145831731905694</v>
      </c>
      <c r="M221" s="37" t="n">
        <f aca="false">IF(AND(ISNUMBER($G221),$G221&gt;=60),MAX(INDEX($D$21:$D221,202-60):$D221),"")</f>
        <v>1219579</v>
      </c>
      <c r="N221" s="37" t="n">
        <f aca="false">IF(AND(ISNUMBER($G221),$G221&gt;=60),MIN(INDEX($E$21:$E221,202-60):$E221),"")</f>
        <v>1116216</v>
      </c>
      <c r="O221" s="38" t="n">
        <f aca="false">IF(OR(NOT(ISNUMBER($C221)),NOT(ISNUMBER($M221)),$M221=0),"",$C221/$M221-1)</f>
        <v>-0.0739296101359568</v>
      </c>
    </row>
    <row r="222" customFormat="false" ht="15" hidden="false" customHeight="true" outlineLevel="0" collapsed="false">
      <c r="A222" s="32" t="n">
        <v>45873</v>
      </c>
      <c r="B222" s="33" t="s">
        <v>312</v>
      </c>
      <c r="C222" s="34" t="n">
        <v>1141692</v>
      </c>
      <c r="D222" s="34" t="n">
        <v>1145413</v>
      </c>
      <c r="E222" s="34" t="n">
        <v>1136833</v>
      </c>
      <c r="F222" s="34" t="n">
        <v>0</v>
      </c>
      <c r="G222" s="35" t="n">
        <f aca="false">IF($A222="","",IF(ISNUMBER($G221),$G221+1,1))</f>
        <v>218</v>
      </c>
      <c r="H222" s="36" t="n">
        <f aca="false">IF(OR(NOT(ISNUMBER($G222)),$G222&lt;2,NOT(ISNUMBER($C221)),$C221=0),"",$C222/$C221-1)</f>
        <v>0.0108693342399966</v>
      </c>
      <c r="I222" s="37" t="n">
        <f aca="false">IF(AND(ISNUMBER($G222),$G222&gt;=MA_SHORT),AVERAGE(INDEX($C$5:$C222,219-MA_SHORT):$C222),"")</f>
        <v>1162724.9</v>
      </c>
      <c r="J222" s="37" t="n">
        <f aca="false">IF(AND(ISNUMBER($G222),$G222&gt;=MA_MED),AVERAGE(INDEX($C$5:$C222,219-MA_MED):$C222),"")</f>
        <v>1164692.14</v>
      </c>
      <c r="K222" s="37" t="n">
        <f aca="false">IF(AND(ISNUMBER($G222),$G222&gt;=MA_LONG2),AVERAGE(INDEX($C$5:$C222,219-MA_LONG2):$C222),"")</f>
        <v>1077529.275</v>
      </c>
      <c r="L222" s="38" t="n">
        <f aca="false">IF(AND(ISNUMBER($G222),$G222&gt;=21),STDEV(INDEX($H$162:$H222,62-20):$H222)*SQRT(245),"")</f>
        <v>0.151797510281055</v>
      </c>
      <c r="M222" s="37" t="n">
        <f aca="false">IF(AND(ISNUMBER($G222),$G222&gt;=60),MAX(INDEX($D$22:$D222,202-60):$D222),"")</f>
        <v>1219579</v>
      </c>
      <c r="N222" s="37" t="n">
        <f aca="false">IF(AND(ISNUMBER($G222),$G222&gt;=60),MIN(INDEX($E$22:$E222,202-60):$E222),"")</f>
        <v>1116216</v>
      </c>
      <c r="O222" s="38" t="n">
        <f aca="false">IF(OR(NOT(ISNUMBER($C222)),NOT(ISNUMBER($M222)),$M222=0),"",$C222/$M222-1)</f>
        <v>-0.0638638415387605</v>
      </c>
    </row>
    <row r="223" customFormat="false" ht="15" hidden="false" customHeight="true" outlineLevel="0" collapsed="false">
      <c r="A223" s="32" t="n">
        <v>45874</v>
      </c>
      <c r="B223" s="33" t="s">
        <v>313</v>
      </c>
      <c r="C223" s="34" t="n">
        <v>1118875</v>
      </c>
      <c r="D223" s="34" t="n">
        <v>1120822</v>
      </c>
      <c r="E223" s="34" t="n">
        <v>1118494</v>
      </c>
      <c r="F223" s="34" t="n">
        <v>0</v>
      </c>
      <c r="G223" s="35" t="n">
        <f aca="false">IF($A223="","",IF(ISNUMBER($G222),$G222+1,1))</f>
        <v>219</v>
      </c>
      <c r="H223" s="36" t="n">
        <f aca="false">IF(OR(NOT(ISNUMBER($G223)),$G223&lt;2,NOT(ISNUMBER($C222)),$C222=0),"",$C223/$C222-1)</f>
        <v>-0.0199852499623366</v>
      </c>
      <c r="I223" s="37" t="n">
        <f aca="false">IF(AND(ISNUMBER($G223),$G223&gt;=MA_SHORT),AVERAGE(INDEX($C$5:$C223,220-MA_SHORT):$C223),"")</f>
        <v>1160146.65</v>
      </c>
      <c r="J223" s="37" t="n">
        <f aca="false">IF(AND(ISNUMBER($G223),$G223&gt;=MA_MED),AVERAGE(INDEX($C$5:$C223,220-MA_MED):$C223),"")</f>
        <v>1162972.3</v>
      </c>
      <c r="K223" s="37" t="n">
        <f aca="false">IF(AND(ISNUMBER($G223),$G223&gt;=MA_LONG2),AVERAGE(INDEX($C$5:$C223,220-MA_LONG2):$C223),"")</f>
        <v>1078441.075</v>
      </c>
      <c r="L223" s="38" t="n">
        <f aca="false">IF(AND(ISNUMBER($G223),$G223&gt;=21),STDEV(INDEX($H$163:$H223,62-20):$H223)*SQRT(245),"")</f>
        <v>0.160225745033151</v>
      </c>
      <c r="M223" s="37" t="n">
        <f aca="false">IF(AND(ISNUMBER($G223),$G223&gt;=60),MAX(INDEX($D$23:$D223,202-60):$D223),"")</f>
        <v>1219579</v>
      </c>
      <c r="N223" s="37" t="n">
        <f aca="false">IF(AND(ISNUMBER($G223),$G223&gt;=60),MIN(INDEX($E$23:$E223,202-60):$E223),"")</f>
        <v>1116216</v>
      </c>
      <c r="O223" s="38" t="n">
        <f aca="false">IF(OR(NOT(ISNUMBER($C223)),NOT(ISNUMBER($M223)),$M223=0),"",$C223/$M223-1)</f>
        <v>-0.0825727566643899</v>
      </c>
    </row>
    <row r="224" customFormat="false" ht="15" hidden="false" customHeight="true" outlineLevel="0" collapsed="false">
      <c r="A224" s="32" t="n">
        <v>45875</v>
      </c>
      <c r="B224" s="33" t="s">
        <v>314</v>
      </c>
      <c r="C224" s="34" t="n">
        <v>1129666</v>
      </c>
      <c r="D224" s="34" t="n">
        <v>1129967</v>
      </c>
      <c r="E224" s="34" t="n">
        <v>1129057</v>
      </c>
      <c r="F224" s="34" t="n">
        <v>0</v>
      </c>
      <c r="G224" s="35" t="n">
        <f aca="false">IF($A224="","",IF(ISNUMBER($G223),$G223+1,1))</f>
        <v>220</v>
      </c>
      <c r="H224" s="36" t="n">
        <f aca="false">IF(OR(NOT(ISNUMBER($G224)),$G224&lt;2,NOT(ISNUMBER($C223)),$C223=0),"",$C224/$C223-1)</f>
        <v>0.00964450899340852</v>
      </c>
      <c r="I224" s="37" t="n">
        <f aca="false">IF(AND(ISNUMBER($G224),$G224&gt;=MA_SHORT),AVERAGE(INDEX($C$5:$C224,221-MA_SHORT):$C224),"")</f>
        <v>1157290.8</v>
      </c>
      <c r="J224" s="37" t="n">
        <f aca="false">IF(AND(ISNUMBER($G224),$G224&gt;=MA_MED),AVERAGE(INDEX($C$5:$C224,221-MA_MED):$C224),"")</f>
        <v>1161554.06</v>
      </c>
      <c r="K224" s="37" t="n">
        <f aca="false">IF(AND(ISNUMBER($G224),$G224&gt;=MA_LONG2),AVERAGE(INDEX($C$5:$C224,221-MA_LONG2):$C224),"")</f>
        <v>1079388.685</v>
      </c>
      <c r="L224" s="38" t="n">
        <f aca="false">IF(AND(ISNUMBER($G224),$G224&gt;=21),STDEV(INDEX($H$164:$H224,62-20):$H224)*SQRT(245),"")</f>
        <v>0.155243585315259</v>
      </c>
      <c r="M224" s="37" t="n">
        <f aca="false">IF(AND(ISNUMBER($G224),$G224&gt;=60),MAX(INDEX($D$24:$D224,202-60):$D224),"")</f>
        <v>1219579</v>
      </c>
      <c r="N224" s="37" t="n">
        <f aca="false">IF(AND(ISNUMBER($G224),$G224&gt;=60),MIN(INDEX($E$24:$E224,202-60):$E224),"")</f>
        <v>1116216</v>
      </c>
      <c r="O224" s="38" t="n">
        <f aca="false">IF(OR(NOT(ISNUMBER($C224)),NOT(ISNUMBER($M224)),$M224=0),"",$C224/$M224-1)</f>
        <v>-0.0737246213652416</v>
      </c>
    </row>
    <row r="225" customFormat="false" ht="15" hidden="false" customHeight="true" outlineLevel="0" collapsed="false">
      <c r="A225" s="32" t="n">
        <v>45878</v>
      </c>
      <c r="B225" s="33" t="s">
        <v>315</v>
      </c>
      <c r="C225" s="34" t="n">
        <v>1124274</v>
      </c>
      <c r="D225" s="34" t="n">
        <v>1127162</v>
      </c>
      <c r="E225" s="34" t="n">
        <v>1123902</v>
      </c>
      <c r="F225" s="34" t="n">
        <v>0</v>
      </c>
      <c r="G225" s="35" t="n">
        <f aca="false">IF($A225="","",IF(ISNUMBER($G224),$G224+1,1))</f>
        <v>221</v>
      </c>
      <c r="H225" s="36" t="n">
        <f aca="false">IF(OR(NOT(ISNUMBER($G225)),$G225&lt;2,NOT(ISNUMBER($C224)),$C224=0),"",$C225/$C224-1)</f>
        <v>-0.00477309222371924</v>
      </c>
      <c r="I225" s="37" t="n">
        <f aca="false">IF(AND(ISNUMBER($G225),$G225&gt;=MA_SHORT),AVERAGE(INDEX($C$5:$C225,222-MA_SHORT):$C225),"")</f>
        <v>1154320.15</v>
      </c>
      <c r="J225" s="37" t="n">
        <f aca="false">IF(AND(ISNUMBER($G225),$G225&gt;=MA_MED),AVERAGE(INDEX($C$5:$C225,222-MA_MED):$C225),"")</f>
        <v>1160350.5</v>
      </c>
      <c r="K225" s="37" t="n">
        <f aca="false">IF(AND(ISNUMBER($G225),$G225&gt;=MA_LONG2),AVERAGE(INDEX($C$5:$C225,222-MA_LONG2):$C225),"")</f>
        <v>1080338.295</v>
      </c>
      <c r="L225" s="38" t="n">
        <f aca="false">IF(AND(ISNUMBER($G225),$G225&gt;=21),STDEV(INDEX($H$165:$H225,62-20):$H225)*SQRT(245),"")</f>
        <v>0.155462878085544</v>
      </c>
      <c r="M225" s="37" t="n">
        <f aca="false">IF(AND(ISNUMBER($G225),$G225&gt;=60),MAX(INDEX($D$25:$D225,202-60):$D225),"")</f>
        <v>1219579</v>
      </c>
      <c r="N225" s="37" t="n">
        <f aca="false">IF(AND(ISNUMBER($G225),$G225&gt;=60),MIN(INDEX($E$25:$E225,202-60):$E225),"")</f>
        <v>1116216</v>
      </c>
      <c r="O225" s="38" t="n">
        <f aca="false">IF(OR(NOT(ISNUMBER($C225)),NOT(ISNUMBER($M225)),$M225=0),"",$C225/$M225-1)</f>
        <v>-0.0781458191720258</v>
      </c>
    </row>
    <row r="226" customFormat="false" ht="15" hidden="false" customHeight="true" outlineLevel="0" collapsed="false">
      <c r="A226" s="32" t="n">
        <v>45879</v>
      </c>
      <c r="B226" s="33" t="s">
        <v>316</v>
      </c>
      <c r="C226" s="34" t="n">
        <v>1123879</v>
      </c>
      <c r="D226" s="34" t="n">
        <v>1126599</v>
      </c>
      <c r="E226" s="34" t="n">
        <v>1121442</v>
      </c>
      <c r="F226" s="34" t="n">
        <v>0</v>
      </c>
      <c r="G226" s="35" t="n">
        <f aca="false">IF($A226="","",IF(ISNUMBER($G225),$G225+1,1))</f>
        <v>222</v>
      </c>
      <c r="H226" s="36" t="n">
        <f aca="false">IF(OR(NOT(ISNUMBER($G226)),$G226&lt;2,NOT(ISNUMBER($C225)),$C225=0),"",$C226/$C225-1)</f>
        <v>-0.000351337841131283</v>
      </c>
      <c r="I226" s="37" t="n">
        <f aca="false">IF(AND(ISNUMBER($G226),$G226&gt;=MA_SHORT),AVERAGE(INDEX($C$5:$C226,223-MA_SHORT):$C226),"")</f>
        <v>1151236.75</v>
      </c>
      <c r="J226" s="37" t="n">
        <f aca="false">IF(AND(ISNUMBER($G226),$G226&gt;=MA_MED),AVERAGE(INDEX($C$5:$C226,223-MA_MED):$C226),"")</f>
        <v>1159120.9</v>
      </c>
      <c r="K226" s="37" t="n">
        <f aca="false">IF(AND(ISNUMBER($G226),$G226&gt;=MA_LONG2),AVERAGE(INDEX($C$5:$C226,223-MA_LONG2):$C226),"")</f>
        <v>1081273.275</v>
      </c>
      <c r="L226" s="38" t="n">
        <f aca="false">IF(AND(ISNUMBER($G226),$G226&gt;=21),STDEV(INDEX($H$166:$H226,62-20):$H226)*SQRT(245),"")</f>
        <v>0.154954525539287</v>
      </c>
      <c r="M226" s="37" t="n">
        <f aca="false">IF(AND(ISNUMBER($G226),$G226&gt;=60),MAX(INDEX($D$26:$D226,202-60):$D226),"")</f>
        <v>1219579</v>
      </c>
      <c r="N226" s="37" t="n">
        <f aca="false">IF(AND(ISNUMBER($G226),$G226&gt;=60),MIN(INDEX($E$26:$E226,202-60):$E226),"")</f>
        <v>1116216</v>
      </c>
      <c r="O226" s="38" t="n">
        <f aca="false">IF(OR(NOT(ISNUMBER($C226)),NOT(ISNUMBER($M226)),$M226=0),"",$C226/$M226-1)</f>
        <v>-0.0784697014297556</v>
      </c>
    </row>
    <row r="227" customFormat="false" ht="15" hidden="false" customHeight="true" outlineLevel="0" collapsed="false">
      <c r="A227" s="32" t="n">
        <v>45880</v>
      </c>
      <c r="B227" s="33" t="s">
        <v>317</v>
      </c>
      <c r="C227" s="34" t="n">
        <v>1142787</v>
      </c>
      <c r="D227" s="34" t="n">
        <v>1150044</v>
      </c>
      <c r="E227" s="34" t="n">
        <v>1142332</v>
      </c>
      <c r="F227" s="34" t="n">
        <v>0</v>
      </c>
      <c r="G227" s="35" t="n">
        <f aca="false">IF($A227="","",IF(ISNUMBER($G226),$G226+1,1))</f>
        <v>223</v>
      </c>
      <c r="H227" s="36" t="n">
        <f aca="false">IF(OR(NOT(ISNUMBER($G227)),$G227&lt;2,NOT(ISNUMBER($C226)),$C226=0),"",$C227/$C226-1)</f>
        <v>0.0168238751680563</v>
      </c>
      <c r="I227" s="37" t="n">
        <f aca="false">IF(AND(ISNUMBER($G227),$G227&gt;=MA_SHORT),AVERAGE(INDEX($C$5:$C227,224-MA_SHORT):$C227),"")</f>
        <v>1150230.3</v>
      </c>
      <c r="J227" s="37" t="n">
        <f aca="false">IF(AND(ISNUMBER($G227),$G227&gt;=MA_MED),AVERAGE(INDEX($C$5:$C227,224-MA_MED):$C227),"")</f>
        <v>1158202.9</v>
      </c>
      <c r="K227" s="37" t="n">
        <f aca="false">IF(AND(ISNUMBER($G227),$G227&gt;=MA_LONG2),AVERAGE(INDEX($C$5:$C227,224-MA_LONG2):$C227),"")</f>
        <v>1082343.18</v>
      </c>
      <c r="L227" s="38" t="n">
        <f aca="false">IF(AND(ISNUMBER($G227),$G227&gt;=21),STDEV(INDEX($H$167:$H227,62-20):$H227)*SQRT(245),"")</f>
        <v>0.156707988399254</v>
      </c>
      <c r="M227" s="37" t="n">
        <f aca="false">IF(AND(ISNUMBER($G227),$G227&gt;=60),MAX(INDEX($D$27:$D227,202-60):$D227),"")</f>
        <v>1219579</v>
      </c>
      <c r="N227" s="37" t="n">
        <f aca="false">IF(AND(ISNUMBER($G227),$G227&gt;=60),MIN(INDEX($E$27:$E227,202-60):$E227),"")</f>
        <v>1116216</v>
      </c>
      <c r="O227" s="38" t="n">
        <f aca="false">IF(OR(NOT(ISNUMBER($C227)),NOT(ISNUMBER($M227)),$M227=0),"",$C227/$M227-1)</f>
        <v>-0.0629659907230282</v>
      </c>
    </row>
    <row r="228" customFormat="false" ht="15" hidden="false" customHeight="true" outlineLevel="0" collapsed="false">
      <c r="A228" s="32" t="n">
        <v>45881</v>
      </c>
      <c r="B228" s="33" t="s">
        <v>318</v>
      </c>
      <c r="C228" s="34" t="n">
        <v>1168961</v>
      </c>
      <c r="D228" s="34" t="n">
        <v>1173792</v>
      </c>
      <c r="E228" s="34" t="n">
        <v>1166467</v>
      </c>
      <c r="F228" s="34" t="n">
        <v>0</v>
      </c>
      <c r="G228" s="35" t="n">
        <f aca="false">IF($A228="","",IF(ISNUMBER($G227),$G227+1,1))</f>
        <v>224</v>
      </c>
      <c r="H228" s="36" t="n">
        <f aca="false">IF(OR(NOT(ISNUMBER($G228)),$G228&lt;2,NOT(ISNUMBER($C227)),$C227=0),"",$C228/$C227-1)</f>
        <v>0.0229036557118694</v>
      </c>
      <c r="I228" s="37" t="n">
        <f aca="false">IF(AND(ISNUMBER($G228),$G228&gt;=MA_SHORT),AVERAGE(INDEX($C$5:$C228,225-MA_SHORT):$C228),"")</f>
        <v>1150466.3</v>
      </c>
      <c r="J228" s="37" t="n">
        <f aca="false">IF(AND(ISNUMBER($G228),$G228&gt;=MA_MED),AVERAGE(INDEX($C$5:$C228,225-MA_MED):$C228),"")</f>
        <v>1158024.98</v>
      </c>
      <c r="K228" s="37" t="n">
        <f aca="false">IF(AND(ISNUMBER($G228),$G228&gt;=MA_LONG2),AVERAGE(INDEX($C$5:$C228,225-MA_LONG2):$C228),"")</f>
        <v>1083524.11</v>
      </c>
      <c r="L228" s="38" t="n">
        <f aca="false">IF(AND(ISNUMBER($G228),$G228&gt;=21),STDEV(INDEX($H$168:$H228,62-20):$H228)*SQRT(245),"")</f>
        <v>0.177376736726164</v>
      </c>
      <c r="M228" s="37" t="n">
        <f aca="false">IF(AND(ISNUMBER($G228),$G228&gt;=60),MAX(INDEX($D$28:$D228,202-60):$D228),"")</f>
        <v>1219579</v>
      </c>
      <c r="N228" s="37" t="n">
        <f aca="false">IF(AND(ISNUMBER($G228),$G228&gt;=60),MIN(INDEX($E$28:$E228,202-60):$E228),"")</f>
        <v>1116216</v>
      </c>
      <c r="O228" s="38" t="n">
        <f aca="false">IF(OR(NOT(ISNUMBER($C228)),NOT(ISNUMBER($M228)),$M228=0),"",$C228/$M228-1)</f>
        <v>-0.0415044863842359</v>
      </c>
    </row>
    <row r="229" customFormat="false" ht="15" hidden="false" customHeight="true" outlineLevel="0" collapsed="false">
      <c r="A229" s="32" t="n">
        <v>45882</v>
      </c>
      <c r="B229" s="33" t="s">
        <v>319</v>
      </c>
      <c r="C229" s="34" t="n">
        <v>1167850</v>
      </c>
      <c r="D229" s="34" t="n">
        <v>1168011</v>
      </c>
      <c r="E229" s="34" t="n">
        <v>1166735</v>
      </c>
      <c r="F229" s="34" t="n">
        <v>0</v>
      </c>
      <c r="G229" s="35" t="n">
        <f aca="false">IF($A229="","",IF(ISNUMBER($G228),$G228+1,1))</f>
        <v>225</v>
      </c>
      <c r="H229" s="36" t="n">
        <f aca="false">IF(OR(NOT(ISNUMBER($G229)),$G229&lt;2,NOT(ISNUMBER($C228)),$C228=0),"",$C229/$C228-1)</f>
        <v>-0.000950416652052533</v>
      </c>
      <c r="I229" s="37" t="n">
        <f aca="false">IF(AND(ISNUMBER($G229),$G229&gt;=MA_SHORT),AVERAGE(INDEX($C$5:$C229,226-MA_SHORT):$C229),"")</f>
        <v>1151272.85</v>
      </c>
      <c r="J229" s="37" t="n">
        <f aca="false">IF(AND(ISNUMBER($G229),$G229&gt;=MA_MED),AVERAGE(INDEX($C$5:$C229,226-MA_MED):$C229),"")</f>
        <v>1157706.04</v>
      </c>
      <c r="K229" s="37" t="n">
        <f aca="false">IF(AND(ISNUMBER($G229),$G229&gt;=MA_LONG2),AVERAGE(INDEX($C$5:$C229,226-MA_LONG2):$C229),"")</f>
        <v>1084690.815</v>
      </c>
      <c r="L229" s="38" t="n">
        <f aca="false">IF(AND(ISNUMBER($G229),$G229&gt;=21),STDEV(INDEX($H$169:$H229,62-20):$H229)*SQRT(245),"")</f>
        <v>0.172782790280682</v>
      </c>
      <c r="M229" s="37" t="n">
        <f aca="false">IF(AND(ISNUMBER($G229),$G229&gt;=60),MAX(INDEX($D$29:$D229,202-60):$D229),"")</f>
        <v>1219579</v>
      </c>
      <c r="N229" s="37" t="n">
        <f aca="false">IF(AND(ISNUMBER($G229),$G229&gt;=60),MIN(INDEX($E$29:$E229,202-60):$E229),"")</f>
        <v>1116216</v>
      </c>
      <c r="O229" s="38" t="n">
        <f aca="false">IF(OR(NOT(ISNUMBER($C229)),NOT(ISNUMBER($M229)),$M229=0),"",$C229/$M229-1)</f>
        <v>-0.042415456481294</v>
      </c>
    </row>
    <row r="230" customFormat="false" ht="15" hidden="false" customHeight="true" outlineLevel="0" collapsed="false">
      <c r="A230" s="32" t="n">
        <v>45885</v>
      </c>
      <c r="B230" s="33" t="s">
        <v>320</v>
      </c>
      <c r="C230" s="34" t="n">
        <v>1152494</v>
      </c>
      <c r="D230" s="34" t="n">
        <v>1152819</v>
      </c>
      <c r="E230" s="34" t="n">
        <v>1148713</v>
      </c>
      <c r="F230" s="34" t="n">
        <v>0</v>
      </c>
      <c r="G230" s="35" t="n">
        <f aca="false">IF($A230="","",IF(ISNUMBER($G229),$G229+1,1))</f>
        <v>226</v>
      </c>
      <c r="H230" s="36" t="n">
        <f aca="false">IF(OR(NOT(ISNUMBER($G230)),$G230&lt;2,NOT(ISNUMBER($C229)),$C229=0),"",$C230/$C229-1)</f>
        <v>-0.013148948923235</v>
      </c>
      <c r="I230" s="37" t="n">
        <f aca="false">IF(AND(ISNUMBER($G230),$G230&gt;=MA_SHORT),AVERAGE(INDEX($C$5:$C230,227-MA_SHORT):$C230),"")</f>
        <v>1151250</v>
      </c>
      <c r="J230" s="37" t="n">
        <f aca="false">IF(AND(ISNUMBER($G230),$G230&gt;=MA_MED),AVERAGE(INDEX($C$5:$C230,227-MA_MED):$C230),"")</f>
        <v>1157080.92</v>
      </c>
      <c r="K230" s="37" t="n">
        <f aca="false">IF(AND(ISNUMBER($G230),$G230&gt;=MA_LONG2),AVERAGE(INDEX($C$5:$C230,227-MA_LONG2):$C230),"")</f>
        <v>1085954.385</v>
      </c>
      <c r="L230" s="38" t="n">
        <f aca="false">IF(AND(ISNUMBER($G230),$G230&gt;=21),STDEV(INDEX($H$170:$H230,62-20):$H230)*SQRT(245),"")</f>
        <v>0.179484202595724</v>
      </c>
      <c r="M230" s="37" t="n">
        <f aca="false">IF(AND(ISNUMBER($G230),$G230&gt;=60),MAX(INDEX($D$30:$D230,202-60):$D230),"")</f>
        <v>1219158</v>
      </c>
      <c r="N230" s="37" t="n">
        <f aca="false">IF(AND(ISNUMBER($G230),$G230&gt;=60),MIN(INDEX($E$30:$E230,202-60):$E230),"")</f>
        <v>1116216</v>
      </c>
      <c r="O230" s="38" t="n">
        <f aca="false">IF(OR(NOT(ISNUMBER($C230)),NOT(ISNUMBER($M230)),$M230=0),"",$C230/$M230-1)</f>
        <v>-0.0546803613641546</v>
      </c>
    </row>
    <row r="231" customFormat="false" ht="15" hidden="false" customHeight="true" outlineLevel="0" collapsed="false">
      <c r="A231" s="32" t="n">
        <v>45886</v>
      </c>
      <c r="B231" s="33" t="s">
        <v>321</v>
      </c>
      <c r="C231" s="34" t="n">
        <v>1138952</v>
      </c>
      <c r="D231" s="34" t="n">
        <v>1141141</v>
      </c>
      <c r="E231" s="34" t="n">
        <v>1137538</v>
      </c>
      <c r="F231" s="34" t="n">
        <v>0</v>
      </c>
      <c r="G231" s="35" t="n">
        <f aca="false">IF($A231="","",IF(ISNUMBER($G230),$G230+1,1))</f>
        <v>227</v>
      </c>
      <c r="H231" s="36" t="n">
        <f aca="false">IF(OR(NOT(ISNUMBER($G231)),$G231&lt;2,NOT(ISNUMBER($C230)),$C230=0),"",$C231/$C230-1)</f>
        <v>-0.0117501696321196</v>
      </c>
      <c r="I231" s="37" t="n">
        <f aca="false">IF(AND(ISNUMBER($G231),$G231&gt;=MA_SHORT),AVERAGE(INDEX($C$5:$C231,228-MA_SHORT):$C231),"")</f>
        <v>1150341</v>
      </c>
      <c r="J231" s="37" t="n">
        <f aca="false">IF(AND(ISNUMBER($G231),$G231&gt;=MA_MED),AVERAGE(INDEX($C$5:$C231,228-MA_MED):$C231),"")</f>
        <v>1156331.06</v>
      </c>
      <c r="K231" s="37" t="n">
        <f aca="false">IF(AND(ISNUMBER($G231),$G231&gt;=MA_LONG2),AVERAGE(INDEX($C$5:$C231,228-MA_LONG2):$C231),"")</f>
        <v>1087109.945</v>
      </c>
      <c r="L231" s="38" t="n">
        <f aca="false">IF(AND(ISNUMBER($G231),$G231&gt;=21),STDEV(INDEX($H$171:$H231,62-20):$H231)*SQRT(245),"")</f>
        <v>0.183547911703507</v>
      </c>
      <c r="M231" s="37" t="n">
        <f aca="false">IF(AND(ISNUMBER($G231),$G231&gt;=60),MAX(INDEX($D$31:$D231,202-60):$D231),"")</f>
        <v>1209921</v>
      </c>
      <c r="N231" s="37" t="n">
        <f aca="false">IF(AND(ISNUMBER($G231),$G231&gt;=60),MIN(INDEX($E$31:$E231,202-60):$E231),"")</f>
        <v>1116216</v>
      </c>
      <c r="O231" s="38" t="n">
        <f aca="false">IF(OR(NOT(ISNUMBER($C231)),NOT(ISNUMBER($M231)),$M231=0),"",$C231/$M231-1)</f>
        <v>-0.0586558957155054</v>
      </c>
    </row>
    <row r="232" customFormat="false" ht="15" hidden="false" customHeight="true" outlineLevel="0" collapsed="false">
      <c r="A232" s="32" t="n">
        <v>45887</v>
      </c>
      <c r="B232" s="33" t="s">
        <v>322</v>
      </c>
      <c r="C232" s="34" t="n">
        <v>1135274</v>
      </c>
      <c r="D232" s="34" t="n">
        <v>1137249</v>
      </c>
      <c r="E232" s="34" t="n">
        <v>1135236</v>
      </c>
      <c r="F232" s="34" t="n">
        <v>0</v>
      </c>
      <c r="G232" s="35" t="n">
        <f aca="false">IF($A232="","",IF(ISNUMBER($G231),$G231+1,1))</f>
        <v>228</v>
      </c>
      <c r="H232" s="36" t="n">
        <f aca="false">IF(OR(NOT(ISNUMBER($G232)),$G232&lt;2,NOT(ISNUMBER($C231)),$C231=0),"",$C232/$C231-1)</f>
        <v>-0.00322928446501691</v>
      </c>
      <c r="I232" s="37" t="n">
        <f aca="false">IF(AND(ISNUMBER($G232),$G232&gt;=MA_SHORT),AVERAGE(INDEX($C$5:$C232,229-MA_SHORT):$C232),"")</f>
        <v>1148790.4</v>
      </c>
      <c r="J232" s="37" t="n">
        <f aca="false">IF(AND(ISNUMBER($G232),$G232&gt;=MA_MED),AVERAGE(INDEX($C$5:$C232,229-MA_MED):$C232),"")</f>
        <v>1155763.2</v>
      </c>
      <c r="K232" s="37" t="n">
        <f aca="false">IF(AND(ISNUMBER($G232),$G232&gt;=MA_LONG2),AVERAGE(INDEX($C$5:$C232,229-MA_LONG2):$C232),"")</f>
        <v>1088281.62</v>
      </c>
      <c r="L232" s="38" t="n">
        <f aca="false">IF(AND(ISNUMBER($G232),$G232&gt;=21),STDEV(INDEX($H$172:$H232,62-20):$H232)*SQRT(245),"")</f>
        <v>0.180910714977253</v>
      </c>
      <c r="M232" s="37" t="n">
        <f aca="false">IF(AND(ISNUMBER($G232),$G232&gt;=60),MAX(INDEX($D$32:$D232,202-60):$D232),"")</f>
        <v>1207891</v>
      </c>
      <c r="N232" s="37" t="n">
        <f aca="false">IF(AND(ISNUMBER($G232),$G232&gt;=60),MIN(INDEX($E$32:$E232,202-60):$E232),"")</f>
        <v>1116216</v>
      </c>
      <c r="O232" s="38" t="n">
        <f aca="false">IF(OR(NOT(ISNUMBER($C232)),NOT(ISNUMBER($M232)),$M232=0),"",$C232/$M232-1)</f>
        <v>-0.0601188352260262</v>
      </c>
    </row>
    <row r="233" customFormat="false" ht="15" hidden="false" customHeight="true" outlineLevel="0" collapsed="false">
      <c r="A233" s="32" t="n">
        <v>45888</v>
      </c>
      <c r="B233" s="33" t="s">
        <v>323</v>
      </c>
      <c r="C233" s="34" t="n">
        <v>1146087</v>
      </c>
      <c r="D233" s="34" t="n">
        <v>1150005</v>
      </c>
      <c r="E233" s="34" t="n">
        <v>1144470</v>
      </c>
      <c r="F233" s="34" t="n">
        <v>0</v>
      </c>
      <c r="G233" s="35" t="n">
        <f aca="false">IF($A233="","",IF(ISNUMBER($G232),$G232+1,1))</f>
        <v>229</v>
      </c>
      <c r="H233" s="36" t="n">
        <f aca="false">IF(OR(NOT(ISNUMBER($G233)),$G233&lt;2,NOT(ISNUMBER($C232)),$C232=0),"",$C233/$C232-1)</f>
        <v>0.00952457292248399</v>
      </c>
      <c r="I233" s="37" t="n">
        <f aca="false">IF(AND(ISNUMBER($G233),$G233&gt;=MA_SHORT),AVERAGE(INDEX($C$5:$C233,230-MA_SHORT):$C233),"")</f>
        <v>1147616.9</v>
      </c>
      <c r="J233" s="37" t="n">
        <f aca="false">IF(AND(ISNUMBER($G233),$G233&gt;=MA_MED),AVERAGE(INDEX($C$5:$C233,230-MA_MED):$C233),"")</f>
        <v>1155444.94</v>
      </c>
      <c r="K233" s="37" t="n">
        <f aca="false">IF(AND(ISNUMBER($G233),$G233&gt;=MA_LONG2),AVERAGE(INDEX($C$5:$C233,230-MA_LONG2):$C233),"")</f>
        <v>1089521.59</v>
      </c>
      <c r="L233" s="38" t="n">
        <f aca="false">IF(AND(ISNUMBER($G233),$G233&gt;=21),STDEV(INDEX($H$173:$H233,62-20):$H233)*SQRT(245),"")</f>
        <v>0.184364562020484</v>
      </c>
      <c r="M233" s="37" t="n">
        <f aca="false">IF(AND(ISNUMBER($G233),$G233&gt;=60),MAX(INDEX($D$33:$D233,202-60):$D233),"")</f>
        <v>1202129</v>
      </c>
      <c r="N233" s="37" t="n">
        <f aca="false">IF(AND(ISNUMBER($G233),$G233&gt;=60),MIN(INDEX($E$33:$E233,202-60):$E233),"")</f>
        <v>1116216</v>
      </c>
      <c r="O233" s="38" t="n">
        <f aca="false">IF(OR(NOT(ISNUMBER($C233)),NOT(ISNUMBER($M233)),$M233=0),"",$C233/$M233-1)</f>
        <v>-0.0466189568673578</v>
      </c>
    </row>
    <row r="234" customFormat="false" ht="15" hidden="false" customHeight="true" outlineLevel="0" collapsed="false">
      <c r="A234" s="32" t="n">
        <v>45889</v>
      </c>
      <c r="B234" s="33" t="s">
        <v>324</v>
      </c>
      <c r="C234" s="34" t="n">
        <v>1152591</v>
      </c>
      <c r="D234" s="34" t="n">
        <v>1153156</v>
      </c>
      <c r="E234" s="34" t="n">
        <v>1149145</v>
      </c>
      <c r="F234" s="34" t="n">
        <v>0</v>
      </c>
      <c r="G234" s="35" t="n">
        <f aca="false">IF($A234="","",IF(ISNUMBER($G233),$G233+1,1))</f>
        <v>230</v>
      </c>
      <c r="H234" s="36" t="n">
        <f aca="false">IF(OR(NOT(ISNUMBER($G234)),$G234&lt;2,NOT(ISNUMBER($C233)),$C233=0),"",$C234/$C233-1)</f>
        <v>0.00567496184844596</v>
      </c>
      <c r="I234" s="37" t="n">
        <f aca="false">IF(AND(ISNUMBER($G234),$G234&gt;=MA_SHORT),AVERAGE(INDEX($C$5:$C234,231-MA_SHORT):$C234),"")</f>
        <v>1146707.55</v>
      </c>
      <c r="J234" s="37" t="n">
        <f aca="false">IF(AND(ISNUMBER($G234),$G234&gt;=MA_MED),AVERAGE(INDEX($C$5:$C234,231-MA_MED):$C234),"")</f>
        <v>1155249.18</v>
      </c>
      <c r="K234" s="37" t="n">
        <f aca="false">IF(AND(ISNUMBER($G234),$G234&gt;=MA_LONG2),AVERAGE(INDEX($C$5:$C234,231-MA_LONG2):$C234),"")</f>
        <v>1090794.485</v>
      </c>
      <c r="L234" s="38" t="n">
        <f aca="false">IF(AND(ISNUMBER($G234),$G234&gt;=21),STDEV(INDEX($H$174:$H234,62-20):$H234)*SQRT(245),"")</f>
        <v>0.185717000796311</v>
      </c>
      <c r="M234" s="37" t="n">
        <f aca="false">IF(AND(ISNUMBER($G234),$G234&gt;=60),MAX(INDEX($D$34:$D234,202-60):$D234),"")</f>
        <v>1193471</v>
      </c>
      <c r="N234" s="37" t="n">
        <f aca="false">IF(AND(ISNUMBER($G234),$G234&gt;=60),MIN(INDEX($E$34:$E234,202-60):$E234),"")</f>
        <v>1116216</v>
      </c>
      <c r="O234" s="38" t="n">
        <f aca="false">IF(OR(NOT(ISNUMBER($C234)),NOT(ISNUMBER($M234)),$M234=0),"",$C234/$M234-1)</f>
        <v>-0.0342530317033258</v>
      </c>
    </row>
    <row r="235" customFormat="false" ht="15" hidden="false" customHeight="true" outlineLevel="0" collapsed="false">
      <c r="A235" s="32" t="n">
        <v>45892</v>
      </c>
      <c r="B235" s="33" t="s">
        <v>325</v>
      </c>
      <c r="C235" s="34" t="n">
        <v>1152305</v>
      </c>
      <c r="D235" s="34" t="n">
        <v>1154440</v>
      </c>
      <c r="E235" s="34" t="n">
        <v>1152209</v>
      </c>
      <c r="F235" s="34" t="n">
        <v>0</v>
      </c>
      <c r="G235" s="35" t="n">
        <f aca="false">IF($A235="","",IF(ISNUMBER($G234),$G234+1,1))</f>
        <v>231</v>
      </c>
      <c r="H235" s="36" t="n">
        <f aca="false">IF(OR(NOT(ISNUMBER($G235)),$G235&lt;2,NOT(ISNUMBER($C234)),$C234=0),"",$C235/$C234-1)</f>
        <v>-0.00024813658964884</v>
      </c>
      <c r="I235" s="37" t="n">
        <f aca="false">IF(AND(ISNUMBER($G235),$G235&gt;=MA_SHORT),AVERAGE(INDEX($C$5:$C235,232-MA_SHORT):$C235),"")</f>
        <v>1145797.1</v>
      </c>
      <c r="J235" s="37" t="n">
        <f aca="false">IF(AND(ISNUMBER($G235),$G235&gt;=MA_MED),AVERAGE(INDEX($C$5:$C235,232-MA_MED):$C235),"")</f>
        <v>1155424.42</v>
      </c>
      <c r="K235" s="37" t="n">
        <f aca="false">IF(AND(ISNUMBER($G235),$G235&gt;=MA_LONG2),AVERAGE(INDEX($C$5:$C235,232-MA_LONG2):$C235),"")</f>
        <v>1092087.115</v>
      </c>
      <c r="L235" s="38" t="n">
        <f aca="false">IF(AND(ISNUMBER($G235),$G235&gt;=21),STDEV(INDEX($H$175:$H235,62-20):$H235)*SQRT(245),"")</f>
        <v>0.185716247125351</v>
      </c>
      <c r="M235" s="37" t="n">
        <f aca="false">IF(AND(ISNUMBER($G235),$G235&gt;=60),MAX(INDEX($D$35:$D235,202-60):$D235),"")</f>
        <v>1193471</v>
      </c>
      <c r="N235" s="37" t="n">
        <f aca="false">IF(AND(ISNUMBER($G235),$G235&gt;=60),MIN(INDEX($E$35:$E235,202-60):$E235),"")</f>
        <v>1116216</v>
      </c>
      <c r="O235" s="38" t="n">
        <f aca="false">IF(OR(NOT(ISNUMBER($C235)),NOT(ISNUMBER($M235)),$M235=0),"",$C235/$M235-1)</f>
        <v>-0.0344926688625027</v>
      </c>
    </row>
    <row r="236" customFormat="false" ht="15" hidden="false" customHeight="true" outlineLevel="0" collapsed="false">
      <c r="A236" s="32" t="n">
        <v>45893</v>
      </c>
      <c r="B236" s="33" t="s">
        <v>326</v>
      </c>
      <c r="C236" s="34" t="n">
        <v>1141192</v>
      </c>
      <c r="D236" s="34" t="n">
        <v>1144530</v>
      </c>
      <c r="E236" s="34" t="n">
        <v>1140366</v>
      </c>
      <c r="F236" s="34" t="n">
        <v>0</v>
      </c>
      <c r="G236" s="35" t="n">
        <f aca="false">IF($A236="","",IF(ISNUMBER($G235),$G235+1,1))</f>
        <v>232</v>
      </c>
      <c r="H236" s="36" t="n">
        <f aca="false">IF(OR(NOT(ISNUMBER($G236)),$G236&lt;2,NOT(ISNUMBER($C235)),$C235=0),"",$C236/$C235-1)</f>
        <v>-0.00964414803372371</v>
      </c>
      <c r="I236" s="37" t="n">
        <f aca="false">IF(AND(ISNUMBER($G236),$G236&gt;=MA_SHORT),AVERAGE(INDEX($C$5:$C236,233-MA_SHORT):$C236),"")</f>
        <v>1144089.05</v>
      </c>
      <c r="J236" s="37" t="n">
        <f aca="false">IF(AND(ISNUMBER($G236),$G236&gt;=MA_MED),AVERAGE(INDEX($C$5:$C236,233-MA_MED):$C236),"")</f>
        <v>1155388.32</v>
      </c>
      <c r="K236" s="37" t="n">
        <f aca="false">IF(AND(ISNUMBER($G236),$G236&gt;=MA_LONG2),AVERAGE(INDEX($C$5:$C236,233-MA_LONG2):$C236),"")</f>
        <v>1093284.825</v>
      </c>
      <c r="L236" s="38" t="n">
        <f aca="false">IF(AND(ISNUMBER($G236),$G236&gt;=21),STDEV(INDEX($H$176:$H236,62-20):$H236)*SQRT(245),"")</f>
        <v>0.187329684402181</v>
      </c>
      <c r="M236" s="37" t="n">
        <f aca="false">IF(AND(ISNUMBER($G236),$G236&gt;=60),MAX(INDEX($D$36:$D236,202-60):$D236),"")</f>
        <v>1193471</v>
      </c>
      <c r="N236" s="37" t="n">
        <f aca="false">IF(AND(ISNUMBER($G236),$G236&gt;=60),MIN(INDEX($E$36:$E236,202-60):$E236),"")</f>
        <v>1116216</v>
      </c>
      <c r="O236" s="38" t="n">
        <f aca="false">IF(OR(NOT(ISNUMBER($C236)),NOT(ISNUMBER($M236)),$M236=0),"",$C236/$M236-1)</f>
        <v>-0.0438041644916383</v>
      </c>
    </row>
    <row r="237" customFormat="false" ht="15" hidden="false" customHeight="true" outlineLevel="0" collapsed="false">
      <c r="A237" s="32" t="n">
        <v>45894</v>
      </c>
      <c r="B237" s="33" t="s">
        <v>327</v>
      </c>
      <c r="C237" s="34" t="n">
        <v>1149396</v>
      </c>
      <c r="D237" s="34" t="n">
        <v>1149798</v>
      </c>
      <c r="E237" s="34" t="n">
        <v>1145445</v>
      </c>
      <c r="F237" s="34" t="n">
        <v>0</v>
      </c>
      <c r="G237" s="35" t="n">
        <f aca="false">IF($A237="","",IF(ISNUMBER($G236),$G236+1,1))</f>
        <v>233</v>
      </c>
      <c r="H237" s="36" t="n">
        <f aca="false">IF(OR(NOT(ISNUMBER($G237)),$G237&lt;2,NOT(ISNUMBER($C236)),$C236=0),"",$C237/$C236-1)</f>
        <v>0.00718897433560706</v>
      </c>
      <c r="I237" s="37" t="n">
        <f aca="false">IF(AND(ISNUMBER($G237),$G237&gt;=MA_SHORT),AVERAGE(INDEX($C$5:$C237,234-MA_SHORT):$C237),"")</f>
        <v>1142735.05</v>
      </c>
      <c r="J237" s="37" t="n">
        <f aca="false">IF(AND(ISNUMBER($G237),$G237&gt;=MA_MED),AVERAGE(INDEX($C$5:$C237,234-MA_MED):$C237),"")</f>
        <v>1155538.36</v>
      </c>
      <c r="K237" s="37" t="n">
        <f aca="false">IF(AND(ISNUMBER($G237),$G237&gt;=MA_LONG2),AVERAGE(INDEX($C$5:$C237,234-MA_LONG2):$C237),"")</f>
        <v>1094529.105</v>
      </c>
      <c r="L237" s="38" t="n">
        <f aca="false">IF(AND(ISNUMBER($G237),$G237&gt;=21),STDEV(INDEX($H$177:$H237,62-20):$H237)*SQRT(245),"")</f>
        <v>0.189599502105559</v>
      </c>
      <c r="M237" s="37" t="n">
        <f aca="false">IF(AND(ISNUMBER($G237),$G237&gt;=60),MAX(INDEX($D$37:$D237,202-60):$D237),"")</f>
        <v>1193336</v>
      </c>
      <c r="N237" s="37" t="n">
        <f aca="false">IF(AND(ISNUMBER($G237),$G237&gt;=60),MIN(INDEX($E$37:$E237,202-60):$E237),"")</f>
        <v>1116216</v>
      </c>
      <c r="O237" s="38" t="n">
        <f aca="false">IF(OR(NOT(ISNUMBER($C237)),NOT(ISNUMBER($M237)),$M237=0),"",$C237/$M237-1)</f>
        <v>-0.0368211467683871</v>
      </c>
    </row>
    <row r="238" customFormat="false" ht="15" hidden="false" customHeight="true" outlineLevel="0" collapsed="false">
      <c r="A238" s="32" t="n">
        <v>45895</v>
      </c>
      <c r="B238" s="33" t="s">
        <v>328</v>
      </c>
      <c r="C238" s="34" t="n">
        <v>1150434</v>
      </c>
      <c r="D238" s="34" t="n">
        <v>1152571</v>
      </c>
      <c r="E238" s="34" t="n">
        <v>1148022</v>
      </c>
      <c r="F238" s="34" t="n">
        <v>0</v>
      </c>
      <c r="G238" s="35" t="n">
        <f aca="false">IF($A238="","",IF(ISNUMBER($G237),$G237+1,1))</f>
        <v>234</v>
      </c>
      <c r="H238" s="36" t="n">
        <f aca="false">IF(OR(NOT(ISNUMBER($G238)),$G238&lt;2,NOT(ISNUMBER($C237)),$C237=0),"",$C238/$C237-1)</f>
        <v>0.000903083010555195</v>
      </c>
      <c r="I238" s="37" t="n">
        <f aca="false">IF(AND(ISNUMBER($G238),$G238&gt;=MA_SHORT),AVERAGE(INDEX($C$5:$C238,235-MA_SHORT):$C238),"")</f>
        <v>1142225.85</v>
      </c>
      <c r="J238" s="37" t="n">
        <f aca="false">IF(AND(ISNUMBER($G238),$G238&gt;=MA_MED),AVERAGE(INDEX($C$5:$C238,235-MA_MED):$C238),"")</f>
        <v>1156148.66</v>
      </c>
      <c r="K238" s="37" t="n">
        <f aca="false">IF(AND(ISNUMBER($G238),$G238&gt;=MA_LONG2),AVERAGE(INDEX($C$5:$C238,235-MA_LONG2):$C238),"")</f>
        <v>1095757.92</v>
      </c>
      <c r="L238" s="38" t="n">
        <f aca="false">IF(AND(ISNUMBER($G238),$G238&gt;=21),STDEV(INDEX($H$178:$H238,62-20):$H238)*SQRT(245),"")</f>
        <v>0.184087043697363</v>
      </c>
      <c r="M238" s="37" t="n">
        <f aca="false">IF(AND(ISNUMBER($G238),$G238&gt;=60),MAX(INDEX($D$38:$D238,202-60):$D238),"")</f>
        <v>1193336</v>
      </c>
      <c r="N238" s="37" t="n">
        <f aca="false">IF(AND(ISNUMBER($G238),$G238&gt;=60),MIN(INDEX($E$38:$E238,202-60):$E238),"")</f>
        <v>1116216</v>
      </c>
      <c r="O238" s="38" t="n">
        <f aca="false">IF(OR(NOT(ISNUMBER($C238)),NOT(ISNUMBER($M238)),$M238=0),"",$C238/$M238-1)</f>
        <v>-0.0359513163099077</v>
      </c>
    </row>
    <row r="239" customFormat="false" ht="15" hidden="false" customHeight="true" outlineLevel="0" collapsed="false">
      <c r="A239" s="32" t="n">
        <v>45896</v>
      </c>
      <c r="B239" s="33" t="s">
        <v>329</v>
      </c>
      <c r="C239" s="34" t="n">
        <v>1160655</v>
      </c>
      <c r="D239" s="34" t="n">
        <v>1161039</v>
      </c>
      <c r="E239" s="34" t="n">
        <v>1157778</v>
      </c>
      <c r="F239" s="34" t="n">
        <v>0</v>
      </c>
      <c r="G239" s="35" t="n">
        <f aca="false">IF($A239="","",IF(ISNUMBER($G238),$G238+1,1))</f>
        <v>235</v>
      </c>
      <c r="H239" s="36" t="n">
        <f aca="false">IF(OR(NOT(ISNUMBER($G239)),$G239&lt;2,NOT(ISNUMBER($C238)),$C238=0),"",$C239/$C238-1)</f>
        <v>0.00888447316404073</v>
      </c>
      <c r="I239" s="37" t="n">
        <f aca="false">IF(AND(ISNUMBER($G239),$G239&gt;=MA_SHORT),AVERAGE(INDEX($C$5:$C239,236-MA_SHORT):$C239),"")</f>
        <v>1143450.9</v>
      </c>
      <c r="J239" s="37" t="n">
        <f aca="false">IF(AND(ISNUMBER($G239),$G239&gt;=MA_MED),AVERAGE(INDEX($C$5:$C239,236-MA_MED):$C239),"")</f>
        <v>1156834.9</v>
      </c>
      <c r="K239" s="37" t="n">
        <f aca="false">IF(AND(ISNUMBER($G239),$G239&gt;=MA_LONG2),AVERAGE(INDEX($C$5:$C239,236-MA_LONG2):$C239),"")</f>
        <v>1097012.48</v>
      </c>
      <c r="L239" s="38" t="n">
        <f aca="false">IF(AND(ISNUMBER($G239),$G239&gt;=21),STDEV(INDEX($H$179:$H239,62-20):$H239)*SQRT(245),"")</f>
        <v>0.169963391368562</v>
      </c>
      <c r="M239" s="37" t="n">
        <f aca="false">IF(AND(ISNUMBER($G239),$G239&gt;=60),MAX(INDEX($D$39:$D239,202-60):$D239),"")</f>
        <v>1193336</v>
      </c>
      <c r="N239" s="37" t="n">
        <f aca="false">IF(AND(ISNUMBER($G239),$G239&gt;=60),MIN(INDEX($E$39:$E239,202-60):$E239),"")</f>
        <v>1116216</v>
      </c>
      <c r="O239" s="38" t="n">
        <f aca="false">IF(OR(NOT(ISNUMBER($C239)),NOT(ISNUMBER($M239)),$M239=0),"",$C239/$M239-1)</f>
        <v>-0.0273862516508343</v>
      </c>
    </row>
    <row r="240" customFormat="false" ht="15" hidden="false" customHeight="true" outlineLevel="0" collapsed="false">
      <c r="A240" s="32" t="n">
        <v>45899</v>
      </c>
      <c r="B240" s="33" t="s">
        <v>330</v>
      </c>
      <c r="C240" s="34" t="n">
        <v>1110692</v>
      </c>
      <c r="D240" s="34" t="n">
        <v>1113001</v>
      </c>
      <c r="E240" s="34" t="n">
        <v>1109599</v>
      </c>
      <c r="F240" s="34" t="n">
        <v>0</v>
      </c>
      <c r="G240" s="35" t="n">
        <f aca="false">IF($A240="","",IF(ISNUMBER($G239),$G239+1,1))</f>
        <v>236</v>
      </c>
      <c r="H240" s="36" t="n">
        <f aca="false">IF(OR(NOT(ISNUMBER($G240)),$G240&lt;2,NOT(ISNUMBER($C239)),$C239=0),"",$C240/$C239-1)</f>
        <v>-0.0430472448746613</v>
      </c>
      <c r="I240" s="37" t="n">
        <f aca="false">IF(AND(ISNUMBER($G240),$G240&gt;=MA_SHORT),AVERAGE(INDEX($C$5:$C240,237-MA_SHORT):$C240),"")</f>
        <v>1141873.6</v>
      </c>
      <c r="J240" s="37" t="n">
        <f aca="false">IF(AND(ISNUMBER($G240),$G240&gt;=MA_MED),AVERAGE(INDEX($C$5:$C240,237-MA_MED):$C240),"")</f>
        <v>1156475.76</v>
      </c>
      <c r="K240" s="37" t="n">
        <f aca="false">IF(AND(ISNUMBER($G240),$G240&gt;=MA_LONG2),AVERAGE(INDEX($C$5:$C240,237-MA_LONG2):$C240),"")</f>
        <v>1097961.21</v>
      </c>
      <c r="L240" s="38" t="n">
        <f aca="false">IF(AND(ISNUMBER($G240),$G240&gt;=21),STDEV(INDEX($H$180:$H240,62-20):$H240)*SQRT(245),"")</f>
        <v>0.228701353789079</v>
      </c>
      <c r="M240" s="37" t="n">
        <f aca="false">IF(AND(ISNUMBER($G240),$G240&gt;=60),MAX(INDEX($D$40:$D240,202-60):$D240),"")</f>
        <v>1193336</v>
      </c>
      <c r="N240" s="37" t="n">
        <f aca="false">IF(AND(ISNUMBER($G240),$G240&gt;=60),MIN(INDEX($E$40:$E240,202-60):$E240),"")</f>
        <v>1109599</v>
      </c>
      <c r="O240" s="38" t="n">
        <f aca="false">IF(OR(NOT(ISNUMBER($C240)),NOT(ISNUMBER($M240)),$M240=0),"",$C240/$M240-1)</f>
        <v>-0.0692545938444831</v>
      </c>
    </row>
    <row r="241" customFormat="false" ht="15" hidden="false" customHeight="true" outlineLevel="0" collapsed="false">
      <c r="A241" s="32" t="n">
        <v>45900</v>
      </c>
      <c r="B241" s="33" t="s">
        <v>331</v>
      </c>
      <c r="C241" s="34" t="n">
        <v>1134402</v>
      </c>
      <c r="D241" s="34" t="n">
        <v>1137609</v>
      </c>
      <c r="E241" s="34" t="n">
        <v>1134376</v>
      </c>
      <c r="F241" s="34" t="n">
        <v>0</v>
      </c>
      <c r="G241" s="35" t="n">
        <f aca="false">IF($A241="","",IF(ISNUMBER($G240),$G240+1,1))</f>
        <v>237</v>
      </c>
      <c r="H241" s="36" t="n">
        <f aca="false">IF(OR(NOT(ISNUMBER($G241)),$G241&lt;2,NOT(ISNUMBER($C240)),$C240=0),"",$C241/$C240-1)</f>
        <v>0.0213470521080552</v>
      </c>
      <c r="I241" s="37" t="n">
        <f aca="false">IF(AND(ISNUMBER($G241),$G241&gt;=MA_SHORT),AVERAGE(INDEX($C$5:$C241,238-MA_SHORT):$C241),"")</f>
        <v>1142122.9</v>
      </c>
      <c r="J241" s="37" t="n">
        <f aca="false">IF(AND(ISNUMBER($G241),$G241&gt;=MA_MED),AVERAGE(INDEX($C$5:$C241,238-MA_MED):$C241),"")</f>
        <v>1156384.4</v>
      </c>
      <c r="K241" s="37" t="n">
        <f aca="false">IF(AND(ISNUMBER($G241),$G241&gt;=MA_LONG2),AVERAGE(INDEX($C$5:$C241,238-MA_LONG2):$C241),"")</f>
        <v>1098977.88</v>
      </c>
      <c r="L241" s="38" t="n">
        <f aca="false">IF(AND(ISNUMBER($G241),$G241&gt;=21),STDEV(INDEX($H$181:$H241,62-20):$H241)*SQRT(245),"")</f>
        <v>0.238664737857514</v>
      </c>
      <c r="M241" s="37" t="n">
        <f aca="false">IF(AND(ISNUMBER($G241),$G241&gt;=60),MAX(INDEX($D$41:$D241,202-60):$D241),"")</f>
        <v>1193336</v>
      </c>
      <c r="N241" s="37" t="n">
        <f aca="false">IF(AND(ISNUMBER($G241),$G241&gt;=60),MIN(INDEX($E$41:$E241,202-60):$E241),"")</f>
        <v>1109599</v>
      </c>
      <c r="O241" s="38" t="n">
        <f aca="false">IF(OR(NOT(ISNUMBER($C241)),NOT(ISNUMBER($M241)),$M241=0),"",$C241/$M241-1)</f>
        <v>-0.0493859231599483</v>
      </c>
    </row>
    <row r="242" customFormat="false" ht="15" hidden="false" customHeight="true" outlineLevel="0" collapsed="false">
      <c r="A242" s="32" t="n">
        <v>45901</v>
      </c>
      <c r="B242" s="33" t="s">
        <v>332</v>
      </c>
      <c r="C242" s="34" t="n">
        <v>1100841</v>
      </c>
      <c r="D242" s="34" t="n">
        <v>1102303</v>
      </c>
      <c r="E242" s="34" t="n">
        <v>1097662</v>
      </c>
      <c r="F242" s="34" t="n">
        <v>0</v>
      </c>
      <c r="G242" s="35" t="n">
        <f aca="false">IF($A242="","",IF(ISNUMBER($G241),$G241+1,1))</f>
        <v>238</v>
      </c>
      <c r="H242" s="36" t="n">
        <f aca="false">IF(OR(NOT(ISNUMBER($G242)),$G242&lt;2,NOT(ISNUMBER($C241)),$C241=0),"",$C242/$C241-1)</f>
        <v>-0.0295847503794952</v>
      </c>
      <c r="I242" s="37" t="n">
        <f aca="false">IF(AND(ISNUMBER($G242),$G242&gt;=MA_SHORT),AVERAGE(INDEX($C$5:$C242,239-MA_SHORT):$C242),"")</f>
        <v>1140080.35</v>
      </c>
      <c r="J242" s="37" t="n">
        <f aca="false">IF(AND(ISNUMBER($G242),$G242&gt;=MA_MED),AVERAGE(INDEX($C$5:$C242,239-MA_MED):$C242),"")</f>
        <v>1155519.62</v>
      </c>
      <c r="K242" s="37" t="n">
        <f aca="false">IF(AND(ISNUMBER($G242),$G242&gt;=MA_LONG2),AVERAGE(INDEX($C$5:$C242,239-MA_LONG2):$C242),"")</f>
        <v>1099770.265</v>
      </c>
      <c r="L242" s="38" t="n">
        <f aca="false">IF(AND(ISNUMBER($G242),$G242&gt;=21),STDEV(INDEX($H$182:$H242,62-20):$H242)*SQRT(245),"")</f>
        <v>0.256933280520506</v>
      </c>
      <c r="M242" s="37" t="n">
        <f aca="false">IF(AND(ISNUMBER($G242),$G242&gt;=60),MAX(INDEX($D$42:$D242,202-60):$D242),"")</f>
        <v>1193336</v>
      </c>
      <c r="N242" s="37" t="n">
        <f aca="false">IF(AND(ISNUMBER($G242),$G242&gt;=60),MIN(INDEX($E$42:$E242,202-60):$E242),"")</f>
        <v>1097662</v>
      </c>
      <c r="O242" s="38" t="n">
        <f aca="false">IF(OR(NOT(ISNUMBER($C242)),NOT(ISNUMBER($M242)),$M242=0),"",$C242/$M242-1)</f>
        <v>-0.0775096033304954</v>
      </c>
    </row>
    <row r="243" customFormat="false" ht="15" hidden="false" customHeight="true" outlineLevel="0" collapsed="false">
      <c r="A243" s="32" t="n">
        <v>45902</v>
      </c>
      <c r="B243" s="33" t="s">
        <v>333</v>
      </c>
      <c r="C243" s="34" t="n">
        <v>1107196</v>
      </c>
      <c r="D243" s="34" t="n">
        <v>1108952</v>
      </c>
      <c r="E243" s="34" t="n">
        <v>1105937</v>
      </c>
      <c r="F243" s="34" t="n">
        <v>0</v>
      </c>
      <c r="G243" s="35" t="n">
        <f aca="false">IF($A243="","",IF(ISNUMBER($G242),$G242+1,1))</f>
        <v>239</v>
      </c>
      <c r="H243" s="36" t="n">
        <f aca="false">IF(OR(NOT(ISNUMBER($G243)),$G243&lt;2,NOT(ISNUMBER($C242)),$C242=0),"",$C243/$C242-1)</f>
        <v>0.00577285911407732</v>
      </c>
      <c r="I243" s="37" t="n">
        <f aca="false">IF(AND(ISNUMBER($G243),$G243&gt;=MA_SHORT),AVERAGE(INDEX($C$5:$C243,240-MA_SHORT):$C243),"")</f>
        <v>1139496.4</v>
      </c>
      <c r="J243" s="37" t="n">
        <f aca="false">IF(AND(ISNUMBER($G243),$G243&gt;=MA_MED),AVERAGE(INDEX($C$5:$C243,240-MA_MED):$C243),"")</f>
        <v>1154575.1</v>
      </c>
      <c r="K243" s="37" t="n">
        <f aca="false">IF(AND(ISNUMBER($G243),$G243&gt;=MA_LONG2),AVERAGE(INDEX($C$5:$C243,240-MA_LONG2):$C243),"")</f>
        <v>1100544.33</v>
      </c>
      <c r="L243" s="38" t="n">
        <f aca="false">IF(AND(ISNUMBER($G243),$G243&gt;=21),STDEV(INDEX($H$183:$H243,62-20):$H243)*SQRT(245),"")</f>
        <v>0.248977131072465</v>
      </c>
      <c r="M243" s="37" t="n">
        <f aca="false">IF(AND(ISNUMBER($G243),$G243&gt;=60),MAX(INDEX($D$43:$D243,202-60):$D243),"")</f>
        <v>1193336</v>
      </c>
      <c r="N243" s="37" t="n">
        <f aca="false">IF(AND(ISNUMBER($G243),$G243&gt;=60),MIN(INDEX($E$43:$E243,202-60):$E243),"")</f>
        <v>1097662</v>
      </c>
      <c r="O243" s="38" t="n">
        <f aca="false">IF(OR(NOT(ISNUMBER($C243)),NOT(ISNUMBER($M243)),$M243=0),"",$C243/$M243-1)</f>
        <v>-0.072184196236433</v>
      </c>
    </row>
    <row r="244" customFormat="false" ht="15" hidden="false" customHeight="true" outlineLevel="0" collapsed="false">
      <c r="A244" s="32" t="n">
        <v>45903</v>
      </c>
      <c r="B244" s="33" t="s">
        <v>334</v>
      </c>
      <c r="C244" s="34" t="n">
        <v>1096127</v>
      </c>
      <c r="D244" s="34" t="n">
        <v>1096630</v>
      </c>
      <c r="E244" s="34" t="n">
        <v>1095160</v>
      </c>
      <c r="F244" s="34" t="n">
        <v>0</v>
      </c>
      <c r="G244" s="35" t="n">
        <f aca="false">IF($A244="","",IF(ISNUMBER($G243),$G243+1,1))</f>
        <v>240</v>
      </c>
      <c r="H244" s="36" t="n">
        <f aca="false">IF(OR(NOT(ISNUMBER($G244)),$G244&lt;2,NOT(ISNUMBER($C243)),$C243=0),"",$C244/$C243-1)</f>
        <v>-0.00999732657993702</v>
      </c>
      <c r="I244" s="37" t="n">
        <f aca="false">IF(AND(ISNUMBER($G244),$G244&gt;=MA_SHORT),AVERAGE(INDEX($C$5:$C244,241-MA_SHORT):$C244),"")</f>
        <v>1137819.45</v>
      </c>
      <c r="J244" s="37" t="n">
        <f aca="false">IF(AND(ISNUMBER($G244),$G244&gt;=MA_MED),AVERAGE(INDEX($C$5:$C244,241-MA_MED):$C244),"")</f>
        <v>1153241.26</v>
      </c>
      <c r="K244" s="37" t="n">
        <f aca="false">IF(AND(ISNUMBER($G244),$G244&gt;=MA_LONG2),AVERAGE(INDEX($C$5:$C244,241-MA_LONG2):$C244),"")</f>
        <v>1101220.105</v>
      </c>
      <c r="L244" s="38" t="n">
        <f aca="false">IF(AND(ISNUMBER($G244),$G244&gt;=21),STDEV(INDEX($H$184:$H244,62-20):$H244)*SQRT(245),"")</f>
        <v>0.248246053720012</v>
      </c>
      <c r="M244" s="37" t="n">
        <f aca="false">IF(AND(ISNUMBER($G244),$G244&gt;=60),MAX(INDEX($D$44:$D244,202-60):$D244),"")</f>
        <v>1193336</v>
      </c>
      <c r="N244" s="37" t="n">
        <f aca="false">IF(AND(ISNUMBER($G244),$G244&gt;=60),MIN(INDEX($E$44:$E244,202-60):$E244),"")</f>
        <v>1095160</v>
      </c>
      <c r="O244" s="38" t="n">
        <f aca="false">IF(OR(NOT(ISNUMBER($C244)),NOT(ISNUMBER($M244)),$M244=0),"",$C244/$M244-1)</f>
        <v>-0.0814598738326842</v>
      </c>
    </row>
    <row r="245" customFormat="false" ht="15" hidden="false" customHeight="true" outlineLevel="0" collapsed="false">
      <c r="A245" s="32" t="n">
        <v>45906</v>
      </c>
      <c r="B245" s="33" t="s">
        <v>335</v>
      </c>
      <c r="C245" s="34" t="n">
        <v>1100834</v>
      </c>
      <c r="D245" s="34" t="n">
        <v>1100944</v>
      </c>
      <c r="E245" s="34" t="n">
        <v>1098060</v>
      </c>
      <c r="F245" s="34" t="n">
        <v>0</v>
      </c>
      <c r="G245" s="35" t="n">
        <f aca="false">IF($A245="","",IF(ISNUMBER($G244),$G244+1,1))</f>
        <v>241</v>
      </c>
      <c r="H245" s="36" t="n">
        <f aca="false">IF(OR(NOT(ISNUMBER($G245)),$G245&lt;2,NOT(ISNUMBER($C244)),$C244=0),"",$C245/$C244-1)</f>
        <v>0.00429421043364497</v>
      </c>
      <c r="I245" s="37" t="n">
        <f aca="false">IF(AND(ISNUMBER($G245),$G245&gt;=MA_SHORT),AVERAGE(INDEX($C$5:$C245,242-MA_SHORT):$C245),"")</f>
        <v>1136647.45</v>
      </c>
      <c r="J245" s="37" t="n">
        <f aca="false">IF(AND(ISNUMBER($G245),$G245&gt;=MA_MED),AVERAGE(INDEX($C$5:$C245,242-MA_MED):$C245),"")</f>
        <v>1151652.88</v>
      </c>
      <c r="K245" s="37" t="n">
        <f aca="false">IF(AND(ISNUMBER($G245),$G245&gt;=MA_LONG2),AVERAGE(INDEX($C$5:$C245,242-MA_LONG2):$C245),"")</f>
        <v>1101889.955</v>
      </c>
      <c r="L245" s="38" t="n">
        <f aca="false">IF(AND(ISNUMBER($G245),$G245&gt;=21),STDEV(INDEX($H$185:$H245,62-20):$H245)*SQRT(245),"")</f>
        <v>0.248678487072814</v>
      </c>
      <c r="M245" s="37" t="n">
        <f aca="false">IF(AND(ISNUMBER($G245),$G245&gt;=60),MAX(INDEX($D$45:$D245,202-60):$D245),"")</f>
        <v>1193336</v>
      </c>
      <c r="N245" s="37" t="n">
        <f aca="false">IF(AND(ISNUMBER($G245),$G245&gt;=60),MIN(INDEX($E$45:$E245,202-60):$E245),"")</f>
        <v>1095160</v>
      </c>
      <c r="O245" s="38" t="n">
        <f aca="false">IF(OR(NOT(ISNUMBER($C245)),NOT(ISNUMBER($M245)),$M245=0),"",$C245/$M245-1)</f>
        <v>-0.0775154692391749</v>
      </c>
    </row>
    <row r="246" customFormat="false" ht="15" hidden="false" customHeight="true" outlineLevel="0" collapsed="false">
      <c r="A246" s="32" t="n">
        <v>45907</v>
      </c>
      <c r="B246" s="33" t="s">
        <v>336</v>
      </c>
      <c r="C246" s="34" t="n">
        <v>1101387</v>
      </c>
      <c r="D246" s="34" t="n">
        <v>1102839</v>
      </c>
      <c r="E246" s="34" t="n">
        <v>1096310</v>
      </c>
      <c r="F246" s="34" t="n">
        <v>0</v>
      </c>
      <c r="G246" s="35" t="n">
        <f aca="false">IF($A246="","",IF(ISNUMBER($G245),$G245+1,1))</f>
        <v>242</v>
      </c>
      <c r="H246" s="36" t="n">
        <f aca="false">IF(OR(NOT(ISNUMBER($G246)),$G246&lt;2,NOT(ISNUMBER($C245)),$C245=0),"",$C246/$C245-1)</f>
        <v>0.00050234640281821</v>
      </c>
      <c r="I246" s="37" t="n">
        <f aca="false">IF(AND(ISNUMBER($G246),$G246&gt;=MA_SHORT),AVERAGE(INDEX($C$5:$C246,243-MA_SHORT):$C246),"")</f>
        <v>1135522.85</v>
      </c>
      <c r="J246" s="37" t="n">
        <f aca="false">IF(AND(ISNUMBER($G246),$G246&gt;=MA_MED),AVERAGE(INDEX($C$5:$C246,243-MA_MED):$C246),"")</f>
        <v>1149963.36</v>
      </c>
      <c r="K246" s="37" t="n">
        <f aca="false">IF(AND(ISNUMBER($G246),$G246&gt;=MA_LONG2),AVERAGE(INDEX($C$5:$C246,243-MA_LONG2):$C246),"")</f>
        <v>1102642.68</v>
      </c>
      <c r="L246" s="38" t="n">
        <f aca="false">IF(AND(ISNUMBER($G246),$G246&gt;=21),STDEV(INDEX($H$186:$H246,62-20):$H246)*SQRT(245),"")</f>
        <v>0.248722123647377</v>
      </c>
      <c r="M246" s="37" t="n">
        <f aca="false">IF(AND(ISNUMBER($G246),$G246&gt;=60),MAX(INDEX($D$46:$D246,202-60):$D246),"")</f>
        <v>1193336</v>
      </c>
      <c r="N246" s="37" t="n">
        <f aca="false">IF(AND(ISNUMBER($G246),$G246&gt;=60),MIN(INDEX($E$46:$E246,202-60):$E246),"")</f>
        <v>1095160</v>
      </c>
      <c r="O246" s="38" t="n">
        <f aca="false">IF(OR(NOT(ISNUMBER($C246)),NOT(ISNUMBER($M246)),$M246=0),"",$C246/$M246-1)</f>
        <v>-0.0770520624534917</v>
      </c>
    </row>
    <row r="247" customFormat="false" ht="15" hidden="false" customHeight="true" outlineLevel="0" collapsed="false">
      <c r="A247" s="32" t="n">
        <v>45908</v>
      </c>
      <c r="B247" s="33" t="s">
        <v>337</v>
      </c>
      <c r="C247" s="34" t="n">
        <v>1108844</v>
      </c>
      <c r="D247" s="34" t="n">
        <v>1114834</v>
      </c>
      <c r="E247" s="34" t="n">
        <v>1107006</v>
      </c>
      <c r="F247" s="34" t="n">
        <v>0</v>
      </c>
      <c r="G247" s="35" t="n">
        <f aca="false">IF($A247="","",IF(ISNUMBER($G246),$G246+1,1))</f>
        <v>243</v>
      </c>
      <c r="H247" s="36" t="n">
        <f aca="false">IF(OR(NOT(ISNUMBER($G247)),$G247&lt;2,NOT(ISNUMBER($C246)),$C246=0),"",$C247/$C246-1)</f>
        <v>0.00677055385618308</v>
      </c>
      <c r="I247" s="37" t="n">
        <f aca="false">IF(AND(ISNUMBER($G247),$G247&gt;=MA_SHORT),AVERAGE(INDEX($C$5:$C247,244-MA_SHORT):$C247),"")</f>
        <v>1133825.7</v>
      </c>
      <c r="J247" s="37" t="n">
        <f aca="false">IF(AND(ISNUMBER($G247),$G247&gt;=MA_MED),AVERAGE(INDEX($C$5:$C247,244-MA_MED):$C247),"")</f>
        <v>1148491.78</v>
      </c>
      <c r="K247" s="37" t="n">
        <f aca="false">IF(AND(ISNUMBER($G247),$G247&gt;=MA_LONG2),AVERAGE(INDEX($C$5:$C247,244-MA_LONG2):$C247),"")</f>
        <v>1103441.425</v>
      </c>
      <c r="L247" s="38" t="n">
        <f aca="false">IF(AND(ISNUMBER($G247),$G247&gt;=21),STDEV(INDEX($H$187:$H247,62-20):$H247)*SQRT(245),"")</f>
        <v>0.241885042715161</v>
      </c>
      <c r="M247" s="37" t="n">
        <f aca="false">IF(AND(ISNUMBER($G247),$G247&gt;=60),MAX(INDEX($D$47:$D247,202-60):$D247),"")</f>
        <v>1193336</v>
      </c>
      <c r="N247" s="37" t="n">
        <f aca="false">IF(AND(ISNUMBER($G247),$G247&gt;=60),MIN(INDEX($E$47:$E247,202-60):$E247),"")</f>
        <v>1095160</v>
      </c>
      <c r="O247" s="38" t="n">
        <f aca="false">IF(OR(NOT(ISNUMBER($C247)),NOT(ISNUMBER($M247)),$M247=0),"",$C247/$M247-1)</f>
        <v>-0.07080319373588</v>
      </c>
    </row>
    <row r="248" customFormat="false" ht="15" hidden="false" customHeight="true" outlineLevel="0" collapsed="false">
      <c r="A248" s="32" t="n">
        <v>45909</v>
      </c>
      <c r="B248" s="33" t="s">
        <v>338</v>
      </c>
      <c r="C248" s="34" t="n">
        <v>1092265</v>
      </c>
      <c r="D248" s="34" t="n">
        <v>1097055</v>
      </c>
      <c r="E248" s="34" t="n">
        <v>1086696</v>
      </c>
      <c r="F248" s="34" t="n">
        <v>0</v>
      </c>
      <c r="G248" s="35" t="n">
        <f aca="false">IF($A248="","",IF(ISNUMBER($G247),$G247+1,1))</f>
        <v>244</v>
      </c>
      <c r="H248" s="36" t="n">
        <f aca="false">IF(OR(NOT(ISNUMBER($G248)),$G248&lt;2,NOT(ISNUMBER($C247)),$C247=0),"",$C248/$C247-1)</f>
        <v>-0.0149516072594522</v>
      </c>
      <c r="I248" s="37" t="n">
        <f aca="false">IF(AND(ISNUMBER($G248),$G248&gt;=MA_SHORT),AVERAGE(INDEX($C$5:$C248,245-MA_SHORT):$C248),"")</f>
        <v>1129990.9</v>
      </c>
      <c r="J248" s="37" t="n">
        <f aca="false">IF(AND(ISNUMBER($G248),$G248&gt;=MA_MED),AVERAGE(INDEX($C$5:$C248,245-MA_MED):$C248),"")</f>
        <v>1146641.06</v>
      </c>
      <c r="K248" s="37" t="n">
        <f aca="false">IF(AND(ISNUMBER($G248),$G248&gt;=MA_LONG2),AVERAGE(INDEX($C$5:$C248,245-MA_LONG2):$C248),"")</f>
        <v>1104227.38</v>
      </c>
      <c r="L248" s="38" t="n">
        <f aca="false">IF(AND(ISNUMBER($G248),$G248&gt;=21),STDEV(INDEX($H$188:$H248,62-20):$H248)*SQRT(245),"")</f>
        <v>0.228788405035582</v>
      </c>
      <c r="M248" s="37" t="n">
        <f aca="false">IF(AND(ISNUMBER($G248),$G248&gt;=60),MAX(INDEX($D$48:$D248,202-60):$D248),"")</f>
        <v>1193336</v>
      </c>
      <c r="N248" s="37" t="n">
        <f aca="false">IF(AND(ISNUMBER($G248),$G248&gt;=60),MIN(INDEX($E$48:$E248,202-60):$E248),"")</f>
        <v>1086696</v>
      </c>
      <c r="O248" s="38" t="n">
        <f aca="false">IF(OR(NOT(ISNUMBER($C248)),NOT(ISNUMBER($M248)),$M248=0),"",$C248/$M248-1)</f>
        <v>-0.0846961794498783</v>
      </c>
    </row>
    <row r="249" customFormat="false" ht="15" hidden="false" customHeight="true" outlineLevel="0" collapsed="false">
      <c r="A249" s="32" t="n">
        <v>45910</v>
      </c>
      <c r="B249" s="33" t="s">
        <v>339</v>
      </c>
      <c r="C249" s="34" t="n">
        <v>1083074</v>
      </c>
      <c r="D249" s="34" t="n">
        <v>1083393</v>
      </c>
      <c r="E249" s="34" t="n">
        <v>1081044</v>
      </c>
      <c r="F249" s="34" t="n">
        <v>0</v>
      </c>
      <c r="G249" s="35" t="n">
        <f aca="false">IF($A249="","",IF(ISNUMBER($G248),$G248+1,1))</f>
        <v>245</v>
      </c>
      <c r="H249" s="36" t="n">
        <f aca="false">IF(OR(NOT(ISNUMBER($G249)),$G249&lt;2,NOT(ISNUMBER($C248)),$C248=0),"",$C249/$C248-1)</f>
        <v>-0.00841462465610454</v>
      </c>
      <c r="I249" s="37" t="n">
        <f aca="false">IF(AND(ISNUMBER($G249),$G249&gt;=MA_SHORT),AVERAGE(INDEX($C$5:$C249,246-MA_SHORT):$C249),"")</f>
        <v>1125752.1</v>
      </c>
      <c r="J249" s="37" t="n">
        <f aca="false">IF(AND(ISNUMBER($G249),$G249&gt;=MA_MED),AVERAGE(INDEX($C$5:$C249,246-MA_MED):$C249),"")</f>
        <v>1144614.3</v>
      </c>
      <c r="K249" s="37" t="n">
        <f aca="false">IF(AND(ISNUMBER($G249),$G249&gt;=MA_LONG2),AVERAGE(INDEX($C$5:$C249,246-MA_LONG2):$C249),"")</f>
        <v>1104981.09</v>
      </c>
      <c r="L249" s="38" t="n">
        <f aca="false">IF(AND(ISNUMBER($G249),$G249&gt;=21),STDEV(INDEX($H$189:$H249,62-20):$H249)*SQRT(245),"")</f>
        <v>0.229297491195594</v>
      </c>
      <c r="M249" s="37" t="n">
        <f aca="false">IF(AND(ISNUMBER($G249),$G249&gt;=60),MAX(INDEX($D$49:$D249,202-60):$D249),"")</f>
        <v>1193336</v>
      </c>
      <c r="N249" s="37" t="n">
        <f aca="false">IF(AND(ISNUMBER($G249),$G249&gt;=60),MIN(INDEX($E$49:$E249,202-60):$E249),"")</f>
        <v>1081044</v>
      </c>
      <c r="O249" s="38" t="n">
        <f aca="false">IF(OR(NOT(ISNUMBER($C249)),NOT(ISNUMBER($M249)),$M249=0),"",$C249/$M249-1)</f>
        <v>-0.0923981175461061</v>
      </c>
    </row>
    <row r="250" customFormat="false" ht="15" hidden="false" customHeight="true" outlineLevel="0" collapsed="false">
      <c r="A250" s="32" t="n">
        <v>45913</v>
      </c>
      <c r="B250" s="33" t="s">
        <v>340</v>
      </c>
      <c r="C250" s="34" t="n">
        <v>1075057</v>
      </c>
      <c r="D250" s="34" t="n">
        <v>1075923</v>
      </c>
      <c r="E250" s="34" t="n">
        <v>1069552</v>
      </c>
      <c r="F250" s="34" t="n">
        <v>0</v>
      </c>
      <c r="G250" s="35" t="n">
        <f aca="false">IF($A250="","",IF(ISNUMBER($G249),$G249+1,1))</f>
        <v>246</v>
      </c>
      <c r="H250" s="36" t="n">
        <f aca="false">IF(OR(NOT(ISNUMBER($G250)),$G250&lt;2,NOT(ISNUMBER($C249)),$C249=0),"",$C250/$C249-1)</f>
        <v>-0.00740207963629447</v>
      </c>
      <c r="I250" s="37" t="n">
        <f aca="false">IF(AND(ISNUMBER($G250),$G250&gt;=MA_SHORT),AVERAGE(INDEX($C$5:$C250,247-MA_SHORT):$C250),"")</f>
        <v>1121880.25</v>
      </c>
      <c r="J250" s="37" t="n">
        <f aca="false">IF(AND(ISNUMBER($G250),$G250&gt;=MA_MED),AVERAGE(INDEX($C$5:$C250,247-MA_MED):$C250),"")</f>
        <v>1142744.48</v>
      </c>
      <c r="K250" s="37" t="n">
        <f aca="false">IF(AND(ISNUMBER($G250),$G250&gt;=MA_LONG2),AVERAGE(INDEX($C$5:$C250,247-MA_LONG2):$C250),"")</f>
        <v>1105606.475</v>
      </c>
      <c r="L250" s="38" t="n">
        <f aca="false">IF(AND(ISNUMBER($G250),$G250&gt;=21),STDEV(INDEX($H$190:$H250,62-20):$H250)*SQRT(245),"")</f>
        <v>0.227101787569808</v>
      </c>
      <c r="M250" s="37" t="n">
        <f aca="false">IF(AND(ISNUMBER($G250),$G250&gt;=60),MAX(INDEX($D$50:$D250,202-60):$D250),"")</f>
        <v>1193336</v>
      </c>
      <c r="N250" s="37" t="n">
        <f aca="false">IF(AND(ISNUMBER($G250),$G250&gt;=60),MIN(INDEX($E$50:$E250,202-60):$E250),"")</f>
        <v>1069552</v>
      </c>
      <c r="O250" s="38" t="n">
        <f aca="false">IF(OR(NOT(ISNUMBER($C250)),NOT(ISNUMBER($M250)),$M250=0),"",$C250/$M250-1)</f>
        <v>-0.0991162589580805</v>
      </c>
    </row>
    <row r="251" customFormat="false" ht="15" hidden="false" customHeight="true" outlineLevel="0" collapsed="false">
      <c r="A251" s="32" t="n">
        <v>45914</v>
      </c>
      <c r="B251" s="33" t="s">
        <v>341</v>
      </c>
      <c r="C251" s="34" t="n">
        <v>1074578</v>
      </c>
      <c r="D251" s="34" t="n">
        <v>1075301</v>
      </c>
      <c r="E251" s="34" t="n">
        <v>1073034</v>
      </c>
      <c r="F251" s="34" t="n">
        <v>0</v>
      </c>
      <c r="G251" s="35" t="n">
        <f aca="false">IF($A251="","",IF(ISNUMBER($G250),$G250+1,1))</f>
        <v>247</v>
      </c>
      <c r="H251" s="36" t="n">
        <f aca="false">IF(OR(NOT(ISNUMBER($G251)),$G251&lt;2,NOT(ISNUMBER($C250)),$C250=0),"",$C251/$C250-1)</f>
        <v>-0.000445557770425209</v>
      </c>
      <c r="I251" s="37" t="n">
        <f aca="false">IF(AND(ISNUMBER($G251),$G251&gt;=MA_SHORT),AVERAGE(INDEX($C$5:$C251,248-MA_SHORT):$C251),"")</f>
        <v>1118661.55</v>
      </c>
      <c r="J251" s="37" t="n">
        <f aca="false">IF(AND(ISNUMBER($G251),$G251&gt;=MA_MED),AVERAGE(INDEX($C$5:$C251,248-MA_MED):$C251),"")</f>
        <v>1141077.44</v>
      </c>
      <c r="K251" s="37" t="n">
        <f aca="false">IF(AND(ISNUMBER($G251),$G251&gt;=MA_LONG2),AVERAGE(INDEX($C$5:$C251,248-MA_LONG2):$C251),"")</f>
        <v>1106273.385</v>
      </c>
      <c r="L251" s="38" t="n">
        <f aca="false">IF(AND(ISNUMBER($G251),$G251&gt;=21),STDEV(INDEX($H$191:$H251,62-20):$H251)*SQRT(245),"")</f>
        <v>0.225161361061947</v>
      </c>
      <c r="M251" s="37" t="n">
        <f aca="false">IF(AND(ISNUMBER($G251),$G251&gt;=60),MAX(INDEX($D$51:$D251,202-60):$D251),"")</f>
        <v>1193336</v>
      </c>
      <c r="N251" s="37" t="n">
        <f aca="false">IF(AND(ISNUMBER($G251),$G251&gt;=60),MIN(INDEX($E$51:$E251,202-60):$E251),"")</f>
        <v>1069552</v>
      </c>
      <c r="O251" s="38" t="n">
        <f aca="false">IF(OR(NOT(ISNUMBER($C251)),NOT(ISNUMBER($M251)),$M251=0),"",$C251/$M251-1)</f>
        <v>-0.0995176547091515</v>
      </c>
    </row>
    <row r="252" customFormat="false" ht="15" hidden="false" customHeight="true" outlineLevel="0" collapsed="false">
      <c r="A252" s="32" t="n">
        <v>45915</v>
      </c>
      <c r="B252" s="33" t="s">
        <v>342</v>
      </c>
      <c r="C252" s="34" t="n">
        <v>1067699</v>
      </c>
      <c r="D252" s="34" t="n">
        <v>1073409</v>
      </c>
      <c r="E252" s="34" t="n">
        <v>1063008</v>
      </c>
      <c r="F252" s="34" t="n">
        <v>0</v>
      </c>
      <c r="G252" s="35" t="n">
        <f aca="false">IF($A252="","",IF(ISNUMBER($G251),$G251+1,1))</f>
        <v>248</v>
      </c>
      <c r="H252" s="36" t="n">
        <f aca="false">IF(OR(NOT(ISNUMBER($G252)),$G252&lt;2,NOT(ISNUMBER($C251)),$C251=0),"",$C252/$C251-1)</f>
        <v>-0.00640158276086056</v>
      </c>
      <c r="I252" s="37" t="n">
        <f aca="false">IF(AND(ISNUMBER($G252),$G252&gt;=MA_SHORT),AVERAGE(INDEX($C$5:$C252,249-MA_SHORT):$C252),"")</f>
        <v>1115282.8</v>
      </c>
      <c r="J252" s="37" t="n">
        <f aca="false">IF(AND(ISNUMBER($G252),$G252&gt;=MA_MED),AVERAGE(INDEX($C$5:$C252,249-MA_MED):$C252),"")</f>
        <v>1139263.32</v>
      </c>
      <c r="K252" s="37" t="n">
        <f aca="false">IF(AND(ISNUMBER($G252),$G252&gt;=MA_LONG2),AVERAGE(INDEX($C$5:$C252,249-MA_LONG2):$C252),"")</f>
        <v>1106959.015</v>
      </c>
      <c r="L252" s="38" t="n">
        <f aca="false">IF(AND(ISNUMBER($G252),$G252&gt;=21),STDEV(INDEX($H$192:$H252,62-20):$H252)*SQRT(245),"")</f>
        <v>0.225511908284308</v>
      </c>
      <c r="M252" s="37" t="n">
        <f aca="false">IF(AND(ISNUMBER($G252),$G252&gt;=60),MAX(INDEX($D$52:$D252,202-60):$D252),"")</f>
        <v>1193336</v>
      </c>
      <c r="N252" s="37" t="n">
        <f aca="false">IF(AND(ISNUMBER($G252),$G252&gt;=60),MIN(INDEX($E$52:$E252,202-60):$E252),"")</f>
        <v>1063008</v>
      </c>
      <c r="O252" s="38" t="n">
        <f aca="false">IF(OR(NOT(ISNUMBER($C252)),NOT(ISNUMBER($M252)),$M252=0),"",$C252/$M252-1)</f>
        <v>-0.105282166967225</v>
      </c>
    </row>
    <row r="253" customFormat="false" ht="15" hidden="false" customHeight="true" outlineLevel="0" collapsed="false">
      <c r="A253" s="32" t="n">
        <v>45916</v>
      </c>
      <c r="B253" s="33" t="s">
        <v>343</v>
      </c>
      <c r="C253" s="34" t="n">
        <v>1056520</v>
      </c>
      <c r="D253" s="34" t="n">
        <v>1058512</v>
      </c>
      <c r="E253" s="34" t="n">
        <v>1056200</v>
      </c>
      <c r="F253" s="34" t="n">
        <v>0</v>
      </c>
      <c r="G253" s="35" t="n">
        <f aca="false">IF($A253="","",IF(ISNUMBER($G252),$G252+1,1))</f>
        <v>249</v>
      </c>
      <c r="H253" s="36" t="n">
        <f aca="false">IF(OR(NOT(ISNUMBER($G253)),$G253&lt;2,NOT(ISNUMBER($C252)),$C252=0),"",$C253/$C252-1)</f>
        <v>-0.0104701793295676</v>
      </c>
      <c r="I253" s="37" t="n">
        <f aca="false">IF(AND(ISNUMBER($G253),$G253&gt;=MA_SHORT),AVERAGE(INDEX($C$5:$C253,250-MA_SHORT):$C253),"")</f>
        <v>1110804.45</v>
      </c>
      <c r="J253" s="37" t="n">
        <f aca="false">IF(AND(ISNUMBER($G253),$G253&gt;=MA_MED),AVERAGE(INDEX($C$5:$C253,250-MA_MED):$C253),"")</f>
        <v>1136984.92</v>
      </c>
      <c r="K253" s="37" t="n">
        <f aca="false">IF(AND(ISNUMBER($G253),$G253&gt;=MA_LONG2),AVERAGE(INDEX($C$5:$C253,250-MA_LONG2):$C253),"")</f>
        <v>1107599.885</v>
      </c>
      <c r="L253" s="38" t="n">
        <f aca="false">IF(AND(ISNUMBER($G253),$G253&gt;=21),STDEV(INDEX($H$193:$H253,62-20):$H253)*SQRT(245),"")</f>
        <v>0.222066253313965</v>
      </c>
      <c r="M253" s="37" t="n">
        <f aca="false">IF(AND(ISNUMBER($G253),$G253&gt;=60),MAX(INDEX($D$53:$D253,202-60):$D253),"")</f>
        <v>1193336</v>
      </c>
      <c r="N253" s="37" t="n">
        <f aca="false">IF(AND(ISNUMBER($G253),$G253&gt;=60),MIN(INDEX($E$53:$E253,202-60):$E253),"")</f>
        <v>1056200</v>
      </c>
      <c r="O253" s="38" t="n">
        <f aca="false">IF(OR(NOT(ISNUMBER($C253)),NOT(ISNUMBER($M253)),$M253=0),"",$C253/$M253-1)</f>
        <v>-0.11465002312844</v>
      </c>
    </row>
    <row r="254" customFormat="false" ht="15" hidden="false" customHeight="true" outlineLevel="0" collapsed="false">
      <c r="A254" s="32" t="n">
        <v>45917</v>
      </c>
      <c r="B254" s="33" t="s">
        <v>344</v>
      </c>
      <c r="C254" s="34" t="n">
        <v>1057247</v>
      </c>
      <c r="D254" s="34" t="n">
        <v>1057366</v>
      </c>
      <c r="E254" s="34" t="n">
        <v>1053088</v>
      </c>
      <c r="F254" s="34" t="n">
        <v>0</v>
      </c>
      <c r="G254" s="35" t="n">
        <f aca="false">IF($A254="","",IF(ISNUMBER($G253),$G253+1,1))</f>
        <v>250</v>
      </c>
      <c r="H254" s="36" t="n">
        <f aca="false">IF(OR(NOT(ISNUMBER($G254)),$G254&lt;2,NOT(ISNUMBER($C253)),$C253=0),"",$C254/$C253-1)</f>
        <v>0.000688108128573006</v>
      </c>
      <c r="I254" s="37" t="n">
        <f aca="false">IF(AND(ISNUMBER($G254),$G254&gt;=MA_SHORT),AVERAGE(INDEX($C$5:$C254,251-MA_SHORT):$C254),"")</f>
        <v>1106037.25</v>
      </c>
      <c r="J254" s="37" t="n">
        <f aca="false">IF(AND(ISNUMBER($G254),$G254&gt;=MA_MED),AVERAGE(INDEX($C$5:$C254,251-MA_MED):$C254),"")</f>
        <v>1134394.2</v>
      </c>
      <c r="K254" s="37" t="n">
        <f aca="false">IF(AND(ISNUMBER($G254),$G254&gt;=MA_LONG2),AVERAGE(INDEX($C$5:$C254,251-MA_LONG2):$C254),"")</f>
        <v>1108165.45</v>
      </c>
      <c r="L254" s="38" t="n">
        <f aca="false">IF(AND(ISNUMBER($G254),$G254&gt;=21),STDEV(INDEX($H$194:$H254,62-20):$H254)*SQRT(245),"")</f>
        <v>0.219951095149906</v>
      </c>
      <c r="M254" s="37" t="n">
        <f aca="false">IF(AND(ISNUMBER($G254),$G254&gt;=60),MAX(INDEX($D$54:$D254,202-60):$D254),"")</f>
        <v>1193336</v>
      </c>
      <c r="N254" s="37" t="n">
        <f aca="false">IF(AND(ISNUMBER($G254),$G254&gt;=60),MIN(INDEX($E$54:$E254,202-60):$E254),"")</f>
        <v>1053088</v>
      </c>
      <c r="O254" s="38" t="n">
        <f aca="false">IF(OR(NOT(ISNUMBER($C254)),NOT(ISNUMBER($M254)),$M254=0),"",$C254/$M254-1)</f>
        <v>-0.114040806612723</v>
      </c>
    </row>
    <row r="255" customFormat="false" ht="15" hidden="false" customHeight="true" outlineLevel="0" collapsed="false">
      <c r="A255" s="32" t="n">
        <v>45920</v>
      </c>
      <c r="B255" s="33" t="s">
        <v>345</v>
      </c>
      <c r="C255" s="34" t="n">
        <v>1056212</v>
      </c>
      <c r="D255" s="34" t="n">
        <v>1057018</v>
      </c>
      <c r="E255" s="34" t="n">
        <v>1053040</v>
      </c>
      <c r="F255" s="34" t="n">
        <v>0</v>
      </c>
      <c r="G255" s="35" t="n">
        <f aca="false">IF($A255="","",IF(ISNUMBER($G254),$G254+1,1))</f>
        <v>251</v>
      </c>
      <c r="H255" s="36" t="n">
        <f aca="false">IF(OR(NOT(ISNUMBER($G255)),$G255&lt;2,NOT(ISNUMBER($C254)),$C254=0),"",$C255/$C254-1)</f>
        <v>-0.000978957613499976</v>
      </c>
      <c r="I255" s="37" t="n">
        <f aca="false">IF(AND(ISNUMBER($G255),$G255&gt;=MA_SHORT),AVERAGE(INDEX($C$5:$C255,252-MA_SHORT):$C255),"")</f>
        <v>1101232.6</v>
      </c>
      <c r="J255" s="37" t="n">
        <f aca="false">IF(AND(ISNUMBER($G255),$G255&gt;=MA_MED),AVERAGE(INDEX($C$5:$C255,252-MA_MED):$C255),"")</f>
        <v>1131844.7</v>
      </c>
      <c r="K255" s="37" t="n">
        <f aca="false">IF(AND(ISNUMBER($G255),$G255&gt;=MA_LONG2),AVERAGE(INDEX($C$5:$C255,252-MA_LONG2):$C255),"")</f>
        <v>1108719.195</v>
      </c>
      <c r="L255" s="38" t="n">
        <f aca="false">IF(AND(ISNUMBER($G255),$G255&gt;=21),STDEV(INDEX($H$195:$H255,62-20):$H255)*SQRT(245),"")</f>
        <v>0.219796049602791</v>
      </c>
      <c r="M255" s="37" t="n">
        <f aca="false">IF(AND(ISNUMBER($G255),$G255&gt;=60),MAX(INDEX($D$55:$D255,202-60):$D255),"")</f>
        <v>1193336</v>
      </c>
      <c r="N255" s="37" t="n">
        <f aca="false">IF(AND(ISNUMBER($G255),$G255&gt;=60),MIN(INDEX($E$55:$E255,202-60):$E255),"")</f>
        <v>1053040</v>
      </c>
      <c r="O255" s="38" t="n">
        <f aca="false">IF(OR(NOT(ISNUMBER($C255)),NOT(ISNUMBER($M255)),$M255=0),"",$C255/$M255-1)</f>
        <v>-0.114908123110339</v>
      </c>
    </row>
    <row r="256" customFormat="false" ht="15" hidden="false" customHeight="true" outlineLevel="0" collapsed="false">
      <c r="A256" s="32" t="n">
        <v>45921</v>
      </c>
      <c r="B256" s="33" t="s">
        <v>346</v>
      </c>
      <c r="C256" s="34" t="n">
        <v>1047190</v>
      </c>
      <c r="D256" s="34" t="n">
        <v>1051454</v>
      </c>
      <c r="E256" s="34" t="n">
        <v>1045024</v>
      </c>
      <c r="F256" s="34" t="n">
        <v>0</v>
      </c>
      <c r="G256" s="35" t="n">
        <f aca="false">IF($A256="","",IF(ISNUMBER($G255),$G255+1,1))</f>
        <v>252</v>
      </c>
      <c r="H256" s="36" t="n">
        <f aca="false">IF(OR(NOT(ISNUMBER($G256)),$G256&lt;2,NOT(ISNUMBER($C255)),$C255=0),"",$C256/$C255-1)</f>
        <v>-0.00854184576581218</v>
      </c>
      <c r="I256" s="37" t="n">
        <f aca="false">IF(AND(ISNUMBER($G256),$G256&gt;=MA_SHORT),AVERAGE(INDEX($C$5:$C256,253-MA_SHORT):$C256),"")</f>
        <v>1096532.5</v>
      </c>
      <c r="J256" s="37" t="n">
        <f aca="false">IF(AND(ISNUMBER($G256),$G256&gt;=MA_MED),AVERAGE(INDEX($C$5:$C256,253-MA_MED):$C256),"")</f>
        <v>1129077.56</v>
      </c>
      <c r="K256" s="37" t="n">
        <f aca="false">IF(AND(ISNUMBER($G256),$G256&gt;=MA_LONG2),AVERAGE(INDEX($C$5:$C256,253-MA_LONG2):$C256),"")</f>
        <v>1109230.635</v>
      </c>
      <c r="L256" s="38" t="n">
        <f aca="false">IF(AND(ISNUMBER($G256),$G256&gt;=21),STDEV(INDEX($H$196:$H256,62-20):$H256)*SQRT(245),"")</f>
        <v>0.219480807731563</v>
      </c>
      <c r="M256" s="37" t="n">
        <f aca="false">IF(AND(ISNUMBER($G256),$G256&gt;=60),MAX(INDEX($D$56:$D256,202-60):$D256),"")</f>
        <v>1193336</v>
      </c>
      <c r="N256" s="37" t="n">
        <f aca="false">IF(AND(ISNUMBER($G256),$G256&gt;=60),MIN(INDEX($E$56:$E256,202-60):$E256),"")</f>
        <v>1045024</v>
      </c>
      <c r="O256" s="38" t="n">
        <f aca="false">IF(OR(NOT(ISNUMBER($C256)),NOT(ISNUMBER($M256)),$M256=0),"",$C256/$M256-1)</f>
        <v>-0.122468441411304</v>
      </c>
    </row>
    <row r="257" customFormat="false" ht="15" hidden="false" customHeight="true" outlineLevel="0" collapsed="false">
      <c r="A257" s="32" t="n">
        <v>45922</v>
      </c>
      <c r="B257" s="33" t="s">
        <v>347</v>
      </c>
      <c r="C257" s="34" t="n">
        <v>1056809</v>
      </c>
      <c r="D257" s="34" t="n">
        <v>1063623</v>
      </c>
      <c r="E257" s="34" t="n">
        <v>1052206</v>
      </c>
      <c r="F257" s="34" t="n">
        <v>0</v>
      </c>
      <c r="G257" s="35" t="n">
        <f aca="false">IF($A257="","",IF(ISNUMBER($G256),$G256+1,1))</f>
        <v>253</v>
      </c>
      <c r="H257" s="36" t="n">
        <f aca="false">IF(OR(NOT(ISNUMBER($G257)),$G257&lt;2,NOT(ISNUMBER($C256)),$C256=0),"",$C257/$C256-1)</f>
        <v>0.0091855346212244</v>
      </c>
      <c r="I257" s="37" t="n">
        <f aca="false">IF(AND(ISNUMBER($G257),$G257&gt;=MA_SHORT),AVERAGE(INDEX($C$5:$C257,254-MA_SHORT):$C257),"")</f>
        <v>1091903.15</v>
      </c>
      <c r="J257" s="37" t="n">
        <f aca="false">IF(AND(ISNUMBER($G257),$G257&gt;=MA_MED),AVERAGE(INDEX($C$5:$C257,254-MA_MED):$C257),"")</f>
        <v>1126955.42</v>
      </c>
      <c r="K257" s="37" t="n">
        <f aca="false">IF(AND(ISNUMBER($G257),$G257&gt;=MA_LONG2),AVERAGE(INDEX($C$5:$C257,254-MA_LONG2):$C257),"")</f>
        <v>1109787.895</v>
      </c>
      <c r="L257" s="38" t="n">
        <f aca="false">IF(AND(ISNUMBER($G257),$G257&gt;=21),STDEV(INDEX($H$197:$H257,62-20):$H257)*SQRT(245),"")</f>
        <v>0.220922563753148</v>
      </c>
      <c r="M257" s="37" t="n">
        <f aca="false">IF(AND(ISNUMBER($G257),$G257&gt;=60),MAX(INDEX($D$57:$D257,202-60):$D257),"")</f>
        <v>1193336</v>
      </c>
      <c r="N257" s="37" t="n">
        <f aca="false">IF(AND(ISNUMBER($G257),$G257&gt;=60),MIN(INDEX($E$57:$E257,202-60):$E257),"")</f>
        <v>1045024</v>
      </c>
      <c r="O257" s="38" t="n">
        <f aca="false">IF(OR(NOT(ISNUMBER($C257)),NOT(ISNUMBER($M257)),$M257=0),"",$C257/$M257-1)</f>
        <v>-0.114407844898671</v>
      </c>
    </row>
    <row r="258" customFormat="false" ht="15" hidden="false" customHeight="true" outlineLevel="0" collapsed="false">
      <c r="A258" s="32" t="n">
        <v>45923</v>
      </c>
      <c r="B258" s="33" t="s">
        <v>348</v>
      </c>
      <c r="C258" s="34" t="n">
        <v>1052474</v>
      </c>
      <c r="D258" s="34" t="n">
        <v>1054184</v>
      </c>
      <c r="E258" s="34" t="n">
        <v>1048605</v>
      </c>
      <c r="F258" s="34" t="n">
        <v>0</v>
      </c>
      <c r="G258" s="35" t="n">
        <f aca="false">IF($A258="","",IF(ISNUMBER($G257),$G257+1,1))</f>
        <v>254</v>
      </c>
      <c r="H258" s="36" t="n">
        <f aca="false">IF(OR(NOT(ISNUMBER($G258)),$G258&lt;2,NOT(ISNUMBER($C257)),$C257=0),"",$C258/$C257-1)</f>
        <v>-0.00410197112250177</v>
      </c>
      <c r="I258" s="37" t="n">
        <f aca="false">IF(AND(ISNUMBER($G258),$G258&gt;=MA_SHORT),AVERAGE(INDEX($C$5:$C258,255-MA_SHORT):$C258),"")</f>
        <v>1087005.15</v>
      </c>
      <c r="J258" s="37" t="n">
        <f aca="false">IF(AND(ISNUMBER($G258),$G258&gt;=MA_MED),AVERAGE(INDEX($C$5:$C258,255-MA_MED):$C258),"")</f>
        <v>1124720.08</v>
      </c>
      <c r="K258" s="37" t="n">
        <f aca="false">IF(AND(ISNUMBER($G258),$G258&gt;=MA_LONG2),AVERAGE(INDEX($C$5:$C258,255-MA_LONG2):$C258),"")</f>
        <v>1110257.54</v>
      </c>
      <c r="L258" s="38" t="n">
        <f aca="false">IF(AND(ISNUMBER($G258),$G258&gt;=21),STDEV(INDEX($H$198:$H258,62-20):$H258)*SQRT(245),"")</f>
        <v>0.220155826503488</v>
      </c>
      <c r="M258" s="37" t="n">
        <f aca="false">IF(AND(ISNUMBER($G258),$G258&gt;=60),MAX(INDEX($D$58:$D258,202-60):$D258),"")</f>
        <v>1193336</v>
      </c>
      <c r="N258" s="37" t="n">
        <f aca="false">IF(AND(ISNUMBER($G258),$G258&gt;=60),MIN(INDEX($E$58:$E258,202-60):$E258),"")</f>
        <v>1045024</v>
      </c>
      <c r="O258" s="38" t="n">
        <f aca="false">IF(OR(NOT(ISNUMBER($C258)),NOT(ISNUMBER($M258)),$M258=0),"",$C258/$M258-1)</f>
        <v>-0.11804051834521</v>
      </c>
    </row>
    <row r="259" customFormat="false" ht="15" hidden="false" customHeight="true" outlineLevel="0" collapsed="false">
      <c r="A259" s="32" t="n">
        <v>45924</v>
      </c>
      <c r="B259" s="33" t="s">
        <v>349</v>
      </c>
      <c r="C259" s="34" t="n">
        <v>1043558</v>
      </c>
      <c r="D259" s="34" t="n">
        <v>1043652</v>
      </c>
      <c r="E259" s="34" t="n">
        <v>1043183</v>
      </c>
      <c r="F259" s="34" t="n">
        <v>0</v>
      </c>
      <c r="G259" s="35" t="n">
        <f aca="false">IF($A259="","",IF(ISNUMBER($G258),$G258+1,1))</f>
        <v>255</v>
      </c>
      <c r="H259" s="36" t="n">
        <f aca="false">IF(OR(NOT(ISNUMBER($G259)),$G259&lt;2,NOT(ISNUMBER($C258)),$C258=0),"",$C259/$C258-1)</f>
        <v>-0.00847146817878641</v>
      </c>
      <c r="I259" s="37" t="n">
        <f aca="false">IF(AND(ISNUMBER($G259),$G259&gt;=MA_SHORT),AVERAGE(INDEX($C$5:$C259,256-MA_SHORT):$C259),"")</f>
        <v>1081150.3</v>
      </c>
      <c r="J259" s="37" t="n">
        <f aca="false">IF(AND(ISNUMBER($G259),$G259&gt;=MA_MED),AVERAGE(INDEX($C$5:$C259,256-MA_MED):$C259),"")</f>
        <v>1122556.86</v>
      </c>
      <c r="K259" s="37" t="n">
        <f aca="false">IF(AND(ISNUMBER($G259),$G259&gt;=MA_LONG2),AVERAGE(INDEX($C$5:$C259,256-MA_LONG2):$C259),"")</f>
        <v>1110705.335</v>
      </c>
      <c r="L259" s="38" t="n">
        <f aca="false">IF(AND(ISNUMBER($G259),$G259&gt;=21),STDEV(INDEX($H$199:$H259,62-20):$H259)*SQRT(245),"")</f>
        <v>0.215028568632032</v>
      </c>
      <c r="M259" s="37" t="n">
        <f aca="false">IF(AND(ISNUMBER($G259),$G259&gt;=60),MAX(INDEX($D$59:$D259,202-60):$D259),"")</f>
        <v>1193336</v>
      </c>
      <c r="N259" s="37" t="n">
        <f aca="false">IF(AND(ISNUMBER($G259),$G259&gt;=60),MIN(INDEX($E$59:$E259,202-60):$E259),"")</f>
        <v>1043183</v>
      </c>
      <c r="O259" s="38" t="n">
        <f aca="false">IF(OR(NOT(ISNUMBER($C259)),NOT(ISNUMBER($M259)),$M259=0),"",$C259/$M259-1)</f>
        <v>-0.125512010029028</v>
      </c>
    </row>
    <row r="260" customFormat="false" ht="15" hidden="false" customHeight="true" outlineLevel="0" collapsed="false">
      <c r="A260" s="32" t="n">
        <v>45927</v>
      </c>
      <c r="B260" s="33" t="s">
        <v>350</v>
      </c>
      <c r="C260" s="34" t="n">
        <v>1030147</v>
      </c>
      <c r="D260" s="34" t="n">
        <v>1034419</v>
      </c>
      <c r="E260" s="34" t="n">
        <v>1028587</v>
      </c>
      <c r="F260" s="34" t="n">
        <v>0</v>
      </c>
      <c r="G260" s="35" t="n">
        <f aca="false">IF($A260="","",IF(ISNUMBER($G259),$G259+1,1))</f>
        <v>256</v>
      </c>
      <c r="H260" s="36" t="n">
        <f aca="false">IF(OR(NOT(ISNUMBER($G260)),$G260&lt;2,NOT(ISNUMBER($C259)),$C259=0),"",$C260/$C259-1)</f>
        <v>-0.012851226285458</v>
      </c>
      <c r="I260" s="37" t="n">
        <f aca="false">IF(AND(ISNUMBER($G260),$G260&gt;=MA_SHORT),AVERAGE(INDEX($C$5:$C260,257-MA_SHORT):$C260),"")</f>
        <v>1077123.05</v>
      </c>
      <c r="J260" s="37" t="n">
        <f aca="false">IF(AND(ISNUMBER($G260),$G260&gt;=MA_MED),AVERAGE(INDEX($C$5:$C260,257-MA_MED):$C260),"")</f>
        <v>1120100.78</v>
      </c>
      <c r="K260" s="37" t="n">
        <f aca="false">IF(AND(ISNUMBER($G260),$G260&gt;=MA_LONG2),AVERAGE(INDEX($C$5:$C260,257-MA_LONG2):$C260),"")</f>
        <v>1110996.5</v>
      </c>
      <c r="L260" s="38" t="n">
        <f aca="false">IF(AND(ISNUMBER($G260),$G260&gt;=21),STDEV(INDEX($H$200:$H260,62-20):$H260)*SQRT(245),"")</f>
        <v>0.167162690072443</v>
      </c>
      <c r="M260" s="37" t="n">
        <f aca="false">IF(AND(ISNUMBER($G260),$G260&gt;=60),MAX(INDEX($D$60:$D260,202-60):$D260),"")</f>
        <v>1193336</v>
      </c>
      <c r="N260" s="37" t="n">
        <f aca="false">IF(AND(ISNUMBER($G260),$G260&gt;=60),MIN(INDEX($E$60:$E260,202-60):$E260),"")</f>
        <v>1028587</v>
      </c>
      <c r="O260" s="38" t="n">
        <f aca="false">IF(OR(NOT(ISNUMBER($C260)),NOT(ISNUMBER($M260)),$M260=0),"",$C260/$M260-1)</f>
        <v>-0.13675025307206</v>
      </c>
    </row>
    <row r="261" customFormat="false" ht="15" hidden="false" customHeight="true" outlineLevel="0" collapsed="false">
      <c r="A261" s="32" t="n">
        <v>45928</v>
      </c>
      <c r="B261" s="33" t="s">
        <v>351</v>
      </c>
      <c r="C261" s="34" t="n">
        <v>1023867</v>
      </c>
      <c r="D261" s="34" t="n">
        <v>1025438</v>
      </c>
      <c r="E261" s="34" t="n">
        <v>1023249</v>
      </c>
      <c r="F261" s="34" t="n">
        <v>0</v>
      </c>
      <c r="G261" s="35" t="n">
        <f aca="false">IF($A261="","",IF(ISNUMBER($G260),$G260+1,1))</f>
        <v>257</v>
      </c>
      <c r="H261" s="36" t="n">
        <f aca="false">IF(OR(NOT(ISNUMBER($G261)),$G261&lt;2,NOT(ISNUMBER($C260)),$C260=0),"",$C261/$C260-1)</f>
        <v>-0.00609621733597243</v>
      </c>
      <c r="I261" s="37" t="n">
        <f aca="false">IF(AND(ISNUMBER($G261),$G261&gt;=MA_SHORT),AVERAGE(INDEX($C$5:$C261,258-MA_SHORT):$C261),"")</f>
        <v>1071596.3</v>
      </c>
      <c r="J261" s="37" t="n">
        <f aca="false">IF(AND(ISNUMBER($G261),$G261&gt;=MA_MED),AVERAGE(INDEX($C$5:$C261,258-MA_MED):$C261),"")</f>
        <v>1117435.48</v>
      </c>
      <c r="K261" s="37" t="n">
        <f aca="false">IF(AND(ISNUMBER($G261),$G261&gt;=MA_LONG2),AVERAGE(INDEX($C$5:$C261,258-MA_LONG2):$C261),"")</f>
        <v>1111285.26</v>
      </c>
      <c r="L261" s="38" t="n">
        <f aca="false">IF(AND(ISNUMBER($G261),$G261&gt;=21),STDEV(INDEX($H$201:$H261,62-20):$H261)*SQRT(245),"")</f>
        <v>0.139428829480705</v>
      </c>
      <c r="M261" s="37" t="n">
        <f aca="false">IF(AND(ISNUMBER($G261),$G261&gt;=60),MAX(INDEX($D$61:$D261,202-60):$D261),"")</f>
        <v>1193336</v>
      </c>
      <c r="N261" s="37" t="n">
        <f aca="false">IF(AND(ISNUMBER($G261),$G261&gt;=60),MIN(INDEX($E$61:$E261,202-60):$E261),"")</f>
        <v>1023249</v>
      </c>
      <c r="O261" s="38" t="n">
        <f aca="false">IF(OR(NOT(ISNUMBER($C261)),NOT(ISNUMBER($M261)),$M261=0),"",$C261/$M261-1)</f>
        <v>-0.142012811144556</v>
      </c>
    </row>
    <row r="262" customFormat="false" ht="15" hidden="false" customHeight="true" outlineLevel="0" collapsed="false">
      <c r="A262" s="32" t="n">
        <v>45929</v>
      </c>
      <c r="B262" s="33" t="s">
        <v>352</v>
      </c>
      <c r="C262" s="34" t="n">
        <v>1017354</v>
      </c>
      <c r="D262" s="34" t="n">
        <v>1020315</v>
      </c>
      <c r="E262" s="34" t="n">
        <v>1014556</v>
      </c>
      <c r="F262" s="34" t="n">
        <v>0</v>
      </c>
      <c r="G262" s="35" t="n">
        <f aca="false">IF($A262="","",IF(ISNUMBER($G261),$G261+1,1))</f>
        <v>258</v>
      </c>
      <c r="H262" s="36" t="n">
        <f aca="false">IF(OR(NOT(ISNUMBER($G262)),$G262&lt;2,NOT(ISNUMBER($C261)),$C261=0),"",$C262/$C261-1)</f>
        <v>-0.00636117777015965</v>
      </c>
      <c r="I262" s="37" t="n">
        <f aca="false">IF(AND(ISNUMBER($G262),$G262&gt;=MA_SHORT),AVERAGE(INDEX($C$5:$C262,259-MA_SHORT):$C262),"")</f>
        <v>1067421.95</v>
      </c>
      <c r="J262" s="37" t="n">
        <f aca="false">IF(AND(ISNUMBER($G262),$G262&gt;=MA_MED),AVERAGE(INDEX($C$5:$C262,259-MA_MED):$C262),"")</f>
        <v>1114456.84</v>
      </c>
      <c r="K262" s="37" t="n">
        <f aca="false">IF(AND(ISNUMBER($G262),$G262&gt;=MA_LONG2),AVERAGE(INDEX($C$5:$C262,259-MA_LONG2):$C262),"")</f>
        <v>1111539.25</v>
      </c>
      <c r="L262" s="38" t="n">
        <f aca="false">IF(AND(ISNUMBER($G262),$G262&gt;=21),STDEV(INDEX($H$202:$H262,62-20):$H262)*SQRT(245),"")</f>
        <v>0.106619167677432</v>
      </c>
      <c r="M262" s="37" t="n">
        <f aca="false">IF(AND(ISNUMBER($G262),$G262&gt;=60),MAX(INDEX($D$62:$D262,202-60):$D262),"")</f>
        <v>1193336</v>
      </c>
      <c r="N262" s="37" t="n">
        <f aca="false">IF(AND(ISNUMBER($G262),$G262&gt;=60),MIN(INDEX($E$62:$E262,202-60):$E262),"")</f>
        <v>1014556</v>
      </c>
      <c r="O262" s="38" t="n">
        <f aca="false">IF(OR(NOT(ISNUMBER($C262)),NOT(ISNUMBER($M262)),$M262=0),"",$C262/$M262-1)</f>
        <v>-0.147470620177385</v>
      </c>
    </row>
    <row r="263" customFormat="false" ht="15" hidden="false" customHeight="true" outlineLevel="0" collapsed="false">
      <c r="A263" s="32" t="n">
        <v>45930</v>
      </c>
      <c r="B263" s="33" t="s">
        <v>353</v>
      </c>
      <c r="C263" s="34" t="n">
        <v>1032504</v>
      </c>
      <c r="D263" s="34" t="n">
        <v>1033902</v>
      </c>
      <c r="E263" s="34" t="n">
        <v>1027577</v>
      </c>
      <c r="F263" s="34" t="n">
        <v>0</v>
      </c>
      <c r="G263" s="35" t="n">
        <f aca="false">IF($A263="","",IF(ISNUMBER($G262),$G262+1,1))</f>
        <v>259</v>
      </c>
      <c r="H263" s="36" t="n">
        <f aca="false">IF(OR(NOT(ISNUMBER($G263)),$G263&lt;2,NOT(ISNUMBER($C262)),$C262=0),"",$C263/$C262-1)</f>
        <v>0.01489157166532</v>
      </c>
      <c r="I263" s="37" t="n">
        <f aca="false">IF(AND(ISNUMBER($G263),$G263&gt;=MA_SHORT),AVERAGE(INDEX($C$5:$C263,260-MA_SHORT):$C263),"")</f>
        <v>1063687.35</v>
      </c>
      <c r="J263" s="37" t="n">
        <f aca="false">IF(AND(ISNUMBER($G263),$G263&gt;=MA_MED),AVERAGE(INDEX($C$5:$C263,260-MA_MED):$C263),"")</f>
        <v>1111715.78</v>
      </c>
      <c r="K263" s="37" t="n">
        <f aca="false">IF(AND(ISNUMBER($G263),$G263&gt;=MA_LONG2),AVERAGE(INDEX($C$5:$C263,260-MA_LONG2):$C263),"")</f>
        <v>1111850.89</v>
      </c>
      <c r="L263" s="38" t="n">
        <f aca="false">IF(AND(ISNUMBER($G263),$G263&gt;=21),STDEV(INDEX($H$203:$H263,62-20):$H263)*SQRT(245),"")</f>
        <v>0.121095754261683</v>
      </c>
      <c r="M263" s="37" t="n">
        <f aca="false">IF(AND(ISNUMBER($G263),$G263&gt;=60),MAX(INDEX($D$63:$D263,202-60):$D263),"")</f>
        <v>1193336</v>
      </c>
      <c r="N263" s="37" t="n">
        <f aca="false">IF(AND(ISNUMBER($G263),$G263&gt;=60),MIN(INDEX($E$63:$E263,202-60):$E263),"")</f>
        <v>1014556</v>
      </c>
      <c r="O263" s="38" t="n">
        <f aca="false">IF(OR(NOT(ISNUMBER($C263)),NOT(ISNUMBER($M263)),$M263=0),"",$C263/$M263-1)</f>
        <v>-0.134775117820966</v>
      </c>
    </row>
    <row r="264" customFormat="false" ht="15" hidden="false" customHeight="true" outlineLevel="0" collapsed="false">
      <c r="A264" s="32" t="n">
        <v>45931</v>
      </c>
      <c r="B264" s="33" t="s">
        <v>354</v>
      </c>
      <c r="C264" s="34" t="n">
        <v>1029250</v>
      </c>
      <c r="D264" s="34" t="n">
        <v>1030723</v>
      </c>
      <c r="E264" s="34" t="n">
        <v>1029020</v>
      </c>
      <c r="F264" s="34" t="n">
        <v>0</v>
      </c>
      <c r="G264" s="35" t="n">
        <f aca="false">IF($A264="","",IF(ISNUMBER($G263),$G263+1,1))</f>
        <v>260</v>
      </c>
      <c r="H264" s="36" t="n">
        <f aca="false">IF(OR(NOT(ISNUMBER($G264)),$G264&lt;2,NOT(ISNUMBER($C263)),$C263=0),"",$C264/$C263-1)</f>
        <v>-0.00315156164043917</v>
      </c>
      <c r="I264" s="37" t="n">
        <f aca="false">IF(AND(ISNUMBER($G264),$G264&gt;=MA_SHORT),AVERAGE(INDEX($C$5:$C264,261-MA_SHORT):$C264),"")</f>
        <v>1060343.5</v>
      </c>
      <c r="J264" s="37" t="n">
        <f aca="false">IF(AND(ISNUMBER($G264),$G264&gt;=MA_MED),AVERAGE(INDEX($C$5:$C264,261-MA_MED):$C264),"")</f>
        <v>1108885.22</v>
      </c>
      <c r="K264" s="37" t="n">
        <f aca="false">IF(AND(ISNUMBER($G264),$G264&gt;=MA_LONG2),AVERAGE(INDEX($C$5:$C264,261-MA_LONG2):$C264),"")</f>
        <v>1112061.53</v>
      </c>
      <c r="L264" s="38" t="n">
        <f aca="false">IF(AND(ISNUMBER($G264),$G264&gt;=21),STDEV(INDEX($H$204:$H264,62-20):$H264)*SQRT(245),"")</f>
        <v>0.118674786493291</v>
      </c>
      <c r="M264" s="37" t="n">
        <f aca="false">IF(AND(ISNUMBER($G264),$G264&gt;=60),MAX(INDEX($D$64:$D264,202-60):$D264),"")</f>
        <v>1186966</v>
      </c>
      <c r="N264" s="37" t="n">
        <f aca="false">IF(AND(ISNUMBER($G264),$G264&gt;=60),MIN(INDEX($E$64:$E264,202-60):$E264),"")</f>
        <v>1014556</v>
      </c>
      <c r="O264" s="38" t="n">
        <f aca="false">IF(OR(NOT(ISNUMBER($C264)),NOT(ISNUMBER($M264)),$M264=0),"",$C264/$M264-1)</f>
        <v>-0.132873224675349</v>
      </c>
    </row>
    <row r="265" customFormat="false" ht="15" hidden="false" customHeight="true" outlineLevel="0" collapsed="false">
      <c r="A265" s="32" t="n">
        <v>45934</v>
      </c>
      <c r="B265" s="33" t="s">
        <v>355</v>
      </c>
      <c r="C265" s="34" t="n">
        <v>1029855</v>
      </c>
      <c r="D265" s="34" t="n">
        <v>1035511</v>
      </c>
      <c r="E265" s="34" t="n">
        <v>1027695</v>
      </c>
      <c r="F265" s="34" t="n">
        <v>0</v>
      </c>
      <c r="G265" s="35" t="n">
        <f aca="false">IF($A265="","",IF(ISNUMBER($G264),$G264+1,1))</f>
        <v>261</v>
      </c>
      <c r="H265" s="36" t="n">
        <f aca="false">IF(OR(NOT(ISNUMBER($G265)),$G265&lt;2,NOT(ISNUMBER($C264)),$C264=0),"",$C265/$C264-1)</f>
        <v>0.000587806655331535</v>
      </c>
      <c r="I265" s="37" t="n">
        <f aca="false">IF(AND(ISNUMBER($G265),$G265&gt;=MA_SHORT),AVERAGE(INDEX($C$5:$C265,262-MA_SHORT):$C265),"")</f>
        <v>1056794.55</v>
      </c>
      <c r="J265" s="37" t="n">
        <f aca="false">IF(AND(ISNUMBER($G265),$G265&gt;=MA_MED),AVERAGE(INDEX($C$5:$C265,262-MA_MED):$C265),"")</f>
        <v>1106072.04</v>
      </c>
      <c r="K265" s="37" t="n">
        <f aca="false">IF(AND(ISNUMBER($G265),$G265&gt;=MA_LONG2),AVERAGE(INDEX($C$5:$C265,262-MA_LONG2):$C265),"")</f>
        <v>1112260.525</v>
      </c>
      <c r="L265" s="38" t="n">
        <f aca="false">IF(AND(ISNUMBER($G265),$G265&gt;=21),STDEV(INDEX($H$205:$H265,62-20):$H265)*SQRT(245),"")</f>
        <v>0.11637754598714</v>
      </c>
      <c r="M265" s="37" t="n">
        <f aca="false">IF(AND(ISNUMBER($G265),$G265&gt;=60),MAX(INDEX($D$65:$D265,202-60):$D265),"")</f>
        <v>1186966</v>
      </c>
      <c r="N265" s="37" t="n">
        <f aca="false">IF(AND(ISNUMBER($G265),$G265&gt;=60),MIN(INDEX($E$65:$E265,202-60):$E265),"")</f>
        <v>1014556</v>
      </c>
      <c r="O265" s="38" t="n">
        <f aca="false">IF(OR(NOT(ISNUMBER($C265)),NOT(ISNUMBER($M265)),$M265=0),"",$C265/$M265-1)</f>
        <v>-0.132363521785797</v>
      </c>
    </row>
    <row r="266" customFormat="false" ht="15" hidden="false" customHeight="true" outlineLevel="0" collapsed="false">
      <c r="A266" s="32" t="n">
        <v>45935</v>
      </c>
      <c r="B266" s="33" t="s">
        <v>356</v>
      </c>
      <c r="C266" s="34" t="n">
        <v>1036414</v>
      </c>
      <c r="D266" s="34" t="n">
        <v>1038694</v>
      </c>
      <c r="E266" s="34" t="n">
        <v>1032532</v>
      </c>
      <c r="F266" s="34" t="n">
        <v>0</v>
      </c>
      <c r="G266" s="35" t="n">
        <f aca="false">IF($A266="","",IF(ISNUMBER($G265),$G265+1,1))</f>
        <v>262</v>
      </c>
      <c r="H266" s="36" t="n">
        <f aca="false">IF(OR(NOT(ISNUMBER($G266)),$G266&lt;2,NOT(ISNUMBER($C265)),$C265=0),"",$C266/$C265-1)</f>
        <v>0.0063688577518195</v>
      </c>
      <c r="I266" s="37" t="n">
        <f aca="false">IF(AND(ISNUMBER($G266),$G266&gt;=MA_SHORT),AVERAGE(INDEX($C$5:$C266,263-MA_SHORT):$C266),"")</f>
        <v>1053545.9</v>
      </c>
      <c r="J266" s="37" t="n">
        <f aca="false">IF(AND(ISNUMBER($G266),$G266&gt;=MA_MED),AVERAGE(INDEX($C$5:$C266,263-MA_MED):$C266),"")</f>
        <v>1103293.26</v>
      </c>
      <c r="K266" s="37" t="n">
        <f aca="false">IF(AND(ISNUMBER($G266),$G266&gt;=MA_LONG2),AVERAGE(INDEX($C$5:$C266,263-MA_LONG2):$C266),"")</f>
        <v>1112522.265</v>
      </c>
      <c r="L266" s="38" t="n">
        <f aca="false">IF(AND(ISNUMBER($G266),$G266&gt;=21),STDEV(INDEX($H$206:$H266,62-20):$H266)*SQRT(245),"")</f>
        <v>0.120584861016608</v>
      </c>
      <c r="M266" s="37" t="n">
        <f aca="false">IF(AND(ISNUMBER($G266),$G266&gt;=60),MAX(INDEX($D$66:$D266,202-60):$D266),"")</f>
        <v>1180280</v>
      </c>
      <c r="N266" s="37" t="n">
        <f aca="false">IF(AND(ISNUMBER($G266),$G266&gt;=60),MIN(INDEX($E$66:$E266,202-60):$E266),"")</f>
        <v>1014556</v>
      </c>
      <c r="O266" s="38" t="n">
        <f aca="false">IF(OR(NOT(ISNUMBER($C266)),NOT(ISNUMBER($M266)),$M266=0),"",$C266/$M266-1)</f>
        <v>-0.121891415596299</v>
      </c>
    </row>
    <row r="267" customFormat="false" ht="15" hidden="false" customHeight="true" outlineLevel="0" collapsed="false">
      <c r="A267" s="32" t="n">
        <v>45936</v>
      </c>
      <c r="B267" s="33" t="s">
        <v>357</v>
      </c>
      <c r="C267" s="34" t="n">
        <v>1041216</v>
      </c>
      <c r="D267" s="34" t="n">
        <v>1044128</v>
      </c>
      <c r="E267" s="34" t="n">
        <v>1040432</v>
      </c>
      <c r="F267" s="34" t="n">
        <v>0</v>
      </c>
      <c r="G267" s="35" t="n">
        <f aca="false">IF($A267="","",IF(ISNUMBER($G266),$G266+1,1))</f>
        <v>263</v>
      </c>
      <c r="H267" s="36" t="n">
        <f aca="false">IF(OR(NOT(ISNUMBER($G267)),$G267&lt;2,NOT(ISNUMBER($C266)),$C266=0),"",$C267/$C266-1)</f>
        <v>0.00463328361060356</v>
      </c>
      <c r="I267" s="37" t="n">
        <f aca="false">IF(AND(ISNUMBER($G267),$G267&gt;=MA_SHORT),AVERAGE(INDEX($C$5:$C267,264-MA_SHORT):$C267),"")</f>
        <v>1050164.5</v>
      </c>
      <c r="J267" s="37" t="n">
        <f aca="false">IF(AND(ISNUMBER($G267),$G267&gt;=MA_MED),AVERAGE(INDEX($C$5:$C267,264-MA_MED):$C267),"")</f>
        <v>1100588.06</v>
      </c>
      <c r="K267" s="37" t="n">
        <f aca="false">IF(AND(ISNUMBER($G267),$G267&gt;=MA_LONG2),AVERAGE(INDEX($C$5:$C267,264-MA_LONG2):$C267),"")</f>
        <v>1112727.295</v>
      </c>
      <c r="L267" s="38" t="n">
        <f aca="false">IF(AND(ISNUMBER($G267),$G267&gt;=21),STDEV(INDEX($H$207:$H267,62-20):$H267)*SQRT(245),"")</f>
        <v>0.118565235385904</v>
      </c>
      <c r="M267" s="37" t="n">
        <f aca="false">IF(AND(ISNUMBER($G267),$G267&gt;=60),MAX(INDEX($D$67:$D267,202-60):$D267),"")</f>
        <v>1180280</v>
      </c>
      <c r="N267" s="37" t="n">
        <f aca="false">IF(AND(ISNUMBER($G267),$G267&gt;=60),MIN(INDEX($E$67:$E267,202-60):$E267),"")</f>
        <v>1014556</v>
      </c>
      <c r="O267" s="38" t="n">
        <f aca="false">IF(OR(NOT(ISNUMBER($C267)),NOT(ISNUMBER($M267)),$M267=0),"",$C267/$M267-1)</f>
        <v>-0.117822889483851</v>
      </c>
    </row>
    <row r="268" customFormat="false" ht="15" hidden="false" customHeight="true" outlineLevel="0" collapsed="false">
      <c r="A268" s="32" t="n">
        <v>45937</v>
      </c>
      <c r="B268" s="33" t="s">
        <v>358</v>
      </c>
      <c r="C268" s="34" t="n">
        <v>1044937</v>
      </c>
      <c r="D268" s="34" t="n">
        <v>1047717</v>
      </c>
      <c r="E268" s="34" t="n">
        <v>1044861</v>
      </c>
      <c r="F268" s="34" t="n">
        <v>0</v>
      </c>
      <c r="G268" s="35" t="n">
        <f aca="false">IF($A268="","",IF(ISNUMBER($G267),$G267+1,1))</f>
        <v>264</v>
      </c>
      <c r="H268" s="36" t="n">
        <f aca="false">IF(OR(NOT(ISNUMBER($G268)),$G268&lt;2,NOT(ISNUMBER($C267)),$C267=0),"",$C268/$C267-1)</f>
        <v>0.00357370612821928</v>
      </c>
      <c r="I268" s="37" t="n">
        <f aca="false">IF(AND(ISNUMBER($G268),$G268&gt;=MA_SHORT),AVERAGE(INDEX($C$5:$C268,265-MA_SHORT):$C268),"")</f>
        <v>1047798.1</v>
      </c>
      <c r="J268" s="37" t="n">
        <f aca="false">IF(AND(ISNUMBER($G268),$G268&gt;=MA_MED),AVERAGE(INDEX($C$5:$C268,265-MA_MED):$C268),"")</f>
        <v>1098274.44</v>
      </c>
      <c r="K268" s="37" t="n">
        <f aca="false">IF(AND(ISNUMBER($G268),$G268&gt;=MA_LONG2),AVERAGE(INDEX($C$5:$C268,265-MA_LONG2):$C268),"")</f>
        <v>1112960.33</v>
      </c>
      <c r="L268" s="38" t="n">
        <f aca="false">IF(AND(ISNUMBER($G268),$G268&gt;=21),STDEV(INDEX($H$208:$H268,62-20):$H268)*SQRT(245),"")</f>
        <v>0.112278061380923</v>
      </c>
      <c r="M268" s="37" t="n">
        <f aca="false">IF(AND(ISNUMBER($G268),$G268&gt;=60),MAX(INDEX($D$68:$D268,202-60):$D268),"")</f>
        <v>1180280</v>
      </c>
      <c r="N268" s="37" t="n">
        <f aca="false">IF(AND(ISNUMBER($G268),$G268&gt;=60),MIN(INDEX($E$68:$E268,202-60):$E268),"")</f>
        <v>1014556</v>
      </c>
      <c r="O268" s="38" t="n">
        <f aca="false">IF(OR(NOT(ISNUMBER($C268)),NOT(ISNUMBER($M268)),$M268=0),"",$C268/$M268-1)</f>
        <v>-0.114670247737825</v>
      </c>
    </row>
    <row r="269" customFormat="false" ht="15" hidden="false" customHeight="true" outlineLevel="0" collapsed="false">
      <c r="A269" s="32" t="n">
        <v>45938</v>
      </c>
      <c r="B269" s="33" t="s">
        <v>359</v>
      </c>
      <c r="C269" s="34" t="n">
        <v>1051474</v>
      </c>
      <c r="D269" s="34" t="n">
        <v>1055013</v>
      </c>
      <c r="E269" s="34" t="n">
        <v>1050103</v>
      </c>
      <c r="F269" s="34" t="n">
        <v>0</v>
      </c>
      <c r="G269" s="35" t="n">
        <f aca="false">IF($A269="","",IF(ISNUMBER($G268),$G268+1,1))</f>
        <v>265</v>
      </c>
      <c r="H269" s="36" t="n">
        <f aca="false">IF(OR(NOT(ISNUMBER($G269)),$G269&lt;2,NOT(ISNUMBER($C268)),$C268=0),"",$C269/$C268-1)</f>
        <v>0.00625587954106321</v>
      </c>
      <c r="I269" s="37" t="n">
        <f aca="false">IF(AND(ISNUMBER($G269),$G269&gt;=MA_SHORT),AVERAGE(INDEX($C$5:$C269,266-MA_SHORT):$C269),"")</f>
        <v>1046218.1</v>
      </c>
      <c r="J269" s="37" t="n">
        <f aca="false">IF(AND(ISNUMBER($G269),$G269&gt;=MA_MED),AVERAGE(INDEX($C$5:$C269,266-MA_MED):$C269),"")</f>
        <v>1096580.84</v>
      </c>
      <c r="K269" s="37" t="n">
        <f aca="false">IF(AND(ISNUMBER($G269),$G269&gt;=MA_LONG2),AVERAGE(INDEX($C$5:$C269,266-MA_LONG2):$C269),"")</f>
        <v>1113207.745</v>
      </c>
      <c r="L269" s="38" t="n">
        <f aca="false">IF(AND(ISNUMBER($G269),$G269&gt;=21),STDEV(INDEX($H$209:$H269,62-20):$H269)*SQRT(245),"")</f>
        <v>0.113521080371508</v>
      </c>
      <c r="M269" s="37" t="n">
        <f aca="false">IF(AND(ISNUMBER($G269),$G269&gt;=60),MAX(INDEX($D$69:$D269,202-60):$D269),"")</f>
        <v>1180280</v>
      </c>
      <c r="N269" s="37" t="n">
        <f aca="false">IF(AND(ISNUMBER($G269),$G269&gt;=60),MIN(INDEX($E$69:$E269,202-60):$E269),"")</f>
        <v>1014556</v>
      </c>
      <c r="O269" s="38" t="n">
        <f aca="false">IF(OR(NOT(ISNUMBER($C269)),NOT(ISNUMBER($M269)),$M269=0),"",$C269/$M269-1)</f>
        <v>-0.109131731453553</v>
      </c>
    </row>
    <row r="270" customFormat="false" ht="15" hidden="false" customHeight="true" outlineLevel="0" collapsed="false">
      <c r="A270" s="32" t="n">
        <v>45941</v>
      </c>
      <c r="B270" s="33" t="s">
        <v>360</v>
      </c>
      <c r="C270" s="34" t="n">
        <v>1054657</v>
      </c>
      <c r="D270" s="34" t="n">
        <v>1058555</v>
      </c>
      <c r="E270" s="34" t="n">
        <v>1052559</v>
      </c>
      <c r="F270" s="34" t="n">
        <v>0</v>
      </c>
      <c r="G270" s="35" t="n">
        <f aca="false">IF($A270="","",IF(ISNUMBER($G269),$G269+1,1))</f>
        <v>266</v>
      </c>
      <c r="H270" s="36" t="n">
        <f aca="false">IF(OR(NOT(ISNUMBER($G270)),$G270&lt;2,NOT(ISNUMBER($C269)),$C269=0),"",$C270/$C269-1)</f>
        <v>0.00302717898873395</v>
      </c>
      <c r="I270" s="37" t="n">
        <f aca="false">IF(AND(ISNUMBER($G270),$G270&gt;=MA_SHORT),AVERAGE(INDEX($C$5:$C270,267-MA_SHORT):$C270),"")</f>
        <v>1045198.1</v>
      </c>
      <c r="J270" s="37" t="n">
        <f aca="false">IF(AND(ISNUMBER($G270),$G270&gt;=MA_MED),AVERAGE(INDEX($C$5:$C270,267-MA_MED):$C270),"")</f>
        <v>1094829.22</v>
      </c>
      <c r="K270" s="37" t="n">
        <f aca="false">IF(AND(ISNUMBER($G270),$G270&gt;=MA_LONG2),AVERAGE(INDEX($C$5:$C270,267-MA_LONG2):$C270),"")</f>
        <v>1113399.15</v>
      </c>
      <c r="L270" s="38" t="n">
        <f aca="false">IF(AND(ISNUMBER($G270),$G270&gt;=21),STDEV(INDEX($H$210:$H270,62-20):$H270)*SQRT(245),"")</f>
        <v>0.112337694317861</v>
      </c>
      <c r="M270" s="37" t="n">
        <f aca="false">IF(AND(ISNUMBER($G270),$G270&gt;=60),MAX(INDEX($D$70:$D270,202-60):$D270),"")</f>
        <v>1180280</v>
      </c>
      <c r="N270" s="37" t="n">
        <f aca="false">IF(AND(ISNUMBER($G270),$G270&gt;=60),MIN(INDEX($E$70:$E270,202-60):$E270),"")</f>
        <v>1014556</v>
      </c>
      <c r="O270" s="38" t="n">
        <f aca="false">IF(OR(NOT(ISNUMBER($C270)),NOT(ISNUMBER($M270)),$M270=0),"",$C270/$M270-1)</f>
        <v>-0.10643491374928</v>
      </c>
    </row>
    <row r="271" customFormat="false" ht="15" hidden="false" customHeight="true" outlineLevel="0" collapsed="false">
      <c r="A271" s="32" t="n">
        <v>45942</v>
      </c>
      <c r="B271" s="33" t="s">
        <v>361</v>
      </c>
      <c r="C271" s="34" t="n">
        <v>1057817</v>
      </c>
      <c r="D271" s="34" t="n">
        <v>1058613</v>
      </c>
      <c r="E271" s="34" t="n">
        <v>1053170</v>
      </c>
      <c r="F271" s="34" t="n">
        <v>0</v>
      </c>
      <c r="G271" s="35" t="n">
        <f aca="false">IF($A271="","",IF(ISNUMBER($G270),$G270+1,1))</f>
        <v>267</v>
      </c>
      <c r="H271" s="36" t="n">
        <f aca="false">IF(OR(NOT(ISNUMBER($G271)),$G271&lt;2,NOT(ISNUMBER($C270)),$C270=0),"",$C271/$C270-1)</f>
        <v>0.00299623479481959</v>
      </c>
      <c r="I271" s="37" t="n">
        <f aca="false">IF(AND(ISNUMBER($G271),$G271&gt;=MA_SHORT),AVERAGE(INDEX($C$5:$C271,268-MA_SHORT):$C271),"")</f>
        <v>1044360.05</v>
      </c>
      <c r="J271" s="37" t="n">
        <f aca="false">IF(AND(ISNUMBER($G271),$G271&gt;=MA_MED),AVERAGE(INDEX($C$5:$C271,268-MA_MED):$C271),"")</f>
        <v>1093397.24</v>
      </c>
      <c r="K271" s="37" t="n">
        <f aca="false">IF(AND(ISNUMBER($G271),$G271&gt;=MA_LONG2),AVERAGE(INDEX($C$5:$C271,268-MA_LONG2):$C271),"")</f>
        <v>1113607.275</v>
      </c>
      <c r="L271" s="38" t="n">
        <f aca="false">IF(AND(ISNUMBER($G271),$G271&gt;=21),STDEV(INDEX($H$211:$H271,62-20):$H271)*SQRT(245),"")</f>
        <v>0.113173034916282</v>
      </c>
      <c r="M271" s="37" t="n">
        <f aca="false">IF(AND(ISNUMBER($G271),$G271&gt;=60),MAX(INDEX($D$71:$D271,202-60):$D271),"")</f>
        <v>1180280</v>
      </c>
      <c r="N271" s="37" t="n">
        <f aca="false">IF(AND(ISNUMBER($G271),$G271&gt;=60),MIN(INDEX($E$71:$E271,202-60):$E271),"")</f>
        <v>1014556</v>
      </c>
      <c r="O271" s="38" t="n">
        <f aca="false">IF(OR(NOT(ISNUMBER($C271)),NOT(ISNUMBER($M271)),$M271=0),"",$C271/$M271-1)</f>
        <v>-0.103757582946419</v>
      </c>
    </row>
    <row r="272" customFormat="false" ht="15" hidden="false" customHeight="true" outlineLevel="0" collapsed="false">
      <c r="A272" s="32" t="n">
        <v>45943</v>
      </c>
      <c r="B272" s="33" t="s">
        <v>362</v>
      </c>
      <c r="C272" s="34" t="n">
        <v>1061664</v>
      </c>
      <c r="D272" s="34" t="n">
        <v>1065415</v>
      </c>
      <c r="E272" s="34" t="n">
        <v>1061610</v>
      </c>
      <c r="F272" s="34" t="n">
        <v>0</v>
      </c>
      <c r="G272" s="35" t="n">
        <f aca="false">IF($A272="","",IF(ISNUMBER($G271),$G271+1,1))</f>
        <v>268</v>
      </c>
      <c r="H272" s="36" t="n">
        <f aca="false">IF(OR(NOT(ISNUMBER($G272)),$G272&lt;2,NOT(ISNUMBER($C271)),$C271=0),"",$C272/$C271-1)</f>
        <v>0.00363673489838035</v>
      </c>
      <c r="I272" s="37" t="n">
        <f aca="false">IF(AND(ISNUMBER($G272),$G272&gt;=MA_SHORT),AVERAGE(INDEX($C$5:$C272,269-MA_SHORT):$C272),"")</f>
        <v>1044058.3</v>
      </c>
      <c r="J272" s="37" t="n">
        <f aca="false">IF(AND(ISNUMBER($G272),$G272&gt;=MA_MED),AVERAGE(INDEX($C$5:$C272,269-MA_MED):$C272),"")</f>
        <v>1091796.68</v>
      </c>
      <c r="K272" s="37" t="n">
        <f aca="false">IF(AND(ISNUMBER($G272),$G272&gt;=MA_LONG2),AVERAGE(INDEX($C$5:$C272,269-MA_LONG2):$C272),"")</f>
        <v>1113914.665</v>
      </c>
      <c r="L272" s="38" t="n">
        <f aca="false">IF(AND(ISNUMBER($G272),$G272&gt;=21),STDEV(INDEX($H$212:$H272,62-20):$H272)*SQRT(245),"")</f>
        <v>0.112170698066996</v>
      </c>
      <c r="M272" s="37" t="n">
        <f aca="false">IF(AND(ISNUMBER($G272),$G272&gt;=60),MAX(INDEX($D$72:$D272,202-60):$D272),"")</f>
        <v>1180280</v>
      </c>
      <c r="N272" s="37" t="n">
        <f aca="false">IF(AND(ISNUMBER($G272),$G272&gt;=60),MIN(INDEX($E$72:$E272,202-60):$E272),"")</f>
        <v>1014556</v>
      </c>
      <c r="O272" s="38" t="n">
        <f aca="false">IF(OR(NOT(ISNUMBER($C272)),NOT(ISNUMBER($M272)),$M272=0),"",$C272/$M272-1)</f>
        <v>-0.100498186870912</v>
      </c>
    </row>
    <row r="273" customFormat="false" ht="15" hidden="false" customHeight="true" outlineLevel="0" collapsed="false">
      <c r="A273" s="32" t="n">
        <v>45944</v>
      </c>
      <c r="B273" s="33" t="s">
        <v>363</v>
      </c>
      <c r="C273" s="34" t="n">
        <v>1072314</v>
      </c>
      <c r="D273" s="34" t="n">
        <v>1075307</v>
      </c>
      <c r="E273" s="34" t="n">
        <v>1069594</v>
      </c>
      <c r="F273" s="34" t="n">
        <v>0</v>
      </c>
      <c r="G273" s="35" t="n">
        <f aca="false">IF($A273="","",IF(ISNUMBER($G272),$G272+1,1))</f>
        <v>269</v>
      </c>
      <c r="H273" s="36" t="n">
        <f aca="false">IF(OR(NOT(ISNUMBER($G273)),$G273&lt;2,NOT(ISNUMBER($C272)),$C272=0),"",$C273/$C272-1)</f>
        <v>0.0100314223709197</v>
      </c>
      <c r="I273" s="37" t="n">
        <f aca="false">IF(AND(ISNUMBER($G273),$G273&gt;=MA_SHORT),AVERAGE(INDEX($C$5:$C273,270-MA_SHORT):$C273),"")</f>
        <v>1044848</v>
      </c>
      <c r="J273" s="37" t="n">
        <f aca="false">IF(AND(ISNUMBER($G273),$G273&gt;=MA_MED),AVERAGE(INDEX($C$5:$C273,270-MA_MED):$C273),"")</f>
        <v>1090865.46</v>
      </c>
      <c r="K273" s="37" t="n">
        <f aca="false">IF(AND(ISNUMBER($G273),$G273&gt;=MA_LONG2),AVERAGE(INDEX($C$5:$C273,270-MA_LONG2):$C273),"")</f>
        <v>1114210.525</v>
      </c>
      <c r="L273" s="38" t="n">
        <f aca="false">IF(AND(ISNUMBER($G273),$G273&gt;=21),STDEV(INDEX($H$213:$H273,62-20):$H273)*SQRT(245),"")</f>
        <v>0.111050500683503</v>
      </c>
      <c r="M273" s="37" t="n">
        <f aca="false">IF(AND(ISNUMBER($G273),$G273&gt;=60),MAX(INDEX($D$73:$D273,202-60):$D273),"")</f>
        <v>1180280</v>
      </c>
      <c r="N273" s="37" t="n">
        <f aca="false">IF(AND(ISNUMBER($G273),$G273&gt;=60),MIN(INDEX($E$73:$E273,202-60):$E273),"")</f>
        <v>1014556</v>
      </c>
      <c r="O273" s="38" t="n">
        <f aca="false">IF(OR(NOT(ISNUMBER($C273)),NOT(ISNUMBER($M273)),$M273=0),"",$C273/$M273-1)</f>
        <v>-0.0914749042600062</v>
      </c>
    </row>
    <row r="274" customFormat="false" ht="15" hidden="false" customHeight="true" outlineLevel="0" collapsed="false">
      <c r="A274" s="32" t="n">
        <v>45945</v>
      </c>
      <c r="B274" s="33" t="s">
        <v>364</v>
      </c>
      <c r="C274" s="34" t="n">
        <v>1065581</v>
      </c>
      <c r="D274" s="34" t="n">
        <v>1067824</v>
      </c>
      <c r="E274" s="34" t="n">
        <v>1060057</v>
      </c>
      <c r="F274" s="34" t="n">
        <v>0</v>
      </c>
      <c r="G274" s="35" t="n">
        <f aca="false">IF($A274="","",IF(ISNUMBER($G273),$G273+1,1))</f>
        <v>270</v>
      </c>
      <c r="H274" s="36" t="n">
        <f aca="false">IF(OR(NOT(ISNUMBER($G274)),$G274&lt;2,NOT(ISNUMBER($C273)),$C273=0),"",$C274/$C273-1)</f>
        <v>-0.00627894441366983</v>
      </c>
      <c r="I274" s="37" t="n">
        <f aca="false">IF(AND(ISNUMBER($G274),$G274&gt;=MA_SHORT),AVERAGE(INDEX($C$5:$C274,271-MA_SHORT):$C274),"")</f>
        <v>1045264.7</v>
      </c>
      <c r="J274" s="37" t="n">
        <f aca="false">IF(AND(ISNUMBER($G274),$G274&gt;=MA_MED),AVERAGE(INDEX($C$5:$C274,271-MA_MED):$C274),"")</f>
        <v>1089583.76</v>
      </c>
      <c r="K274" s="37" t="n">
        <f aca="false">IF(AND(ISNUMBER($G274),$G274&gt;=MA_LONG2),AVERAGE(INDEX($C$5:$C274,271-MA_LONG2):$C274),"")</f>
        <v>1114576.2</v>
      </c>
      <c r="L274" s="38" t="n">
        <f aca="false">IF(AND(ISNUMBER($G274),$G274&gt;=21),STDEV(INDEX($H$214:$H274,62-20):$H274)*SQRT(245),"")</f>
        <v>0.11375780794857</v>
      </c>
      <c r="M274" s="37" t="n">
        <f aca="false">IF(AND(ISNUMBER($G274),$G274&gt;=60),MAX(INDEX($D$74:$D274,202-60):$D274),"")</f>
        <v>1180280</v>
      </c>
      <c r="N274" s="37" t="n">
        <f aca="false">IF(AND(ISNUMBER($G274),$G274&gt;=60),MIN(INDEX($E$74:$E274,202-60):$E274),"")</f>
        <v>1014556</v>
      </c>
      <c r="O274" s="38" t="n">
        <f aca="false">IF(OR(NOT(ISNUMBER($C274)),NOT(ISNUMBER($M274)),$M274=0),"",$C274/$M274-1)</f>
        <v>-0.0971794828345817</v>
      </c>
    </row>
    <row r="275" customFormat="false" ht="15" hidden="false" customHeight="true" outlineLevel="0" collapsed="false">
      <c r="A275" s="32" t="n">
        <v>45948</v>
      </c>
      <c r="B275" s="33" t="s">
        <v>365</v>
      </c>
      <c r="C275" s="34" t="n">
        <v>1066343</v>
      </c>
      <c r="D275" s="34" t="n">
        <v>1066575</v>
      </c>
      <c r="E275" s="34" t="n">
        <v>1065016</v>
      </c>
      <c r="F275" s="34" t="n">
        <v>0</v>
      </c>
      <c r="G275" s="35" t="n">
        <f aca="false">IF($A275="","",IF(ISNUMBER($G274),$G274+1,1))</f>
        <v>271</v>
      </c>
      <c r="H275" s="36" t="n">
        <f aca="false">IF(OR(NOT(ISNUMBER($G275)),$G275&lt;2,NOT(ISNUMBER($C274)),$C274=0),"",$C275/$C274-1)</f>
        <v>0.000715102840610049</v>
      </c>
      <c r="I275" s="37" t="n">
        <f aca="false">IF(AND(ISNUMBER($G275),$G275&gt;=MA_SHORT),AVERAGE(INDEX($C$5:$C275,272-MA_SHORT):$C275),"")</f>
        <v>1045771.25</v>
      </c>
      <c r="J275" s="37" t="n">
        <f aca="false">IF(AND(ISNUMBER($G275),$G275&gt;=MA_MED),AVERAGE(INDEX($C$5:$C275,272-MA_MED):$C275),"")</f>
        <v>1088425.14</v>
      </c>
      <c r="K275" s="37" t="n">
        <f aca="false">IF(AND(ISNUMBER($G275),$G275&gt;=MA_LONG2),AVERAGE(INDEX($C$5:$C275,272-MA_LONG2):$C275),"")</f>
        <v>1114964.615</v>
      </c>
      <c r="L275" s="38" t="n">
        <f aca="false">IF(AND(ISNUMBER($G275),$G275&gt;=21),STDEV(INDEX($H$215:$H275,62-20):$H275)*SQRT(245),"")</f>
        <v>0.113644067637579</v>
      </c>
      <c r="M275" s="37" t="n">
        <f aca="false">IF(AND(ISNUMBER($G275),$G275&gt;=60),MAX(INDEX($D$75:$D275,202-60):$D275),"")</f>
        <v>1180280</v>
      </c>
      <c r="N275" s="37" t="n">
        <f aca="false">IF(AND(ISNUMBER($G275),$G275&gt;=60),MIN(INDEX($E$75:$E275,202-60):$E275),"")</f>
        <v>1014556</v>
      </c>
      <c r="O275" s="38" t="n">
        <f aca="false">IF(OR(NOT(ISNUMBER($C275)),NOT(ISNUMBER($M275)),$M275=0),"",$C275/$M275-1)</f>
        <v>-0.0965338733181956</v>
      </c>
    </row>
    <row r="276" customFormat="false" ht="15" hidden="false" customHeight="true" outlineLevel="0" collapsed="false">
      <c r="A276" s="32" t="n">
        <v>45949</v>
      </c>
      <c r="B276" s="33" t="s">
        <v>366</v>
      </c>
      <c r="C276" s="34" t="n">
        <v>1053815</v>
      </c>
      <c r="D276" s="34" t="n">
        <v>1063596</v>
      </c>
      <c r="E276" s="34" t="n">
        <v>1052498</v>
      </c>
      <c r="F276" s="34" t="n">
        <v>0</v>
      </c>
      <c r="G276" s="35" t="n">
        <f aca="false">IF($A276="","",IF(ISNUMBER($G275),$G275+1,1))</f>
        <v>272</v>
      </c>
      <c r="H276" s="36" t="n">
        <f aca="false">IF(OR(NOT(ISNUMBER($G276)),$G276&lt;2,NOT(ISNUMBER($C275)),$C275=0),"",$C276/$C275-1)</f>
        <v>-0.0117485649551786</v>
      </c>
      <c r="I276" s="37" t="n">
        <f aca="false">IF(AND(ISNUMBER($G276),$G276&gt;=MA_SHORT),AVERAGE(INDEX($C$5:$C276,273-MA_SHORT):$C276),"")</f>
        <v>1046102.5</v>
      </c>
      <c r="J276" s="37" t="n">
        <f aca="false">IF(AND(ISNUMBER($G276),$G276&gt;=MA_MED),AVERAGE(INDEX($C$5:$C276,273-MA_MED):$C276),"")</f>
        <v>1087023.86</v>
      </c>
      <c r="K276" s="37" t="n">
        <f aca="false">IF(AND(ISNUMBER($G276),$G276&gt;=MA_LONG2),AVERAGE(INDEX($C$5:$C276,273-MA_LONG2):$C276),"")</f>
        <v>1115234.81</v>
      </c>
      <c r="L276" s="38" t="n">
        <f aca="false">IF(AND(ISNUMBER($G276),$G276&gt;=21),STDEV(INDEX($H$216:$H276,62-20):$H276)*SQRT(245),"")</f>
        <v>0.117426149908195</v>
      </c>
      <c r="M276" s="37" t="n">
        <f aca="false">IF(AND(ISNUMBER($G276),$G276&gt;=60),MAX(INDEX($D$76:$D276,202-60):$D276),"")</f>
        <v>1176872</v>
      </c>
      <c r="N276" s="37" t="n">
        <f aca="false">IF(AND(ISNUMBER($G276),$G276&gt;=60),MIN(INDEX($E$76:$E276,202-60):$E276),"")</f>
        <v>1014556</v>
      </c>
      <c r="O276" s="38" t="n">
        <f aca="false">IF(OR(NOT(ISNUMBER($C276)),NOT(ISNUMBER($M276)),$M276=0),"",$C276/$M276-1)</f>
        <v>-0.10456277318179</v>
      </c>
    </row>
    <row r="277" customFormat="false" ht="15" hidden="false" customHeight="true" outlineLevel="0" collapsed="false">
      <c r="A277" s="32" t="n">
        <v>45950</v>
      </c>
      <c r="B277" s="33" t="s">
        <v>367</v>
      </c>
      <c r="C277" s="34" t="n">
        <v>1075084</v>
      </c>
      <c r="D277" s="34" t="n">
        <v>1081780</v>
      </c>
      <c r="E277" s="34" t="n">
        <v>1074489</v>
      </c>
      <c r="F277" s="34" t="n">
        <v>0</v>
      </c>
      <c r="G277" s="35" t="n">
        <f aca="false">IF($A277="","",IF(ISNUMBER($G276),$G276+1,1))</f>
        <v>273</v>
      </c>
      <c r="H277" s="36" t="n">
        <f aca="false">IF(OR(NOT(ISNUMBER($G277)),$G277&lt;2,NOT(ISNUMBER($C276)),$C276=0),"",$C277/$C276-1)</f>
        <v>0.0201828594202966</v>
      </c>
      <c r="I277" s="37" t="n">
        <f aca="false">IF(AND(ISNUMBER($G277),$G277&gt;=MA_SHORT),AVERAGE(INDEX($C$5:$C277,274-MA_SHORT):$C277),"")</f>
        <v>1047016.25</v>
      </c>
      <c r="J277" s="37" t="n">
        <f aca="false">IF(AND(ISNUMBER($G277),$G277&gt;=MA_MED),AVERAGE(INDEX($C$5:$C277,274-MA_MED):$C277),"")</f>
        <v>1085669.8</v>
      </c>
      <c r="K277" s="37" t="n">
        <f aca="false">IF(AND(ISNUMBER($G277),$G277&gt;=MA_LONG2),AVERAGE(INDEX($C$5:$C277,274-MA_LONG2):$C277),"")</f>
        <v>1115630.605</v>
      </c>
      <c r="L277" s="38" t="n">
        <f aca="false">IF(AND(ISNUMBER($G277),$G277&gt;=21),STDEV(INDEX($H$217:$H277,62-20):$H277)*SQRT(245),"")</f>
        <v>0.133336266118618</v>
      </c>
      <c r="M277" s="37" t="n">
        <f aca="false">IF(AND(ISNUMBER($G277),$G277&gt;=60),MAX(INDEX($D$77:$D277,202-60):$D277),"")</f>
        <v>1173792</v>
      </c>
      <c r="N277" s="37" t="n">
        <f aca="false">IF(AND(ISNUMBER($G277),$G277&gt;=60),MIN(INDEX($E$77:$E277,202-60):$E277),"")</f>
        <v>1014556</v>
      </c>
      <c r="O277" s="38" t="n">
        <f aca="false">IF(OR(NOT(ISNUMBER($C277)),NOT(ISNUMBER($M277)),$M277=0),"",$C277/$M277-1)</f>
        <v>-0.0840932635424334</v>
      </c>
    </row>
    <row r="278" customFormat="false" ht="15" hidden="false" customHeight="true" outlineLevel="0" collapsed="false">
      <c r="A278" s="32" t="n">
        <v>45951</v>
      </c>
      <c r="B278" s="33" t="s">
        <v>368</v>
      </c>
      <c r="C278" s="34" t="n">
        <v>1070842</v>
      </c>
      <c r="D278" s="34" t="n">
        <v>1075699</v>
      </c>
      <c r="E278" s="34" t="n">
        <v>1066973</v>
      </c>
      <c r="F278" s="34" t="n">
        <v>0</v>
      </c>
      <c r="G278" s="35" t="n">
        <f aca="false">IF($A278="","",IF(ISNUMBER($G277),$G277+1,1))</f>
        <v>274</v>
      </c>
      <c r="H278" s="36" t="n">
        <f aca="false">IF(OR(NOT(ISNUMBER($G278)),$G278&lt;2,NOT(ISNUMBER($C277)),$C277=0),"",$C278/$C277-1)</f>
        <v>-0.00394573819348065</v>
      </c>
      <c r="I278" s="37" t="n">
        <f aca="false">IF(AND(ISNUMBER($G278),$G278&gt;=MA_SHORT),AVERAGE(INDEX($C$5:$C278,275-MA_SHORT):$C278),"")</f>
        <v>1047934.65</v>
      </c>
      <c r="J278" s="37" t="n">
        <f aca="false">IF(AND(ISNUMBER($G278),$G278&gt;=MA_MED),AVERAGE(INDEX($C$5:$C278,275-MA_MED):$C278),"")</f>
        <v>1083707.42</v>
      </c>
      <c r="K278" s="37" t="n">
        <f aca="false">IF(AND(ISNUMBER($G278),$G278&gt;=MA_LONG2),AVERAGE(INDEX($C$5:$C278,275-MA_LONG2):$C278),"")</f>
        <v>1115971.14</v>
      </c>
      <c r="L278" s="38" t="n">
        <f aca="false">IF(AND(ISNUMBER($G278),$G278&gt;=21),STDEV(INDEX($H$218:$H278,62-20):$H278)*SQRT(245),"")</f>
        <v>0.133261912919576</v>
      </c>
      <c r="M278" s="37" t="n">
        <f aca="false">IF(AND(ISNUMBER($G278),$G278&gt;=60),MAX(INDEX($D$78:$D278,202-60):$D278),"")</f>
        <v>1173792</v>
      </c>
      <c r="N278" s="37" t="n">
        <f aca="false">IF(AND(ISNUMBER($G278),$G278&gt;=60),MIN(INDEX($E$78:$E278,202-60):$E278),"")</f>
        <v>1014556</v>
      </c>
      <c r="O278" s="38" t="n">
        <f aca="false">IF(OR(NOT(ISNUMBER($C278)),NOT(ISNUMBER($M278)),$M278=0),"",$C278/$M278-1)</f>
        <v>-0.0877071917341403</v>
      </c>
    </row>
    <row r="279" customFormat="false" ht="15" hidden="false" customHeight="true" outlineLevel="0" collapsed="false">
      <c r="A279" s="32" t="n">
        <v>45952</v>
      </c>
      <c r="B279" s="33" t="s">
        <v>369</v>
      </c>
      <c r="C279" s="34" t="n">
        <v>1068573</v>
      </c>
      <c r="D279" s="34" t="n">
        <v>1068785</v>
      </c>
      <c r="E279" s="34" t="n">
        <v>1067349</v>
      </c>
      <c r="F279" s="34" t="n">
        <v>0</v>
      </c>
      <c r="G279" s="35" t="n">
        <f aca="false">IF($A279="","",IF(ISNUMBER($G278),$G278+1,1))</f>
        <v>275</v>
      </c>
      <c r="H279" s="36" t="n">
        <f aca="false">IF(OR(NOT(ISNUMBER($G279)),$G279&lt;2,NOT(ISNUMBER($C278)),$C278=0),"",$C279/$C278-1)</f>
        <v>-0.00211889335681637</v>
      </c>
      <c r="I279" s="37" t="n">
        <f aca="false">IF(AND(ISNUMBER($G279),$G279&gt;=MA_SHORT),AVERAGE(INDEX($C$5:$C279,276-MA_SHORT):$C279),"")</f>
        <v>1049185.4</v>
      </c>
      <c r="J279" s="37" t="n">
        <f aca="false">IF(AND(ISNUMBER($G279),$G279&gt;=MA_MED),AVERAGE(INDEX($C$5:$C279,276-MA_MED):$C279),"")</f>
        <v>1081721.88</v>
      </c>
      <c r="K279" s="37" t="n">
        <f aca="false">IF(AND(ISNUMBER($G279),$G279&gt;=MA_LONG2),AVERAGE(INDEX($C$5:$C279,276-MA_LONG2):$C279),"")</f>
        <v>1116257.555</v>
      </c>
      <c r="L279" s="38" t="n">
        <f aca="false">IF(AND(ISNUMBER($G279),$G279&gt;=21),STDEV(INDEX($H$219:$H279,62-20):$H279)*SQRT(245),"")</f>
        <v>0.129297332130971</v>
      </c>
      <c r="M279" s="37" t="n">
        <f aca="false">IF(AND(ISNUMBER($G279),$G279&gt;=60),MAX(INDEX($D$79:$D279,202-60):$D279),"")</f>
        <v>1173792</v>
      </c>
      <c r="N279" s="37" t="n">
        <f aca="false">IF(AND(ISNUMBER($G279),$G279&gt;=60),MIN(INDEX($E$79:$E279,202-60):$E279),"")</f>
        <v>1014556</v>
      </c>
      <c r="O279" s="38" t="n">
        <f aca="false">IF(OR(NOT(ISNUMBER($C279)),NOT(ISNUMBER($M279)),$M279=0),"",$C279/$M279-1)</f>
        <v>-0.0896402429050462</v>
      </c>
    </row>
    <row r="280" customFormat="false" ht="15" hidden="false" customHeight="true" outlineLevel="0" collapsed="false">
      <c r="A280" s="32" t="n">
        <v>45955</v>
      </c>
      <c r="B280" s="33" t="s">
        <v>370</v>
      </c>
      <c r="C280" s="34" t="n">
        <v>1092222</v>
      </c>
      <c r="D280" s="34" t="n">
        <v>1094266</v>
      </c>
      <c r="E280" s="34" t="n">
        <v>1091424</v>
      </c>
      <c r="F280" s="34" t="n">
        <v>0</v>
      </c>
      <c r="G280" s="35" t="n">
        <f aca="false">IF($A280="","",IF(ISNUMBER($G279),$G279+1,1))</f>
        <v>276</v>
      </c>
      <c r="H280" s="36" t="n">
        <f aca="false">IF(OR(NOT(ISNUMBER($G280)),$G280&lt;2,NOT(ISNUMBER($C279)),$C279=0),"",$C280/$C279-1)</f>
        <v>0.0221313845661457</v>
      </c>
      <c r="I280" s="37" t="n">
        <f aca="false">IF(AND(ISNUMBER($G280),$G280&gt;=MA_SHORT),AVERAGE(INDEX($C$5:$C280,277-MA_SHORT):$C280),"")</f>
        <v>1052289.15</v>
      </c>
      <c r="J280" s="37" t="n">
        <f aca="false">IF(AND(ISNUMBER($G280),$G280&gt;=MA_MED),AVERAGE(INDEX($C$5:$C280,277-MA_MED):$C280),"")</f>
        <v>1080516.44</v>
      </c>
      <c r="K280" s="37" t="n">
        <f aca="false">IF(AND(ISNUMBER($G280),$G280&gt;=MA_LONG2),AVERAGE(INDEX($C$5:$C280,277-MA_LONG2):$C280),"")</f>
        <v>1116726.375</v>
      </c>
      <c r="L280" s="38" t="n">
        <f aca="false">IF(AND(ISNUMBER($G280),$G280&gt;=21),STDEV(INDEX($H$220:$H280,62-20):$H280)*SQRT(245),"")</f>
        <v>0.137900874635225</v>
      </c>
      <c r="M280" s="37" t="n">
        <f aca="false">IF(AND(ISNUMBER($G280),$G280&gt;=60),MAX(INDEX($D$80:$D280,202-60):$D280),"")</f>
        <v>1173792</v>
      </c>
      <c r="N280" s="37" t="n">
        <f aca="false">IF(AND(ISNUMBER($G280),$G280&gt;=60),MIN(INDEX($E$80:$E280,202-60):$E280),"")</f>
        <v>1014556</v>
      </c>
      <c r="O280" s="38" t="n">
        <f aca="false">IF(OR(NOT(ISNUMBER($C280)),NOT(ISNUMBER($M280)),$M280=0),"",$C280/$M280-1)</f>
        <v>-0.0694927210272348</v>
      </c>
    </row>
    <row r="281" customFormat="false" ht="15" hidden="false" customHeight="true" outlineLevel="0" collapsed="false">
      <c r="A281" s="32" t="n">
        <v>45956</v>
      </c>
      <c r="B281" s="33" t="s">
        <v>371</v>
      </c>
      <c r="C281" s="34" t="n">
        <v>1113399</v>
      </c>
      <c r="D281" s="34" t="n">
        <v>1114354</v>
      </c>
      <c r="E281" s="34" t="n">
        <v>1110879</v>
      </c>
      <c r="F281" s="34" t="n">
        <v>0</v>
      </c>
      <c r="G281" s="35" t="n">
        <f aca="false">IF($A281="","",IF(ISNUMBER($G280),$G280+1,1))</f>
        <v>277</v>
      </c>
      <c r="H281" s="36" t="n">
        <f aca="false">IF(OR(NOT(ISNUMBER($G281)),$G281&lt;2,NOT(ISNUMBER($C280)),$C280=0),"",$C281/$C280-1)</f>
        <v>0.0193889154402676</v>
      </c>
      <c r="I281" s="37" t="n">
        <f aca="false">IF(AND(ISNUMBER($G281),$G281&gt;=MA_SHORT),AVERAGE(INDEX($C$5:$C281,278-MA_SHORT):$C281),"")</f>
        <v>1056765.75</v>
      </c>
      <c r="J281" s="37" t="n">
        <f aca="false">IF(AND(ISNUMBER($G281),$G281&gt;=MA_MED),AVERAGE(INDEX($C$5:$C281,278-MA_MED):$C281),"")</f>
        <v>1080005.38</v>
      </c>
      <c r="K281" s="37" t="n">
        <f aca="false">IF(AND(ISNUMBER($G281),$G281&gt;=MA_LONG2),AVERAGE(INDEX($C$5:$C281,278-MA_LONG2):$C281),"")</f>
        <v>1117319.81</v>
      </c>
      <c r="L281" s="38" t="n">
        <f aca="false">IF(AND(ISNUMBER($G281),$G281&gt;=21),STDEV(INDEX($H$221:$H281,62-20):$H281)*SQRT(245),"")</f>
        <v>0.144970491532114</v>
      </c>
      <c r="M281" s="37" t="n">
        <f aca="false">IF(AND(ISNUMBER($G281),$G281&gt;=60),MAX(INDEX($D$81:$D281,202-60):$D281),"")</f>
        <v>1173792</v>
      </c>
      <c r="N281" s="37" t="n">
        <f aca="false">IF(AND(ISNUMBER($G281),$G281&gt;=60),MIN(INDEX($E$81:$E281,202-60):$E281),"")</f>
        <v>1014556</v>
      </c>
      <c r="O281" s="38" t="n">
        <f aca="false">IF(OR(NOT(ISNUMBER($C281)),NOT(ISNUMBER($M281)),$M281=0),"",$C281/$M281-1)</f>
        <v>-0.0514511940786784</v>
      </c>
    </row>
    <row r="282" customFormat="false" ht="15" hidden="false" customHeight="true" outlineLevel="0" collapsed="false">
      <c r="A282" s="32" t="n">
        <v>45957</v>
      </c>
      <c r="B282" s="33" t="s">
        <v>372</v>
      </c>
      <c r="C282" s="34" t="n">
        <v>1105206</v>
      </c>
      <c r="D282" s="34" t="n">
        <v>1107857</v>
      </c>
      <c r="E282" s="34" t="n">
        <v>1104361</v>
      </c>
      <c r="F282" s="34" t="n">
        <v>0</v>
      </c>
      <c r="G282" s="35" t="n">
        <f aca="false">IF($A282="","",IF(ISNUMBER($G281),$G281+1,1))</f>
        <v>278</v>
      </c>
      <c r="H282" s="36" t="n">
        <f aca="false">IF(OR(NOT(ISNUMBER($G282)),$G282&lt;2,NOT(ISNUMBER($C281)),$C281=0),"",$C282/$C281-1)</f>
        <v>-0.00735854801378477</v>
      </c>
      <c r="I282" s="37" t="n">
        <f aca="false">IF(AND(ISNUMBER($G282),$G282&gt;=MA_SHORT),AVERAGE(INDEX($C$5:$C282,279-MA_SHORT):$C282),"")</f>
        <v>1061158.35</v>
      </c>
      <c r="J282" s="37" t="n">
        <f aca="false">IF(AND(ISNUMBER($G282),$G282&gt;=MA_MED),AVERAGE(INDEX($C$5:$C282,279-MA_MED):$C282),"")</f>
        <v>1079404.02</v>
      </c>
      <c r="K282" s="37" t="n">
        <f aca="false">IF(AND(ISNUMBER($G282),$G282&gt;=MA_LONG2),AVERAGE(INDEX($C$5:$C282,279-MA_LONG2):$C282),"")</f>
        <v>1117824.93</v>
      </c>
      <c r="L282" s="38" t="n">
        <f aca="false">IF(AND(ISNUMBER($G282),$G282&gt;=21),STDEV(INDEX($H$222:$H282,62-20):$H282)*SQRT(245),"")</f>
        <v>0.145949750071746</v>
      </c>
      <c r="M282" s="37" t="n">
        <f aca="false">IF(AND(ISNUMBER($G282),$G282&gt;=60),MAX(INDEX($D$82:$D282,202-60):$D282),"")</f>
        <v>1173792</v>
      </c>
      <c r="N282" s="37" t="n">
        <f aca="false">IF(AND(ISNUMBER($G282),$G282&gt;=60),MIN(INDEX($E$82:$E282,202-60):$E282),"")</f>
        <v>1014556</v>
      </c>
      <c r="O282" s="38" t="n">
        <f aca="false">IF(OR(NOT(ISNUMBER($C282)),NOT(ISNUMBER($M282)),$M282=0),"",$C282/$M282-1)</f>
        <v>-0.0584311360104687</v>
      </c>
    </row>
    <row r="283" customFormat="false" ht="15" hidden="false" customHeight="true" outlineLevel="0" collapsed="false">
      <c r="A283" s="32" t="n">
        <v>45958</v>
      </c>
      <c r="B283" s="33" t="s">
        <v>373</v>
      </c>
      <c r="C283" s="34" t="n">
        <v>1106983</v>
      </c>
      <c r="D283" s="34" t="n">
        <v>1109267</v>
      </c>
      <c r="E283" s="34" t="n">
        <v>1102385</v>
      </c>
      <c r="F283" s="34" t="n">
        <v>0</v>
      </c>
      <c r="G283" s="35" t="n">
        <f aca="false">IF($A283="","",IF(ISNUMBER($G282),$G282+1,1))</f>
        <v>279</v>
      </c>
      <c r="H283" s="36" t="n">
        <f aca="false">IF(OR(NOT(ISNUMBER($G283)),$G283&lt;2,NOT(ISNUMBER($C282)),$C282=0),"",$C283/$C282-1)</f>
        <v>0.00160784505332034</v>
      </c>
      <c r="I283" s="37" t="n">
        <f aca="false">IF(AND(ISNUMBER($G283),$G283&gt;=MA_SHORT),AVERAGE(INDEX($C$5:$C283,280-MA_SHORT):$C283),"")</f>
        <v>1064882.3</v>
      </c>
      <c r="J283" s="37" t="n">
        <f aca="false">IF(AND(ISNUMBER($G283),$G283&gt;=MA_MED),AVERAGE(INDEX($C$5:$C283,280-MA_MED):$C283),"")</f>
        <v>1078621.94</v>
      </c>
      <c r="K283" s="37" t="n">
        <f aca="false">IF(AND(ISNUMBER($G283),$G283&gt;=MA_LONG2),AVERAGE(INDEX($C$5:$C283,280-MA_LONG2):$C283),"")</f>
        <v>1118367.395</v>
      </c>
      <c r="L283" s="38" t="n">
        <f aca="false">IF(AND(ISNUMBER($G283),$G283&gt;=21),STDEV(INDEX($H$223:$H283,62-20):$H283)*SQRT(245),"")</f>
        <v>0.140702185101532</v>
      </c>
      <c r="M283" s="37" t="n">
        <f aca="false">IF(AND(ISNUMBER($G283),$G283&gt;=60),MAX(INDEX($D$83:$D283,202-60):$D283),"")</f>
        <v>1173792</v>
      </c>
      <c r="N283" s="37" t="n">
        <f aca="false">IF(AND(ISNUMBER($G283),$G283&gt;=60),MIN(INDEX($E$83:$E283,202-60):$E283),"")</f>
        <v>1014556</v>
      </c>
      <c r="O283" s="38" t="n">
        <f aca="false">IF(OR(NOT(ISNUMBER($C283)),NOT(ISNUMBER($M283)),$M283=0),"",$C283/$M283-1)</f>
        <v>-0.0569172391701426</v>
      </c>
    </row>
    <row r="284" customFormat="false" ht="15" hidden="false" customHeight="true" outlineLevel="0" collapsed="false">
      <c r="A284" s="32" t="n">
        <v>45959</v>
      </c>
      <c r="B284" s="33" t="s">
        <v>374</v>
      </c>
      <c r="C284" s="34" t="n">
        <v>1107424</v>
      </c>
      <c r="D284" s="34" t="n">
        <v>1109119</v>
      </c>
      <c r="E284" s="34" t="n">
        <v>1104325</v>
      </c>
      <c r="F284" s="34" t="n">
        <v>0</v>
      </c>
      <c r="G284" s="35" t="n">
        <f aca="false">IF($A284="","",IF(ISNUMBER($G283),$G283+1,1))</f>
        <v>280</v>
      </c>
      <c r="H284" s="36" t="n">
        <f aca="false">IF(OR(NOT(ISNUMBER($G284)),$G284&lt;2,NOT(ISNUMBER($C283)),$C283=0),"",$C284/$C283-1)</f>
        <v>0.000398380101591433</v>
      </c>
      <c r="I284" s="37" t="n">
        <f aca="false">IF(AND(ISNUMBER($G284),$G284&gt;=MA_SHORT),AVERAGE(INDEX($C$5:$C284,281-MA_SHORT):$C284),"")</f>
        <v>1068791</v>
      </c>
      <c r="J284" s="37" t="n">
        <f aca="false">IF(AND(ISNUMBER($G284),$G284&gt;=MA_MED),AVERAGE(INDEX($C$5:$C284,281-MA_MED):$C284),"")</f>
        <v>1077718.6</v>
      </c>
      <c r="K284" s="37" t="n">
        <f aca="false">IF(AND(ISNUMBER($G284),$G284&gt;=MA_LONG2),AVERAGE(INDEX($C$5:$C284,281-MA_LONG2):$C284),"")</f>
        <v>1118846.855</v>
      </c>
      <c r="L284" s="38" t="n">
        <f aca="false">IF(AND(ISNUMBER($G284),$G284&gt;=21),STDEV(INDEX($H$224:$H284,62-20):$H284)*SQRT(245),"")</f>
        <v>0.139068593346186</v>
      </c>
      <c r="M284" s="37" t="n">
        <f aca="false">IF(AND(ISNUMBER($G284),$G284&gt;=60),MAX(INDEX($D$84:$D284,202-60):$D284),"")</f>
        <v>1173792</v>
      </c>
      <c r="N284" s="37" t="n">
        <f aca="false">IF(AND(ISNUMBER($G284),$G284&gt;=60),MIN(INDEX($E$84:$E284,202-60):$E284),"")</f>
        <v>1014556</v>
      </c>
      <c r="O284" s="38" t="n">
        <f aca="false">IF(OR(NOT(ISNUMBER($C284)),NOT(ISNUMBER($M284)),$M284=0),"",$C284/$M284-1)</f>
        <v>-0.056541533764074</v>
      </c>
    </row>
    <row r="285" customFormat="false" ht="15" hidden="false" customHeight="true" outlineLevel="0" collapsed="false">
      <c r="A285" s="32" t="n">
        <v>45962</v>
      </c>
      <c r="B285" s="33" t="s">
        <v>375</v>
      </c>
      <c r="C285" s="34" t="n">
        <v>1077442</v>
      </c>
      <c r="D285" s="34" t="n">
        <v>1078631</v>
      </c>
      <c r="E285" s="34" t="n">
        <v>1076225</v>
      </c>
      <c r="F285" s="34" t="n">
        <v>0</v>
      </c>
      <c r="G285" s="35" t="n">
        <f aca="false">IF($A285="","",IF(ISNUMBER($G284),$G284+1,1))</f>
        <v>281</v>
      </c>
      <c r="H285" s="36" t="n">
        <f aca="false">IF(OR(NOT(ISNUMBER($G285)),$G285&lt;2,NOT(ISNUMBER($C284)),$C284=0),"",$C285/$C284-1)</f>
        <v>-0.0270736411708614</v>
      </c>
      <c r="I285" s="37" t="n">
        <f aca="false">IF(AND(ISNUMBER($G285),$G285&gt;=MA_SHORT),AVERAGE(INDEX($C$5:$C285,282-MA_SHORT):$C285),"")</f>
        <v>1071170.35</v>
      </c>
      <c r="J285" s="37" t="n">
        <f aca="false">IF(AND(ISNUMBER($G285),$G285&gt;=MA_MED),AVERAGE(INDEX($C$5:$C285,282-MA_MED):$C285),"")</f>
        <v>1076221.34</v>
      </c>
      <c r="K285" s="37" t="n">
        <f aca="false">IF(AND(ISNUMBER($G285),$G285&gt;=MA_LONG2),AVERAGE(INDEX($C$5:$C285,282-MA_LONG2):$C285),"")</f>
        <v>1119185.45</v>
      </c>
      <c r="L285" s="38" t="n">
        <f aca="false">IF(AND(ISNUMBER($G285),$G285&gt;=21),STDEV(INDEX($H$225:$H285,62-20):$H285)*SQRT(245),"")</f>
        <v>0.175887514325504</v>
      </c>
      <c r="M285" s="37" t="n">
        <f aca="false">IF(AND(ISNUMBER($G285),$G285&gt;=60),MAX(INDEX($D$85:$D285,202-60):$D285),"")</f>
        <v>1173792</v>
      </c>
      <c r="N285" s="37" t="n">
        <f aca="false">IF(AND(ISNUMBER($G285),$G285&gt;=60),MIN(INDEX($E$85:$E285,202-60):$E285),"")</f>
        <v>1014556</v>
      </c>
      <c r="O285" s="38" t="n">
        <f aca="false">IF(OR(NOT(ISNUMBER($C285)),NOT(ISNUMBER($M285)),$M285=0),"",$C285/$M285-1)</f>
        <v>-0.0820843897385567</v>
      </c>
    </row>
    <row r="286" customFormat="false" ht="15" hidden="false" customHeight="true" outlineLevel="0" collapsed="false">
      <c r="A286" s="32" t="n">
        <v>45963</v>
      </c>
      <c r="B286" s="33" t="s">
        <v>376</v>
      </c>
      <c r="C286" s="34" t="n">
        <v>1064461</v>
      </c>
      <c r="D286" s="34" t="n">
        <v>1064900</v>
      </c>
      <c r="E286" s="34" t="n">
        <v>1059829</v>
      </c>
      <c r="F286" s="34" t="n">
        <v>0</v>
      </c>
      <c r="G286" s="35" t="n">
        <f aca="false">IF($A286="","",IF(ISNUMBER($G285),$G285+1,1))</f>
        <v>282</v>
      </c>
      <c r="H286" s="36" t="n">
        <f aca="false">IF(OR(NOT(ISNUMBER($G286)),$G286&lt;2,NOT(ISNUMBER($C285)),$C285=0),"",$C286/$C285-1)</f>
        <v>-0.0120479803089169</v>
      </c>
      <c r="I286" s="37" t="n">
        <f aca="false">IF(AND(ISNUMBER($G286),$G286&gt;=MA_SHORT),AVERAGE(INDEX($C$5:$C286,283-MA_SHORT):$C286),"")</f>
        <v>1072572.7</v>
      </c>
      <c r="J286" s="37" t="n">
        <f aca="false">IF(AND(ISNUMBER($G286),$G286&gt;=MA_MED),AVERAGE(INDEX($C$5:$C286,283-MA_MED):$C286),"")</f>
        <v>1074686.72</v>
      </c>
      <c r="K286" s="37" t="n">
        <f aca="false">IF(AND(ISNUMBER($G286),$G286&gt;=MA_LONG2),AVERAGE(INDEX($C$5:$C286,283-MA_LONG2):$C286),"")</f>
        <v>1119459.405</v>
      </c>
      <c r="L286" s="38" t="n">
        <f aca="false">IF(AND(ISNUMBER($G286),$G286&gt;=21),STDEV(INDEX($H$226:$H286,62-20):$H286)*SQRT(245),"")</f>
        <v>0.182123257819618</v>
      </c>
      <c r="M286" s="37" t="n">
        <f aca="false">IF(AND(ISNUMBER($G286),$G286&gt;=60),MAX(INDEX($D$86:$D286,202-60):$D286),"")</f>
        <v>1173792</v>
      </c>
      <c r="N286" s="37" t="n">
        <f aca="false">IF(AND(ISNUMBER($G286),$G286&gt;=60),MIN(INDEX($E$86:$E286,202-60):$E286),"")</f>
        <v>1014556</v>
      </c>
      <c r="O286" s="38" t="n">
        <f aca="false">IF(OR(NOT(ISNUMBER($C286)),NOT(ISNUMBER($M286)),$M286=0),"",$C286/$M286-1)</f>
        <v>-0.093143418936234</v>
      </c>
    </row>
    <row r="287" customFormat="false" ht="15" hidden="false" customHeight="true" outlineLevel="0" collapsed="false">
      <c r="A287" s="32" t="n">
        <v>45964</v>
      </c>
      <c r="B287" s="33" t="s">
        <v>377</v>
      </c>
      <c r="C287" s="34" t="n">
        <v>1053746</v>
      </c>
      <c r="D287" s="34" t="n">
        <v>1053950</v>
      </c>
      <c r="E287" s="34" t="n">
        <v>1052972</v>
      </c>
      <c r="F287" s="34" t="n">
        <v>0</v>
      </c>
      <c r="G287" s="35" t="n">
        <f aca="false">IF($A287="","",IF(ISNUMBER($G286),$G286+1,1))</f>
        <v>283</v>
      </c>
      <c r="H287" s="36" t="n">
        <f aca="false">IF(OR(NOT(ISNUMBER($G287)),$G287&lt;2,NOT(ISNUMBER($C286)),$C286=0),"",$C287/$C286-1)</f>
        <v>-0.0100661273639898</v>
      </c>
      <c r="I287" s="37" t="n">
        <f aca="false">IF(AND(ISNUMBER($G287),$G287&gt;=MA_SHORT),AVERAGE(INDEX($C$5:$C287,284-MA_SHORT):$C287),"")</f>
        <v>1073199.2</v>
      </c>
      <c r="J287" s="37" t="n">
        <f aca="false">IF(AND(ISNUMBER($G287),$G287&gt;=MA_MED),AVERAGE(INDEX($C$5:$C287,284-MA_MED):$C287),"")</f>
        <v>1072773.72</v>
      </c>
      <c r="K287" s="37" t="n">
        <f aca="false">IF(AND(ISNUMBER($G287),$G287&gt;=MA_LONG2),AVERAGE(INDEX($C$5:$C287,284-MA_LONG2):$C287),"")</f>
        <v>1119657.605</v>
      </c>
      <c r="L287" s="38" t="n">
        <f aca="false">IF(AND(ISNUMBER($G287),$G287&gt;=21),STDEV(INDEX($H$227:$H287,62-20):$H287)*SQRT(245),"")</f>
        <v>0.185984384063968</v>
      </c>
      <c r="M287" s="37" t="n">
        <f aca="false">IF(AND(ISNUMBER($G287),$G287&gt;=60),MAX(INDEX($D$87:$D287,202-60):$D287),"")</f>
        <v>1173792</v>
      </c>
      <c r="N287" s="37" t="n">
        <f aca="false">IF(AND(ISNUMBER($G287),$G287&gt;=60),MIN(INDEX($E$87:$E287,202-60):$E287),"")</f>
        <v>1014556</v>
      </c>
      <c r="O287" s="38" t="n">
        <f aca="false">IF(OR(NOT(ISNUMBER($C287)),NOT(ISNUMBER($M287)),$M287=0),"",$C287/$M287-1)</f>
        <v>-0.102271952782094</v>
      </c>
    </row>
    <row r="288" customFormat="false" ht="15" hidden="false" customHeight="true" outlineLevel="0" collapsed="false">
      <c r="A288" s="32" t="n">
        <v>45965</v>
      </c>
      <c r="B288" s="33" t="s">
        <v>378</v>
      </c>
      <c r="C288" s="34" t="n">
        <v>1064851</v>
      </c>
      <c r="D288" s="34" t="n">
        <v>1066199</v>
      </c>
      <c r="E288" s="34" t="n">
        <v>1064624</v>
      </c>
      <c r="F288" s="34" t="n">
        <v>0</v>
      </c>
      <c r="G288" s="35" t="n">
        <f aca="false">IF($A288="","",IF(ISNUMBER($G287),$G287+1,1))</f>
        <v>284</v>
      </c>
      <c r="H288" s="36" t="n">
        <f aca="false">IF(OR(NOT(ISNUMBER($G288)),$G288&lt;2,NOT(ISNUMBER($C287)),$C287=0),"",$C288/$C287-1)</f>
        <v>0.0105385927918114</v>
      </c>
      <c r="I288" s="37" t="n">
        <f aca="false">IF(AND(ISNUMBER($G288),$G288&gt;=MA_SHORT),AVERAGE(INDEX($C$5:$C288,285-MA_SHORT):$C288),"")</f>
        <v>1074194.9</v>
      </c>
      <c r="J288" s="37" t="n">
        <f aca="false">IF(AND(ISNUMBER($G288),$G288&gt;=MA_MED),AVERAGE(INDEX($C$5:$C288,285-MA_MED):$C288),"")</f>
        <v>1071062.06</v>
      </c>
      <c r="K288" s="37" t="n">
        <f aca="false">IF(AND(ISNUMBER($G288),$G288&gt;=MA_LONG2),AVERAGE(INDEX($C$5:$C288,285-MA_LONG2):$C288),"")</f>
        <v>1119904.92</v>
      </c>
      <c r="L288" s="38" t="n">
        <f aca="false">IF(AND(ISNUMBER($G288),$G288&gt;=21),STDEV(INDEX($H$228:$H288,62-20):$H288)*SQRT(245),"")</f>
        <v>0.188962518957093</v>
      </c>
      <c r="M288" s="37" t="n">
        <f aca="false">IF(AND(ISNUMBER($G288),$G288&gt;=60),MAX(INDEX($D$88:$D288,202-60):$D288),"")</f>
        <v>1168011</v>
      </c>
      <c r="N288" s="37" t="n">
        <f aca="false">IF(AND(ISNUMBER($G288),$G288&gt;=60),MIN(INDEX($E$88:$E288,202-60):$E288),"")</f>
        <v>1014556</v>
      </c>
      <c r="O288" s="38" t="n">
        <f aca="false">IF(OR(NOT(ISNUMBER($C288)),NOT(ISNUMBER($M288)),$M288=0),"",$C288/$M288-1)</f>
        <v>-0.0883210860171694</v>
      </c>
    </row>
    <row r="289" customFormat="false" ht="15" hidden="false" customHeight="true" outlineLevel="0" collapsed="false">
      <c r="A289" s="32" t="n">
        <v>45966</v>
      </c>
      <c r="B289" s="33" t="s">
        <v>379</v>
      </c>
      <c r="C289" s="34" t="n">
        <v>1060484</v>
      </c>
      <c r="D289" s="34" t="n">
        <v>1061394</v>
      </c>
      <c r="E289" s="34" t="n">
        <v>1056261</v>
      </c>
      <c r="F289" s="34" t="n">
        <v>0</v>
      </c>
      <c r="G289" s="35" t="n">
        <f aca="false">IF($A289="","",IF(ISNUMBER($G288),$G288+1,1))</f>
        <v>285</v>
      </c>
      <c r="H289" s="36" t="n">
        <f aca="false">IF(OR(NOT(ISNUMBER($G289)),$G289&lt;2,NOT(ISNUMBER($C288)),$C288=0),"",$C289/$C288-1)</f>
        <v>-0.00410104324454785</v>
      </c>
      <c r="I289" s="37" t="n">
        <f aca="false">IF(AND(ISNUMBER($G289),$G289&gt;=MA_SHORT),AVERAGE(INDEX($C$5:$C289,286-MA_SHORT):$C289),"")</f>
        <v>1074645.4</v>
      </c>
      <c r="J289" s="37" t="n">
        <f aca="false">IF(AND(ISNUMBER($G289),$G289&gt;=MA_MED),AVERAGE(INDEX($C$5:$C289,286-MA_MED):$C289),"")</f>
        <v>1069058.64</v>
      </c>
      <c r="K289" s="37" t="n">
        <f aca="false">IF(AND(ISNUMBER($G289),$G289&gt;=MA_LONG2),AVERAGE(INDEX($C$5:$C289,286-MA_LONG2):$C289),"")</f>
        <v>1120163.805</v>
      </c>
      <c r="L289" s="38" t="n">
        <f aca="false">IF(AND(ISNUMBER($G289),$G289&gt;=21),STDEV(INDEX($H$229:$H289,62-20):$H289)*SQRT(245),"")</f>
        <v>0.18873428614544</v>
      </c>
      <c r="M289" s="37" t="n">
        <f aca="false">IF(AND(ISNUMBER($G289),$G289&gt;=60),MAX(INDEX($D$89:$D289,202-60):$D289),"")</f>
        <v>1161039</v>
      </c>
      <c r="N289" s="37" t="n">
        <f aca="false">IF(AND(ISNUMBER($G289),$G289&gt;=60),MIN(INDEX($E$89:$E289,202-60):$E289),"")</f>
        <v>1014556</v>
      </c>
      <c r="O289" s="38" t="n">
        <f aca="false">IF(OR(NOT(ISNUMBER($C289)),NOT(ISNUMBER($M289)),$M289=0),"",$C289/$M289-1)</f>
        <v>-0.086607771142916</v>
      </c>
    </row>
    <row r="290" customFormat="false" ht="15" hidden="false" customHeight="true" outlineLevel="0" collapsed="false">
      <c r="A290" s="32" t="n">
        <v>45969</v>
      </c>
      <c r="B290" s="33" t="s">
        <v>380</v>
      </c>
      <c r="C290" s="34" t="n">
        <v>1052581</v>
      </c>
      <c r="D290" s="34" t="n">
        <v>1055628</v>
      </c>
      <c r="E290" s="34" t="n">
        <v>1049655</v>
      </c>
      <c r="F290" s="34" t="n">
        <v>0</v>
      </c>
      <c r="G290" s="35" t="n">
        <f aca="false">IF($A290="","",IF(ISNUMBER($G289),$G289+1,1))</f>
        <v>286</v>
      </c>
      <c r="H290" s="36" t="n">
        <f aca="false">IF(OR(NOT(ISNUMBER($G290)),$G290&lt;2,NOT(ISNUMBER($C289)),$C289=0),"",$C290/$C289-1)</f>
        <v>-0.00745225764839452</v>
      </c>
      <c r="I290" s="37" t="n">
        <f aca="false">IF(AND(ISNUMBER($G290),$G290&gt;=MA_SHORT),AVERAGE(INDEX($C$5:$C290,287-MA_SHORT):$C290),"")</f>
        <v>1074541.6</v>
      </c>
      <c r="J290" s="37" t="n">
        <f aca="false">IF(AND(ISNUMBER($G290),$G290&gt;=MA_MED),AVERAGE(INDEX($C$5:$C290,287-MA_MED):$C290),"")</f>
        <v>1067896.42</v>
      </c>
      <c r="K290" s="37" t="n">
        <f aca="false">IF(AND(ISNUMBER($G290),$G290&gt;=MA_LONG2),AVERAGE(INDEX($C$5:$C290,287-MA_LONG2):$C290),"")</f>
        <v>1120349.1</v>
      </c>
      <c r="L290" s="38" t="n">
        <f aca="false">IF(AND(ISNUMBER($G290),$G290&gt;=21),STDEV(INDEX($H$230:$H290,62-20):$H290)*SQRT(245),"")</f>
        <v>0.190477738756507</v>
      </c>
      <c r="M290" s="37" t="n">
        <f aca="false">IF(AND(ISNUMBER($G290),$G290&gt;=60),MAX(INDEX($D$90:$D290,202-60):$D290),"")</f>
        <v>1161039</v>
      </c>
      <c r="N290" s="37" t="n">
        <f aca="false">IF(AND(ISNUMBER($G290),$G290&gt;=60),MIN(INDEX($E$90:$E290,202-60):$E290),"")</f>
        <v>1014556</v>
      </c>
      <c r="O290" s="38" t="n">
        <f aca="false">IF(OR(NOT(ISNUMBER($C290)),NOT(ISNUMBER($M290)),$M290=0),"",$C290/$M290-1)</f>
        <v>-0.0934146053664002</v>
      </c>
    </row>
    <row r="291" customFormat="false" ht="15" hidden="false" customHeight="true" outlineLevel="0" collapsed="false">
      <c r="A291" s="32" t="n">
        <v>45970</v>
      </c>
      <c r="B291" s="33" t="s">
        <v>381</v>
      </c>
      <c r="C291" s="34" t="n">
        <v>1056257</v>
      </c>
      <c r="D291" s="34" t="n">
        <v>1058128</v>
      </c>
      <c r="E291" s="34" t="n">
        <v>1053478</v>
      </c>
      <c r="F291" s="34" t="n">
        <v>0</v>
      </c>
      <c r="G291" s="35" t="n">
        <f aca="false">IF($A291="","",IF(ISNUMBER($G290),$G290+1,1))</f>
        <v>287</v>
      </c>
      <c r="H291" s="36" t="n">
        <f aca="false">IF(OR(NOT(ISNUMBER($G291)),$G291&lt;2,NOT(ISNUMBER($C290)),$C290=0),"",$C291/$C290-1)</f>
        <v>0.00349236780827322</v>
      </c>
      <c r="I291" s="37" t="n">
        <f aca="false">IF(AND(ISNUMBER($G291),$G291&gt;=MA_SHORT),AVERAGE(INDEX($C$5:$C291,288-MA_SHORT):$C291),"")</f>
        <v>1074463.6</v>
      </c>
      <c r="J291" s="37" t="n">
        <f aca="false">IF(AND(ISNUMBER($G291),$G291&gt;=MA_MED),AVERAGE(INDEX($C$5:$C291,288-MA_MED):$C291),"")</f>
        <v>1066333.52</v>
      </c>
      <c r="K291" s="37" t="n">
        <f aca="false">IF(AND(ISNUMBER($G291),$G291&gt;=MA_LONG2),AVERAGE(INDEX($C$5:$C291,288-MA_LONG2):$C291),"")</f>
        <v>1120481.155</v>
      </c>
      <c r="L291" s="38" t="n">
        <f aca="false">IF(AND(ISNUMBER($G291),$G291&gt;=21),STDEV(INDEX($H$231:$H291,62-20):$H291)*SQRT(245),"")</f>
        <v>0.190587203442734</v>
      </c>
      <c r="M291" s="37" t="n">
        <f aca="false">IF(AND(ISNUMBER($G291),$G291&gt;=60),MAX(INDEX($D$91:$D291,202-60):$D291),"")</f>
        <v>1161039</v>
      </c>
      <c r="N291" s="37" t="n">
        <f aca="false">IF(AND(ISNUMBER($G291),$G291&gt;=60),MIN(INDEX($E$91:$E291,202-60):$E291),"")</f>
        <v>1014556</v>
      </c>
      <c r="O291" s="38" t="n">
        <f aca="false">IF(OR(NOT(ISNUMBER($C291)),NOT(ISNUMBER($M291)),$M291=0),"",$C291/$M291-1)</f>
        <v>-0.0902484757187313</v>
      </c>
    </row>
    <row r="292" customFormat="false" ht="15" hidden="false" customHeight="true" outlineLevel="0" collapsed="false">
      <c r="A292" s="32" t="n">
        <v>45971</v>
      </c>
      <c r="B292" s="33" t="s">
        <v>382</v>
      </c>
      <c r="C292" s="34" t="n">
        <v>1061506</v>
      </c>
      <c r="D292" s="34" t="n">
        <v>1067573</v>
      </c>
      <c r="E292" s="34" t="n">
        <v>1055360</v>
      </c>
      <c r="F292" s="34" t="n">
        <v>0</v>
      </c>
      <c r="G292" s="35" t="n">
        <f aca="false">IF($A292="","",IF(ISNUMBER($G291),$G291+1,1))</f>
        <v>288</v>
      </c>
      <c r="H292" s="36" t="n">
        <f aca="false">IF(OR(NOT(ISNUMBER($G292)),$G292&lt;2,NOT(ISNUMBER($C291)),$C291=0),"",$C292/$C291-1)</f>
        <v>0.00496943452209075</v>
      </c>
      <c r="I292" s="37" t="n">
        <f aca="false">IF(AND(ISNUMBER($G292),$G292&gt;=MA_SHORT),AVERAGE(INDEX($C$5:$C292,289-MA_SHORT):$C292),"")</f>
        <v>1074455.7</v>
      </c>
      <c r="J292" s="37" t="n">
        <f aca="false">IF(AND(ISNUMBER($G292),$G292&gt;=MA_MED),AVERAGE(INDEX($C$5:$C292,289-MA_MED):$C292),"")</f>
        <v>1065546.82</v>
      </c>
      <c r="K292" s="37" t="n">
        <f aca="false">IF(AND(ISNUMBER($G292),$G292&gt;=MA_LONG2),AVERAGE(INDEX($C$5:$C292,289-MA_LONG2):$C292),"")</f>
        <v>1120683.68</v>
      </c>
      <c r="L292" s="38" t="n">
        <f aca="false">IF(AND(ISNUMBER($G292),$G292&gt;=21),STDEV(INDEX($H$232:$H292,62-20):$H292)*SQRT(245),"")</f>
        <v>0.190972117040357</v>
      </c>
      <c r="M292" s="37" t="n">
        <f aca="false">IF(AND(ISNUMBER($G292),$G292&gt;=60),MAX(INDEX($D$92:$D292,202-60):$D292),"")</f>
        <v>1161039</v>
      </c>
      <c r="N292" s="37" t="n">
        <f aca="false">IF(AND(ISNUMBER($G292),$G292&gt;=60),MIN(INDEX($E$92:$E292,202-60):$E292),"")</f>
        <v>1014556</v>
      </c>
      <c r="O292" s="38" t="n">
        <f aca="false">IF(OR(NOT(ISNUMBER($C292)),NOT(ISNUMBER($M292)),$M292=0),"",$C292/$M292-1)</f>
        <v>-0.0857275250874432</v>
      </c>
    </row>
    <row r="293" customFormat="false" ht="15" hidden="false" customHeight="true" outlineLevel="0" collapsed="false">
      <c r="A293" s="32" t="n">
        <v>45972</v>
      </c>
      <c r="B293" s="33" t="s">
        <v>383</v>
      </c>
      <c r="C293" s="34" t="n">
        <v>1057974</v>
      </c>
      <c r="D293" s="34" t="n">
        <v>1058783</v>
      </c>
      <c r="E293" s="34" t="n">
        <v>1057029</v>
      </c>
      <c r="F293" s="34" t="n">
        <v>0</v>
      </c>
      <c r="G293" s="35" t="n">
        <f aca="false">IF($A293="","",IF(ISNUMBER($G292),$G292+1,1))</f>
        <v>289</v>
      </c>
      <c r="H293" s="36" t="n">
        <f aca="false">IF(OR(NOT(ISNUMBER($G293)),$G293&lt;2,NOT(ISNUMBER($C292)),$C292=0),"",$C293/$C292-1)</f>
        <v>-0.00332734812615287</v>
      </c>
      <c r="I293" s="37" t="n">
        <f aca="false">IF(AND(ISNUMBER($G293),$G293&gt;=MA_SHORT),AVERAGE(INDEX($C$5:$C293,290-MA_SHORT):$C293),"")</f>
        <v>1073738.7</v>
      </c>
      <c r="J293" s="37" t="n">
        <f aca="false">IF(AND(ISNUMBER($G293),$G293&gt;=MA_MED),AVERAGE(INDEX($C$5:$C293,290-MA_MED):$C293),"")</f>
        <v>1064562.38</v>
      </c>
      <c r="K293" s="37" t="n">
        <f aca="false">IF(AND(ISNUMBER($G293),$G293&gt;=MA_LONG2),AVERAGE(INDEX($C$5:$C293,290-MA_LONG2):$C293),"")</f>
        <v>1120803.945</v>
      </c>
      <c r="L293" s="38" t="n">
        <f aca="false">IF(AND(ISNUMBER($G293),$G293&gt;=21),STDEV(INDEX($H$233:$H293,62-20):$H293)*SQRT(245),"")</f>
        <v>0.187675906038858</v>
      </c>
      <c r="M293" s="37" t="n">
        <f aca="false">IF(AND(ISNUMBER($G293),$G293&gt;=60),MAX(INDEX($D$93:$D293,202-60):$D293),"")</f>
        <v>1161039</v>
      </c>
      <c r="N293" s="37" t="n">
        <f aca="false">IF(AND(ISNUMBER($G293),$G293&gt;=60),MIN(INDEX($E$93:$E293,202-60):$E293),"")</f>
        <v>1014556</v>
      </c>
      <c r="O293" s="38" t="n">
        <f aca="false">IF(OR(NOT(ISNUMBER($C293)),NOT(ISNUMBER($M293)),$M293=0),"",$C293/$M293-1)</f>
        <v>-0.0887696278936366</v>
      </c>
    </row>
    <row r="294" customFormat="false" ht="15" hidden="false" customHeight="true" outlineLevel="0" collapsed="false">
      <c r="A294" s="32" t="n">
        <v>45973</v>
      </c>
      <c r="B294" s="33" t="s">
        <v>384</v>
      </c>
      <c r="C294" s="34" t="n">
        <v>1053091</v>
      </c>
      <c r="D294" s="34" t="n">
        <v>1054712</v>
      </c>
      <c r="E294" s="34" t="n">
        <v>1048832</v>
      </c>
      <c r="F294" s="34" t="n">
        <v>0</v>
      </c>
      <c r="G294" s="35" t="n">
        <f aca="false">IF($A294="","",IF(ISNUMBER($G293),$G293+1,1))</f>
        <v>290</v>
      </c>
      <c r="H294" s="36" t="n">
        <f aca="false">IF(OR(NOT(ISNUMBER($G294)),$G294&lt;2,NOT(ISNUMBER($C293)),$C293=0),"",$C294/$C293-1)</f>
        <v>-0.00461542533181347</v>
      </c>
      <c r="I294" s="37" t="n">
        <f aca="false">IF(AND(ISNUMBER($G294),$G294&gt;=MA_SHORT),AVERAGE(INDEX($C$5:$C294,291-MA_SHORT):$C294),"")</f>
        <v>1073114.2</v>
      </c>
      <c r="J294" s="37" t="n">
        <f aca="false">IF(AND(ISNUMBER($G294),$G294&gt;=MA_MED),AVERAGE(INDEX($C$5:$C294,291-MA_MED):$C294),"")</f>
        <v>1063701.66</v>
      </c>
      <c r="K294" s="37" t="n">
        <f aca="false">IF(AND(ISNUMBER($G294),$G294&gt;=MA_LONG2),AVERAGE(INDEX($C$5:$C294,291-MA_LONG2):$C294),"")</f>
        <v>1120859.08</v>
      </c>
      <c r="L294" s="38" t="n">
        <f aca="false">IF(AND(ISNUMBER($G294),$G294&gt;=21),STDEV(INDEX($H$234:$H294,62-20):$H294)*SQRT(245),"")</f>
        <v>0.187116843605886</v>
      </c>
      <c r="M294" s="37" t="n">
        <f aca="false">IF(AND(ISNUMBER($G294),$G294&gt;=60),MAX(INDEX($D$94:$D294,202-60):$D294),"")</f>
        <v>1161039</v>
      </c>
      <c r="N294" s="37" t="n">
        <f aca="false">IF(AND(ISNUMBER($G294),$G294&gt;=60),MIN(INDEX($E$94:$E294,202-60):$E294),"")</f>
        <v>1014556</v>
      </c>
      <c r="O294" s="38" t="n">
        <f aca="false">IF(OR(NOT(ISNUMBER($C294)),NOT(ISNUMBER($M294)),$M294=0),"",$C294/$M294-1)</f>
        <v>-0.0929753436361741</v>
      </c>
    </row>
    <row r="295" customFormat="false" ht="15" hidden="false" customHeight="true" outlineLevel="0" collapsed="false">
      <c r="A295" s="32" t="n">
        <v>45976</v>
      </c>
      <c r="B295" s="33" t="s">
        <v>385</v>
      </c>
      <c r="C295" s="34" t="n">
        <v>1071776</v>
      </c>
      <c r="D295" s="34" t="n">
        <v>1073766</v>
      </c>
      <c r="E295" s="34" t="n">
        <v>1070899</v>
      </c>
      <c r="F295" s="34" t="n">
        <v>0</v>
      </c>
      <c r="G295" s="35" t="n">
        <f aca="false">IF($A295="","",IF(ISNUMBER($G294),$G294+1,1))</f>
        <v>291</v>
      </c>
      <c r="H295" s="36" t="n">
        <f aca="false">IF(OR(NOT(ISNUMBER($G295)),$G295&lt;2,NOT(ISNUMBER($C294)),$C294=0),"",$C295/$C294-1)</f>
        <v>0.017743006065003</v>
      </c>
      <c r="I295" s="37" t="n">
        <f aca="false">IF(AND(ISNUMBER($G295),$G295&gt;=MA_SHORT),AVERAGE(INDEX($C$5:$C295,292-MA_SHORT):$C295),"")</f>
        <v>1073385.85</v>
      </c>
      <c r="J295" s="37" t="n">
        <f aca="false">IF(AND(ISNUMBER($G295),$G295&gt;=MA_MED),AVERAGE(INDEX($C$5:$C295,292-MA_MED):$C295),"")</f>
        <v>1063120.5</v>
      </c>
      <c r="K295" s="37" t="n">
        <f aca="false">IF(AND(ISNUMBER($G295),$G295&gt;=MA_LONG2),AVERAGE(INDEX($C$5:$C295,292-MA_LONG2):$C295),"")</f>
        <v>1120984.67</v>
      </c>
      <c r="L295" s="38" t="n">
        <f aca="false">IF(AND(ISNUMBER($G295),$G295&gt;=21),STDEV(INDEX($H$235:$H295,62-20):$H295)*SQRT(245),"")</f>
        <v>0.197756547366173</v>
      </c>
      <c r="M295" s="37" t="n">
        <f aca="false">IF(AND(ISNUMBER($G295),$G295&gt;=60),MAX(INDEX($D$95:$D295,202-60):$D295),"")</f>
        <v>1161039</v>
      </c>
      <c r="N295" s="37" t="n">
        <f aca="false">IF(AND(ISNUMBER($G295),$G295&gt;=60),MIN(INDEX($E$95:$E295,202-60):$E295),"")</f>
        <v>1014556</v>
      </c>
      <c r="O295" s="38" t="n">
        <f aca="false">IF(OR(NOT(ISNUMBER($C295)),NOT(ISNUMBER($M295)),$M295=0),"",$C295/$M295-1)</f>
        <v>-0.0768819996572036</v>
      </c>
    </row>
    <row r="296" customFormat="false" ht="15" hidden="false" customHeight="true" outlineLevel="0" collapsed="false">
      <c r="A296" s="32" t="n">
        <v>45977</v>
      </c>
      <c r="B296" s="33" t="s">
        <v>386</v>
      </c>
      <c r="C296" s="34" t="n">
        <v>1082599</v>
      </c>
      <c r="D296" s="34" t="n">
        <v>1084787</v>
      </c>
      <c r="E296" s="34" t="n">
        <v>1082467</v>
      </c>
      <c r="F296" s="34" t="n">
        <v>0</v>
      </c>
      <c r="G296" s="35" t="n">
        <f aca="false">IF($A296="","",IF(ISNUMBER($G295),$G295+1,1))</f>
        <v>292</v>
      </c>
      <c r="H296" s="36" t="n">
        <f aca="false">IF(OR(NOT(ISNUMBER($G296)),$G296&lt;2,NOT(ISNUMBER($C295)),$C295=0),"",$C296/$C295-1)</f>
        <v>0.0100981921595558</v>
      </c>
      <c r="I296" s="37" t="n">
        <f aca="false">IF(AND(ISNUMBER($G296),$G296&gt;=MA_SHORT),AVERAGE(INDEX($C$5:$C296,293-MA_SHORT):$C296),"")</f>
        <v>1074825.05</v>
      </c>
      <c r="J296" s="37" t="n">
        <f aca="false">IF(AND(ISNUMBER($G296),$G296&gt;=MA_MED),AVERAGE(INDEX($C$5:$C296,293-MA_MED):$C296),"")</f>
        <v>1062744.74</v>
      </c>
      <c r="K296" s="37" t="n">
        <f aca="false">IF(AND(ISNUMBER($G296),$G296&gt;=MA_LONG2),AVERAGE(INDEX($C$5:$C296,293-MA_LONG2):$C296),"")</f>
        <v>1121093.03</v>
      </c>
      <c r="L296" s="38" t="n">
        <f aca="false">IF(AND(ISNUMBER($G296),$G296&gt;=21),STDEV(INDEX($H$236:$H296,62-20):$H296)*SQRT(245),"")</f>
        <v>0.195318096852561</v>
      </c>
      <c r="M296" s="37" t="n">
        <f aca="false">IF(AND(ISNUMBER($G296),$G296&gt;=60),MAX(INDEX($D$96:$D296,202-60):$D296),"")</f>
        <v>1161039</v>
      </c>
      <c r="N296" s="37" t="n">
        <f aca="false">IF(AND(ISNUMBER($G296),$G296&gt;=60),MIN(INDEX($E$96:$E296,202-60):$E296),"")</f>
        <v>1014556</v>
      </c>
      <c r="O296" s="38" t="n">
        <f aca="false">IF(OR(NOT(ISNUMBER($C296)),NOT(ISNUMBER($M296)),$M296=0),"",$C296/$M296-1)</f>
        <v>-0.0675601767037972</v>
      </c>
    </row>
    <row r="297" customFormat="false" ht="15" hidden="false" customHeight="true" outlineLevel="0" collapsed="false">
      <c r="A297" s="32" t="n">
        <v>45978</v>
      </c>
      <c r="B297" s="33" t="s">
        <v>387</v>
      </c>
      <c r="C297" s="34" t="n">
        <v>1081795</v>
      </c>
      <c r="D297" s="34" t="n">
        <v>1082859</v>
      </c>
      <c r="E297" s="34" t="n">
        <v>1079109</v>
      </c>
      <c r="F297" s="34" t="n">
        <v>0</v>
      </c>
      <c r="G297" s="35" t="n">
        <f aca="false">IF($A297="","",IF(ISNUMBER($G296),$G296+1,1))</f>
        <v>293</v>
      </c>
      <c r="H297" s="36" t="n">
        <f aca="false">IF(OR(NOT(ISNUMBER($G297)),$G297&lt;2,NOT(ISNUMBER($C296)),$C296=0),"",$C297/$C296-1)</f>
        <v>-0.000742657253516743</v>
      </c>
      <c r="I297" s="37" t="n">
        <f aca="false">IF(AND(ISNUMBER($G297),$G297&gt;=MA_SHORT),AVERAGE(INDEX($C$5:$C297,294-MA_SHORT):$C297),"")</f>
        <v>1075160.6</v>
      </c>
      <c r="J297" s="37" t="n">
        <f aca="false">IF(AND(ISNUMBER($G297),$G297&gt;=MA_MED),AVERAGE(INDEX($C$5:$C297,294-MA_MED):$C297),"")</f>
        <v>1062203.76</v>
      </c>
      <c r="K297" s="37" t="n">
        <f aca="false">IF(AND(ISNUMBER($G297),$G297&gt;=MA_LONG2),AVERAGE(INDEX($C$5:$C297,294-MA_LONG2):$C297),"")</f>
        <v>1121210.61</v>
      </c>
      <c r="L297" s="38" t="n">
        <f aca="false">IF(AND(ISNUMBER($G297),$G297&gt;=21),STDEV(INDEX($H$237:$H297,62-20):$H297)*SQRT(245),"")</f>
        <v>0.182726061305038</v>
      </c>
      <c r="M297" s="37" t="n">
        <f aca="false">IF(AND(ISNUMBER($G297),$G297&gt;=60),MAX(INDEX($D$97:$D297,202-60):$D297),"")</f>
        <v>1161039</v>
      </c>
      <c r="N297" s="37" t="n">
        <f aca="false">IF(AND(ISNUMBER($G297),$G297&gt;=60),MIN(INDEX($E$97:$E297,202-60):$E297),"")</f>
        <v>1014556</v>
      </c>
      <c r="O297" s="38" t="n">
        <f aca="false">IF(OR(NOT(ISNUMBER($C297)),NOT(ISNUMBER($M297)),$M297=0),"",$C297/$M297-1)</f>
        <v>-0.068252659902036</v>
      </c>
    </row>
    <row r="298" customFormat="false" ht="15" hidden="false" customHeight="true" outlineLevel="0" collapsed="false">
      <c r="A298" s="32" t="n">
        <v>45979</v>
      </c>
      <c r="B298" s="33" t="s">
        <v>388</v>
      </c>
      <c r="C298" s="34" t="n">
        <v>1090701</v>
      </c>
      <c r="D298" s="34" t="n">
        <v>1092053</v>
      </c>
      <c r="E298" s="34" t="n">
        <v>1089358</v>
      </c>
      <c r="F298" s="34" t="n">
        <v>0</v>
      </c>
      <c r="G298" s="35" t="n">
        <f aca="false">IF($A298="","",IF(ISNUMBER($G297),$G297+1,1))</f>
        <v>294</v>
      </c>
      <c r="H298" s="36" t="n">
        <f aca="false">IF(OR(NOT(ISNUMBER($G298)),$G298&lt;2,NOT(ISNUMBER($C297)),$C297=0),"",$C298/$C297-1)</f>
        <v>0.00823261338793402</v>
      </c>
      <c r="I298" s="37" t="n">
        <f aca="false">IF(AND(ISNUMBER($G298),$G298&gt;=MA_SHORT),AVERAGE(INDEX($C$5:$C298,295-MA_SHORT):$C298),"")</f>
        <v>1076153.55</v>
      </c>
      <c r="J298" s="37" t="n">
        <f aca="false">IF(AND(ISNUMBER($G298),$G298&gt;=MA_MED),AVERAGE(INDEX($C$5:$C298,295-MA_MED):$C298),"")</f>
        <v>1062172.48</v>
      </c>
      <c r="K298" s="37" t="n">
        <f aca="false">IF(AND(ISNUMBER($G298),$G298&gt;=MA_LONG2),AVERAGE(INDEX($C$5:$C298,295-MA_LONG2):$C298),"")</f>
        <v>1121345.72</v>
      </c>
      <c r="L298" s="38" t="n">
        <f aca="false">IF(AND(ISNUMBER($G298),$G298&gt;=21),STDEV(INDEX($H$238:$H298,62-20):$H298)*SQRT(245),"")</f>
        <v>0.183979129893979</v>
      </c>
      <c r="M298" s="37" t="n">
        <f aca="false">IF(AND(ISNUMBER($G298),$G298&gt;=60),MAX(INDEX($D$98:$D298,202-60):$D298),"")</f>
        <v>1161039</v>
      </c>
      <c r="N298" s="37" t="n">
        <f aca="false">IF(AND(ISNUMBER($G298),$G298&gt;=60),MIN(INDEX($E$98:$E298,202-60):$E298),"")</f>
        <v>1014556</v>
      </c>
      <c r="O298" s="38" t="n">
        <f aca="false">IF(OR(NOT(ISNUMBER($C298)),NOT(ISNUMBER($M298)),$M298=0),"",$C298/$M298-1)</f>
        <v>-0.0605819442757737</v>
      </c>
    </row>
    <row r="299" customFormat="false" ht="15" hidden="false" customHeight="true" outlineLevel="0" collapsed="false">
      <c r="A299" s="32" t="n">
        <v>45980</v>
      </c>
      <c r="B299" s="33" t="s">
        <v>389</v>
      </c>
      <c r="C299" s="34" t="n">
        <v>1096857</v>
      </c>
      <c r="D299" s="34" t="n">
        <v>1102266</v>
      </c>
      <c r="E299" s="34" t="n">
        <v>1094411</v>
      </c>
      <c r="F299" s="34" t="n">
        <v>0</v>
      </c>
      <c r="G299" s="35" t="n">
        <f aca="false">IF($A299="","",IF(ISNUMBER($G298),$G298+1,1))</f>
        <v>295</v>
      </c>
      <c r="H299" s="36" t="n">
        <f aca="false">IF(OR(NOT(ISNUMBER($G299)),$G299&lt;2,NOT(ISNUMBER($C298)),$C298=0),"",$C299/$C298-1)</f>
        <v>0.0056440766076129</v>
      </c>
      <c r="I299" s="37" t="n">
        <f aca="false">IF(AND(ISNUMBER($G299),$G299&gt;=MA_SHORT),AVERAGE(INDEX($C$5:$C299,296-MA_SHORT):$C299),"")</f>
        <v>1077567.75</v>
      </c>
      <c r="J299" s="37" t="n">
        <f aca="false">IF(AND(ISNUMBER($G299),$G299&gt;=MA_MED),AVERAGE(INDEX($C$5:$C299,296-MA_MED):$C299),"")</f>
        <v>1062448.14</v>
      </c>
      <c r="K299" s="37" t="n">
        <f aca="false">IF(AND(ISNUMBER($G299),$G299&gt;=MA_LONG2),AVERAGE(INDEX($C$5:$C299,296-MA_LONG2):$C299),"")</f>
        <v>1121496.435</v>
      </c>
      <c r="L299" s="38" t="n">
        <f aca="false">IF(AND(ISNUMBER($G299),$G299&gt;=21),STDEV(INDEX($H$239:$H299,62-20):$H299)*SQRT(245),"")</f>
        <v>0.184296429820757</v>
      </c>
      <c r="M299" s="37" t="n">
        <f aca="false">IF(AND(ISNUMBER($G299),$G299&gt;=60),MAX(INDEX($D$99:$D299,202-60):$D299),"")</f>
        <v>1137609</v>
      </c>
      <c r="N299" s="37" t="n">
        <f aca="false">IF(AND(ISNUMBER($G299),$G299&gt;=60),MIN(INDEX($E$99:$E299,202-60):$E299),"")</f>
        <v>1014556</v>
      </c>
      <c r="O299" s="38" t="n">
        <f aca="false">IF(OR(NOT(ISNUMBER($C299)),NOT(ISNUMBER($M299)),$M299=0),"",$C299/$M299-1)</f>
        <v>-0.035822501404261</v>
      </c>
    </row>
    <row r="300" customFormat="false" ht="15" hidden="false" customHeight="true" outlineLevel="0" collapsed="false">
      <c r="A300" s="32" t="n">
        <v>45983</v>
      </c>
      <c r="B300" s="33" t="s">
        <v>390</v>
      </c>
      <c r="C300" s="34" t="n">
        <v>1095273</v>
      </c>
      <c r="D300" s="34" t="n">
        <v>1096884</v>
      </c>
      <c r="E300" s="34" t="n">
        <v>1092471</v>
      </c>
      <c r="F300" s="34" t="n">
        <v>0</v>
      </c>
      <c r="G300" s="35" t="n">
        <f aca="false">IF($A300="","",IF(ISNUMBER($G299),$G299+1,1))</f>
        <v>296</v>
      </c>
      <c r="H300" s="36" t="n">
        <f aca="false">IF(OR(NOT(ISNUMBER($G300)),$G300&lt;2,NOT(ISNUMBER($C299)),$C299=0),"",$C300/$C299-1)</f>
        <v>-0.00144412626258483</v>
      </c>
      <c r="I300" s="37" t="n">
        <f aca="false">IF(AND(ISNUMBER($G300),$G300&gt;=MA_SHORT),AVERAGE(INDEX($C$5:$C300,297-MA_SHORT):$C300),"")</f>
        <v>1077720.3</v>
      </c>
      <c r="J300" s="37" t="n">
        <f aca="false">IF(AND(ISNUMBER($G300),$G300&gt;=MA_MED),AVERAGE(INDEX($C$5:$C300,297-MA_MED):$C300),"")</f>
        <v>1062852.46</v>
      </c>
      <c r="K300" s="37" t="n">
        <f aca="false">IF(AND(ISNUMBER($G300),$G300&gt;=MA_LONG2),AVERAGE(INDEX($C$5:$C300,297-MA_LONG2):$C300),"")</f>
        <v>1121636.53</v>
      </c>
      <c r="L300" s="38" t="n">
        <f aca="false">IF(AND(ISNUMBER($G300),$G300&gt;=21),STDEV(INDEX($H$240:$H300,62-20):$H300)*SQRT(245),"")</f>
        <v>0.167787594639941</v>
      </c>
      <c r="M300" s="37" t="n">
        <f aca="false">IF(AND(ISNUMBER($G300),$G300&gt;=60),MAX(INDEX($D$100:$D300,202-60):$D300),"")</f>
        <v>1137609</v>
      </c>
      <c r="N300" s="37" t="n">
        <f aca="false">IF(AND(ISNUMBER($G300),$G300&gt;=60),MIN(INDEX($E$100:$E300,202-60):$E300),"")</f>
        <v>1014556</v>
      </c>
      <c r="O300" s="38" t="n">
        <f aca="false">IF(OR(NOT(ISNUMBER($C300)),NOT(ISNUMBER($M300)),$M300=0),"",$C300/$M300-1)</f>
        <v>-0.0372148954517765</v>
      </c>
    </row>
    <row r="301" customFormat="false" ht="15" hidden="false" customHeight="true" outlineLevel="0" collapsed="false">
      <c r="A301" s="32" t="n">
        <v>45984</v>
      </c>
      <c r="B301" s="33" t="s">
        <v>391</v>
      </c>
      <c r="C301" s="34" t="n">
        <v>1108728</v>
      </c>
      <c r="D301" s="34" t="n">
        <v>1112013</v>
      </c>
      <c r="E301" s="34" t="n">
        <v>1103799</v>
      </c>
      <c r="F301" s="34" t="n">
        <v>0</v>
      </c>
      <c r="G301" s="35" t="n">
        <f aca="false">IF($A301="","",IF(ISNUMBER($G300),$G300+1,1))</f>
        <v>297</v>
      </c>
      <c r="H301" s="36" t="n">
        <f aca="false">IF(OR(NOT(ISNUMBER($G301)),$G301&lt;2,NOT(ISNUMBER($C300)),$C300=0),"",$C301/$C300-1)</f>
        <v>0.0122846084948685</v>
      </c>
      <c r="I301" s="37" t="n">
        <f aca="false">IF(AND(ISNUMBER($G301),$G301&gt;=MA_SHORT),AVERAGE(INDEX($C$5:$C301,298-MA_SHORT):$C301),"")</f>
        <v>1077486.75</v>
      </c>
      <c r="J301" s="37" t="n">
        <f aca="false">IF(AND(ISNUMBER($G301),$G301&gt;=MA_MED),AVERAGE(INDEX($C$5:$C301,298-MA_MED):$C301),"")</f>
        <v>1063535.46</v>
      </c>
      <c r="K301" s="37" t="n">
        <f aca="false">IF(AND(ISNUMBER($G301),$G301&gt;=MA_LONG2),AVERAGE(INDEX($C$5:$C301,298-MA_LONG2):$C301),"")</f>
        <v>1121836.14</v>
      </c>
      <c r="L301" s="38" t="n">
        <f aca="false">IF(AND(ISNUMBER($G301),$G301&gt;=21),STDEV(INDEX($H$241:$H301,62-20):$H301)*SQRT(245),"")</f>
        <v>0.158915593472394</v>
      </c>
      <c r="M301" s="37" t="n">
        <f aca="false">IF(AND(ISNUMBER($G301),$G301&gt;=60),MAX(INDEX($D$101:$D301,202-60):$D301),"")</f>
        <v>1114834</v>
      </c>
      <c r="N301" s="37" t="n">
        <f aca="false">IF(AND(ISNUMBER($G301),$G301&gt;=60),MIN(INDEX($E$101:$E301,202-60):$E301),"")</f>
        <v>1014556</v>
      </c>
      <c r="O301" s="38" t="n">
        <f aca="false">IF(OR(NOT(ISNUMBER($C301)),NOT(ISNUMBER($M301)),$M301=0),"",$C301/$M301-1)</f>
        <v>-0.00547704860095766</v>
      </c>
    </row>
    <row r="302" customFormat="false" ht="15" hidden="false" customHeight="true" outlineLevel="0" collapsed="false">
      <c r="A302" s="32" t="n">
        <v>45985</v>
      </c>
      <c r="B302" s="33" t="s">
        <v>392</v>
      </c>
      <c r="C302" s="34" t="n">
        <v>1105035</v>
      </c>
      <c r="D302" s="34" t="n">
        <v>1105178</v>
      </c>
      <c r="E302" s="34" t="n">
        <v>1102321</v>
      </c>
      <c r="F302" s="34" t="n">
        <v>0</v>
      </c>
      <c r="G302" s="35" t="n">
        <f aca="false">IF($A302="","",IF(ISNUMBER($G301),$G301+1,1))</f>
        <v>298</v>
      </c>
      <c r="H302" s="36" t="n">
        <f aca="false">IF(OR(NOT(ISNUMBER($G302)),$G302&lt;2,NOT(ISNUMBER($C301)),$C301=0),"",$C302/$C301-1)</f>
        <v>-0.00333084399419881</v>
      </c>
      <c r="I302" s="37" t="n">
        <f aca="false">IF(AND(ISNUMBER($G302),$G302&gt;=MA_SHORT),AVERAGE(INDEX($C$5:$C302,299-MA_SHORT):$C302),"")</f>
        <v>1077478.2</v>
      </c>
      <c r="J302" s="37" t="n">
        <f aca="false">IF(AND(ISNUMBER($G302),$G302&gt;=MA_MED),AVERAGE(INDEX($C$5:$C302,299-MA_MED):$C302),"")</f>
        <v>1064282.18</v>
      </c>
      <c r="K302" s="37" t="n">
        <f aca="false">IF(AND(ISNUMBER($G302),$G302&gt;=MA_LONG2),AVERAGE(INDEX($C$5:$C302,299-MA_LONG2):$C302),"")</f>
        <v>1122076.09</v>
      </c>
      <c r="L302" s="38" t="n">
        <f aca="false">IF(AND(ISNUMBER($G302),$G302&gt;=21),STDEV(INDEX($H$242:$H302,62-20):$H302)*SQRT(245),"")</f>
        <v>0.15717908287397</v>
      </c>
      <c r="M302" s="37" t="n">
        <f aca="false">IF(AND(ISNUMBER($G302),$G302&gt;=60),MAX(INDEX($D$102:$D302,202-60):$D302),"")</f>
        <v>1114834</v>
      </c>
      <c r="N302" s="37" t="n">
        <f aca="false">IF(AND(ISNUMBER($G302),$G302&gt;=60),MIN(INDEX($E$102:$E302,202-60):$E302),"")</f>
        <v>1014556</v>
      </c>
      <c r="O302" s="38" t="n">
        <f aca="false">IF(OR(NOT(ISNUMBER($C302)),NOT(ISNUMBER($M302)),$M302=0),"",$C302/$M302-1)</f>
        <v>-0.00878964940071791</v>
      </c>
    </row>
    <row r="303" customFormat="false" ht="15" hidden="false" customHeight="true" outlineLevel="0" collapsed="false">
      <c r="A303" s="32" t="n">
        <v>45986</v>
      </c>
      <c r="B303" s="33" t="s">
        <v>393</v>
      </c>
      <c r="C303" s="34" t="n">
        <v>1099823</v>
      </c>
      <c r="D303" s="34" t="n">
        <v>1101493</v>
      </c>
      <c r="E303" s="34" t="n">
        <v>1098187</v>
      </c>
      <c r="F303" s="34" t="n">
        <v>0</v>
      </c>
      <c r="G303" s="35" t="n">
        <f aca="false">IF($A303="","",IF(ISNUMBER($G302),$G302+1,1))</f>
        <v>299</v>
      </c>
      <c r="H303" s="36" t="n">
        <f aca="false">IF(OR(NOT(ISNUMBER($G303)),$G303&lt;2,NOT(ISNUMBER($C302)),$C302=0),"",$C303/$C302-1)</f>
        <v>-0.00471659268710944</v>
      </c>
      <c r="I303" s="37" t="n">
        <f aca="false">IF(AND(ISNUMBER($G303),$G303&gt;=MA_SHORT),AVERAGE(INDEX($C$5:$C303,300-MA_SHORT):$C303),"")</f>
        <v>1077120.2</v>
      </c>
      <c r="J303" s="37" t="n">
        <f aca="false">IF(AND(ISNUMBER($G303),$G303&gt;=MA_MED),AVERAGE(INDEX($C$5:$C303,300-MA_MED):$C303),"")</f>
        <v>1065148.24</v>
      </c>
      <c r="K303" s="37" t="n">
        <f aca="false">IF(AND(ISNUMBER($G303),$G303&gt;=MA_LONG2),AVERAGE(INDEX($C$5:$C303,300-MA_LONG2):$C303),"")</f>
        <v>1122271.225</v>
      </c>
      <c r="L303" s="38" t="n">
        <f aca="false">IF(AND(ISNUMBER($G303),$G303&gt;=21),STDEV(INDEX($H$243:$H303,62-20):$H303)*SQRT(245),"")</f>
        <v>0.157922723884007</v>
      </c>
      <c r="M303" s="37" t="n">
        <f aca="false">IF(AND(ISNUMBER($G303),$G303&gt;=60),MAX(INDEX($D$103:$D303,202-60):$D303),"")</f>
        <v>1114834</v>
      </c>
      <c r="N303" s="37" t="n">
        <f aca="false">IF(AND(ISNUMBER($G303),$G303&gt;=60),MIN(INDEX($E$103:$E303,202-60):$E303),"")</f>
        <v>1014556</v>
      </c>
      <c r="O303" s="38" t="n">
        <f aca="false">IF(OR(NOT(ISNUMBER($C303)),NOT(ISNUMBER($M303)),$M303=0),"",$C303/$M303-1)</f>
        <v>-0.0134647848917417</v>
      </c>
    </row>
    <row r="304" customFormat="false" ht="15" hidden="false" customHeight="true" outlineLevel="0" collapsed="false">
      <c r="A304" s="32" t="n">
        <v>45987</v>
      </c>
      <c r="B304" s="33" t="s">
        <v>394</v>
      </c>
      <c r="C304" s="34" t="n">
        <v>1091390</v>
      </c>
      <c r="D304" s="34" t="n">
        <v>1091626</v>
      </c>
      <c r="E304" s="34" t="n">
        <v>1088412</v>
      </c>
      <c r="F304" s="34" t="n">
        <v>0</v>
      </c>
      <c r="G304" s="35" t="n">
        <f aca="false">IF($A304="","",IF(ISNUMBER($G303),$G303+1,1))</f>
        <v>300</v>
      </c>
      <c r="H304" s="36" t="n">
        <f aca="false">IF(OR(NOT(ISNUMBER($G304)),$G304&lt;2,NOT(ISNUMBER($C303)),$C303=0),"",$C304/$C303-1)</f>
        <v>-0.00766759742249434</v>
      </c>
      <c r="I304" s="37" t="n">
        <f aca="false">IF(AND(ISNUMBER($G304),$G304&gt;=MA_SHORT),AVERAGE(INDEX($C$5:$C304,301-MA_SHORT):$C304),"")</f>
        <v>1076318.5</v>
      </c>
      <c r="J304" s="37" t="n">
        <f aca="false">IF(AND(ISNUMBER($G304),$G304&gt;=MA_MED),AVERAGE(INDEX($C$5:$C304,301-MA_MED):$C304),"")</f>
        <v>1065831.1</v>
      </c>
      <c r="K304" s="37" t="n">
        <f aca="false">IF(AND(ISNUMBER($G304),$G304&gt;=MA_LONG2),AVERAGE(INDEX($C$5:$C304,301-MA_LONG2):$C304),"")</f>
        <v>1122346.515</v>
      </c>
      <c r="L304" s="38" t="n">
        <f aca="false">IF(AND(ISNUMBER($G304),$G304&gt;=21),STDEV(INDEX($H$244:$H304,62-20):$H304)*SQRT(245),"")</f>
        <v>0.159988507337001</v>
      </c>
      <c r="M304" s="37" t="n">
        <f aca="false">IF(AND(ISNUMBER($G304),$G304&gt;=60),MAX(INDEX($D$104:$D304,202-60):$D304),"")</f>
        <v>1114834</v>
      </c>
      <c r="N304" s="37" t="n">
        <f aca="false">IF(AND(ISNUMBER($G304),$G304&gt;=60),MIN(INDEX($E$104:$E304,202-60):$E304),"")</f>
        <v>1014556</v>
      </c>
      <c r="O304" s="38" t="n">
        <f aca="false">IF(OR(NOT(ISNUMBER($C304)),NOT(ISNUMBER($M304)),$M304=0),"",$C304/$M304-1)</f>
        <v>-0.0210291397643058</v>
      </c>
    </row>
    <row r="305" customFormat="false" ht="15" hidden="false" customHeight="true" outlineLevel="0" collapsed="false">
      <c r="A305" s="32" t="n">
        <v>45990</v>
      </c>
      <c r="B305" s="33" t="s">
        <v>395</v>
      </c>
      <c r="C305" s="34" t="n">
        <v>1087460</v>
      </c>
      <c r="D305" s="34" t="n">
        <v>1094497</v>
      </c>
      <c r="E305" s="34" t="n">
        <v>1086906</v>
      </c>
      <c r="F305" s="34" t="n">
        <v>0</v>
      </c>
      <c r="G305" s="35" t="n">
        <f aca="false">IF($A305="","",IF(ISNUMBER($G304),$G304+1,1))</f>
        <v>301</v>
      </c>
      <c r="H305" s="36" t="n">
        <f aca="false">IF(OR(NOT(ISNUMBER($G305)),$G305&lt;2,NOT(ISNUMBER($C304)),$C304=0),"",$C305/$C304-1)</f>
        <v>-0.00360091259769657</v>
      </c>
      <c r="I305" s="37" t="n">
        <f aca="false">IF(AND(ISNUMBER($G305),$G305&gt;=MA_SHORT),AVERAGE(INDEX($C$5:$C305,302-MA_SHORT):$C305),"")</f>
        <v>1076819.4</v>
      </c>
      <c r="J305" s="37" t="n">
        <f aca="false">IF(AND(ISNUMBER($G305),$G305&gt;=MA_MED),AVERAGE(INDEX($C$5:$C305,302-MA_MED):$C305),"")</f>
        <v>1066456.06</v>
      </c>
      <c r="K305" s="37" t="n">
        <f aca="false">IF(AND(ISNUMBER($G305),$G305&gt;=MA_LONG2),AVERAGE(INDEX($C$5:$C305,302-MA_LONG2):$C305),"")</f>
        <v>1122359.5</v>
      </c>
      <c r="L305" s="38" t="n">
        <f aca="false">IF(AND(ISNUMBER($G305),$G305&gt;=21),STDEV(INDEX($H$245:$H305,62-20):$H305)*SQRT(245),"")</f>
        <v>0.127936694488842</v>
      </c>
      <c r="M305" s="37" t="n">
        <f aca="false">IF(AND(ISNUMBER($G305),$G305&gt;=60),MAX(INDEX($D$105:$D305,202-60):$D305),"")</f>
        <v>1114834</v>
      </c>
      <c r="N305" s="37" t="n">
        <f aca="false">IF(AND(ISNUMBER($G305),$G305&gt;=60),MIN(INDEX($E$105:$E305,202-60):$E305),"")</f>
        <v>1014556</v>
      </c>
      <c r="O305" s="38" t="n">
        <f aca="false">IF(OR(NOT(ISNUMBER($C305)),NOT(ISNUMBER($M305)),$M305=0),"",$C305/$M305-1)</f>
        <v>-0.0245543282677062</v>
      </c>
    </row>
    <row r="306" customFormat="false" ht="15" hidden="false" customHeight="true" outlineLevel="0" collapsed="false">
      <c r="A306" s="32" t="n">
        <v>45991</v>
      </c>
      <c r="B306" s="33" t="s">
        <v>396</v>
      </c>
      <c r="C306" s="34" t="n">
        <v>1087968</v>
      </c>
      <c r="D306" s="34" t="n">
        <v>1091745</v>
      </c>
      <c r="E306" s="34" t="n">
        <v>1086766</v>
      </c>
      <c r="F306" s="34" t="n">
        <v>0</v>
      </c>
      <c r="G306" s="35" t="n">
        <f aca="false">IF($A306="","",IF(ISNUMBER($G305),$G305+1,1))</f>
        <v>302</v>
      </c>
      <c r="H306" s="36" t="n">
        <f aca="false">IF(OR(NOT(ISNUMBER($G306)),$G306&lt;2,NOT(ISNUMBER($C305)),$C305=0),"",$C306/$C305-1)</f>
        <v>0.000467143619075738</v>
      </c>
      <c r="I306" s="37" t="n">
        <f aca="false">IF(AND(ISNUMBER($G306),$G306&gt;=MA_SHORT),AVERAGE(INDEX($C$5:$C306,303-MA_SHORT):$C306),"")</f>
        <v>1077994.75</v>
      </c>
      <c r="J306" s="37" t="n">
        <f aca="false">IF(AND(ISNUMBER($G306),$G306&gt;=MA_MED),AVERAGE(INDEX($C$5:$C306,303-MA_MED):$C306),"")</f>
        <v>1067271.62</v>
      </c>
      <c r="K306" s="37" t="n">
        <f aca="false">IF(AND(ISNUMBER($G306),$G306&gt;=MA_LONG2),AVERAGE(INDEX($C$5:$C306,303-MA_LONG2):$C306),"")</f>
        <v>1122310.355</v>
      </c>
      <c r="L306" s="38" t="n">
        <f aca="false">IF(AND(ISNUMBER($G306),$G306&gt;=21),STDEV(INDEX($H$246:$H306,62-20):$H306)*SQRT(245),"")</f>
        <v>0.119324362608589</v>
      </c>
      <c r="M306" s="37" t="n">
        <f aca="false">IF(AND(ISNUMBER($G306),$G306&gt;=60),MAX(INDEX($D$106:$D306,202-60):$D306),"")</f>
        <v>1114834</v>
      </c>
      <c r="N306" s="37" t="n">
        <f aca="false">IF(AND(ISNUMBER($G306),$G306&gt;=60),MIN(INDEX($E$106:$E306,202-60):$E306),"")</f>
        <v>1014556</v>
      </c>
      <c r="O306" s="38" t="n">
        <f aca="false">IF(OR(NOT(ISNUMBER($C306)),NOT(ISNUMBER($M306)),$M306=0),"",$C306/$M306-1)</f>
        <v>-0.0240986550464015</v>
      </c>
    </row>
    <row r="307" customFormat="false" ht="15" hidden="false" customHeight="true" outlineLevel="0" collapsed="false">
      <c r="A307" s="32" t="n">
        <v>45992</v>
      </c>
      <c r="B307" s="33" t="s">
        <v>397</v>
      </c>
      <c r="C307" s="34" t="n">
        <v>1092786</v>
      </c>
      <c r="D307" s="34" t="n">
        <v>1093063</v>
      </c>
      <c r="E307" s="34" t="n">
        <v>1090868</v>
      </c>
      <c r="F307" s="34" t="n">
        <v>0</v>
      </c>
      <c r="G307" s="35" t="n">
        <f aca="false">IF($A307="","",IF(ISNUMBER($G306),$G306+1,1))</f>
        <v>303</v>
      </c>
      <c r="H307" s="36" t="n">
        <f aca="false">IF(OR(NOT(ISNUMBER($G307)),$G307&lt;2,NOT(ISNUMBER($C306)),$C306=0),"",$C307/$C306-1)</f>
        <v>0.00442843907173751</v>
      </c>
      <c r="I307" s="37" t="n">
        <f aca="false">IF(AND(ISNUMBER($G307),$G307&gt;=MA_SHORT),AVERAGE(INDEX($C$5:$C307,304-MA_SHORT):$C307),"")</f>
        <v>1079946.75</v>
      </c>
      <c r="J307" s="37" t="n">
        <f aca="false">IF(AND(ISNUMBER($G307),$G307&gt;=MA_MED),AVERAGE(INDEX($C$5:$C307,304-MA_MED):$C307),"")</f>
        <v>1067991.16</v>
      </c>
      <c r="K307" s="37" t="n">
        <f aca="false">IF(AND(ISNUMBER($G307),$G307&gt;=MA_LONG2),AVERAGE(INDEX($C$5:$C307,304-MA_LONG2):$C307),"")</f>
        <v>1122280.575</v>
      </c>
      <c r="L307" s="38" t="n">
        <f aca="false">IF(AND(ISNUMBER($G307),$G307&gt;=21),STDEV(INDEX($H$247:$H307,62-20):$H307)*SQRT(245),"")</f>
        <v>0.112384987079228</v>
      </c>
      <c r="M307" s="37" t="n">
        <f aca="false">IF(AND(ISNUMBER($G307),$G307&gt;=60),MAX(INDEX($D$107:$D307,202-60):$D307),"")</f>
        <v>1114354</v>
      </c>
      <c r="N307" s="37" t="n">
        <f aca="false">IF(AND(ISNUMBER($G307),$G307&gt;=60),MIN(INDEX($E$107:$E307,202-60):$E307),"")</f>
        <v>1014556</v>
      </c>
      <c r="O307" s="38" t="n">
        <f aca="false">IF(OR(NOT(ISNUMBER($C307)),NOT(ISNUMBER($M307)),$M307=0),"",$C307/$M307-1)</f>
        <v>-0.0193547113394846</v>
      </c>
    </row>
    <row r="308" customFormat="false" ht="15" hidden="false" customHeight="true" outlineLevel="0" collapsed="false">
      <c r="A308" s="32" t="n">
        <v>45993</v>
      </c>
      <c r="B308" s="33" t="s">
        <v>398</v>
      </c>
      <c r="C308" s="34" t="n">
        <v>1081662</v>
      </c>
      <c r="D308" s="34" t="n">
        <v>1081719</v>
      </c>
      <c r="E308" s="34" t="n">
        <v>1078912</v>
      </c>
      <c r="F308" s="34" t="n">
        <v>0</v>
      </c>
      <c r="G308" s="35" t="n">
        <f aca="false">IF($A308="","",IF(ISNUMBER($G307),$G307+1,1))</f>
        <v>304</v>
      </c>
      <c r="H308" s="36" t="n">
        <f aca="false">IF(OR(NOT(ISNUMBER($G308)),$G308&lt;2,NOT(ISNUMBER($C307)),$C307=0),"",$C308/$C307-1)</f>
        <v>-0.0101794861940032</v>
      </c>
      <c r="I308" s="37" t="n">
        <f aca="false">IF(AND(ISNUMBER($G308),$G308&gt;=MA_SHORT),AVERAGE(INDEX($C$5:$C308,305-MA_SHORT):$C308),"")</f>
        <v>1080787.3</v>
      </c>
      <c r="J308" s="37" t="n">
        <f aca="false">IF(AND(ISNUMBER($G308),$G308&gt;=MA_MED),AVERAGE(INDEX($C$5:$C308,305-MA_MED):$C308),"")</f>
        <v>1068574.92</v>
      </c>
      <c r="K308" s="37" t="n">
        <f aca="false">IF(AND(ISNUMBER($G308),$G308&gt;=MA_LONG2),AVERAGE(INDEX($C$5:$C308,305-MA_LONG2):$C308),"")</f>
        <v>1122201.535</v>
      </c>
      <c r="L308" s="38" t="n">
        <f aca="false">IF(AND(ISNUMBER($G308),$G308&gt;=21),STDEV(INDEX($H$248:$H308,62-20):$H308)*SQRT(245),"")</f>
        <v>0.115080374177158</v>
      </c>
      <c r="M308" s="37" t="n">
        <f aca="false">IF(AND(ISNUMBER($G308),$G308&gt;=60),MAX(INDEX($D$108:$D308,202-60):$D308),"")</f>
        <v>1114354</v>
      </c>
      <c r="N308" s="37" t="n">
        <f aca="false">IF(AND(ISNUMBER($G308),$G308&gt;=60),MIN(INDEX($E$108:$E308,202-60):$E308),"")</f>
        <v>1014556</v>
      </c>
      <c r="O308" s="38" t="n">
        <f aca="false">IF(OR(NOT(ISNUMBER($C308)),NOT(ISNUMBER($M308)),$M308=0),"",$C308/$M308-1)</f>
        <v>-0.0293371765166186</v>
      </c>
    </row>
    <row r="309" customFormat="false" ht="15" hidden="false" customHeight="true" outlineLevel="0" collapsed="false">
      <c r="A309" s="32" t="n">
        <v>45994</v>
      </c>
      <c r="B309" s="33" t="s">
        <v>399</v>
      </c>
      <c r="C309" s="34" t="n">
        <v>1085301</v>
      </c>
      <c r="D309" s="34" t="n">
        <v>1087527</v>
      </c>
      <c r="E309" s="34" t="n">
        <v>1084424</v>
      </c>
      <c r="F309" s="34" t="n">
        <v>0</v>
      </c>
      <c r="G309" s="35" t="n">
        <f aca="false">IF($A309="","",IF(ISNUMBER($G308),$G308+1,1))</f>
        <v>305</v>
      </c>
      <c r="H309" s="36" t="n">
        <f aca="false">IF(OR(NOT(ISNUMBER($G309)),$G309&lt;2,NOT(ISNUMBER($C308)),$C308=0),"",$C309/$C308-1)</f>
        <v>0.00336426721101413</v>
      </c>
      <c r="I309" s="37" t="n">
        <f aca="false">IF(AND(ISNUMBER($G309),$G309&gt;=MA_SHORT),AVERAGE(INDEX($C$5:$C309,306-MA_SHORT):$C309),"")</f>
        <v>1082028.15</v>
      </c>
      <c r="J309" s="37" t="n">
        <f aca="false">IF(AND(ISNUMBER($G309),$G309&gt;=MA_MED),AVERAGE(INDEX($C$5:$C309,306-MA_MED):$C309),"")</f>
        <v>1069409.78</v>
      </c>
      <c r="K309" s="37" t="n">
        <f aca="false">IF(AND(ISNUMBER($G309),$G309&gt;=MA_LONG2),AVERAGE(INDEX($C$5:$C309,306-MA_LONG2):$C309),"")</f>
        <v>1122171.015</v>
      </c>
      <c r="L309" s="38" t="n">
        <f aca="false">IF(AND(ISNUMBER($G309),$G309&gt;=21),STDEV(INDEX($H$249:$H309,62-20):$H309)*SQRT(245),"")</f>
        <v>0.113933608553512</v>
      </c>
      <c r="M309" s="37" t="n">
        <f aca="false">IF(AND(ISNUMBER($G309),$G309&gt;=60),MAX(INDEX($D$109:$D309,202-60):$D309),"")</f>
        <v>1114354</v>
      </c>
      <c r="N309" s="37" t="n">
        <f aca="false">IF(AND(ISNUMBER($G309),$G309&gt;=60),MIN(INDEX($E$109:$E309,202-60):$E309),"")</f>
        <v>1014556</v>
      </c>
      <c r="O309" s="38" t="n">
        <f aca="false">IF(OR(NOT(ISNUMBER($C309)),NOT(ISNUMBER($M309)),$M309=0),"",$C309/$M309-1)</f>
        <v>-0.0260716074066231</v>
      </c>
    </row>
    <row r="310" customFormat="false" ht="15" hidden="false" customHeight="true" outlineLevel="0" collapsed="false">
      <c r="A310" s="32" t="n">
        <v>45997</v>
      </c>
      <c r="B310" s="33" t="s">
        <v>400</v>
      </c>
      <c r="C310" s="34" t="n">
        <v>1083000</v>
      </c>
      <c r="D310" s="34" t="n">
        <v>1083037</v>
      </c>
      <c r="E310" s="34" t="n">
        <v>1078687</v>
      </c>
      <c r="F310" s="34" t="n">
        <v>0</v>
      </c>
      <c r="G310" s="35" t="n">
        <f aca="false">IF($A310="","",IF(ISNUMBER($G309),$G309+1,1))</f>
        <v>306</v>
      </c>
      <c r="H310" s="36" t="n">
        <f aca="false">IF(OR(NOT(ISNUMBER($G310)),$G310&lt;2,NOT(ISNUMBER($C309)),$C309=0),"",$C310/$C309-1)</f>
        <v>-0.00212014915677772</v>
      </c>
      <c r="I310" s="37" t="n">
        <f aca="false">IF(AND(ISNUMBER($G310),$G310&gt;=MA_SHORT),AVERAGE(INDEX($C$5:$C310,307-MA_SHORT):$C310),"")</f>
        <v>1083549.1</v>
      </c>
      <c r="J310" s="37" t="n">
        <f aca="false">IF(AND(ISNUMBER($G310),$G310&gt;=MA_MED),AVERAGE(INDEX($C$5:$C310,307-MA_MED):$C310),"")</f>
        <v>1070466.84</v>
      </c>
      <c r="K310" s="37" t="n">
        <f aca="false">IF(AND(ISNUMBER($G310),$G310&gt;=MA_LONG2),AVERAGE(INDEX($C$5:$C310,307-MA_LONG2):$C310),"")</f>
        <v>1122179.75</v>
      </c>
      <c r="L310" s="38" t="n">
        <f aca="false">IF(AND(ISNUMBER($G310),$G310&gt;=21),STDEV(INDEX($H$250:$H310,62-20):$H310)*SQRT(245),"")</f>
        <v>0.11018978056185</v>
      </c>
      <c r="M310" s="37" t="n">
        <f aca="false">IF(AND(ISNUMBER($G310),$G310&gt;=60),MAX(INDEX($D$110:$D310,202-60):$D310),"")</f>
        <v>1114354</v>
      </c>
      <c r="N310" s="37" t="n">
        <f aca="false">IF(AND(ISNUMBER($G310),$G310&gt;=60),MIN(INDEX($E$110:$E310,202-60):$E310),"")</f>
        <v>1014556</v>
      </c>
      <c r="O310" s="38" t="n">
        <f aca="false">IF(OR(NOT(ISNUMBER($C310)),NOT(ISNUMBER($M310)),$M310=0),"",$C310/$M310-1)</f>
        <v>-0.0281364808669418</v>
      </c>
    </row>
    <row r="311" customFormat="false" ht="15" hidden="false" customHeight="true" outlineLevel="0" collapsed="false">
      <c r="A311" s="32" t="n">
        <v>45998</v>
      </c>
      <c r="B311" s="33" t="s">
        <v>401</v>
      </c>
      <c r="C311" s="34" t="n">
        <v>1072360</v>
      </c>
      <c r="D311" s="34" t="n">
        <v>1079585</v>
      </c>
      <c r="E311" s="34" t="n">
        <v>1070249</v>
      </c>
      <c r="F311" s="34" t="n">
        <v>0</v>
      </c>
      <c r="G311" s="35" t="n">
        <f aca="false">IF($A311="","",IF(ISNUMBER($G310),$G310+1,1))</f>
        <v>307</v>
      </c>
      <c r="H311" s="36" t="n">
        <f aca="false">IF(OR(NOT(ISNUMBER($G311)),$G311&lt;2,NOT(ISNUMBER($C310)),$C310=0),"",$C311/$C310-1)</f>
        <v>-0.00982456140350874</v>
      </c>
      <c r="I311" s="37" t="n">
        <f aca="false">IF(AND(ISNUMBER($G311),$G311&gt;=MA_SHORT),AVERAGE(INDEX($C$5:$C311,308-MA_SHORT):$C311),"")</f>
        <v>1084354.25</v>
      </c>
      <c r="J311" s="37" t="n">
        <f aca="false">IF(AND(ISNUMBER($G311),$G311&gt;=MA_MED),AVERAGE(INDEX($C$5:$C311,308-MA_MED):$C311),"")</f>
        <v>1071436.7</v>
      </c>
      <c r="K311" s="37" t="n">
        <f aca="false">IF(AND(ISNUMBER($G311),$G311&gt;=MA_LONG2),AVERAGE(INDEX($C$5:$C311,308-MA_LONG2):$C311),"")</f>
        <v>1122145.03</v>
      </c>
      <c r="L311" s="38" t="n">
        <f aca="false">IF(AND(ISNUMBER($G311),$G311&gt;=21),STDEV(INDEX($H$251:$H311,62-20):$H311)*SQRT(245),"")</f>
        <v>0.116672301125568</v>
      </c>
      <c r="M311" s="37" t="n">
        <f aca="false">IF(AND(ISNUMBER($G311),$G311&gt;=60),MAX(INDEX($D$111:$D311,202-60):$D311),"")</f>
        <v>1114354</v>
      </c>
      <c r="N311" s="37" t="n">
        <f aca="false">IF(AND(ISNUMBER($G311),$G311&gt;=60),MIN(INDEX($E$111:$E311,202-60):$E311),"")</f>
        <v>1014556</v>
      </c>
      <c r="O311" s="38" t="n">
        <f aca="false">IF(OR(NOT(ISNUMBER($C311)),NOT(ISNUMBER($M311)),$M311=0),"",$C311/$M311-1)</f>
        <v>-0.0376846136864946</v>
      </c>
    </row>
    <row r="312" customFormat="false" ht="15" hidden="false" customHeight="true" outlineLevel="0" collapsed="false">
      <c r="A312" s="32" t="n">
        <v>45999</v>
      </c>
      <c r="B312" s="33" t="s">
        <v>402</v>
      </c>
      <c r="C312" s="34" t="n">
        <v>1066049</v>
      </c>
      <c r="D312" s="34" t="n">
        <v>1066130</v>
      </c>
      <c r="E312" s="34" t="n">
        <v>1060881</v>
      </c>
      <c r="F312" s="34" t="n">
        <v>0</v>
      </c>
      <c r="G312" s="35" t="n">
        <f aca="false">IF($A312="","",IF(ISNUMBER($G311),$G311+1,1))</f>
        <v>308</v>
      </c>
      <c r="H312" s="36" t="n">
        <f aca="false">IF(OR(NOT(ISNUMBER($G312)),$G312&lt;2,NOT(ISNUMBER($C311)),$C311=0),"",$C312/$C311-1)</f>
        <v>-0.00588515050915739</v>
      </c>
      <c r="I312" s="37" t="n">
        <f aca="false">IF(AND(ISNUMBER($G312),$G312&gt;=MA_SHORT),AVERAGE(INDEX($C$5:$C312,309-MA_SHORT):$C312),"")</f>
        <v>1084581.4</v>
      </c>
      <c r="J312" s="37" t="n">
        <f aca="false">IF(AND(ISNUMBER($G312),$G312&gt;=MA_MED),AVERAGE(INDEX($C$5:$C312,309-MA_MED):$C312),"")</f>
        <v>1072410.6</v>
      </c>
      <c r="K312" s="37" t="n">
        <f aca="false">IF(AND(ISNUMBER($G312),$G312&gt;=MA_LONG2),AVERAGE(INDEX($C$5:$C312,309-MA_LONG2):$C312),"")</f>
        <v>1122134.62</v>
      </c>
      <c r="L312" s="38" t="n">
        <f aca="false">IF(AND(ISNUMBER($G312),$G312&gt;=21),STDEV(INDEX($H$252:$H312,62-20):$H312)*SQRT(245),"")</f>
        <v>0.117829746513159</v>
      </c>
      <c r="M312" s="37" t="n">
        <f aca="false">IF(AND(ISNUMBER($G312),$G312&gt;=60),MAX(INDEX($D$112:$D312,202-60):$D312),"")</f>
        <v>1114354</v>
      </c>
      <c r="N312" s="37" t="n">
        <f aca="false">IF(AND(ISNUMBER($G312),$G312&gt;=60),MIN(INDEX($E$112:$E312,202-60):$E312),"")</f>
        <v>1014556</v>
      </c>
      <c r="O312" s="38" t="n">
        <f aca="false">IF(OR(NOT(ISNUMBER($C312)),NOT(ISNUMBER($M312)),$M312=0),"",$C312/$M312-1)</f>
        <v>-0.0433479845722276</v>
      </c>
    </row>
    <row r="313" customFormat="false" ht="15" hidden="false" customHeight="true" outlineLevel="0" collapsed="false">
      <c r="A313" s="32" t="n">
        <v>46000</v>
      </c>
      <c r="B313" s="33" t="s">
        <v>403</v>
      </c>
      <c r="C313" s="34" t="n">
        <v>1063428</v>
      </c>
      <c r="D313" s="34" t="n">
        <v>1065372</v>
      </c>
      <c r="E313" s="34" t="n">
        <v>1061420</v>
      </c>
      <c r="F313" s="34" t="n">
        <v>0</v>
      </c>
      <c r="G313" s="35" t="n">
        <f aca="false">IF($A313="","",IF(ISNUMBER($G312),$G312+1,1))</f>
        <v>309</v>
      </c>
      <c r="H313" s="36" t="n">
        <f aca="false">IF(OR(NOT(ISNUMBER($G313)),$G313&lt;2,NOT(ISNUMBER($C312)),$C312=0),"",$C313/$C312-1)</f>
        <v>-0.00245861118954194</v>
      </c>
      <c r="I313" s="37" t="n">
        <f aca="false">IF(AND(ISNUMBER($G313),$G313&gt;=MA_SHORT),AVERAGE(INDEX($C$5:$C313,310-MA_SHORT):$C313),"")</f>
        <v>1084854.1</v>
      </c>
      <c r="J313" s="37" t="n">
        <f aca="false">IF(AND(ISNUMBER($G313),$G313&gt;=MA_MED),AVERAGE(INDEX($C$5:$C313,310-MA_MED):$C313),"")</f>
        <v>1073029.08</v>
      </c>
      <c r="K313" s="37" t="n">
        <f aca="false">IF(AND(ISNUMBER($G313),$G313&gt;=MA_LONG2),AVERAGE(INDEX($C$5:$C313,310-MA_LONG2):$C313),"")</f>
        <v>1122139.11</v>
      </c>
      <c r="L313" s="38" t="n">
        <f aca="false">IF(AND(ISNUMBER($G313),$G313&gt;=21),STDEV(INDEX($H$253:$H313,62-20):$H313)*SQRT(245),"")</f>
        <v>0.117529409358563</v>
      </c>
      <c r="M313" s="37" t="n">
        <f aca="false">IF(AND(ISNUMBER($G313),$G313&gt;=60),MAX(INDEX($D$113:$D313,202-60):$D313),"")</f>
        <v>1114354</v>
      </c>
      <c r="N313" s="37" t="n">
        <f aca="false">IF(AND(ISNUMBER($G313),$G313&gt;=60),MIN(INDEX($E$113:$E313,202-60):$E313),"")</f>
        <v>1014556</v>
      </c>
      <c r="O313" s="38" t="n">
        <f aca="false">IF(OR(NOT(ISNUMBER($C313)),NOT(ISNUMBER($M313)),$M313=0),"",$C313/$M313-1)</f>
        <v>-0.045700019921856</v>
      </c>
    </row>
    <row r="314" customFormat="false" ht="15" hidden="false" customHeight="true" outlineLevel="0" collapsed="false">
      <c r="A314" s="32" t="n">
        <v>46001</v>
      </c>
      <c r="B314" s="33" t="s">
        <v>404</v>
      </c>
      <c r="C314" s="34" t="n">
        <v>1067674</v>
      </c>
      <c r="D314" s="34" t="n">
        <v>1072627</v>
      </c>
      <c r="E314" s="34" t="n">
        <v>1063573</v>
      </c>
      <c r="F314" s="34" t="n">
        <v>0</v>
      </c>
      <c r="G314" s="35" t="n">
        <f aca="false">IF($A314="","",IF(ISNUMBER($G313),$G313+1,1))</f>
        <v>310</v>
      </c>
      <c r="H314" s="36" t="n">
        <f aca="false">IF(OR(NOT(ISNUMBER($G314)),$G314&lt;2,NOT(ISNUMBER($C313)),$C313=0),"",$C314/$C313-1)</f>
        <v>0.00399274798105753</v>
      </c>
      <c r="I314" s="37" t="n">
        <f aca="false">IF(AND(ISNUMBER($G314),$G314&gt;=MA_SHORT),AVERAGE(INDEX($C$5:$C314,311-MA_SHORT):$C314),"")</f>
        <v>1085583.25</v>
      </c>
      <c r="J314" s="37" t="n">
        <f aca="false">IF(AND(ISNUMBER($G314),$G314&gt;=MA_MED),AVERAGE(INDEX($C$5:$C314,311-MA_MED):$C314),"")</f>
        <v>1073797.56</v>
      </c>
      <c r="K314" s="37" t="n">
        <f aca="false">IF(AND(ISNUMBER($G314),$G314&gt;=MA_LONG2),AVERAGE(INDEX($C$5:$C314,311-MA_LONG2):$C314),"")</f>
        <v>1122157.395</v>
      </c>
      <c r="L314" s="38" t="n">
        <f aca="false">IF(AND(ISNUMBER($G314),$G314&gt;=21),STDEV(INDEX($H$254:$H314,62-20):$H314)*SQRT(245),"")</f>
        <v>0.116761565270222</v>
      </c>
      <c r="M314" s="37" t="n">
        <f aca="false">IF(AND(ISNUMBER($G314),$G314&gt;=60),MAX(INDEX($D$114:$D314,202-60):$D314),"")</f>
        <v>1114354</v>
      </c>
      <c r="N314" s="37" t="n">
        <f aca="false">IF(AND(ISNUMBER($G314),$G314&gt;=60),MIN(INDEX($E$114:$E314,202-60):$E314),"")</f>
        <v>1014556</v>
      </c>
      <c r="O314" s="38" t="n">
        <f aca="false">IF(OR(NOT(ISNUMBER($C314)),NOT(ISNUMBER($M314)),$M314=0),"",$C314/$M314-1)</f>
        <v>-0.0418897406030758</v>
      </c>
    </row>
    <row r="315" customFormat="false" ht="15" hidden="false" customHeight="true" outlineLevel="0" collapsed="false">
      <c r="A315" s="32" t="n">
        <v>46004</v>
      </c>
      <c r="B315" s="33" t="s">
        <v>405</v>
      </c>
      <c r="C315" s="34" t="n">
        <v>1067390</v>
      </c>
      <c r="D315" s="34" t="n">
        <v>1072470</v>
      </c>
      <c r="E315" s="34" t="n">
        <v>1064901</v>
      </c>
      <c r="F315" s="34" t="n">
        <v>0</v>
      </c>
      <c r="G315" s="35" t="n">
        <f aca="false">IF($A315="","",IF(ISNUMBER($G314),$G314+1,1))</f>
        <v>311</v>
      </c>
      <c r="H315" s="36" t="n">
        <f aca="false">IF(OR(NOT(ISNUMBER($G315)),$G315&lt;2,NOT(ISNUMBER($C314)),$C314=0),"",$C315/$C314-1)</f>
        <v>-0.000265998797385758</v>
      </c>
      <c r="I315" s="37" t="n">
        <f aca="false">IF(AND(ISNUMBER($G315),$G315&gt;=MA_SHORT),AVERAGE(INDEX($C$5:$C315,312-MA_SHORT):$C315),"")</f>
        <v>1085363.95</v>
      </c>
      <c r="J315" s="37" t="n">
        <f aca="false">IF(AND(ISNUMBER($G315),$G315&gt;=MA_MED),AVERAGE(INDEX($C$5:$C315,312-MA_MED):$C315),"")</f>
        <v>1074548.26</v>
      </c>
      <c r="K315" s="37" t="n">
        <f aca="false">IF(AND(ISNUMBER($G315),$G315&gt;=MA_LONG2),AVERAGE(INDEX($C$5:$C315,312-MA_LONG2):$C315),"")</f>
        <v>1122188.78</v>
      </c>
      <c r="L315" s="38" t="n">
        <f aca="false">IF(AND(ISNUMBER($G315),$G315&gt;=21),STDEV(INDEX($H$255:$H315,62-20):$H315)*SQRT(245),"")</f>
        <v>0.09847506817273</v>
      </c>
      <c r="M315" s="37" t="n">
        <f aca="false">IF(AND(ISNUMBER($G315),$G315&gt;=60),MAX(INDEX($D$115:$D315,202-60):$D315),"")</f>
        <v>1114354</v>
      </c>
      <c r="N315" s="37" t="n">
        <f aca="false">IF(AND(ISNUMBER($G315),$G315&gt;=60),MIN(INDEX($E$115:$E315,202-60):$E315),"")</f>
        <v>1014556</v>
      </c>
      <c r="O315" s="38" t="n">
        <f aca="false">IF(OR(NOT(ISNUMBER($C315)),NOT(ISNUMBER($M315)),$M315=0),"",$C315/$M315-1)</f>
        <v>-0.0421445967798384</v>
      </c>
    </row>
    <row r="316" customFormat="false" ht="15" hidden="false" customHeight="true" outlineLevel="0" collapsed="false">
      <c r="A316" s="32" t="n">
        <v>46005</v>
      </c>
      <c r="B316" s="33" t="s">
        <v>406</v>
      </c>
      <c r="C316" s="34" t="n">
        <v>1050790</v>
      </c>
      <c r="D316" s="34" t="n">
        <v>1052231</v>
      </c>
      <c r="E316" s="34" t="n">
        <v>1046696</v>
      </c>
      <c r="F316" s="34" t="n">
        <v>0</v>
      </c>
      <c r="G316" s="35" t="n">
        <f aca="false">IF($A316="","",IF(ISNUMBER($G315),$G315+1,1))</f>
        <v>312</v>
      </c>
      <c r="H316" s="36" t="n">
        <f aca="false">IF(OR(NOT(ISNUMBER($G316)),$G316&lt;2,NOT(ISNUMBER($C315)),$C315=0),"",$C316/$C315-1)</f>
        <v>-0.0155519538313081</v>
      </c>
      <c r="I316" s="37" t="n">
        <f aca="false">IF(AND(ISNUMBER($G316),$G316&gt;=MA_SHORT),AVERAGE(INDEX($C$5:$C316,313-MA_SHORT):$C316),"")</f>
        <v>1083773.5</v>
      </c>
      <c r="J316" s="37" t="n">
        <f aca="false">IF(AND(ISNUMBER($G316),$G316&gt;=MA_MED),AVERAGE(INDEX($C$5:$C316,313-MA_MED):$C316),"")</f>
        <v>1074835.78</v>
      </c>
      <c r="K316" s="37" t="n">
        <f aca="false">IF(AND(ISNUMBER($G316),$G316&gt;=MA_LONG2),AVERAGE(INDEX($C$5:$C316,313-MA_LONG2):$C316),"")</f>
        <v>1122139.465</v>
      </c>
      <c r="L316" s="38" t="n">
        <f aca="false">IF(AND(ISNUMBER($G316),$G316&gt;=21),STDEV(INDEX($H$256:$H316,62-20):$H316)*SQRT(245),"")</f>
        <v>0.104660391155087</v>
      </c>
      <c r="M316" s="37" t="n">
        <f aca="false">IF(AND(ISNUMBER($G316),$G316&gt;=60),MAX(INDEX($D$116:$D316,202-60):$D316),"")</f>
        <v>1114354</v>
      </c>
      <c r="N316" s="37" t="n">
        <f aca="false">IF(AND(ISNUMBER($G316),$G316&gt;=60),MIN(INDEX($E$116:$E316,202-60):$E316),"")</f>
        <v>1014556</v>
      </c>
      <c r="O316" s="38" t="n">
        <f aca="false">IF(OR(NOT(ISNUMBER($C316)),NOT(ISNUMBER($M316)),$M316=0),"",$C316/$M316-1)</f>
        <v>-0.0570411197877874</v>
      </c>
    </row>
    <row r="317" customFormat="false" ht="15" hidden="false" customHeight="true" outlineLevel="0" collapsed="false">
      <c r="A317" s="32" t="n">
        <v>46006</v>
      </c>
      <c r="B317" s="33" t="s">
        <v>407</v>
      </c>
      <c r="C317" s="34" t="n">
        <v>1041845</v>
      </c>
      <c r="D317" s="34" t="n">
        <v>1042781</v>
      </c>
      <c r="E317" s="34" t="n">
        <v>1037860</v>
      </c>
      <c r="F317" s="34" t="n">
        <v>0</v>
      </c>
      <c r="G317" s="35" t="n">
        <f aca="false">IF($A317="","",IF(ISNUMBER($G316),$G316+1,1))</f>
        <v>313</v>
      </c>
      <c r="H317" s="36" t="n">
        <f aca="false">IF(OR(NOT(ISNUMBER($G317)),$G317&lt;2,NOT(ISNUMBER($C316)),$C316=0),"",$C317/$C316-1)</f>
        <v>-0.00851264286869879</v>
      </c>
      <c r="I317" s="37" t="n">
        <f aca="false">IF(AND(ISNUMBER($G317),$G317&gt;=MA_SHORT),AVERAGE(INDEX($C$5:$C317,314-MA_SHORT):$C317),"")</f>
        <v>1081776</v>
      </c>
      <c r="J317" s="37" t="n">
        <f aca="false">IF(AND(ISNUMBER($G317),$G317&gt;=MA_MED),AVERAGE(INDEX($C$5:$C317,314-MA_MED):$C317),"")</f>
        <v>1074848.36</v>
      </c>
      <c r="K317" s="37" t="n">
        <f aca="false">IF(AND(ISNUMBER($G317),$G317&gt;=MA_LONG2),AVERAGE(INDEX($C$5:$C317,314-MA_LONG2):$C317),"")</f>
        <v>1122049.63</v>
      </c>
      <c r="L317" s="38" t="n">
        <f aca="false">IF(AND(ISNUMBER($G317),$G317&gt;=21),STDEV(INDEX($H$257:$H317,62-20):$H317)*SQRT(245),"")</f>
        <v>0.10746100719144</v>
      </c>
      <c r="M317" s="37" t="n">
        <f aca="false">IF(AND(ISNUMBER($G317),$G317&gt;=60),MAX(INDEX($D$117:$D317,202-60):$D317),"")</f>
        <v>1114354</v>
      </c>
      <c r="N317" s="37" t="n">
        <f aca="false">IF(AND(ISNUMBER($G317),$G317&gt;=60),MIN(INDEX($E$117:$E317,202-60):$E317),"")</f>
        <v>1014556</v>
      </c>
      <c r="O317" s="38" t="n">
        <f aca="false">IF(OR(NOT(ISNUMBER($C317)),NOT(ISNUMBER($M317)),$M317=0),"",$C317/$M317-1)</f>
        <v>-0.0650681919749021</v>
      </c>
    </row>
    <row r="318" customFormat="false" ht="15" hidden="false" customHeight="true" outlineLevel="0" collapsed="false">
      <c r="A318" s="32" t="n">
        <v>46007</v>
      </c>
      <c r="B318" s="33" t="s">
        <v>408</v>
      </c>
      <c r="C318" s="34" t="n">
        <v>1042380</v>
      </c>
      <c r="D318" s="34" t="n">
        <v>1042790</v>
      </c>
      <c r="E318" s="34" t="n">
        <v>1040427</v>
      </c>
      <c r="F318" s="34" t="n">
        <v>0</v>
      </c>
      <c r="G318" s="35" t="n">
        <f aca="false">IF($A318="","",IF(ISNUMBER($G317),$G317+1,1))</f>
        <v>314</v>
      </c>
      <c r="H318" s="36" t="n">
        <f aca="false">IF(OR(NOT(ISNUMBER($G318)),$G318&lt;2,NOT(ISNUMBER($C317)),$C317=0),"",$C318/$C317-1)</f>
        <v>0.000513512086730783</v>
      </c>
      <c r="I318" s="37" t="n">
        <f aca="false">IF(AND(ISNUMBER($G318),$G318&gt;=MA_SHORT),AVERAGE(INDEX($C$5:$C318,315-MA_SHORT):$C318),"")</f>
        <v>1079359.95</v>
      </c>
      <c r="J318" s="37" t="n">
        <f aca="false">IF(AND(ISNUMBER($G318),$G318&gt;=MA_MED),AVERAGE(INDEX($C$5:$C318,315-MA_MED):$C318),"")</f>
        <v>1074797.22</v>
      </c>
      <c r="K318" s="37" t="n">
        <f aca="false">IF(AND(ISNUMBER($G318),$G318&gt;=MA_LONG2),AVERAGE(INDEX($C$5:$C318,315-MA_LONG2):$C318),"")</f>
        <v>1121959.65</v>
      </c>
      <c r="L318" s="38" t="n">
        <f aca="false">IF(AND(ISNUMBER($G318),$G318&gt;=21),STDEV(INDEX($H$258:$H318,62-20):$H318)*SQRT(245),"")</f>
        <v>0.101336944571754</v>
      </c>
      <c r="M318" s="37" t="n">
        <f aca="false">IF(AND(ISNUMBER($G318),$G318&gt;=60),MAX(INDEX($D$118:$D318,202-60):$D318),"")</f>
        <v>1114354</v>
      </c>
      <c r="N318" s="37" t="n">
        <f aca="false">IF(AND(ISNUMBER($G318),$G318&gt;=60),MIN(INDEX($E$118:$E318,202-60):$E318),"")</f>
        <v>1014556</v>
      </c>
      <c r="O318" s="38" t="n">
        <f aca="false">IF(OR(NOT(ISNUMBER($C318)),NOT(ISNUMBER($M318)),$M318=0),"",$C318/$M318-1)</f>
        <v>-0.0645880931912122</v>
      </c>
    </row>
    <row r="319" customFormat="false" ht="15" hidden="false" customHeight="true" outlineLevel="0" collapsed="false">
      <c r="A319" s="32" t="n">
        <v>46008</v>
      </c>
      <c r="B319" s="33" t="s">
        <v>409</v>
      </c>
      <c r="C319" s="34" t="n">
        <v>1058975</v>
      </c>
      <c r="D319" s="34" t="n">
        <v>1063314</v>
      </c>
      <c r="E319" s="34" t="n">
        <v>1057921</v>
      </c>
      <c r="F319" s="34" t="n">
        <v>0</v>
      </c>
      <c r="G319" s="35" t="n">
        <f aca="false">IF($A319="","",IF(ISNUMBER($G318),$G318+1,1))</f>
        <v>315</v>
      </c>
      <c r="H319" s="36" t="n">
        <f aca="false">IF(OR(NOT(ISNUMBER($G319)),$G319&lt;2,NOT(ISNUMBER($C318)),$C318=0),"",$C319/$C318-1)</f>
        <v>0.0159202977800803</v>
      </c>
      <c r="I319" s="37" t="n">
        <f aca="false">IF(AND(ISNUMBER($G319),$G319&gt;=MA_SHORT),AVERAGE(INDEX($C$5:$C319,316-MA_SHORT):$C319),"")</f>
        <v>1077465.85</v>
      </c>
      <c r="J319" s="37" t="n">
        <f aca="false">IF(AND(ISNUMBER($G319),$G319&gt;=MA_MED),AVERAGE(INDEX($C$5:$C319,316-MA_MED):$C319),"")</f>
        <v>1074947.24</v>
      </c>
      <c r="K319" s="37" t="n">
        <f aca="false">IF(AND(ISNUMBER($G319),$G319&gt;=MA_LONG2),AVERAGE(INDEX($C$5:$C319,316-MA_LONG2):$C319),"")</f>
        <v>1121905.48</v>
      </c>
      <c r="L319" s="38" t="n">
        <f aca="false">IF(AND(ISNUMBER($G319),$G319&gt;=21),STDEV(INDEX($H$259:$H319,62-20):$H319)*SQRT(245),"")</f>
        <v>0.116846291616377</v>
      </c>
      <c r="M319" s="37" t="n">
        <f aca="false">IF(AND(ISNUMBER($G319),$G319&gt;=60),MAX(INDEX($D$119:$D319,202-60):$D319),"")</f>
        <v>1114354</v>
      </c>
      <c r="N319" s="37" t="n">
        <f aca="false">IF(AND(ISNUMBER($G319),$G319&gt;=60),MIN(INDEX($E$119:$E319,202-60):$E319),"")</f>
        <v>1014556</v>
      </c>
      <c r="O319" s="38" t="n">
        <f aca="false">IF(OR(NOT(ISNUMBER($C319)),NOT(ISNUMBER($M319)),$M319=0),"",$C319/$M319-1)</f>
        <v>-0.0496960570877836</v>
      </c>
    </row>
    <row r="320" customFormat="false" ht="15" hidden="false" customHeight="true" outlineLevel="0" collapsed="false">
      <c r="A320" s="32" t="n">
        <v>46011</v>
      </c>
      <c r="B320" s="33" t="s">
        <v>410</v>
      </c>
      <c r="C320" s="34" t="n">
        <v>1050617</v>
      </c>
      <c r="D320" s="34" t="n">
        <v>1051781</v>
      </c>
      <c r="E320" s="34" t="n">
        <v>1049465</v>
      </c>
      <c r="F320" s="34" t="n">
        <v>0</v>
      </c>
      <c r="G320" s="35" t="n">
        <f aca="false">IF($A320="","",IF(ISNUMBER($G319),$G319+1,1))</f>
        <v>316</v>
      </c>
      <c r="H320" s="36" t="n">
        <f aca="false">IF(OR(NOT(ISNUMBER($G320)),$G320&lt;2,NOT(ISNUMBER($C319)),$C319=0),"",$C320/$C319-1)</f>
        <v>-0.00789253759531627</v>
      </c>
      <c r="I320" s="37" t="n">
        <f aca="false">IF(AND(ISNUMBER($G320),$G320&gt;=MA_SHORT),AVERAGE(INDEX($C$5:$C320,317-MA_SHORT):$C320),"")</f>
        <v>1075233.05</v>
      </c>
      <c r="J320" s="37" t="n">
        <f aca="false">IF(AND(ISNUMBER($G320),$G320&gt;=MA_MED),AVERAGE(INDEX($C$5:$C320,317-MA_MED):$C320),"")</f>
        <v>1074866.44</v>
      </c>
      <c r="K320" s="37" t="n">
        <f aca="false">IF(AND(ISNUMBER($G320),$G320&gt;=MA_LONG2),AVERAGE(INDEX($C$5:$C320,317-MA_LONG2):$C320),"")</f>
        <v>1121766.37</v>
      </c>
      <c r="L320" s="38" t="n">
        <f aca="false">IF(AND(ISNUMBER($G320),$G320&gt;=21),STDEV(INDEX($H$260:$H320,62-20):$H320)*SQRT(245),"")</f>
        <v>0.118806554374897</v>
      </c>
      <c r="M320" s="37" t="n">
        <f aca="false">IF(AND(ISNUMBER($G320),$G320&gt;=60),MAX(INDEX($D$120:$D320,202-60):$D320),"")</f>
        <v>1114354</v>
      </c>
      <c r="N320" s="37" t="n">
        <f aca="false">IF(AND(ISNUMBER($G320),$G320&gt;=60),MIN(INDEX($E$120:$E320,202-60):$E320),"")</f>
        <v>1014556</v>
      </c>
      <c r="O320" s="38" t="n">
        <f aca="false">IF(OR(NOT(ISNUMBER($C320)),NOT(ISNUMBER($M320)),$M320=0),"",$C320/$M320-1)</f>
        <v>-0.0571963666841955</v>
      </c>
    </row>
    <row r="321" customFormat="false" ht="15" hidden="false" customHeight="true" outlineLevel="0" collapsed="false">
      <c r="A321" s="32" t="n">
        <v>46012</v>
      </c>
      <c r="B321" s="33" t="s">
        <v>411</v>
      </c>
      <c r="C321" s="34" t="n">
        <v>1044985</v>
      </c>
      <c r="D321" s="34" t="n">
        <v>1045788</v>
      </c>
      <c r="E321" s="34" t="n">
        <v>1038925</v>
      </c>
      <c r="F321" s="34" t="n">
        <v>0</v>
      </c>
      <c r="G321" s="35" t="n">
        <f aca="false">IF($A321="","",IF(ISNUMBER($G320),$G320+1,1))</f>
        <v>317</v>
      </c>
      <c r="H321" s="36" t="n">
        <f aca="false">IF(OR(NOT(ISNUMBER($G321)),$G321&lt;2,NOT(ISNUMBER($C320)),$C320=0),"",$C321/$C320-1)</f>
        <v>-0.00536065949818054</v>
      </c>
      <c r="I321" s="37" t="n">
        <f aca="false">IF(AND(ISNUMBER($G321),$G321&gt;=MA_SHORT),AVERAGE(INDEX($C$5:$C321,318-MA_SHORT):$C321),"")</f>
        <v>1072045.9</v>
      </c>
      <c r="J321" s="37" t="n">
        <f aca="false">IF(AND(ISNUMBER($G321),$G321&gt;=MA_MED),AVERAGE(INDEX($C$5:$C321,318-MA_MED):$C321),"")</f>
        <v>1074609.8</v>
      </c>
      <c r="K321" s="37" t="n">
        <f aca="false">IF(AND(ISNUMBER($G321),$G321&gt;=MA_LONG2),AVERAGE(INDEX($C$5:$C321,318-MA_LONG2):$C321),"")</f>
        <v>1121562.365</v>
      </c>
      <c r="L321" s="38" t="n">
        <f aca="false">IF(AND(ISNUMBER($G321),$G321&gt;=21),STDEV(INDEX($H$261:$H321,62-20):$H321)*SQRT(245),"")</f>
        <v>0.106794870185703</v>
      </c>
      <c r="M321" s="37" t="n">
        <f aca="false">IF(AND(ISNUMBER($G321),$G321&gt;=60),MAX(INDEX($D$121:$D321,202-60):$D321),"")</f>
        <v>1114354</v>
      </c>
      <c r="N321" s="37" t="n">
        <f aca="false">IF(AND(ISNUMBER($G321),$G321&gt;=60),MIN(INDEX($E$121:$E321,202-60):$E321),"")</f>
        <v>1014556</v>
      </c>
      <c r="O321" s="38" t="n">
        <f aca="false">IF(OR(NOT(ISNUMBER($C321)),NOT(ISNUMBER($M321)),$M321=0),"",$C321/$M321-1)</f>
        <v>-0.0622504159360491</v>
      </c>
    </row>
    <row r="322" customFormat="false" ht="15" hidden="false" customHeight="true" outlineLevel="0" collapsed="false">
      <c r="A322" s="32" t="n">
        <v>46013</v>
      </c>
      <c r="B322" s="33" t="s">
        <v>412</v>
      </c>
      <c r="C322" s="34" t="n">
        <v>1032852</v>
      </c>
      <c r="D322" s="34" t="n">
        <v>1037898</v>
      </c>
      <c r="E322" s="34" t="n">
        <v>1029319</v>
      </c>
      <c r="F322" s="34" t="n">
        <v>0</v>
      </c>
      <c r="G322" s="35" t="n">
        <f aca="false">IF($A322="","",IF(ISNUMBER($G321),$G321+1,1))</f>
        <v>318</v>
      </c>
      <c r="H322" s="36" t="n">
        <f aca="false">IF(OR(NOT(ISNUMBER($G322)),$G322&lt;2,NOT(ISNUMBER($C321)),$C321=0),"",$C322/$C321-1)</f>
        <v>-0.0116106929764542</v>
      </c>
      <c r="I322" s="37" t="n">
        <f aca="false">IF(AND(ISNUMBER($G322),$G322&gt;=MA_SHORT),AVERAGE(INDEX($C$5:$C322,319-MA_SHORT):$C322),"")</f>
        <v>1068436.75</v>
      </c>
      <c r="J322" s="37" t="n">
        <f aca="false">IF(AND(ISNUMBER($G322),$G322&gt;=MA_MED),AVERAGE(INDEX($C$5:$C322,319-MA_MED):$C322),"")</f>
        <v>1074033.56</v>
      </c>
      <c r="K322" s="37" t="n">
        <f aca="false">IF(AND(ISNUMBER($G322),$G322&gt;=MA_LONG2),AVERAGE(INDEX($C$5:$C322,319-MA_LONG2):$C322),"")</f>
        <v>1121301.78</v>
      </c>
      <c r="L322" s="38" t="n">
        <f aca="false">IF(AND(ISNUMBER($G322),$G322&gt;=21),STDEV(INDEX($H$262:$H322,62-20):$H322)*SQRT(245),"")</f>
        <v>0.111039090223785</v>
      </c>
      <c r="M322" s="37" t="n">
        <f aca="false">IF(AND(ISNUMBER($G322),$G322&gt;=60),MAX(INDEX($D$122:$D322,202-60):$D322),"")</f>
        <v>1114354</v>
      </c>
      <c r="N322" s="37" t="n">
        <f aca="false">IF(AND(ISNUMBER($G322),$G322&gt;=60),MIN(INDEX($E$122:$E322,202-60):$E322),"")</f>
        <v>1027577</v>
      </c>
      <c r="O322" s="38" t="n">
        <f aca="false">IF(OR(NOT(ISNUMBER($C322)),NOT(ISNUMBER($M322)),$M322=0),"",$C322/$M322-1)</f>
        <v>-0.0731383384454132</v>
      </c>
    </row>
    <row r="323" customFormat="false" ht="15" hidden="false" customHeight="true" outlineLevel="0" collapsed="false">
      <c r="A323" s="32" t="n">
        <v>46014</v>
      </c>
      <c r="B323" s="33" t="s">
        <v>413</v>
      </c>
      <c r="C323" s="34" t="n">
        <v>1045501</v>
      </c>
      <c r="D323" s="34" t="n">
        <v>1045987</v>
      </c>
      <c r="E323" s="34" t="n">
        <v>1043507</v>
      </c>
      <c r="F323" s="34" t="n">
        <v>0</v>
      </c>
      <c r="G323" s="35" t="n">
        <f aca="false">IF($A323="","",IF(ISNUMBER($G322),$G322+1,1))</f>
        <v>319</v>
      </c>
      <c r="H323" s="36" t="n">
        <f aca="false">IF(OR(NOT(ISNUMBER($G323)),$G323&lt;2,NOT(ISNUMBER($C322)),$C322=0),"",$C323/$C322-1)</f>
        <v>0.0122466723209134</v>
      </c>
      <c r="I323" s="37" t="n">
        <f aca="false">IF(AND(ISNUMBER($G323),$G323&gt;=MA_SHORT),AVERAGE(INDEX($C$5:$C323,320-MA_SHORT):$C323),"")</f>
        <v>1065720.65</v>
      </c>
      <c r="J323" s="37" t="n">
        <f aca="false">IF(AND(ISNUMBER($G323),$G323&gt;=MA_MED),AVERAGE(INDEX($C$5:$C323,320-MA_MED):$C323),"")</f>
        <v>1073497.3</v>
      </c>
      <c r="K323" s="37" t="n">
        <f aca="false">IF(AND(ISNUMBER($G323),$G323&gt;=MA_LONG2),AVERAGE(INDEX($C$5:$C323,320-MA_LONG2):$C323),"")</f>
        <v>1121114.98</v>
      </c>
      <c r="L323" s="38" t="n">
        <f aca="false">IF(AND(ISNUMBER($G323),$G323&gt;=21),STDEV(INDEX($H$263:$H323,62-20):$H323)*SQRT(245),"")</f>
        <v>0.123514969147871</v>
      </c>
      <c r="M323" s="37" t="n">
        <f aca="false">IF(AND(ISNUMBER($G323),$G323&gt;=60),MAX(INDEX($D$123:$D323,202-60):$D323),"")</f>
        <v>1114354</v>
      </c>
      <c r="N323" s="37" t="n">
        <f aca="false">IF(AND(ISNUMBER($G323),$G323&gt;=60),MIN(INDEX($E$123:$E323,202-60):$E323),"")</f>
        <v>1027695</v>
      </c>
      <c r="O323" s="38" t="n">
        <f aca="false">IF(OR(NOT(ISNUMBER($C323)),NOT(ISNUMBER($M323)),$M323=0),"",$C323/$M323-1)</f>
        <v>-0.0617873673895369</v>
      </c>
    </row>
    <row r="324" customFormat="false" ht="15" hidden="false" customHeight="true" outlineLevel="0" collapsed="false">
      <c r="A324" s="32" t="n">
        <v>46015</v>
      </c>
      <c r="B324" s="33" t="s">
        <v>414</v>
      </c>
      <c r="C324" s="34" t="n">
        <v>1051906</v>
      </c>
      <c r="D324" s="34" t="n">
        <v>1053126</v>
      </c>
      <c r="E324" s="34" t="n">
        <v>1050742</v>
      </c>
      <c r="F324" s="34" t="n">
        <v>0</v>
      </c>
      <c r="G324" s="35" t="n">
        <f aca="false">IF($A324="","",IF(ISNUMBER($G323),$G323+1,1))</f>
        <v>320</v>
      </c>
      <c r="H324" s="36" t="n">
        <f aca="false">IF(OR(NOT(ISNUMBER($G324)),$G324&lt;2,NOT(ISNUMBER($C323)),$C323=0),"",$C324/$C323-1)</f>
        <v>0.00612624952056473</v>
      </c>
      <c r="I324" s="37" t="n">
        <f aca="false">IF(AND(ISNUMBER($G324),$G324&gt;=MA_SHORT),AVERAGE(INDEX($C$5:$C324,321-MA_SHORT):$C324),"")</f>
        <v>1063746.45</v>
      </c>
      <c r="J324" s="37" t="n">
        <f aca="false">IF(AND(ISNUMBER($G324),$G324&gt;=MA_MED),AVERAGE(INDEX($C$5:$C324,321-MA_MED):$C324),"")</f>
        <v>1073223.8</v>
      </c>
      <c r="K324" s="37" t="n">
        <f aca="false">IF(AND(ISNUMBER($G324),$G324&gt;=MA_LONG2),AVERAGE(INDEX($C$5:$C324,321-MA_LONG2):$C324),"")</f>
        <v>1120918.595</v>
      </c>
      <c r="L324" s="38" t="n">
        <f aca="false">IF(AND(ISNUMBER($G324),$G324&gt;=21),STDEV(INDEX($H$264:$H324,62-20):$H324)*SQRT(245),"")</f>
        <v>0.125492705741483</v>
      </c>
      <c r="M324" s="37" t="n">
        <f aca="false">IF(AND(ISNUMBER($G324),$G324&gt;=60),MAX(INDEX($D$124:$D324,202-60):$D324),"")</f>
        <v>1114354</v>
      </c>
      <c r="N324" s="37" t="n">
        <f aca="false">IF(AND(ISNUMBER($G324),$G324&gt;=60),MIN(INDEX($E$124:$E324,202-60):$E324),"")</f>
        <v>1027695</v>
      </c>
      <c r="O324" s="38" t="n">
        <f aca="false">IF(OR(NOT(ISNUMBER($C324)),NOT(ISNUMBER($M324)),$M324=0),"",$C324/$M324-1)</f>
        <v>-0.0560396426988192</v>
      </c>
    </row>
    <row r="325" customFormat="false" ht="15" hidden="false" customHeight="true" outlineLevel="0" collapsed="false">
      <c r="A325" s="32" t="n">
        <v>46018</v>
      </c>
      <c r="B325" s="33" t="s">
        <v>415</v>
      </c>
      <c r="C325" s="34" t="n">
        <v>1064656</v>
      </c>
      <c r="D325" s="34" t="n">
        <v>1069416</v>
      </c>
      <c r="E325" s="34" t="n">
        <v>1062781</v>
      </c>
      <c r="F325" s="34" t="n">
        <v>0</v>
      </c>
      <c r="G325" s="35" t="n">
        <f aca="false">IF($A325="","",IF(ISNUMBER($G324),$G324+1,1))</f>
        <v>321</v>
      </c>
      <c r="H325" s="36" t="n">
        <f aca="false">IF(OR(NOT(ISNUMBER($G325)),$G325&lt;2,NOT(ISNUMBER($C324)),$C324=0),"",$C325/$C324-1)</f>
        <v>0.0121208549052862</v>
      </c>
      <c r="I325" s="37" t="n">
        <f aca="false">IF(AND(ISNUMBER($G325),$G325&gt;=MA_SHORT),AVERAGE(INDEX($C$5:$C325,322-MA_SHORT):$C325),"")</f>
        <v>1062606.25</v>
      </c>
      <c r="J325" s="37" t="n">
        <f aca="false">IF(AND(ISNUMBER($G325),$G325&gt;=MA_MED),AVERAGE(INDEX($C$5:$C325,322-MA_MED):$C325),"")</f>
        <v>1073190.06</v>
      </c>
      <c r="K325" s="37" t="n">
        <f aca="false">IF(AND(ISNUMBER($G325),$G325&gt;=MA_LONG2),AVERAGE(INDEX($C$5:$C325,322-MA_LONG2):$C325),"")</f>
        <v>1120756.82</v>
      </c>
      <c r="L325" s="38" t="n">
        <f aca="false">IF(AND(ISNUMBER($G325),$G325&gt;=21),STDEV(INDEX($H$265:$H325,62-20):$H325)*SQRT(245),"")</f>
        <v>0.134351202279262</v>
      </c>
      <c r="M325" s="37" t="n">
        <f aca="false">IF(AND(ISNUMBER($G325),$G325&gt;=60),MAX(INDEX($D$125:$D325,202-60):$D325),"")</f>
        <v>1114354</v>
      </c>
      <c r="N325" s="37" t="n">
        <f aca="false">IF(AND(ISNUMBER($G325),$G325&gt;=60),MIN(INDEX($E$125:$E325,202-60):$E325),"")</f>
        <v>1029319</v>
      </c>
      <c r="O325" s="38" t="n">
        <f aca="false">IF(OR(NOT(ISNUMBER($C325)),NOT(ISNUMBER($M325)),$M325=0),"",$C325/$M325-1)</f>
        <v>-0.0445980361716295</v>
      </c>
    </row>
    <row r="326" customFormat="false" ht="15" hidden="false" customHeight="true" outlineLevel="0" collapsed="false">
      <c r="A326" s="32" t="n">
        <v>46019</v>
      </c>
      <c r="B326" s="33" t="s">
        <v>416</v>
      </c>
      <c r="C326" s="34" t="n">
        <v>1060087</v>
      </c>
      <c r="D326" s="34" t="n">
        <v>1065123</v>
      </c>
      <c r="E326" s="34" t="n">
        <v>1055533</v>
      </c>
      <c r="F326" s="34" t="n">
        <v>0</v>
      </c>
      <c r="G326" s="35" t="n">
        <f aca="false">IF($A326="","",IF(ISNUMBER($G325),$G325+1,1))</f>
        <v>322</v>
      </c>
      <c r="H326" s="36" t="n">
        <f aca="false">IF(OR(NOT(ISNUMBER($G326)),$G326&lt;2,NOT(ISNUMBER($C325)),$C325=0),"",$C326/$C325-1)</f>
        <v>-0.00429152702844859</v>
      </c>
      <c r="I326" s="37" t="n">
        <f aca="false">IF(AND(ISNUMBER($G326),$G326&gt;=MA_SHORT),AVERAGE(INDEX($C$5:$C326,323-MA_SHORT):$C326),"")</f>
        <v>1061212.2</v>
      </c>
      <c r="J326" s="37" t="n">
        <f aca="false">IF(AND(ISNUMBER($G326),$G326&gt;=MA_MED),AVERAGE(INDEX($C$5:$C326,323-MA_MED):$C326),"")</f>
        <v>1073315.5</v>
      </c>
      <c r="K326" s="37" t="n">
        <f aca="false">IF(AND(ISNUMBER($G326),$G326&gt;=MA_LONG2),AVERAGE(INDEX($C$5:$C326,323-MA_LONG2):$C326),"")</f>
        <v>1120569.76</v>
      </c>
      <c r="L326" s="38" t="n">
        <f aca="false">IF(AND(ISNUMBER($G326),$G326&gt;=21),STDEV(INDEX($H$266:$H326,62-20):$H326)*SQRT(245),"")</f>
        <v>0.134702018364596</v>
      </c>
      <c r="M326" s="37" t="n">
        <f aca="false">IF(AND(ISNUMBER($G326),$G326&gt;=60),MAX(INDEX($D$126:$D326,202-60):$D326),"")</f>
        <v>1114354</v>
      </c>
      <c r="N326" s="37" t="n">
        <f aca="false">IF(AND(ISNUMBER($G326),$G326&gt;=60),MIN(INDEX($E$126:$E326,202-60):$E326),"")</f>
        <v>1029319</v>
      </c>
      <c r="O326" s="38" t="n">
        <f aca="false">IF(OR(NOT(ISNUMBER($C326)),NOT(ISNUMBER($M326)),$M326=0),"",$C326/$M326-1)</f>
        <v>-0.0486981695224318</v>
      </c>
    </row>
    <row r="327" customFormat="false" ht="15" hidden="false" customHeight="true" outlineLevel="0" collapsed="false">
      <c r="A327" s="32" t="n">
        <v>46020</v>
      </c>
      <c r="B327" s="33" t="s">
        <v>417</v>
      </c>
      <c r="C327" s="34" t="n">
        <v>1059517</v>
      </c>
      <c r="D327" s="34" t="n">
        <v>1061918</v>
      </c>
      <c r="E327" s="34" t="n">
        <v>1056484</v>
      </c>
      <c r="F327" s="34" t="n">
        <v>0</v>
      </c>
      <c r="G327" s="35" t="n">
        <f aca="false">IF($A327="","",IF(ISNUMBER($G326),$G326+1,1))</f>
        <v>323</v>
      </c>
      <c r="H327" s="36" t="n">
        <f aca="false">IF(OR(NOT(ISNUMBER($G327)),$G327&lt;2,NOT(ISNUMBER($C326)),$C326=0),"",$C327/$C326-1)</f>
        <v>-0.000537691717755195</v>
      </c>
      <c r="I327" s="37" t="n">
        <f aca="false">IF(AND(ISNUMBER($G327),$G327&gt;=MA_SHORT),AVERAGE(INDEX($C$5:$C327,324-MA_SHORT):$C327),"")</f>
        <v>1059548.75</v>
      </c>
      <c r="J327" s="37" t="n">
        <f aca="false">IF(AND(ISNUMBER($G327),$G327&gt;=MA_MED),AVERAGE(INDEX($C$5:$C327,324-MA_MED):$C327),"")</f>
        <v>1073004.16</v>
      </c>
      <c r="K327" s="37" t="n">
        <f aca="false">IF(AND(ISNUMBER($G327),$G327&gt;=MA_LONG2),AVERAGE(INDEX($C$5:$C327,324-MA_LONG2):$C327),"")</f>
        <v>1120286.42</v>
      </c>
      <c r="L327" s="38" t="n">
        <f aca="false">IF(AND(ISNUMBER($G327),$G327&gt;=21),STDEV(INDEX($H$267:$H327,62-20):$H327)*SQRT(245),"")</f>
        <v>0.133108775624468</v>
      </c>
      <c r="M327" s="37" t="n">
        <f aca="false">IF(AND(ISNUMBER($G327),$G327&gt;=60),MAX(INDEX($D$127:$D327,202-60):$D327),"")</f>
        <v>1114354</v>
      </c>
      <c r="N327" s="37" t="n">
        <f aca="false">IF(AND(ISNUMBER($G327),$G327&gt;=60),MIN(INDEX($E$127:$E327,202-60):$E327),"")</f>
        <v>1029319</v>
      </c>
      <c r="O327" s="38" t="n">
        <f aca="false">IF(OR(NOT(ISNUMBER($C327)),NOT(ISNUMBER($M327)),$M327=0),"",$C327/$M327-1)</f>
        <v>-0.049209676637765</v>
      </c>
    </row>
    <row r="328" customFormat="false" ht="15" hidden="false" customHeight="true" outlineLevel="0" collapsed="false">
      <c r="A328" s="32" t="n">
        <v>46021</v>
      </c>
      <c r="B328" s="33" t="s">
        <v>418</v>
      </c>
      <c r="C328" s="34" t="n">
        <v>1056874</v>
      </c>
      <c r="D328" s="34" t="n">
        <v>1061354</v>
      </c>
      <c r="E328" s="34" t="n">
        <v>1052011</v>
      </c>
      <c r="F328" s="34" t="n">
        <v>0</v>
      </c>
      <c r="G328" s="35" t="n">
        <f aca="false">IF($A328="","",IF(ISNUMBER($G327),$G327+1,1))</f>
        <v>324</v>
      </c>
      <c r="H328" s="36" t="n">
        <f aca="false">IF(OR(NOT(ISNUMBER($G328)),$G328&lt;2,NOT(ISNUMBER($C327)),$C327=0),"",$C328/$C327-1)</f>
        <v>-0.00249453288621138</v>
      </c>
      <c r="I328" s="37" t="n">
        <f aca="false">IF(AND(ISNUMBER($G328),$G328&gt;=MA_SHORT),AVERAGE(INDEX($C$5:$C328,325-MA_SHORT):$C328),"")</f>
        <v>1058309.35</v>
      </c>
      <c r="J328" s="37" t="n">
        <f aca="false">IF(AND(ISNUMBER($G328),$G328&gt;=MA_MED),AVERAGE(INDEX($C$5:$C328,325-MA_MED):$C328),"")</f>
        <v>1072724.8</v>
      </c>
      <c r="K328" s="37" t="n">
        <f aca="false">IF(AND(ISNUMBER($G328),$G328&gt;=MA_LONG2),AVERAGE(INDEX($C$5:$C328,325-MA_LONG2):$C328),"")</f>
        <v>1120070.325</v>
      </c>
      <c r="L328" s="38" t="n">
        <f aca="false">IF(AND(ISNUMBER($G328),$G328&gt;=21),STDEV(INDEX($H$268:$H328,62-20):$H328)*SQRT(245),"")</f>
        <v>0.129318481097173</v>
      </c>
      <c r="M328" s="37" t="n">
        <f aca="false">IF(AND(ISNUMBER($G328),$G328&gt;=60),MAX(INDEX($D$128:$D328,202-60):$D328),"")</f>
        <v>1114354</v>
      </c>
      <c r="N328" s="37" t="n">
        <f aca="false">IF(AND(ISNUMBER($G328),$G328&gt;=60),MIN(INDEX($E$128:$E328,202-60):$E328),"")</f>
        <v>1029319</v>
      </c>
      <c r="O328" s="38" t="n">
        <f aca="false">IF(OR(NOT(ISNUMBER($C328)),NOT(ISNUMBER($M328)),$M328=0),"",$C328/$M328-1)</f>
        <v>-0.0515814543672837</v>
      </c>
    </row>
    <row r="329" customFormat="false" ht="15" hidden="false" customHeight="true" outlineLevel="0" collapsed="false">
      <c r="A329" s="32" t="n">
        <v>46022</v>
      </c>
      <c r="B329" s="33" t="s">
        <v>419</v>
      </c>
      <c r="C329" s="34" t="n">
        <v>1065425</v>
      </c>
      <c r="D329" s="34" t="n">
        <v>1066605</v>
      </c>
      <c r="E329" s="34" t="n">
        <v>1060664</v>
      </c>
      <c r="F329" s="34" t="n">
        <v>0</v>
      </c>
      <c r="G329" s="35" t="n">
        <f aca="false">IF($A329="","",IF(ISNUMBER($G328),$G328+1,1))</f>
        <v>325</v>
      </c>
      <c r="H329" s="36" t="n">
        <f aca="false">IF(OR(NOT(ISNUMBER($G329)),$G329&lt;2,NOT(ISNUMBER($C328)),$C328=0),"",$C329/$C328-1)</f>
        <v>0.00809084148157679</v>
      </c>
      <c r="I329" s="37" t="n">
        <f aca="false">IF(AND(ISNUMBER($G329),$G329&gt;=MA_SHORT),AVERAGE(INDEX($C$5:$C329,326-MA_SHORT):$C329),"")</f>
        <v>1057315.55</v>
      </c>
      <c r="J329" s="37" t="n">
        <f aca="false">IF(AND(ISNUMBER($G329),$G329&gt;=MA_MED),AVERAGE(INDEX($C$5:$C329,326-MA_MED):$C329),"")</f>
        <v>1072661.84</v>
      </c>
      <c r="K329" s="37" t="n">
        <f aca="false">IF(AND(ISNUMBER($G329),$G329&gt;=MA_LONG2),AVERAGE(INDEX($C$5:$C329,326-MA_LONG2):$C329),"")</f>
        <v>1119867.58</v>
      </c>
      <c r="L329" s="38" t="n">
        <f aca="false">IF(AND(ISNUMBER($G329),$G329&gt;=21),STDEV(INDEX($H$269:$H329,62-20):$H329)*SQRT(245),"")</f>
        <v>0.132454892596826</v>
      </c>
      <c r="M329" s="37" t="n">
        <f aca="false">IF(AND(ISNUMBER($G329),$G329&gt;=60),MAX(INDEX($D$129:$D329,202-60):$D329),"")</f>
        <v>1114354</v>
      </c>
      <c r="N329" s="37" t="n">
        <f aca="false">IF(AND(ISNUMBER($G329),$G329&gt;=60),MIN(INDEX($E$129:$E329,202-60):$E329),"")</f>
        <v>1029319</v>
      </c>
      <c r="O329" s="38" t="n">
        <f aca="false">IF(OR(NOT(ISNUMBER($C329)),NOT(ISNUMBER($M329)),$M329=0),"",$C329/$M329-1)</f>
        <v>-0.0439079502563817</v>
      </c>
    </row>
    <row r="330" customFormat="false" ht="15" hidden="false" customHeight="true" outlineLevel="0" collapsed="false">
      <c r="A330" s="32" t="n">
        <v>46025</v>
      </c>
      <c r="B330" s="33" t="s">
        <v>420</v>
      </c>
      <c r="C330" s="34" t="n">
        <v>1051178</v>
      </c>
      <c r="D330" s="34" t="n">
        <v>1054403</v>
      </c>
      <c r="E330" s="34" t="n">
        <v>1047040</v>
      </c>
      <c r="F330" s="34" t="n">
        <v>0</v>
      </c>
      <c r="G330" s="35" t="n">
        <f aca="false">IF($A330="","",IF(ISNUMBER($G329),$G329+1,1))</f>
        <v>326</v>
      </c>
      <c r="H330" s="36" t="n">
        <f aca="false">IF(OR(NOT(ISNUMBER($G330)),$G330&lt;2,NOT(ISNUMBER($C329)),$C329=0),"",$C330/$C329-1)</f>
        <v>-0.0133721284933243</v>
      </c>
      <c r="I330" s="37" t="n">
        <f aca="false">IF(AND(ISNUMBER($G330),$G330&gt;=MA_SHORT),AVERAGE(INDEX($C$5:$C330,327-MA_SHORT):$C330),"")</f>
        <v>1055724.45</v>
      </c>
      <c r="J330" s="37" t="n">
        <f aca="false">IF(AND(ISNUMBER($G330),$G330&gt;=MA_MED),AVERAGE(INDEX($C$5:$C330,327-MA_MED):$C330),"")</f>
        <v>1071840.96</v>
      </c>
      <c r="K330" s="37" t="n">
        <f aca="false">IF(AND(ISNUMBER($G330),$G330&gt;=MA_LONG2),AVERAGE(INDEX($C$5:$C330,327-MA_LONG2):$C330),"")</f>
        <v>1119596.08</v>
      </c>
      <c r="L330" s="38" t="n">
        <f aca="false">IF(AND(ISNUMBER($G330),$G330&gt;=21),STDEV(INDEX($H$270:$H330,62-20):$H330)*SQRT(245),"")</f>
        <v>0.139471386021124</v>
      </c>
      <c r="M330" s="37" t="n">
        <f aca="false">IF(AND(ISNUMBER($G330),$G330&gt;=60),MAX(INDEX($D$130:$D330,202-60):$D330),"")</f>
        <v>1114354</v>
      </c>
      <c r="N330" s="37" t="n">
        <f aca="false">IF(AND(ISNUMBER($G330),$G330&gt;=60),MIN(INDEX($E$130:$E330,202-60):$E330),"")</f>
        <v>1029319</v>
      </c>
      <c r="O330" s="38" t="n">
        <f aca="false">IF(OR(NOT(ISNUMBER($C330)),NOT(ISNUMBER($M330)),$M330=0),"",$C330/$M330-1)</f>
        <v>-0.0566929359969992</v>
      </c>
    </row>
    <row r="331" customFormat="false" ht="15" hidden="false" customHeight="true" outlineLevel="0" collapsed="false">
      <c r="A331" s="32" t="n">
        <v>46026</v>
      </c>
      <c r="B331" s="33" t="s">
        <v>421</v>
      </c>
      <c r="C331" s="34" t="n">
        <v>1052252</v>
      </c>
      <c r="D331" s="34" t="n">
        <v>1055888</v>
      </c>
      <c r="E331" s="34" t="n">
        <v>1050614</v>
      </c>
      <c r="F331" s="34" t="n">
        <v>0</v>
      </c>
      <c r="G331" s="35" t="n">
        <f aca="false">IF($A331="","",IF(ISNUMBER($G330),$G330+1,1))</f>
        <v>327</v>
      </c>
      <c r="H331" s="36" t="n">
        <f aca="false">IF(OR(NOT(ISNUMBER($G331)),$G331&lt;2,NOT(ISNUMBER($C330)),$C330=0),"",$C331/$C330-1)</f>
        <v>0.00102171088055503</v>
      </c>
      <c r="I331" s="37" t="n">
        <f aca="false">IF(AND(ISNUMBER($G331),$G331&gt;=MA_SHORT),AVERAGE(INDEX($C$5:$C331,328-MA_SHORT):$C331),"")</f>
        <v>1054719.05</v>
      </c>
      <c r="J331" s="37" t="n">
        <f aca="false">IF(AND(ISNUMBER($G331),$G331&gt;=MA_MED),AVERAGE(INDEX($C$5:$C331,328-MA_MED):$C331),"")</f>
        <v>1070618.02</v>
      </c>
      <c r="K331" s="37" t="n">
        <f aca="false">IF(AND(ISNUMBER($G331),$G331&gt;=MA_LONG2),AVERAGE(INDEX($C$5:$C331,328-MA_LONG2):$C331),"")</f>
        <v>1119270.155</v>
      </c>
      <c r="L331" s="38" t="n">
        <f aca="false">IF(AND(ISNUMBER($G331),$G331&gt;=21),STDEV(INDEX($H$271:$H331,62-20):$H331)*SQRT(245),"")</f>
        <v>0.136203937133495</v>
      </c>
      <c r="M331" s="37" t="n">
        <f aca="false">IF(AND(ISNUMBER($G331),$G331&gt;=60),MAX(INDEX($D$131:$D331,202-60):$D331),"")</f>
        <v>1114354</v>
      </c>
      <c r="N331" s="37" t="n">
        <f aca="false">IF(AND(ISNUMBER($G331),$G331&gt;=60),MIN(INDEX($E$131:$E331,202-60):$E331),"")</f>
        <v>1029319</v>
      </c>
      <c r="O331" s="38" t="n">
        <f aca="false">IF(OR(NOT(ISNUMBER($C331)),NOT(ISNUMBER($M331)),$M331=0),"",$C331/$M331-1)</f>
        <v>-0.0557291489060029</v>
      </c>
    </row>
    <row r="332" customFormat="false" ht="15" hidden="false" customHeight="true" outlineLevel="0" collapsed="false">
      <c r="A332" s="32" t="n">
        <v>46027</v>
      </c>
      <c r="B332" s="33" t="s">
        <v>422</v>
      </c>
      <c r="C332" s="34" t="n">
        <v>1053880</v>
      </c>
      <c r="D332" s="34" t="n">
        <v>1058238</v>
      </c>
      <c r="E332" s="34" t="n">
        <v>1050637</v>
      </c>
      <c r="F332" s="34" t="n">
        <v>0</v>
      </c>
      <c r="G332" s="35" t="n">
        <f aca="false">IF($A332="","",IF(ISNUMBER($G331),$G331+1,1))</f>
        <v>328</v>
      </c>
      <c r="H332" s="36" t="n">
        <f aca="false">IF(OR(NOT(ISNUMBER($G332)),$G332&lt;2,NOT(ISNUMBER($C331)),$C331=0),"",$C332/$C331-1)</f>
        <v>0.00154715790514048</v>
      </c>
      <c r="I332" s="37" t="n">
        <f aca="false">IF(AND(ISNUMBER($G332),$G332&gt;=MA_SHORT),AVERAGE(INDEX($C$5:$C332,329-MA_SHORT):$C332),"")</f>
        <v>1054110.6</v>
      </c>
      <c r="J332" s="37" t="n">
        <f aca="false">IF(AND(ISNUMBER($G332),$G332&gt;=MA_MED),AVERAGE(INDEX($C$5:$C332,329-MA_MED):$C332),"")</f>
        <v>1069591.5</v>
      </c>
      <c r="K332" s="37" t="n">
        <f aca="false">IF(AND(ISNUMBER($G332),$G332&gt;=MA_LONG2),AVERAGE(INDEX($C$5:$C332,329-MA_LONG2):$C332),"")</f>
        <v>1118901.815</v>
      </c>
      <c r="L332" s="38" t="n">
        <f aca="false">IF(AND(ISNUMBER($G332),$G332&gt;=21),STDEV(INDEX($H$272:$H332,62-20):$H332)*SQRT(245),"")</f>
        <v>0.135183545981108</v>
      </c>
      <c r="M332" s="37" t="n">
        <f aca="false">IF(AND(ISNUMBER($G332),$G332&gt;=60),MAX(INDEX($D$132:$D332,202-60):$D332),"")</f>
        <v>1114354</v>
      </c>
      <c r="N332" s="37" t="n">
        <f aca="false">IF(AND(ISNUMBER($G332),$G332&gt;=60),MIN(INDEX($E$132:$E332,202-60):$E332),"")</f>
        <v>1029319</v>
      </c>
      <c r="O332" s="38" t="n">
        <f aca="false">IF(OR(NOT(ISNUMBER($C332)),NOT(ISNUMBER($M332)),$M332=0),"",$C332/$M332-1)</f>
        <v>-0.0542682127941391</v>
      </c>
    </row>
    <row r="333" customFormat="false" ht="15" hidden="false" customHeight="true" outlineLevel="0" collapsed="false">
      <c r="A333" s="32" t="n">
        <v>46028</v>
      </c>
      <c r="B333" s="33" t="s">
        <v>423</v>
      </c>
      <c r="C333" s="34" t="n">
        <v>1060475</v>
      </c>
      <c r="D333" s="34" t="n">
        <v>1062578</v>
      </c>
      <c r="E333" s="34" t="n">
        <v>1054538</v>
      </c>
      <c r="F333" s="34" t="n">
        <v>0</v>
      </c>
      <c r="G333" s="35" t="n">
        <f aca="false">IF($A333="","",IF(ISNUMBER($G332),$G332+1,1))</f>
        <v>329</v>
      </c>
      <c r="H333" s="36" t="n">
        <f aca="false">IF(OR(NOT(ISNUMBER($G333)),$G333&lt;2,NOT(ISNUMBER($C332)),$C332=0),"",$C333/$C332-1)</f>
        <v>0.00625782821573617</v>
      </c>
      <c r="I333" s="37" t="n">
        <f aca="false">IF(AND(ISNUMBER($G333),$G333&gt;=MA_SHORT),AVERAGE(INDEX($C$5:$C333,330-MA_SHORT):$C333),"")</f>
        <v>1053962.95</v>
      </c>
      <c r="J333" s="37" t="n">
        <f aca="false">IF(AND(ISNUMBER($G333),$G333&gt;=MA_MED),AVERAGE(INDEX($C$5:$C333,330-MA_MED):$C333),"")</f>
        <v>1068661.34</v>
      </c>
      <c r="K333" s="37" t="n">
        <f aca="false">IF(AND(ISNUMBER($G333),$G333&gt;=MA_LONG2),AVERAGE(INDEX($C$5:$C333,330-MA_LONG2):$C333),"")</f>
        <v>1118512.245</v>
      </c>
      <c r="L333" s="38" t="n">
        <f aca="false">IF(AND(ISNUMBER($G333),$G333&gt;=21),STDEV(INDEX($H$273:$H333,62-20):$H333)*SQRT(245),"")</f>
        <v>0.137017015720964</v>
      </c>
      <c r="M333" s="37" t="n">
        <f aca="false">IF(AND(ISNUMBER($G333),$G333&gt;=60),MAX(INDEX($D$133:$D333,202-60):$D333),"")</f>
        <v>1114354</v>
      </c>
      <c r="N333" s="37" t="n">
        <f aca="false">IF(AND(ISNUMBER($G333),$G333&gt;=60),MIN(INDEX($E$133:$E333,202-60):$E333),"")</f>
        <v>1029319</v>
      </c>
      <c r="O333" s="38" t="n">
        <f aca="false">IF(OR(NOT(ISNUMBER($C333)),NOT(ISNUMBER($M333)),$M333=0),"",$C333/$M333-1)</f>
        <v>-0.0483499857316436</v>
      </c>
    </row>
    <row r="334" customFormat="false" ht="15" hidden="false" customHeight="true" outlineLevel="0" collapsed="false">
      <c r="A334" s="32" t="n">
        <v>46029</v>
      </c>
      <c r="B334" s="33" t="s">
        <v>424</v>
      </c>
      <c r="C334" s="34" t="n">
        <v>1064464</v>
      </c>
      <c r="D334" s="34" t="n">
        <v>1069509</v>
      </c>
      <c r="E334" s="34" t="n">
        <v>1060465</v>
      </c>
      <c r="F334" s="34" t="n">
        <v>0</v>
      </c>
      <c r="G334" s="35" t="n">
        <f aca="false">IF($A334="","",IF(ISNUMBER($G333),$G333+1,1))</f>
        <v>330</v>
      </c>
      <c r="H334" s="36" t="n">
        <f aca="false">IF(OR(NOT(ISNUMBER($G334)),$G334&lt;2,NOT(ISNUMBER($C333)),$C333=0),"",$C334/$C333-1)</f>
        <v>0.0037615219594993</v>
      </c>
      <c r="I334" s="37" t="n">
        <f aca="false">IF(AND(ISNUMBER($G334),$G334&gt;=MA_SHORT),AVERAGE(INDEX($C$5:$C334,331-MA_SHORT):$C334),"")</f>
        <v>1053802.45</v>
      </c>
      <c r="J334" s="37" t="n">
        <f aca="false">IF(AND(ISNUMBER($G334),$G334&gt;=MA_MED),AVERAGE(INDEX($C$5:$C334,331-MA_MED):$C334),"")</f>
        <v>1067802.14</v>
      </c>
      <c r="K334" s="37" t="n">
        <f aca="false">IF(AND(ISNUMBER($G334),$G334&gt;=MA_LONG2),AVERAGE(INDEX($C$5:$C334,331-MA_LONG2):$C334),"")</f>
        <v>1118074.895</v>
      </c>
      <c r="L334" s="38" t="n">
        <f aca="false">IF(AND(ISNUMBER($G334),$G334&gt;=21),STDEV(INDEX($H$274:$H334,62-20):$H334)*SQRT(245),"")</f>
        <v>0.136930259744954</v>
      </c>
      <c r="M334" s="37" t="n">
        <f aca="false">IF(AND(ISNUMBER($G334),$G334&gt;=60),MAX(INDEX($D$134:$D334,202-60):$D334),"")</f>
        <v>1114354</v>
      </c>
      <c r="N334" s="37" t="n">
        <f aca="false">IF(AND(ISNUMBER($G334),$G334&gt;=60),MIN(INDEX($E$134:$E334,202-60):$E334),"")</f>
        <v>1029319</v>
      </c>
      <c r="O334" s="38" t="n">
        <f aca="false">IF(OR(NOT(ISNUMBER($C334)),NOT(ISNUMBER($M334)),$M334=0),"",$C334/$M334-1)</f>
        <v>-0.0447703333052154</v>
      </c>
    </row>
    <row r="335" customFormat="false" ht="15" hidden="false" customHeight="true" outlineLevel="0" collapsed="false">
      <c r="A335" s="32" t="n">
        <v>46032</v>
      </c>
      <c r="B335" s="33" t="s">
        <v>425</v>
      </c>
      <c r="C335" s="34" t="n">
        <v>1067651</v>
      </c>
      <c r="D335" s="34" t="n">
        <v>1073289</v>
      </c>
      <c r="E335" s="34" t="n">
        <v>1066706</v>
      </c>
      <c r="F335" s="34" t="n">
        <v>0</v>
      </c>
      <c r="G335" s="35" t="n">
        <f aca="false">IF($A335="","",IF(ISNUMBER($G334),$G334+1,1))</f>
        <v>331</v>
      </c>
      <c r="H335" s="36" t="n">
        <f aca="false">IF(OR(NOT(ISNUMBER($G335)),$G335&lt;2,NOT(ISNUMBER($C334)),$C334=0),"",$C335/$C334-1)</f>
        <v>0.00299399509988119</v>
      </c>
      <c r="I335" s="37" t="n">
        <f aca="false">IF(AND(ISNUMBER($G335),$G335&gt;=MA_SHORT),AVERAGE(INDEX($C$5:$C335,332-MA_SHORT):$C335),"")</f>
        <v>1053815.5</v>
      </c>
      <c r="J335" s="37" t="n">
        <f aca="false">IF(AND(ISNUMBER($G335),$G335&gt;=MA_MED),AVERAGE(INDEX($C$5:$C335,332-MA_MED):$C335),"")</f>
        <v>1067606.32</v>
      </c>
      <c r="K335" s="37" t="n">
        <f aca="false">IF(AND(ISNUMBER($G335),$G335&gt;=MA_LONG2),AVERAGE(INDEX($C$5:$C335,332-MA_LONG2):$C335),"")</f>
        <v>1117757.995</v>
      </c>
      <c r="L335" s="38" t="n">
        <f aca="false">IF(AND(ISNUMBER($G335),$G335&gt;=21),STDEV(INDEX($H$275:$H335,62-20):$H335)*SQRT(245),"")</f>
        <v>0.137358364155128</v>
      </c>
      <c r="M335" s="37" t="n">
        <f aca="false">IF(AND(ISNUMBER($G335),$G335&gt;=60),MAX(INDEX($D$135:$D335,202-60):$D335),"")</f>
        <v>1114354</v>
      </c>
      <c r="N335" s="37" t="n">
        <f aca="false">IF(AND(ISNUMBER($G335),$G335&gt;=60),MIN(INDEX($E$135:$E335,202-60):$E335),"")</f>
        <v>1029319</v>
      </c>
      <c r="O335" s="38" t="n">
        <f aca="false">IF(OR(NOT(ISNUMBER($C335)),NOT(ISNUMBER($M335)),$M335=0),"",$C335/$M335-1)</f>
        <v>-0.04191038036387</v>
      </c>
    </row>
    <row r="336" customFormat="false" ht="15" hidden="false" customHeight="true" outlineLevel="0" collapsed="false">
      <c r="A336" s="32" t="n">
        <v>46033</v>
      </c>
      <c r="B336" s="33" t="s">
        <v>426</v>
      </c>
      <c r="C336" s="34" t="n">
        <v>1078538</v>
      </c>
      <c r="D336" s="34" t="n">
        <v>1080021</v>
      </c>
      <c r="E336" s="34" t="n">
        <v>1075939</v>
      </c>
      <c r="F336" s="34" t="n">
        <v>0</v>
      </c>
      <c r="G336" s="35" t="n">
        <f aca="false">IF($A336="","",IF(ISNUMBER($G335),$G335+1,1))</f>
        <v>332</v>
      </c>
      <c r="H336" s="36" t="n">
        <f aca="false">IF(OR(NOT(ISNUMBER($G336)),$G336&lt;2,NOT(ISNUMBER($C335)),$C335=0),"",$C336/$C335-1)</f>
        <v>0.0101971524402638</v>
      </c>
      <c r="I336" s="37" t="n">
        <f aca="false">IF(AND(ISNUMBER($G336),$G336&gt;=MA_SHORT),AVERAGE(INDEX($C$5:$C336,333-MA_SHORT):$C336),"")</f>
        <v>1055202.9</v>
      </c>
      <c r="J336" s="37" t="n">
        <f aca="false">IF(AND(ISNUMBER($G336),$G336&gt;=MA_MED),AVERAGE(INDEX($C$5:$C336,333-MA_MED):$C336),"")</f>
        <v>1067887.86</v>
      </c>
      <c r="K336" s="37" t="n">
        <f aca="false">IF(AND(ISNUMBER($G336),$G336&gt;=MA_LONG2),AVERAGE(INDEX($C$5:$C336,333-MA_LONG2):$C336),"")</f>
        <v>1117451.94</v>
      </c>
      <c r="L336" s="38" t="n">
        <f aca="false">IF(AND(ISNUMBER($G336),$G336&gt;=21),STDEV(INDEX($H$276:$H336,62-20):$H336)*SQRT(245),"")</f>
        <v>0.12895538090289</v>
      </c>
      <c r="M336" s="37" t="n">
        <f aca="false">IF(AND(ISNUMBER($G336),$G336&gt;=60),MAX(INDEX($D$136:$D336,202-60):$D336),"")</f>
        <v>1114354</v>
      </c>
      <c r="N336" s="37" t="n">
        <f aca="false">IF(AND(ISNUMBER($G336),$G336&gt;=60),MIN(INDEX($E$136:$E336,202-60):$E336),"")</f>
        <v>1029319</v>
      </c>
      <c r="O336" s="38" t="n">
        <f aca="false">IF(OR(NOT(ISNUMBER($C336)),NOT(ISNUMBER($M336)),$M336=0),"",$C336/$M336-1)</f>
        <v>-0.0321405944610061</v>
      </c>
    </row>
    <row r="337" customFormat="false" ht="15" hidden="false" customHeight="true" outlineLevel="0" collapsed="false">
      <c r="A337" s="32" t="n">
        <v>46034</v>
      </c>
      <c r="B337" s="33" t="s">
        <v>427</v>
      </c>
      <c r="C337" s="34" t="n">
        <v>1091896</v>
      </c>
      <c r="D337" s="34" t="n">
        <v>1094529</v>
      </c>
      <c r="E337" s="34" t="n">
        <v>1090926</v>
      </c>
      <c r="F337" s="34" t="n">
        <v>0</v>
      </c>
      <c r="G337" s="35" t="n">
        <f aca="false">IF($A337="","",IF(ISNUMBER($G336),$G336+1,1))</f>
        <v>333</v>
      </c>
      <c r="H337" s="36" t="n">
        <f aca="false">IF(OR(NOT(ISNUMBER($G337)),$G337&lt;2,NOT(ISNUMBER($C336)),$C336=0),"",$C337/$C336-1)</f>
        <v>0.0123852845240502</v>
      </c>
      <c r="I337" s="37" t="n">
        <f aca="false">IF(AND(ISNUMBER($G337),$G337&gt;=MA_SHORT),AVERAGE(INDEX($C$5:$C337,334-MA_SHORT):$C337),"")</f>
        <v>1057705.45</v>
      </c>
      <c r="J337" s="37" t="n">
        <f aca="false">IF(AND(ISNUMBER($G337),$G337&gt;=MA_MED),AVERAGE(INDEX($C$5:$C337,334-MA_MED):$C337),"")</f>
        <v>1068650.86</v>
      </c>
      <c r="K337" s="37" t="n">
        <f aca="false">IF(AND(ISNUMBER($G337),$G337&gt;=MA_LONG2),AVERAGE(INDEX($C$5:$C337,334-MA_LONG2):$C337),"")</f>
        <v>1117206.09</v>
      </c>
      <c r="L337" s="38" t="n">
        <f aca="false">IF(AND(ISNUMBER($G337),$G337&gt;=21),STDEV(INDEX($H$277:$H337,62-20):$H337)*SQRT(245),"")</f>
        <v>0.129117444359788</v>
      </c>
      <c r="M337" s="37" t="n">
        <f aca="false">IF(AND(ISNUMBER($G337),$G337&gt;=60),MAX(INDEX($D$137:$D337,202-60):$D337),"")</f>
        <v>1114354</v>
      </c>
      <c r="N337" s="37" t="n">
        <f aca="false">IF(AND(ISNUMBER($G337),$G337&gt;=60),MIN(INDEX($E$137:$E337,202-60):$E337),"")</f>
        <v>1029319</v>
      </c>
      <c r="O337" s="38" t="n">
        <f aca="false">IF(OR(NOT(ISNUMBER($C337)),NOT(ISNUMBER($M337)),$M337=0),"",$C337/$M337-1)</f>
        <v>-0.0201533803441276</v>
      </c>
    </row>
    <row r="338" customFormat="false" ht="15" hidden="false" customHeight="true" outlineLevel="0" collapsed="false">
      <c r="A338" s="32" t="n">
        <v>46035</v>
      </c>
      <c r="B338" s="33" t="s">
        <v>428</v>
      </c>
      <c r="C338" s="34" t="n">
        <v>1099767</v>
      </c>
      <c r="D338" s="34" t="n">
        <v>1100937</v>
      </c>
      <c r="E338" s="34" t="n">
        <v>1097830</v>
      </c>
      <c r="F338" s="34" t="n">
        <v>0</v>
      </c>
      <c r="G338" s="35" t="n">
        <f aca="false">IF($A338="","",IF(ISNUMBER($G337),$G337+1,1))</f>
        <v>334</v>
      </c>
      <c r="H338" s="36" t="n">
        <f aca="false">IF(OR(NOT(ISNUMBER($G338)),$G338&lt;2,NOT(ISNUMBER($C337)),$C337=0),"",$C338/$C337-1)</f>
        <v>0.00720856198758857</v>
      </c>
      <c r="I338" s="37" t="n">
        <f aca="false">IF(AND(ISNUMBER($G338),$G338&gt;=MA_SHORT),AVERAGE(INDEX($C$5:$C338,335-MA_SHORT):$C338),"")</f>
        <v>1060574.8</v>
      </c>
      <c r="J338" s="37" t="n">
        <f aca="false">IF(AND(ISNUMBER($G338),$G338&gt;=MA_MED),AVERAGE(INDEX($C$5:$C338,335-MA_MED):$C338),"")</f>
        <v>1069349.18</v>
      </c>
      <c r="K338" s="37" t="n">
        <f aca="false">IF(AND(ISNUMBER($G338),$G338&gt;=MA_LONG2),AVERAGE(INDEX($C$5:$C338,335-MA_LONG2):$C338),"")</f>
        <v>1117069.515</v>
      </c>
      <c r="L338" s="38" t="n">
        <f aca="false">IF(AND(ISNUMBER($G338),$G338&gt;=21),STDEV(INDEX($H$278:$H338,62-20):$H338)*SQRT(245),"")</f>
        <v>0.1299920469254</v>
      </c>
      <c r="M338" s="37" t="n">
        <f aca="false">IF(AND(ISNUMBER($G338),$G338&gt;=60),MAX(INDEX($D$138:$D338,202-60):$D338),"")</f>
        <v>1114354</v>
      </c>
      <c r="N338" s="37" t="n">
        <f aca="false">IF(AND(ISNUMBER($G338),$G338&gt;=60),MIN(INDEX($E$138:$E338,202-60):$E338),"")</f>
        <v>1029319</v>
      </c>
      <c r="O338" s="38" t="n">
        <f aca="false">IF(OR(NOT(ISNUMBER($C338)),NOT(ISNUMBER($M338)),$M338=0),"",$C338/$M338-1)</f>
        <v>-0.0130900952480092</v>
      </c>
    </row>
    <row r="339" customFormat="false" ht="15" hidden="false" customHeight="true" outlineLevel="0" collapsed="false">
      <c r="A339" s="32" t="n">
        <v>46036</v>
      </c>
      <c r="B339" s="33" t="s">
        <v>429</v>
      </c>
      <c r="C339" s="34" t="n">
        <v>1119018</v>
      </c>
      <c r="D339" s="34" t="n">
        <v>1124425</v>
      </c>
      <c r="E339" s="34" t="n">
        <v>1112674</v>
      </c>
      <c r="F339" s="34" t="n">
        <v>0</v>
      </c>
      <c r="G339" s="35" t="n">
        <f aca="false">IF($A339="","",IF(ISNUMBER($G338),$G338+1,1))</f>
        <v>335</v>
      </c>
      <c r="H339" s="36" t="n">
        <f aca="false">IF(OR(NOT(ISNUMBER($G339)),$G339&lt;2,NOT(ISNUMBER($C338)),$C338=0),"",$C339/$C338-1)</f>
        <v>0.0175046168870314</v>
      </c>
      <c r="I339" s="37" t="n">
        <f aca="false">IF(AND(ISNUMBER($G339),$G339&gt;=MA_SHORT),AVERAGE(INDEX($C$5:$C339,336-MA_SHORT):$C339),"")</f>
        <v>1063576.95</v>
      </c>
      <c r="J339" s="37" t="n">
        <f aca="false">IF(AND(ISNUMBER($G339),$G339&gt;=MA_MED),AVERAGE(INDEX($C$5:$C339,336-MA_MED):$C339),"")</f>
        <v>1070519.86</v>
      </c>
      <c r="K339" s="37" t="n">
        <f aca="false">IF(AND(ISNUMBER($G339),$G339&gt;=MA_LONG2),AVERAGE(INDEX($C$5:$C339,336-MA_LONG2):$C339),"")</f>
        <v>1117074.35</v>
      </c>
      <c r="L339" s="38" t="n">
        <f aca="false">IF(AND(ISNUMBER($G339),$G339&gt;=21),STDEV(INDEX($H$279:$H339,62-20):$H339)*SQRT(245),"")</f>
        <v>0.132167299729785</v>
      </c>
      <c r="M339" s="37" t="n">
        <f aca="false">IF(AND(ISNUMBER($G339),$G339&gt;=60),MAX(INDEX($D$139:$D339,202-60):$D339),"")</f>
        <v>1124425</v>
      </c>
      <c r="N339" s="37" t="n">
        <f aca="false">IF(AND(ISNUMBER($G339),$G339&gt;=60),MIN(INDEX($E$139:$E339,202-60):$E339),"")</f>
        <v>1029319</v>
      </c>
      <c r="O339" s="38" t="n">
        <f aca="false">IF(OR(NOT(ISNUMBER($C339)),NOT(ISNUMBER($M339)),$M339=0),"",$C339/$M339-1)</f>
        <v>-0.00480867999199586</v>
      </c>
    </row>
    <row r="340" customFormat="false" ht="15" hidden="false" customHeight="true" outlineLevel="0" collapsed="false">
      <c r="A340" s="32" t="n">
        <v>46039</v>
      </c>
      <c r="B340" s="33" t="s">
        <v>430</v>
      </c>
      <c r="C340" s="34" t="n">
        <v>1112391</v>
      </c>
      <c r="D340" s="34" t="n">
        <v>1113957</v>
      </c>
      <c r="E340" s="34" t="n">
        <v>1111446</v>
      </c>
      <c r="F340" s="34" t="n">
        <v>0</v>
      </c>
      <c r="G340" s="35" t="n">
        <f aca="false">IF($A340="","",IF(ISNUMBER($G339),$G339+1,1))</f>
        <v>336</v>
      </c>
      <c r="H340" s="36" t="n">
        <f aca="false">IF(OR(NOT(ISNUMBER($G340)),$G340&lt;2,NOT(ISNUMBER($C339)),$C339=0),"",$C340/$C339-1)</f>
        <v>-0.00592215674814878</v>
      </c>
      <c r="I340" s="37" t="n">
        <f aca="false">IF(AND(ISNUMBER($G340),$G340&gt;=MA_SHORT),AVERAGE(INDEX($C$5:$C340,337-MA_SHORT):$C340),"")</f>
        <v>1066665.65</v>
      </c>
      <c r="J340" s="37" t="n">
        <f aca="false">IF(AND(ISNUMBER($G340),$G340&gt;=MA_MED),AVERAGE(INDEX($C$5:$C340,337-MA_MED):$C340),"")</f>
        <v>1071716.06</v>
      </c>
      <c r="K340" s="37" t="n">
        <f aca="false">IF(AND(ISNUMBER($G340),$G340&gt;=MA_LONG2),AVERAGE(INDEX($C$5:$C340,337-MA_LONG2):$C340),"")</f>
        <v>1116991.49</v>
      </c>
      <c r="L340" s="38" t="n">
        <f aca="false">IF(AND(ISNUMBER($G340),$G340&gt;=21),STDEV(INDEX($H$280:$H340,62-20):$H340)*SQRT(245),"")</f>
        <v>0.130279160232365</v>
      </c>
      <c r="M340" s="37" t="n">
        <f aca="false">IF(AND(ISNUMBER($G340),$G340&gt;=60),MAX(INDEX($D$140:$D340,202-60):$D340),"")</f>
        <v>1124425</v>
      </c>
      <c r="N340" s="37" t="n">
        <f aca="false">IF(AND(ISNUMBER($G340),$G340&gt;=60),MIN(INDEX($E$140:$E340,202-60):$E340),"")</f>
        <v>1029319</v>
      </c>
      <c r="O340" s="38" t="n">
        <f aca="false">IF(OR(NOT(ISNUMBER($C340)),NOT(ISNUMBER($M340)),$M340=0),"",$C340/$M340-1)</f>
        <v>-0.0107023589834805</v>
      </c>
    </row>
    <row r="341" customFormat="false" ht="15" hidden="false" customHeight="true" outlineLevel="0" collapsed="false">
      <c r="A341" s="32" t="n">
        <v>46040</v>
      </c>
      <c r="B341" s="33" t="s">
        <v>431</v>
      </c>
      <c r="C341" s="34" t="n">
        <v>1131975</v>
      </c>
      <c r="D341" s="34" t="n">
        <v>1136746</v>
      </c>
      <c r="E341" s="34" t="n">
        <v>1131606</v>
      </c>
      <c r="F341" s="34" t="n">
        <v>0</v>
      </c>
      <c r="G341" s="35" t="n">
        <f aca="false">IF($A341="","",IF(ISNUMBER($G340),$G340+1,1))</f>
        <v>337</v>
      </c>
      <c r="H341" s="36" t="n">
        <f aca="false">IF(OR(NOT(ISNUMBER($G341)),$G341&lt;2,NOT(ISNUMBER($C340)),$C340=0),"",$C341/$C340-1)</f>
        <v>0.0176053204313951</v>
      </c>
      <c r="I341" s="37" t="n">
        <f aca="false">IF(AND(ISNUMBER($G341),$G341&gt;=MA_SHORT),AVERAGE(INDEX($C$5:$C341,338-MA_SHORT):$C341),"")</f>
        <v>1071015.15</v>
      </c>
      <c r="J341" s="37" t="n">
        <f aca="false">IF(AND(ISNUMBER($G341),$G341&gt;=MA_MED),AVERAGE(INDEX($C$5:$C341,338-MA_MED):$C341),"")</f>
        <v>1073230.42</v>
      </c>
      <c r="K341" s="37" t="n">
        <f aca="false">IF(AND(ISNUMBER($G341),$G341&gt;=MA_LONG2),AVERAGE(INDEX($C$5:$C341,338-MA_LONG2):$C341),"")</f>
        <v>1116974.8</v>
      </c>
      <c r="L341" s="38" t="n">
        <f aca="false">IF(AND(ISNUMBER($G341),$G341&gt;=21),STDEV(INDEX($H$281:$H341,62-20):$H341)*SQRT(245),"")</f>
        <v>0.136179605199672</v>
      </c>
      <c r="M341" s="37" t="n">
        <f aca="false">IF(AND(ISNUMBER($G341),$G341&gt;=60),MAX(INDEX($D$141:$D341,202-60):$D341),"")</f>
        <v>1136746</v>
      </c>
      <c r="N341" s="37" t="n">
        <f aca="false">IF(AND(ISNUMBER($G341),$G341&gt;=60),MIN(INDEX($E$141:$E341,202-60):$E341),"")</f>
        <v>1029319</v>
      </c>
      <c r="O341" s="38" t="n">
        <f aca="false">IF(OR(NOT(ISNUMBER($C341)),NOT(ISNUMBER($M341)),$M341=0),"",$C341/$M341-1)</f>
        <v>-0.00419706777063655</v>
      </c>
    </row>
    <row r="342" customFormat="false" ht="15" hidden="false" customHeight="true" outlineLevel="0" collapsed="false">
      <c r="A342" s="32" t="n">
        <v>46041</v>
      </c>
      <c r="B342" s="33" t="s">
        <v>432</v>
      </c>
      <c r="C342" s="34" t="n">
        <v>1137634</v>
      </c>
      <c r="D342" s="34" t="n">
        <v>1137638</v>
      </c>
      <c r="E342" s="34" t="n">
        <v>1137547</v>
      </c>
      <c r="F342" s="34" t="n">
        <v>0</v>
      </c>
      <c r="G342" s="35" t="n">
        <f aca="false">IF($A342="","",IF(ISNUMBER($G341),$G341+1,1))</f>
        <v>338</v>
      </c>
      <c r="H342" s="36" t="n">
        <f aca="false">IF(OR(NOT(ISNUMBER($G342)),$G342&lt;2,NOT(ISNUMBER($C341)),$C341=0),"",$C342/$C341-1)</f>
        <v>0.00499922701473099</v>
      </c>
      <c r="I342" s="37" t="n">
        <f aca="false">IF(AND(ISNUMBER($G342),$G342&gt;=MA_SHORT),AVERAGE(INDEX($C$5:$C342,339-MA_SHORT):$C342),"")</f>
        <v>1076254.25</v>
      </c>
      <c r="J342" s="37" t="n">
        <f aca="false">IF(AND(ISNUMBER($G342),$G342&gt;=MA_MED),AVERAGE(INDEX($C$5:$C342,339-MA_MED):$C342),"")</f>
        <v>1074752.98</v>
      </c>
      <c r="K342" s="37" t="n">
        <f aca="false">IF(AND(ISNUMBER($G342),$G342&gt;=MA_LONG2),AVERAGE(INDEX($C$5:$C342,339-MA_LONG2):$C342),"")</f>
        <v>1117041.365</v>
      </c>
      <c r="L342" s="38" t="n">
        <f aca="false">IF(AND(ISNUMBER($G342),$G342&gt;=21),STDEV(INDEX($H$282:$H342,62-20):$H342)*SQRT(245),"")</f>
        <v>0.123367525839642</v>
      </c>
      <c r="M342" s="37" t="n">
        <f aca="false">IF(AND(ISNUMBER($G342),$G342&gt;=60),MAX(INDEX($D$142:$D342,202-60):$D342),"")</f>
        <v>1137638</v>
      </c>
      <c r="N342" s="37" t="n">
        <f aca="false">IF(AND(ISNUMBER($G342),$G342&gt;=60),MIN(INDEX($E$142:$E342,202-60):$E342),"")</f>
        <v>1029319</v>
      </c>
      <c r="O342" s="38" t="n">
        <f aca="false">IF(OR(NOT(ISNUMBER($C342)),NOT(ISNUMBER($M342)),$M342=0),"",$C342/$M342-1)</f>
        <v>-3.51605695314561E-006</v>
      </c>
    </row>
    <row r="343" customFormat="false" ht="15" hidden="false" customHeight="true" outlineLevel="0" collapsed="false">
      <c r="A343" s="32" t="n">
        <v>46042</v>
      </c>
      <c r="B343" s="33" t="s">
        <v>433</v>
      </c>
      <c r="C343" s="34" t="n">
        <v>1146558</v>
      </c>
      <c r="D343" s="34" t="n">
        <v>1146760</v>
      </c>
      <c r="E343" s="34" t="n">
        <v>1145025</v>
      </c>
      <c r="F343" s="34" t="n">
        <v>0</v>
      </c>
      <c r="G343" s="35" t="n">
        <f aca="false">IF($A343="","",IF(ISNUMBER($G342),$G342+1,1))</f>
        <v>339</v>
      </c>
      <c r="H343" s="36" t="n">
        <f aca="false">IF(OR(NOT(ISNUMBER($G343)),$G343&lt;2,NOT(ISNUMBER($C342)),$C342=0),"",$C343/$C342-1)</f>
        <v>0.00784435064352862</v>
      </c>
      <c r="I343" s="37" t="n">
        <f aca="false">IF(AND(ISNUMBER($G343),$G343&gt;=MA_SHORT),AVERAGE(INDEX($C$5:$C343,340-MA_SHORT):$C343),"")</f>
        <v>1081307.1</v>
      </c>
      <c r="J343" s="37" t="n">
        <f aca="false">IF(AND(ISNUMBER($G343),$G343&gt;=MA_MED),AVERAGE(INDEX($C$5:$C343,340-MA_MED):$C343),"")</f>
        <v>1076524.66</v>
      </c>
      <c r="K343" s="37" t="n">
        <f aca="false">IF(AND(ISNUMBER($G343),$G343&gt;=MA_LONG2),AVERAGE(INDEX($C$5:$C343,340-MA_LONG2):$C343),"")</f>
        <v>1117077.7</v>
      </c>
      <c r="L343" s="38" t="n">
        <f aca="false">IF(AND(ISNUMBER($G343),$G343&gt;=21),STDEV(INDEX($H$283:$H343,62-20):$H343)*SQRT(245),"")</f>
        <v>0.120912095486327</v>
      </c>
      <c r="M343" s="37" t="n">
        <f aca="false">IF(AND(ISNUMBER($G343),$G343&gt;=60),MAX(INDEX($D$143:$D343,202-60):$D343),"")</f>
        <v>1146760</v>
      </c>
      <c r="N343" s="37" t="n">
        <f aca="false">IF(AND(ISNUMBER($G343),$G343&gt;=60),MIN(INDEX($E$143:$E343,202-60):$E343),"")</f>
        <v>1029319</v>
      </c>
      <c r="O343" s="38" t="n">
        <f aca="false">IF(OR(NOT(ISNUMBER($C343)),NOT(ISNUMBER($M343)),$M343=0),"",$C343/$M343-1)</f>
        <v>-0.000176148453032932</v>
      </c>
    </row>
    <row r="344" customFormat="false" ht="15" hidden="false" customHeight="true" outlineLevel="0" collapsed="false">
      <c r="A344" s="32" t="n">
        <v>46043</v>
      </c>
      <c r="B344" s="33" t="s">
        <v>434</v>
      </c>
      <c r="C344" s="34" t="n">
        <v>1172828</v>
      </c>
      <c r="D344" s="34" t="n">
        <v>1176728</v>
      </c>
      <c r="E344" s="34" t="n">
        <v>1160671</v>
      </c>
      <c r="F344" s="34" t="n">
        <v>0</v>
      </c>
      <c r="G344" s="35" t="n">
        <f aca="false">IF($A344="","",IF(ISNUMBER($G343),$G343+1,1))</f>
        <v>340</v>
      </c>
      <c r="H344" s="36" t="n">
        <f aca="false">IF(OR(NOT(ISNUMBER($G344)),$G344&lt;2,NOT(ISNUMBER($C343)),$C343=0),"",$C344/$C343-1)</f>
        <v>0.0229120550377739</v>
      </c>
      <c r="I344" s="37" t="n">
        <f aca="false">IF(AND(ISNUMBER($G344),$G344&gt;=MA_SHORT),AVERAGE(INDEX($C$5:$C344,341-MA_SHORT):$C344),"")</f>
        <v>1087353.2</v>
      </c>
      <c r="J344" s="37" t="n">
        <f aca="false">IF(AND(ISNUMBER($G344),$G344&gt;=MA_MED),AVERAGE(INDEX($C$5:$C344,341-MA_MED):$C344),"")</f>
        <v>1078919.4</v>
      </c>
      <c r="K344" s="37" t="n">
        <f aca="false">IF(AND(ISNUMBER($G344),$G344&gt;=MA_LONG2),AVERAGE(INDEX($C$5:$C344,341-MA_LONG2):$C344),"")</f>
        <v>1117182.015</v>
      </c>
      <c r="L344" s="38" t="n">
        <f aca="false">IF(AND(ISNUMBER($G344),$G344&gt;=21),STDEV(INDEX($H$284:$H344,62-20):$H344)*SQRT(245),"")</f>
        <v>0.136782270501077</v>
      </c>
      <c r="M344" s="37" t="n">
        <f aca="false">IF(AND(ISNUMBER($G344),$G344&gt;=60),MAX(INDEX($D$144:$D344,202-60):$D344),"")</f>
        <v>1176728</v>
      </c>
      <c r="N344" s="37" t="n">
        <f aca="false">IF(AND(ISNUMBER($G344),$G344&gt;=60),MIN(INDEX($E$144:$E344,202-60):$E344),"")</f>
        <v>1029319</v>
      </c>
      <c r="O344" s="38" t="n">
        <f aca="false">IF(OR(NOT(ISNUMBER($C344)),NOT(ISNUMBER($M344)),$M344=0),"",$C344/$M344-1)</f>
        <v>-0.00331427483666569</v>
      </c>
    </row>
    <row r="345" customFormat="false" ht="15" hidden="false" customHeight="true" outlineLevel="0" collapsed="false">
      <c r="A345" s="32" t="n">
        <v>46046</v>
      </c>
      <c r="B345" s="33" t="s">
        <v>435</v>
      </c>
      <c r="C345" s="34" t="n">
        <v>1172905</v>
      </c>
      <c r="D345" s="34" t="n">
        <v>1176789</v>
      </c>
      <c r="E345" s="34" t="n">
        <v>1172683</v>
      </c>
      <c r="F345" s="34" t="n">
        <v>0</v>
      </c>
      <c r="G345" s="35" t="n">
        <f aca="false">IF($A345="","",IF(ISNUMBER($G344),$G344+1,1))</f>
        <v>341</v>
      </c>
      <c r="H345" s="36" t="n">
        <f aca="false">IF(OR(NOT(ISNUMBER($G345)),$G345&lt;2,NOT(ISNUMBER($C344)),$C344=0),"",$C345/$C344-1)</f>
        <v>6.56532756722061E-005</v>
      </c>
      <c r="I345" s="37" t="n">
        <f aca="false">IF(AND(ISNUMBER($G345),$G345&gt;=MA_SHORT),AVERAGE(INDEX($C$5:$C345,342-MA_SHORT):$C345),"")</f>
        <v>1092765.65</v>
      </c>
      <c r="J345" s="37" t="n">
        <f aca="false">IF(AND(ISNUMBER($G345),$G345&gt;=MA_MED),AVERAGE(INDEX($C$5:$C345,342-MA_MED):$C345),"")</f>
        <v>1080941.98</v>
      </c>
      <c r="K345" s="37" t="n">
        <f aca="false">IF(AND(ISNUMBER($G345),$G345&gt;=MA_LONG2),AVERAGE(INDEX($C$5:$C345,342-MA_LONG2):$C345),"")</f>
        <v>1117231.02</v>
      </c>
      <c r="L345" s="38" t="n">
        <f aca="false">IF(AND(ISNUMBER($G345),$G345&gt;=21),STDEV(INDEX($H$285:$H345,62-20):$H345)*SQRT(245),"")</f>
        <v>0.135752147403902</v>
      </c>
      <c r="M345" s="37" t="n">
        <f aca="false">IF(AND(ISNUMBER($G345),$G345&gt;=60),MAX(INDEX($D$145:$D345,202-60):$D345),"")</f>
        <v>1176789</v>
      </c>
      <c r="N345" s="37" t="n">
        <f aca="false">IF(AND(ISNUMBER($G345),$G345&gt;=60),MIN(INDEX($E$145:$E345,202-60):$E345),"")</f>
        <v>1029319</v>
      </c>
      <c r="O345" s="38" t="n">
        <f aca="false">IF(OR(NOT(ISNUMBER($C345)),NOT(ISNUMBER($M345)),$M345=0),"",$C345/$M345-1)</f>
        <v>-0.00330050671785687</v>
      </c>
    </row>
    <row r="346" customFormat="false" ht="15" hidden="false" customHeight="true" outlineLevel="0" collapsed="false">
      <c r="A346" s="32" t="n">
        <v>46047</v>
      </c>
      <c r="B346" s="33" t="s">
        <v>436</v>
      </c>
      <c r="C346" s="34" t="n">
        <v>1176605</v>
      </c>
      <c r="D346" s="34" t="n">
        <v>1176718</v>
      </c>
      <c r="E346" s="34" t="n">
        <v>1174084</v>
      </c>
      <c r="F346" s="34" t="n">
        <v>0</v>
      </c>
      <c r="G346" s="35" t="n">
        <f aca="false">IF($A346="","",IF(ISNUMBER($G345),$G345+1,1))</f>
        <v>342</v>
      </c>
      <c r="H346" s="36" t="n">
        <f aca="false">IF(OR(NOT(ISNUMBER($G346)),$G346&lt;2,NOT(ISNUMBER($C345)),$C345=0),"",$C346/$C345-1)</f>
        <v>0.00315456068479536</v>
      </c>
      <c r="I346" s="37" t="n">
        <f aca="false">IF(AND(ISNUMBER($G346),$G346&gt;=MA_SHORT),AVERAGE(INDEX($C$5:$C346,343-MA_SHORT):$C346),"")</f>
        <v>1098591.55</v>
      </c>
      <c r="J346" s="37" t="n">
        <f aca="false">IF(AND(ISNUMBER($G346),$G346&gt;=MA_MED),AVERAGE(INDEX($C$5:$C346,343-MA_MED):$C346),"")</f>
        <v>1082822.1</v>
      </c>
      <c r="K346" s="37" t="n">
        <f aca="false">IF(AND(ISNUMBER($G346),$G346&gt;=MA_LONG2),AVERAGE(INDEX($C$5:$C346,343-MA_LONG2):$C346),"")</f>
        <v>1117314.745</v>
      </c>
      <c r="L346" s="38" t="n">
        <f aca="false">IF(AND(ISNUMBER($G346),$G346&gt;=21),STDEV(INDEX($H$286:$H346,62-20):$H346)*SQRT(245),"")</f>
        <v>0.131700117167165</v>
      </c>
      <c r="M346" s="37" t="n">
        <f aca="false">IF(AND(ISNUMBER($G346),$G346&gt;=60),MAX(INDEX($D$146:$D346,202-60):$D346),"")</f>
        <v>1176789</v>
      </c>
      <c r="N346" s="37" t="n">
        <f aca="false">IF(AND(ISNUMBER($G346),$G346&gt;=60),MIN(INDEX($E$146:$E346,202-60):$E346),"")</f>
        <v>1029319</v>
      </c>
      <c r="O346" s="38" t="n">
        <f aca="false">IF(OR(NOT(ISNUMBER($C346)),NOT(ISNUMBER($M346)),$M346=0),"",$C346/$M346-1)</f>
        <v>-0.000156357681793451</v>
      </c>
    </row>
    <row r="347" customFormat="false" ht="15" hidden="false" customHeight="true" outlineLevel="0" collapsed="false">
      <c r="A347" s="32" t="n">
        <v>46048</v>
      </c>
      <c r="B347" s="33" t="s">
        <v>437</v>
      </c>
      <c r="C347" s="34" t="n">
        <v>1192468</v>
      </c>
      <c r="D347" s="34" t="n">
        <v>1193751</v>
      </c>
      <c r="E347" s="34" t="n">
        <v>1190663</v>
      </c>
      <c r="F347" s="34" t="n">
        <v>0</v>
      </c>
      <c r="G347" s="35" t="n">
        <f aca="false">IF($A347="","",IF(ISNUMBER($G346),$G346+1,1))</f>
        <v>343</v>
      </c>
      <c r="H347" s="36" t="n">
        <f aca="false">IF(OR(NOT(ISNUMBER($G347)),$G347&lt;2,NOT(ISNUMBER($C346)),$C346=0),"",$C347/$C346-1)</f>
        <v>0.013482009680394</v>
      </c>
      <c r="I347" s="37" t="n">
        <f aca="false">IF(AND(ISNUMBER($G347),$G347&gt;=MA_SHORT),AVERAGE(INDEX($C$5:$C347,344-MA_SHORT):$C347),"")</f>
        <v>1105239.1</v>
      </c>
      <c r="J347" s="37" t="n">
        <f aca="false">IF(AND(ISNUMBER($G347),$G347&gt;=MA_MED),AVERAGE(INDEX($C$5:$C347,344-MA_MED):$C347),"")</f>
        <v>1085035.56</v>
      </c>
      <c r="K347" s="37" t="n">
        <f aca="false">IF(AND(ISNUMBER($G347),$G347&gt;=MA_LONG2),AVERAGE(INDEX($C$5:$C347,344-MA_LONG2):$C347),"")</f>
        <v>1117400.435</v>
      </c>
      <c r="L347" s="38" t="n">
        <f aca="false">IF(AND(ISNUMBER($G347),$G347&gt;=21),STDEV(INDEX($H$287:$H347,62-20):$H347)*SQRT(245),"")</f>
        <v>0.132876047002922</v>
      </c>
      <c r="M347" s="37" t="n">
        <f aca="false">IF(AND(ISNUMBER($G347),$G347&gt;=60),MAX(INDEX($D$147:$D347,202-60):$D347),"")</f>
        <v>1193751</v>
      </c>
      <c r="N347" s="37" t="n">
        <f aca="false">IF(AND(ISNUMBER($G347),$G347&gt;=60),MIN(INDEX($E$147:$E347,202-60):$E347),"")</f>
        <v>1029319</v>
      </c>
      <c r="O347" s="38" t="n">
        <f aca="false">IF(OR(NOT(ISNUMBER($C347)),NOT(ISNUMBER($M347)),$M347=0),"",$C347/$M347-1)</f>
        <v>-0.00107476349758029</v>
      </c>
    </row>
    <row r="348" customFormat="false" ht="15" hidden="false" customHeight="true" outlineLevel="0" collapsed="false">
      <c r="A348" s="32" t="n">
        <v>46049</v>
      </c>
      <c r="B348" s="33" t="s">
        <v>438</v>
      </c>
      <c r="C348" s="34" t="n">
        <v>1203147</v>
      </c>
      <c r="D348" s="34" t="n">
        <v>1203366</v>
      </c>
      <c r="E348" s="34" t="n">
        <v>1197122</v>
      </c>
      <c r="F348" s="34" t="n">
        <v>0</v>
      </c>
      <c r="G348" s="35" t="n">
        <f aca="false">IF($A348="","",IF(ISNUMBER($G347),$G347+1,1))</f>
        <v>344</v>
      </c>
      <c r="H348" s="36" t="n">
        <f aca="false">IF(OR(NOT(ISNUMBER($G348)),$G348&lt;2,NOT(ISNUMBER($C347)),$C347=0),"",$C348/$C347-1)</f>
        <v>0.00895537658033585</v>
      </c>
      <c r="I348" s="37" t="n">
        <f aca="false">IF(AND(ISNUMBER($G348),$G348&gt;=MA_SHORT),AVERAGE(INDEX($C$5:$C348,345-MA_SHORT):$C348),"")</f>
        <v>1112552.75</v>
      </c>
      <c r="J348" s="37" t="n">
        <f aca="false">IF(AND(ISNUMBER($G348),$G348&gt;=MA_MED),AVERAGE(INDEX($C$5:$C348,345-MA_MED):$C348),"")</f>
        <v>1087284.48</v>
      </c>
      <c r="K348" s="37" t="n">
        <f aca="false">IF(AND(ISNUMBER($G348),$G348&gt;=MA_LONG2),AVERAGE(INDEX($C$5:$C348,345-MA_LONG2):$C348),"")</f>
        <v>1117567.825</v>
      </c>
      <c r="L348" s="38" t="n">
        <f aca="false">IF(AND(ISNUMBER($G348),$G348&gt;=21),STDEV(INDEX($H$288:$H348,62-20):$H348)*SQRT(245),"")</f>
        <v>0.129479241418217</v>
      </c>
      <c r="M348" s="37" t="n">
        <f aca="false">IF(AND(ISNUMBER($G348),$G348&gt;=60),MAX(INDEX($D$148:$D348,202-60):$D348),"")</f>
        <v>1203366</v>
      </c>
      <c r="N348" s="37" t="n">
        <f aca="false">IF(AND(ISNUMBER($G348),$G348&gt;=60),MIN(INDEX($E$148:$E348,202-60):$E348),"")</f>
        <v>1029319</v>
      </c>
      <c r="O348" s="38" t="n">
        <f aca="false">IF(OR(NOT(ISNUMBER($C348)),NOT(ISNUMBER($M348)),$M348=0),"",$C348/$M348-1)</f>
        <v>-0.000181989519398074</v>
      </c>
    </row>
    <row r="349" customFormat="false" ht="15" hidden="false" customHeight="true" outlineLevel="0" collapsed="false">
      <c r="A349" s="32" t="n">
        <v>46050</v>
      </c>
      <c r="B349" s="33" t="s">
        <v>439</v>
      </c>
      <c r="C349" s="34" t="n">
        <v>1220342</v>
      </c>
      <c r="D349" s="34" t="n">
        <v>1221184</v>
      </c>
      <c r="E349" s="34" t="n">
        <v>1218621</v>
      </c>
      <c r="F349" s="34" t="n">
        <v>0</v>
      </c>
      <c r="G349" s="35" t="n">
        <f aca="false">IF($A349="","",IF(ISNUMBER($G348),$G348+1,1))</f>
        <v>345</v>
      </c>
      <c r="H349" s="36" t="n">
        <f aca="false">IF(OR(NOT(ISNUMBER($G349)),$G349&lt;2,NOT(ISNUMBER($C348)),$C348=0),"",$C349/$C348-1)</f>
        <v>0.0142916867182481</v>
      </c>
      <c r="I349" s="37" t="n">
        <f aca="false">IF(AND(ISNUMBER($G349),$G349&gt;=MA_SHORT),AVERAGE(INDEX($C$5:$C349,346-MA_SHORT):$C349),"")</f>
        <v>1120298.6</v>
      </c>
      <c r="J349" s="37" t="n">
        <f aca="false">IF(AND(ISNUMBER($G349),$G349&gt;=MA_MED),AVERAGE(INDEX($C$5:$C349,346-MA_MED):$C349),"")</f>
        <v>1089754.18</v>
      </c>
      <c r="K349" s="37" t="n">
        <f aca="false">IF(AND(ISNUMBER($G349),$G349&gt;=MA_LONG2),AVERAGE(INDEX($C$5:$C349,346-MA_LONG2):$C349),"")</f>
        <v>1117878.135</v>
      </c>
      <c r="L349" s="38" t="n">
        <f aca="false">IF(AND(ISNUMBER($G349),$G349&gt;=21),STDEV(INDEX($H$289:$H349,62-20):$H349)*SQRT(245),"")</f>
        <v>0.132229926990407</v>
      </c>
      <c r="M349" s="37" t="n">
        <f aca="false">IF(AND(ISNUMBER($G349),$G349&gt;=60),MAX(INDEX($D$149:$D349,202-60):$D349),"")</f>
        <v>1221184</v>
      </c>
      <c r="N349" s="37" t="n">
        <f aca="false">IF(AND(ISNUMBER($G349),$G349&gt;=60),MIN(INDEX($E$149:$E349,202-60):$E349),"")</f>
        <v>1029319</v>
      </c>
      <c r="O349" s="38" t="n">
        <f aca="false">IF(OR(NOT(ISNUMBER($C349)),NOT(ISNUMBER($M349)),$M349=0),"",$C349/$M349-1)</f>
        <v>-0.0006894947853886</v>
      </c>
    </row>
    <row r="350" customFormat="false" ht="15" hidden="false" customHeight="true" outlineLevel="0" collapsed="false">
      <c r="A350" s="32" t="n">
        <v>46053</v>
      </c>
      <c r="B350" s="33" t="s">
        <v>440</v>
      </c>
      <c r="C350" s="34" t="n">
        <v>1220213</v>
      </c>
      <c r="D350" s="34" t="n">
        <v>1225372</v>
      </c>
      <c r="E350" s="34" t="n">
        <v>1219893</v>
      </c>
      <c r="F350" s="34" t="n">
        <v>0</v>
      </c>
      <c r="G350" s="35" t="n">
        <f aca="false">IF($A350="","",IF(ISNUMBER($G349),$G349+1,1))</f>
        <v>346</v>
      </c>
      <c r="H350" s="36" t="n">
        <f aca="false">IF(OR(NOT(ISNUMBER($G350)),$G350&lt;2,NOT(ISNUMBER($C349)),$C349=0),"",$C350/$C349-1)</f>
        <v>-0.0001057080719995</v>
      </c>
      <c r="I350" s="37" t="n">
        <f aca="false">IF(AND(ISNUMBER($G350),$G350&gt;=MA_SHORT),AVERAGE(INDEX($C$5:$C350,347-MA_SHORT):$C350),"")</f>
        <v>1128750.35</v>
      </c>
      <c r="J350" s="37" t="n">
        <f aca="false">IF(AND(ISNUMBER($G350),$G350&gt;=MA_MED),AVERAGE(INDEX($C$5:$C350,347-MA_MED):$C350),"")</f>
        <v>1092252.98</v>
      </c>
      <c r="K350" s="37" t="n">
        <f aca="false">IF(AND(ISNUMBER($G350),$G350&gt;=MA_LONG2),AVERAGE(INDEX($C$5:$C350,347-MA_LONG2):$C350),"")</f>
        <v>1118177.375</v>
      </c>
      <c r="L350" s="38" t="n">
        <f aca="false">IF(AND(ISNUMBER($G350),$G350&gt;=21),STDEV(INDEX($H$290:$H350,62-20):$H350)*SQRT(245),"")</f>
        <v>0.11280012090054</v>
      </c>
      <c r="M350" s="37" t="n">
        <f aca="false">IF(AND(ISNUMBER($G350),$G350&gt;=60),MAX(INDEX($D$150:$D350,202-60):$D350),"")</f>
        <v>1225372</v>
      </c>
      <c r="N350" s="37" t="n">
        <f aca="false">IF(AND(ISNUMBER($G350),$G350&gt;=60),MIN(INDEX($E$150:$E350,202-60):$E350),"")</f>
        <v>1029319</v>
      </c>
      <c r="O350" s="38" t="n">
        <f aca="false">IF(OR(NOT(ISNUMBER($C350)),NOT(ISNUMBER($M350)),$M350=0),"",$C350/$M350-1)</f>
        <v>-0.00421015006055303</v>
      </c>
    </row>
    <row r="351" customFormat="false" ht="15" hidden="false" customHeight="true" outlineLevel="0" collapsed="false">
      <c r="A351" s="32" t="n">
        <v>46054</v>
      </c>
      <c r="B351" s="33" t="s">
        <v>441</v>
      </c>
      <c r="C351" s="34" t="n">
        <v>1208645</v>
      </c>
      <c r="D351" s="34" t="n">
        <v>1210998</v>
      </c>
      <c r="E351" s="34" t="n">
        <v>1207987</v>
      </c>
      <c r="F351" s="34" t="n">
        <v>0</v>
      </c>
      <c r="G351" s="35" t="n">
        <f aca="false">IF($A351="","",IF(ISNUMBER($G350),$G350+1,1))</f>
        <v>347</v>
      </c>
      <c r="H351" s="36" t="n">
        <f aca="false">IF(OR(NOT(ISNUMBER($G351)),$G351&lt;2,NOT(ISNUMBER($C350)),$C350=0),"",$C351/$C350-1)</f>
        <v>-0.00948031204388089</v>
      </c>
      <c r="I351" s="37" t="n">
        <f aca="false">IF(AND(ISNUMBER($G351),$G351&gt;=MA_SHORT),AVERAGE(INDEX($C$5:$C351,348-MA_SHORT):$C351),"")</f>
        <v>1136570</v>
      </c>
      <c r="J351" s="37" t="n">
        <f aca="false">IF(AND(ISNUMBER($G351),$G351&gt;=MA_MED),AVERAGE(INDEX($C$5:$C351,348-MA_MED):$C351),"")</f>
        <v>1094251.32</v>
      </c>
      <c r="K351" s="37" t="n">
        <f aca="false">IF(AND(ISNUMBER($G351),$G351&gt;=MA_LONG2),AVERAGE(INDEX($C$5:$C351,348-MA_LONG2):$C351),"")</f>
        <v>1118342.43</v>
      </c>
      <c r="L351" s="38" t="n">
        <f aca="false">IF(AND(ISNUMBER($G351),$G351&gt;=21),STDEV(INDEX($H$291:$H351,62-20):$H351)*SQRT(245),"")</f>
        <v>0.125824124110857</v>
      </c>
      <c r="M351" s="37" t="n">
        <f aca="false">IF(AND(ISNUMBER($G351),$G351&gt;=60),MAX(INDEX($D$151:$D351,202-60):$D351),"")</f>
        <v>1225372</v>
      </c>
      <c r="N351" s="37" t="n">
        <f aca="false">IF(AND(ISNUMBER($G351),$G351&gt;=60),MIN(INDEX($E$151:$E351,202-60):$E351),"")</f>
        <v>1029319</v>
      </c>
      <c r="O351" s="38" t="n">
        <f aca="false">IF(OR(NOT(ISNUMBER($C351)),NOT(ISNUMBER($M351)),$M351=0),"",$C351/$M351-1)</f>
        <v>-0.0136505485681083</v>
      </c>
    </row>
    <row r="352" customFormat="false" ht="15" hidden="false" customHeight="true" outlineLevel="0" collapsed="false">
      <c r="A352" s="32" t="n">
        <v>46055</v>
      </c>
      <c r="B352" s="33" t="s">
        <v>442</v>
      </c>
      <c r="C352" s="34" t="n">
        <v>1211194</v>
      </c>
      <c r="D352" s="34" t="n">
        <v>1212494</v>
      </c>
      <c r="E352" s="34" t="n">
        <v>1205107</v>
      </c>
      <c r="F352" s="34" t="n">
        <v>0</v>
      </c>
      <c r="G352" s="35" t="n">
        <f aca="false">IF($A352="","",IF(ISNUMBER($G351),$G351+1,1))</f>
        <v>348</v>
      </c>
      <c r="H352" s="36" t="n">
        <f aca="false">IF(OR(NOT(ISNUMBER($G352)),$G352&lt;2,NOT(ISNUMBER($C351)),$C351=0),"",$C352/$C351-1)</f>
        <v>0.00210897327172166</v>
      </c>
      <c r="I352" s="37" t="n">
        <f aca="false">IF(AND(ISNUMBER($G352),$G352&gt;=MA_SHORT),AVERAGE(INDEX($C$5:$C352,349-MA_SHORT):$C352),"")</f>
        <v>1144435.7</v>
      </c>
      <c r="J352" s="37" t="n">
        <f aca="false">IF(AND(ISNUMBER($G352),$G352&gt;=MA_MED),AVERAGE(INDEX($C$5:$C352,349-MA_MED):$C352),"")</f>
        <v>1096374.5</v>
      </c>
      <c r="K352" s="37" t="n">
        <f aca="false">IF(AND(ISNUMBER($G352),$G352&gt;=MA_LONG2),AVERAGE(INDEX($C$5:$C352,349-MA_LONG2):$C352),"")</f>
        <v>1118459.17</v>
      </c>
      <c r="L352" s="38" t="n">
        <f aca="false">IF(AND(ISNUMBER($G352),$G352&gt;=21),STDEV(INDEX($H$292:$H352,62-20):$H352)*SQRT(245),"")</f>
        <v>0.125526166901184</v>
      </c>
      <c r="M352" s="37" t="n">
        <f aca="false">IF(AND(ISNUMBER($G352),$G352&gt;=60),MAX(INDEX($D$152:$D352,202-60):$D352),"")</f>
        <v>1225372</v>
      </c>
      <c r="N352" s="37" t="n">
        <f aca="false">IF(AND(ISNUMBER($G352),$G352&gt;=60),MIN(INDEX($E$152:$E352,202-60):$E352),"")</f>
        <v>1029319</v>
      </c>
      <c r="O352" s="38" t="n">
        <f aca="false">IF(OR(NOT(ISNUMBER($C352)),NOT(ISNUMBER($M352)),$M352=0),"",$C352/$M352-1)</f>
        <v>-0.0115703639384611</v>
      </c>
    </row>
    <row r="353" customFormat="false" ht="15" hidden="false" customHeight="true" outlineLevel="0" collapsed="false">
      <c r="A353" s="32" t="n">
        <v>46056</v>
      </c>
      <c r="B353" s="33" t="s">
        <v>443</v>
      </c>
      <c r="C353" s="34" t="n">
        <v>1198065</v>
      </c>
      <c r="D353" s="34" t="n">
        <v>1198531</v>
      </c>
      <c r="E353" s="34" t="n">
        <v>1193392</v>
      </c>
      <c r="F353" s="34" t="n">
        <v>0</v>
      </c>
      <c r="G353" s="35" t="n">
        <f aca="false">IF($A353="","",IF(ISNUMBER($G352),$G352+1,1))</f>
        <v>349</v>
      </c>
      <c r="H353" s="36" t="n">
        <f aca="false">IF(OR(NOT(ISNUMBER($G353)),$G353&lt;2,NOT(ISNUMBER($C352)),$C352=0),"",$C353/$C352-1)</f>
        <v>-0.0108397168413978</v>
      </c>
      <c r="I353" s="37" t="n">
        <f aca="false">IF(AND(ISNUMBER($G353),$G353&gt;=MA_SHORT),AVERAGE(INDEX($C$5:$C353,350-MA_SHORT):$C353),"")</f>
        <v>1151315.2</v>
      </c>
      <c r="J353" s="37" t="n">
        <f aca="false">IF(AND(ISNUMBER($G353),$G353&gt;=MA_MED),AVERAGE(INDEX($C$5:$C353,350-MA_MED):$C353),"")</f>
        <v>1098339.34</v>
      </c>
      <c r="K353" s="37" t="n">
        <f aca="false">IF(AND(ISNUMBER($G353),$G353&gt;=MA_LONG2),AVERAGE(INDEX($C$5:$C353,350-MA_LONG2):$C353),"")</f>
        <v>1118506.48</v>
      </c>
      <c r="L353" s="38" t="n">
        <f aca="false">IF(AND(ISNUMBER($G353),$G353&gt;=21),STDEV(INDEX($H$293:$H353,62-20):$H353)*SQRT(245),"")</f>
        <v>0.140249469416253</v>
      </c>
      <c r="M353" s="37" t="n">
        <f aca="false">IF(AND(ISNUMBER($G353),$G353&gt;=60),MAX(INDEX($D$153:$D353,202-60):$D353),"")</f>
        <v>1225372</v>
      </c>
      <c r="N353" s="37" t="n">
        <f aca="false">IF(AND(ISNUMBER($G353),$G353&gt;=60),MIN(INDEX($E$153:$E353,202-60):$E353),"")</f>
        <v>1029319</v>
      </c>
      <c r="O353" s="38" t="n">
        <f aca="false">IF(OR(NOT(ISNUMBER($C353)),NOT(ISNUMBER($M353)),$M353=0),"",$C353/$M353-1)</f>
        <v>-0.0222846613110141</v>
      </c>
    </row>
    <row r="354" customFormat="false" ht="15" hidden="false" customHeight="true" outlineLevel="0" collapsed="false">
      <c r="A354" s="32" t="n">
        <v>46057</v>
      </c>
      <c r="B354" s="33" t="s">
        <v>444</v>
      </c>
      <c r="C354" s="34" t="n">
        <v>1211400</v>
      </c>
      <c r="D354" s="34" t="n">
        <v>1212204</v>
      </c>
      <c r="E354" s="34" t="n">
        <v>1210306</v>
      </c>
      <c r="F354" s="34" t="n">
        <v>0</v>
      </c>
      <c r="G354" s="35" t="n">
        <f aca="false">IF($A354="","",IF(ISNUMBER($G353),$G353+1,1))</f>
        <v>350</v>
      </c>
      <c r="H354" s="36" t="n">
        <f aca="false">IF(OR(NOT(ISNUMBER($G354)),$G354&lt;2,NOT(ISNUMBER($C353)),$C353=0),"",$C354/$C353-1)</f>
        <v>0.0111304478471534</v>
      </c>
      <c r="I354" s="37" t="n">
        <f aca="false">IF(AND(ISNUMBER($G354),$G354&gt;=MA_SHORT),AVERAGE(INDEX($C$5:$C354,351-MA_SHORT):$C354),"")</f>
        <v>1158662</v>
      </c>
      <c r="J354" s="37" t="n">
        <f aca="false">IF(AND(ISNUMBER($G354),$G354&gt;=MA_MED),AVERAGE(INDEX($C$5:$C354,351-MA_MED):$C354),"")</f>
        <v>1100739.54</v>
      </c>
      <c r="K354" s="37" t="n">
        <f aca="false">IF(AND(ISNUMBER($G354),$G354&gt;=MA_LONG2),AVERAGE(INDEX($C$5:$C354,351-MA_LONG2):$C354),"")</f>
        <v>1118629.22</v>
      </c>
      <c r="L354" s="38" t="n">
        <f aca="false">IF(AND(ISNUMBER($G354),$G354&gt;=21),STDEV(INDEX($H$294:$H354,62-20):$H354)*SQRT(245),"")</f>
        <v>0.140996560695893</v>
      </c>
      <c r="M354" s="37" t="n">
        <f aca="false">IF(AND(ISNUMBER($G354),$G354&gt;=60),MAX(INDEX($D$154:$D354,202-60):$D354),"")</f>
        <v>1225372</v>
      </c>
      <c r="N354" s="37" t="n">
        <f aca="false">IF(AND(ISNUMBER($G354),$G354&gt;=60),MIN(INDEX($E$154:$E354,202-60):$E354),"")</f>
        <v>1029319</v>
      </c>
      <c r="O354" s="38" t="n">
        <f aca="false">IF(OR(NOT(ISNUMBER($C354)),NOT(ISNUMBER($M354)),$M354=0),"",$C354/$M354-1)</f>
        <v>-0.0114022517243743</v>
      </c>
    </row>
    <row r="355" customFormat="false" ht="15" hidden="false" customHeight="true" outlineLevel="0" collapsed="false">
      <c r="A355" s="32" t="n">
        <v>46060</v>
      </c>
      <c r="B355" s="33" t="s">
        <v>445</v>
      </c>
      <c r="C355" s="34" t="n">
        <v>1208664</v>
      </c>
      <c r="D355" s="34" t="n">
        <v>1210687</v>
      </c>
      <c r="E355" s="34" t="n">
        <v>1205071</v>
      </c>
      <c r="F355" s="34" t="n">
        <v>0</v>
      </c>
      <c r="G355" s="35" t="n">
        <f aca="false">IF($A355="","",IF(ISNUMBER($G354),$G354+1,1))</f>
        <v>351</v>
      </c>
      <c r="H355" s="36" t="n">
        <f aca="false">IF(OR(NOT(ISNUMBER($G355)),$G355&lt;2,NOT(ISNUMBER($C354)),$C354=0),"",$C355/$C354-1)</f>
        <v>-0.00225854383358093</v>
      </c>
      <c r="I355" s="37" t="n">
        <f aca="false">IF(AND(ISNUMBER($G355),$G355&gt;=MA_SHORT),AVERAGE(INDEX($C$5:$C355,352-MA_SHORT):$C355),"")</f>
        <v>1165712.65</v>
      </c>
      <c r="J355" s="37" t="n">
        <f aca="false">IF(AND(ISNUMBER($G355),$G355&gt;=MA_MED),AVERAGE(INDEX($C$5:$C355,352-MA_MED):$C355),"")</f>
        <v>1103163.62</v>
      </c>
      <c r="K355" s="37" t="n">
        <f aca="false">IF(AND(ISNUMBER($G355),$G355&gt;=MA_LONG2),AVERAGE(INDEX($C$5:$C355,352-MA_LONG2):$C355),"")</f>
        <v>1118790.595</v>
      </c>
      <c r="L355" s="38" t="n">
        <f aca="false">IF(AND(ISNUMBER($G355),$G355&gt;=21),STDEV(INDEX($H$295:$H355,62-20):$H355)*SQRT(245),"")</f>
        <v>0.143861911880165</v>
      </c>
      <c r="M355" s="37" t="n">
        <f aca="false">IF(AND(ISNUMBER($G355),$G355&gt;=60),MAX(INDEX($D$155:$D355,202-60):$D355),"")</f>
        <v>1225372</v>
      </c>
      <c r="N355" s="37" t="n">
        <f aca="false">IF(AND(ISNUMBER($G355),$G355&gt;=60),MIN(INDEX($E$155:$E355,202-60):$E355),"")</f>
        <v>1029319</v>
      </c>
      <c r="O355" s="38" t="n">
        <f aca="false">IF(OR(NOT(ISNUMBER($C355)),NOT(ISNUMBER($M355)),$M355=0),"",$C355/$M355-1)</f>
        <v>-0.0136350430726343</v>
      </c>
    </row>
    <row r="356" customFormat="false" ht="15" hidden="false" customHeight="true" outlineLevel="0" collapsed="false">
      <c r="A356" s="32" t="n">
        <v>46061</v>
      </c>
      <c r="B356" s="33" t="s">
        <v>446</v>
      </c>
      <c r="C356" s="34" t="n">
        <v>1206211</v>
      </c>
      <c r="D356" s="34" t="n">
        <v>1208517</v>
      </c>
      <c r="E356" s="34" t="n">
        <v>1205393</v>
      </c>
      <c r="F356" s="34" t="n">
        <v>0</v>
      </c>
      <c r="G356" s="35" t="n">
        <f aca="false">IF($A356="","",IF(ISNUMBER($G355),$G355+1,1))</f>
        <v>352</v>
      </c>
      <c r="H356" s="36" t="n">
        <f aca="false">IF(OR(NOT(ISNUMBER($G356)),$G356&lt;2,NOT(ISNUMBER($C355)),$C355=0),"",$C356/$C355-1)</f>
        <v>-0.00202951357862902</v>
      </c>
      <c r="I356" s="37" t="n">
        <f aca="false">IF(AND(ISNUMBER($G356),$G356&gt;=MA_SHORT),AVERAGE(INDEX($C$5:$C356,353-MA_SHORT):$C356),"")</f>
        <v>1172096.3</v>
      </c>
      <c r="J356" s="37" t="n">
        <f aca="false">IF(AND(ISNUMBER($G356),$G356&gt;=MA_MED),AVERAGE(INDEX($C$5:$C356,353-MA_MED):$C356),"")</f>
        <v>1105528.48</v>
      </c>
      <c r="K356" s="37" t="n">
        <f aca="false">IF(AND(ISNUMBER($G356),$G356&gt;=MA_LONG2),AVERAGE(INDEX($C$5:$C356,353-MA_LONG2):$C356),"")</f>
        <v>1118991.935</v>
      </c>
      <c r="L356" s="38" t="n">
        <f aca="false">IF(AND(ISNUMBER($G356),$G356&gt;=21),STDEV(INDEX($H$296:$H356,62-20):$H356)*SQRT(245),"")</f>
        <v>0.145899524114064</v>
      </c>
      <c r="M356" s="37" t="n">
        <f aca="false">IF(AND(ISNUMBER($G356),$G356&gt;=60),MAX(INDEX($D$156:$D356,202-60):$D356),"")</f>
        <v>1225372</v>
      </c>
      <c r="N356" s="37" t="n">
        <f aca="false">IF(AND(ISNUMBER($G356),$G356&gt;=60),MIN(INDEX($E$156:$E356,202-60):$E356),"")</f>
        <v>1029319</v>
      </c>
      <c r="O356" s="38" t="n">
        <f aca="false">IF(OR(NOT(ISNUMBER($C356)),NOT(ISNUMBER($M356)),$M356=0),"",$C356/$M356-1)</f>
        <v>-0.0156368841462021</v>
      </c>
    </row>
    <row r="357" customFormat="false" ht="15" hidden="false" customHeight="true" outlineLevel="0" collapsed="false">
      <c r="A357" s="32" t="n">
        <v>46062</v>
      </c>
      <c r="B357" s="33" t="s">
        <v>447</v>
      </c>
      <c r="C357" s="34" t="n">
        <v>1197958</v>
      </c>
      <c r="D357" s="34" t="n">
        <v>1203831</v>
      </c>
      <c r="E357" s="34" t="n">
        <v>1192229</v>
      </c>
      <c r="F357" s="34" t="n">
        <v>0</v>
      </c>
      <c r="G357" s="35" t="n">
        <f aca="false">IF($A357="","",IF(ISNUMBER($G356),$G356+1,1))</f>
        <v>353</v>
      </c>
      <c r="H357" s="36" t="n">
        <f aca="false">IF(OR(NOT(ISNUMBER($G357)),$G357&lt;2,NOT(ISNUMBER($C356)),$C356=0),"",$C357/$C356-1)</f>
        <v>-0.00684208650062057</v>
      </c>
      <c r="I357" s="37" t="n">
        <f aca="false">IF(AND(ISNUMBER($G357),$G357&gt;=MA_SHORT),AVERAGE(INDEX($C$5:$C357,354-MA_SHORT):$C357),"")</f>
        <v>1177399.4</v>
      </c>
      <c r="J357" s="37" t="n">
        <f aca="false">IF(AND(ISNUMBER($G357),$G357&gt;=MA_MED),AVERAGE(INDEX($C$5:$C357,354-MA_MED):$C357),"")</f>
        <v>1107631.92</v>
      </c>
      <c r="K357" s="37" t="n">
        <f aca="false">IF(AND(ISNUMBER($G357),$G357&gt;=MA_LONG2),AVERAGE(INDEX($C$5:$C357,354-MA_LONG2):$C357),"")</f>
        <v>1119190.205</v>
      </c>
      <c r="L357" s="38" t="n">
        <f aca="false">IF(AND(ISNUMBER($G357),$G357&gt;=21),STDEV(INDEX($H$297:$H357,62-20):$H357)*SQRT(245),"")</f>
        <v>0.149919691255102</v>
      </c>
      <c r="M357" s="37" t="n">
        <f aca="false">IF(AND(ISNUMBER($G357),$G357&gt;=60),MAX(INDEX($D$157:$D357,202-60):$D357),"")</f>
        <v>1225372</v>
      </c>
      <c r="N357" s="37" t="n">
        <f aca="false">IF(AND(ISNUMBER($G357),$G357&gt;=60),MIN(INDEX($E$157:$E357,202-60):$E357),"")</f>
        <v>1029319</v>
      </c>
      <c r="O357" s="38" t="n">
        <f aca="false">IF(OR(NOT(ISNUMBER($C357)),NOT(ISNUMBER($M357)),$M357=0),"",$C357/$M357-1)</f>
        <v>-0.0223719817328941</v>
      </c>
    </row>
    <row r="358" customFormat="false" ht="15" hidden="false" customHeight="true" outlineLevel="0" collapsed="false">
      <c r="A358" s="32" t="n">
        <v>46063</v>
      </c>
      <c r="B358" s="33" t="s">
        <v>448</v>
      </c>
      <c r="C358" s="34" t="n">
        <v>1198280</v>
      </c>
      <c r="D358" s="34" t="n">
        <v>1207501</v>
      </c>
      <c r="E358" s="34" t="n">
        <v>1196644</v>
      </c>
      <c r="F358" s="34" t="n">
        <v>0</v>
      </c>
      <c r="G358" s="35" t="n">
        <f aca="false">IF($A358="","",IF(ISNUMBER($G357),$G357+1,1))</f>
        <v>354</v>
      </c>
      <c r="H358" s="36" t="n">
        <f aca="false">IF(OR(NOT(ISNUMBER($G358)),$G358&lt;2,NOT(ISNUMBER($C357)),$C357=0),"",$C358/$C357-1)</f>
        <v>0.000268790725551416</v>
      </c>
      <c r="I358" s="37" t="n">
        <f aca="false">IF(AND(ISNUMBER($G358),$G358&gt;=MA_SHORT),AVERAGE(INDEX($C$5:$C358,355-MA_SHORT):$C358),"")</f>
        <v>1182325.05</v>
      </c>
      <c r="J358" s="37" t="n">
        <f aca="false">IF(AND(ISNUMBER($G358),$G358&gt;=MA_MED),AVERAGE(INDEX($C$5:$C358,355-MA_MED):$C358),"")</f>
        <v>1109964.28</v>
      </c>
      <c r="K358" s="37" t="n">
        <f aca="false">IF(AND(ISNUMBER($G358),$G358&gt;=MA_LONG2),AVERAGE(INDEX($C$5:$C358,355-MA_LONG2):$C358),"")</f>
        <v>1119367.865</v>
      </c>
      <c r="L358" s="38" t="n">
        <f aca="false">IF(AND(ISNUMBER($G358),$G358&gt;=21),STDEV(INDEX($H$298:$H358,62-20):$H358)*SQRT(245),"")</f>
        <v>0.150382805933202</v>
      </c>
      <c r="M358" s="37" t="n">
        <f aca="false">IF(AND(ISNUMBER($G358),$G358&gt;=60),MAX(INDEX($D$158:$D358,202-60):$D358),"")</f>
        <v>1225372</v>
      </c>
      <c r="N358" s="37" t="n">
        <f aca="false">IF(AND(ISNUMBER($G358),$G358&gt;=60),MIN(INDEX($E$158:$E358,202-60):$E358),"")</f>
        <v>1029319</v>
      </c>
      <c r="O358" s="38" t="n">
        <f aca="false">IF(OR(NOT(ISNUMBER($C358)),NOT(ISNUMBER($M358)),$M358=0),"",$C358/$M358-1)</f>
        <v>-0.0221092043885449</v>
      </c>
    </row>
    <row r="359" customFormat="false" ht="15" hidden="false" customHeight="true" outlineLevel="0" collapsed="false">
      <c r="A359" s="32" t="n">
        <v>46064</v>
      </c>
      <c r="B359" s="33" t="s">
        <v>449</v>
      </c>
      <c r="C359" s="34" t="n">
        <v>1209807</v>
      </c>
      <c r="D359" s="34" t="n">
        <v>1210132</v>
      </c>
      <c r="E359" s="34" t="n">
        <v>1209698</v>
      </c>
      <c r="F359" s="34" t="n">
        <v>0</v>
      </c>
      <c r="G359" s="35" t="n">
        <f aca="false">IF($A359="","",IF(ISNUMBER($G358),$G358+1,1))</f>
        <v>355</v>
      </c>
      <c r="H359" s="36" t="n">
        <f aca="false">IF(OR(NOT(ISNUMBER($G359)),$G359&lt;2,NOT(ISNUMBER($C358)),$C358=0),"",$C359/$C358-1)</f>
        <v>0.00961962145742223</v>
      </c>
      <c r="I359" s="37" t="n">
        <f aca="false">IF(AND(ISNUMBER($G359),$G359&gt;=MA_SHORT),AVERAGE(INDEX($C$5:$C359,356-MA_SHORT):$C359),"")</f>
        <v>1186864.5</v>
      </c>
      <c r="J359" s="37" t="n">
        <f aca="false">IF(AND(ISNUMBER($G359),$G359&gt;=MA_MED),AVERAGE(INDEX($C$5:$C359,356-MA_MED):$C359),"")</f>
        <v>1112454.4</v>
      </c>
      <c r="K359" s="37" t="n">
        <f aca="false">IF(AND(ISNUMBER($G359),$G359&gt;=MA_LONG2),AVERAGE(INDEX($C$5:$C359,356-MA_LONG2):$C359),"")</f>
        <v>1119550.635</v>
      </c>
      <c r="L359" s="38" t="n">
        <f aca="false">IF(AND(ISNUMBER($G359),$G359&gt;=21),STDEV(INDEX($H$299:$H359,62-20):$H359)*SQRT(245),"")</f>
        <v>0.143875098629474</v>
      </c>
      <c r="M359" s="37" t="n">
        <f aca="false">IF(AND(ISNUMBER($G359),$G359&gt;=60),MAX(INDEX($D$159:$D359,202-60):$D359),"")</f>
        <v>1225372</v>
      </c>
      <c r="N359" s="37" t="n">
        <f aca="false">IF(AND(ISNUMBER($G359),$G359&gt;=60),MIN(INDEX($E$159:$E359,202-60):$E359),"")</f>
        <v>1029319</v>
      </c>
      <c r="O359" s="38" t="n">
        <f aca="false">IF(OR(NOT(ISNUMBER($C359)),NOT(ISNUMBER($M359)),$M359=0),"",$C359/$M359-1)</f>
        <v>-0.0127022651080652</v>
      </c>
    </row>
    <row r="360" customFormat="false" ht="15" hidden="false" customHeight="true" outlineLevel="0" collapsed="false">
      <c r="A360" s="32" t="n">
        <v>46067</v>
      </c>
      <c r="B360" s="33" t="s">
        <v>450</v>
      </c>
      <c r="C360" s="34" t="n">
        <v>1202624</v>
      </c>
      <c r="D360" s="34" t="n">
        <v>1202740</v>
      </c>
      <c r="E360" s="34" t="n">
        <v>1201340</v>
      </c>
      <c r="F360" s="34" t="n">
        <v>0</v>
      </c>
      <c r="G360" s="35" t="n">
        <f aca="false">IF($A360="","",IF(ISNUMBER($G359),$G359+1,1))</f>
        <v>356</v>
      </c>
      <c r="H360" s="36" t="n">
        <f aca="false">IF(OR(NOT(ISNUMBER($G360)),$G360&lt;2,NOT(ISNUMBER($C359)),$C359=0),"",$C360/$C359-1)</f>
        <v>-0.00593731066194858</v>
      </c>
      <c r="I360" s="37" t="n">
        <f aca="false">IF(AND(ISNUMBER($G360),$G360&gt;=MA_SHORT),AVERAGE(INDEX($C$5:$C360,357-MA_SHORT):$C360),"")</f>
        <v>1191376.15</v>
      </c>
      <c r="J360" s="37" t="n">
        <f aca="false">IF(AND(ISNUMBER($G360),$G360&gt;=MA_MED),AVERAGE(INDEX($C$5:$C360,357-MA_MED):$C360),"")</f>
        <v>1114846.88</v>
      </c>
      <c r="K360" s="37" t="n">
        <f aca="false">IF(AND(ISNUMBER($G360),$G360&gt;=MA_LONG2),AVERAGE(INDEX($C$5:$C360,357-MA_LONG2):$C360),"")</f>
        <v>1119634.135</v>
      </c>
      <c r="L360" s="38" t="n">
        <f aca="false">IF(AND(ISNUMBER($G360),$G360&gt;=21),STDEV(INDEX($H$300:$H360,62-20):$H360)*SQRT(245),"")</f>
        <v>0.14388851305724</v>
      </c>
      <c r="M360" s="37" t="n">
        <f aca="false">IF(AND(ISNUMBER($G360),$G360&gt;=60),MAX(INDEX($D$160:$D360,202-60):$D360),"")</f>
        <v>1225372</v>
      </c>
      <c r="N360" s="37" t="n">
        <f aca="false">IF(AND(ISNUMBER($G360),$G360&gt;=60),MIN(INDEX($E$160:$E360,202-60):$E360),"")</f>
        <v>1029319</v>
      </c>
      <c r="O360" s="38" t="n">
        <f aca="false">IF(OR(NOT(ISNUMBER($C360)),NOT(ISNUMBER($M360)),$M360=0),"",$C360/$M360-1)</f>
        <v>-0.0185641584759567</v>
      </c>
    </row>
    <row r="361" customFormat="false" ht="15" hidden="false" customHeight="true" outlineLevel="0" collapsed="false">
      <c r="A361" s="32" t="n">
        <v>46068</v>
      </c>
      <c r="B361" s="33" t="s">
        <v>451</v>
      </c>
      <c r="C361" s="34" t="n">
        <v>1206890</v>
      </c>
      <c r="D361" s="34" t="n">
        <v>1207839</v>
      </c>
      <c r="E361" s="34" t="n">
        <v>1201869</v>
      </c>
      <c r="F361" s="34" t="n">
        <v>0</v>
      </c>
      <c r="G361" s="35" t="n">
        <f aca="false">IF($A361="","",IF(ISNUMBER($G360),$G360+1,1))</f>
        <v>357</v>
      </c>
      <c r="H361" s="36" t="n">
        <f aca="false">IF(OR(NOT(ISNUMBER($G361)),$G361&lt;2,NOT(ISNUMBER($C360)),$C360=0),"",$C361/$C360-1)</f>
        <v>0.00354724336118362</v>
      </c>
      <c r="I361" s="37" t="n">
        <f aca="false">IF(AND(ISNUMBER($G361),$G361&gt;=MA_SHORT),AVERAGE(INDEX($C$5:$C361,358-MA_SHORT):$C361),"")</f>
        <v>1195121.9</v>
      </c>
      <c r="J361" s="37" t="n">
        <f aca="false">IF(AND(ISNUMBER($G361),$G361&gt;=MA_MED),AVERAGE(INDEX($C$5:$C361,358-MA_MED):$C361),"")</f>
        <v>1117537.48</v>
      </c>
      <c r="K361" s="37" t="n">
        <f aca="false">IF(AND(ISNUMBER($G361),$G361&gt;=MA_LONG2),AVERAGE(INDEX($C$5:$C361,358-MA_LONG2):$C361),"")</f>
        <v>1119795.51</v>
      </c>
      <c r="L361" s="38" t="n">
        <f aca="false">IF(AND(ISNUMBER($G361),$G361&gt;=21),STDEV(INDEX($H$301:$H361,62-20):$H361)*SQRT(245),"")</f>
        <v>0.134807732660912</v>
      </c>
      <c r="M361" s="37" t="n">
        <f aca="false">IF(AND(ISNUMBER($G361),$G361&gt;=60),MAX(INDEX($D$161:$D361,202-60):$D361),"")</f>
        <v>1225372</v>
      </c>
      <c r="N361" s="37" t="n">
        <f aca="false">IF(AND(ISNUMBER($G361),$G361&gt;=60),MIN(INDEX($E$161:$E361,202-60):$E361),"")</f>
        <v>1029319</v>
      </c>
      <c r="O361" s="38" t="n">
        <f aca="false">IF(OR(NOT(ISNUMBER($C361)),NOT(ISNUMBER($M361)),$M361=0),"",$C361/$M361-1)</f>
        <v>-0.0150827667026829</v>
      </c>
    </row>
    <row r="362" customFormat="false" ht="15" hidden="false" customHeight="true" outlineLevel="0" collapsed="false">
      <c r="A362" s="32" t="n">
        <v>46069</v>
      </c>
      <c r="B362" s="33" t="s">
        <v>452</v>
      </c>
      <c r="C362" s="34" t="n">
        <v>1203355</v>
      </c>
      <c r="D362" s="34" t="n">
        <v>1212917</v>
      </c>
      <c r="E362" s="34" t="n">
        <v>1200505</v>
      </c>
      <c r="F362" s="34" t="n">
        <v>0</v>
      </c>
      <c r="G362" s="35" t="n">
        <f aca="false">IF($A362="","",IF(ISNUMBER($G361),$G361+1,1))</f>
        <v>358</v>
      </c>
      <c r="H362" s="36" t="n">
        <f aca="false">IF(OR(NOT(ISNUMBER($G362)),$G362&lt;2,NOT(ISNUMBER($C361)),$C361=0),"",$C362/$C361-1)</f>
        <v>-0.00292901590037198</v>
      </c>
      <c r="I362" s="37" t="n">
        <f aca="false">IF(AND(ISNUMBER($G362),$G362&gt;=MA_SHORT),AVERAGE(INDEX($C$5:$C362,359-MA_SHORT):$C362),"")</f>
        <v>1198407.95</v>
      </c>
      <c r="J362" s="37" t="n">
        <f aca="false">IF(AND(ISNUMBER($G362),$G362&gt;=MA_MED),AVERAGE(INDEX($C$5:$C362,359-MA_MED):$C362),"")</f>
        <v>1120283.6</v>
      </c>
      <c r="K362" s="37" t="n">
        <f aca="false">IF(AND(ISNUMBER($G362),$G362&gt;=MA_LONG2),AVERAGE(INDEX($C$5:$C362,359-MA_LONG2):$C362),"")</f>
        <v>1119976.56</v>
      </c>
      <c r="L362" s="38" t="n">
        <f aca="false">IF(AND(ISNUMBER($G362),$G362&gt;=21),STDEV(INDEX($H$302:$H362,62-20):$H362)*SQRT(245),"")</f>
        <v>0.136324283148475</v>
      </c>
      <c r="M362" s="37" t="n">
        <f aca="false">IF(AND(ISNUMBER($G362),$G362&gt;=60),MAX(INDEX($D$162:$D362,202-60):$D362),"")</f>
        <v>1225372</v>
      </c>
      <c r="N362" s="37" t="n">
        <f aca="false">IF(AND(ISNUMBER($G362),$G362&gt;=60),MIN(INDEX($E$162:$E362,202-60):$E362),"")</f>
        <v>1029319</v>
      </c>
      <c r="O362" s="38" t="n">
        <f aca="false">IF(OR(NOT(ISNUMBER($C362)),NOT(ISNUMBER($M362)),$M362=0),"",$C362/$M362-1)</f>
        <v>-0.0179676049395612</v>
      </c>
    </row>
    <row r="363" customFormat="false" ht="15" hidden="false" customHeight="true" outlineLevel="0" collapsed="false">
      <c r="A363" s="32" t="n">
        <v>46070</v>
      </c>
      <c r="B363" s="33" t="s">
        <v>453</v>
      </c>
      <c r="C363" s="34" t="n">
        <v>1204134</v>
      </c>
      <c r="D363" s="34" t="n">
        <v>1204507</v>
      </c>
      <c r="E363" s="34" t="n">
        <v>1202331</v>
      </c>
      <c r="F363" s="34" t="n">
        <v>0</v>
      </c>
      <c r="G363" s="35" t="n">
        <f aca="false">IF($A363="","",IF(ISNUMBER($G362),$G362+1,1))</f>
        <v>359</v>
      </c>
      <c r="H363" s="36" t="n">
        <f aca="false">IF(OR(NOT(ISNUMBER($G363)),$G363&lt;2,NOT(ISNUMBER($C362)),$C362=0),"",$C363/$C362-1)</f>
        <v>0.00064735676504446</v>
      </c>
      <c r="I363" s="37" t="n">
        <f aca="false">IF(AND(ISNUMBER($G363),$G363&gt;=MA_SHORT),AVERAGE(INDEX($C$5:$C363,360-MA_SHORT):$C363),"")</f>
        <v>1201286.75</v>
      </c>
      <c r="J363" s="37" t="n">
        <f aca="false">IF(AND(ISNUMBER($G363),$G363&gt;=MA_MED),AVERAGE(INDEX($C$5:$C363,360-MA_MED):$C363),"")</f>
        <v>1123097.72</v>
      </c>
      <c r="K363" s="37" t="n">
        <f aca="false">IF(AND(ISNUMBER($G363),$G363&gt;=MA_LONG2),AVERAGE(INDEX($C$5:$C363,360-MA_LONG2):$C363),"")</f>
        <v>1120101.755</v>
      </c>
      <c r="L363" s="38" t="n">
        <f aca="false">IF(AND(ISNUMBER($G363),$G363&gt;=21),STDEV(INDEX($H$303:$H363,62-20):$H363)*SQRT(245),"")</f>
        <v>0.135245889342677</v>
      </c>
      <c r="M363" s="37" t="n">
        <f aca="false">IF(AND(ISNUMBER($G363),$G363&gt;=60),MAX(INDEX($D$163:$D363,202-60):$D363),"")</f>
        <v>1225372</v>
      </c>
      <c r="N363" s="37" t="n">
        <f aca="false">IF(AND(ISNUMBER($G363),$G363&gt;=60),MIN(INDEX($E$163:$E363,202-60):$E363),"")</f>
        <v>1029319</v>
      </c>
      <c r="O363" s="38" t="n">
        <f aca="false">IF(OR(NOT(ISNUMBER($C363)),NOT(ISNUMBER($M363)),$M363=0),"",$C363/$M363-1)</f>
        <v>-0.0173318796251261</v>
      </c>
    </row>
    <row r="364" customFormat="false" ht="15" hidden="false" customHeight="true" outlineLevel="0" collapsed="false">
      <c r="A364" s="32" t="n">
        <v>46071</v>
      </c>
      <c r="B364" s="33" t="s">
        <v>454</v>
      </c>
      <c r="C364" s="34" t="n">
        <v>1187710</v>
      </c>
      <c r="D364" s="34" t="n">
        <v>1195972</v>
      </c>
      <c r="E364" s="34" t="n">
        <v>1185741</v>
      </c>
      <c r="F364" s="34" t="n">
        <v>0</v>
      </c>
      <c r="G364" s="35" t="n">
        <f aca="false">IF($A364="","",IF(ISNUMBER($G363),$G363+1,1))</f>
        <v>360</v>
      </c>
      <c r="H364" s="36" t="n">
        <f aca="false">IF(OR(NOT(ISNUMBER($G364)),$G364&lt;2,NOT(ISNUMBER($C363)),$C363=0),"",$C364/$C363-1)</f>
        <v>-0.0136396779760393</v>
      </c>
      <c r="I364" s="37" t="n">
        <f aca="false">IF(AND(ISNUMBER($G364),$G364&gt;=MA_SHORT),AVERAGE(INDEX($C$5:$C364,361-MA_SHORT):$C364),"")</f>
        <v>1202030.85</v>
      </c>
      <c r="J364" s="37" t="n">
        <f aca="false">IF(AND(ISNUMBER($G364),$G364&gt;=MA_MED),AVERAGE(INDEX($C$5:$C364,361-MA_MED):$C364),"")</f>
        <v>1125498.44</v>
      </c>
      <c r="K364" s="37" t="n">
        <f aca="false">IF(AND(ISNUMBER($G364),$G364&gt;=MA_LONG2),AVERAGE(INDEX($C$5:$C364,361-MA_LONG2):$C364),"")</f>
        <v>1120177.08</v>
      </c>
      <c r="L364" s="38" t="n">
        <f aca="false">IF(AND(ISNUMBER($G364),$G364&gt;=21),STDEV(INDEX($H$304:$H364,62-20):$H364)*SQRT(245),"")</f>
        <v>0.124117474283358</v>
      </c>
      <c r="M364" s="37" t="n">
        <f aca="false">IF(AND(ISNUMBER($G364),$G364&gt;=60),MAX(INDEX($D$164:$D364,202-60):$D364),"")</f>
        <v>1225372</v>
      </c>
      <c r="N364" s="37" t="n">
        <f aca="false">IF(AND(ISNUMBER($G364),$G364&gt;=60),MIN(INDEX($E$164:$E364,202-60):$E364),"")</f>
        <v>1029319</v>
      </c>
      <c r="O364" s="38" t="n">
        <f aca="false">IF(OR(NOT(ISNUMBER($C364)),NOT(ISNUMBER($M364)),$M364=0),"",$C364/$M364-1)</f>
        <v>-0.0307351563443591</v>
      </c>
    </row>
    <row r="365" customFormat="false" ht="15" hidden="false" customHeight="true" outlineLevel="0" collapsed="false">
      <c r="A365" s="32" t="n">
        <v>46074</v>
      </c>
      <c r="B365" s="33" t="s">
        <v>455</v>
      </c>
      <c r="C365" s="34" t="n">
        <v>1176812</v>
      </c>
      <c r="D365" s="34" t="n">
        <v>1176941</v>
      </c>
      <c r="E365" s="34" t="n">
        <v>1175547</v>
      </c>
      <c r="F365" s="34" t="n">
        <v>0</v>
      </c>
      <c r="G365" s="35" t="n">
        <f aca="false">IF($A365="","",IF(ISNUMBER($G364),$G364+1,1))</f>
        <v>361</v>
      </c>
      <c r="H365" s="36" t="n">
        <f aca="false">IF(OR(NOT(ISNUMBER($G365)),$G365&lt;2,NOT(ISNUMBER($C364)),$C364=0),"",$C365/$C364-1)</f>
        <v>-0.00917564051830833</v>
      </c>
      <c r="I365" s="37" t="n">
        <f aca="false">IF(AND(ISNUMBER($G365),$G365&gt;=MA_SHORT),AVERAGE(INDEX($C$5:$C365,362-MA_SHORT):$C365),"")</f>
        <v>1202226.2</v>
      </c>
      <c r="J365" s="37" t="n">
        <f aca="false">IF(AND(ISNUMBER($G365),$G365&gt;=MA_MED),AVERAGE(INDEX($C$5:$C365,362-MA_MED):$C365),"")</f>
        <v>1127686.88</v>
      </c>
      <c r="K365" s="37" t="n">
        <f aca="false">IF(AND(ISNUMBER($G365),$G365&gt;=MA_LONG2),AVERAGE(INDEX($C$5:$C365,362-MA_LONG2):$C365),"")</f>
        <v>1120134.29</v>
      </c>
      <c r="L365" s="38" t="n">
        <f aca="false">IF(AND(ISNUMBER($G365),$G365&gt;=21),STDEV(INDEX($H$305:$H365,62-20):$H365)*SQRT(245),"")</f>
        <v>0.128814139972368</v>
      </c>
      <c r="M365" s="37" t="n">
        <f aca="false">IF(AND(ISNUMBER($G365),$G365&gt;=60),MAX(INDEX($D$165:$D365,202-60):$D365),"")</f>
        <v>1225372</v>
      </c>
      <c r="N365" s="37" t="n">
        <f aca="false">IF(AND(ISNUMBER($G365),$G365&gt;=60),MIN(INDEX($E$165:$E365,202-60):$E365),"")</f>
        <v>1029319</v>
      </c>
      <c r="O365" s="38" t="n">
        <f aca="false">IF(OR(NOT(ISNUMBER($C365)),NOT(ISNUMBER($M365)),$M365=0),"",$C365/$M365-1)</f>
        <v>-0.0396287821167776</v>
      </c>
    </row>
    <row r="366" customFormat="false" ht="15" hidden="false" customHeight="true" outlineLevel="0" collapsed="false">
      <c r="A366" s="32" t="n">
        <v>46075</v>
      </c>
      <c r="B366" s="33" t="s">
        <v>456</v>
      </c>
      <c r="C366" s="34" t="n">
        <v>1183977</v>
      </c>
      <c r="D366" s="34" t="n">
        <v>1190308</v>
      </c>
      <c r="E366" s="34" t="n">
        <v>1173821</v>
      </c>
      <c r="F366" s="34" t="n">
        <v>0</v>
      </c>
      <c r="G366" s="35" t="n">
        <f aca="false">IF($A366="","",IF(ISNUMBER($G365),$G365+1,1))</f>
        <v>362</v>
      </c>
      <c r="H366" s="36" t="n">
        <f aca="false">IF(OR(NOT(ISNUMBER($G366)),$G366&lt;2,NOT(ISNUMBER($C365)),$C365=0),"",$C366/$C365-1)</f>
        <v>0.0060884831221979</v>
      </c>
      <c r="I366" s="37" t="n">
        <f aca="false">IF(AND(ISNUMBER($G366),$G366&gt;=MA_SHORT),AVERAGE(INDEX($C$5:$C366,363-MA_SHORT):$C366),"")</f>
        <v>1202594.8</v>
      </c>
      <c r="J366" s="37" t="n">
        <f aca="false">IF(AND(ISNUMBER($G366),$G366&gt;=MA_MED),AVERAGE(INDEX($C$5:$C366,363-MA_MED):$C366),"")</f>
        <v>1130350.62</v>
      </c>
      <c r="K366" s="37" t="n">
        <f aca="false">IF(AND(ISNUMBER($G366),$G366&gt;=MA_LONG2),AVERAGE(INDEX($C$5:$C366,363-MA_LONG2):$C366),"")</f>
        <v>1120025.885</v>
      </c>
      <c r="L366" s="38" t="n">
        <f aca="false">IF(AND(ISNUMBER($G366),$G366&gt;=21),STDEV(INDEX($H$306:$H366,62-20):$H366)*SQRT(245),"")</f>
        <v>0.130085369161233</v>
      </c>
      <c r="M366" s="37" t="n">
        <f aca="false">IF(AND(ISNUMBER($G366),$G366&gt;=60),MAX(INDEX($D$166:$D366,202-60):$D366),"")</f>
        <v>1225372</v>
      </c>
      <c r="N366" s="37" t="n">
        <f aca="false">IF(AND(ISNUMBER($G366),$G366&gt;=60),MIN(INDEX($E$166:$E366,202-60):$E366),"")</f>
        <v>1029319</v>
      </c>
      <c r="O366" s="38" t="n">
        <f aca="false">IF(OR(NOT(ISNUMBER($C366)),NOT(ISNUMBER($M366)),$M366=0),"",$C366/$M366-1)</f>
        <v>-0.033781578165651</v>
      </c>
    </row>
    <row r="367" customFormat="false" ht="15" hidden="false" customHeight="true" outlineLevel="0" collapsed="false">
      <c r="A367" s="32" t="n">
        <v>46076</v>
      </c>
      <c r="B367" s="33" t="s">
        <v>457</v>
      </c>
      <c r="C367" s="34" t="n">
        <v>1199102</v>
      </c>
      <c r="D367" s="34" t="n">
        <v>1199396</v>
      </c>
      <c r="E367" s="34" t="n">
        <v>1195409</v>
      </c>
      <c r="F367" s="34" t="n">
        <v>0</v>
      </c>
      <c r="G367" s="35" t="n">
        <f aca="false">IF($A367="","",IF(ISNUMBER($G366),$G366+1,1))</f>
        <v>363</v>
      </c>
      <c r="H367" s="36" t="n">
        <f aca="false">IF(OR(NOT(ISNUMBER($G367)),$G367&lt;2,NOT(ISNUMBER($C366)),$C366=0),"",$C367/$C366-1)</f>
        <v>0.0127747414012265</v>
      </c>
      <c r="I367" s="37" t="n">
        <f aca="false">IF(AND(ISNUMBER($G367),$G367&gt;=MA_SHORT),AVERAGE(INDEX($C$5:$C367,364-MA_SHORT):$C367),"")</f>
        <v>1202926.5</v>
      </c>
      <c r="J367" s="37" t="n">
        <f aca="false">IF(AND(ISNUMBER($G367),$G367&gt;=MA_MED),AVERAGE(INDEX($C$5:$C367,364-MA_MED):$C367),"")</f>
        <v>1133495.76</v>
      </c>
      <c r="K367" s="37" t="n">
        <f aca="false">IF(AND(ISNUMBER($G367),$G367&gt;=MA_LONG2),AVERAGE(INDEX($C$5:$C367,364-MA_LONG2):$C367),"")</f>
        <v>1120031.345</v>
      </c>
      <c r="L367" s="38" t="n">
        <f aca="false">IF(AND(ISNUMBER($G367),$G367&gt;=21),STDEV(INDEX($H$307:$H367,62-20):$H367)*SQRT(245),"")</f>
        <v>0.129184802708874</v>
      </c>
      <c r="M367" s="37" t="n">
        <f aca="false">IF(AND(ISNUMBER($G367),$G367&gt;=60),MAX(INDEX($D$167:$D367,202-60):$D367),"")</f>
        <v>1225372</v>
      </c>
      <c r="N367" s="37" t="n">
        <f aca="false">IF(AND(ISNUMBER($G367),$G367&gt;=60),MIN(INDEX($E$167:$E367,202-60):$E367),"")</f>
        <v>1029319</v>
      </c>
      <c r="O367" s="38" t="n">
        <f aca="false">IF(OR(NOT(ISNUMBER($C367)),NOT(ISNUMBER($M367)),$M367=0),"",$C367/$M367-1)</f>
        <v>-0.0214383876896159</v>
      </c>
    </row>
    <row r="368" customFormat="false" ht="15" hidden="false" customHeight="true" outlineLevel="0" collapsed="false">
      <c r="A368" s="32" t="n">
        <v>46077</v>
      </c>
      <c r="B368" s="33" t="s">
        <v>458</v>
      </c>
      <c r="C368" s="34" t="n">
        <v>1205221</v>
      </c>
      <c r="D368" s="34" t="n">
        <v>1207720</v>
      </c>
      <c r="E368" s="34" t="n">
        <v>1200926</v>
      </c>
      <c r="F368" s="34" t="n">
        <v>0</v>
      </c>
      <c r="G368" s="35" t="n">
        <f aca="false">IF($A368="","",IF(ISNUMBER($G367),$G367+1,1))</f>
        <v>364</v>
      </c>
      <c r="H368" s="36" t="n">
        <f aca="false">IF(OR(NOT(ISNUMBER($G368)),$G368&lt;2,NOT(ISNUMBER($C367)),$C367=0),"",$C368/$C367-1)</f>
        <v>0.00510298540074161</v>
      </c>
      <c r="I368" s="37" t="n">
        <f aca="false">IF(AND(ISNUMBER($G368),$G368&gt;=MA_SHORT),AVERAGE(INDEX($C$5:$C368,365-MA_SHORT):$C368),"")</f>
        <v>1203030.2</v>
      </c>
      <c r="J368" s="37" t="n">
        <f aca="false">IF(AND(ISNUMBER($G368),$G368&gt;=MA_MED),AVERAGE(INDEX($C$5:$C368,365-MA_MED):$C368),"")</f>
        <v>1136752.58</v>
      </c>
      <c r="K368" s="37" t="n">
        <f aca="false">IF(AND(ISNUMBER($G368),$G368&gt;=MA_LONG2),AVERAGE(INDEX($C$5:$C368,365-MA_LONG2):$C368),"")</f>
        <v>1120063.29</v>
      </c>
      <c r="L368" s="38" t="n">
        <f aca="false">IF(AND(ISNUMBER($G368),$G368&gt;=21),STDEV(INDEX($H$308:$H368,62-20):$H368)*SQRT(245),"")</f>
        <v>0.12653680333921</v>
      </c>
      <c r="M368" s="37" t="n">
        <f aca="false">IF(AND(ISNUMBER($G368),$G368&gt;=60),MAX(INDEX($D$168:$D368,202-60):$D368),"")</f>
        <v>1225372</v>
      </c>
      <c r="N368" s="37" t="n">
        <f aca="false">IF(AND(ISNUMBER($G368),$G368&gt;=60),MIN(INDEX($E$168:$E368,202-60):$E368),"")</f>
        <v>1029319</v>
      </c>
      <c r="O368" s="38" t="n">
        <f aca="false">IF(OR(NOT(ISNUMBER($C368)),NOT(ISNUMBER($M368)),$M368=0),"",$C368/$M368-1)</f>
        <v>-0.0164448020682699</v>
      </c>
    </row>
    <row r="369" customFormat="false" ht="15" hidden="false" customHeight="true" outlineLevel="0" collapsed="false">
      <c r="A369" s="32" t="n">
        <v>46078</v>
      </c>
      <c r="B369" s="33" t="s">
        <v>459</v>
      </c>
      <c r="C369" s="34" t="n">
        <v>1208065</v>
      </c>
      <c r="D369" s="34" t="n">
        <v>1211917</v>
      </c>
      <c r="E369" s="34" t="n">
        <v>1202762</v>
      </c>
      <c r="F369" s="34" t="n">
        <v>0</v>
      </c>
      <c r="G369" s="35" t="n">
        <f aca="false">IF($A369="","",IF(ISNUMBER($G368),$G368+1,1))</f>
        <v>365</v>
      </c>
      <c r="H369" s="36" t="n">
        <f aca="false">IF(OR(NOT(ISNUMBER($G369)),$G369&lt;2,NOT(ISNUMBER($C368)),$C368=0),"",$C369/$C368-1)</f>
        <v>0.00235973319416116</v>
      </c>
      <c r="I369" s="37" t="n">
        <f aca="false">IF(AND(ISNUMBER($G369),$G369&gt;=MA_SHORT),AVERAGE(INDEX($C$5:$C369,366-MA_SHORT):$C369),"")</f>
        <v>1202416.35</v>
      </c>
      <c r="J369" s="37" t="n">
        <f aca="false">IF(AND(ISNUMBER($G369),$G369&gt;=MA_MED),AVERAGE(INDEX($C$5:$C369,366-MA_MED):$C369),"")</f>
        <v>1139734.38</v>
      </c>
      <c r="K369" s="37" t="n">
        <f aca="false">IF(AND(ISNUMBER($G369),$G369&gt;=MA_LONG2),AVERAGE(INDEX($C$5:$C369,366-MA_LONG2):$C369),"")</f>
        <v>1120116.605</v>
      </c>
      <c r="L369" s="38" t="n">
        <f aca="false">IF(AND(ISNUMBER($G369),$G369&gt;=21),STDEV(INDEX($H$309:$H369,62-20):$H369)*SQRT(245),"")</f>
        <v>0.115731755339315</v>
      </c>
      <c r="M369" s="37" t="n">
        <f aca="false">IF(AND(ISNUMBER($G369),$G369&gt;=60),MAX(INDEX($D$169:$D369,202-60):$D369),"")</f>
        <v>1225372</v>
      </c>
      <c r="N369" s="37" t="n">
        <f aca="false">IF(AND(ISNUMBER($G369),$G369&gt;=60),MIN(INDEX($E$169:$E369,202-60):$E369),"")</f>
        <v>1029319</v>
      </c>
      <c r="O369" s="38" t="n">
        <f aca="false">IF(OR(NOT(ISNUMBER($C369)),NOT(ISNUMBER($M369)),$M369=0),"",$C369/$M369-1)</f>
        <v>-0.0141238742194207</v>
      </c>
    </row>
    <row r="370" customFormat="false" ht="15" hidden="false" customHeight="true" outlineLevel="0" collapsed="false">
      <c r="A370" s="32" t="n">
        <v>46081</v>
      </c>
      <c r="B370" s="33" t="s">
        <v>460</v>
      </c>
      <c r="C370" s="34" t="n">
        <v>1221218</v>
      </c>
      <c r="D370" s="34" t="n">
        <v>1222794</v>
      </c>
      <c r="E370" s="34" t="n">
        <v>1212470</v>
      </c>
      <c r="F370" s="34" t="n">
        <v>0</v>
      </c>
      <c r="G370" s="35" t="n">
        <f aca="false">IF($A370="","",IF(ISNUMBER($G369),$G369+1,1))</f>
        <v>366</v>
      </c>
      <c r="H370" s="36" t="n">
        <f aca="false">IF(OR(NOT(ISNUMBER($G370)),$G370&lt;2,NOT(ISNUMBER($C369)),$C369=0),"",$C370/$C369-1)</f>
        <v>0.0108876591905236</v>
      </c>
      <c r="I370" s="37" t="n">
        <f aca="false">IF(AND(ISNUMBER($G370),$G370&gt;=MA_SHORT),AVERAGE(INDEX($C$5:$C370,367-MA_SHORT):$C370),"")</f>
        <v>1202466.6</v>
      </c>
      <c r="J370" s="37" t="n">
        <f aca="false">IF(AND(ISNUMBER($G370),$G370&gt;=MA_MED),AVERAGE(INDEX($C$5:$C370,367-MA_MED):$C370),"")</f>
        <v>1143146.4</v>
      </c>
      <c r="K370" s="37" t="n">
        <f aca="false">IF(AND(ISNUMBER($G370),$G370&gt;=MA_LONG2),AVERAGE(INDEX($C$5:$C370,367-MA_LONG2):$C370),"")</f>
        <v>1120150.245</v>
      </c>
      <c r="L370" s="38" t="n">
        <f aca="false">IF(AND(ISNUMBER($G370),$G370&gt;=21),STDEV(INDEX($H$310:$H370,62-20):$H370)*SQRT(245),"")</f>
        <v>0.122393893152732</v>
      </c>
      <c r="M370" s="37" t="n">
        <f aca="false">IF(AND(ISNUMBER($G370),$G370&gt;=60),MAX(INDEX($D$170:$D370,202-60):$D370),"")</f>
        <v>1225372</v>
      </c>
      <c r="N370" s="37" t="n">
        <f aca="false">IF(AND(ISNUMBER($G370),$G370&gt;=60),MIN(INDEX($E$170:$E370,202-60):$E370),"")</f>
        <v>1029319</v>
      </c>
      <c r="O370" s="38" t="n">
        <f aca="false">IF(OR(NOT(ISNUMBER($C370)),NOT(ISNUMBER($M370)),$M370=0),"",$C370/$M370-1)</f>
        <v>-0.00338999095784787</v>
      </c>
    </row>
    <row r="371" customFormat="false" ht="15" hidden="false" customHeight="true" outlineLevel="0" collapsed="false">
      <c r="A371" s="32" t="n">
        <v>46082</v>
      </c>
      <c r="B371" s="33" t="s">
        <v>461</v>
      </c>
      <c r="C371" s="34" t="n">
        <v>1227035</v>
      </c>
      <c r="D371" s="34" t="n">
        <v>1228102</v>
      </c>
      <c r="E371" s="34" t="n">
        <v>1223965</v>
      </c>
      <c r="F371" s="34" t="n">
        <v>0</v>
      </c>
      <c r="G371" s="35" t="n">
        <f aca="false">IF($A371="","",IF(ISNUMBER($G370),$G370+1,1))</f>
        <v>367</v>
      </c>
      <c r="H371" s="36" t="n">
        <f aca="false">IF(OR(NOT(ISNUMBER($G371)),$G371&lt;2,NOT(ISNUMBER($C370)),$C370=0),"",$C371/$C370-1)</f>
        <v>0.00476327731821846</v>
      </c>
      <c r="I371" s="37" t="n">
        <f aca="false">IF(AND(ISNUMBER($G371),$G371&gt;=MA_SHORT),AVERAGE(INDEX($C$5:$C371,368-MA_SHORT):$C371),"")</f>
        <v>1203386.1</v>
      </c>
      <c r="J371" s="37" t="n">
        <f aca="false">IF(AND(ISNUMBER($G371),$G371&gt;=MA_MED),AVERAGE(INDEX($C$5:$C371,368-MA_MED):$C371),"")</f>
        <v>1146787.4</v>
      </c>
      <c r="K371" s="37" t="n">
        <f aca="false">IF(AND(ISNUMBER($G371),$G371&gt;=MA_LONG2),AVERAGE(INDEX($C$5:$C371,368-MA_LONG2):$C371),"")</f>
        <v>1120203.21</v>
      </c>
      <c r="L371" s="38" t="n">
        <f aca="false">IF(AND(ISNUMBER($G371),$G371&gt;=21),STDEV(INDEX($H$311:$H371,62-20):$H371)*SQRT(245),"")</f>
        <v>0.118141038064401</v>
      </c>
      <c r="M371" s="37" t="n">
        <f aca="false">IF(AND(ISNUMBER($G371),$G371&gt;=60),MAX(INDEX($D$171:$D371,202-60):$D371),"")</f>
        <v>1228102</v>
      </c>
      <c r="N371" s="37" t="n">
        <f aca="false">IF(AND(ISNUMBER($G371),$G371&gt;=60),MIN(INDEX($E$171:$E371,202-60):$E371),"")</f>
        <v>1029319</v>
      </c>
      <c r="O371" s="38" t="n">
        <f aca="false">IF(OR(NOT(ISNUMBER($C371)),NOT(ISNUMBER($M371)),$M371=0),"",$C371/$M371-1)</f>
        <v>-0.000868820342284304</v>
      </c>
    </row>
    <row r="372" customFormat="false" ht="15" hidden="false" customHeight="true" outlineLevel="0" collapsed="false">
      <c r="A372" s="32" t="n">
        <v>46083</v>
      </c>
      <c r="B372" s="33" t="s">
        <v>462</v>
      </c>
      <c r="C372" s="34" t="n">
        <v>1215582</v>
      </c>
      <c r="D372" s="34" t="n">
        <v>1224314</v>
      </c>
      <c r="E372" s="34" t="n">
        <v>1214698</v>
      </c>
      <c r="F372" s="34" t="n">
        <v>0</v>
      </c>
      <c r="G372" s="35" t="n">
        <f aca="false">IF($A372="","",IF(ISNUMBER($G371),$G371+1,1))</f>
        <v>368</v>
      </c>
      <c r="H372" s="36" t="n">
        <f aca="false">IF(OR(NOT(ISNUMBER($G372)),$G372&lt;2,NOT(ISNUMBER($C371)),$C371=0),"",$C372/$C371-1)</f>
        <v>-0.00933388208160324</v>
      </c>
      <c r="I372" s="37" t="n">
        <f aca="false">IF(AND(ISNUMBER($G372),$G372&gt;=MA_SHORT),AVERAGE(INDEX($C$5:$C372,369-MA_SHORT):$C372),"")</f>
        <v>1203605.5</v>
      </c>
      <c r="J372" s="37" t="n">
        <f aca="false">IF(AND(ISNUMBER($G372),$G372&gt;=MA_MED),AVERAGE(INDEX($C$5:$C372,369-MA_MED):$C372),"")</f>
        <v>1150442</v>
      </c>
      <c r="K372" s="37" t="n">
        <f aca="false">IF(AND(ISNUMBER($G372),$G372&gt;=MA_LONG2),AVERAGE(INDEX($C$5:$C372,369-MA_LONG2):$C372),"")</f>
        <v>1120241.095</v>
      </c>
      <c r="L372" s="38" t="n">
        <f aca="false">IF(AND(ISNUMBER($G372),$G372&gt;=21),STDEV(INDEX($H$312:$H372,62-20):$H372)*SQRT(245),"")</f>
        <v>0.123165844842841</v>
      </c>
      <c r="M372" s="37" t="n">
        <f aca="false">IF(AND(ISNUMBER($G372),$G372&gt;=60),MAX(INDEX($D$172:$D372,202-60):$D372),"")</f>
        <v>1228102</v>
      </c>
      <c r="N372" s="37" t="n">
        <f aca="false">IF(AND(ISNUMBER($G372),$G372&gt;=60),MIN(INDEX($E$172:$E372,202-60):$E372),"")</f>
        <v>1029319</v>
      </c>
      <c r="O372" s="38" t="n">
        <f aca="false">IF(OR(NOT(ISNUMBER($C372)),NOT(ISNUMBER($M372)),$M372=0),"",$C372/$M372-1)</f>
        <v>-0.0101945929572626</v>
      </c>
    </row>
    <row r="373" customFormat="false" ht="15" hidden="false" customHeight="true" outlineLevel="0" collapsed="false">
      <c r="A373" s="32" t="n">
        <v>46084</v>
      </c>
      <c r="B373" s="33" t="s">
        <v>463</v>
      </c>
      <c r="C373" s="34" t="n">
        <v>1233106</v>
      </c>
      <c r="D373" s="34" t="n">
        <v>1236899</v>
      </c>
      <c r="E373" s="34" t="n">
        <v>1231271</v>
      </c>
      <c r="F373" s="34" t="n">
        <v>0</v>
      </c>
      <c r="G373" s="35" t="n">
        <f aca="false">IF($A373="","",IF(ISNUMBER($G372),$G372+1,1))</f>
        <v>369</v>
      </c>
      <c r="H373" s="36" t="n">
        <f aca="false">IF(OR(NOT(ISNUMBER($G373)),$G373&lt;2,NOT(ISNUMBER($C372)),$C372=0),"",$C373/$C372-1)</f>
        <v>0.0144161397585683</v>
      </c>
      <c r="I373" s="37" t="n">
        <f aca="false">IF(AND(ISNUMBER($G373),$G373&gt;=MA_SHORT),AVERAGE(INDEX($C$5:$C373,370-MA_SHORT):$C373),"")</f>
        <v>1205357.55</v>
      </c>
      <c r="J373" s="37" t="n">
        <f aca="false">IF(AND(ISNUMBER($G373),$G373&gt;=MA_MED),AVERAGE(INDEX($C$5:$C373,370-MA_MED):$C373),"")</f>
        <v>1154194.1</v>
      </c>
      <c r="K373" s="37" t="n">
        <f aca="false">IF(AND(ISNUMBER($G373),$G373&gt;=MA_LONG2),AVERAGE(INDEX($C$5:$C373,370-MA_LONG2):$C373),"")</f>
        <v>1120382.29</v>
      </c>
      <c r="L373" s="38" t="n">
        <f aca="false">IF(AND(ISNUMBER($G373),$G373&gt;=21),STDEV(INDEX($H$313:$H373,62-20):$H373)*SQRT(245),"")</f>
        <v>0.125643774541817</v>
      </c>
      <c r="M373" s="37" t="n">
        <f aca="false">IF(AND(ISNUMBER($G373),$G373&gt;=60),MAX(INDEX($D$173:$D373,202-60):$D373),"")</f>
        <v>1236899</v>
      </c>
      <c r="N373" s="37" t="n">
        <f aca="false">IF(AND(ISNUMBER($G373),$G373&gt;=60),MIN(INDEX($E$173:$E373,202-60):$E373),"")</f>
        <v>1029319</v>
      </c>
      <c r="O373" s="38" t="n">
        <f aca="false">IF(OR(NOT(ISNUMBER($C373)),NOT(ISNUMBER($M373)),$M373=0),"",$C373/$M373-1)</f>
        <v>-0.00306653979023352</v>
      </c>
    </row>
    <row r="374" customFormat="false" ht="15" hidden="false" customHeight="true" outlineLevel="0" collapsed="false">
      <c r="A374" s="32" t="n">
        <v>46085</v>
      </c>
      <c r="B374" s="33" t="s">
        <v>464</v>
      </c>
      <c r="C374" s="34" t="n">
        <v>1232151</v>
      </c>
      <c r="D374" s="34" t="n">
        <v>1234145</v>
      </c>
      <c r="E374" s="34" t="n">
        <v>1232033</v>
      </c>
      <c r="F374" s="34" t="n">
        <v>0</v>
      </c>
      <c r="G374" s="35" t="n">
        <f aca="false">IF($A374="","",IF(ISNUMBER($G373),$G373+1,1))</f>
        <v>370</v>
      </c>
      <c r="H374" s="36" t="n">
        <f aca="false">IF(OR(NOT(ISNUMBER($G374)),$G374&lt;2,NOT(ISNUMBER($C373)),$C373=0),"",$C374/$C373-1)</f>
        <v>-0.000774467077445107</v>
      </c>
      <c r="I374" s="37" t="n">
        <f aca="false">IF(AND(ISNUMBER($G374),$G374&gt;=MA_SHORT),AVERAGE(INDEX($C$5:$C374,371-MA_SHORT):$C374),"")</f>
        <v>1206395.1</v>
      </c>
      <c r="J374" s="37" t="n">
        <f aca="false">IF(AND(ISNUMBER($G374),$G374&gt;=MA_MED),AVERAGE(INDEX($C$5:$C374,371-MA_MED):$C374),"")</f>
        <v>1157799</v>
      </c>
      <c r="K374" s="37" t="n">
        <f aca="false">IF(AND(ISNUMBER($G374),$G374&gt;=MA_LONG2),AVERAGE(INDEX($C$5:$C374,371-MA_LONG2):$C374),"")</f>
        <v>1120540.155</v>
      </c>
      <c r="L374" s="38" t="n">
        <f aca="false">IF(AND(ISNUMBER($G374),$G374&gt;=21),STDEV(INDEX($H$314:$H374,62-20):$H374)*SQRT(245),"")</f>
        <v>0.120654391570801</v>
      </c>
      <c r="M374" s="37" t="n">
        <f aca="false">IF(AND(ISNUMBER($G374),$G374&gt;=60),MAX(INDEX($D$174:$D374,202-60):$D374),"")</f>
        <v>1236899</v>
      </c>
      <c r="N374" s="37" t="n">
        <f aca="false">IF(AND(ISNUMBER($G374),$G374&gt;=60),MIN(INDEX($E$174:$E374,202-60):$E374),"")</f>
        <v>1029319</v>
      </c>
      <c r="O374" s="38" t="n">
        <f aca="false">IF(OR(NOT(ISNUMBER($C374)),NOT(ISNUMBER($M374)),$M374=0),"",$C374/$M374-1)</f>
        <v>-0.00383863193356937</v>
      </c>
    </row>
    <row r="375" customFormat="false" ht="15" hidden="false" customHeight="true" outlineLevel="0" collapsed="false">
      <c r="A375" s="32" t="n">
        <v>46088</v>
      </c>
      <c r="B375" s="33" t="s">
        <v>465</v>
      </c>
      <c r="C375" s="34" t="n">
        <v>1239503</v>
      </c>
      <c r="D375" s="34" t="n">
        <v>1240926</v>
      </c>
      <c r="E375" s="34" t="n">
        <v>1239045</v>
      </c>
      <c r="F375" s="34" t="n">
        <v>0</v>
      </c>
      <c r="G375" s="35" t="n">
        <f aca="false">IF($A375="","",IF(ISNUMBER($G374),$G374+1,1))</f>
        <v>371</v>
      </c>
      <c r="H375" s="36" t="n">
        <f aca="false">IF(OR(NOT(ISNUMBER($G375)),$G375&lt;2,NOT(ISNUMBER($C374)),$C374=0),"",$C375/$C374-1)</f>
        <v>0.00596680114693737</v>
      </c>
      <c r="I375" s="37" t="n">
        <f aca="false">IF(AND(ISNUMBER($G375),$G375&gt;=MA_SHORT),AVERAGE(INDEX($C$5:$C375,372-MA_SHORT):$C375),"")</f>
        <v>1207937.05</v>
      </c>
      <c r="J375" s="37" t="n">
        <f aca="false">IF(AND(ISNUMBER($G375),$G375&gt;=MA_MED),AVERAGE(INDEX($C$5:$C375,372-MA_MED):$C375),"")</f>
        <v>1161295.94</v>
      </c>
      <c r="K375" s="37" t="n">
        <f aca="false">IF(AND(ISNUMBER($G375),$G375&gt;=MA_LONG2),AVERAGE(INDEX($C$5:$C375,372-MA_LONG2):$C375),"")</f>
        <v>1120815.41</v>
      </c>
      <c r="L375" s="38" t="n">
        <f aca="false">IF(AND(ISNUMBER($G375),$G375&gt;=21),STDEV(INDEX($H$315:$H375,62-20):$H375)*SQRT(245),"")</f>
        <v>0.121329999605627</v>
      </c>
      <c r="M375" s="37" t="n">
        <f aca="false">IF(AND(ISNUMBER($G375),$G375&gt;=60),MAX(INDEX($D$175:$D375,202-60):$D375),"")</f>
        <v>1240926</v>
      </c>
      <c r="N375" s="37" t="n">
        <f aca="false">IF(AND(ISNUMBER($G375),$G375&gt;=60),MIN(INDEX($E$175:$E375,202-60):$E375),"")</f>
        <v>1029319</v>
      </c>
      <c r="O375" s="38" t="n">
        <f aca="false">IF(OR(NOT(ISNUMBER($C375)),NOT(ISNUMBER($M375)),$M375=0),"",$C375/$M375-1)</f>
        <v>-0.00114672430104612</v>
      </c>
    </row>
    <row r="376" customFormat="false" ht="15" hidden="false" customHeight="true" outlineLevel="0" collapsed="false">
      <c r="A376" s="32" t="n">
        <v>46089</v>
      </c>
      <c r="B376" s="33" t="s">
        <v>466</v>
      </c>
      <c r="C376" s="34" t="n">
        <v>1238418</v>
      </c>
      <c r="D376" s="34" t="n">
        <v>1240896</v>
      </c>
      <c r="E376" s="34" t="n">
        <v>1236561</v>
      </c>
      <c r="F376" s="34" t="n">
        <v>0</v>
      </c>
      <c r="G376" s="35" t="n">
        <f aca="false">IF($A376="","",IF(ISNUMBER($G375),$G375+1,1))</f>
        <v>372</v>
      </c>
      <c r="H376" s="36" t="n">
        <f aca="false">IF(OR(NOT(ISNUMBER($G376)),$G376&lt;2,NOT(ISNUMBER($C375)),$C375=0),"",$C376/$C375-1)</f>
        <v>-0.000875350846266554</v>
      </c>
      <c r="I376" s="37" t="n">
        <f aca="false">IF(AND(ISNUMBER($G376),$G376&gt;=MA_SHORT),AVERAGE(INDEX($C$5:$C376,373-MA_SHORT):$C376),"")</f>
        <v>1209547.4</v>
      </c>
      <c r="J376" s="37" t="n">
        <f aca="false">IF(AND(ISNUMBER($G376),$G376&gt;=MA_MED),AVERAGE(INDEX($C$5:$C376,373-MA_MED):$C376),"")</f>
        <v>1164862.56</v>
      </c>
      <c r="K376" s="37" t="n">
        <f aca="false">IF(AND(ISNUMBER($G376),$G376&gt;=MA_LONG2),AVERAGE(INDEX($C$5:$C376,373-MA_LONG2):$C376),"")</f>
        <v>1121080.705</v>
      </c>
      <c r="L376" s="38" t="n">
        <f aca="false">IF(AND(ISNUMBER($G376),$G376&gt;=21),STDEV(INDEX($H$316:$H376,62-20):$H376)*SQRT(245),"")</f>
        <v>0.12098970492949</v>
      </c>
      <c r="M376" s="37" t="n">
        <f aca="false">IF(AND(ISNUMBER($G376),$G376&gt;=60),MAX(INDEX($D$176:$D376,202-60):$D376),"")</f>
        <v>1240926</v>
      </c>
      <c r="N376" s="37" t="n">
        <f aca="false">IF(AND(ISNUMBER($G376),$G376&gt;=60),MIN(INDEX($E$176:$E376,202-60):$E376),"")</f>
        <v>1029319</v>
      </c>
      <c r="O376" s="38" t="n">
        <f aca="false">IF(OR(NOT(ISNUMBER($C376)),NOT(ISNUMBER($M376)),$M376=0),"",$C376/$M376-1)</f>
        <v>-0.00202107136122542</v>
      </c>
    </row>
    <row r="377" customFormat="false" ht="15" hidden="false" customHeight="true" outlineLevel="0" collapsed="false">
      <c r="A377" s="32" t="n">
        <v>46090</v>
      </c>
      <c r="B377" s="33" t="s">
        <v>467</v>
      </c>
      <c r="C377" s="34" t="n">
        <v>1230420</v>
      </c>
      <c r="D377" s="34" t="n">
        <v>1231522</v>
      </c>
      <c r="E377" s="34" t="n">
        <v>1225172</v>
      </c>
      <c r="F377" s="34" t="n">
        <v>0</v>
      </c>
      <c r="G377" s="35" t="n">
        <f aca="false">IF($A377="","",IF(ISNUMBER($G376),$G376+1,1))</f>
        <v>373</v>
      </c>
      <c r="H377" s="36" t="n">
        <f aca="false">IF(OR(NOT(ISNUMBER($G377)),$G377&lt;2,NOT(ISNUMBER($C376)),$C376=0),"",$C377/$C376-1)</f>
        <v>-0.00645823946357371</v>
      </c>
      <c r="I377" s="37" t="n">
        <f aca="false">IF(AND(ISNUMBER($G377),$G377&gt;=MA_SHORT),AVERAGE(INDEX($C$5:$C377,374-MA_SHORT):$C377),"")</f>
        <v>1211170.5</v>
      </c>
      <c r="J377" s="37" t="n">
        <f aca="false">IF(AND(ISNUMBER($G377),$G377&gt;=MA_MED),AVERAGE(INDEX($C$5:$C377,374-MA_MED):$C377),"")</f>
        <v>1168280.62</v>
      </c>
      <c r="K377" s="37" t="n">
        <f aca="false">IF(AND(ISNUMBER($G377),$G377&gt;=MA_LONG2),AVERAGE(INDEX($C$5:$C377,374-MA_LONG2):$C377),"")</f>
        <v>1121289.37</v>
      </c>
      <c r="L377" s="38" t="n">
        <f aca="false">IF(AND(ISNUMBER($G377),$G377&gt;=21),STDEV(INDEX($H$317:$H377,62-20):$H377)*SQRT(245),"")</f>
        <v>0.120661718702661</v>
      </c>
      <c r="M377" s="37" t="n">
        <f aca="false">IF(AND(ISNUMBER($G377),$G377&gt;=60),MAX(INDEX($D$177:$D377,202-60):$D377),"")</f>
        <v>1240926</v>
      </c>
      <c r="N377" s="37" t="n">
        <f aca="false">IF(AND(ISNUMBER($G377),$G377&gt;=60),MIN(INDEX($E$177:$E377,202-60):$E377),"")</f>
        <v>1029319</v>
      </c>
      <c r="O377" s="38" t="n">
        <f aca="false">IF(OR(NOT(ISNUMBER($C377)),NOT(ISNUMBER($M377)),$M377=0),"",$C377/$M377-1)</f>
        <v>-0.00846625826197534</v>
      </c>
    </row>
    <row r="378" customFormat="false" ht="15" hidden="false" customHeight="true" outlineLevel="0" collapsed="false">
      <c r="A378" s="32" t="n">
        <v>46091</v>
      </c>
      <c r="B378" s="33" t="s">
        <v>468</v>
      </c>
      <c r="C378" s="34" t="n">
        <v>1244094</v>
      </c>
      <c r="D378" s="34" t="n">
        <v>1246306</v>
      </c>
      <c r="E378" s="34" t="n">
        <v>1240425</v>
      </c>
      <c r="F378" s="34" t="n">
        <v>0</v>
      </c>
      <c r="G378" s="35" t="n">
        <f aca="false">IF($A378="","",IF(ISNUMBER($G377),$G377+1,1))</f>
        <v>374</v>
      </c>
      <c r="H378" s="36" t="n">
        <f aca="false">IF(OR(NOT(ISNUMBER($G378)),$G378&lt;2,NOT(ISNUMBER($C377)),$C377=0),"",$C378/$C377-1)</f>
        <v>0.0111132783927439</v>
      </c>
      <c r="I378" s="37" t="n">
        <f aca="false">IF(AND(ISNUMBER($G378),$G378&gt;=MA_SHORT),AVERAGE(INDEX($C$5:$C378,375-MA_SHORT):$C378),"")</f>
        <v>1213461.2</v>
      </c>
      <c r="J378" s="37" t="n">
        <f aca="false">IF(AND(ISNUMBER($G378),$G378&gt;=MA_MED),AVERAGE(INDEX($C$5:$C378,375-MA_MED):$C378),"")</f>
        <v>1172025.02</v>
      </c>
      <c r="K378" s="37" t="n">
        <f aca="false">IF(AND(ISNUMBER($G378),$G378&gt;=MA_LONG2),AVERAGE(INDEX($C$5:$C378,375-MA_LONG2):$C378),"")</f>
        <v>1121620.555</v>
      </c>
      <c r="L378" s="38" t="n">
        <f aca="false">IF(AND(ISNUMBER($G378),$G378&gt;=21),STDEV(INDEX($H$318:$H378,62-20):$H378)*SQRT(245),"")</f>
        <v>0.125271848605521</v>
      </c>
      <c r="M378" s="37" t="n">
        <f aca="false">IF(AND(ISNUMBER($G378),$G378&gt;=60),MAX(INDEX($D$178:$D378,202-60):$D378),"")</f>
        <v>1246306</v>
      </c>
      <c r="N378" s="37" t="n">
        <f aca="false">IF(AND(ISNUMBER($G378),$G378&gt;=60),MIN(INDEX($E$178:$E378,202-60):$E378),"")</f>
        <v>1029319</v>
      </c>
      <c r="O378" s="38" t="n">
        <f aca="false">IF(OR(NOT(ISNUMBER($C378)),NOT(ISNUMBER($M378)),$M378=0),"",$C378/$M378-1)</f>
        <v>-0.00177484502200909</v>
      </c>
    </row>
    <row r="379" customFormat="false" ht="15" hidden="false" customHeight="true" outlineLevel="0" collapsed="false">
      <c r="A379" s="32" t="n">
        <v>46092</v>
      </c>
      <c r="B379" s="33" t="s">
        <v>469</v>
      </c>
      <c r="C379" s="34" t="n">
        <v>1236322</v>
      </c>
      <c r="D379" s="34" t="n">
        <v>1239359</v>
      </c>
      <c r="E379" s="34" t="n">
        <v>1231372</v>
      </c>
      <c r="F379" s="34" t="n">
        <v>0</v>
      </c>
      <c r="G379" s="35" t="n">
        <f aca="false">IF($A379="","",IF(ISNUMBER($G378),$G378+1,1))</f>
        <v>375</v>
      </c>
      <c r="H379" s="36" t="n">
        <f aca="false">IF(OR(NOT(ISNUMBER($G379)),$G379&lt;2,NOT(ISNUMBER($C378)),$C378=0),"",$C379/$C378-1)</f>
        <v>-0.00624711637545072</v>
      </c>
      <c r="I379" s="37" t="n">
        <f aca="false">IF(AND(ISNUMBER($G379),$G379&gt;=MA_SHORT),AVERAGE(INDEX($C$5:$C379,376-MA_SHORT):$C379),"")</f>
        <v>1214786.95</v>
      </c>
      <c r="J379" s="37" t="n">
        <f aca="false">IF(AND(ISNUMBER($G379),$G379&gt;=MA_MED),AVERAGE(INDEX($C$5:$C379,376-MA_MED):$C379),"")</f>
        <v>1175442.96</v>
      </c>
      <c r="K379" s="37" t="n">
        <f aca="false">IF(AND(ISNUMBER($G379),$G379&gt;=MA_LONG2),AVERAGE(INDEX($C$5:$C379,376-MA_LONG2):$C379),"")</f>
        <v>1121883.18</v>
      </c>
      <c r="L379" s="38" t="n">
        <f aca="false">IF(AND(ISNUMBER($G379),$G379&gt;=21),STDEV(INDEX($H$319:$H379,62-20):$H379)*SQRT(245),"")</f>
        <v>0.124986142147728</v>
      </c>
      <c r="M379" s="37" t="n">
        <f aca="false">IF(AND(ISNUMBER($G379),$G379&gt;=60),MAX(INDEX($D$179:$D379,202-60):$D379),"")</f>
        <v>1246306</v>
      </c>
      <c r="N379" s="37" t="n">
        <f aca="false">IF(AND(ISNUMBER($G379),$G379&gt;=60),MIN(INDEX($E$179:$E379,202-60):$E379),"")</f>
        <v>1029319</v>
      </c>
      <c r="O379" s="38" t="n">
        <f aca="false">IF(OR(NOT(ISNUMBER($C379)),NOT(ISNUMBER($M379)),$M379=0),"",$C379/$M379-1)</f>
        <v>-0.00801087373405884</v>
      </c>
    </row>
    <row r="380" customFormat="false" ht="15" hidden="false" customHeight="true" outlineLevel="0" collapsed="false">
      <c r="A380" s="32" t="n">
        <v>46095</v>
      </c>
      <c r="B380" s="33" t="s">
        <v>470</v>
      </c>
      <c r="C380" s="34" t="n">
        <v>1239161</v>
      </c>
      <c r="D380" s="34" t="n">
        <v>1240168</v>
      </c>
      <c r="E380" s="34" t="n">
        <v>1238197</v>
      </c>
      <c r="F380" s="34" t="n">
        <v>0</v>
      </c>
      <c r="G380" s="35" t="n">
        <f aca="false">IF($A380="","",IF(ISNUMBER($G379),$G379+1,1))</f>
        <v>376</v>
      </c>
      <c r="H380" s="36" t="n">
        <f aca="false">IF(OR(NOT(ISNUMBER($G380)),$G380&lt;2,NOT(ISNUMBER($C379)),$C379=0),"",$C380/$C379-1)</f>
        <v>0.00229632733219987</v>
      </c>
      <c r="I380" s="37" t="n">
        <f aca="false">IF(AND(ISNUMBER($G380),$G380&gt;=MA_SHORT),AVERAGE(INDEX($C$5:$C380,377-MA_SHORT):$C380),"")</f>
        <v>1216613.8</v>
      </c>
      <c r="J380" s="37" t="n">
        <f aca="false">IF(AND(ISNUMBER($G380),$G380&gt;=MA_MED),AVERAGE(INDEX($C$5:$C380,377-MA_MED):$C380),"")</f>
        <v>1179202.62</v>
      </c>
      <c r="K380" s="37" t="n">
        <f aca="false">IF(AND(ISNUMBER($G380),$G380&gt;=MA_LONG2),AVERAGE(INDEX($C$5:$C380,377-MA_LONG2):$C380),"")</f>
        <v>1122160.235</v>
      </c>
      <c r="L380" s="38" t="n">
        <f aca="false">IF(AND(ISNUMBER($G380),$G380&gt;=21),STDEV(INDEX($H$320:$H380,62-20):$H380)*SQRT(245),"")</f>
        <v>0.12228872921496</v>
      </c>
      <c r="M380" s="37" t="n">
        <f aca="false">IF(AND(ISNUMBER($G380),$G380&gt;=60),MAX(INDEX($D$180:$D380,202-60):$D380),"")</f>
        <v>1246306</v>
      </c>
      <c r="N380" s="37" t="n">
        <f aca="false">IF(AND(ISNUMBER($G380),$G380&gt;=60),MIN(INDEX($E$180:$E380,202-60):$E380),"")</f>
        <v>1029319</v>
      </c>
      <c r="O380" s="38" t="n">
        <f aca="false">IF(OR(NOT(ISNUMBER($C380)),NOT(ISNUMBER($M380)),$M380=0),"",$C380/$M380-1)</f>
        <v>-0.00573294199016938</v>
      </c>
    </row>
    <row r="381" customFormat="false" ht="15" hidden="false" customHeight="true" outlineLevel="0" collapsed="false">
      <c r="A381" s="32" t="n">
        <v>46096</v>
      </c>
      <c r="B381" s="33" t="s">
        <v>471</v>
      </c>
      <c r="C381" s="34" t="n">
        <v>1232773</v>
      </c>
      <c r="D381" s="34" t="n">
        <v>1241700</v>
      </c>
      <c r="E381" s="34" t="n">
        <v>1231267</v>
      </c>
      <c r="F381" s="34" t="n">
        <v>0</v>
      </c>
      <c r="G381" s="35" t="n">
        <f aca="false">IF($A381="","",IF(ISNUMBER($G380),$G380+1,1))</f>
        <v>377</v>
      </c>
      <c r="H381" s="36" t="n">
        <f aca="false">IF(OR(NOT(ISNUMBER($G381)),$G381&lt;2,NOT(ISNUMBER($C380)),$C380=0),"",$C381/$C380-1)</f>
        <v>-0.00515510091101967</v>
      </c>
      <c r="I381" s="37" t="n">
        <f aca="false">IF(AND(ISNUMBER($G381),$G381&gt;=MA_SHORT),AVERAGE(INDEX($C$5:$C381,378-MA_SHORT):$C381),"")</f>
        <v>1217907.95</v>
      </c>
      <c r="J381" s="37" t="n">
        <f aca="false">IF(AND(ISNUMBER($G381),$G381&gt;=MA_MED),AVERAGE(INDEX($C$5:$C381,378-MA_MED):$C381),"")</f>
        <v>1182813.04</v>
      </c>
      <c r="K381" s="37" t="n">
        <f aca="false">IF(AND(ISNUMBER($G381),$G381&gt;=MA_LONG2),AVERAGE(INDEX($C$5:$C381,378-MA_LONG2):$C381),"")</f>
        <v>1122441.875</v>
      </c>
      <c r="L381" s="38" t="n">
        <f aca="false">IF(AND(ISNUMBER($G381),$G381&gt;=21),STDEV(INDEX($H$321:$H381,62-20):$H381)*SQRT(245),"")</f>
        <v>0.124212437034005</v>
      </c>
      <c r="M381" s="37" t="n">
        <f aca="false">IF(AND(ISNUMBER($G381),$G381&gt;=60),MAX(INDEX($D$181:$D381,202-60):$D381),"")</f>
        <v>1246306</v>
      </c>
      <c r="N381" s="37" t="n">
        <f aca="false">IF(AND(ISNUMBER($G381),$G381&gt;=60),MIN(INDEX($E$181:$E381,202-60):$E381),"")</f>
        <v>1029319</v>
      </c>
      <c r="O381" s="38" t="n">
        <f aca="false">IF(OR(NOT(ISNUMBER($C381)),NOT(ISNUMBER($M381)),$M381=0),"",$C381/$M381-1)</f>
        <v>-0.0108584890067126</v>
      </c>
    </row>
    <row r="382" customFormat="false" ht="15" hidden="false" customHeight="true" outlineLevel="0" collapsed="false">
      <c r="A382" s="32" t="n">
        <v>46097</v>
      </c>
      <c r="B382" s="33" t="s">
        <v>472</v>
      </c>
      <c r="C382" s="34" t="n">
        <v>1234491</v>
      </c>
      <c r="D382" s="34" t="n">
        <v>1234691</v>
      </c>
      <c r="E382" s="34" t="n">
        <v>1233053</v>
      </c>
      <c r="F382" s="34" t="n">
        <v>0</v>
      </c>
      <c r="G382" s="35" t="n">
        <f aca="false">IF($A382="","",IF(ISNUMBER($G381),$G381+1,1))</f>
        <v>378</v>
      </c>
      <c r="H382" s="36" t="n">
        <f aca="false">IF(OR(NOT(ISNUMBER($G382)),$G382&lt;2,NOT(ISNUMBER($C381)),$C381=0),"",$C382/$C381-1)</f>
        <v>0.00139360612213268</v>
      </c>
      <c r="I382" s="37" t="n">
        <f aca="false">IF(AND(ISNUMBER($G382),$G382&gt;=MA_SHORT),AVERAGE(INDEX($C$5:$C382,379-MA_SHORT):$C382),"")</f>
        <v>1219464.75</v>
      </c>
      <c r="J382" s="37" t="n">
        <f aca="false">IF(AND(ISNUMBER($G382),$G382&gt;=MA_MED),AVERAGE(INDEX($C$5:$C382,379-MA_MED):$C382),"")</f>
        <v>1186425.26</v>
      </c>
      <c r="K382" s="37" t="n">
        <f aca="false">IF(AND(ISNUMBER($G382),$G382&gt;=MA_LONG2),AVERAGE(INDEX($C$5:$C382,379-MA_LONG2):$C382),"")</f>
        <v>1122795.995</v>
      </c>
      <c r="L382" s="38" t="n">
        <f aca="false">IF(AND(ISNUMBER($G382),$G382&gt;=21),STDEV(INDEX($H$322:$H382,62-20):$H382)*SQRT(245),"")</f>
        <v>0.123326523391409</v>
      </c>
      <c r="M382" s="37" t="n">
        <f aca="false">IF(AND(ISNUMBER($G382),$G382&gt;=60),MAX(INDEX($D$182:$D382,202-60):$D382),"")</f>
        <v>1246306</v>
      </c>
      <c r="N382" s="37" t="n">
        <f aca="false">IF(AND(ISNUMBER($G382),$G382&gt;=60),MIN(INDEX($E$182:$E382,202-60):$E382),"")</f>
        <v>1043507</v>
      </c>
      <c r="O382" s="38" t="n">
        <f aca="false">IF(OR(NOT(ISNUMBER($C382)),NOT(ISNUMBER($M382)),$M382=0),"",$C382/$M382-1)</f>
        <v>-0.00948001534133669</v>
      </c>
    </row>
    <row r="383" customFormat="false" ht="15" hidden="false" customHeight="true" outlineLevel="0" collapsed="false">
      <c r="A383" s="32" t="n">
        <v>46098</v>
      </c>
      <c r="B383" s="33" t="s">
        <v>473</v>
      </c>
      <c r="C383" s="34" t="n">
        <v>1169960</v>
      </c>
      <c r="D383" s="34" t="n">
        <v>1176043</v>
      </c>
      <c r="E383" s="34" t="n">
        <v>1169799</v>
      </c>
      <c r="F383" s="34" t="n">
        <v>0</v>
      </c>
      <c r="G383" s="35" t="n">
        <f aca="false">IF($A383="","",IF(ISNUMBER($G382),$G382+1,1))</f>
        <v>379</v>
      </c>
      <c r="H383" s="36" t="n">
        <f aca="false">IF(OR(NOT(ISNUMBER($G383)),$G383&lt;2,NOT(ISNUMBER($C382)),$C382=0),"",$C383/$C382-1)</f>
        <v>-0.0522733661079748</v>
      </c>
      <c r="I383" s="37" t="n">
        <f aca="false">IF(AND(ISNUMBER($G383),$G383&gt;=MA_SHORT),AVERAGE(INDEX($C$5:$C383,380-MA_SHORT):$C383),"")</f>
        <v>1217756.05</v>
      </c>
      <c r="J383" s="37" t="n">
        <f aca="false">IF(AND(ISNUMBER($G383),$G383&gt;=MA_MED),AVERAGE(INDEX($C$5:$C383,380-MA_MED):$C383),"")</f>
        <v>1188614.96</v>
      </c>
      <c r="K383" s="37" t="n">
        <f aca="false">IF(AND(ISNUMBER($G383),$G383&gt;=MA_LONG2),AVERAGE(INDEX($C$5:$C383,380-MA_LONG2):$C383),"")</f>
        <v>1122835.795</v>
      </c>
      <c r="L383" s="38" t="n">
        <f aca="false">IF(AND(ISNUMBER($G383),$G383&gt;=21),STDEV(INDEX($H$323:$H383,62-20):$H383)*SQRT(245),"")</f>
        <v>0.224539175361731</v>
      </c>
      <c r="M383" s="37" t="n">
        <f aca="false">IF(AND(ISNUMBER($G383),$G383&gt;=60),MAX(INDEX($D$183:$D383,202-60):$D383),"")</f>
        <v>1246306</v>
      </c>
      <c r="N383" s="37" t="n">
        <f aca="false">IF(AND(ISNUMBER($G383),$G383&gt;=60),MIN(INDEX($E$183:$E383,202-60):$E383),"")</f>
        <v>1047040</v>
      </c>
      <c r="O383" s="38" t="n">
        <f aca="false">IF(OR(NOT(ISNUMBER($C383)),NOT(ISNUMBER($M383)),$M383=0),"",$C383/$M383-1)</f>
        <v>-0.0612578291366647</v>
      </c>
    </row>
    <row r="384" customFormat="false" ht="15" hidden="false" customHeight="true" outlineLevel="0" collapsed="false">
      <c r="A384" s="32" t="n">
        <v>46099</v>
      </c>
      <c r="B384" s="33" t="s">
        <v>474</v>
      </c>
      <c r="C384" s="34" t="n">
        <v>1170179</v>
      </c>
      <c r="D384" s="34" t="n">
        <v>1172182</v>
      </c>
      <c r="E384" s="34" t="n">
        <v>1166048</v>
      </c>
      <c r="F384" s="34" t="n">
        <v>0</v>
      </c>
      <c r="G384" s="35" t="n">
        <f aca="false">IF($A384="","",IF(ISNUMBER($G383),$G383+1,1))</f>
        <v>380</v>
      </c>
      <c r="H384" s="36" t="n">
        <f aca="false">IF(OR(NOT(ISNUMBER($G384)),$G384&lt;2,NOT(ISNUMBER($C383)),$C383=0),"",$C384/$C383-1)</f>
        <v>0.000187185886697083</v>
      </c>
      <c r="I384" s="37" t="n">
        <f aca="false">IF(AND(ISNUMBER($G384),$G384&gt;=MA_SHORT),AVERAGE(INDEX($C$5:$C384,381-MA_SHORT):$C384),"")</f>
        <v>1216879.5</v>
      </c>
      <c r="J384" s="37" t="n">
        <f aca="false">IF(AND(ISNUMBER($G384),$G384&gt;=MA_MED),AVERAGE(INDEX($C$5:$C384,381-MA_MED):$C384),"")</f>
        <v>1190729.26</v>
      </c>
      <c r="K384" s="37" t="n">
        <f aca="false">IF(AND(ISNUMBER($G384),$G384&gt;=MA_LONG2),AVERAGE(INDEX($C$5:$C384,381-MA_LONG2):$C384),"")</f>
        <v>1122874.795</v>
      </c>
      <c r="L384" s="38" t="n">
        <f aca="false">IF(AND(ISNUMBER($G384),$G384&gt;=21),STDEV(INDEX($H$324:$H384,62-20):$H384)*SQRT(245),"")</f>
        <v>0.219939474774224</v>
      </c>
      <c r="M384" s="37" t="n">
        <f aca="false">IF(AND(ISNUMBER($G384),$G384&gt;=60),MAX(INDEX($D$184:$D384,202-60):$D384),"")</f>
        <v>1246306</v>
      </c>
      <c r="N384" s="37" t="n">
        <f aca="false">IF(AND(ISNUMBER($G384),$G384&gt;=60),MIN(INDEX($E$184:$E384,202-60):$E384),"")</f>
        <v>1047040</v>
      </c>
      <c r="O384" s="38" t="n">
        <f aca="false">IF(OR(NOT(ISNUMBER($C384)),NOT(ISNUMBER($M384)),$M384=0),"",$C384/$M384-1)</f>
        <v>-0.0610821098510318</v>
      </c>
    </row>
    <row r="385" customFormat="false" ht="15" hidden="false" customHeight="true" outlineLevel="0" collapsed="false">
      <c r="A385" s="32" t="n">
        <v>46102</v>
      </c>
      <c r="B385" s="33" t="s">
        <v>475</v>
      </c>
      <c r="C385" s="34" t="n">
        <v>1185047</v>
      </c>
      <c r="D385" s="34" t="n">
        <v>1186574</v>
      </c>
      <c r="E385" s="34" t="n">
        <v>1185030</v>
      </c>
      <c r="F385" s="34" t="n">
        <v>0</v>
      </c>
      <c r="G385" s="35" t="n">
        <f aca="false">IF($A385="","",IF(ISNUMBER($G384),$G384+1,1))</f>
        <v>381</v>
      </c>
      <c r="H385" s="36" t="n">
        <f aca="false">IF(OR(NOT(ISNUMBER($G385)),$G385&lt;2,NOT(ISNUMBER($C384)),$C384=0),"",$C385/$C384-1)</f>
        <v>0.0127057484367776</v>
      </c>
      <c r="I385" s="37" t="n">
        <f aca="false">IF(AND(ISNUMBER($G385),$G385&gt;=MA_SHORT),AVERAGE(INDEX($C$5:$C385,382-MA_SHORT):$C385),"")</f>
        <v>1217291.25</v>
      </c>
      <c r="J385" s="37" t="n">
        <f aca="false">IF(AND(ISNUMBER($G385),$G385&gt;=MA_MED),AVERAGE(INDEX($C$5:$C385,382-MA_MED):$C385),"")</f>
        <v>1193077.18</v>
      </c>
      <c r="K385" s="37" t="n">
        <f aca="false">IF(AND(ISNUMBER($G385),$G385&gt;=MA_LONG2),AVERAGE(INDEX($C$5:$C385,382-MA_LONG2):$C385),"")</f>
        <v>1123082.315</v>
      </c>
      <c r="L385" s="38" t="n">
        <f aca="false">IF(AND(ISNUMBER($G385),$G385&gt;=21),STDEV(INDEX($H$325:$H385,62-20):$H385)*SQRT(245),"")</f>
        <v>0.222319373295764</v>
      </c>
      <c r="M385" s="37" t="n">
        <f aca="false">IF(AND(ISNUMBER($G385),$G385&gt;=60),MAX(INDEX($D$185:$D385,202-60):$D385),"")</f>
        <v>1246306</v>
      </c>
      <c r="N385" s="37" t="n">
        <f aca="false">IF(AND(ISNUMBER($G385),$G385&gt;=60),MIN(INDEX($E$185:$E385,202-60):$E385),"")</f>
        <v>1047040</v>
      </c>
      <c r="O385" s="38" t="n">
        <f aca="false">IF(OR(NOT(ISNUMBER($C385)),NOT(ISNUMBER($M385)),$M385=0),"",$C385/$M385-1)</f>
        <v>-0.049152455336009</v>
      </c>
    </row>
    <row r="386" customFormat="false" ht="15" hidden="false" customHeight="true" outlineLevel="0" collapsed="false">
      <c r="A386" s="32" t="n">
        <v>46103</v>
      </c>
      <c r="B386" s="33" t="s">
        <v>476</v>
      </c>
      <c r="C386" s="34" t="n">
        <v>1185748</v>
      </c>
      <c r="D386" s="34" t="n">
        <v>1186190</v>
      </c>
      <c r="E386" s="34" t="n">
        <v>1182649</v>
      </c>
      <c r="F386" s="34" t="n">
        <v>0</v>
      </c>
      <c r="G386" s="35" t="n">
        <f aca="false">IF($A386="","",IF(ISNUMBER($G385),$G385+1,1))</f>
        <v>382</v>
      </c>
      <c r="H386" s="36" t="n">
        <f aca="false">IF(OR(NOT(ISNUMBER($G386)),$G386&lt;2,NOT(ISNUMBER($C385)),$C385=0),"",$C386/$C385-1)</f>
        <v>0.000591537719601076</v>
      </c>
      <c r="I386" s="37" t="n">
        <f aca="false">IF(AND(ISNUMBER($G386),$G386&gt;=MA_SHORT),AVERAGE(INDEX($C$5:$C386,383-MA_SHORT):$C386),"")</f>
        <v>1217379.8</v>
      </c>
      <c r="J386" s="37" t="n">
        <f aca="false">IF(AND(ISNUMBER($G386),$G386&gt;=MA_MED),AVERAGE(INDEX($C$5:$C386,383-MA_MED):$C386),"")</f>
        <v>1195221.38</v>
      </c>
      <c r="K386" s="37" t="n">
        <f aca="false">IF(AND(ISNUMBER($G386),$G386&gt;=MA_LONG2),AVERAGE(INDEX($C$5:$C386,383-MA_LONG2):$C386),"")</f>
        <v>1123296.07</v>
      </c>
      <c r="L386" s="38" t="n">
        <f aca="false">IF(AND(ISNUMBER($G386),$G386&gt;=21),STDEV(INDEX($H$326:$H386,62-20):$H386)*SQRT(245),"")</f>
        <v>0.221351052161052</v>
      </c>
      <c r="M386" s="37" t="n">
        <f aca="false">IF(AND(ISNUMBER($G386),$G386&gt;=60),MAX(INDEX($D$186:$D386,202-60):$D386),"")</f>
        <v>1246306</v>
      </c>
      <c r="N386" s="37" t="n">
        <f aca="false">IF(AND(ISNUMBER($G386),$G386&gt;=60),MIN(INDEX($E$186:$E386,202-60):$E386),"")</f>
        <v>1047040</v>
      </c>
      <c r="O386" s="38" t="n">
        <f aca="false">IF(OR(NOT(ISNUMBER($C386)),NOT(ISNUMBER($M386)),$M386=0),"",$C386/$M386-1)</f>
        <v>-0.0485899931477503</v>
      </c>
    </row>
    <row r="387" customFormat="false" ht="15" hidden="false" customHeight="true" outlineLevel="0" collapsed="false">
      <c r="A387" s="32" t="n">
        <v>46104</v>
      </c>
      <c r="B387" s="33" t="s">
        <v>477</v>
      </c>
      <c r="C387" s="34" t="n">
        <v>1178986</v>
      </c>
      <c r="D387" s="34" t="n">
        <v>1180507</v>
      </c>
      <c r="E387" s="34" t="n">
        <v>1176168</v>
      </c>
      <c r="F387" s="34" t="n">
        <v>0</v>
      </c>
      <c r="G387" s="35" t="n">
        <f aca="false">IF($A387="","",IF(ISNUMBER($G386),$G386+1,1))</f>
        <v>383</v>
      </c>
      <c r="H387" s="36" t="n">
        <f aca="false">IF(OR(NOT(ISNUMBER($G387)),$G387&lt;2,NOT(ISNUMBER($C386)),$C386=0),"",$C387/$C386-1)</f>
        <v>-0.0057027294163684</v>
      </c>
      <c r="I387" s="37" t="n">
        <f aca="false">IF(AND(ISNUMBER($G387),$G387&gt;=MA_SHORT),AVERAGE(INDEX($C$5:$C387,384-MA_SHORT):$C387),"")</f>
        <v>1216374</v>
      </c>
      <c r="J387" s="37" t="n">
        <f aca="false">IF(AND(ISNUMBER($G387),$G387&gt;=MA_MED),AVERAGE(INDEX($C$5:$C387,384-MA_MED):$C387),"")</f>
        <v>1196963.18</v>
      </c>
      <c r="K387" s="37" t="n">
        <f aca="false">IF(AND(ISNUMBER($G387),$G387&gt;=MA_LONG2),AVERAGE(INDEX($C$5:$C387,384-MA_LONG2):$C387),"")</f>
        <v>1123481.53</v>
      </c>
      <c r="L387" s="38" t="n">
        <f aca="false">IF(AND(ISNUMBER($G387),$G387&gt;=21),STDEV(INDEX($H$327:$H387,62-20):$H387)*SQRT(245),"")</f>
        <v>0.217193852351331</v>
      </c>
      <c r="M387" s="37" t="n">
        <f aca="false">IF(AND(ISNUMBER($G387),$G387&gt;=60),MAX(INDEX($D$187:$D387,202-60):$D387),"")</f>
        <v>1246306</v>
      </c>
      <c r="N387" s="37" t="n">
        <f aca="false">IF(AND(ISNUMBER($G387),$G387&gt;=60),MIN(INDEX($E$187:$E387,202-60):$E387),"")</f>
        <v>1047040</v>
      </c>
      <c r="O387" s="38" t="n">
        <f aca="false">IF(OR(NOT(ISNUMBER($C387)),NOT(ISNUMBER($M387)),$M387=0),"",$C387/$M387-1)</f>
        <v>-0.0540156269808538</v>
      </c>
    </row>
    <row r="388" customFormat="false" ht="15" hidden="false" customHeight="true" outlineLevel="0" collapsed="false">
      <c r="A388" s="32" t="n">
        <v>46105</v>
      </c>
      <c r="B388" s="33" t="s">
        <v>478</v>
      </c>
      <c r="C388" s="34" t="n">
        <v>1173192</v>
      </c>
      <c r="D388" s="34" t="n">
        <v>1179104</v>
      </c>
      <c r="E388" s="34" t="n">
        <v>1168562</v>
      </c>
      <c r="F388" s="34" t="n">
        <v>0</v>
      </c>
      <c r="G388" s="35" t="n">
        <f aca="false">IF($A388="","",IF(ISNUMBER($G387),$G387+1,1))</f>
        <v>384</v>
      </c>
      <c r="H388" s="36" t="n">
        <f aca="false">IF(OR(NOT(ISNUMBER($G388)),$G388&lt;2,NOT(ISNUMBER($C387)),$C387=0),"",$C388/$C387-1)</f>
        <v>-0.00491439253731596</v>
      </c>
      <c r="I388" s="37" t="n">
        <f aca="false">IF(AND(ISNUMBER($G388),$G388&gt;=MA_SHORT),AVERAGE(INDEX($C$5:$C388,385-MA_SHORT):$C388),"")</f>
        <v>1214772.55</v>
      </c>
      <c r="J388" s="37" t="n">
        <f aca="false">IF(AND(ISNUMBER($G388),$G388&gt;=MA_MED),AVERAGE(INDEX($C$5:$C388,385-MA_MED):$C388),"")</f>
        <v>1198431.68</v>
      </c>
      <c r="K388" s="37" t="n">
        <f aca="false">IF(AND(ISNUMBER($G388),$G388&gt;=MA_LONG2),AVERAGE(INDEX($C$5:$C388,385-MA_LONG2):$C388),"")</f>
        <v>1123747.895</v>
      </c>
      <c r="L388" s="38" t="n">
        <f aca="false">IF(AND(ISNUMBER($G388),$G388&gt;=21),STDEV(INDEX($H$328:$H388,62-20):$H388)*SQRT(245),"")</f>
        <v>0.216540732619254</v>
      </c>
      <c r="M388" s="37" t="n">
        <f aca="false">IF(AND(ISNUMBER($G388),$G388&gt;=60),MAX(INDEX($D$188:$D388,202-60):$D388),"")</f>
        <v>1246306</v>
      </c>
      <c r="N388" s="37" t="n">
        <f aca="false">IF(AND(ISNUMBER($G388),$G388&gt;=60),MIN(INDEX($E$188:$E388,202-60):$E388),"")</f>
        <v>1047040</v>
      </c>
      <c r="O388" s="38" t="n">
        <f aca="false">IF(OR(NOT(ISNUMBER($C388)),NOT(ISNUMBER($M388)),$M388=0),"",$C388/$M388-1)</f>
        <v>-0.0586645655240367</v>
      </c>
    </row>
    <row r="389" customFormat="false" ht="15" hidden="false" customHeight="true" outlineLevel="0" collapsed="false">
      <c r="A389" s="32" t="n">
        <v>46106</v>
      </c>
      <c r="B389" s="33" t="s">
        <v>479</v>
      </c>
      <c r="C389" s="34" t="n">
        <v>1164033</v>
      </c>
      <c r="D389" s="34" t="n">
        <v>1165080</v>
      </c>
      <c r="E389" s="34" t="n">
        <v>1162593</v>
      </c>
      <c r="F389" s="34" t="n">
        <v>0</v>
      </c>
      <c r="G389" s="35" t="n">
        <f aca="false">IF($A389="","",IF(ISNUMBER($G388),$G388+1,1))</f>
        <v>385</v>
      </c>
      <c r="H389" s="36" t="n">
        <f aca="false">IF(OR(NOT(ISNUMBER($G389)),$G389&lt;2,NOT(ISNUMBER($C388)),$C388=0),"",$C389/$C388-1)</f>
        <v>-0.0078069062864391</v>
      </c>
      <c r="I389" s="37" t="n">
        <f aca="false">IF(AND(ISNUMBER($G389),$G389&gt;=MA_SHORT),AVERAGE(INDEX($C$5:$C389,386-MA_SHORT):$C389),"")</f>
        <v>1212570.95</v>
      </c>
      <c r="J389" s="37" t="n">
        <f aca="false">IF(AND(ISNUMBER($G389),$G389&gt;=MA_MED),AVERAGE(INDEX($C$5:$C389,386-MA_MED):$C389),"")</f>
        <v>1199331.98</v>
      </c>
      <c r="K389" s="37" t="n">
        <f aca="false">IF(AND(ISNUMBER($G389),$G389&gt;=MA_LONG2),AVERAGE(INDEX($C$5:$C389,386-MA_LONG2):$C389),"")</f>
        <v>1123936.345</v>
      </c>
      <c r="L389" s="38" t="n">
        <f aca="false">IF(AND(ISNUMBER($G389),$G389&gt;=21),STDEV(INDEX($H$329:$H389,62-20):$H389)*SQRT(245),"")</f>
        <v>0.217276119579464</v>
      </c>
      <c r="M389" s="37" t="n">
        <f aca="false">IF(AND(ISNUMBER($G389),$G389&gt;=60),MAX(INDEX($D$189:$D389,202-60):$D389),"")</f>
        <v>1246306</v>
      </c>
      <c r="N389" s="37" t="n">
        <f aca="false">IF(AND(ISNUMBER($G389),$G389&gt;=60),MIN(INDEX($E$189:$E389,202-60):$E389),"")</f>
        <v>1047040</v>
      </c>
      <c r="O389" s="38" t="n">
        <f aca="false">IF(OR(NOT(ISNUMBER($C389)),NOT(ISNUMBER($M389)),$M389=0),"",$C389/$M389-1)</f>
        <v>-0.0660134830450949</v>
      </c>
    </row>
    <row r="390" customFormat="false" ht="15" hidden="false" customHeight="true" outlineLevel="0" collapsed="false">
      <c r="A390" s="32" t="n">
        <v>46109</v>
      </c>
      <c r="B390" s="33" t="s">
        <v>480</v>
      </c>
      <c r="C390" s="34" t="n">
        <v>1174064</v>
      </c>
      <c r="D390" s="34" t="n">
        <v>1176337</v>
      </c>
      <c r="E390" s="34" t="n">
        <v>1172354</v>
      </c>
      <c r="F390" s="34" t="n">
        <v>0</v>
      </c>
      <c r="G390" s="35" t="n">
        <f aca="false">IF($A390="","",IF(ISNUMBER($G389),$G389+1,1))</f>
        <v>386</v>
      </c>
      <c r="H390" s="36" t="n">
        <f aca="false">IF(OR(NOT(ISNUMBER($G390)),$G390&lt;2,NOT(ISNUMBER($C389)),$C389=0),"",$C390/$C389-1)</f>
        <v>0.0086174532852592</v>
      </c>
      <c r="I390" s="37" t="n">
        <f aca="false">IF(AND(ISNUMBER($G390),$G390&gt;=MA_SHORT),AVERAGE(INDEX($C$5:$C390,387-MA_SHORT):$C390),"")</f>
        <v>1210213.25</v>
      </c>
      <c r="J390" s="37" t="n">
        <f aca="false">IF(AND(ISNUMBER($G390),$G390&gt;=MA_MED),AVERAGE(INDEX($C$5:$C390,387-MA_MED):$C390),"")</f>
        <v>1200565.44</v>
      </c>
      <c r="K390" s="37" t="n">
        <f aca="false">IF(AND(ISNUMBER($G390),$G390&gt;=MA_LONG2),AVERAGE(INDEX($C$5:$C390,387-MA_LONG2):$C390),"")</f>
        <v>1124163.42</v>
      </c>
      <c r="L390" s="38" t="n">
        <f aca="false">IF(AND(ISNUMBER($G390),$G390&gt;=21),STDEV(INDEX($H$330:$H390,62-20):$H390)*SQRT(245),"")</f>
        <v>0.215711613831475</v>
      </c>
      <c r="M390" s="37" t="n">
        <f aca="false">IF(AND(ISNUMBER($G390),$G390&gt;=60),MAX(INDEX($D$190:$D390,202-60):$D390),"")</f>
        <v>1246306</v>
      </c>
      <c r="N390" s="37" t="n">
        <f aca="false">IF(AND(ISNUMBER($G390),$G390&gt;=60),MIN(INDEX($E$190:$E390,202-60):$E390),"")</f>
        <v>1050614</v>
      </c>
      <c r="O390" s="38" t="n">
        <f aca="false">IF(OR(NOT(ISNUMBER($C390)),NOT(ISNUMBER($M390)),$M390=0),"",$C390/$M390-1)</f>
        <v>-0.0579648978661741</v>
      </c>
    </row>
    <row r="391" customFormat="false" ht="15" hidden="false" customHeight="true" outlineLevel="0" collapsed="false">
      <c r="A391" s="32" t="n">
        <v>46110</v>
      </c>
      <c r="B391" s="33" t="s">
        <v>481</v>
      </c>
      <c r="C391" s="34" t="n">
        <v>1175482</v>
      </c>
      <c r="D391" s="34" t="n">
        <v>1179988</v>
      </c>
      <c r="E391" s="34" t="n">
        <v>1174419</v>
      </c>
      <c r="F391" s="34" t="n">
        <v>0</v>
      </c>
      <c r="G391" s="35" t="n">
        <f aca="false">IF($A391="","",IF(ISNUMBER($G390),$G390+1,1))</f>
        <v>387</v>
      </c>
      <c r="H391" s="36" t="n">
        <f aca="false">IF(OR(NOT(ISNUMBER($G391)),$G391&lt;2,NOT(ISNUMBER($C390)),$C390=0),"",$C391/$C390-1)</f>
        <v>0.00120777061557131</v>
      </c>
      <c r="I391" s="37" t="n">
        <f aca="false">IF(AND(ISNUMBER($G391),$G391&gt;=MA_SHORT),AVERAGE(INDEX($C$5:$C391,388-MA_SHORT):$C391),"")</f>
        <v>1207635.6</v>
      </c>
      <c r="J391" s="37" t="n">
        <f aca="false">IF(AND(ISNUMBER($G391),$G391&gt;=MA_MED),AVERAGE(INDEX($C$5:$C391,388-MA_MED):$C391),"")</f>
        <v>1201435.58</v>
      </c>
      <c r="K391" s="37" t="n">
        <f aca="false">IF(AND(ISNUMBER($G391),$G391&gt;=MA_LONG2),AVERAGE(INDEX($C$5:$C391,388-MA_LONG2):$C391),"")</f>
        <v>1124345.98</v>
      </c>
      <c r="L391" s="38" t="n">
        <f aca="false">IF(AND(ISNUMBER($G391),$G391&gt;=21),STDEV(INDEX($H$331:$H391,62-20):$H391)*SQRT(245),"")</f>
        <v>0.214657193546916</v>
      </c>
      <c r="M391" s="37" t="n">
        <f aca="false">IF(AND(ISNUMBER($G391),$G391&gt;=60),MAX(INDEX($D$191:$D391,202-60):$D391),"")</f>
        <v>1246306</v>
      </c>
      <c r="N391" s="37" t="n">
        <f aca="false">IF(AND(ISNUMBER($G391),$G391&gt;=60),MIN(INDEX($E$191:$E391,202-60):$E391),"")</f>
        <v>1050637</v>
      </c>
      <c r="O391" s="38" t="n">
        <f aca="false">IF(OR(NOT(ISNUMBER($C391)),NOT(ISNUMBER($M391)),$M391=0),"",$C391/$M391-1)</f>
        <v>-0.0568271355509803</v>
      </c>
    </row>
    <row r="392" customFormat="false" ht="15" hidden="false" customHeight="true" outlineLevel="0" collapsed="false">
      <c r="A392" s="32" t="n">
        <v>46111</v>
      </c>
      <c r="B392" s="33" t="s">
        <v>482</v>
      </c>
      <c r="C392" s="34" t="n">
        <v>1181268</v>
      </c>
      <c r="D392" s="34" t="n">
        <v>1183888</v>
      </c>
      <c r="E392" s="34" t="n">
        <v>1173294</v>
      </c>
      <c r="F392" s="34" t="n">
        <v>0</v>
      </c>
      <c r="G392" s="35" t="n">
        <f aca="false">IF($A392="","",IF(ISNUMBER($G391),$G391+1,1))</f>
        <v>388</v>
      </c>
      <c r="H392" s="36" t="n">
        <f aca="false">IF(OR(NOT(ISNUMBER($G392)),$G392&lt;2,NOT(ISNUMBER($C391)),$C391=0),"",$C392/$C391-1)</f>
        <v>0.00492223615504117</v>
      </c>
      <c r="I392" s="37" t="n">
        <f aca="false">IF(AND(ISNUMBER($G392),$G392&gt;=MA_SHORT),AVERAGE(INDEX($C$5:$C392,389-MA_SHORT):$C392),"")</f>
        <v>1205919.9</v>
      </c>
      <c r="J392" s="37" t="n">
        <f aca="false">IF(AND(ISNUMBER($G392),$G392&gt;=MA_MED),AVERAGE(INDEX($C$5:$C392,389-MA_MED):$C392),"")</f>
        <v>1202308.26</v>
      </c>
      <c r="K392" s="37" t="n">
        <f aca="false">IF(AND(ISNUMBER($G392),$G392&gt;=MA_LONG2),AVERAGE(INDEX($C$5:$C392,389-MA_LONG2):$C392),"")</f>
        <v>1124531.92</v>
      </c>
      <c r="L392" s="38" t="n">
        <f aca="false">IF(AND(ISNUMBER($G392),$G392&gt;=21),STDEV(INDEX($H$332:$H392,62-20):$H392)*SQRT(245),"")</f>
        <v>0.214220043498012</v>
      </c>
      <c r="M392" s="37" t="n">
        <f aca="false">IF(AND(ISNUMBER($G392),$G392&gt;=60),MAX(INDEX($D$192:$D392,202-60):$D392),"")</f>
        <v>1246306</v>
      </c>
      <c r="N392" s="37" t="n">
        <f aca="false">IF(AND(ISNUMBER($G392),$G392&gt;=60),MIN(INDEX($E$192:$E392,202-60):$E392),"")</f>
        <v>1054538</v>
      </c>
      <c r="O392" s="38" t="n">
        <f aca="false">IF(OR(NOT(ISNUMBER($C392)),NOT(ISNUMBER($M392)),$M392=0),"",$C392/$M392-1)</f>
        <v>-0.0521846159771356</v>
      </c>
    </row>
    <row r="393" customFormat="false" ht="15" hidden="false" customHeight="true" outlineLevel="0" collapsed="false">
      <c r="A393" s="32" t="n">
        <v>46112</v>
      </c>
      <c r="B393" s="33" t="s">
        <v>483</v>
      </c>
      <c r="C393" s="34" t="n">
        <v>1184946</v>
      </c>
      <c r="D393" s="34" t="n">
        <v>1185158</v>
      </c>
      <c r="E393" s="34" t="n">
        <v>1184615</v>
      </c>
      <c r="F393" s="34" t="n">
        <v>0</v>
      </c>
      <c r="G393" s="35" t="n">
        <f aca="false">IF($A393="","",IF(ISNUMBER($G392),$G392+1,1))</f>
        <v>389</v>
      </c>
      <c r="H393" s="36" t="n">
        <f aca="false">IF(OR(NOT(ISNUMBER($G393)),$G393&lt;2,NOT(ISNUMBER($C392)),$C392=0),"",$C393/$C392-1)</f>
        <v>0.00311360334826638</v>
      </c>
      <c r="I393" s="37" t="n">
        <f aca="false">IF(AND(ISNUMBER($G393),$G393&gt;=MA_SHORT),AVERAGE(INDEX($C$5:$C393,390-MA_SHORT):$C393),"")</f>
        <v>1203511.9</v>
      </c>
      <c r="J393" s="37" t="n">
        <f aca="false">IF(AND(ISNUMBER($G393),$G393&gt;=MA_MED),AVERAGE(INDEX($C$5:$C393,390-MA_MED):$C393),"")</f>
        <v>1203076.02</v>
      </c>
      <c r="K393" s="37" t="n">
        <f aca="false">IF(AND(ISNUMBER($G393),$G393&gt;=MA_LONG2),AVERAGE(INDEX($C$5:$C393,390-MA_LONG2):$C393),"")</f>
        <v>1124684.54</v>
      </c>
      <c r="L393" s="38" t="n">
        <f aca="false">IF(AND(ISNUMBER($G393),$G393&gt;=21),STDEV(INDEX($H$333:$H393,62-20):$H393)*SQRT(245),"")</f>
        <v>0.207032804498884</v>
      </c>
      <c r="M393" s="37" t="n">
        <f aca="false">IF(AND(ISNUMBER($G393),$G393&gt;=60),MAX(INDEX($D$193:$D393,202-60):$D393),"")</f>
        <v>1246306</v>
      </c>
      <c r="N393" s="37" t="n">
        <f aca="false">IF(AND(ISNUMBER($G393),$G393&gt;=60),MIN(INDEX($E$193:$E393,202-60):$E393),"")</f>
        <v>1060465</v>
      </c>
      <c r="O393" s="38" t="n">
        <f aca="false">IF(OR(NOT(ISNUMBER($C393)),NOT(ISNUMBER($M393)),$M393=0),"",$C393/$M393-1)</f>
        <v>-0.0492334948239036</v>
      </c>
    </row>
    <row r="394" customFormat="false" ht="15" hidden="false" customHeight="true" outlineLevel="0" collapsed="false">
      <c r="A394" s="32" t="n">
        <v>46113</v>
      </c>
      <c r="B394" s="33" t="s">
        <v>484</v>
      </c>
      <c r="C394" s="34" t="n">
        <v>1170082</v>
      </c>
      <c r="D394" s="34" t="n">
        <v>1173159</v>
      </c>
      <c r="E394" s="34" t="n">
        <v>1165807</v>
      </c>
      <c r="F394" s="34" t="n">
        <v>0</v>
      </c>
      <c r="G394" s="35" t="n">
        <f aca="false">IF($A394="","",IF(ISNUMBER($G393),$G393+1,1))</f>
        <v>390</v>
      </c>
      <c r="H394" s="36" t="n">
        <f aca="false">IF(OR(NOT(ISNUMBER($G394)),$G394&lt;2,NOT(ISNUMBER($C393)),$C393=0),"",$C394/$C393-1)</f>
        <v>-0.0125440315423656</v>
      </c>
      <c r="I394" s="37" t="n">
        <f aca="false">IF(AND(ISNUMBER($G394),$G394&gt;=MA_SHORT),AVERAGE(INDEX($C$5:$C394,391-MA_SHORT):$C394),"")</f>
        <v>1200408.45</v>
      </c>
      <c r="J394" s="37" t="n">
        <f aca="false">IF(AND(ISNUMBER($G394),$G394&gt;=MA_MED),AVERAGE(INDEX($C$5:$C394,391-MA_MED):$C394),"")</f>
        <v>1203021.1</v>
      </c>
      <c r="K394" s="37" t="n">
        <f aca="false">IF(AND(ISNUMBER($G394),$G394&gt;=MA_LONG2),AVERAGE(INDEX($C$5:$C394,391-MA_LONG2):$C394),"")</f>
        <v>1124720.855</v>
      </c>
      <c r="L394" s="38" t="n">
        <f aca="false">IF(AND(ISNUMBER($G394),$G394&gt;=21),STDEV(INDEX($H$334:$H394,62-20):$H394)*SQRT(245),"")</f>
        <v>0.210277085081302</v>
      </c>
      <c r="M394" s="37" t="n">
        <f aca="false">IF(AND(ISNUMBER($G394),$G394&gt;=60),MAX(INDEX($D$194:$D394,202-60):$D394),"")</f>
        <v>1246306</v>
      </c>
      <c r="N394" s="37" t="n">
        <f aca="false">IF(AND(ISNUMBER($G394),$G394&gt;=60),MIN(INDEX($E$194:$E394,202-60):$E394),"")</f>
        <v>1066706</v>
      </c>
      <c r="O394" s="38" t="n">
        <f aca="false">IF(OR(NOT(ISNUMBER($C394)),NOT(ISNUMBER($M394)),$M394=0),"",$C394/$M394-1)</f>
        <v>-0.0611599398542573</v>
      </c>
    </row>
    <row r="395" customFormat="false" ht="15" hidden="false" customHeight="true" outlineLevel="0" collapsed="false">
      <c r="A395" s="32" t="n">
        <v>46116</v>
      </c>
      <c r="B395" s="33" t="s">
        <v>485</v>
      </c>
      <c r="C395" s="34" t="n">
        <v>1187474</v>
      </c>
      <c r="D395" s="34" t="n">
        <v>1189044</v>
      </c>
      <c r="E395" s="34" t="n">
        <v>1186986</v>
      </c>
      <c r="F395" s="34" t="n">
        <v>0</v>
      </c>
      <c r="G395" s="35" t="n">
        <f aca="false">IF($A395="","",IF(ISNUMBER($G394),$G394+1,1))</f>
        <v>391</v>
      </c>
      <c r="H395" s="36" t="n">
        <f aca="false">IF(OR(NOT(ISNUMBER($G395)),$G395&lt;2,NOT(ISNUMBER($C394)),$C394=0),"",$C395/$C394-1)</f>
        <v>0.0148639155204506</v>
      </c>
      <c r="I395" s="37" t="n">
        <f aca="false">IF(AND(ISNUMBER($G395),$G395&gt;=MA_SHORT),AVERAGE(INDEX($C$5:$C395,392-MA_SHORT):$C395),"")</f>
        <v>1197807</v>
      </c>
      <c r="J395" s="37" t="n">
        <f aca="false">IF(AND(ISNUMBER($G395),$G395&gt;=MA_MED),AVERAGE(INDEX($C$5:$C395,392-MA_MED):$C395),"")</f>
        <v>1203312.48</v>
      </c>
      <c r="K395" s="37" t="n">
        <f aca="false">IF(AND(ISNUMBER($G395),$G395&gt;=MA_LONG2),AVERAGE(INDEX($C$5:$C395,392-MA_LONG2):$C395),"")</f>
        <v>1124756.96</v>
      </c>
      <c r="L395" s="38" t="n">
        <f aca="false">IF(AND(ISNUMBER($G395),$G395&gt;=21),STDEV(INDEX($H$335:$H395,62-20):$H395)*SQRT(245),"")</f>
        <v>0.217088190960954</v>
      </c>
      <c r="M395" s="37" t="n">
        <f aca="false">IF(AND(ISNUMBER($G395),$G395&gt;=60),MAX(INDEX($D$195:$D395,202-60):$D395),"")</f>
        <v>1246306</v>
      </c>
      <c r="N395" s="37" t="n">
        <f aca="false">IF(AND(ISNUMBER($G395),$G395&gt;=60),MIN(INDEX($E$195:$E395,202-60):$E395),"")</f>
        <v>1075939</v>
      </c>
      <c r="O395" s="38" t="n">
        <f aca="false">IF(OR(NOT(ISNUMBER($C395)),NOT(ISNUMBER($M395)),$M395=0),"",$C395/$M395-1)</f>
        <v>-0.0472051005130362</v>
      </c>
    </row>
    <row r="396" customFormat="false" ht="15" hidden="false" customHeight="true" outlineLevel="0" collapsed="false">
      <c r="A396" s="32" t="n">
        <v>46117</v>
      </c>
      <c r="B396" s="33" t="s">
        <v>486</v>
      </c>
      <c r="C396" s="34" t="n">
        <v>1182282</v>
      </c>
      <c r="D396" s="34" t="n">
        <v>1185280</v>
      </c>
      <c r="E396" s="34" t="n">
        <v>1181147</v>
      </c>
      <c r="F396" s="34" t="n">
        <v>0</v>
      </c>
      <c r="G396" s="35" t="n">
        <f aca="false">IF($A396="","",IF(ISNUMBER($G395),$G395+1,1))</f>
        <v>392</v>
      </c>
      <c r="H396" s="36" t="n">
        <f aca="false">IF(OR(NOT(ISNUMBER($G396)),$G396&lt;2,NOT(ISNUMBER($C395)),$C395=0),"",$C396/$C395-1)</f>
        <v>-0.00437230625681062</v>
      </c>
      <c r="I396" s="37" t="n">
        <f aca="false">IF(AND(ISNUMBER($G396),$G396&gt;=MA_SHORT),AVERAGE(INDEX($C$5:$C396,393-MA_SHORT):$C396),"")</f>
        <v>1195000.2</v>
      </c>
      <c r="J396" s="37" t="n">
        <f aca="false">IF(AND(ISNUMBER($G396),$G396&gt;=MA_MED),AVERAGE(INDEX($C$5:$C396,393-MA_MED):$C396),"")</f>
        <v>1203426.02</v>
      </c>
      <c r="K396" s="37" t="n">
        <f aca="false">IF(AND(ISNUMBER($G396),$G396&gt;=MA_LONG2),AVERAGE(INDEX($C$5:$C396,393-MA_LONG2):$C396),"")</f>
        <v>1124739.055</v>
      </c>
      <c r="L396" s="38" t="n">
        <f aca="false">IF(AND(ISNUMBER($G396),$G396&gt;=21),STDEV(INDEX($H$336:$H396,62-20):$H396)*SQRT(245),"")</f>
        <v>0.217189568449441</v>
      </c>
      <c r="M396" s="37" t="n">
        <f aca="false">IF(AND(ISNUMBER($G396),$G396&gt;=60),MAX(INDEX($D$196:$D396,202-60):$D396),"")</f>
        <v>1246306</v>
      </c>
      <c r="N396" s="37" t="n">
        <f aca="false">IF(AND(ISNUMBER($G396),$G396&gt;=60),MIN(INDEX($E$196:$E396,202-60):$E396),"")</f>
        <v>1090926</v>
      </c>
      <c r="O396" s="38" t="n">
        <f aca="false">IF(OR(NOT(ISNUMBER($C396)),NOT(ISNUMBER($M396)),$M396=0),"",$C396/$M396-1)</f>
        <v>-0.0513710116135203</v>
      </c>
    </row>
    <row r="397" customFormat="false" ht="15" hidden="false" customHeight="true" outlineLevel="0" collapsed="false">
      <c r="A397" s="32" t="n">
        <v>46118</v>
      </c>
      <c r="B397" s="33" t="s">
        <v>487</v>
      </c>
      <c r="C397" s="34" t="n">
        <v>1169967</v>
      </c>
      <c r="D397" s="34" t="n">
        <v>1173021</v>
      </c>
      <c r="E397" s="34" t="n">
        <v>1167812</v>
      </c>
      <c r="F397" s="34" t="n">
        <v>0</v>
      </c>
      <c r="G397" s="35" t="n">
        <f aca="false">IF($A397="","",IF(ISNUMBER($G396),$G396+1,1))</f>
        <v>393</v>
      </c>
      <c r="H397" s="36" t="n">
        <f aca="false">IF(OR(NOT(ISNUMBER($G397)),$G397&lt;2,NOT(ISNUMBER($C396)),$C396=0),"",$C397/$C396-1)</f>
        <v>-0.0104162966195882</v>
      </c>
      <c r="I397" s="37" t="n">
        <f aca="false">IF(AND(ISNUMBER($G397),$G397&gt;=MA_SHORT),AVERAGE(INDEX($C$5:$C397,394-MA_SHORT):$C397),"")</f>
        <v>1191977.55</v>
      </c>
      <c r="J397" s="37" t="n">
        <f aca="false">IF(AND(ISNUMBER($G397),$G397&gt;=MA_MED),AVERAGE(INDEX($C$5:$C397,394-MA_MED):$C397),"")</f>
        <v>1202976</v>
      </c>
      <c r="K397" s="37" t="n">
        <f aca="false">IF(AND(ISNUMBER($G397),$G397&gt;=MA_LONG2),AVERAGE(INDEX($C$5:$C397,394-MA_LONG2):$C397),"")</f>
        <v>1124676.775</v>
      </c>
      <c r="L397" s="38" t="n">
        <f aca="false">IF(AND(ISNUMBER($G397),$G397&gt;=21),STDEV(INDEX($H$337:$H397,62-20):$H397)*SQRT(245),"")</f>
        <v>0.218621886375734</v>
      </c>
      <c r="M397" s="37" t="n">
        <f aca="false">IF(AND(ISNUMBER($G397),$G397&gt;=60),MAX(INDEX($D$197:$D397,202-60):$D397),"")</f>
        <v>1246306</v>
      </c>
      <c r="N397" s="37" t="n">
        <f aca="false">IF(AND(ISNUMBER($G397),$G397&gt;=60),MIN(INDEX($E$197:$E397,202-60):$E397),"")</f>
        <v>1097830</v>
      </c>
      <c r="O397" s="38" t="n">
        <f aca="false">IF(OR(NOT(ISNUMBER($C397)),NOT(ISNUMBER($M397)),$M397=0),"",$C397/$M397-1)</f>
        <v>-0.0612522125384938</v>
      </c>
    </row>
    <row r="398" customFormat="false" ht="15" hidden="false" customHeight="true" outlineLevel="0" collapsed="false">
      <c r="A398" s="32" t="n">
        <v>46119</v>
      </c>
      <c r="B398" s="33" t="s">
        <v>488</v>
      </c>
      <c r="C398" s="34" t="n">
        <v>1175827</v>
      </c>
      <c r="D398" s="34" t="n">
        <v>1179664</v>
      </c>
      <c r="E398" s="34" t="n">
        <v>1174108</v>
      </c>
      <c r="F398" s="34" t="n">
        <v>0</v>
      </c>
      <c r="G398" s="35" t="n">
        <f aca="false">IF($A398="","",IF(ISNUMBER($G397),$G397+1,1))</f>
        <v>394</v>
      </c>
      <c r="H398" s="36" t="n">
        <f aca="false">IF(OR(NOT(ISNUMBER($G398)),$G398&lt;2,NOT(ISNUMBER($C397)),$C397=0),"",$C398/$C397-1)</f>
        <v>0.00500868827924217</v>
      </c>
      <c r="I398" s="37" t="n">
        <f aca="false">IF(AND(ISNUMBER($G398),$G398&gt;=MA_SHORT),AVERAGE(INDEX($C$5:$C398,395-MA_SHORT):$C398),"")</f>
        <v>1188564.2</v>
      </c>
      <c r="J398" s="37" t="n">
        <f aca="false">IF(AND(ISNUMBER($G398),$G398&gt;=MA_MED),AVERAGE(INDEX($C$5:$C398,395-MA_MED):$C398),"")</f>
        <v>1202429.6</v>
      </c>
      <c r="K398" s="37" t="n">
        <f aca="false">IF(AND(ISNUMBER($G398),$G398&gt;=MA_LONG2),AVERAGE(INDEX($C$5:$C398,395-MA_LONG2):$C398),"")</f>
        <v>1124631.905</v>
      </c>
      <c r="L398" s="38" t="n">
        <f aca="false">IF(AND(ISNUMBER($G398),$G398&gt;=21),STDEV(INDEX($H$338:$H398,62-20):$H398)*SQRT(245),"")</f>
        <v>0.214758663157843</v>
      </c>
      <c r="M398" s="37" t="n">
        <f aca="false">IF(AND(ISNUMBER($G398),$G398&gt;=60),MAX(INDEX($D$198:$D398,202-60):$D398),"")</f>
        <v>1246306</v>
      </c>
      <c r="N398" s="37" t="n">
        <f aca="false">IF(AND(ISNUMBER($G398),$G398&gt;=60),MIN(INDEX($E$198:$E398,202-60):$E398),"")</f>
        <v>1111446</v>
      </c>
      <c r="O398" s="38" t="n">
        <f aca="false">IF(OR(NOT(ISNUMBER($C398)),NOT(ISNUMBER($M398)),$M398=0),"",$C398/$M398-1)</f>
        <v>-0.0565503174982709</v>
      </c>
    </row>
    <row r="399" customFormat="false" ht="15" hidden="false" customHeight="true" outlineLevel="0" collapsed="false">
      <c r="A399" s="32" t="n">
        <v>46120</v>
      </c>
      <c r="B399" s="33" t="s">
        <v>489</v>
      </c>
      <c r="C399" s="34" t="n">
        <v>1188426</v>
      </c>
      <c r="D399" s="34" t="n">
        <v>1191489</v>
      </c>
      <c r="E399" s="34" t="n">
        <v>1185849</v>
      </c>
      <c r="F399" s="34" t="n">
        <v>0</v>
      </c>
      <c r="G399" s="35" t="n">
        <f aca="false">IF($A399="","",IF(ISNUMBER($G398),$G398+1,1))</f>
        <v>395</v>
      </c>
      <c r="H399" s="36" t="n">
        <f aca="false">IF(OR(NOT(ISNUMBER($G399)),$G399&lt;2,NOT(ISNUMBER($C398)),$C398=0),"",$C399/$C398-1)</f>
        <v>0.0107150116471215</v>
      </c>
      <c r="I399" s="37" t="n">
        <f aca="false">IF(AND(ISNUMBER($G399),$G399&gt;=MA_SHORT),AVERAGE(INDEX($C$5:$C399,396-MA_SHORT):$C399),"")</f>
        <v>1186169.4</v>
      </c>
      <c r="J399" s="37" t="n">
        <f aca="false">IF(AND(ISNUMBER($G399),$G399&gt;=MA_MED),AVERAGE(INDEX($C$5:$C399,396-MA_MED):$C399),"")</f>
        <v>1201791.28</v>
      </c>
      <c r="K399" s="37" t="n">
        <f aca="false">IF(AND(ISNUMBER($G399),$G399&gt;=MA_LONG2),AVERAGE(INDEX($C$5:$C399,396-MA_LONG2):$C399),"")</f>
        <v>1124651.975</v>
      </c>
      <c r="L399" s="38" t="n">
        <f aca="false">IF(AND(ISNUMBER($G399),$G399&gt;=21),STDEV(INDEX($H$339:$H399,62-20):$H399)*SQRT(245),"")</f>
        <v>0.219329834026443</v>
      </c>
      <c r="M399" s="37" t="n">
        <f aca="false">IF(AND(ISNUMBER($G399),$G399&gt;=60),MAX(INDEX($D$199:$D399,202-60):$D399),"")</f>
        <v>1246306</v>
      </c>
      <c r="N399" s="37" t="n">
        <f aca="false">IF(AND(ISNUMBER($G399),$G399&gt;=60),MIN(INDEX($E$199:$E399,202-60):$E399),"")</f>
        <v>1111446</v>
      </c>
      <c r="O399" s="38" t="n">
        <f aca="false">IF(OR(NOT(ISNUMBER($C399)),NOT(ISNUMBER($M399)),$M399=0),"",$C399/$M399-1)</f>
        <v>-0.0464412431617918</v>
      </c>
    </row>
    <row r="400" customFormat="false" ht="15" hidden="false" customHeight="true" outlineLevel="0" collapsed="false">
      <c r="A400" s="32" t="n">
        <v>46123</v>
      </c>
      <c r="B400" s="33" t="s">
        <v>490</v>
      </c>
      <c r="C400" s="34" t="n">
        <v>1201946</v>
      </c>
      <c r="D400" s="34" t="n">
        <v>1207777</v>
      </c>
      <c r="E400" s="34" t="n">
        <v>1201774</v>
      </c>
      <c r="F400" s="34" t="n">
        <v>0</v>
      </c>
      <c r="G400" s="35" t="n">
        <f aca="false">IF($A400="","",IF(ISNUMBER($G399),$G399+1,1))</f>
        <v>396</v>
      </c>
      <c r="H400" s="36" t="n">
        <f aca="false">IF(OR(NOT(ISNUMBER($G400)),$G400&lt;2,NOT(ISNUMBER($C399)),$C399=0),"",$C400/$C399-1)</f>
        <v>0.0113763919671903</v>
      </c>
      <c r="I400" s="37" t="n">
        <f aca="false">IF(AND(ISNUMBER($G400),$G400&gt;=MA_SHORT),AVERAGE(INDEX($C$5:$C400,397-MA_SHORT):$C400),"")</f>
        <v>1184308.65</v>
      </c>
      <c r="J400" s="37" t="n">
        <f aca="false">IF(AND(ISNUMBER($G400),$G400&gt;=MA_MED),AVERAGE(INDEX($C$5:$C400,397-MA_MED):$C400),"")</f>
        <v>1201425.94</v>
      </c>
      <c r="K400" s="37" t="n">
        <f aca="false">IF(AND(ISNUMBER($G400),$G400&gt;=MA_LONG2),AVERAGE(INDEX($C$5:$C400,397-MA_LONG2):$C400),"")</f>
        <v>1124818.965</v>
      </c>
      <c r="L400" s="38" t="n">
        <f aca="false">IF(AND(ISNUMBER($G400),$G400&gt;=21),STDEV(INDEX($H$340:$H400,62-20):$H400)*SQRT(245),"")</f>
        <v>0.223814846288404</v>
      </c>
      <c r="M400" s="37" t="n">
        <f aca="false">IF(AND(ISNUMBER($G400),$G400&gt;=60),MAX(INDEX($D$200:$D400,202-60):$D400),"")</f>
        <v>1246306</v>
      </c>
      <c r="N400" s="37" t="n">
        <f aca="false">IF(AND(ISNUMBER($G400),$G400&gt;=60),MIN(INDEX($E$200:$E400,202-60):$E400),"")</f>
        <v>1131606</v>
      </c>
      <c r="O400" s="38" t="n">
        <f aca="false">IF(OR(NOT(ISNUMBER($C400)),NOT(ISNUMBER($M400)),$M400=0),"",$C400/$M400-1)</f>
        <v>-0.0355931849802537</v>
      </c>
    </row>
    <row r="401" customFormat="false" ht="15" hidden="false" customHeight="true" outlineLevel="0" collapsed="false">
      <c r="A401" s="32" t="n">
        <v>46124</v>
      </c>
      <c r="B401" s="33" t="s">
        <v>491</v>
      </c>
      <c r="C401" s="34" t="n">
        <v>1207412</v>
      </c>
      <c r="D401" s="34" t="n">
        <v>1208714</v>
      </c>
      <c r="E401" s="34" t="n">
        <v>1206103</v>
      </c>
      <c r="F401" s="34" t="n">
        <v>0</v>
      </c>
      <c r="G401" s="35" t="n">
        <f aca="false">IF($A401="","",IF(ISNUMBER($G400),$G400+1,1))</f>
        <v>397</v>
      </c>
      <c r="H401" s="36" t="n">
        <f aca="false">IF(OR(NOT(ISNUMBER($G401)),$G401&lt;2,NOT(ISNUMBER($C400)),$C400=0),"",$C401/$C400-1)</f>
        <v>0.00454762526769081</v>
      </c>
      <c r="I401" s="37" t="n">
        <f aca="false">IF(AND(ISNUMBER($G401),$G401&gt;=MA_SHORT),AVERAGE(INDEX($C$5:$C401,398-MA_SHORT):$C401),"")</f>
        <v>1183040.6</v>
      </c>
      <c r="J401" s="37" t="n">
        <f aca="false">IF(AND(ISNUMBER($G401),$G401&gt;=MA_MED),AVERAGE(INDEX($C$5:$C401,398-MA_MED):$C401),"")</f>
        <v>1201401.28</v>
      </c>
      <c r="K401" s="37" t="n">
        <f aca="false">IF(AND(ISNUMBER($G401),$G401&gt;=MA_LONG2),AVERAGE(INDEX($C$5:$C401,398-MA_LONG2):$C401),"")</f>
        <v>1125066.375</v>
      </c>
      <c r="L401" s="38" t="n">
        <f aca="false">IF(AND(ISNUMBER($G401),$G401&gt;=21),STDEV(INDEX($H$341:$H401,62-20):$H401)*SQRT(245),"")</f>
        <v>0.224305002167585</v>
      </c>
      <c r="M401" s="37" t="n">
        <f aca="false">IF(AND(ISNUMBER($G401),$G401&gt;=60),MAX(INDEX($D$201:$D401,202-60):$D401),"")</f>
        <v>1246306</v>
      </c>
      <c r="N401" s="37" t="n">
        <f aca="false">IF(AND(ISNUMBER($G401),$G401&gt;=60),MIN(INDEX($E$201:$E401,202-60):$E401),"")</f>
        <v>1137547</v>
      </c>
      <c r="O401" s="38" t="n">
        <f aca="false">IF(OR(NOT(ISNUMBER($C401)),NOT(ISNUMBER($M401)),$M401=0),"",$C401/$M401-1)</f>
        <v>-0.0312074241799365</v>
      </c>
    </row>
    <row r="402" customFormat="false" ht="15" hidden="false" customHeight="true" outlineLevel="0" collapsed="false">
      <c r="A402" s="32" t="n">
        <v>46125</v>
      </c>
      <c r="B402" s="33" t="s">
        <v>492</v>
      </c>
      <c r="C402" s="34" t="n">
        <v>1213259</v>
      </c>
      <c r="D402" s="34" t="n">
        <v>1213755</v>
      </c>
      <c r="E402" s="34" t="n">
        <v>1210136</v>
      </c>
      <c r="F402" s="34" t="n">
        <v>0</v>
      </c>
      <c r="G402" s="35" t="n">
        <f aca="false">IF($A402="","",IF(ISNUMBER($G401),$G401+1,1))</f>
        <v>398</v>
      </c>
      <c r="H402" s="36" t="n">
        <f aca="false">IF(OR(NOT(ISNUMBER($G402)),$G402&lt;2,NOT(ISNUMBER($C401)),$C401=0),"",$C402/$C401-1)</f>
        <v>0.00484258894229983</v>
      </c>
      <c r="I402" s="37" t="n">
        <f aca="false">IF(AND(ISNUMBER($G402),$G402&gt;=MA_SHORT),AVERAGE(INDEX($C$5:$C402,399-MA_SHORT):$C402),"")</f>
        <v>1181979</v>
      </c>
      <c r="J402" s="37" t="n">
        <f aca="false">IF(AND(ISNUMBER($G402),$G402&gt;=MA_MED),AVERAGE(INDEX($C$5:$C402,399-MA_MED):$C402),"")</f>
        <v>1201442.58</v>
      </c>
      <c r="K402" s="37" t="n">
        <f aca="false">IF(AND(ISNUMBER($G402),$G402&gt;=MA_LONG2),AVERAGE(INDEX($C$5:$C402,399-MA_LONG2):$C402),"")</f>
        <v>1125340.645</v>
      </c>
      <c r="L402" s="38" t="n">
        <f aca="false">IF(AND(ISNUMBER($G402),$G402&gt;=21),STDEV(INDEX($H$342:$H402,62-20):$H402)*SQRT(245),"")</f>
        <v>0.225090936540847</v>
      </c>
      <c r="M402" s="37" t="n">
        <f aca="false">IF(AND(ISNUMBER($G402),$G402&gt;=60),MAX(INDEX($D$202:$D402,202-60):$D402),"")</f>
        <v>1246306</v>
      </c>
      <c r="N402" s="37" t="n">
        <f aca="false">IF(AND(ISNUMBER($G402),$G402&gt;=60),MIN(INDEX($E$202:$E402,202-60):$E402),"")</f>
        <v>1145025</v>
      </c>
      <c r="O402" s="38" t="n">
        <f aca="false">IF(OR(NOT(ISNUMBER($C402)),NOT(ISNUMBER($M402)),$M402=0),"",$C402/$M402-1)</f>
        <v>-0.0265159599648882</v>
      </c>
    </row>
    <row r="403" customFormat="false" ht="15" hidden="false" customHeight="true" outlineLevel="0" collapsed="false">
      <c r="A403" s="32" t="n">
        <v>46126</v>
      </c>
      <c r="B403" s="33" t="s">
        <v>493</v>
      </c>
      <c r="C403" s="34" t="n">
        <v>1211089</v>
      </c>
      <c r="D403" s="34" t="n">
        <v>1211890</v>
      </c>
      <c r="E403" s="34" t="n">
        <v>1210886</v>
      </c>
      <c r="F403" s="34" t="n">
        <v>0</v>
      </c>
      <c r="G403" s="35" t="n">
        <f aca="false">IF($A403="","",IF(ISNUMBER($G402),$G402+1,1))</f>
        <v>399</v>
      </c>
      <c r="H403" s="36" t="n">
        <f aca="false">IF(OR(NOT(ISNUMBER($G403)),$G403&lt;2,NOT(ISNUMBER($C402)),$C402=0),"",$C403/$C402-1)</f>
        <v>-0.00178857111301045</v>
      </c>
      <c r="I403" s="37" t="n">
        <f aca="false">IF(AND(ISNUMBER($G403),$G403&gt;=MA_SHORT),AVERAGE(INDEX($C$5:$C403,400-MA_SHORT):$C403),"")</f>
        <v>1184035.45</v>
      </c>
      <c r="J403" s="37" t="n">
        <f aca="false">IF(AND(ISNUMBER($G403),$G403&gt;=MA_MED),AVERAGE(INDEX($C$5:$C403,400-MA_MED):$C403),"")</f>
        <v>1201703.06</v>
      </c>
      <c r="K403" s="37" t="n">
        <f aca="false">IF(AND(ISNUMBER($G403),$G403&gt;=MA_LONG2),AVERAGE(INDEX($C$5:$C403,400-MA_LONG2):$C403),"")</f>
        <v>1125543.89</v>
      </c>
      <c r="L403" s="38" t="n">
        <f aca="false">IF(AND(ISNUMBER($G403),$G403&gt;=21),STDEV(INDEX($H$343:$H403,62-20):$H403)*SQRT(245),"")</f>
        <v>0.121766094595294</v>
      </c>
      <c r="M403" s="37" t="n">
        <f aca="false">IF(AND(ISNUMBER($G403),$G403&gt;=60),MAX(INDEX($D$203:$D403,202-60):$D403),"")</f>
        <v>1246306</v>
      </c>
      <c r="N403" s="37" t="n">
        <f aca="false">IF(AND(ISNUMBER($G403),$G403&gt;=60),MIN(INDEX($E$203:$E403,202-60):$E403),"")</f>
        <v>1160671</v>
      </c>
      <c r="O403" s="38" t="n">
        <f aca="false">IF(OR(NOT(ISNUMBER($C403)),NOT(ISNUMBER($M403)),$M403=0),"",$C403/$M403-1)</f>
        <v>-0.0282571053978717</v>
      </c>
    </row>
    <row r="404" customFormat="false" ht="15" hidden="false" customHeight="true" outlineLevel="0" collapsed="false">
      <c r="A404" s="32" t="n">
        <v>46127</v>
      </c>
      <c r="B404" s="33" t="s">
        <v>494</v>
      </c>
      <c r="C404" s="34" t="n">
        <v>1205589</v>
      </c>
      <c r="D404" s="34" t="n">
        <v>1208500</v>
      </c>
      <c r="E404" s="34" t="n">
        <v>1202758</v>
      </c>
      <c r="F404" s="34" t="n">
        <v>0</v>
      </c>
      <c r="G404" s="35" t="n">
        <f aca="false">IF($A404="","",IF(ISNUMBER($G403),$G403+1,1))</f>
        <v>400</v>
      </c>
      <c r="H404" s="36" t="n">
        <f aca="false">IF(OR(NOT(ISNUMBER($G404)),$G404&lt;2,NOT(ISNUMBER($C403)),$C403=0),"",$C404/$C403-1)</f>
        <v>-0.0045413673148712</v>
      </c>
      <c r="I404" s="37" t="n">
        <f aca="false">IF(AND(ISNUMBER($G404),$G404&gt;=MA_SHORT),AVERAGE(INDEX($C$5:$C404,401-MA_SHORT):$C404),"")</f>
        <v>1185805.95</v>
      </c>
      <c r="J404" s="37" t="n">
        <f aca="false">IF(AND(ISNUMBER($G404),$G404&gt;=MA_MED),AVERAGE(INDEX($C$5:$C404,401-MA_MED):$C404),"")</f>
        <v>1201586.84</v>
      </c>
      <c r="K404" s="37" t="n">
        <f aca="false">IF(AND(ISNUMBER($G404),$G404&gt;=MA_LONG2),AVERAGE(INDEX($C$5:$C404,401-MA_LONG2):$C404),"")</f>
        <v>1125637.92</v>
      </c>
      <c r="L404" s="38" t="n">
        <f aca="false">IF(AND(ISNUMBER($G404),$G404&gt;=21),STDEV(INDEX($H$344:$H404,62-20):$H404)*SQRT(245),"")</f>
        <v>0.123662462764875</v>
      </c>
      <c r="M404" s="37" t="n">
        <f aca="false">IF(AND(ISNUMBER($G404),$G404&gt;=60),MAX(INDEX($D$204:$D404,202-60):$D404),"")</f>
        <v>1246306</v>
      </c>
      <c r="N404" s="37" t="n">
        <f aca="false">IF(AND(ISNUMBER($G404),$G404&gt;=60),MIN(INDEX($E$204:$E404,202-60):$E404),"")</f>
        <v>1162593</v>
      </c>
      <c r="O404" s="38" t="n">
        <f aca="false">IF(OR(NOT(ISNUMBER($C404)),NOT(ISNUMBER($M404)),$M404=0),"",$C404/$M404-1)</f>
        <v>-0.0326701468178762</v>
      </c>
    </row>
    <row r="405" customFormat="false" ht="15" hidden="false" customHeight="true" outlineLevel="0" collapsed="false">
      <c r="A405" s="32" t="n">
        <v>46130</v>
      </c>
      <c r="B405" s="33" t="s">
        <v>495</v>
      </c>
      <c r="C405" s="34" t="n">
        <v>1195219</v>
      </c>
      <c r="D405" s="34" t="n">
        <v>1197061</v>
      </c>
      <c r="E405" s="34" t="n">
        <v>1190565</v>
      </c>
      <c r="F405" s="34" t="n">
        <v>0</v>
      </c>
      <c r="G405" s="35" t="n">
        <f aca="false">IF($A405="","",IF(ISNUMBER($G404),$G404+1,1))</f>
        <v>401</v>
      </c>
      <c r="H405" s="36" t="n">
        <f aca="false">IF(OR(NOT(ISNUMBER($G405)),$G405&lt;2,NOT(ISNUMBER($C404)),$C404=0),"",$C405/$C404-1)</f>
        <v>-0.00860160469280991</v>
      </c>
      <c r="I405" s="37" t="n">
        <f aca="false">IF(AND(ISNUMBER($G405),$G405&gt;=MA_SHORT),AVERAGE(INDEX($C$5:$C405,402-MA_SHORT):$C405),"")</f>
        <v>1186314.55</v>
      </c>
      <c r="J405" s="37" t="n">
        <f aca="false">IF(AND(ISNUMBER($G405),$G405&gt;=MA_MED),AVERAGE(INDEX($C$5:$C405,402-MA_MED):$C405),"")</f>
        <v>1201317.94</v>
      </c>
      <c r="K405" s="37" t="n">
        <f aca="false">IF(AND(ISNUMBER($G405),$G405&gt;=MA_LONG2),AVERAGE(INDEX($C$5:$C405,402-MA_LONG2):$C405),"")</f>
        <v>1125695.58</v>
      </c>
      <c r="L405" s="38" t="n">
        <f aca="false">IF(AND(ISNUMBER($G405),$G405&gt;=21),STDEV(INDEX($H$345:$H405,62-20):$H405)*SQRT(245),"")</f>
        <v>0.121276663877699</v>
      </c>
      <c r="M405" s="37" t="n">
        <f aca="false">IF(AND(ISNUMBER($G405),$G405&gt;=60),MAX(INDEX($D$205:$D405,202-60):$D405),"")</f>
        <v>1246306</v>
      </c>
      <c r="N405" s="37" t="n">
        <f aca="false">IF(AND(ISNUMBER($G405),$G405&gt;=60),MIN(INDEX($E$205:$E405,202-60):$E405),"")</f>
        <v>1162593</v>
      </c>
      <c r="O405" s="38" t="n">
        <f aca="false">IF(OR(NOT(ISNUMBER($C405)),NOT(ISNUMBER($M405)),$M405=0),"",$C405/$M405-1)</f>
        <v>-0.0409907358225027</v>
      </c>
    </row>
    <row r="406" customFormat="false" ht="15" hidden="false" customHeight="true" outlineLevel="0" collapsed="false">
      <c r="A406" s="32" t="n">
        <v>46131</v>
      </c>
      <c r="B406" s="33" t="s">
        <v>496</v>
      </c>
      <c r="C406" s="34" t="n">
        <v>1208135</v>
      </c>
      <c r="D406" s="34" t="n">
        <v>1210219</v>
      </c>
      <c r="E406" s="34" t="n">
        <v>1203876</v>
      </c>
      <c r="F406" s="34" t="n">
        <v>0</v>
      </c>
      <c r="G406" s="35" t="n">
        <f aca="false">IF($A406="","",IF(ISNUMBER($G405),$G405+1,1))</f>
        <v>402</v>
      </c>
      <c r="H406" s="36" t="n">
        <f aca="false">IF(OR(NOT(ISNUMBER($G406)),$G406&lt;2,NOT(ISNUMBER($C405)),$C405=0),"",$C406/$C405-1)</f>
        <v>0.0108063877833267</v>
      </c>
      <c r="I406" s="37" t="n">
        <f aca="false">IF(AND(ISNUMBER($G406),$G406&gt;=MA_SHORT),AVERAGE(INDEX($C$6:$C406,402-MA_SHORT):$C406),"")</f>
        <v>1187433.9</v>
      </c>
      <c r="J406" s="37" t="n">
        <f aca="false">IF(AND(ISNUMBER($G406),$G406&gt;=MA_MED),AVERAGE(INDEX($C$6:$C406,402-MA_MED):$C406),"")</f>
        <v>1201356.42</v>
      </c>
      <c r="K406" s="37" t="n">
        <f aca="false">IF(AND(ISNUMBER($G406),$G406&gt;=MA_LONG2),AVERAGE(INDEX($C$6:$C406,402-MA_LONG2):$C406),"")</f>
        <v>1125808.52</v>
      </c>
      <c r="L406" s="38" t="n">
        <f aca="false">IF(AND(ISNUMBER($G406),$G406&gt;=21),STDEV(INDEX($H$346:$H406,62-20):$H406)*SQRT(245),"")</f>
        <v>0.126577867781326</v>
      </c>
      <c r="M406" s="37" t="n">
        <f aca="false">IF(AND(ISNUMBER($G406),$G406&gt;=60),MAX(INDEX($D$206:$D406,202-60):$D406),"")</f>
        <v>1246306</v>
      </c>
      <c r="N406" s="37" t="n">
        <f aca="false">IF(AND(ISNUMBER($G406),$G406&gt;=60),MIN(INDEX($E$206:$E406,202-60):$E406),"")</f>
        <v>1162593</v>
      </c>
      <c r="O406" s="38" t="n">
        <f aca="false">IF(OR(NOT(ISNUMBER($C406)),NOT(ISNUMBER($M406)),$M406=0),"",$C406/$M406-1)</f>
        <v>-0.0306273098259978</v>
      </c>
    </row>
    <row r="407" customFormat="false" ht="15" hidden="false" customHeight="true" outlineLevel="0" collapsed="false">
      <c r="A407" s="32" t="n">
        <v>46132</v>
      </c>
      <c r="B407" s="33" t="s">
        <v>497</v>
      </c>
      <c r="C407" s="34" t="n">
        <v>1188727</v>
      </c>
      <c r="D407" s="34" t="n">
        <v>1190152</v>
      </c>
      <c r="E407" s="34" t="n">
        <v>1186375</v>
      </c>
      <c r="F407" s="34" t="n">
        <v>0</v>
      </c>
      <c r="G407" s="35" t="n">
        <f aca="false">IF($A407="","",IF(ISNUMBER($G406),$G406+1,1))</f>
        <v>403</v>
      </c>
      <c r="H407" s="36" t="n">
        <f aca="false">IF(OR(NOT(ISNUMBER($G407)),$G407&lt;2,NOT(ISNUMBER($C406)),$C406=0),"",$C407/$C406-1)</f>
        <v>-0.016064429885733</v>
      </c>
      <c r="I407" s="37" t="n">
        <f aca="false">IF(AND(ISNUMBER($G407),$G407&gt;=MA_SHORT),AVERAGE(INDEX($C$7:$C407,402-MA_SHORT):$C407),"")</f>
        <v>1187920.95</v>
      </c>
      <c r="J407" s="37" t="n">
        <f aca="false">IF(AND(ISNUMBER($G407),$G407&gt;=MA_MED),AVERAGE(INDEX($C$7:$C407,402-MA_MED):$C407),"")</f>
        <v>1201171.8</v>
      </c>
      <c r="K407" s="37" t="n">
        <f aca="false">IF(AND(ISNUMBER($G407),$G407&gt;=MA_LONG2),AVERAGE(INDEX($C$7:$C407,402-MA_LONG2):$C407),"")</f>
        <v>1125937.575</v>
      </c>
      <c r="L407" s="38" t="n">
        <f aca="false">IF(AND(ISNUMBER($G407),$G407&gt;=21),STDEV(INDEX($H$347:$H407,62-20):$H407)*SQRT(245),"")</f>
        <v>0.138272890882965</v>
      </c>
      <c r="M407" s="37" t="n">
        <f aca="false">IF(AND(ISNUMBER($G407),$G407&gt;=60),MAX(INDEX($D$207:$D407,202-60):$D407),"")</f>
        <v>1246306</v>
      </c>
      <c r="N407" s="37" t="n">
        <f aca="false">IF(AND(ISNUMBER($G407),$G407&gt;=60),MIN(INDEX($E$207:$E407,202-60):$E407),"")</f>
        <v>1162593</v>
      </c>
      <c r="O407" s="38" t="n">
        <f aca="false">IF(OR(NOT(ISNUMBER($C407)),NOT(ISNUMBER($M407)),$M407=0),"",$C407/$M407-1)</f>
        <v>-0.0461997294404424</v>
      </c>
    </row>
    <row r="408" customFormat="false" ht="15" hidden="false" customHeight="true" outlineLevel="0" collapsed="false">
      <c r="A408" s="32" t="n">
        <v>46133</v>
      </c>
      <c r="B408" s="33" t="s">
        <v>498</v>
      </c>
      <c r="C408" s="34" t="n">
        <v>1202393</v>
      </c>
      <c r="D408" s="34" t="n">
        <v>1207901</v>
      </c>
      <c r="E408" s="34" t="n">
        <v>1198202</v>
      </c>
      <c r="F408" s="34" t="n">
        <v>0</v>
      </c>
      <c r="G408" s="35" t="n">
        <f aca="false">IF($A408="","",IF(ISNUMBER($G407),$G407+1,1))</f>
        <v>404</v>
      </c>
      <c r="H408" s="36" t="n">
        <f aca="false">IF(OR(NOT(ISNUMBER($G408)),$G408&lt;2,NOT(ISNUMBER($C407)),$C407=0),"",$C408/$C407-1)</f>
        <v>0.0114963317902259</v>
      </c>
      <c r="I408" s="37" t="n">
        <f aca="false">IF(AND(ISNUMBER($G408),$G408&gt;=MA_SHORT),AVERAGE(INDEX($C$8:$C408,402-MA_SHORT):$C408),"")</f>
        <v>1189381</v>
      </c>
      <c r="J408" s="37" t="n">
        <f aca="false">IF(AND(ISNUMBER($G408),$G408&gt;=MA_MED),AVERAGE(INDEX($C$8:$C408,402-MA_MED):$C408),"")</f>
        <v>1201254.06</v>
      </c>
      <c r="K408" s="37" t="n">
        <f aca="false">IF(AND(ISNUMBER($G408),$G408&gt;=MA_LONG2),AVERAGE(INDEX($C$8:$C408,402-MA_LONG2):$C408),"")</f>
        <v>1126128.335</v>
      </c>
      <c r="L408" s="38" t="n">
        <f aca="false">IF(AND(ISNUMBER($G408),$G408&gt;=21),STDEV(INDEX($H$348:$H408,62-20):$H408)*SQRT(245),"")</f>
        <v>0.141946190113484</v>
      </c>
      <c r="M408" s="37" t="n">
        <f aca="false">IF(AND(ISNUMBER($G408),$G408&gt;=60),MAX(INDEX($D$208:$D408,202-60):$D408),"")</f>
        <v>1246306</v>
      </c>
      <c r="N408" s="37" t="n">
        <f aca="false">IF(AND(ISNUMBER($G408),$G408&gt;=60),MIN(INDEX($E$208:$E408,202-60):$E408),"")</f>
        <v>1162593</v>
      </c>
      <c r="O408" s="38" t="n">
        <f aca="false">IF(OR(NOT(ISNUMBER($C408)),NOT(ISNUMBER($M408)),$M408=0),"",$C408/$M408-1)</f>
        <v>-0.0352345250684824</v>
      </c>
    </row>
    <row r="409" customFormat="false" ht="15" hidden="false" customHeight="true" outlineLevel="0" collapsed="false">
      <c r="A409" s="32" t="n">
        <v>46134</v>
      </c>
      <c r="B409" s="33" t="s">
        <v>499</v>
      </c>
      <c r="C409" s="34" t="n">
        <v>1206342</v>
      </c>
      <c r="D409" s="34" t="n">
        <v>1209176</v>
      </c>
      <c r="E409" s="34" t="n">
        <v>1198874</v>
      </c>
      <c r="F409" s="34" t="n">
        <v>0</v>
      </c>
      <c r="G409" s="35" t="n">
        <f aca="false">IF($A409="","",IF(ISNUMBER($G408),$G408+1,1))</f>
        <v>405</v>
      </c>
      <c r="H409" s="36" t="n">
        <f aca="false">IF(OR(NOT(ISNUMBER($G409)),$G409&lt;2,NOT(ISNUMBER($C408)),$C408=0),"",$C409/$C408-1)</f>
        <v>0.00328428392380853</v>
      </c>
      <c r="I409" s="37" t="n">
        <f aca="false">IF(AND(ISNUMBER($G409),$G409&gt;=MA_SHORT),AVERAGE(INDEX($C$9:$C409,402-MA_SHORT):$C409),"")</f>
        <v>1191496.45</v>
      </c>
      <c r="J409" s="37" t="n">
        <f aca="false">IF(AND(ISNUMBER($G409),$G409&gt;=MA_MED),AVERAGE(INDEX($C$9:$C409,402-MA_MED):$C409),"")</f>
        <v>1201184.76</v>
      </c>
      <c r="K409" s="37" t="n">
        <f aca="false">IF(AND(ISNUMBER($G409),$G409&gt;=MA_LONG2),AVERAGE(INDEX($C$9:$C409,402-MA_LONG2):$C409),"")</f>
        <v>1126401.45</v>
      </c>
      <c r="L409" s="38" t="n">
        <f aca="false">IF(AND(ISNUMBER($G409),$G409&gt;=21),STDEV(INDEX($H$349:$H409,62-20):$H409)*SQRT(245),"")</f>
        <v>0.138056428108611</v>
      </c>
      <c r="M409" s="37" t="n">
        <f aca="false">IF(AND(ISNUMBER($G409),$G409&gt;=60),MAX(INDEX($D$209:$D409,202-60):$D409),"")</f>
        <v>1246306</v>
      </c>
      <c r="N409" s="37" t="n">
        <f aca="false">IF(AND(ISNUMBER($G409),$G409&gt;=60),MIN(INDEX($E$209:$E409,202-60):$E409),"")</f>
        <v>1162593</v>
      </c>
      <c r="O409" s="38" t="n">
        <f aca="false">IF(OR(NOT(ISNUMBER($C409)),NOT(ISNUMBER($M409)),$M409=0),"",$C409/$M409-1)</f>
        <v>-0.0320659613289193</v>
      </c>
    </row>
    <row r="410" customFormat="false" ht="15" hidden="false" customHeight="true" outlineLevel="0" collapsed="false">
      <c r="A410" s="32" t="n">
        <v>46137</v>
      </c>
      <c r="B410" s="33" t="s">
        <v>500</v>
      </c>
      <c r="C410" s="34" t="n">
        <v>1208490</v>
      </c>
      <c r="D410" s="34" t="n">
        <v>1211689</v>
      </c>
      <c r="E410" s="34" t="n">
        <v>1201828</v>
      </c>
      <c r="F410" s="34" t="n">
        <v>0</v>
      </c>
      <c r="G410" s="35" t="n">
        <f aca="false">IF($A410="","",IF(ISNUMBER($G409),$G409+1,1))</f>
        <v>406</v>
      </c>
      <c r="H410" s="36" t="n">
        <f aca="false">IF(OR(NOT(ISNUMBER($G410)),$G410&lt;2,NOT(ISNUMBER($C409)),$C409=0),"",$C410/$C409-1)</f>
        <v>0.00178058958404836</v>
      </c>
      <c r="I410" s="37" t="n">
        <f aca="false">IF(AND(ISNUMBER($G410),$G410&gt;=MA_SHORT),AVERAGE(INDEX($C$10:$C410,402-MA_SHORT):$C410),"")</f>
        <v>1193217.75</v>
      </c>
      <c r="J410" s="37" t="n">
        <f aca="false">IF(AND(ISNUMBER($G410),$G410&gt;=MA_MED),AVERAGE(INDEX($C$10:$C410,402-MA_MED):$C410),"")</f>
        <v>1201302.08</v>
      </c>
      <c r="K410" s="37" t="n">
        <f aca="false">IF(AND(ISNUMBER($G410),$G410&gt;=MA_LONG2),AVERAGE(INDEX($C$10:$C410,402-MA_LONG2):$C410),"")</f>
        <v>1126679.145</v>
      </c>
      <c r="L410" s="38" t="n">
        <f aca="false">IF(AND(ISNUMBER($G410),$G410&gt;=21),STDEV(INDEX($H$350:$H410,62-20):$H410)*SQRT(245),"")</f>
        <v>0.135772987347402</v>
      </c>
      <c r="M410" s="37" t="n">
        <f aca="false">IF(AND(ISNUMBER($G410),$G410&gt;=60),MAX(INDEX($D$210:$D410,202-60):$D410),"")</f>
        <v>1246306</v>
      </c>
      <c r="N410" s="37" t="n">
        <f aca="false">IF(AND(ISNUMBER($G410),$G410&gt;=60),MIN(INDEX($E$210:$E410,202-60):$E410),"")</f>
        <v>1162593</v>
      </c>
      <c r="O410" s="38" t="n">
        <f aca="false">IF(OR(NOT(ISNUMBER($C410)),NOT(ISNUMBER($M410)),$M410=0),"",$C410/$M410-1)</f>
        <v>-0.0303424680616157</v>
      </c>
    </row>
    <row r="411" customFormat="false" ht="15" hidden="false" customHeight="true" outlineLevel="0" collapsed="false">
      <c r="A411" s="32" t="n">
        <v>46138</v>
      </c>
      <c r="B411" s="33" t="s">
        <v>501</v>
      </c>
      <c r="C411" s="34" t="n">
        <v>1223316</v>
      </c>
      <c r="D411" s="34" t="n">
        <v>1224378</v>
      </c>
      <c r="E411" s="34" t="n">
        <v>1220684</v>
      </c>
      <c r="F411" s="34" t="n">
        <v>0</v>
      </c>
      <c r="G411" s="35" t="n">
        <f aca="false">IF($A411="","",IF(ISNUMBER($G410),$G410+1,1))</f>
        <v>407</v>
      </c>
      <c r="H411" s="36" t="n">
        <f aca="false">IF(OR(NOT(ISNUMBER($G411)),$G411&lt;2,NOT(ISNUMBER($C410)),$C410=0),"",$C411/$C410-1)</f>
        <v>0.0122682024675422</v>
      </c>
      <c r="I411" s="37" t="n">
        <f aca="false">IF(AND(ISNUMBER($G411),$G411&gt;=MA_SHORT),AVERAGE(INDEX($C$11:$C411,402-MA_SHORT):$C411),"")</f>
        <v>1195609.45</v>
      </c>
      <c r="J411" s="37" t="n">
        <f aca="false">IF(AND(ISNUMBER($G411),$G411&gt;=MA_MED),AVERAGE(INDEX($C$11:$C411,402-MA_MED):$C411),"")</f>
        <v>1201630.6</v>
      </c>
      <c r="K411" s="37" t="n">
        <f aca="false">IF(AND(ISNUMBER($G411),$G411&gt;=MA_LONG2),AVERAGE(INDEX($C$11:$C411,402-MA_LONG2):$C411),"")</f>
        <v>1127010.065</v>
      </c>
      <c r="L411" s="38" t="n">
        <f aca="false">IF(AND(ISNUMBER($G411),$G411&gt;=21),STDEV(INDEX($H$351:$H411,62-20):$H411)*SQRT(245),"")</f>
        <v>0.140906737492094</v>
      </c>
      <c r="M411" s="37" t="n">
        <f aca="false">IF(AND(ISNUMBER($G411),$G411&gt;=60),MAX(INDEX($D$211:$D411,202-60):$D411),"")</f>
        <v>1246306</v>
      </c>
      <c r="N411" s="37" t="n">
        <f aca="false">IF(AND(ISNUMBER($G411),$G411&gt;=60),MIN(INDEX($E$211:$E411,202-60):$E411),"")</f>
        <v>1162593</v>
      </c>
      <c r="O411" s="38" t="n">
        <f aca="false">IF(OR(NOT(ISNUMBER($C411)),NOT(ISNUMBER($M411)),$M411=0),"",$C411/$M411-1)</f>
        <v>-0.0184465131356184</v>
      </c>
    </row>
    <row r="412" customFormat="false" ht="15" hidden="false" customHeight="true" outlineLevel="0" collapsed="false">
      <c r="A412" s="32" t="n">
        <v>46139</v>
      </c>
      <c r="B412" s="33" t="s">
        <v>502</v>
      </c>
      <c r="C412" s="34" t="n">
        <v>1198617</v>
      </c>
      <c r="D412" s="34" t="n">
        <v>1200331</v>
      </c>
      <c r="E412" s="34" t="n">
        <v>1190765</v>
      </c>
      <c r="F412" s="34" t="n">
        <v>0</v>
      </c>
      <c r="G412" s="35" t="n">
        <f aca="false">IF($A412="","",IF(ISNUMBER($G411),$G411+1,1))</f>
        <v>408</v>
      </c>
      <c r="H412" s="36" t="n">
        <f aca="false">IF(OR(NOT(ISNUMBER($G412)),$G412&lt;2,NOT(ISNUMBER($C411)),$C411=0),"",$C412/$C411-1)</f>
        <v>-0.0201902043298706</v>
      </c>
      <c r="I412" s="37" t="n">
        <f aca="false">IF(AND(ISNUMBER($G412),$G412&gt;=MA_SHORT),AVERAGE(INDEX($C$12:$C412,402-MA_SHORT):$C412),"")</f>
        <v>1196476.9</v>
      </c>
      <c r="J412" s="37" t="n">
        <f aca="false">IF(AND(ISNUMBER($G412),$G412&gt;=MA_MED),AVERAGE(INDEX($C$12:$C412,402-MA_MED):$C412),"")</f>
        <v>1201535.84</v>
      </c>
      <c r="K412" s="37" t="n">
        <f aca="false">IF(AND(ISNUMBER($G412),$G412&gt;=MA_LONG2),AVERAGE(INDEX($C$12:$C412,402-MA_LONG2):$C412),"")</f>
        <v>1127171.72</v>
      </c>
      <c r="L412" s="38" t="n">
        <f aca="false">IF(AND(ISNUMBER($G412),$G412&gt;=21),STDEV(INDEX($H$352:$H412,62-20):$H412)*SQRT(245),"")</f>
        <v>0.160343426416887</v>
      </c>
      <c r="M412" s="37" t="n">
        <f aca="false">IF(AND(ISNUMBER($G412),$G412&gt;=60),MAX(INDEX($D$212:$D412,202-60):$D412),"")</f>
        <v>1246306</v>
      </c>
      <c r="N412" s="37" t="n">
        <f aca="false">IF(AND(ISNUMBER($G412),$G412&gt;=60),MIN(INDEX($E$212:$E412,202-60):$E412),"")</f>
        <v>1162593</v>
      </c>
      <c r="O412" s="38" t="n">
        <f aca="false">IF(OR(NOT(ISNUMBER($C412)),NOT(ISNUMBER($M412)),$M412=0),"",$C412/$M412-1)</f>
        <v>-0.0382642785961073</v>
      </c>
    </row>
    <row r="413" customFormat="false" ht="15" hidden="false" customHeight="true" outlineLevel="0" collapsed="false">
      <c r="A413" s="32" t="n">
        <v>46140</v>
      </c>
      <c r="B413" s="33" t="s">
        <v>503</v>
      </c>
      <c r="C413" s="34" t="n">
        <v>1176427</v>
      </c>
      <c r="D413" s="34" t="n">
        <v>1180446</v>
      </c>
      <c r="E413" s="34" t="n">
        <v>1171184</v>
      </c>
      <c r="F413" s="34" t="n">
        <v>0</v>
      </c>
      <c r="G413" s="35" t="n">
        <f aca="false">IF($A413="","",IF(ISNUMBER($G412),$G412+1,1))</f>
        <v>409</v>
      </c>
      <c r="H413" s="36" t="n">
        <f aca="false">IF(OR(NOT(ISNUMBER($G413)),$G413&lt;2,NOT(ISNUMBER($C412)),$C412=0),"",$C413/$C412-1)</f>
        <v>-0.0185130029025118</v>
      </c>
      <c r="I413" s="37" t="n">
        <f aca="false">IF(AND(ISNUMBER($G413),$G413&gt;=MA_SHORT),AVERAGE(INDEX($C$13:$C413,402-MA_SHORT):$C413),"")</f>
        <v>1196050.95</v>
      </c>
      <c r="J413" s="37" t="n">
        <f aca="false">IF(AND(ISNUMBER($G413),$G413&gt;=MA_MED),AVERAGE(INDEX($C$13:$C413,402-MA_MED):$C413),"")</f>
        <v>1200981.7</v>
      </c>
      <c r="K413" s="37" t="n">
        <f aca="false">IF(AND(ISNUMBER($G413),$G413&gt;=MA_LONG2),AVERAGE(INDEX($C$13:$C413,402-MA_LONG2):$C413),"")</f>
        <v>1127206.07</v>
      </c>
      <c r="L413" s="38" t="n">
        <f aca="false">IF(AND(ISNUMBER($G413),$G413&gt;=21),STDEV(INDEX($H$353:$H413,62-20):$H413)*SQRT(245),"")</f>
        <v>0.173601550521259</v>
      </c>
      <c r="M413" s="37" t="n">
        <f aca="false">IF(AND(ISNUMBER($G413),$G413&gt;=60),MAX(INDEX($D$213:$D413,202-60):$D413),"")</f>
        <v>1246306</v>
      </c>
      <c r="N413" s="37" t="n">
        <f aca="false">IF(AND(ISNUMBER($G413),$G413&gt;=60),MIN(INDEX($E$213:$E413,202-60):$E413),"")</f>
        <v>1162593</v>
      </c>
      <c r="O413" s="38" t="n">
        <f aca="false">IF(OR(NOT(ISNUMBER($C413)),NOT(ISNUMBER($M413)),$M413=0),"",$C413/$M413-1)</f>
        <v>-0.0560688947979068</v>
      </c>
    </row>
    <row r="414" customFormat="false" ht="15" hidden="false" customHeight="true" outlineLevel="0" collapsed="false">
      <c r="A414" s="32" t="n">
        <v>46141</v>
      </c>
      <c r="B414" s="33" t="s">
        <v>504</v>
      </c>
      <c r="C414" s="34" t="n">
        <v>1182436</v>
      </c>
      <c r="D414" s="34" t="n">
        <v>1187583</v>
      </c>
      <c r="E414" s="34" t="n">
        <v>1178673</v>
      </c>
      <c r="F414" s="34" t="n">
        <v>0</v>
      </c>
      <c r="G414" s="35" t="n">
        <f aca="false">IF($A414="","",IF(ISNUMBER($G413),$G413+1,1))</f>
        <v>410</v>
      </c>
      <c r="H414" s="36" t="n">
        <f aca="false">IF(OR(NOT(ISNUMBER($G414)),$G414&lt;2,NOT(ISNUMBER($C413)),$C413=0),"",$C414/$C413-1)</f>
        <v>0.005107839245444</v>
      </c>
      <c r="I414" s="37" t="n">
        <f aca="false">IF(AND(ISNUMBER($G414),$G414&gt;=MA_SHORT),AVERAGE(INDEX($C$14:$C414,402-MA_SHORT):$C414),"")</f>
        <v>1196668.65</v>
      </c>
      <c r="J414" s="37" t="n">
        <f aca="false">IF(AND(ISNUMBER($G414),$G414&gt;=MA_MED),AVERAGE(INDEX($C$14:$C414,402-MA_MED):$C414),"")</f>
        <v>1200876.22</v>
      </c>
      <c r="K414" s="37" t="n">
        <f aca="false">IF(AND(ISNUMBER($G414),$G414&gt;=MA_LONG2),AVERAGE(INDEX($C$14:$C414,402-MA_LONG2):$C414),"")</f>
        <v>1127264.36</v>
      </c>
      <c r="L414" s="38" t="n">
        <f aca="false">IF(AND(ISNUMBER($G414),$G414&gt;=21),STDEV(INDEX($H$354:$H414,62-20):$H414)*SQRT(245),"")</f>
        <v>0.168468183348344</v>
      </c>
      <c r="M414" s="37" t="n">
        <f aca="false">IF(AND(ISNUMBER($G414),$G414&gt;=60),MAX(INDEX($D$214:$D414,202-60):$D414),"")</f>
        <v>1246306</v>
      </c>
      <c r="N414" s="37" t="n">
        <f aca="false">IF(AND(ISNUMBER($G414),$G414&gt;=60),MIN(INDEX($E$214:$E414,202-60):$E414),"")</f>
        <v>1162593</v>
      </c>
      <c r="O414" s="38" t="n">
        <f aca="false">IF(OR(NOT(ISNUMBER($C414)),NOT(ISNUMBER($M414)),$M414=0),"",$C414/$M414-1)</f>
        <v>-0.0512474464537601</v>
      </c>
    </row>
    <row r="415" customFormat="false" ht="15" hidden="false" customHeight="true" outlineLevel="0" collapsed="false">
      <c r="A415" s="32" t="n">
        <v>46144</v>
      </c>
      <c r="B415" s="33" t="s">
        <v>505</v>
      </c>
      <c r="C415" s="34" t="n">
        <v>1188586</v>
      </c>
      <c r="D415" s="34" t="n">
        <v>1191581</v>
      </c>
      <c r="E415" s="34" t="n">
        <v>1187540</v>
      </c>
      <c r="F415" s="34" t="n">
        <v>0</v>
      </c>
      <c r="G415" s="35" t="n">
        <f aca="false">IF($A415="","",IF(ISNUMBER($G414),$G414+1,1))</f>
        <v>411</v>
      </c>
      <c r="H415" s="36" t="n">
        <f aca="false">IF(OR(NOT(ISNUMBER($G415)),$G415&lt;2,NOT(ISNUMBER($C414)),$C414=0),"",$C415/$C414-1)</f>
        <v>0.00520112716459908</v>
      </c>
      <c r="I415" s="37" t="n">
        <f aca="false">IF(AND(ISNUMBER($G415),$G415&gt;=MA_SHORT),AVERAGE(INDEX($C$15:$C415,402-MA_SHORT):$C415),"")</f>
        <v>1196724.25</v>
      </c>
      <c r="J415" s="37" t="n">
        <f aca="false">IF(AND(ISNUMBER($G415),$G415&gt;=MA_MED),AVERAGE(INDEX($C$15:$C415,402-MA_MED):$C415),"")</f>
        <v>1201111.7</v>
      </c>
      <c r="K415" s="37" t="n">
        <f aca="false">IF(AND(ISNUMBER($G415),$G415&gt;=MA_LONG2),AVERAGE(INDEX($C$15:$C415,402-MA_LONG2):$C415),"")</f>
        <v>1127354.72</v>
      </c>
      <c r="L415" s="38" t="n">
        <f aca="false">IF(AND(ISNUMBER($G415),$G415&gt;=21),STDEV(INDEX($H$355:$H415,62-20):$H415)*SQRT(245),"")</f>
        <v>0.161139393136103</v>
      </c>
      <c r="M415" s="37" t="n">
        <f aca="false">IF(AND(ISNUMBER($G415),$G415&gt;=60),MAX(INDEX($D$215:$D415,202-60):$D415),"")</f>
        <v>1246306</v>
      </c>
      <c r="N415" s="37" t="n">
        <f aca="false">IF(AND(ISNUMBER($G415),$G415&gt;=60),MIN(INDEX($E$215:$E415,202-60):$E415),"")</f>
        <v>1162593</v>
      </c>
      <c r="O415" s="38" t="n">
        <f aca="false">IF(OR(NOT(ISNUMBER($C415)),NOT(ISNUMBER($M415)),$M415=0),"",$C415/$M415-1)</f>
        <v>-0.046312863775028</v>
      </c>
    </row>
    <row r="416" customFormat="false" ht="15" hidden="false" customHeight="true" outlineLevel="0" collapsed="false">
      <c r="A416" s="32" t="n">
        <v>46145</v>
      </c>
      <c r="B416" s="33" t="s">
        <v>506</v>
      </c>
      <c r="C416" s="34" t="n">
        <v>1182204</v>
      </c>
      <c r="D416" s="34" t="n">
        <v>1182391</v>
      </c>
      <c r="E416" s="34" t="n">
        <v>1180017</v>
      </c>
      <c r="F416" s="34" t="n">
        <v>0</v>
      </c>
      <c r="G416" s="35" t="n">
        <f aca="false">IF($A416="","",IF(ISNUMBER($G415),$G415+1,1))</f>
        <v>412</v>
      </c>
      <c r="H416" s="36" t="n">
        <f aca="false">IF(OR(NOT(ISNUMBER($G416)),$G416&lt;2,NOT(ISNUMBER($C415)),$C415=0),"",$C416/$C415-1)</f>
        <v>-0.00536940532700203</v>
      </c>
      <c r="I416" s="37" t="n">
        <f aca="false">IF(AND(ISNUMBER($G416),$G416&gt;=MA_SHORT),AVERAGE(INDEX($C$16:$C416,402-MA_SHORT):$C416),"")</f>
        <v>1196720.35</v>
      </c>
      <c r="J416" s="37" t="n">
        <f aca="false">IF(AND(ISNUMBER($G416),$G416&gt;=MA_MED),AVERAGE(INDEX($C$16:$C416,402-MA_MED):$C416),"")</f>
        <v>1201076.24</v>
      </c>
      <c r="K416" s="37" t="n">
        <f aca="false">IF(AND(ISNUMBER($G416),$G416&gt;=MA_LONG2),AVERAGE(INDEX($C$16:$C416,402-MA_LONG2):$C416),"")</f>
        <v>1127388.975</v>
      </c>
      <c r="L416" s="38" t="n">
        <f aca="false">IF(AND(ISNUMBER($G416),$G416&gt;=21),STDEV(INDEX($H$356:$H416,62-20):$H416)*SQRT(245),"")</f>
        <v>0.161533337453729</v>
      </c>
      <c r="M416" s="37" t="n">
        <f aca="false">IF(AND(ISNUMBER($G416),$G416&gt;=60),MAX(INDEX($D$216:$D416,202-60):$D416),"")</f>
        <v>1246306</v>
      </c>
      <c r="N416" s="37" t="n">
        <f aca="false">IF(AND(ISNUMBER($G416),$G416&gt;=60),MIN(INDEX($E$216:$E416,202-60):$E416),"")</f>
        <v>1162593</v>
      </c>
      <c r="O416" s="38" t="n">
        <f aca="false">IF(OR(NOT(ISNUMBER($C416)),NOT(ISNUMBER($M416)),$M416=0),"",$C416/$M416-1)</f>
        <v>-0.0514335965645676</v>
      </c>
    </row>
    <row r="417" customFormat="false" ht="15" hidden="false" customHeight="true" outlineLevel="0" collapsed="false">
      <c r="A417" s="32" t="n">
        <v>46146</v>
      </c>
      <c r="B417" s="33" t="s">
        <v>507</v>
      </c>
      <c r="C417" s="34" t="n">
        <v>1183748</v>
      </c>
      <c r="D417" s="34" t="n">
        <v>1186964</v>
      </c>
      <c r="E417" s="34" t="n">
        <v>1180193</v>
      </c>
      <c r="F417" s="34" t="n">
        <v>0</v>
      </c>
      <c r="G417" s="35" t="n">
        <f aca="false">IF($A417="","",IF(ISNUMBER($G416),$G416+1,1))</f>
        <v>413</v>
      </c>
      <c r="H417" s="36" t="n">
        <f aca="false">IF(OR(NOT(ISNUMBER($G417)),$G417&lt;2,NOT(ISNUMBER($C416)),$C416=0),"",$C417/$C416-1)</f>
        <v>0.00130603516821126</v>
      </c>
      <c r="I417" s="37" t="n">
        <f aca="false">IF(AND(ISNUMBER($G417),$G417&gt;=MA_SHORT),AVERAGE(INDEX($C$17:$C417,402-MA_SHORT):$C417),"")</f>
        <v>1197409.4</v>
      </c>
      <c r="J417" s="37" t="n">
        <f aca="false">IF(AND(ISNUMBER($G417),$G417&gt;=MA_MED),AVERAGE(INDEX($C$17:$C417,402-MA_MED):$C417),"")</f>
        <v>1200769.16</v>
      </c>
      <c r="K417" s="37" t="n">
        <f aca="false">IF(AND(ISNUMBER($G417),$G417&gt;=MA_LONG2),AVERAGE(INDEX($C$17:$C417,402-MA_LONG2):$C417),"")</f>
        <v>1127425.335</v>
      </c>
      <c r="L417" s="38" t="n">
        <f aca="false">IF(AND(ISNUMBER($G417),$G417&gt;=21),STDEV(INDEX($H$357:$H417,62-20):$H417)*SQRT(245),"")</f>
        <v>0.156885267008685</v>
      </c>
      <c r="M417" s="37" t="n">
        <f aca="false">IF(AND(ISNUMBER($G417),$G417&gt;=60),MAX(INDEX($D$217:$D417,202-60):$D417),"")</f>
        <v>1246306</v>
      </c>
      <c r="N417" s="37" t="n">
        <f aca="false">IF(AND(ISNUMBER($G417),$G417&gt;=60),MIN(INDEX($E$217:$E417,202-60):$E417),"")</f>
        <v>1162593</v>
      </c>
      <c r="O417" s="38" t="n">
        <f aca="false">IF(OR(NOT(ISNUMBER($C417)),NOT(ISNUMBER($M417)),$M417=0),"",$C417/$M417-1)</f>
        <v>-0.0501947354822973</v>
      </c>
    </row>
    <row r="418" customFormat="false" ht="15" hidden="false" customHeight="true" outlineLevel="0" collapsed="false">
      <c r="A418" s="32" t="n">
        <v>46147</v>
      </c>
      <c r="B418" s="33" t="s">
        <v>508</v>
      </c>
      <c r="C418" s="34" t="n">
        <v>1182297</v>
      </c>
      <c r="D418" s="34" t="n">
        <v>1182795</v>
      </c>
      <c r="E418" s="34" t="n">
        <v>1177940</v>
      </c>
      <c r="F418" s="34" t="n">
        <v>0</v>
      </c>
      <c r="G418" s="35" t="n">
        <f aca="false">IF($A418="","",IF(ISNUMBER($G417),$G417+1,1))</f>
        <v>414</v>
      </c>
      <c r="H418" s="36" t="n">
        <f aca="false">IF(OR(NOT(ISNUMBER($G418)),$G418&lt;2,NOT(ISNUMBER($C417)),$C417=0),"",$C418/$C417-1)</f>
        <v>-0.00122576764649229</v>
      </c>
      <c r="I418" s="37" t="n">
        <f aca="false">IF(AND(ISNUMBER($G418),$G418&gt;=MA_SHORT),AVERAGE(INDEX($C$18:$C418,402-MA_SHORT):$C418),"")</f>
        <v>1197732.9</v>
      </c>
      <c r="J418" s="37" t="n">
        <f aca="false">IF(AND(ISNUMBER($G418),$G418&gt;=MA_MED),AVERAGE(INDEX($C$18:$C418,402-MA_MED):$C418),"")</f>
        <v>1200310.68</v>
      </c>
      <c r="K418" s="37" t="n">
        <f aca="false">IF(AND(ISNUMBER($G418),$G418&gt;=MA_LONG2),AVERAGE(INDEX($C$18:$C418,402-MA_LONG2):$C418),"")</f>
        <v>1127533.73</v>
      </c>
      <c r="L418" s="38" t="n">
        <f aca="false">IF(AND(ISNUMBER($G418),$G418&gt;=21),STDEV(INDEX($H$358:$H418,62-20):$H418)*SQRT(245),"")</f>
        <v>0.15615917607072</v>
      </c>
      <c r="M418" s="37" t="n">
        <f aca="false">IF(AND(ISNUMBER($G418),$G418&gt;=60),MAX(INDEX($D$218:$D418,202-60):$D418),"")</f>
        <v>1246306</v>
      </c>
      <c r="N418" s="37" t="n">
        <f aca="false">IF(AND(ISNUMBER($G418),$G418&gt;=60),MIN(INDEX($E$218:$E418,202-60):$E418),"")</f>
        <v>1162593</v>
      </c>
      <c r="O418" s="38" t="n">
        <f aca="false">IF(OR(NOT(ISNUMBER($C418)),NOT(ISNUMBER($M418)),$M418=0),"",$C418/$M418-1)</f>
        <v>-0.0513589760460111</v>
      </c>
    </row>
    <row r="419" customFormat="false" ht="15" hidden="false" customHeight="true" outlineLevel="0" collapsed="false">
      <c r="A419" s="32" t="n">
        <v>46148</v>
      </c>
      <c r="B419" s="33" t="s">
        <v>509</v>
      </c>
      <c r="C419" s="34" t="n">
        <v>1179542</v>
      </c>
      <c r="D419" s="34" t="n">
        <v>1181228</v>
      </c>
      <c r="E419" s="34" t="n">
        <v>1174454</v>
      </c>
      <c r="F419" s="34" t="n">
        <v>0</v>
      </c>
      <c r="G419" s="35" t="n">
        <f aca="false">IF($A419="","",IF(ISNUMBER($G418),$G418+1,1))</f>
        <v>415</v>
      </c>
      <c r="H419" s="36" t="n">
        <f aca="false">IF(OR(NOT(ISNUMBER($G419)),$G419&lt;2,NOT(ISNUMBER($C418)),$C418=0),"",$C419/$C418-1)</f>
        <v>-0.00233020975271014</v>
      </c>
      <c r="I419" s="37" t="n">
        <f aca="false">IF(AND(ISNUMBER($G419),$G419&gt;=MA_SHORT),AVERAGE(INDEX($C$19:$C419,402-MA_SHORT):$C419),"")</f>
        <v>1197288.7</v>
      </c>
      <c r="J419" s="37" t="n">
        <f aca="false">IF(AND(ISNUMBER($G419),$G419&gt;=MA_MED),AVERAGE(INDEX($C$19:$C419,402-MA_MED):$C419),"")</f>
        <v>1199740.22</v>
      </c>
      <c r="K419" s="37" t="n">
        <f aca="false">IF(AND(ISNUMBER($G419),$G419&gt;=MA_LONG2),AVERAGE(INDEX($C$19:$C419,402-MA_LONG2):$C419),"")</f>
        <v>1127750.67</v>
      </c>
      <c r="L419" s="38" t="n">
        <f aca="false">IF(AND(ISNUMBER($G419),$G419&gt;=21),STDEV(INDEX($H$359:$H419,62-20):$H419)*SQRT(245),"")</f>
        <v>0.15157116850922</v>
      </c>
      <c r="M419" s="37" t="n">
        <f aca="false">IF(AND(ISNUMBER($G419),$G419&gt;=60),MAX(INDEX($D$219:$D419,202-60):$D419),"")</f>
        <v>1246306</v>
      </c>
      <c r="N419" s="37" t="n">
        <f aca="false">IF(AND(ISNUMBER($G419),$G419&gt;=60),MIN(INDEX($E$219:$E419,202-60):$E419),"")</f>
        <v>1162593</v>
      </c>
      <c r="O419" s="38" t="n">
        <f aca="false">IF(OR(NOT(ISNUMBER($C419)),NOT(ISNUMBER($M419)),$M419=0),"",$C419/$M419-1)</f>
        <v>-0.0535695086118497</v>
      </c>
    </row>
    <row r="420" customFormat="false" ht="15" hidden="false" customHeight="true" outlineLevel="0" collapsed="false">
      <c r="A420" s="32" t="n">
        <v>46151</v>
      </c>
      <c r="B420" s="33" t="s">
        <v>510</v>
      </c>
      <c r="C420" s="34" t="n">
        <v>1193522</v>
      </c>
      <c r="D420" s="34" t="n">
        <v>1194655</v>
      </c>
      <c r="E420" s="34" t="n">
        <v>1187387</v>
      </c>
      <c r="F420" s="34" t="n">
        <v>0</v>
      </c>
      <c r="G420" s="35" t="n">
        <f aca="false">IF($A420="","",IF(ISNUMBER($G419),$G419+1,1))</f>
        <v>416</v>
      </c>
      <c r="H420" s="36" t="n">
        <f aca="false">IF(OR(NOT(ISNUMBER($G420)),$G420&lt;2,NOT(ISNUMBER($C419)),$C419=0),"",$C420/$C419-1)</f>
        <v>0.0118520578326164</v>
      </c>
      <c r="I420" s="37" t="n">
        <f aca="false">IF(AND(ISNUMBER($G420),$G420&gt;=MA_SHORT),AVERAGE(INDEX($C$20:$C420,402-MA_SHORT):$C420),"")</f>
        <v>1196867.5</v>
      </c>
      <c r="J420" s="37" t="n">
        <f aca="false">IF(AND(ISNUMBER($G420),$G420&gt;=MA_MED),AVERAGE(INDEX($C$20:$C420,402-MA_MED):$C420),"")</f>
        <v>1199186.3</v>
      </c>
      <c r="K420" s="37" t="n">
        <f aca="false">IF(AND(ISNUMBER($G420),$G420&gt;=MA_LONG2),AVERAGE(INDEX($C$20:$C420,402-MA_LONG2):$C420),"")</f>
        <v>1128007.09</v>
      </c>
      <c r="L420" s="38" t="n">
        <f aca="false">IF(AND(ISNUMBER($G420),$G420&gt;=21),STDEV(INDEX($H$360:$H420,62-20):$H420)*SQRT(245),"")</f>
        <v>0.152053278500906</v>
      </c>
      <c r="M420" s="37" t="n">
        <f aca="false">IF(AND(ISNUMBER($G420),$G420&gt;=60),MAX(INDEX($D$220:$D420,202-60):$D420),"")</f>
        <v>1246306</v>
      </c>
      <c r="N420" s="37" t="n">
        <f aca="false">IF(AND(ISNUMBER($G420),$G420&gt;=60),MIN(INDEX($E$220:$E420,202-60):$E420),"")</f>
        <v>1162593</v>
      </c>
      <c r="O420" s="38" t="n">
        <f aca="false">IF(OR(NOT(ISNUMBER($C420)),NOT(ISNUMBER($M420)),$M420=0),"",$C420/$M420-1)</f>
        <v>-0.0423523596933658</v>
      </c>
    </row>
    <row r="421" customFormat="false" ht="15" hidden="false" customHeight="true" outlineLevel="0" collapsed="false">
      <c r="A421" s="32" t="n">
        <v>46152</v>
      </c>
      <c r="B421" s="33" t="s">
        <v>511</v>
      </c>
      <c r="C421" s="34" t="n">
        <v>1262686</v>
      </c>
      <c r="D421" s="34" t="n">
        <v>1267711</v>
      </c>
      <c r="E421" s="34" t="n">
        <v>1259756</v>
      </c>
      <c r="F421" s="34" t="n">
        <v>0</v>
      </c>
      <c r="G421" s="35" t="n">
        <f aca="false">IF($A421="","",IF(ISNUMBER($G420),$G420+1,1))</f>
        <v>417</v>
      </c>
      <c r="H421" s="36" t="n">
        <f aca="false">IF(OR(NOT(ISNUMBER($G421)),$G421&lt;2,NOT(ISNUMBER($C420)),$C420=0),"",$C421/$C420-1)</f>
        <v>0.0579494973699688</v>
      </c>
      <c r="I421" s="37" t="n">
        <f aca="false">IF(AND(ISNUMBER($G421),$G421&gt;=MA_SHORT),AVERAGE(INDEX($C$21:$C421,402-MA_SHORT):$C421),"")</f>
        <v>1199631.2</v>
      </c>
      <c r="J421" s="37" t="n">
        <f aca="false">IF(AND(ISNUMBER($G421),$G421&gt;=MA_MED),AVERAGE(INDEX($C$21:$C421,402-MA_MED):$C421),"")</f>
        <v>1199899.32</v>
      </c>
      <c r="K421" s="37" t="n">
        <f aca="false">IF(AND(ISNUMBER($G421),$G421&gt;=MA_LONG2),AVERAGE(INDEX($C$21:$C421,402-MA_LONG2):$C421),"")</f>
        <v>1128673.44</v>
      </c>
      <c r="L421" s="38" t="n">
        <f aca="false">IF(AND(ISNUMBER($G421),$G421&gt;=21),STDEV(INDEX($H$361:$H421,62-20):$H421)*SQRT(245),"")</f>
        <v>0.254439566448716</v>
      </c>
      <c r="M421" s="37" t="n">
        <f aca="false">IF(AND(ISNUMBER($G421),$G421&gt;=60),MAX(INDEX($D$221:$D421,202-60):$D421),"")</f>
        <v>1267711</v>
      </c>
      <c r="N421" s="37" t="n">
        <f aca="false">IF(AND(ISNUMBER($G421),$G421&gt;=60),MIN(INDEX($E$221:$E421,202-60):$E421),"")</f>
        <v>1162593</v>
      </c>
      <c r="O421" s="38" t="n">
        <f aca="false">IF(OR(NOT(ISNUMBER($C421)),NOT(ISNUMBER($M421)),$M421=0),"",$C421/$M421-1)</f>
        <v>-0.00396383718371141</v>
      </c>
    </row>
    <row r="422" customFormat="false" ht="15" hidden="false" customHeight="true" outlineLevel="0" collapsed="false">
      <c r="A422" s="32" t="n">
        <v>46153</v>
      </c>
      <c r="B422" s="33" t="s">
        <v>512</v>
      </c>
      <c r="C422" s="34" t="n">
        <v>1260921</v>
      </c>
      <c r="D422" s="34" t="n">
        <v>1264452</v>
      </c>
      <c r="E422" s="34" t="n">
        <v>1259702</v>
      </c>
      <c r="F422" s="34" t="n">
        <v>0</v>
      </c>
      <c r="G422" s="35" t="n">
        <f aca="false">IF($A422="","",IF(ISNUMBER($G421),$G421+1,1))</f>
        <v>418</v>
      </c>
      <c r="H422" s="36" t="n">
        <f aca="false">IF(OR(NOT(ISNUMBER($G422)),$G422&lt;2,NOT(ISNUMBER($C421)),$C421=0),"",$C422/$C421-1)</f>
        <v>-0.00139781386663029</v>
      </c>
      <c r="I422" s="37" t="n">
        <f aca="false">IF(AND(ISNUMBER($G422),$G422&gt;=MA_SHORT),AVERAGE(INDEX($C$22:$C422,402-MA_SHORT):$C422),"")</f>
        <v>1202014.3</v>
      </c>
      <c r="J422" s="37" t="n">
        <f aca="false">IF(AND(ISNUMBER($G422),$G422&gt;=MA_MED),AVERAGE(INDEX($C$22:$C422,402-MA_MED):$C422),"")</f>
        <v>1200806.1</v>
      </c>
      <c r="K422" s="37" t="n">
        <f aca="false">IF(AND(ISNUMBER($G422),$G422&gt;=MA_LONG2),AVERAGE(INDEX($C$22:$C422,402-MA_LONG2):$C422),"")</f>
        <v>1129269.585</v>
      </c>
      <c r="L422" s="38" t="n">
        <f aca="false">IF(AND(ISNUMBER($G422),$G422&gt;=21),STDEV(INDEX($H$362:$H422,62-20):$H422)*SQRT(245),"")</f>
        <v>0.254592943340652</v>
      </c>
      <c r="M422" s="37" t="n">
        <f aca="false">IF(AND(ISNUMBER($G422),$G422&gt;=60),MAX(INDEX($D$222:$D422,202-60):$D422),"")</f>
        <v>1267711</v>
      </c>
      <c r="N422" s="37" t="n">
        <f aca="false">IF(AND(ISNUMBER($G422),$G422&gt;=60),MIN(INDEX($E$222:$E422,202-60):$E422),"")</f>
        <v>1162593</v>
      </c>
      <c r="O422" s="38" t="n">
        <f aca="false">IF(OR(NOT(ISNUMBER($C422)),NOT(ISNUMBER($M422)),$M422=0),"",$C422/$M422-1)</f>
        <v>-0.00535611034376127</v>
      </c>
    </row>
    <row r="423" customFormat="false" ht="15" hidden="false" customHeight="true" outlineLevel="0" collapsed="false">
      <c r="A423" s="32" t="n">
        <v>46154</v>
      </c>
      <c r="B423" s="33" t="s">
        <v>513</v>
      </c>
      <c r="C423" s="34" t="n">
        <v>1277913</v>
      </c>
      <c r="D423" s="34" t="n">
        <v>1279399</v>
      </c>
      <c r="E423" s="34" t="n">
        <v>1269158</v>
      </c>
      <c r="F423" s="34" t="n">
        <v>0</v>
      </c>
      <c r="G423" s="35" t="n">
        <f aca="false">IF($A423="","",IF(ISNUMBER($G422),$G422+1,1))</f>
        <v>419</v>
      </c>
      <c r="H423" s="36" t="n">
        <f aca="false">IF(OR(NOT(ISNUMBER($G423)),$G423&lt;2,NOT(ISNUMBER($C422)),$C422=0),"",$C423/$C422-1)</f>
        <v>0.0134758640707864</v>
      </c>
      <c r="I423" s="37" t="n">
        <f aca="false">IF(AND(ISNUMBER($G423),$G423&gt;=MA_SHORT),AVERAGE(INDEX($C$23:$C423,402-MA_SHORT):$C423),"")</f>
        <v>1205355.5</v>
      </c>
      <c r="J423" s="37" t="n">
        <f aca="false">IF(AND(ISNUMBER($G423),$G423&gt;=MA_MED),AVERAGE(INDEX($C$23:$C423,402-MA_MED):$C423),"")</f>
        <v>1201702.24</v>
      </c>
      <c r="K423" s="37" t="n">
        <f aca="false">IF(AND(ISNUMBER($G423),$G423&gt;=MA_LONG2),AVERAGE(INDEX($C$23:$C423,402-MA_LONG2):$C423),"")</f>
        <v>1130064.775</v>
      </c>
      <c r="L423" s="38" t="n">
        <f aca="false">IF(AND(ISNUMBER($G423),$G423&gt;=21),STDEV(INDEX($H$363:$H423,62-20):$H423)*SQRT(245),"")</f>
        <v>0.257216182795328</v>
      </c>
      <c r="M423" s="37" t="n">
        <f aca="false">IF(AND(ISNUMBER($G423),$G423&gt;=60),MAX(INDEX($D$223:$D423,202-60):$D423),"")</f>
        <v>1279399</v>
      </c>
      <c r="N423" s="37" t="n">
        <f aca="false">IF(AND(ISNUMBER($G423),$G423&gt;=60),MIN(INDEX($E$223:$E423,202-60):$E423),"")</f>
        <v>1162593</v>
      </c>
      <c r="O423" s="38" t="n">
        <f aca="false">IF(OR(NOT(ISNUMBER($C423)),NOT(ISNUMBER($M423)),$M423=0),"",$C423/$M423-1)</f>
        <v>-0.00116148285249562</v>
      </c>
    </row>
    <row r="424" customFormat="false" ht="15" hidden="false" customHeight="true" outlineLevel="0" collapsed="false">
      <c r="A424" s="32" t="n">
        <v>46155</v>
      </c>
      <c r="B424" s="33" t="s">
        <v>514</v>
      </c>
      <c r="C424" s="34" t="n">
        <v>1282824</v>
      </c>
      <c r="D424" s="34" t="n">
        <v>1286318</v>
      </c>
      <c r="E424" s="34" t="n">
        <v>1279761</v>
      </c>
      <c r="F424" s="34" t="n">
        <v>0</v>
      </c>
      <c r="G424" s="35" t="n">
        <f aca="false">IF($A424="","",IF(ISNUMBER($G423),$G423+1,1))</f>
        <v>420</v>
      </c>
      <c r="H424" s="36" t="n">
        <f aca="false">IF(OR(NOT(ISNUMBER($G424)),$G424&lt;2,NOT(ISNUMBER($C423)),$C423=0),"",$C424/$C423-1)</f>
        <v>0.00384298461632371</v>
      </c>
      <c r="I424" s="37" t="n">
        <f aca="false">IF(AND(ISNUMBER($G424),$G424&gt;=MA_SHORT),AVERAGE(INDEX($C$24:$C424,402-MA_SHORT):$C424),"")</f>
        <v>1209217.25</v>
      </c>
      <c r="J424" s="37" t="n">
        <f aca="false">IF(AND(ISNUMBER($G424),$G424&gt;=MA_MED),AVERAGE(INDEX($C$24:$C424,402-MA_MED):$C424),"")</f>
        <v>1202715.7</v>
      </c>
      <c r="K424" s="37" t="n">
        <f aca="false">IF(AND(ISNUMBER($G424),$G424&gt;=MA_LONG2),AVERAGE(INDEX($C$24:$C424,402-MA_LONG2):$C424),"")</f>
        <v>1130830.565</v>
      </c>
      <c r="L424" s="38" t="n">
        <f aca="false">IF(AND(ISNUMBER($G424),$G424&gt;=21),STDEV(INDEX($H$364:$H424,62-20):$H424)*SQRT(245),"")</f>
        <v>0.255794282544798</v>
      </c>
      <c r="M424" s="37" t="n">
        <f aca="false">IF(AND(ISNUMBER($G424),$G424&gt;=60),MAX(INDEX($D$224:$D424,202-60):$D424),"")</f>
        <v>1286318</v>
      </c>
      <c r="N424" s="37" t="n">
        <f aca="false">IF(AND(ISNUMBER($G424),$G424&gt;=60),MIN(INDEX($E$224:$E424,202-60):$E424),"")</f>
        <v>1162593</v>
      </c>
      <c r="O424" s="38" t="n">
        <f aca="false">IF(OR(NOT(ISNUMBER($C424)),NOT(ISNUMBER($M424)),$M424=0),"",$C424/$M424-1)</f>
        <v>-0.00271628011113889</v>
      </c>
    </row>
    <row r="425" customFormat="false" ht="15" hidden="false" customHeight="true" outlineLevel="0" collapsed="false">
      <c r="A425" s="32" t="n">
        <v>46158</v>
      </c>
      <c r="B425" s="33" t="s">
        <v>515</v>
      </c>
      <c r="C425" s="34" t="n">
        <v>1282246</v>
      </c>
      <c r="D425" s="34" t="n">
        <v>1284101</v>
      </c>
      <c r="E425" s="34" t="n">
        <v>1279577</v>
      </c>
      <c r="F425" s="34" t="n">
        <v>0</v>
      </c>
      <c r="G425" s="35" t="n">
        <f aca="false">IF($A425="","",IF(ISNUMBER($G424),$G424+1,1))</f>
        <v>421</v>
      </c>
      <c r="H425" s="36" t="n">
        <f aca="false">IF(OR(NOT(ISNUMBER($G425)),$G425&lt;2,NOT(ISNUMBER($C424)),$C424=0),"",$C425/$C424-1)</f>
        <v>-0.000450568433393861</v>
      </c>
      <c r="I425" s="37" t="n">
        <f aca="false">IF(AND(ISNUMBER($G425),$G425&gt;=MA_SHORT),AVERAGE(INDEX($C$25:$C425,402-MA_SHORT):$C425),"")</f>
        <v>1213568.6</v>
      </c>
      <c r="J425" s="37" t="n">
        <f aca="false">IF(AND(ISNUMBER($G425),$G425&gt;=MA_MED),AVERAGE(INDEX($C$25:$C425,402-MA_MED):$C425),"")</f>
        <v>1203570.56</v>
      </c>
      <c r="K425" s="37" t="n">
        <f aca="false">IF(AND(ISNUMBER($G425),$G425&gt;=MA_LONG2),AVERAGE(INDEX($C$25:$C425,402-MA_LONG2):$C425),"")</f>
        <v>1131620.425</v>
      </c>
      <c r="L425" s="38" t="n">
        <f aca="false">IF(AND(ISNUMBER($G425),$G425&gt;=21),STDEV(INDEX($H$365:$H425,62-20):$H425)*SQRT(245),"")</f>
        <v>0.252500766358027</v>
      </c>
      <c r="M425" s="37" t="n">
        <f aca="false">IF(AND(ISNUMBER($G425),$G425&gt;=60),MAX(INDEX($D$225:$D425,202-60):$D425),"")</f>
        <v>1286318</v>
      </c>
      <c r="N425" s="37" t="n">
        <f aca="false">IF(AND(ISNUMBER($G425),$G425&gt;=60),MIN(INDEX($E$225:$E425,202-60):$E425),"")</f>
        <v>1162593</v>
      </c>
      <c r="O425" s="38" t="n">
        <f aca="false">IF(OR(NOT(ISNUMBER($C425)),NOT(ISNUMBER($M425)),$M425=0),"",$C425/$M425-1)</f>
        <v>-0.00316562467445847</v>
      </c>
    </row>
    <row r="426" customFormat="false" ht="15" hidden="false" customHeight="true" outlineLevel="0" collapsed="false">
      <c r="A426" s="32" t="n">
        <v>46159</v>
      </c>
      <c r="B426" s="33" t="s">
        <v>516</v>
      </c>
      <c r="C426" s="34" t="n">
        <v>1293500</v>
      </c>
      <c r="D426" s="34" t="n">
        <v>1300004</v>
      </c>
      <c r="E426" s="34" t="n">
        <v>1292806</v>
      </c>
      <c r="F426" s="34" t="n">
        <v>0</v>
      </c>
      <c r="G426" s="35" t="n">
        <f aca="false">IF($A426="","",IF(ISNUMBER($G425),$G425+1,1))</f>
        <v>422</v>
      </c>
      <c r="H426" s="36" t="n">
        <f aca="false">IF(OR(NOT(ISNUMBER($G426)),$G426&lt;2,NOT(ISNUMBER($C425)),$C425=0),"",$C426/$C425-1)</f>
        <v>0.00877678698159334</v>
      </c>
      <c r="I426" s="37" t="n">
        <f aca="false">IF(AND(ISNUMBER($G426),$G426&gt;=MA_SHORT),AVERAGE(INDEX($C$26:$C426,402-MA_SHORT):$C426),"")</f>
        <v>1217836.85</v>
      </c>
      <c r="J426" s="37" t="n">
        <f aca="false">IF(AND(ISNUMBER($G426),$G426&gt;=MA_MED),AVERAGE(INDEX($C$26:$C426,402-MA_MED):$C426),"")</f>
        <v>1204672.2</v>
      </c>
      <c r="K426" s="37" t="n">
        <f aca="false">IF(AND(ISNUMBER($G426),$G426&gt;=MA_LONG2),AVERAGE(INDEX($C$26:$C426,402-MA_LONG2):$C426),"")</f>
        <v>1132468.53</v>
      </c>
      <c r="L426" s="38" t="n">
        <f aca="false">IF(AND(ISNUMBER($G426),$G426&gt;=21),STDEV(INDEX($H$366:$H426,62-20):$H426)*SQRT(245),"")</f>
        <v>0.251857242680748</v>
      </c>
      <c r="M426" s="37" t="n">
        <f aca="false">IF(AND(ISNUMBER($G426),$G426&gt;=60),MAX(INDEX($D$226:$D426,202-60):$D426),"")</f>
        <v>1300004</v>
      </c>
      <c r="N426" s="37" t="n">
        <f aca="false">IF(AND(ISNUMBER($G426),$G426&gt;=60),MIN(INDEX($E$226:$E426,202-60):$E426),"")</f>
        <v>1162593</v>
      </c>
      <c r="O426" s="38" t="n">
        <f aca="false">IF(OR(NOT(ISNUMBER($C426)),NOT(ISNUMBER($M426)),$M426=0),"",$C426/$M426-1)</f>
        <v>-0.0050030615290414</v>
      </c>
    </row>
    <row r="427" customFormat="false" ht="15" hidden="false" customHeight="true" outlineLevel="0" collapsed="false">
      <c r="A427" s="32" t="n">
        <v>46160</v>
      </c>
      <c r="B427" s="33" t="s">
        <v>517</v>
      </c>
      <c r="C427" s="34" t="n">
        <v>1304706</v>
      </c>
      <c r="D427" s="34" t="n">
        <v>1309347</v>
      </c>
      <c r="E427" s="34" t="n">
        <v>1297364</v>
      </c>
      <c r="F427" s="34" t="n">
        <v>0</v>
      </c>
      <c r="G427" s="35" t="n">
        <f aca="false">IF($A427="","",IF(ISNUMBER($G426),$G426+1,1))</f>
        <v>423</v>
      </c>
      <c r="H427" s="36" t="n">
        <f aca="false">IF(OR(NOT(ISNUMBER($G427)),$G427&lt;2,NOT(ISNUMBER($C426)),$C426=0),"",$C427/$C426-1)</f>
        <v>0.00866331658291464</v>
      </c>
      <c r="I427" s="37" t="n">
        <f aca="false">IF(AND(ISNUMBER($G427),$G427&gt;=MA_SHORT),AVERAGE(INDEX($C$27:$C427,402-MA_SHORT):$C427),"")</f>
        <v>1223635.8</v>
      </c>
      <c r="J427" s="37" t="n">
        <f aca="false">IF(AND(ISNUMBER($G427),$G427&gt;=MA_MED),AVERAGE(INDEX($C$27:$C427,402-MA_MED):$C427),"")</f>
        <v>1206157.92</v>
      </c>
      <c r="K427" s="37" t="n">
        <f aca="false">IF(AND(ISNUMBER($G427),$G427&gt;=MA_LONG2),AVERAGE(INDEX($C$27:$C427,402-MA_LONG2):$C427),"")</f>
        <v>1133278.125</v>
      </c>
      <c r="L427" s="38" t="n">
        <f aca="false">IF(AND(ISNUMBER($G427),$G427&gt;=21),STDEV(INDEX($H$367:$H427,62-20):$H427)*SQRT(245),"")</f>
        <v>0.241703158780872</v>
      </c>
      <c r="M427" s="37" t="n">
        <f aca="false">IF(AND(ISNUMBER($G427),$G427&gt;=60),MAX(INDEX($D$227:$D427,202-60):$D427),"")</f>
        <v>1309347</v>
      </c>
      <c r="N427" s="37" t="n">
        <f aca="false">IF(AND(ISNUMBER($G427),$G427&gt;=60),MIN(INDEX($E$227:$E427,202-60):$E427),"")</f>
        <v>1162593</v>
      </c>
      <c r="O427" s="38" t="n">
        <f aca="false">IF(OR(NOT(ISNUMBER($C427)),NOT(ISNUMBER($M427)),$M427=0),"",$C427/$M427-1)</f>
        <v>-0.00354451493759866</v>
      </c>
    </row>
    <row r="428" customFormat="false" ht="15" hidden="false" customHeight="true" outlineLevel="0" collapsed="false">
      <c r="A428" s="32" t="n">
        <v>46161</v>
      </c>
      <c r="B428" s="33" t="s">
        <v>518</v>
      </c>
      <c r="C428" s="34" t="n">
        <v>1312354</v>
      </c>
      <c r="D428" s="34" t="n">
        <v>1316163</v>
      </c>
      <c r="E428" s="34" t="n">
        <v>1311213</v>
      </c>
      <c r="F428" s="34" t="n">
        <v>0</v>
      </c>
      <c r="G428" s="35" t="n">
        <f aca="false">IF($A428="","",IF(ISNUMBER($G427),$G427+1,1))</f>
        <v>424</v>
      </c>
      <c r="H428" s="36" t="n">
        <f aca="false">IF(OR(NOT(ISNUMBER($G428)),$G428&lt;2,NOT(ISNUMBER($C427)),$C427=0),"",$C428/$C427-1)</f>
        <v>0.00586185700073427</v>
      </c>
      <c r="I428" s="37" t="n">
        <f aca="false">IF(AND(ISNUMBER($G428),$G428&gt;=MA_SHORT),AVERAGE(INDEX($C$28:$C428,402-MA_SHORT):$C428),"")</f>
        <v>1229133.85</v>
      </c>
      <c r="J428" s="37" t="n">
        <f aca="false">IF(AND(ISNUMBER($G428),$G428&gt;=MA_MED),AVERAGE(INDEX($C$28:$C428,402-MA_MED):$C428),"")</f>
        <v>1207523.12</v>
      </c>
      <c r="K428" s="37" t="n">
        <f aca="false">IF(AND(ISNUMBER($G428),$G428&gt;=MA_LONG2),AVERAGE(INDEX($C$28:$C428,402-MA_LONG2):$C428),"")</f>
        <v>1133995.09</v>
      </c>
      <c r="L428" s="38" t="n">
        <f aca="false">IF(AND(ISNUMBER($G428),$G428&gt;=21),STDEV(INDEX($H$368:$H428,62-20):$H428)*SQRT(245),"")</f>
        <v>0.240484608317256</v>
      </c>
      <c r="M428" s="37" t="n">
        <f aca="false">IF(AND(ISNUMBER($G428),$G428&gt;=60),MAX(INDEX($D$228:$D428,202-60):$D428),"")</f>
        <v>1316163</v>
      </c>
      <c r="N428" s="37" t="n">
        <f aca="false">IF(AND(ISNUMBER($G428),$G428&gt;=60),MIN(INDEX($E$228:$E428,202-60):$E428),"")</f>
        <v>1162593</v>
      </c>
      <c r="O428" s="38" t="n">
        <f aca="false">IF(OR(NOT(ISNUMBER($C428)),NOT(ISNUMBER($M428)),$M428=0),"",$C428/$M428-1)</f>
        <v>-0.00289401844604353</v>
      </c>
    </row>
    <row r="429" customFormat="false" ht="15" hidden="false" customHeight="true" outlineLevel="0" collapsed="false">
      <c r="A429" s="32" t="n">
        <v>46162</v>
      </c>
      <c r="B429" s="33" t="s">
        <v>519</v>
      </c>
      <c r="C429" s="34" t="n">
        <v>1307348</v>
      </c>
      <c r="D429" s="34" t="n">
        <v>1312500</v>
      </c>
      <c r="E429" s="34" t="n">
        <v>1299474</v>
      </c>
      <c r="F429" s="34" t="n">
        <v>0</v>
      </c>
      <c r="G429" s="35" t="n">
        <f aca="false">IF($A429="","",IF(ISNUMBER($G428),$G428+1,1))</f>
        <v>425</v>
      </c>
      <c r="H429" s="36" t="n">
        <f aca="false">IF(OR(NOT(ISNUMBER($G429)),$G429&lt;2,NOT(ISNUMBER($C428)),$C428=0),"",$C429/$C428-1)</f>
        <v>-0.00381451955798506</v>
      </c>
      <c r="I429" s="37" t="n">
        <f aca="false">IF(AND(ISNUMBER($G429),$G429&gt;=MA_SHORT),AVERAGE(INDEX($C$29:$C429,402-MA_SHORT):$C429),"")</f>
        <v>1234184.15</v>
      </c>
      <c r="J429" s="37" t="n">
        <f aca="false">IF(AND(ISNUMBER($G429),$G429&gt;=MA_MED),AVERAGE(INDEX($C$29:$C429,402-MA_MED):$C429),"")</f>
        <v>1208943.64</v>
      </c>
      <c r="K429" s="37" t="n">
        <f aca="false">IF(AND(ISNUMBER($G429),$G429&gt;=MA_LONG2),AVERAGE(INDEX($C$29:$C429,402-MA_LONG2):$C429),"")</f>
        <v>1134692.58</v>
      </c>
      <c r="L429" s="38" t="n">
        <f aca="false">IF(AND(ISNUMBER($G429),$G429&gt;=21),STDEV(INDEX($H$369:$H429,62-20):$H429)*SQRT(245),"")</f>
        <v>0.242222526967656</v>
      </c>
      <c r="M429" s="37" t="n">
        <f aca="false">IF(AND(ISNUMBER($G429),$G429&gt;=60),MAX(INDEX($D$229:$D429,202-60):$D429),"")</f>
        <v>1316163</v>
      </c>
      <c r="N429" s="37" t="n">
        <f aca="false">IF(AND(ISNUMBER($G429),$G429&gt;=60),MIN(INDEX($E$229:$E429,202-60):$E429),"")</f>
        <v>1162593</v>
      </c>
      <c r="O429" s="38" t="n">
        <f aca="false">IF(OR(NOT(ISNUMBER($C429)),NOT(ISNUMBER($M429)),$M429=0),"",$C429/$M429-1)</f>
        <v>-0.006697498714065</v>
      </c>
    </row>
    <row r="430" customFormat="false" ht="15" hidden="false" customHeight="true" outlineLevel="0" collapsed="false">
      <c r="A430" s="32" t="n">
        <v>46165</v>
      </c>
      <c r="B430" s="33" t="s">
        <v>520</v>
      </c>
      <c r="C430" s="34" t="n">
        <v>1319368</v>
      </c>
      <c r="D430" s="34" t="n">
        <v>1320829</v>
      </c>
      <c r="E430" s="34" t="n">
        <v>1318043</v>
      </c>
      <c r="F430" s="34" t="n">
        <v>0</v>
      </c>
      <c r="G430" s="35" t="n">
        <f aca="false">IF($A430="","",IF(ISNUMBER($G429),$G429+1,1))</f>
        <v>426</v>
      </c>
      <c r="H430" s="36" t="n">
        <f aca="false">IF(OR(NOT(ISNUMBER($G430)),$G430&lt;2,NOT(ISNUMBER($C429)),$C429=0),"",$C430/$C429-1)</f>
        <v>0.00919418548083595</v>
      </c>
      <c r="I430" s="37" t="n">
        <f aca="false">IF(AND(ISNUMBER($G430),$G430&gt;=MA_SHORT),AVERAGE(INDEX($C$30:$C430,402-MA_SHORT):$C430),"")</f>
        <v>1239728.05</v>
      </c>
      <c r="J430" s="37" t="n">
        <f aca="false">IF(AND(ISNUMBER($G430),$G430&gt;=MA_MED),AVERAGE(INDEX($C$30:$C430,402-MA_MED):$C430),"")</f>
        <v>1210547.78</v>
      </c>
      <c r="K430" s="37" t="n">
        <f aca="false">IF(AND(ISNUMBER($G430),$G430&gt;=MA_LONG2),AVERAGE(INDEX($C$30:$C430,402-MA_LONG2):$C430),"")</f>
        <v>1135526.95</v>
      </c>
      <c r="L430" s="38" t="n">
        <f aca="false">IF(AND(ISNUMBER($G430),$G430&gt;=21),STDEV(INDEX($H$370:$H430,62-20):$H430)*SQRT(245),"")</f>
        <v>0.242680816353847</v>
      </c>
      <c r="M430" s="37" t="n">
        <f aca="false">IF(AND(ISNUMBER($G430),$G430&gt;=60),MAX(INDEX($D$230:$D430,202-60):$D430),"")</f>
        <v>1320829</v>
      </c>
      <c r="N430" s="37" t="n">
        <f aca="false">IF(AND(ISNUMBER($G430),$G430&gt;=60),MIN(INDEX($E$230:$E430,202-60):$E430),"")</f>
        <v>1162593</v>
      </c>
      <c r="O430" s="38" t="n">
        <f aca="false">IF(OR(NOT(ISNUMBER($C430)),NOT(ISNUMBER($M430)),$M430=0),"",$C430/$M430-1)</f>
        <v>-0.00110612350273953</v>
      </c>
    </row>
    <row r="431" customFormat="false" ht="15" hidden="false" customHeight="true" outlineLevel="0" collapsed="false">
      <c r="A431" s="32" t="n">
        <v>46166</v>
      </c>
      <c r="B431" s="33" t="s">
        <v>521</v>
      </c>
      <c r="C431" s="34" t="n">
        <v>1315757</v>
      </c>
      <c r="D431" s="34" t="n">
        <v>1318047</v>
      </c>
      <c r="E431" s="34" t="n">
        <v>1313275</v>
      </c>
      <c r="F431" s="34" t="n">
        <v>0</v>
      </c>
      <c r="G431" s="35" t="n">
        <f aca="false">IF($A431="","",IF(ISNUMBER($G430),$G430+1,1))</f>
        <v>427</v>
      </c>
      <c r="H431" s="36" t="n">
        <f aca="false">IF(OR(NOT(ISNUMBER($G431)),$G431&lt;2,NOT(ISNUMBER($C430)),$C430=0),"",$C431/$C430-1)</f>
        <v>-0.00273691646303387</v>
      </c>
      <c r="I431" s="37" t="n">
        <f aca="false">IF(AND(ISNUMBER($G431),$G431&gt;=MA_SHORT),AVERAGE(INDEX($C$31:$C431,402-MA_SHORT):$C431),"")</f>
        <v>1244350.1</v>
      </c>
      <c r="J431" s="37" t="n">
        <f aca="false">IF(AND(ISNUMBER($G431),$G431&gt;=MA_MED),AVERAGE(INDEX($C$31:$C431,402-MA_MED):$C431),"")</f>
        <v>1212207.46</v>
      </c>
      <c r="K431" s="37" t="n">
        <f aca="false">IF(AND(ISNUMBER($G431),$G431&gt;=MA_LONG2),AVERAGE(INDEX($C$31:$C431,402-MA_LONG2):$C431),"")</f>
        <v>1136410.975</v>
      </c>
      <c r="L431" s="38" t="n">
        <f aca="false">IF(AND(ISNUMBER($G431),$G431&gt;=21),STDEV(INDEX($H$371:$H431,62-20):$H431)*SQRT(245),"")</f>
        <v>0.242177716657275</v>
      </c>
      <c r="M431" s="37" t="n">
        <f aca="false">IF(AND(ISNUMBER($G431),$G431&gt;=60),MAX(INDEX($D$231:$D431,202-60):$D431),"")</f>
        <v>1320829</v>
      </c>
      <c r="N431" s="37" t="n">
        <f aca="false">IF(AND(ISNUMBER($G431),$G431&gt;=60),MIN(INDEX($E$231:$E431,202-60):$E431),"")</f>
        <v>1162593</v>
      </c>
      <c r="O431" s="38" t="n">
        <f aca="false">IF(OR(NOT(ISNUMBER($C431)),NOT(ISNUMBER($M431)),$M431=0),"",$C431/$M431-1)</f>
        <v>-0.00384001259814859</v>
      </c>
    </row>
    <row r="432" customFormat="false" ht="15" hidden="false" customHeight="true" outlineLevel="0" collapsed="false">
      <c r="A432" s="32" t="n">
        <v>46167</v>
      </c>
      <c r="B432" s="33" t="s">
        <v>522</v>
      </c>
      <c r="C432" s="34" t="n">
        <v>1314013</v>
      </c>
      <c r="D432" s="34" t="n">
        <v>1316446</v>
      </c>
      <c r="E432" s="34" t="n">
        <v>1313177</v>
      </c>
      <c r="F432" s="34" t="n">
        <v>0</v>
      </c>
      <c r="G432" s="35" t="n">
        <f aca="false">IF($A432="","",IF(ISNUMBER($G431),$G431+1,1))</f>
        <v>428</v>
      </c>
      <c r="H432" s="36" t="n">
        <f aca="false">IF(OR(NOT(ISNUMBER($G432)),$G432&lt;2,NOT(ISNUMBER($C431)),$C431=0),"",$C432/$C431-1)</f>
        <v>-0.00132547271266659</v>
      </c>
      <c r="I432" s="37" t="n">
        <f aca="false">IF(AND(ISNUMBER($G432),$G432&gt;=MA_SHORT),AVERAGE(INDEX($C$32:$C432,402-MA_SHORT):$C432),"")</f>
        <v>1250119.9</v>
      </c>
      <c r="J432" s="37" t="n">
        <f aca="false">IF(AND(ISNUMBER($G432),$G432&gt;=MA_MED),AVERAGE(INDEX($C$32:$C432,402-MA_MED):$C432),"")</f>
        <v>1213797.9</v>
      </c>
      <c r="K432" s="37" t="n">
        <f aca="false">IF(AND(ISNUMBER($G432),$G432&gt;=MA_LONG2),AVERAGE(INDEX($C$32:$C432,402-MA_LONG2):$C432),"")</f>
        <v>1137304.67</v>
      </c>
      <c r="L432" s="38" t="n">
        <f aca="false">IF(AND(ISNUMBER($G432),$G432&gt;=21),STDEV(INDEX($H$372:$H432,62-20):$H432)*SQRT(245),"")</f>
        <v>0.226621770517915</v>
      </c>
      <c r="M432" s="37" t="n">
        <f aca="false">IF(AND(ISNUMBER($G432),$G432&gt;=60),MAX(INDEX($D$232:$D432,202-60):$D432),"")</f>
        <v>1320829</v>
      </c>
      <c r="N432" s="37" t="n">
        <f aca="false">IF(AND(ISNUMBER($G432),$G432&gt;=60),MIN(INDEX($E$232:$E432,202-60):$E432),"")</f>
        <v>1162593</v>
      </c>
      <c r="O432" s="38" t="n">
        <f aca="false">IF(OR(NOT(ISNUMBER($C432)),NOT(ISNUMBER($M432)),$M432=0),"",$C432/$M432-1)</f>
        <v>-0.00516039547890002</v>
      </c>
    </row>
    <row r="433" customFormat="false" ht="15" hidden="false" customHeight="true" outlineLevel="0" collapsed="false">
      <c r="A433" s="32" t="n">
        <v>46168</v>
      </c>
      <c r="B433" s="33" t="s">
        <v>523</v>
      </c>
      <c r="C433" s="34" t="n">
        <v>1326940</v>
      </c>
      <c r="D433" s="34" t="n">
        <v>1329080</v>
      </c>
      <c r="E433" s="34" t="n">
        <v>1324787</v>
      </c>
      <c r="F433" s="34" t="n">
        <v>0</v>
      </c>
      <c r="G433" s="35" t="n">
        <f aca="false">IF($A433="","",IF(ISNUMBER($G432),$G432+1,1))</f>
        <v>429</v>
      </c>
      <c r="H433" s="36" t="n">
        <f aca="false">IF(OR(NOT(ISNUMBER($G433)),$G433&lt;2,NOT(ISNUMBER($C432)),$C432=0),"",$C433/$C432-1)</f>
        <v>0.00983780221352459</v>
      </c>
      <c r="I433" s="37" t="n">
        <f aca="false">IF(AND(ISNUMBER($G433),$G433&gt;=MA_SHORT),AVERAGE(INDEX($C$33:$C433,402-MA_SHORT):$C433),"")</f>
        <v>1257645.55</v>
      </c>
      <c r="J433" s="37" t="n">
        <f aca="false">IF(AND(ISNUMBER($G433),$G433&gt;=MA_MED),AVERAGE(INDEX($C$33:$C433,402-MA_MED):$C433),"")</f>
        <v>1216937.5</v>
      </c>
      <c r="K433" s="37" t="n">
        <f aca="false">IF(AND(ISNUMBER($G433),$G433&gt;=MA_LONG2),AVERAGE(INDEX($C$33:$C433,402-MA_LONG2):$C433),"")</f>
        <v>1138208.935</v>
      </c>
      <c r="L433" s="38" t="n">
        <f aca="false">IF(AND(ISNUMBER($G433),$G433&gt;=21),STDEV(INDEX($H$373:$H433,62-20):$H433)*SQRT(245),"")</f>
        <v>0.210306595066352</v>
      </c>
      <c r="M433" s="37" t="n">
        <f aca="false">IF(AND(ISNUMBER($G433),$G433&gt;=60),MAX(INDEX($D$233:$D433,202-60):$D433),"")</f>
        <v>1329080</v>
      </c>
      <c r="N433" s="37" t="n">
        <f aca="false">IF(AND(ISNUMBER($G433),$G433&gt;=60),MIN(INDEX($E$233:$E433,202-60):$E433),"")</f>
        <v>1162593</v>
      </c>
      <c r="O433" s="38" t="n">
        <f aca="false">IF(OR(NOT(ISNUMBER($C433)),NOT(ISNUMBER($M433)),$M433=0),"",$C433/$M433-1)</f>
        <v>-0.00161013633490836</v>
      </c>
    </row>
    <row r="434" customFormat="false" ht="15" hidden="false" customHeight="true" outlineLevel="0" collapsed="false">
      <c r="A434" s="32" t="n">
        <v>46169</v>
      </c>
      <c r="B434" s="33" t="s">
        <v>524</v>
      </c>
      <c r="C434" s="34" t="n">
        <v>1334986</v>
      </c>
      <c r="D434" s="34" t="n">
        <v>1336937</v>
      </c>
      <c r="E434" s="34" t="n">
        <v>1324900</v>
      </c>
      <c r="F434" s="34" t="n">
        <v>0</v>
      </c>
      <c r="G434" s="35" t="n">
        <f aca="false">IF($A434="","",IF(ISNUMBER($G433),$G433+1,1))</f>
        <v>430</v>
      </c>
      <c r="H434" s="36" t="n">
        <f aca="false">IF(OR(NOT(ISNUMBER($G434)),$G434&lt;2,NOT(ISNUMBER($C433)),$C433=0),"",$C434/$C433-1)</f>
        <v>0.00606357484136444</v>
      </c>
      <c r="I434" s="37" t="n">
        <f aca="false">IF(AND(ISNUMBER($G434),$G434&gt;=MA_SHORT),AVERAGE(INDEX($C$34:$C434,402-MA_SHORT):$C434),"")</f>
        <v>1265273.05</v>
      </c>
      <c r="J434" s="37" t="n">
        <f aca="false">IF(AND(ISNUMBER($G434),$G434&gt;=MA_MED),AVERAGE(INDEX($C$34:$C434,402-MA_MED):$C434),"")</f>
        <v>1220233.64</v>
      </c>
      <c r="K434" s="37" t="n">
        <f aca="false">IF(AND(ISNUMBER($G434),$G434&gt;=MA_LONG2),AVERAGE(INDEX($C$34:$C434,402-MA_LONG2):$C434),"")</f>
        <v>1139120.91</v>
      </c>
      <c r="L434" s="38" t="n">
        <f aca="false">IF(AND(ISNUMBER($G434),$G434&gt;=21),STDEV(INDEX($H$374:$H434,62-20):$H434)*SQRT(245),"")</f>
        <v>0.210273828081362</v>
      </c>
      <c r="M434" s="37" t="n">
        <f aca="false">IF(AND(ISNUMBER($G434),$G434&gt;=60),MAX(INDEX($D$234:$D434,202-60):$D434),"")</f>
        <v>1336937</v>
      </c>
      <c r="N434" s="37" t="n">
        <f aca="false">IF(AND(ISNUMBER($G434),$G434&gt;=60),MIN(INDEX($E$234:$E434,202-60):$E434),"")</f>
        <v>1162593</v>
      </c>
      <c r="O434" s="38" t="n">
        <f aca="false">IF(OR(NOT(ISNUMBER($C434)),NOT(ISNUMBER($M434)),$M434=0),"",$C434/$M434-1)</f>
        <v>-0.001459305861084</v>
      </c>
    </row>
    <row r="435" customFormat="false" ht="15" hidden="false" customHeight="true" outlineLevel="0" collapsed="false">
      <c r="A435" s="32" t="n">
        <v>46172</v>
      </c>
      <c r="B435" s="33" t="s">
        <v>525</v>
      </c>
      <c r="C435" s="34" t="n">
        <v>1324055</v>
      </c>
      <c r="D435" s="34" t="n">
        <v>1325908</v>
      </c>
      <c r="E435" s="34" t="n">
        <v>1322352</v>
      </c>
      <c r="F435" s="34" t="n">
        <v>0</v>
      </c>
      <c r="G435" s="35" t="n">
        <f aca="false">IF($A435="","",IF(ISNUMBER($G434),$G434+1,1))</f>
        <v>431</v>
      </c>
      <c r="H435" s="36" t="n">
        <f aca="false">IF(OR(NOT(ISNUMBER($G435)),$G435&lt;2,NOT(ISNUMBER($C434)),$C434=0),"",$C435/$C434-1)</f>
        <v>-0.00818810084899768</v>
      </c>
      <c r="I435" s="37" t="n">
        <f aca="false">IF(AND(ISNUMBER($G435),$G435&gt;=MA_SHORT),AVERAGE(INDEX($C$35:$C435,402-MA_SHORT):$C435),"")</f>
        <v>1272046.5</v>
      </c>
      <c r="J435" s="37" t="n">
        <f aca="false">IF(AND(ISNUMBER($G435),$G435&gt;=MA_MED),AVERAGE(INDEX($C$35:$C435,402-MA_MED):$C435),"")</f>
        <v>1223013.8</v>
      </c>
      <c r="K435" s="37" t="n">
        <f aca="false">IF(AND(ISNUMBER($G435),$G435&gt;=MA_LONG2),AVERAGE(INDEX($C$35:$C435,402-MA_LONG2):$C435),"")</f>
        <v>1139979.66</v>
      </c>
      <c r="L435" s="38" t="n">
        <f aca="false">IF(AND(ISNUMBER($G435),$G435&gt;=21),STDEV(INDEX($H$375:$H435,62-20):$H435)*SQRT(245),"")</f>
        <v>0.216206542305064</v>
      </c>
      <c r="M435" s="37" t="n">
        <f aca="false">IF(AND(ISNUMBER($G435),$G435&gt;=60),MAX(INDEX($D$235:$D435,202-60):$D435),"")</f>
        <v>1336937</v>
      </c>
      <c r="N435" s="37" t="n">
        <f aca="false">IF(AND(ISNUMBER($G435),$G435&gt;=60),MIN(INDEX($E$235:$E435,202-60):$E435),"")</f>
        <v>1162593</v>
      </c>
      <c r="O435" s="38" t="n">
        <f aca="false">IF(OR(NOT(ISNUMBER($C435)),NOT(ISNUMBER($M435)),$M435=0),"",$C435/$M435-1)</f>
        <v>-0.00963545776652153</v>
      </c>
    </row>
    <row r="436" customFormat="false" ht="15" hidden="false" customHeight="true" outlineLevel="0" collapsed="false">
      <c r="A436" s="32" t="n">
        <v>46173</v>
      </c>
      <c r="B436" s="33" t="s">
        <v>526</v>
      </c>
      <c r="C436" s="34" t="n">
        <v>1319220</v>
      </c>
      <c r="D436" s="34" t="n">
        <v>1319289</v>
      </c>
      <c r="E436" s="34" t="n">
        <v>1316448</v>
      </c>
      <c r="F436" s="34" t="n">
        <v>0</v>
      </c>
      <c r="G436" s="35" t="n">
        <f aca="false">IF($A436="","",IF(ISNUMBER($G435),$G435+1,1))</f>
        <v>432</v>
      </c>
      <c r="H436" s="36" t="n">
        <f aca="false">IF(OR(NOT(ISNUMBER($G436)),$G436&lt;2,NOT(ISNUMBER($C435)),$C435=0),"",$C436/$C435-1)</f>
        <v>-0.0036516609959556</v>
      </c>
      <c r="I436" s="37" t="n">
        <f aca="false">IF(AND(ISNUMBER($G436),$G436&gt;=MA_SHORT),AVERAGE(INDEX($C$36:$C436,402-MA_SHORT):$C436),"")</f>
        <v>1278897.3</v>
      </c>
      <c r="J436" s="37" t="n">
        <f aca="false">IF(AND(ISNUMBER($G436),$G436&gt;=MA_MED),AVERAGE(INDEX($C$36:$C436,402-MA_MED):$C436),"")</f>
        <v>1225683.24</v>
      </c>
      <c r="K436" s="37" t="n">
        <f aca="false">IF(AND(ISNUMBER($G436),$G436&gt;=MA_LONG2),AVERAGE(INDEX($C$36:$C436,402-MA_LONG2):$C436),"")</f>
        <v>1140869.8</v>
      </c>
      <c r="L436" s="38" t="n">
        <f aca="false">IF(AND(ISNUMBER($G436),$G436&gt;=21),STDEV(INDEX($H$376:$H436,62-20):$H436)*SQRT(245),"")</f>
        <v>0.215174198073607</v>
      </c>
      <c r="M436" s="37" t="n">
        <f aca="false">IF(AND(ISNUMBER($G436),$G436&gt;=60),MAX(INDEX($D$236:$D436,202-60):$D436),"")</f>
        <v>1336937</v>
      </c>
      <c r="N436" s="37" t="n">
        <f aca="false">IF(AND(ISNUMBER($G436),$G436&gt;=60),MIN(INDEX($E$236:$E436,202-60):$E436),"")</f>
        <v>1162593</v>
      </c>
      <c r="O436" s="38" t="n">
        <f aca="false">IF(OR(NOT(ISNUMBER($C436)),NOT(ISNUMBER($M436)),$M436=0),"",$C436/$M436-1)</f>
        <v>-0.013251933337173</v>
      </c>
    </row>
    <row r="437" customFormat="false" ht="15" hidden="false" customHeight="true" outlineLevel="0" collapsed="false">
      <c r="A437" s="32" t="n">
        <v>46174</v>
      </c>
      <c r="B437" s="33" t="s">
        <v>527</v>
      </c>
      <c r="C437" s="34" t="n">
        <v>1347597</v>
      </c>
      <c r="D437" s="34" t="n">
        <v>1349446</v>
      </c>
      <c r="E437" s="34" t="n">
        <v>1344425</v>
      </c>
      <c r="F437" s="34" t="n">
        <v>0</v>
      </c>
      <c r="G437" s="35" t="n">
        <f aca="false">IF($A437="","",IF(ISNUMBER($G436),$G436+1,1))</f>
        <v>433</v>
      </c>
      <c r="H437" s="36" t="n">
        <f aca="false">IF(OR(NOT(ISNUMBER($G437)),$G437&lt;2,NOT(ISNUMBER($C436)),$C436=0),"",$C437/$C436-1)</f>
        <v>0.0215104379860827</v>
      </c>
      <c r="I437" s="37" t="n">
        <f aca="false">IF(AND(ISNUMBER($G437),$G437&gt;=MA_SHORT),AVERAGE(INDEX($C$37:$C437,402-MA_SHORT):$C437),"")</f>
        <v>1287089.75</v>
      </c>
      <c r="J437" s="37" t="n">
        <f aca="false">IF(AND(ISNUMBER($G437),$G437&gt;=MA_MED),AVERAGE(INDEX($C$37:$C437,402-MA_MED):$C437),"")</f>
        <v>1229055.46</v>
      </c>
      <c r="K437" s="37" t="n">
        <f aca="false">IF(AND(ISNUMBER($G437),$G437&gt;=MA_LONG2),AVERAGE(INDEX($C$37:$C437,402-MA_LONG2):$C437),"")</f>
        <v>1141860.805</v>
      </c>
      <c r="L437" s="38" t="n">
        <f aca="false">IF(AND(ISNUMBER($G437),$G437&gt;=21),STDEV(INDEX($H$377:$H437,62-20):$H437)*SQRT(245),"")</f>
        <v>0.221519586029473</v>
      </c>
      <c r="M437" s="37" t="n">
        <f aca="false">IF(AND(ISNUMBER($G437),$G437&gt;=60),MAX(INDEX($D$237:$D437,202-60):$D437),"")</f>
        <v>1349446</v>
      </c>
      <c r="N437" s="37" t="n">
        <f aca="false">IF(AND(ISNUMBER($G437),$G437&gt;=60),MIN(INDEX($E$237:$E437,202-60):$E437),"")</f>
        <v>1162593</v>
      </c>
      <c r="O437" s="38" t="n">
        <f aca="false">IF(OR(NOT(ISNUMBER($C437)),NOT(ISNUMBER($M437)),$M437=0),"",$C437/$M437-1)</f>
        <v>-0.00137019191579357</v>
      </c>
    </row>
    <row r="438" customFormat="false" ht="15" hidden="false" customHeight="true" outlineLevel="0" collapsed="false">
      <c r="A438" s="32" t="n">
        <v>46175</v>
      </c>
      <c r="B438" s="33" t="s">
        <v>528</v>
      </c>
      <c r="C438" s="34" t="n">
        <v>1357505</v>
      </c>
      <c r="D438" s="34" t="n">
        <v>1359062</v>
      </c>
      <c r="E438" s="34" t="n">
        <v>1354237</v>
      </c>
      <c r="F438" s="34" t="n">
        <v>0</v>
      </c>
      <c r="G438" s="35" t="n">
        <f aca="false">IF($A438="","",IF(ISNUMBER($G437),$G437+1,1))</f>
        <v>434</v>
      </c>
      <c r="H438" s="36" t="n">
        <f aca="false">IF(OR(NOT(ISNUMBER($G438)),$G438&lt;2,NOT(ISNUMBER($C437)),$C437=0),"",$C438/$C437-1)</f>
        <v>0.00735234643591509</v>
      </c>
      <c r="I438" s="37" t="n">
        <f aca="false">IF(AND(ISNUMBER($G438),$G438&gt;=MA_SHORT),AVERAGE(INDEX($C$38:$C438,402-MA_SHORT):$C438),"")</f>
        <v>1295850.15</v>
      </c>
      <c r="J438" s="37" t="n">
        <f aca="false">IF(AND(ISNUMBER($G438),$G438&gt;=MA_MED),AVERAGE(INDEX($C$38:$C438,402-MA_MED):$C438),"")</f>
        <v>1232741.72</v>
      </c>
      <c r="K438" s="37" t="n">
        <f aca="false">IF(AND(ISNUMBER($G438),$G438&gt;=MA_LONG2),AVERAGE(INDEX($C$38:$C438,402-MA_LONG2):$C438),"")</f>
        <v>1142896.16</v>
      </c>
      <c r="L438" s="38" t="n">
        <f aca="false">IF(AND(ISNUMBER($G438),$G438&gt;=21),STDEV(INDEX($H$378:$H438,62-20):$H438)*SQRT(245),"")</f>
        <v>0.219640844733709</v>
      </c>
      <c r="M438" s="37" t="n">
        <f aca="false">IF(AND(ISNUMBER($G438),$G438&gt;=60),MAX(INDEX($D$238:$D438,202-60):$D438),"")</f>
        <v>1359062</v>
      </c>
      <c r="N438" s="37" t="n">
        <f aca="false">IF(AND(ISNUMBER($G438),$G438&gt;=60),MIN(INDEX($E$238:$E438,202-60):$E438),"")</f>
        <v>1162593</v>
      </c>
      <c r="O438" s="38" t="n">
        <f aca="false">IF(OR(NOT(ISNUMBER($C438)),NOT(ISNUMBER($M438)),$M438=0),"",$C438/$M438-1)</f>
        <v>-0.00114564309796017</v>
      </c>
    </row>
    <row r="439" customFormat="false" ht="15" hidden="false" customHeight="true" outlineLevel="0" collapsed="false">
      <c r="A439" s="32" t="n">
        <v>46176</v>
      </c>
      <c r="B439" s="33" t="s">
        <v>529</v>
      </c>
      <c r="C439" s="34" t="n">
        <v>1365021</v>
      </c>
      <c r="D439" s="34" t="n">
        <v>1372527</v>
      </c>
      <c r="E439" s="34" t="n">
        <v>1358899</v>
      </c>
      <c r="F439" s="34" t="n">
        <v>0</v>
      </c>
      <c r="G439" s="35" t="n">
        <f aca="false">IF($A439="","",IF(ISNUMBER($G438),$G438+1,1))</f>
        <v>435</v>
      </c>
      <c r="H439" s="36" t="n">
        <f aca="false">IF(OR(NOT(ISNUMBER($G439)),$G439&lt;2,NOT(ISNUMBER($C438)),$C438=0),"",$C439/$C438-1)</f>
        <v>0.00553662785772424</v>
      </c>
      <c r="I439" s="37" t="n">
        <f aca="false">IF(AND(ISNUMBER($G439),$G439&gt;=MA_SHORT),AVERAGE(INDEX($C$39:$C439,402-MA_SHORT):$C439),"")</f>
        <v>1305124.1</v>
      </c>
      <c r="J439" s="37" t="n">
        <f aca="false">IF(AND(ISNUMBER($G439),$G439&gt;=MA_MED),AVERAGE(INDEX($C$39:$C439,402-MA_MED):$C439),"")</f>
        <v>1236761.48</v>
      </c>
      <c r="K439" s="37" t="n">
        <f aca="false">IF(AND(ISNUMBER($G439),$G439&gt;=MA_LONG2),AVERAGE(INDEX($C$39:$C439,402-MA_LONG2):$C439),"")</f>
        <v>1143917.99</v>
      </c>
      <c r="L439" s="38" t="n">
        <f aca="false">IF(AND(ISNUMBER($G439),$G439&gt;=21),STDEV(INDEX($H$379:$H439,62-20):$H439)*SQRT(245),"")</f>
        <v>0.217030794446617</v>
      </c>
      <c r="M439" s="37" t="n">
        <f aca="false">IF(AND(ISNUMBER($G439),$G439&gt;=60),MAX(INDEX($D$239:$D439,202-60):$D439),"")</f>
        <v>1372527</v>
      </c>
      <c r="N439" s="37" t="n">
        <f aca="false">IF(AND(ISNUMBER($G439),$G439&gt;=60),MIN(INDEX($E$239:$E439,202-60):$E439),"")</f>
        <v>1162593</v>
      </c>
      <c r="O439" s="38" t="n">
        <f aca="false">IF(OR(NOT(ISNUMBER($C439)),NOT(ISNUMBER($M439)),$M439=0),"",$C439/$M439-1)</f>
        <v>-0.00546874487714999</v>
      </c>
    </row>
    <row r="440" customFormat="false" ht="15" hidden="false" customHeight="true" outlineLevel="0" collapsed="false">
      <c r="A440" s="32" t="n">
        <v>46179</v>
      </c>
      <c r="B440" s="33" t="s">
        <v>530</v>
      </c>
      <c r="C440" s="34" t="n">
        <v>1348148</v>
      </c>
      <c r="D440" s="34" t="n">
        <v>1349300</v>
      </c>
      <c r="E440" s="34" t="n">
        <v>1344907</v>
      </c>
      <c r="F440" s="34" t="n">
        <v>0</v>
      </c>
      <c r="G440" s="35" t="n">
        <f aca="false">IF($A440="","",IF(ISNUMBER($G439),$G439+1,1))</f>
        <v>436</v>
      </c>
      <c r="H440" s="36" t="n">
        <f aca="false">IF(OR(NOT(ISNUMBER($G440)),$G440&lt;2,NOT(ISNUMBER($C439)),$C439=0),"",$C440/$C439-1)</f>
        <v>-0.0123609819922185</v>
      </c>
      <c r="I440" s="37" t="n">
        <f aca="false">IF(AND(ISNUMBER($G440),$G440&gt;=MA_SHORT),AVERAGE(INDEX($C$40:$C440,402-MA_SHORT):$C440),"")</f>
        <v>1312855.4</v>
      </c>
      <c r="J440" s="37" t="n">
        <f aca="false">IF(AND(ISNUMBER($G440),$G440&gt;=MA_MED),AVERAGE(INDEX($C$40:$C440,402-MA_MED):$C440),"")</f>
        <v>1240243.16</v>
      </c>
      <c r="K440" s="37" t="n">
        <f aca="false">IF(AND(ISNUMBER($G440),$G440&gt;=MA_LONG2),AVERAGE(INDEX($C$40:$C440,402-MA_LONG2):$C440),"")</f>
        <v>1145105.27</v>
      </c>
      <c r="L440" s="38" t="n">
        <f aca="false">IF(AND(ISNUMBER($G440),$G440&gt;=21),STDEV(INDEX($H$380:$H440,62-20):$H440)*SQRT(245),"")</f>
        <v>0.22696946565031</v>
      </c>
      <c r="M440" s="37" t="n">
        <f aca="false">IF(AND(ISNUMBER($G440),$G440&gt;=60),MAX(INDEX($D$240:$D440,202-60):$D440),"")</f>
        <v>1372527</v>
      </c>
      <c r="N440" s="37" t="n">
        <f aca="false">IF(AND(ISNUMBER($G440),$G440&gt;=60),MIN(INDEX($E$240:$E440,202-60):$E440),"")</f>
        <v>1162593</v>
      </c>
      <c r="O440" s="38" t="n">
        <f aca="false">IF(OR(NOT(ISNUMBER($C440)),NOT(ISNUMBER($M440)),$M440=0),"",$C440/$M440-1)</f>
        <v>-0.0177621278124219</v>
      </c>
    </row>
    <row r="441" customFormat="false" ht="15" hidden="false" customHeight="true" outlineLevel="0" collapsed="false">
      <c r="A441" s="32" t="n">
        <v>46180</v>
      </c>
      <c r="B441" s="33" t="s">
        <v>531</v>
      </c>
      <c r="C441" s="34" t="n">
        <v>1363245</v>
      </c>
      <c r="D441" s="34" t="n">
        <v>1363968</v>
      </c>
      <c r="E441" s="34" t="n">
        <v>1359672</v>
      </c>
      <c r="F441" s="34" t="n">
        <v>0</v>
      </c>
      <c r="G441" s="35" t="n">
        <f aca="false">IF($A441="","",IF(ISNUMBER($G440),$G440+1,1))</f>
        <v>437</v>
      </c>
      <c r="H441" s="36" t="n">
        <f aca="false">IF(OR(NOT(ISNUMBER($G441)),$G441&lt;2,NOT(ISNUMBER($C440)),$C440=0),"",$C441/$C440-1)</f>
        <v>0.0111983254064094</v>
      </c>
      <c r="I441" s="37" t="n">
        <f aca="false">IF(AND(ISNUMBER($G441),$G441&gt;=MA_SHORT),AVERAGE(INDEX($C$41:$C441,402-MA_SHORT):$C441),"")</f>
        <v>1317883.35</v>
      </c>
      <c r="J441" s="37" t="n">
        <f aca="false">IF(AND(ISNUMBER($G441),$G441&gt;=MA_MED),AVERAGE(INDEX($C$41:$C441,402-MA_MED):$C441),"")</f>
        <v>1243998.42</v>
      </c>
      <c r="K441" s="37" t="n">
        <f aca="false">IF(AND(ISNUMBER($G441),$G441&gt;=MA_LONG2),AVERAGE(INDEX($C$41:$C441,402-MA_LONG2):$C441),"")</f>
        <v>1146249.485</v>
      </c>
      <c r="L441" s="38" t="n">
        <f aca="false">IF(AND(ISNUMBER($G441),$G441&gt;=21),STDEV(INDEX($H$381:$H441,62-20):$H441)*SQRT(245),"")</f>
        <v>0.126112099211102</v>
      </c>
      <c r="M441" s="37" t="n">
        <f aca="false">IF(AND(ISNUMBER($G441),$G441&gt;=60),MAX(INDEX($D$241:$D441,202-60):$D441),"")</f>
        <v>1372527</v>
      </c>
      <c r="N441" s="37" t="n">
        <f aca="false">IF(AND(ISNUMBER($G441),$G441&gt;=60),MIN(INDEX($E$241:$E441,202-60):$E441),"")</f>
        <v>1162593</v>
      </c>
      <c r="O441" s="38" t="n">
        <f aca="false">IF(OR(NOT(ISNUMBER($C441)),NOT(ISNUMBER($M441)),$M441=0),"",$C441/$M441-1)</f>
        <v>-0.00676270849316629</v>
      </c>
    </row>
    <row r="442" customFormat="false" ht="15" hidden="false" customHeight="true" outlineLevel="0" collapsed="false">
      <c r="A442" s="32" t="n">
        <v>46181</v>
      </c>
      <c r="B442" s="33" t="s">
        <v>532</v>
      </c>
      <c r="C442" s="34" t="n">
        <v>1380515</v>
      </c>
      <c r="D442" s="34" t="n">
        <v>1382818</v>
      </c>
      <c r="E442" s="34" t="n">
        <v>1380448</v>
      </c>
      <c r="F442" s="34" t="n">
        <v>0</v>
      </c>
      <c r="G442" s="35" t="n">
        <f aca="false">IF($A442="","",IF(ISNUMBER($G441),$G441+1,1))</f>
        <v>438</v>
      </c>
      <c r="H442" s="36" t="n">
        <f aca="false">IF(OR(NOT(ISNUMBER($G442)),$G442&lt;2,NOT(ISNUMBER($C441)),$C441=0),"",$C442/$C441-1)</f>
        <v>0.0126683024694754</v>
      </c>
      <c r="I442" s="37" t="n">
        <f aca="false">IF(AND(ISNUMBER($G442),$G442&gt;=MA_SHORT),AVERAGE(INDEX($C$42:$C442,402-MA_SHORT):$C442),"")</f>
        <v>1323863.05</v>
      </c>
      <c r="J442" s="37" t="n">
        <f aca="false">IF(AND(ISNUMBER($G442),$G442&gt;=MA_MED),AVERAGE(INDEX($C$42:$C442,402-MA_MED):$C442),"")</f>
        <v>1247983.36</v>
      </c>
      <c r="K442" s="37" t="n">
        <f aca="false">IF(AND(ISNUMBER($G442),$G442&gt;=MA_LONG2),AVERAGE(INDEX($C$42:$C442,402-MA_LONG2):$C442),"")</f>
        <v>1147647.855</v>
      </c>
      <c r="L442" s="38" t="n">
        <f aca="false">IF(AND(ISNUMBER($G442),$G442&gt;=21),STDEV(INDEX($H$382:$H442,62-20):$H442)*SQRT(245),"")</f>
        <v>0.12812989145327</v>
      </c>
      <c r="M442" s="37" t="n">
        <f aca="false">IF(AND(ISNUMBER($G442),$G442&gt;=60),MAX(INDEX($D$242:$D442,202-60):$D442),"")</f>
        <v>1382818</v>
      </c>
      <c r="N442" s="37" t="n">
        <f aca="false">IF(AND(ISNUMBER($G442),$G442&gt;=60),MIN(INDEX($E$242:$E442,202-60):$E442),"")</f>
        <v>1162593</v>
      </c>
      <c r="O442" s="38" t="n">
        <f aca="false">IF(OR(NOT(ISNUMBER($C442)),NOT(ISNUMBER($M442)),$M442=0),"",$C442/$M442-1)</f>
        <v>-0.00166543970356181</v>
      </c>
    </row>
    <row r="443" customFormat="false" ht="15" hidden="false" customHeight="true" outlineLevel="0" collapsed="false">
      <c r="A443" s="32" t="n">
        <v>46182</v>
      </c>
      <c r="B443" s="33" t="s">
        <v>533</v>
      </c>
      <c r="C443" s="34" t="n">
        <v>1364610</v>
      </c>
      <c r="D443" s="34" t="n">
        <v>1365334</v>
      </c>
      <c r="E443" s="34" t="n">
        <v>1362580</v>
      </c>
      <c r="F443" s="34" t="n">
        <v>0</v>
      </c>
      <c r="G443" s="35" t="n">
        <f aca="false">IF($A443="","",IF(ISNUMBER($G442),$G442+1,1))</f>
        <v>439</v>
      </c>
      <c r="H443" s="36" t="n">
        <f aca="false">IF(OR(NOT(ISNUMBER($G443)),$G443&lt;2,NOT(ISNUMBER($C442)),$C442=0),"",$C443/$C442-1)</f>
        <v>-0.0115210627917842</v>
      </c>
      <c r="I443" s="37" t="n">
        <f aca="false">IF(AND(ISNUMBER($G443),$G443&gt;=MA_SHORT),AVERAGE(INDEX($C$43:$C443,402-MA_SHORT):$C443),"")</f>
        <v>1328197.9</v>
      </c>
      <c r="J443" s="37" t="n">
        <f aca="false">IF(AND(ISNUMBER($G443),$G443&gt;=MA_MED),AVERAGE(INDEX($C$43:$C443,402-MA_MED):$C443),"")</f>
        <v>1251576.64</v>
      </c>
      <c r="K443" s="37" t="n">
        <f aca="false">IF(AND(ISNUMBER($G443),$G443&gt;=MA_LONG2),AVERAGE(INDEX($C$43:$C443,402-MA_LONG2):$C443),"")</f>
        <v>1148934.925</v>
      </c>
      <c r="L443" s="38" t="n">
        <f aca="false">IF(AND(ISNUMBER($G443),$G443&gt;=21),STDEV(INDEX($H$383:$H443,62-20):$H443)*SQRT(245),"")</f>
        <v>0.135396273162541</v>
      </c>
      <c r="M443" s="37" t="n">
        <f aca="false">IF(AND(ISNUMBER($G443),$G443&gt;=60),MAX(INDEX($D$243:$D443,202-60):$D443),"")</f>
        <v>1382818</v>
      </c>
      <c r="N443" s="37" t="n">
        <f aca="false">IF(AND(ISNUMBER($G443),$G443&gt;=60),MIN(INDEX($E$243:$E443,202-60):$E443),"")</f>
        <v>1162593</v>
      </c>
      <c r="O443" s="38" t="n">
        <f aca="false">IF(OR(NOT(ISNUMBER($C443)),NOT(ISNUMBER($M443)),$M443=0),"",$C443/$M443-1)</f>
        <v>-0.0131673148599454</v>
      </c>
    </row>
    <row r="444" customFormat="false" ht="15" hidden="false" customHeight="true" outlineLevel="0" collapsed="false">
      <c r="A444" s="32" t="n">
        <v>46183</v>
      </c>
      <c r="B444" s="33" t="s">
        <v>534</v>
      </c>
      <c r="C444" s="34" t="n">
        <v>1347589</v>
      </c>
      <c r="D444" s="34" t="n">
        <v>1352257</v>
      </c>
      <c r="E444" s="34" t="n">
        <v>1344929</v>
      </c>
      <c r="F444" s="34" t="n">
        <v>0</v>
      </c>
      <c r="G444" s="35" t="n">
        <f aca="false">IF($A444="","",IF(ISNUMBER($G443),$G443+1,1))</f>
        <v>440</v>
      </c>
      <c r="H444" s="36" t="n">
        <f aca="false">IF(OR(NOT(ISNUMBER($G444)),$G444&lt;2,NOT(ISNUMBER($C443)),$C443=0),"",$C444/$C443-1)</f>
        <v>-0.0124731608298342</v>
      </c>
      <c r="I444" s="37" t="n">
        <f aca="false">IF(AND(ISNUMBER($G444),$G444&gt;=MA_SHORT),AVERAGE(INDEX($C$44:$C444,402-MA_SHORT):$C444),"")</f>
        <v>1331436.15</v>
      </c>
      <c r="J444" s="37" t="n">
        <f aca="false">IF(AND(ISNUMBER($G444),$G444&gt;=MA_MED),AVERAGE(INDEX($C$44:$C444,402-MA_MED):$C444),"")</f>
        <v>1255126.78</v>
      </c>
      <c r="K444" s="37" t="n">
        <f aca="false">IF(AND(ISNUMBER($G444),$G444&gt;=MA_LONG2),AVERAGE(INDEX($C$44:$C444,402-MA_LONG2):$C444),"")</f>
        <v>1150192.235</v>
      </c>
      <c r="L444" s="38" t="n">
        <f aca="false">IF(AND(ISNUMBER($G444),$G444&gt;=21),STDEV(INDEX($H$384:$H444,62-20):$H444)*SQRT(245),"")</f>
        <v>0.146200017021538</v>
      </c>
      <c r="M444" s="37" t="n">
        <f aca="false">IF(AND(ISNUMBER($G444),$G444&gt;=60),MAX(INDEX($D$244:$D444,202-60):$D444),"")</f>
        <v>1382818</v>
      </c>
      <c r="N444" s="37" t="n">
        <f aca="false">IF(AND(ISNUMBER($G444),$G444&gt;=60),MIN(INDEX($E$244:$E444,202-60):$E444),"")</f>
        <v>1162593</v>
      </c>
      <c r="O444" s="38" t="n">
        <f aca="false">IF(OR(NOT(ISNUMBER($C444)),NOT(ISNUMBER($M444)),$M444=0),"",$C444/$M444-1)</f>
        <v>-0.0254762376538344</v>
      </c>
    </row>
    <row r="445" customFormat="false" ht="15" hidden="false" customHeight="true" outlineLevel="0" collapsed="false">
      <c r="A445" s="32" t="n">
        <v>46186</v>
      </c>
      <c r="B445" s="33" t="s">
        <v>535</v>
      </c>
      <c r="C445" s="34" t="n">
        <v>1351470</v>
      </c>
      <c r="D445" s="34" t="n">
        <v>1351923</v>
      </c>
      <c r="E445" s="34" t="n">
        <v>1349079</v>
      </c>
      <c r="F445" s="34" t="n">
        <v>0</v>
      </c>
      <c r="G445" s="35" t="n">
        <f aca="false">IF($A445="","",IF(ISNUMBER($G444),$G444+1,1))</f>
        <v>441</v>
      </c>
      <c r="H445" s="36" t="n">
        <f aca="false">IF(OR(NOT(ISNUMBER($G445)),$G445&lt;2,NOT(ISNUMBER($C444)),$C444=0),"",$C445/$C444-1)</f>
        <v>0.00287995820684195</v>
      </c>
      <c r="I445" s="37" t="n">
        <f aca="false">IF(AND(ISNUMBER($G445),$G445&gt;=MA_SHORT),AVERAGE(INDEX($C$45:$C445,402-MA_SHORT):$C445),"")</f>
        <v>1334897.35</v>
      </c>
      <c r="J445" s="37" t="n">
        <f aca="false">IF(AND(ISNUMBER($G445),$G445&gt;=MA_MED),AVERAGE(INDEX($C$45:$C445,402-MA_MED):$C445),"")</f>
        <v>1258406.7</v>
      </c>
      <c r="K445" s="37" t="n">
        <f aca="false">IF(AND(ISNUMBER($G445),$G445&gt;=MA_LONG2),AVERAGE(INDEX($C$45:$C445,402-MA_LONG2):$C445),"")</f>
        <v>1151445.415</v>
      </c>
      <c r="L445" s="38" t="n">
        <f aca="false">IF(AND(ISNUMBER($G445),$G445&gt;=21),STDEV(INDEX($H$385:$H445,62-20):$H445)*SQRT(245),"")</f>
        <v>0.145795367328597</v>
      </c>
      <c r="M445" s="37" t="n">
        <f aca="false">IF(AND(ISNUMBER($G445),$G445&gt;=60),MAX(INDEX($D$245:$D445,202-60):$D445),"")</f>
        <v>1382818</v>
      </c>
      <c r="N445" s="37" t="n">
        <f aca="false">IF(AND(ISNUMBER($G445),$G445&gt;=60),MIN(INDEX($E$245:$E445,202-60):$E445),"")</f>
        <v>1162593</v>
      </c>
      <c r="O445" s="38" t="n">
        <f aca="false">IF(OR(NOT(ISNUMBER($C445)),NOT(ISNUMBER($M445)),$M445=0),"",$C445/$M445-1)</f>
        <v>-0.0226696499467031</v>
      </c>
    </row>
    <row r="446" customFormat="false" ht="15" hidden="false" customHeight="true" outlineLevel="0" collapsed="false">
      <c r="A446" s="32" t="n">
        <v>46187</v>
      </c>
      <c r="B446" s="33" t="s">
        <v>536</v>
      </c>
      <c r="C446" s="34" t="n">
        <v>1375209</v>
      </c>
      <c r="D446" s="34" t="n">
        <v>1377124</v>
      </c>
      <c r="E446" s="34" t="n">
        <v>1372234</v>
      </c>
      <c r="F446" s="34" t="n">
        <v>0</v>
      </c>
      <c r="G446" s="35" t="n">
        <f aca="false">IF($A446="","",IF(ISNUMBER($G445),$G445+1,1))</f>
        <v>442</v>
      </c>
      <c r="H446" s="36" t="n">
        <f aca="false">IF(OR(NOT(ISNUMBER($G446)),$G446&lt;2,NOT(ISNUMBER($C445)),$C445=0),"",$C446/$C445-1)</f>
        <v>0.0175653177651003</v>
      </c>
      <c r="I446" s="37" t="n">
        <f aca="false">IF(AND(ISNUMBER($G446),$G446&gt;=MA_SHORT),AVERAGE(INDEX($C$46:$C446,402-MA_SHORT):$C446),"")</f>
        <v>1338982.8</v>
      </c>
      <c r="J446" s="37" t="n">
        <f aca="false">IF(AND(ISNUMBER($G446),$G446&gt;=MA_MED),AVERAGE(INDEX($C$46:$C446,402-MA_MED):$C446),"")</f>
        <v>1262265.24</v>
      </c>
      <c r="K446" s="37" t="n">
        <f aca="false">IF(AND(ISNUMBER($G446),$G446&gt;=MA_LONG2),AVERAGE(INDEX($C$46:$C446,402-MA_LONG2):$C446),"")</f>
        <v>1152814.525</v>
      </c>
      <c r="L446" s="38" t="n">
        <f aca="false">IF(AND(ISNUMBER($G446),$G446&gt;=21),STDEV(INDEX($H$386:$H446,62-20):$H446)*SQRT(245),"")</f>
        <v>0.153576557442033</v>
      </c>
      <c r="M446" s="37" t="n">
        <f aca="false">IF(AND(ISNUMBER($G446),$G446&gt;=60),MAX(INDEX($D$246:$D446,202-60):$D446),"")</f>
        <v>1382818</v>
      </c>
      <c r="N446" s="37" t="n">
        <f aca="false">IF(AND(ISNUMBER($G446),$G446&gt;=60),MIN(INDEX($E$246:$E446,202-60):$E446),"")</f>
        <v>1162593</v>
      </c>
      <c r="O446" s="38" t="n">
        <f aca="false">IF(OR(NOT(ISNUMBER($C446)),NOT(ISNUMBER($M446)),$M446=0),"",$C446/$M446-1)</f>
        <v>-0.00550253178654025</v>
      </c>
    </row>
    <row r="447" customFormat="false" ht="15" hidden="false" customHeight="true" outlineLevel="0" collapsed="false">
      <c r="A447" s="32" t="n">
        <v>46188</v>
      </c>
      <c r="B447" s="33" t="s">
        <v>537</v>
      </c>
      <c r="C447" s="34" t="n">
        <v>1387672</v>
      </c>
      <c r="D447" s="34" t="n">
        <v>1395701</v>
      </c>
      <c r="E447" s="34" t="n">
        <v>1382571</v>
      </c>
      <c r="F447" s="34" t="n">
        <v>0</v>
      </c>
      <c r="G447" s="35" t="n">
        <f aca="false">IF($A447="","",IF(ISNUMBER($G446),$G446+1,1))</f>
        <v>443</v>
      </c>
      <c r="H447" s="36" t="n">
        <f aca="false">IF(OR(NOT(ISNUMBER($G447)),$G447&lt;2,NOT(ISNUMBER($C446)),$C446=0),"",$C447/$C446-1)</f>
        <v>0.00906262248138279</v>
      </c>
      <c r="I447" s="37" t="n">
        <f aca="false">IF(AND(ISNUMBER($G447),$G447&gt;=MA_SHORT),AVERAGE(INDEX($C$47:$C447,402-MA_SHORT):$C447),"")</f>
        <v>1343131.1</v>
      </c>
      <c r="J447" s="37" t="n">
        <f aca="false">IF(AND(ISNUMBER($G447),$G447&gt;=MA_MED),AVERAGE(INDEX($C$47:$C447,402-MA_MED):$C447),"")</f>
        <v>1266619.34</v>
      </c>
      <c r="K447" s="37" t="n">
        <f aca="false">IF(AND(ISNUMBER($G447),$G447&gt;=MA_LONG2),AVERAGE(INDEX($C$47:$C447,402-MA_LONG2):$C447),"")</f>
        <v>1154208.665</v>
      </c>
      <c r="L447" s="38" t="n">
        <f aca="false">IF(AND(ISNUMBER($G447),$G447&gt;=21),STDEV(INDEX($H$387:$H447,62-20):$H447)*SQRT(245),"")</f>
        <v>0.153768880638021</v>
      </c>
      <c r="M447" s="37" t="n">
        <f aca="false">IF(AND(ISNUMBER($G447),$G447&gt;=60),MAX(INDEX($D$247:$D447,202-60):$D447),"")</f>
        <v>1395701</v>
      </c>
      <c r="N447" s="37" t="n">
        <f aca="false">IF(AND(ISNUMBER($G447),$G447&gt;=60),MIN(INDEX($E$247:$E447,202-60):$E447),"")</f>
        <v>1162593</v>
      </c>
      <c r="O447" s="38" t="n">
        <f aca="false">IF(OR(NOT(ISNUMBER($C447)),NOT(ISNUMBER($M447)),$M447=0),"",$C447/$M447-1)</f>
        <v>-0.0057526647899514</v>
      </c>
    </row>
    <row r="448" customFormat="false" ht="15" hidden="false" customHeight="true" outlineLevel="0" collapsed="false">
      <c r="A448" s="32" t="n">
        <v>46189</v>
      </c>
      <c r="B448" s="33" t="s">
        <v>538</v>
      </c>
      <c r="C448" s="34" t="n">
        <v>1369962</v>
      </c>
      <c r="D448" s="34" t="n">
        <v>1376918</v>
      </c>
      <c r="E448" s="34" t="n">
        <v>1367559</v>
      </c>
      <c r="F448" s="34" t="n">
        <v>0</v>
      </c>
      <c r="G448" s="35" t="n">
        <f aca="false">IF($A448="","",IF(ISNUMBER($G447),$G447+1,1))</f>
        <v>444</v>
      </c>
      <c r="H448" s="36" t="n">
        <f aca="false">IF(OR(NOT(ISNUMBER($G448)),$G448&lt;2,NOT(ISNUMBER($C447)),$C447=0),"",$C448/$C447-1)</f>
        <v>-0.0127623818885154</v>
      </c>
      <c r="I448" s="37" t="n">
        <f aca="false">IF(AND(ISNUMBER($G448),$G448&gt;=MA_SHORT),AVERAGE(INDEX($C$48:$C448,402-MA_SHORT):$C448),"")</f>
        <v>1346011.5</v>
      </c>
      <c r="J448" s="37" t="n">
        <f aca="false">IF(AND(ISNUMBER($G448),$G448&gt;=MA_MED),AVERAGE(INDEX($C$48:$C448,402-MA_MED):$C448),"")</f>
        <v>1270502.04</v>
      </c>
      <c r="K448" s="37" t="n">
        <f aca="false">IF(AND(ISNUMBER($G448),$G448&gt;=MA_LONG2),AVERAGE(INDEX($C$48:$C448,402-MA_LONG2):$C448),"")</f>
        <v>1155597.15</v>
      </c>
      <c r="L448" s="38" t="n">
        <f aca="false">IF(AND(ISNUMBER($G448),$G448&gt;=21),STDEV(INDEX($H$388:$H448,62-20):$H448)*SQRT(245),"")</f>
        <v>0.163043624909441</v>
      </c>
      <c r="M448" s="37" t="n">
        <f aca="false">IF(AND(ISNUMBER($G448),$G448&gt;=60),MAX(INDEX($D$248:$D448,202-60):$D448),"")</f>
        <v>1395701</v>
      </c>
      <c r="N448" s="37" t="n">
        <f aca="false">IF(AND(ISNUMBER($G448),$G448&gt;=60),MIN(INDEX($E$248:$E448,202-60):$E448),"")</f>
        <v>1162593</v>
      </c>
      <c r="O448" s="38" t="n">
        <f aca="false">IF(OR(NOT(ISNUMBER($C448)),NOT(ISNUMBER($M448)),$M448=0),"",$C448/$M448-1)</f>
        <v>-0.0184416289735408</v>
      </c>
    </row>
    <row r="449" customFormat="false" ht="15" hidden="false" customHeight="true" outlineLevel="0" collapsed="false">
      <c r="A449" s="32" t="n">
        <v>46190</v>
      </c>
      <c r="B449" s="33" t="s">
        <v>539</v>
      </c>
      <c r="C449" s="34" t="n">
        <v>1378833</v>
      </c>
      <c r="D449" s="34" t="n">
        <v>1384035</v>
      </c>
      <c r="E449" s="34" t="n">
        <v>1376738</v>
      </c>
      <c r="F449" s="34" t="n">
        <v>0</v>
      </c>
      <c r="G449" s="35" t="n">
        <f aca="false">IF($A449="","",IF(ISNUMBER($G448),$G448+1,1))</f>
        <v>445</v>
      </c>
      <c r="H449" s="36" t="n">
        <f aca="false">IF(OR(NOT(ISNUMBER($G449)),$G449&lt;2,NOT(ISNUMBER($C448)),$C448=0),"",$C449/$C448-1)</f>
        <v>0.00647536209033528</v>
      </c>
      <c r="I449" s="37" t="n">
        <f aca="false">IF(AND(ISNUMBER($G449),$G449&gt;=MA_SHORT),AVERAGE(INDEX($C$49:$C449,402-MA_SHORT):$C449),"")</f>
        <v>1349585.75</v>
      </c>
      <c r="J449" s="37" t="n">
        <f aca="false">IF(AND(ISNUMBER($G449),$G449&gt;=MA_MED),AVERAGE(INDEX($C$49:$C449,402-MA_MED):$C449),"")</f>
        <v>1274310.18</v>
      </c>
      <c r="K449" s="37" t="n">
        <f aca="false">IF(AND(ISNUMBER($G449),$G449&gt;=MA_LONG2),AVERAGE(INDEX($C$49:$C449,402-MA_LONG2):$C449),"")</f>
        <v>1157075.945</v>
      </c>
      <c r="L449" s="38" t="n">
        <f aca="false">IF(AND(ISNUMBER($G449),$G449&gt;=21),STDEV(INDEX($H$389:$H449,62-20):$H449)*SQRT(245),"")</f>
        <v>0.162122575639086</v>
      </c>
      <c r="M449" s="37" t="n">
        <f aca="false">IF(AND(ISNUMBER($G449),$G449&gt;=60),MAX(INDEX($D$249:$D449,202-60):$D449),"")</f>
        <v>1395701</v>
      </c>
      <c r="N449" s="37" t="n">
        <f aca="false">IF(AND(ISNUMBER($G449),$G449&gt;=60),MIN(INDEX($E$249:$E449,202-60):$E449),"")</f>
        <v>1165807</v>
      </c>
      <c r="O449" s="38" t="n">
        <f aca="false">IF(OR(NOT(ISNUMBER($C449)),NOT(ISNUMBER($M449)),$M449=0),"",$C449/$M449-1)</f>
        <v>-0.0120856831083448</v>
      </c>
    </row>
    <row r="450" customFormat="false" ht="15" hidden="false" customHeight="true" outlineLevel="0" collapsed="false">
      <c r="A450" s="32" t="n">
        <v>46193</v>
      </c>
      <c r="B450" s="33" t="s">
        <v>540</v>
      </c>
      <c r="C450" s="34" t="n">
        <v>1364897</v>
      </c>
      <c r="D450" s="34" t="n">
        <v>1370497</v>
      </c>
      <c r="E450" s="34" t="n">
        <v>1354816</v>
      </c>
      <c r="F450" s="34" t="n">
        <v>0</v>
      </c>
      <c r="G450" s="35" t="n">
        <f aca="false">IF($A450="","",IF(ISNUMBER($G449),$G449+1,1))</f>
        <v>446</v>
      </c>
      <c r="H450" s="36" t="n">
        <f aca="false">IF(OR(NOT(ISNUMBER($G450)),$G450&lt;2,NOT(ISNUMBER($C449)),$C449=0),"",$C450/$C449-1)</f>
        <v>-0.010107097813876</v>
      </c>
      <c r="I450" s="37" t="n">
        <f aca="false">IF(AND(ISNUMBER($G450),$G450&gt;=MA_SHORT),AVERAGE(INDEX($C$50:$C450,402-MA_SHORT):$C450),"")</f>
        <v>1351862.2</v>
      </c>
      <c r="J450" s="37" t="n">
        <f aca="false">IF(AND(ISNUMBER($G450),$G450&gt;=MA_MED),AVERAGE(INDEX($C$50:$C450,402-MA_MED):$C450),"")</f>
        <v>1277569.2</v>
      </c>
      <c r="K450" s="37" t="n">
        <f aca="false">IF(AND(ISNUMBER($G450),$G450&gt;=MA_LONG2),AVERAGE(INDEX($C$50:$C450,402-MA_LONG2):$C450),"")</f>
        <v>1158525.145</v>
      </c>
      <c r="L450" s="38" t="n">
        <f aca="false">IF(AND(ISNUMBER($G450),$G450&gt;=21),STDEV(INDEX($H$390:$H450,62-20):$H450)*SQRT(245),"")</f>
        <v>0.166201144465819</v>
      </c>
      <c r="M450" s="37" t="n">
        <f aca="false">IF(AND(ISNUMBER($G450),$G450&gt;=60),MAX(INDEX($D$250:$D450,202-60):$D450),"")</f>
        <v>1395701</v>
      </c>
      <c r="N450" s="37" t="n">
        <f aca="false">IF(AND(ISNUMBER($G450),$G450&gt;=60),MIN(INDEX($E$250:$E450,202-60):$E450),"")</f>
        <v>1165807</v>
      </c>
      <c r="O450" s="38" t="n">
        <f aca="false">IF(OR(NOT(ISNUMBER($C450)),NOT(ISNUMBER($M450)),$M450=0),"",$C450/$M450-1)</f>
        <v>-0.0220706297408972</v>
      </c>
    </row>
    <row r="451" customFormat="false" ht="15" hidden="false" customHeight="true" outlineLevel="0" collapsed="false">
      <c r="A451" s="32" t="n">
        <v>46194</v>
      </c>
      <c r="B451" s="33" t="s">
        <v>541</v>
      </c>
      <c r="C451" s="34" t="n">
        <v>1356270</v>
      </c>
      <c r="D451" s="34" t="n">
        <v>1358242</v>
      </c>
      <c r="E451" s="34" t="n">
        <v>1355566</v>
      </c>
      <c r="F451" s="34" t="n">
        <v>0</v>
      </c>
      <c r="G451" s="35" t="n">
        <f aca="false">IF($A451="","",IF(ISNUMBER($G450),$G450+1,1))</f>
        <v>447</v>
      </c>
      <c r="H451" s="36" t="n">
        <f aca="false">IF(OR(NOT(ISNUMBER($G451)),$G451&lt;2,NOT(ISNUMBER($C450)),$C450=0),"",$C451/$C450-1)</f>
        <v>-0.0063206234609644</v>
      </c>
      <c r="I451" s="37" t="n">
        <f aca="false">IF(AND(ISNUMBER($G451),$G451&gt;=MA_SHORT),AVERAGE(INDEX($C$51:$C451,402-MA_SHORT):$C451),"")</f>
        <v>1353887.85</v>
      </c>
      <c r="J451" s="37" t="n">
        <f aca="false">IF(AND(ISNUMBER($G451),$G451&gt;=MA_MED),AVERAGE(INDEX($C$51:$C451,402-MA_MED):$C451),"")</f>
        <v>1280546.36</v>
      </c>
      <c r="K451" s="37" t="n">
        <f aca="false">IF(AND(ISNUMBER($G451),$G451&gt;=MA_LONG2),AVERAGE(INDEX($C$51:$C451,402-MA_LONG2):$C451),"")</f>
        <v>1159933.605</v>
      </c>
      <c r="L451" s="38" t="n">
        <f aca="false">IF(AND(ISNUMBER($G451),$G451&gt;=21),STDEV(INDEX($H$391:$H451,62-20):$H451)*SQRT(245),"")</f>
        <v>0.167913508172198</v>
      </c>
      <c r="M451" s="37" t="n">
        <f aca="false">IF(AND(ISNUMBER($G451),$G451&gt;=60),MAX(INDEX($D$251:$D451,202-60):$D451),"")</f>
        <v>1395701</v>
      </c>
      <c r="N451" s="37" t="n">
        <f aca="false">IF(AND(ISNUMBER($G451),$G451&gt;=60),MIN(INDEX($E$251:$E451,202-60):$E451),"")</f>
        <v>1165807</v>
      </c>
      <c r="O451" s="38" t="n">
        <f aca="false">IF(OR(NOT(ISNUMBER($C451)),NOT(ISNUMBER($M451)),$M451=0),"",$C451/$M451-1)</f>
        <v>-0.0282517530617231</v>
      </c>
    </row>
    <row r="452" customFormat="false" ht="15" hidden="false" customHeight="true" outlineLevel="0" collapsed="false">
      <c r="A452" s="32" t="n">
        <v>46195</v>
      </c>
      <c r="B452" s="33" t="s">
        <v>542</v>
      </c>
      <c r="C452" s="34" t="n">
        <v>1359695</v>
      </c>
      <c r="D452" s="34" t="n">
        <v>1364230</v>
      </c>
      <c r="E452" s="34" t="n">
        <v>1355573</v>
      </c>
      <c r="F452" s="34" t="n">
        <v>0</v>
      </c>
      <c r="G452" s="35" t="n">
        <f aca="false">IF($A452="","",IF(ISNUMBER($G451),$G451+1,1))</f>
        <v>448</v>
      </c>
      <c r="H452" s="36" t="n">
        <f aca="false">IF(OR(NOT(ISNUMBER($G452)),$G452&lt;2,NOT(ISNUMBER($C451)),$C451=0),"",$C452/$C451-1)</f>
        <v>0.00252530838254916</v>
      </c>
      <c r="I452" s="37" t="n">
        <f aca="false">IF(AND(ISNUMBER($G452),$G452&gt;=MA_SHORT),AVERAGE(INDEX($C$52:$C452,402-MA_SHORT):$C452),"")</f>
        <v>1356171.95</v>
      </c>
      <c r="J452" s="37" t="n">
        <f aca="false">IF(AND(ISNUMBER($G452),$G452&gt;=MA_MED),AVERAGE(INDEX($C$52:$C452,402-MA_MED):$C452),"")</f>
        <v>1283475.08</v>
      </c>
      <c r="K452" s="37" t="n">
        <f aca="false">IF(AND(ISNUMBER($G452),$G452&gt;=MA_LONG2),AVERAGE(INDEX($C$52:$C452,402-MA_LONG2):$C452),"")</f>
        <v>1161393.585</v>
      </c>
      <c r="L452" s="38" t="n">
        <f aca="false">IF(AND(ISNUMBER($G452),$G452&gt;=21),STDEV(INDEX($H$392:$H452,62-20):$H452)*SQRT(245),"")</f>
        <v>0.167597279098059</v>
      </c>
      <c r="M452" s="37" t="n">
        <f aca="false">IF(AND(ISNUMBER($G452),$G452&gt;=60),MAX(INDEX($D$252:$D452,202-60):$D452),"")</f>
        <v>1395701</v>
      </c>
      <c r="N452" s="37" t="n">
        <f aca="false">IF(AND(ISNUMBER($G452),$G452&gt;=60),MIN(INDEX($E$252:$E452,202-60):$E452),"")</f>
        <v>1165807</v>
      </c>
      <c r="O452" s="38" t="n">
        <f aca="false">IF(OR(NOT(ISNUMBER($C452)),NOT(ISNUMBER($M452)),$M452=0),"",$C452/$M452-1)</f>
        <v>-0.0257977890680023</v>
      </c>
    </row>
    <row r="453" customFormat="false" ht="15" hidden="false" customHeight="true" outlineLevel="0" collapsed="false">
      <c r="A453" s="32" t="n">
        <v>46196</v>
      </c>
      <c r="B453" s="33" t="s">
        <v>543</v>
      </c>
      <c r="C453" s="34" t="n">
        <v>1342819</v>
      </c>
      <c r="D453" s="34" t="n">
        <v>1351475</v>
      </c>
      <c r="E453" s="34" t="n">
        <v>1340289</v>
      </c>
      <c r="F453" s="34" t="n">
        <v>0</v>
      </c>
      <c r="G453" s="35" t="n">
        <f aca="false">IF($A453="","",IF(ISNUMBER($G452),$G452+1,1))</f>
        <v>449</v>
      </c>
      <c r="H453" s="36" t="n">
        <f aca="false">IF(OR(NOT(ISNUMBER($G453)),$G453&lt;2,NOT(ISNUMBER($C452)),$C452=0),"",$C453/$C452-1)</f>
        <v>-0.0124116070148085</v>
      </c>
      <c r="I453" s="37" t="n">
        <f aca="false">IF(AND(ISNUMBER($G453),$G453&gt;=MA_SHORT),AVERAGE(INDEX($C$53:$C453,402-MA_SHORT):$C453),"")</f>
        <v>1356965.9</v>
      </c>
      <c r="J453" s="37" t="n">
        <f aca="false">IF(AND(ISNUMBER($G453),$G453&gt;=MA_MED),AVERAGE(INDEX($C$53:$C453,402-MA_MED):$C453),"")</f>
        <v>1286109.68</v>
      </c>
      <c r="K453" s="37" t="n">
        <f aca="false">IF(AND(ISNUMBER($G453),$G453&gt;=MA_LONG2),AVERAGE(INDEX($C$53:$C453,402-MA_LONG2):$C453),"")</f>
        <v>1162825.08</v>
      </c>
      <c r="L453" s="38" t="n">
        <f aca="false">IF(AND(ISNUMBER($G453),$G453&gt;=21),STDEV(INDEX($H$393:$H453,62-20):$H453)*SQRT(245),"")</f>
        <v>0.171815606191931</v>
      </c>
      <c r="M453" s="37" t="n">
        <f aca="false">IF(AND(ISNUMBER($G453),$G453&gt;=60),MAX(INDEX($D$253:$D453,202-60):$D453),"")</f>
        <v>1395701</v>
      </c>
      <c r="N453" s="37" t="n">
        <f aca="false">IF(AND(ISNUMBER($G453),$G453&gt;=60),MIN(INDEX($E$253:$E453,202-60):$E453),"")</f>
        <v>1165807</v>
      </c>
      <c r="O453" s="38" t="n">
        <f aca="false">IF(OR(NOT(ISNUMBER($C453)),NOT(ISNUMBER($M453)),$M453=0),"",$C453/$M453-1)</f>
        <v>-0.0378892040630479</v>
      </c>
    </row>
    <row r="454" customFormat="false" ht="15" hidden="false" customHeight="true" outlineLevel="0" collapsed="false">
      <c r="A454" s="32" t="n">
        <v>46197</v>
      </c>
      <c r="B454" s="33" t="s">
        <v>544</v>
      </c>
      <c r="C454" s="34" t="n">
        <v>1355967</v>
      </c>
      <c r="D454" s="34" t="n">
        <v>1356335</v>
      </c>
      <c r="E454" s="34" t="n">
        <v>1351173</v>
      </c>
      <c r="F454" s="34" t="n">
        <v>0</v>
      </c>
      <c r="G454" s="35" t="n">
        <f aca="false">IF($A454="","",IF(ISNUMBER($G453),$G453+1,1))</f>
        <v>450</v>
      </c>
      <c r="H454" s="36" t="n">
        <f aca="false">IF(OR(NOT(ISNUMBER($G454)),$G454&lt;2,NOT(ISNUMBER($C453)),$C453=0),"",$C454/$C453-1)</f>
        <v>0.00979134194556375</v>
      </c>
      <c r="I454" s="37" t="n">
        <f aca="false">IF(AND(ISNUMBER($G454),$G454&gt;=MA_SHORT),AVERAGE(INDEX($C$54:$C454,402-MA_SHORT):$C454),"")</f>
        <v>1358014.95</v>
      </c>
      <c r="J454" s="37" t="n">
        <f aca="false">IF(AND(ISNUMBER($G454),$G454&gt;=MA_MED),AVERAGE(INDEX($C$54:$C454,402-MA_MED):$C454),"")</f>
        <v>1289117.24</v>
      </c>
      <c r="K454" s="37" t="n">
        <f aca="false">IF(AND(ISNUMBER($G454),$G454&gt;=MA_LONG2),AVERAGE(INDEX($C$54:$C454,402-MA_LONG2):$C454),"")</f>
        <v>1164318.68</v>
      </c>
      <c r="L454" s="38" t="n">
        <f aca="false">IF(AND(ISNUMBER($G454),$G454&gt;=21),STDEV(INDEX($H$394:$H454,62-20):$H454)*SQRT(245),"")</f>
        <v>0.173813341589756</v>
      </c>
      <c r="M454" s="37" t="n">
        <f aca="false">IF(AND(ISNUMBER($G454),$G454&gt;=60),MAX(INDEX($D$254:$D454,202-60):$D454),"")</f>
        <v>1395701</v>
      </c>
      <c r="N454" s="37" t="n">
        <f aca="false">IF(AND(ISNUMBER($G454),$G454&gt;=60),MIN(INDEX($E$254:$E454,202-60):$E454),"")</f>
        <v>1167812</v>
      </c>
      <c r="O454" s="38" t="n">
        <f aca="false">IF(OR(NOT(ISNUMBER($C454)),NOT(ISNUMBER($M454)),$M454=0),"",$C454/$M454-1)</f>
        <v>-0.0284688482705107</v>
      </c>
    </row>
    <row r="455" customFormat="false" ht="15" hidden="false" customHeight="true" outlineLevel="0" collapsed="false">
      <c r="A455" s="32" t="n">
        <v>46200</v>
      </c>
      <c r="B455" s="33" t="s">
        <v>545</v>
      </c>
      <c r="C455" s="34" t="n">
        <v>1368006</v>
      </c>
      <c r="D455" s="34" t="n">
        <v>1369040</v>
      </c>
      <c r="E455" s="34" t="n">
        <v>1365323</v>
      </c>
      <c r="F455" s="34" t="n">
        <v>0</v>
      </c>
      <c r="G455" s="35" t="n">
        <f aca="false">IF($A455="","",IF(ISNUMBER($G454),$G454+1,1))</f>
        <v>451</v>
      </c>
      <c r="H455" s="36" t="n">
        <f aca="false">IF(OR(NOT(ISNUMBER($G455)),$G455&lt;2,NOT(ISNUMBER($C454)),$C454=0),"",$C455/$C454-1)</f>
        <v>0.00887853465460453</v>
      </c>
      <c r="I455" s="37" t="n">
        <f aca="false">IF(AND(ISNUMBER($G455),$G455&gt;=MA_SHORT),AVERAGE(INDEX($C$55:$C455,402-MA_SHORT):$C455),"")</f>
        <v>1360212.5</v>
      </c>
      <c r="J455" s="37" t="n">
        <f aca="false">IF(AND(ISNUMBER($G455),$G455&gt;=MA_MED),AVERAGE(INDEX($C$55:$C455,402-MA_MED):$C455),"")</f>
        <v>1292572.98</v>
      </c>
      <c r="K455" s="37" t="n">
        <f aca="false">IF(AND(ISNUMBER($G455),$G455&gt;=MA_LONG2),AVERAGE(INDEX($C$55:$C455,402-MA_LONG2):$C455),"")</f>
        <v>1165877.65</v>
      </c>
      <c r="L455" s="38" t="n">
        <f aca="false">IF(AND(ISNUMBER($G455),$G455&gt;=21),STDEV(INDEX($H$395:$H455,62-20):$H455)*SQRT(245),"")</f>
        <v>0.172644686496481</v>
      </c>
      <c r="M455" s="37" t="n">
        <f aca="false">IF(AND(ISNUMBER($G455),$G455&gt;=60),MAX(INDEX($D$255:$D455,202-60):$D455),"")</f>
        <v>1395701</v>
      </c>
      <c r="N455" s="37" t="n">
        <f aca="false">IF(AND(ISNUMBER($G455),$G455&gt;=60),MIN(INDEX($E$255:$E455,202-60):$E455),"")</f>
        <v>1167812</v>
      </c>
      <c r="O455" s="38" t="n">
        <f aca="false">IF(OR(NOT(ISNUMBER($C455)),NOT(ISNUMBER($M455)),$M455=0),"",$C455/$M455-1)</f>
        <v>-0.0198430752718526</v>
      </c>
    </row>
    <row r="456" customFormat="false" ht="15" hidden="false" customHeight="true" outlineLevel="0" collapsed="false">
      <c r="A456" s="32" t="n">
        <v>46201</v>
      </c>
      <c r="B456" s="33" t="s">
        <v>546</v>
      </c>
      <c r="C456" s="34" t="n">
        <v>1363135</v>
      </c>
      <c r="D456" s="34" t="n">
        <v>1366265</v>
      </c>
      <c r="E456" s="34" t="n">
        <v>1357005</v>
      </c>
      <c r="F456" s="34" t="n">
        <v>0</v>
      </c>
      <c r="G456" s="35" t="n">
        <f aca="false">IF($A456="","",IF(ISNUMBER($G455),$G455+1,1))</f>
        <v>452</v>
      </c>
      <c r="H456" s="36" t="n">
        <f aca="false">IF(OR(NOT(ISNUMBER($G456)),$G456&lt;2,NOT(ISNUMBER($C455)),$C455=0),"",$C456/$C455-1)</f>
        <v>-0.00356065689770368</v>
      </c>
      <c r="I456" s="37" t="n">
        <f aca="false">IF(AND(ISNUMBER($G456),$G456&gt;=MA_SHORT),AVERAGE(INDEX($C$56:$C456,402-MA_SHORT):$C456),"")</f>
        <v>1362408.25</v>
      </c>
      <c r="J456" s="37" t="n">
        <f aca="false">IF(AND(ISNUMBER($G456),$G456&gt;=MA_MED),AVERAGE(INDEX($C$56:$C456,402-MA_MED):$C456),"")</f>
        <v>1295672.98</v>
      </c>
      <c r="K456" s="37" t="n">
        <f aca="false">IF(AND(ISNUMBER($G456),$G456&gt;=MA_LONG2),AVERAGE(INDEX($C$56:$C456,402-MA_LONG2):$C456),"")</f>
        <v>1167457.375</v>
      </c>
      <c r="L456" s="38" t="n">
        <f aca="false">IF(AND(ISNUMBER($G456),$G456&gt;=21),STDEV(INDEX($H$396:$H456,62-20):$H456)*SQRT(245),"")</f>
        <v>0.17260865683254</v>
      </c>
      <c r="M456" s="37" t="n">
        <f aca="false">IF(AND(ISNUMBER($G456),$G456&gt;=60),MAX(INDEX($D$256:$D456,202-60):$D456),"")</f>
        <v>1395701</v>
      </c>
      <c r="N456" s="37" t="n">
        <f aca="false">IF(AND(ISNUMBER($G456),$G456&gt;=60),MIN(INDEX($E$256:$E456,202-60):$E456),"")</f>
        <v>1167812</v>
      </c>
      <c r="O456" s="38" t="n">
        <f aca="false">IF(OR(NOT(ISNUMBER($C456)),NOT(ISNUMBER($M456)),$M456=0),"",$C456/$M456-1)</f>
        <v>-0.0233330777867179</v>
      </c>
    </row>
    <row r="457" customFormat="false" ht="15" hidden="false" customHeight="true" outlineLevel="0" collapsed="false">
      <c r="A457" s="32" t="n">
        <v>46202</v>
      </c>
      <c r="B457" s="33" t="s">
        <v>547</v>
      </c>
      <c r="C457" s="34" t="n">
        <v>1358190</v>
      </c>
      <c r="D457" s="34" t="n">
        <v>1366774</v>
      </c>
      <c r="E457" s="34" t="n">
        <v>1355806</v>
      </c>
      <c r="F457" s="34" t="n">
        <v>0</v>
      </c>
      <c r="G457" s="35" t="n">
        <f aca="false">IF($A457="","",IF(ISNUMBER($G456),$G456+1,1))</f>
        <v>453</v>
      </c>
      <c r="H457" s="36" t="n">
        <f aca="false">IF(OR(NOT(ISNUMBER($G457)),$G457&lt;2,NOT(ISNUMBER($C456)),$C456=0),"",$C457/$C456-1)</f>
        <v>-0.0036276671056058</v>
      </c>
      <c r="I457" s="37" t="n">
        <f aca="false">IF(AND(ISNUMBER($G457),$G457&gt;=MA_SHORT),AVERAGE(INDEX($C$57:$C457,402-MA_SHORT):$C457),"")</f>
        <v>1362937.9</v>
      </c>
      <c r="J457" s="37" t="n">
        <f aca="false">IF(AND(ISNUMBER($G457),$G457&gt;=MA_MED),AVERAGE(INDEX($C$57:$C457,402-MA_MED):$C457),"")</f>
        <v>1299062.24</v>
      </c>
      <c r="K457" s="37" t="n">
        <f aca="false">IF(AND(ISNUMBER($G457),$G457&gt;=MA_LONG2),AVERAGE(INDEX($C$57:$C457,402-MA_LONG2):$C457),"")</f>
        <v>1168964.28</v>
      </c>
      <c r="L457" s="38" t="n">
        <f aca="false">IF(AND(ISNUMBER($G457),$G457&gt;=21),STDEV(INDEX($H$397:$H457,62-20):$H457)*SQRT(245),"")</f>
        <v>0.157128530481702</v>
      </c>
      <c r="M457" s="37" t="n">
        <f aca="false">IF(AND(ISNUMBER($G457),$G457&gt;=60),MAX(INDEX($D$257:$D457,202-60):$D457),"")</f>
        <v>1395701</v>
      </c>
      <c r="N457" s="37" t="n">
        <f aca="false">IF(AND(ISNUMBER($G457),$G457&gt;=60),MIN(INDEX($E$257:$E457,202-60):$E457),"")</f>
        <v>1171184</v>
      </c>
      <c r="O457" s="38" t="n">
        <f aca="false">IF(OR(NOT(ISNUMBER($C457)),NOT(ISNUMBER($M457)),$M457=0),"",$C457/$M457-1)</f>
        <v>-0.0268761002535644</v>
      </c>
    </row>
    <row r="458" customFormat="false" ht="15" hidden="false" customHeight="true" outlineLevel="0" collapsed="false">
      <c r="A458" s="32" t="n">
        <v>46203</v>
      </c>
      <c r="B458" s="33" t="s">
        <v>548</v>
      </c>
      <c r="C458" s="34" t="n">
        <v>1350976</v>
      </c>
      <c r="D458" s="34" t="n">
        <v>1351941</v>
      </c>
      <c r="E458" s="34" t="n">
        <v>1346726</v>
      </c>
      <c r="F458" s="34" t="n">
        <v>0</v>
      </c>
      <c r="G458" s="35" t="n">
        <f aca="false">IF($A458="","",IF(ISNUMBER($G457),$G457+1,1))</f>
        <v>454</v>
      </c>
      <c r="H458" s="36" t="n">
        <f aca="false">IF(OR(NOT(ISNUMBER($G458)),$G458&lt;2,NOT(ISNUMBER($C457)),$C457=0),"",$C458/$C457-1)</f>
        <v>-0.00531148072066501</v>
      </c>
      <c r="I458" s="37" t="n">
        <f aca="false">IF(AND(ISNUMBER($G458),$G458&gt;=MA_SHORT),AVERAGE(INDEX($C$58:$C458,402-MA_SHORT):$C458),"")</f>
        <v>1362611.45</v>
      </c>
      <c r="J458" s="37" t="n">
        <f aca="false">IF(AND(ISNUMBER($G458),$G458&gt;=MA_MED),AVERAGE(INDEX($C$58:$C458,402-MA_MED):$C458),"")</f>
        <v>1302033.9</v>
      </c>
      <c r="K458" s="37" t="n">
        <f aca="false">IF(AND(ISNUMBER($G458),$G458&gt;=MA_LONG2),AVERAGE(INDEX($C$58:$C458,402-MA_LONG2):$C458),"")</f>
        <v>1170456.79</v>
      </c>
      <c r="L458" s="38" t="n">
        <f aca="false">IF(AND(ISNUMBER($G458),$G458&gt;=21),STDEV(INDEX($H$398:$H458,62-20):$H458)*SQRT(245),"")</f>
        <v>0.156192921398561</v>
      </c>
      <c r="M458" s="37" t="n">
        <f aca="false">IF(AND(ISNUMBER($G458),$G458&gt;=60),MAX(INDEX($D$258:$D458,202-60):$D458),"")</f>
        <v>1395701</v>
      </c>
      <c r="N458" s="37" t="n">
        <f aca="false">IF(AND(ISNUMBER($G458),$G458&gt;=60),MIN(INDEX($E$258:$E458,202-60):$E458),"")</f>
        <v>1171184</v>
      </c>
      <c r="O458" s="38" t="n">
        <f aca="false">IF(OR(NOT(ISNUMBER($C458)),NOT(ISNUMBER($M458)),$M458=0),"",$C458/$M458-1)</f>
        <v>-0.0320448290858859</v>
      </c>
    </row>
    <row r="459" customFormat="false" ht="15" hidden="false" customHeight="true" outlineLevel="0" collapsed="false">
      <c r="A459" s="32" t="n">
        <v>46204</v>
      </c>
      <c r="B459" s="33" t="s">
        <v>549</v>
      </c>
      <c r="C459" s="34" t="n">
        <v>1343266</v>
      </c>
      <c r="D459" s="34" t="n">
        <v>1343459</v>
      </c>
      <c r="E459" s="34" t="n">
        <v>1342240</v>
      </c>
      <c r="F459" s="34" t="n">
        <v>0</v>
      </c>
      <c r="G459" s="35" t="n">
        <f aca="false">IF($A459="","",IF(ISNUMBER($G458),$G458+1,1))</f>
        <v>455</v>
      </c>
      <c r="H459" s="36" t="n">
        <f aca="false">IF(OR(NOT(ISNUMBER($G459)),$G459&lt;2,NOT(ISNUMBER($C458)),$C458=0),"",$C459/$C458-1)</f>
        <v>-0.00570698517220147</v>
      </c>
      <c r="I459" s="37" t="n">
        <f aca="false">IF(AND(ISNUMBER($G459),$G459&gt;=MA_SHORT),AVERAGE(INDEX($C$59:$C459,402-MA_SHORT):$C459),"")</f>
        <v>1361523.7</v>
      </c>
      <c r="J459" s="37" t="n">
        <f aca="false">IF(AND(ISNUMBER($G459),$G459&gt;=MA_MED),AVERAGE(INDEX($C$59:$C459,402-MA_MED):$C459),"")</f>
        <v>1304772.38</v>
      </c>
      <c r="K459" s="37" t="n">
        <f aca="false">IF(AND(ISNUMBER($G459),$G459&gt;=MA_LONG2),AVERAGE(INDEX($C$59:$C459,402-MA_LONG2):$C459),"")</f>
        <v>1171955.33</v>
      </c>
      <c r="L459" s="38" t="n">
        <f aca="false">IF(AND(ISNUMBER($G459),$G459&gt;=21),STDEV(INDEX($H$399:$H459,62-20):$H459)*SQRT(245),"")</f>
        <v>0.155830803901029</v>
      </c>
      <c r="M459" s="37" t="n">
        <f aca="false">IF(AND(ISNUMBER($G459),$G459&gt;=60),MAX(INDEX($D$259:$D459,202-60):$D459),"")</f>
        <v>1395701</v>
      </c>
      <c r="N459" s="37" t="n">
        <f aca="false">IF(AND(ISNUMBER($G459),$G459&gt;=60),MIN(INDEX($E$259:$E459,202-60):$E459),"")</f>
        <v>1171184</v>
      </c>
      <c r="O459" s="38" t="n">
        <f aca="false">IF(OR(NOT(ISNUMBER($C459)),NOT(ISNUMBER($M459)),$M459=0),"",$C459/$M459-1)</f>
        <v>-0.0375689348936484</v>
      </c>
    </row>
    <row r="460" customFormat="false" ht="15" hidden="false" customHeight="true" outlineLevel="0" collapsed="false">
      <c r="A460" s="32" t="n">
        <v>46207</v>
      </c>
      <c r="B460" s="33" t="s">
        <v>550</v>
      </c>
      <c r="C460" s="34" t="n">
        <v>1329215</v>
      </c>
      <c r="D460" s="34" t="n">
        <v>1329282</v>
      </c>
      <c r="E460" s="34" t="n">
        <v>1327549</v>
      </c>
      <c r="F460" s="34" t="n">
        <v>0</v>
      </c>
      <c r="G460" s="35" t="n">
        <f aca="false">IF($A460="","",IF(ISNUMBER($G459),$G459+1,1))</f>
        <v>456</v>
      </c>
      <c r="H460" s="36" t="n">
        <f aca="false">IF(OR(NOT(ISNUMBER($G460)),$G460&lt;2,NOT(ISNUMBER($C459)),$C459=0),"",$C460/$C459-1)</f>
        <v>-0.0104603258029311</v>
      </c>
      <c r="I460" s="37" t="n">
        <f aca="false">IF(AND(ISNUMBER($G460),$G460&gt;=MA_SHORT),AVERAGE(INDEX($C$60:$C460,402-MA_SHORT):$C460),"")</f>
        <v>1360577.05</v>
      </c>
      <c r="J460" s="37" t="n">
        <f aca="false">IF(AND(ISNUMBER($G460),$G460&gt;=MA_MED),AVERAGE(INDEX($C$60:$C460,402-MA_MED):$C460),"")</f>
        <v>1307186.88</v>
      </c>
      <c r="K460" s="37" t="n">
        <f aca="false">IF(AND(ISNUMBER($G460),$G460&gt;=MA_LONG2),AVERAGE(INDEX($C$60:$C460,402-MA_LONG2):$C460),"")</f>
        <v>1173450.67</v>
      </c>
      <c r="L460" s="38" t="n">
        <f aca="false">IF(AND(ISNUMBER($G460),$G460&gt;=21),STDEV(INDEX($H$400:$H460,62-20):$H460)*SQRT(245),"")</f>
        <v>0.154138407404308</v>
      </c>
      <c r="M460" s="37" t="n">
        <f aca="false">IF(AND(ISNUMBER($G460),$G460&gt;=60),MAX(INDEX($D$260:$D460,202-60):$D460),"")</f>
        <v>1395701</v>
      </c>
      <c r="N460" s="37" t="n">
        <f aca="false">IF(AND(ISNUMBER($G460),$G460&gt;=60),MIN(INDEX($E$260:$E460,202-60):$E460),"")</f>
        <v>1171184</v>
      </c>
      <c r="O460" s="38" t="n">
        <f aca="false">IF(OR(NOT(ISNUMBER($C460)),NOT(ISNUMBER($M460)),$M460=0),"",$C460/$M460-1)</f>
        <v>-0.0476362773975229</v>
      </c>
    </row>
    <row r="461" customFormat="false" ht="15" hidden="false" customHeight="true" outlineLevel="0" collapsed="false">
      <c r="A461" s="32" t="n">
        <v>46208</v>
      </c>
      <c r="B461" s="33" t="s">
        <v>551</v>
      </c>
      <c r="C461" s="34" t="n">
        <v>1337918</v>
      </c>
      <c r="D461" s="34" t="n">
        <v>1338864</v>
      </c>
      <c r="E461" s="34" t="n">
        <v>1334564</v>
      </c>
      <c r="F461" s="34" t="n">
        <v>0</v>
      </c>
      <c r="G461" s="35" t="n">
        <f aca="false">IF($A461="","",IF(ISNUMBER($G460),$G460+1,1))</f>
        <v>457</v>
      </c>
      <c r="H461" s="36" t="n">
        <f aca="false">IF(OR(NOT(ISNUMBER($G461)),$G461&lt;2,NOT(ISNUMBER($C460)),$C460=0),"",$C461/$C460-1)</f>
        <v>0.00654747350880025</v>
      </c>
      <c r="I461" s="37" t="n">
        <f aca="false">IF(AND(ISNUMBER($G461),$G461&gt;=MA_SHORT),AVERAGE(INDEX($C$61:$C461,402-MA_SHORT):$C461),"")</f>
        <v>1359310.7</v>
      </c>
      <c r="J461" s="37" t="n">
        <f aca="false">IF(AND(ISNUMBER($G461),$G461&gt;=MA_MED),AVERAGE(INDEX($C$61:$C461,402-MA_MED):$C461),"")</f>
        <v>1309478.92</v>
      </c>
      <c r="K461" s="37" t="n">
        <f aca="false">IF(AND(ISNUMBER($G461),$G461&gt;=MA_LONG2),AVERAGE(INDEX($C$61:$C461,402-MA_LONG2):$C461),"")</f>
        <v>1175020.925</v>
      </c>
      <c r="L461" s="38" t="n">
        <f aca="false">IF(AND(ISNUMBER($G461),$G461&gt;=21),STDEV(INDEX($H$401:$H461,62-20):$H461)*SQRT(245),"")</f>
        <v>0.150336922030508</v>
      </c>
      <c r="M461" s="37" t="n">
        <f aca="false">IF(AND(ISNUMBER($G461),$G461&gt;=60),MAX(INDEX($D$261:$D461,202-60):$D461),"")</f>
        <v>1395701</v>
      </c>
      <c r="N461" s="37" t="n">
        <f aca="false">IF(AND(ISNUMBER($G461),$G461&gt;=60),MIN(INDEX($E$261:$E461,202-60):$E461),"")</f>
        <v>1171184</v>
      </c>
      <c r="O461" s="38" t="n">
        <f aca="false">IF(OR(NOT(ISNUMBER($C461)),NOT(ISNUMBER($M461)),$M461=0),"",$C461/$M461-1)</f>
        <v>-0.0414007011530406</v>
      </c>
    </row>
    <row r="462" customFormat="false" ht="15" hidden="false" customHeight="true" outlineLevel="0" collapsed="false">
      <c r="A462" s="32" t="n">
        <v>46209</v>
      </c>
      <c r="B462" s="33" t="s">
        <v>552</v>
      </c>
      <c r="C462" s="34" t="n">
        <v>1347707</v>
      </c>
      <c r="D462" s="34" t="n">
        <v>1347993</v>
      </c>
      <c r="E462" s="34" t="n">
        <v>1344048</v>
      </c>
      <c r="F462" s="34" t="n">
        <v>0</v>
      </c>
      <c r="G462" s="35" t="n">
        <f aca="false">IF($A462="","",IF(ISNUMBER($G461),$G461+1,1))</f>
        <v>458</v>
      </c>
      <c r="H462" s="36" t="n">
        <f aca="false">IF(OR(NOT(ISNUMBER($G462)),$G462&lt;2,NOT(ISNUMBER($C461)),$C461=0),"",$C462/$C461-1)</f>
        <v>0.00731659189875611</v>
      </c>
      <c r="I462" s="37" t="n">
        <f aca="false">IF(AND(ISNUMBER($G462),$G462&gt;=MA_SHORT),AVERAGE(INDEX($C$62:$C462,402-MA_SHORT):$C462),"")</f>
        <v>1357670.3</v>
      </c>
      <c r="J462" s="37" t="n">
        <f aca="false">IF(AND(ISNUMBER($G462),$G462&gt;=MA_MED),AVERAGE(INDEX($C$62:$C462,402-MA_MED):$C462),"")</f>
        <v>1312460.72</v>
      </c>
      <c r="K462" s="37" t="n">
        <f aca="false">IF(AND(ISNUMBER($G462),$G462&gt;=MA_LONG2),AVERAGE(INDEX($C$62:$C462,402-MA_LONG2):$C462),"")</f>
        <v>1176672.69</v>
      </c>
      <c r="L462" s="38" t="n">
        <f aca="false">IF(AND(ISNUMBER($G462),$G462&gt;=21),STDEV(INDEX($H$402:$H462,62-20):$H462)*SQRT(245),"")</f>
        <v>0.145190488535039</v>
      </c>
      <c r="M462" s="37" t="n">
        <f aca="false">IF(AND(ISNUMBER($G462),$G462&gt;=60),MAX(INDEX($D$262:$D462,202-60):$D462),"")</f>
        <v>1395701</v>
      </c>
      <c r="N462" s="37" t="n">
        <f aca="false">IF(AND(ISNUMBER($G462),$G462&gt;=60),MIN(INDEX($E$262:$E462,202-60):$E462),"")</f>
        <v>1171184</v>
      </c>
      <c r="O462" s="38" t="n">
        <f aca="false">IF(OR(NOT(ISNUMBER($C462)),NOT(ISNUMBER($M462)),$M462=0),"",$C462/$M462-1)</f>
        <v>-0.0343870212889437</v>
      </c>
    </row>
    <row r="463" customFormat="false" ht="15" hidden="false" customHeight="true" outlineLevel="0" collapsed="false">
      <c r="A463" s="32" t="n">
        <v>46210</v>
      </c>
      <c r="B463" s="33" t="s">
        <v>553</v>
      </c>
      <c r="C463" s="34" t="n">
        <v>1352898</v>
      </c>
      <c r="D463" s="34" t="n">
        <v>1355200</v>
      </c>
      <c r="E463" s="34" t="n">
        <v>1350799</v>
      </c>
      <c r="F463" s="34" t="n">
        <v>0</v>
      </c>
      <c r="G463" s="35" t="n">
        <f aca="false">IF($A463="","",IF(ISNUMBER($G462),$G462+1,1))</f>
        <v>459</v>
      </c>
      <c r="H463" s="36" t="n">
        <f aca="false">IF(OR(NOT(ISNUMBER($G463)),$G463&lt;2,NOT(ISNUMBER($C462)),$C462=0),"",$C463/$C462-1)</f>
        <v>0.00385172741552875</v>
      </c>
      <c r="I463" s="37" t="n">
        <f aca="false">IF(AND(ISNUMBER($G463),$G463&gt;=MA_SHORT),AVERAGE(INDEX($C$63:$C463,402-MA_SHORT):$C463),"")</f>
        <v>1357084.7</v>
      </c>
      <c r="J463" s="37" t="n">
        <f aca="false">IF(AND(ISNUMBER($G463),$G463&gt;=MA_MED),AVERAGE(INDEX($C$63:$C463,402-MA_MED):$C463),"")</f>
        <v>1315990.14</v>
      </c>
      <c r="K463" s="37" t="n">
        <f aca="false">IF(AND(ISNUMBER($G463),$G463&gt;=MA_LONG2),AVERAGE(INDEX($C$63:$C463,402-MA_LONG2):$C463),"")</f>
        <v>1178274.66</v>
      </c>
      <c r="L463" s="38" t="n">
        <f aca="false">IF(AND(ISNUMBER($G463),$G463&gt;=21),STDEV(INDEX($H$403:$H463,62-20):$H463)*SQRT(245),"")</f>
        <v>0.140953647174536</v>
      </c>
      <c r="M463" s="37" t="n">
        <f aca="false">IF(AND(ISNUMBER($G463),$G463&gt;=60),MAX(INDEX($D$263:$D463,202-60):$D463),"")</f>
        <v>1395701</v>
      </c>
      <c r="N463" s="37" t="n">
        <f aca="false">IF(AND(ISNUMBER($G463),$G463&gt;=60),MIN(INDEX($E$263:$E463,202-60):$E463),"")</f>
        <v>1171184</v>
      </c>
      <c r="O463" s="38" t="n">
        <f aca="false">IF(OR(NOT(ISNUMBER($C463)),NOT(ISNUMBER($M463)),$M463=0),"",$C463/$M463-1)</f>
        <v>-0.0306677433060519</v>
      </c>
    </row>
    <row r="464" customFormat="false" ht="15" hidden="false" customHeight="true" outlineLevel="0" collapsed="false">
      <c r="A464" s="32" t="n">
        <v>46211</v>
      </c>
      <c r="B464" s="33" t="s">
        <v>554</v>
      </c>
      <c r="C464" s="34" t="n">
        <v>1382008</v>
      </c>
      <c r="D464" s="34" t="n">
        <v>1391166</v>
      </c>
      <c r="E464" s="34" t="n">
        <v>1381192</v>
      </c>
      <c r="F464" s="34" t="n">
        <v>0</v>
      </c>
      <c r="G464" s="35" t="n">
        <f aca="false">IF($A464="","",IF(ISNUMBER($G463),$G463+1,1))</f>
        <v>460</v>
      </c>
      <c r="H464" s="36" t="n">
        <f aca="false">IF(OR(NOT(ISNUMBER($G464)),$G464&lt;2,NOT(ISNUMBER($C463)),$C463=0),"",$C464/$C463-1)</f>
        <v>0.0215167736222539</v>
      </c>
      <c r="I464" s="37" t="n">
        <f aca="false">IF(AND(ISNUMBER($G464),$G464&gt;=MA_SHORT),AVERAGE(INDEX($C$64:$C464,402-MA_SHORT):$C464),"")</f>
        <v>1358805.65</v>
      </c>
      <c r="J464" s="37" t="n">
        <f aca="false">IF(AND(ISNUMBER($G464),$G464&gt;=MA_MED),AVERAGE(INDEX($C$64:$C464,402-MA_MED):$C464),"")</f>
        <v>1319981.58</v>
      </c>
      <c r="K464" s="37" t="n">
        <f aca="false">IF(AND(ISNUMBER($G464),$G464&gt;=MA_LONG2),AVERAGE(INDEX($C$64:$C464,402-MA_LONG2):$C464),"")</f>
        <v>1180038.45</v>
      </c>
      <c r="L464" s="38" t="n">
        <f aca="false">IF(AND(ISNUMBER($G464),$G464&gt;=21),STDEV(INDEX($H$404:$H464,62-20):$H464)*SQRT(245),"")</f>
        <v>0.153071070060735</v>
      </c>
      <c r="M464" s="37" t="n">
        <f aca="false">IF(AND(ISNUMBER($G464),$G464&gt;=60),MAX(INDEX($D$264:$D464,202-60):$D464),"")</f>
        <v>1395701</v>
      </c>
      <c r="N464" s="37" t="n">
        <f aca="false">IF(AND(ISNUMBER($G464),$G464&gt;=60),MIN(INDEX($E$264:$E464,202-60):$E464),"")</f>
        <v>1171184</v>
      </c>
      <c r="O464" s="38" t="n">
        <f aca="false">IF(OR(NOT(ISNUMBER($C464)),NOT(ISNUMBER($M464)),$M464=0),"",$C464/$M464-1)</f>
        <v>-0.00981084057401982</v>
      </c>
    </row>
    <row r="465" customFormat="false" ht="15" hidden="false" customHeight="true" outlineLevel="0" collapsed="false">
      <c r="A465" s="32" t="n">
        <v>46214</v>
      </c>
      <c r="B465" s="33" t="s">
        <v>555</v>
      </c>
      <c r="C465" s="34" t="n">
        <v>1363872</v>
      </c>
      <c r="D465" s="34" t="n">
        <v>1371866</v>
      </c>
      <c r="E465" s="34" t="n">
        <v>1359620</v>
      </c>
      <c r="F465" s="34" t="n">
        <v>0</v>
      </c>
      <c r="G465" s="35" t="n">
        <f aca="false">IF($A465="","",IF(ISNUMBER($G464),$G464+1,1))</f>
        <v>461</v>
      </c>
      <c r="H465" s="36" t="n">
        <f aca="false">IF(OR(NOT(ISNUMBER($G465)),$G465&lt;2,NOT(ISNUMBER($C464)),$C464=0),"",$C465/$C464-1)</f>
        <v>-0.0131229341653594</v>
      </c>
      <c r="I465" s="37" t="n">
        <f aca="false">IF(AND(ISNUMBER($G465),$G465&gt;=MA_SHORT),AVERAGE(INDEX($C$65:$C465,402-MA_SHORT):$C465),"")</f>
        <v>1359425.75</v>
      </c>
      <c r="J465" s="37" t="n">
        <f aca="false">IF(AND(ISNUMBER($G465),$G465&gt;=MA_MED),AVERAGE(INDEX($C$65:$C465,402-MA_MED):$C465),"")</f>
        <v>1323487.3</v>
      </c>
      <c r="K465" s="37" t="n">
        <f aca="false">IF(AND(ISNUMBER($G465),$G465&gt;=MA_LONG2),AVERAGE(INDEX($C$65:$C465,402-MA_LONG2):$C465),"")</f>
        <v>1181708.535</v>
      </c>
      <c r="L465" s="38" t="n">
        <f aca="false">IF(AND(ISNUMBER($G465),$G465&gt;=21),STDEV(INDEX($H$405:$H465,62-20):$H465)*SQRT(245),"")</f>
        <v>0.160993049393009</v>
      </c>
      <c r="M465" s="37" t="n">
        <f aca="false">IF(AND(ISNUMBER($G465),$G465&gt;=60),MAX(INDEX($D$265:$D465,202-60):$D465),"")</f>
        <v>1395701</v>
      </c>
      <c r="N465" s="37" t="n">
        <f aca="false">IF(AND(ISNUMBER($G465),$G465&gt;=60),MIN(INDEX($E$265:$E465,202-60):$E465),"")</f>
        <v>1171184</v>
      </c>
      <c r="O465" s="38" t="n">
        <f aca="false">IF(OR(NOT(ISNUMBER($C465)),NOT(ISNUMBER($M465)),$M465=0),"",$C465/$M465-1)</f>
        <v>-0.0228050277244195</v>
      </c>
    </row>
    <row r="466" customFormat="false" ht="15" hidden="false" customHeight="true" outlineLevel="0" collapsed="false">
      <c r="A466" s="32" t="n">
        <v>46215</v>
      </c>
      <c r="B466" s="33" t="s">
        <v>556</v>
      </c>
      <c r="C466" s="34" t="n">
        <v>1364506</v>
      </c>
      <c r="D466" s="34" t="n">
        <v>1373779</v>
      </c>
      <c r="E466" s="34" t="n">
        <v>1362965</v>
      </c>
      <c r="F466" s="34" t="n">
        <v>0</v>
      </c>
      <c r="G466" s="35" t="n">
        <f aca="false">IF($A466="","",IF(ISNUMBER($G465),$G465+1,1))</f>
        <v>462</v>
      </c>
      <c r="H466" s="36" t="n">
        <f aca="false">IF(OR(NOT(ISNUMBER($G466)),$G466&lt;2,NOT(ISNUMBER($C465)),$C465=0),"",$C466/$C465-1)</f>
        <v>0.000464853006733712</v>
      </c>
      <c r="I466" s="37" t="n">
        <f aca="false">IF(AND(ISNUMBER($G466),$G466&gt;=MA_SHORT),AVERAGE(INDEX($C$66:$C466,402-MA_SHORT):$C466),"")</f>
        <v>1358890.6</v>
      </c>
      <c r="J466" s="37" t="n">
        <f aca="false">IF(AND(ISNUMBER($G466),$G466&gt;=MA_MED),AVERAGE(INDEX($C$66:$C466,402-MA_MED):$C466),"")</f>
        <v>1327133.34</v>
      </c>
      <c r="K466" s="37" t="n">
        <f aca="false">IF(AND(ISNUMBER($G466),$G466&gt;=MA_LONG2),AVERAGE(INDEX($C$66:$C466,402-MA_LONG2):$C466),"")</f>
        <v>1183348.995</v>
      </c>
      <c r="L466" s="38" t="n">
        <f aca="false">IF(AND(ISNUMBER($G466),$G466&gt;=21),STDEV(INDEX($H$406:$H466,62-20):$H466)*SQRT(245),"")</f>
        <v>0.148249927483708</v>
      </c>
      <c r="M466" s="37" t="n">
        <f aca="false">IF(AND(ISNUMBER($G466),$G466&gt;=60),MAX(INDEX($D$266:$D466,202-60):$D466),"")</f>
        <v>1395701</v>
      </c>
      <c r="N466" s="37" t="n">
        <f aca="false">IF(AND(ISNUMBER($G466),$G466&gt;=60),MIN(INDEX($E$266:$E466,202-60):$E466),"")</f>
        <v>1171184</v>
      </c>
      <c r="O466" s="38" t="n">
        <f aca="false">IF(OR(NOT(ISNUMBER($C466)),NOT(ISNUMBER($M466)),$M466=0),"",$C466/$M466-1)</f>
        <v>-0.0223507757033921</v>
      </c>
    </row>
    <row r="467" customFormat="false" ht="15" hidden="false" customHeight="true" outlineLevel="0" collapsed="false">
      <c r="A467" s="32" t="n">
        <v>46216</v>
      </c>
      <c r="B467" s="33" t="s">
        <v>557</v>
      </c>
      <c r="C467" s="34" t="n">
        <v>1357603</v>
      </c>
      <c r="D467" s="34" t="n">
        <v>1358932</v>
      </c>
      <c r="E467" s="34" t="n">
        <v>1356161</v>
      </c>
      <c r="F467" s="34" t="n">
        <v>0</v>
      </c>
      <c r="G467" s="35" t="n">
        <f aca="false">IF($A467="","",IF(ISNUMBER($G466),$G466+1,1))</f>
        <v>463</v>
      </c>
      <c r="H467" s="36" t="n">
        <f aca="false">IF(OR(NOT(ISNUMBER($G467)),$G467&lt;2,NOT(ISNUMBER($C466)),$C466=0),"",$C467/$C466-1)</f>
        <v>-0.00505897372382391</v>
      </c>
      <c r="I467" s="37" t="n">
        <f aca="false">IF(AND(ISNUMBER($G467),$G467&gt;=MA_SHORT),AVERAGE(INDEX($C$67:$C467,402-MA_SHORT):$C467),"")</f>
        <v>1357387.15</v>
      </c>
      <c r="J467" s="37" t="n">
        <f aca="false">IF(AND(ISNUMBER($G467),$G467&gt;=MA_MED),AVERAGE(INDEX($C$67:$C467,402-MA_MED):$C467),"")</f>
        <v>1330610.44</v>
      </c>
      <c r="K467" s="37" t="n">
        <f aca="false">IF(AND(ISNUMBER($G467),$G467&gt;=MA_LONG2),AVERAGE(INDEX($C$67:$C467,402-MA_LONG2):$C467),"")</f>
        <v>1184930.93</v>
      </c>
      <c r="L467" s="38" t="n">
        <f aca="false">IF(AND(ISNUMBER($G467),$G467&gt;=21),STDEV(INDEX($H$407:$H467,62-20):$H467)*SQRT(245),"")</f>
        <v>0.144891916595252</v>
      </c>
      <c r="M467" s="37" t="n">
        <f aca="false">IF(AND(ISNUMBER($G467),$G467&gt;=60),MAX(INDEX($D$267:$D467,202-60):$D467),"")</f>
        <v>1395701</v>
      </c>
      <c r="N467" s="37" t="n">
        <f aca="false">IF(AND(ISNUMBER($G467),$G467&gt;=60),MIN(INDEX($E$267:$E467,202-60):$E467),"")</f>
        <v>1171184</v>
      </c>
      <c r="O467" s="38" t="n">
        <f aca="false">IF(OR(NOT(ISNUMBER($C467)),NOT(ISNUMBER($M467)),$M467=0),"",$C467/$M467-1)</f>
        <v>-0.0272966774402253</v>
      </c>
    </row>
    <row r="468" customFormat="false" ht="15" hidden="false" customHeight="true" outlineLevel="0" collapsed="false">
      <c r="A468" s="32" t="n">
        <v>46217</v>
      </c>
      <c r="B468" s="33" t="s">
        <v>558</v>
      </c>
      <c r="C468" s="34" t="n">
        <v>1362503</v>
      </c>
      <c r="D468" s="34" t="n">
        <v>1365006</v>
      </c>
      <c r="E468" s="34" t="n">
        <v>1360311</v>
      </c>
      <c r="F468" s="34" t="n">
        <v>0</v>
      </c>
      <c r="G468" s="35" t="n">
        <f aca="false">IF($A468="","",IF(ISNUMBER($G467),$G467+1,1))</f>
        <v>464</v>
      </c>
      <c r="H468" s="36" t="n">
        <f aca="false">IF(OR(NOT(ISNUMBER($G468)),$G468&lt;2,NOT(ISNUMBER($C467)),$C467=0),"",$C468/$C467-1)</f>
        <v>0.00360930257225411</v>
      </c>
      <c r="I468" s="37" t="n">
        <f aca="false">IF(AND(ISNUMBER($G468),$G468&gt;=MA_SHORT),AVERAGE(INDEX($C$68:$C468,402-MA_SHORT):$C468),"")</f>
        <v>1357014.2</v>
      </c>
      <c r="J468" s="37" t="n">
        <f aca="false">IF(AND(ISNUMBER($G468),$G468&gt;=MA_MED),AVERAGE(INDEX($C$68:$C468,402-MA_MED):$C468),"")</f>
        <v>1334214.56</v>
      </c>
      <c r="K468" s="37" t="n">
        <f aca="false">IF(AND(ISNUMBER($G468),$G468&gt;=MA_LONG2),AVERAGE(INDEX($C$68:$C468,402-MA_LONG2):$C468),"")</f>
        <v>1186518.76</v>
      </c>
      <c r="L468" s="38" t="n">
        <f aca="false">IF(AND(ISNUMBER($G468),$G468&gt;=21),STDEV(INDEX($H$408:$H468,62-20):$H468)*SQRT(245),"")</f>
        <v>0.139045457334945</v>
      </c>
      <c r="M468" s="37" t="n">
        <f aca="false">IF(AND(ISNUMBER($G468),$G468&gt;=60),MAX(INDEX($D$268:$D468,202-60):$D468),"")</f>
        <v>1395701</v>
      </c>
      <c r="N468" s="37" t="n">
        <f aca="false">IF(AND(ISNUMBER($G468),$G468&gt;=60),MIN(INDEX($E$268:$E468,202-60):$E468),"")</f>
        <v>1171184</v>
      </c>
      <c r="O468" s="38" t="n">
        <f aca="false">IF(OR(NOT(ISNUMBER($C468)),NOT(ISNUMBER($M468)),$M468=0),"",$C468/$M468-1)</f>
        <v>-0.0237858968360702</v>
      </c>
    </row>
    <row r="469" customFormat="false" ht="15" hidden="false" customHeight="true" outlineLevel="0" collapsed="false">
      <c r="A469" s="32" t="n">
        <v>46218</v>
      </c>
      <c r="B469" s="33" t="s">
        <v>559</v>
      </c>
      <c r="C469" s="34" t="n">
        <v>1362896</v>
      </c>
      <c r="D469" s="34" t="n">
        <v>1365474</v>
      </c>
      <c r="E469" s="34" t="n">
        <v>1358500</v>
      </c>
      <c r="F469" s="34" t="n">
        <v>0</v>
      </c>
      <c r="G469" s="35" t="n">
        <f aca="false">IF($A469="","",IF(ISNUMBER($G468),$G468+1,1))</f>
        <v>465</v>
      </c>
      <c r="H469" s="36" t="n">
        <f aca="false">IF(OR(NOT(ISNUMBER($G469)),$G469&lt;2,NOT(ISNUMBER($C468)),$C468=0),"",$C469/$C468-1)</f>
        <v>0.000288439731875867</v>
      </c>
      <c r="I469" s="37" t="n">
        <f aca="false">IF(AND(ISNUMBER($G469),$G469&gt;=MA_SHORT),AVERAGE(INDEX($C$69:$C469,402-MA_SHORT):$C469),"")</f>
        <v>1356217.35</v>
      </c>
      <c r="J469" s="37" t="n">
        <f aca="false">IF(AND(ISNUMBER($G469),$G469&gt;=MA_MED),AVERAGE(INDEX($C$69:$C469,402-MA_MED):$C469),"")</f>
        <v>1337881.64</v>
      </c>
      <c r="K469" s="37" t="n">
        <f aca="false">IF(AND(ISNUMBER($G469),$G469&gt;=MA_LONG2),AVERAGE(INDEX($C$69:$C469,402-MA_LONG2):$C469),"")</f>
        <v>1188075.87</v>
      </c>
      <c r="L469" s="38" t="n">
        <f aca="false">IF(AND(ISNUMBER($G469),$G469&gt;=21),STDEV(INDEX($H$409:$H469,62-20):$H469)*SQRT(245),"")</f>
        <v>0.136864049270762</v>
      </c>
      <c r="M469" s="37" t="n">
        <f aca="false">IF(AND(ISNUMBER($G469),$G469&gt;=60),MAX(INDEX($D$269:$D469,202-60):$D469),"")</f>
        <v>1395701</v>
      </c>
      <c r="N469" s="37" t="n">
        <f aca="false">IF(AND(ISNUMBER($G469),$G469&gt;=60),MIN(INDEX($E$269:$E469,202-60):$E469),"")</f>
        <v>1171184</v>
      </c>
      <c r="O469" s="38" t="n">
        <f aca="false">IF(OR(NOT(ISNUMBER($C469)),NOT(ISNUMBER($M469)),$M469=0),"",$C469/$M469-1)</f>
        <v>-0.0235043179019002</v>
      </c>
    </row>
    <row r="470" customFormat="false" ht="15" hidden="false" customHeight="true" outlineLevel="0" collapsed="false">
      <c r="A470" s="32" t="n">
        <v>46221</v>
      </c>
      <c r="B470" s="33" t="s">
        <v>560</v>
      </c>
      <c r="C470" s="34" t="n">
        <v>1362021</v>
      </c>
      <c r="D470" s="34" t="n">
        <v>1363261</v>
      </c>
      <c r="E470" s="34" t="n">
        <v>1358278</v>
      </c>
      <c r="F470" s="34" t="n">
        <v>0</v>
      </c>
      <c r="G470" s="35" t="n">
        <f aca="false">IF($A470="","",IF(ISNUMBER($G469),$G469+1,1))</f>
        <v>466</v>
      </c>
      <c r="H470" s="36" t="n">
        <f aca="false">IF(OR(NOT(ISNUMBER($G470)),$G470&lt;2,NOT(ISNUMBER($C469)),$C469=0),"",$C470/$C469-1)</f>
        <v>-0.000642015238140004</v>
      </c>
      <c r="I470" s="37" t="n">
        <f aca="false">IF(AND(ISNUMBER($G470),$G470&gt;=MA_SHORT),AVERAGE(INDEX($C$70:$C470,402-MA_SHORT):$C470),"")</f>
        <v>1356073.55</v>
      </c>
      <c r="J470" s="37" t="n">
        <f aca="false">IF(AND(ISNUMBER($G470),$G470&gt;=MA_MED),AVERAGE(INDEX($C$70:$C470,402-MA_MED):$C470),"")</f>
        <v>1341251.62</v>
      </c>
      <c r="K470" s="37" t="n">
        <f aca="false">IF(AND(ISNUMBER($G470),$G470&gt;=MA_LONG2),AVERAGE(INDEX($C$70:$C470,402-MA_LONG2):$C470),"")</f>
        <v>1189612.69</v>
      </c>
      <c r="L470" s="38" t="n">
        <f aca="false">IF(AND(ISNUMBER($G470),$G470&gt;=21),STDEV(INDEX($H$410:$H470,62-20):$H470)*SQRT(245),"")</f>
        <v>0.132269009085043</v>
      </c>
      <c r="M470" s="37" t="n">
        <f aca="false">IF(AND(ISNUMBER($G470),$G470&gt;=60),MAX(INDEX($D$270:$D470,202-60):$D470),"")</f>
        <v>1395701</v>
      </c>
      <c r="N470" s="37" t="n">
        <f aca="false">IF(AND(ISNUMBER($G470),$G470&gt;=60),MIN(INDEX($E$270:$E470,202-60):$E470),"")</f>
        <v>1171184</v>
      </c>
      <c r="O470" s="38" t="n">
        <f aca="false">IF(OR(NOT(ISNUMBER($C470)),NOT(ISNUMBER($M470)),$M470=0),"",$C470/$M470-1)</f>
        <v>-0.0241312430097851</v>
      </c>
    </row>
    <row r="471" customFormat="false" ht="15" hidden="false" customHeight="true" outlineLevel="0" collapsed="false">
      <c r="A471" s="32" t="n">
        <v>46222</v>
      </c>
      <c r="B471" s="33" t="s">
        <v>561</v>
      </c>
      <c r="C471" s="34" t="n">
        <v>1365044</v>
      </c>
      <c r="D471" s="34" t="n">
        <v>1371941</v>
      </c>
      <c r="E471" s="34" t="n">
        <v>1364789</v>
      </c>
      <c r="F471" s="34" t="n">
        <v>0</v>
      </c>
      <c r="G471" s="35" t="n">
        <f aca="false">IF($A471="","",IF(ISNUMBER($G470),$G470+1,1))</f>
        <v>467</v>
      </c>
      <c r="H471" s="36" t="n">
        <f aca="false">IF(OR(NOT(ISNUMBER($G471)),$G471&lt;2,NOT(ISNUMBER($C470)),$C470=0),"",$C471/$C470-1)</f>
        <v>0.00221949588148784</v>
      </c>
      <c r="I471" s="37" t="n">
        <f aca="false">IF(AND(ISNUMBER($G471),$G471&gt;=MA_SHORT),AVERAGE(INDEX($C$71:$C471,402-MA_SHORT):$C471),"")</f>
        <v>1356512.25</v>
      </c>
      <c r="J471" s="37" t="n">
        <f aca="false">IF(AND(ISNUMBER($G471),$G471&gt;=MA_MED),AVERAGE(INDEX($C$71:$C471,402-MA_MED):$C471),"")</f>
        <v>1343298.78</v>
      </c>
      <c r="K471" s="37" t="n">
        <f aca="false">IF(AND(ISNUMBER($G471),$G471&gt;=MA_LONG2),AVERAGE(INDEX($C$71:$C471,402-MA_LONG2):$C471),"")</f>
        <v>1191148.825</v>
      </c>
      <c r="L471" s="38" t="n">
        <f aca="false">IF(AND(ISNUMBER($G471),$G471&gt;=21),STDEV(INDEX($H$411:$H471,62-20):$H471)*SQRT(245),"")</f>
        <v>0.130430903845851</v>
      </c>
      <c r="M471" s="37" t="n">
        <f aca="false">IF(AND(ISNUMBER($G471),$G471&gt;=60),MAX(INDEX($D$271:$D471,202-60):$D471),"")</f>
        <v>1395701</v>
      </c>
      <c r="N471" s="37" t="n">
        <f aca="false">IF(AND(ISNUMBER($G471),$G471&gt;=60),MIN(INDEX($E$271:$E471,202-60):$E471),"")</f>
        <v>1171184</v>
      </c>
      <c r="O471" s="38" t="n">
        <f aca="false">IF(OR(NOT(ISNUMBER($C471)),NOT(ISNUMBER($M471)),$M471=0),"",$C471/$M471-1)</f>
        <v>-0.0219653063227726</v>
      </c>
    </row>
    <row r="472" customFormat="false" ht="15" hidden="false" customHeight="true" outlineLevel="0" collapsed="false">
      <c r="A472" s="32" t="n">
        <v>46223</v>
      </c>
      <c r="B472" s="33" t="s">
        <v>562</v>
      </c>
      <c r="C472" s="34" t="n">
        <v>1370806</v>
      </c>
      <c r="D472" s="34" t="n">
        <v>1375335</v>
      </c>
      <c r="E472" s="34" t="n">
        <v>1367598</v>
      </c>
      <c r="F472" s="34" t="n">
        <v>0</v>
      </c>
      <c r="G472" s="35" t="n">
        <f aca="false">IF($A472="","",IF(ISNUMBER($G471),$G471+1,1))</f>
        <v>468</v>
      </c>
      <c r="H472" s="36" t="n">
        <f aca="false">IF(OR(NOT(ISNUMBER($G472)),$G472&lt;2,NOT(ISNUMBER($C471)),$C471=0),"",$C472/$C471-1)</f>
        <v>0.00422110935618192</v>
      </c>
      <c r="I472" s="37" t="n">
        <f aca="false">IF(AND(ISNUMBER($G472),$G472&gt;=MA_SHORT),AVERAGE(INDEX($C$72:$C472,402-MA_SHORT):$C472),"")</f>
        <v>1357067.8</v>
      </c>
      <c r="J472" s="37" t="n">
        <f aca="false">IF(AND(ISNUMBER($G472),$G472&gt;=MA_MED),AVERAGE(INDEX($C$72:$C472,402-MA_MED):$C472),"")</f>
        <v>1345496.48</v>
      </c>
      <c r="K472" s="37" t="n">
        <f aca="false">IF(AND(ISNUMBER($G472),$G472&gt;=MA_LONG2),AVERAGE(INDEX($C$72:$C472,402-MA_LONG2):$C472),"")</f>
        <v>1192694.535</v>
      </c>
      <c r="L472" s="38" t="n">
        <f aca="false">IF(AND(ISNUMBER($G472),$G472&gt;=21),STDEV(INDEX($H$412:$H472,62-20):$H472)*SQRT(245),"")</f>
        <v>0.130928792218701</v>
      </c>
      <c r="M472" s="37" t="n">
        <f aca="false">IF(AND(ISNUMBER($G472),$G472&gt;=60),MAX(INDEX($D$272:$D472,202-60):$D472),"")</f>
        <v>1395701</v>
      </c>
      <c r="N472" s="37" t="n">
        <f aca="false">IF(AND(ISNUMBER($G472),$G472&gt;=60),MIN(INDEX($E$272:$E472,202-60):$E472),"")</f>
        <v>1171184</v>
      </c>
      <c r="O472" s="38" t="n">
        <f aca="false">IF(OR(NOT(ISNUMBER($C472)),NOT(ISNUMBER($M472)),$M472=0),"",$C472/$M472-1)</f>
        <v>-0.0178369149266211</v>
      </c>
    </row>
    <row r="473" customFormat="false" ht="15" hidden="false" customHeight="true" outlineLevel="0" collapsed="false">
      <c r="A473" s="32" t="n">
        <v>46224</v>
      </c>
      <c r="B473" s="33" t="s">
        <v>563</v>
      </c>
      <c r="C473" s="34" t="n">
        <v>1367936</v>
      </c>
      <c r="D473" s="34" t="n">
        <v>1369605</v>
      </c>
      <c r="E473" s="34" t="n">
        <v>1363047</v>
      </c>
      <c r="F473" s="34" t="n">
        <v>0</v>
      </c>
      <c r="G473" s="35" t="n">
        <f aca="false">IF($A473="","",IF(ISNUMBER($G472),$G472+1,1))</f>
        <v>469</v>
      </c>
      <c r="H473" s="36" t="n">
        <f aca="false">IF(OR(NOT(ISNUMBER($G473)),$G473&lt;2,NOT(ISNUMBER($C472)),$C472=0),"",$C473/$C472-1)</f>
        <v>-0.00209365876717782</v>
      </c>
      <c r="I473" s="37" t="n">
        <f aca="false">IF(AND(ISNUMBER($G473),$G473&gt;=MA_SHORT),AVERAGE(INDEX($C$73:$C473,402-MA_SHORT):$C473),"")</f>
        <v>1358323.65</v>
      </c>
      <c r="J473" s="37" t="n">
        <f aca="false">IF(AND(ISNUMBER($G473),$G473&gt;=MA_MED),AVERAGE(INDEX($C$73:$C473,402-MA_MED):$C473),"")</f>
        <v>1347296.94</v>
      </c>
      <c r="K473" s="37" t="n">
        <f aca="false">IF(AND(ISNUMBER($G473),$G473&gt;=MA_LONG2),AVERAGE(INDEX($C$73:$C473,402-MA_LONG2):$C473),"")</f>
        <v>1194172.645</v>
      </c>
      <c r="L473" s="38" t="n">
        <f aca="false">IF(AND(ISNUMBER($G473),$G473&gt;=21),STDEV(INDEX($H$413:$H473,62-20):$H473)*SQRT(245),"")</f>
        <v>0.122583453500357</v>
      </c>
      <c r="M473" s="37" t="n">
        <f aca="false">IF(AND(ISNUMBER($G473),$G473&gt;=60),MAX(INDEX($D$273:$D473,202-60):$D473),"")</f>
        <v>1395701</v>
      </c>
      <c r="N473" s="37" t="n">
        <f aca="false">IF(AND(ISNUMBER($G473),$G473&gt;=60),MIN(INDEX($E$273:$E473,202-60):$E473),"")</f>
        <v>1174454</v>
      </c>
      <c r="O473" s="38" t="n">
        <f aca="false">IF(OR(NOT(ISNUMBER($C473)),NOT(ISNUMBER($M473)),$M473=0),"",$C473/$M473-1)</f>
        <v>-0.0198932292804834</v>
      </c>
    </row>
    <row r="474" customFormat="false" ht="15" hidden="false" customHeight="true" outlineLevel="0" collapsed="false">
      <c r="A474" s="32" t="n">
        <v>46225</v>
      </c>
      <c r="B474" s="33" t="s">
        <v>564</v>
      </c>
      <c r="C474" s="34" t="n">
        <v>1357975</v>
      </c>
      <c r="D474" s="34" t="n">
        <v>1360485</v>
      </c>
      <c r="E474" s="34" t="n">
        <v>1356571</v>
      </c>
      <c r="F474" s="34" t="n">
        <v>0</v>
      </c>
      <c r="G474" s="35" t="n">
        <f aca="false">IF($A474="","",IF(ISNUMBER($G473),$G473+1,1))</f>
        <v>470</v>
      </c>
      <c r="H474" s="36" t="n">
        <f aca="false">IF(OR(NOT(ISNUMBER($G474)),$G474&lt;2,NOT(ISNUMBER($C473)),$C473=0),"",$C474/$C473-1)</f>
        <v>-0.00728177341630021</v>
      </c>
      <c r="I474" s="37" t="n">
        <f aca="false">IF(AND(ISNUMBER($G474),$G474&gt;=MA_SHORT),AVERAGE(INDEX($C$74:$C474,402-MA_SHORT):$C474),"")</f>
        <v>1358424.05</v>
      </c>
      <c r="J474" s="37" t="n">
        <f aca="false">IF(AND(ISNUMBER($G474),$G474&gt;=MA_MED),AVERAGE(INDEX($C$74:$C474,402-MA_MED):$C474),"")</f>
        <v>1348799.96</v>
      </c>
      <c r="K474" s="37" t="n">
        <f aca="false">IF(AND(ISNUMBER($G474),$G474&gt;=MA_LONG2),AVERAGE(INDEX($C$74:$C474,402-MA_LONG2):$C474),"")</f>
        <v>1195634.615</v>
      </c>
      <c r="L474" s="38" t="n">
        <f aca="false">IF(AND(ISNUMBER($G474),$G474&gt;=21),STDEV(INDEX($H$414:$H474,62-20):$H474)*SQRT(245),"")</f>
        <v>0.12127337728221</v>
      </c>
      <c r="M474" s="37" t="n">
        <f aca="false">IF(AND(ISNUMBER($G474),$G474&gt;=60),MAX(INDEX($D$274:$D474,202-60):$D474),"")</f>
        <v>1395701</v>
      </c>
      <c r="N474" s="37" t="n">
        <f aca="false">IF(AND(ISNUMBER($G474),$G474&gt;=60),MIN(INDEX($E$274:$E474,202-60):$E474),"")</f>
        <v>1174454</v>
      </c>
      <c r="O474" s="38" t="n">
        <f aca="false">IF(OR(NOT(ISNUMBER($C474)),NOT(ISNUMBER($M474)),$M474=0),"",$C474/$M474-1)</f>
        <v>-0.0270301447086446</v>
      </c>
    </row>
    <row r="475" customFormat="false" ht="15" hidden="false" customHeight="true" outlineLevel="0" collapsed="false">
      <c r="A475" s="32" t="n">
        <v>46228</v>
      </c>
      <c r="B475" s="33" t="s">
        <v>565</v>
      </c>
      <c r="C475" s="34" t="n">
        <v>1348343</v>
      </c>
      <c r="D475" s="34" t="n">
        <v>1351248</v>
      </c>
      <c r="E475" s="34" t="n">
        <v>1347643</v>
      </c>
      <c r="F475" s="34" t="n">
        <v>0</v>
      </c>
      <c r="G475" s="35" t="n">
        <f aca="false">IF($A475="","",IF(ISNUMBER($G474),$G474+1,1))</f>
        <v>471</v>
      </c>
      <c r="H475" s="36" t="n">
        <f aca="false">IF(OR(NOT(ISNUMBER($G475)),$G475&lt;2,NOT(ISNUMBER($C474)),$C474=0),"",$C475/$C474-1)</f>
        <v>-0.00709291408162893</v>
      </c>
      <c r="I475" s="37" t="n">
        <f aca="false">IF(AND(ISNUMBER($G475),$G475&gt;=MA_SHORT),AVERAGE(INDEX($C$75:$C475,402-MA_SHORT):$C475),"")</f>
        <v>1357440.9</v>
      </c>
      <c r="J475" s="37" t="n">
        <f aca="false">IF(AND(ISNUMBER($G475),$G475&gt;=MA_MED),AVERAGE(INDEX($C$75:$C475,402-MA_MED):$C475),"")</f>
        <v>1350121.9</v>
      </c>
      <c r="K475" s="37" t="n">
        <f aca="false">IF(AND(ISNUMBER($G475),$G475&gt;=MA_LONG2),AVERAGE(INDEX($C$75:$C475,402-MA_LONG2):$C475),"")</f>
        <v>1197044.615</v>
      </c>
      <c r="L475" s="38" t="n">
        <f aca="false">IF(AND(ISNUMBER($G475),$G475&gt;=21),STDEV(INDEX($H$415:$H475,62-20):$H475)*SQRT(245),"")</f>
        <v>0.119235893094236</v>
      </c>
      <c r="M475" s="37" t="n">
        <f aca="false">IF(AND(ISNUMBER($G475),$G475&gt;=60),MAX(INDEX($D$275:$D475,202-60):$D475),"")</f>
        <v>1395701</v>
      </c>
      <c r="N475" s="37" t="n">
        <f aca="false">IF(AND(ISNUMBER($G475),$G475&gt;=60),MIN(INDEX($E$275:$E475,202-60):$E475),"")</f>
        <v>1174454</v>
      </c>
      <c r="O475" s="38" t="n">
        <f aca="false">IF(OR(NOT(ISNUMBER($C475)),NOT(ISNUMBER($M475)),$M475=0),"",$C475/$M475-1)</f>
        <v>-0.0339313362962411</v>
      </c>
    </row>
    <row r="476" customFormat="false" ht="15" hidden="false" customHeight="true" outlineLevel="0" collapsed="false">
      <c r="A476" s="32" t="n">
        <v>46229</v>
      </c>
      <c r="B476" s="33" t="s">
        <v>566</v>
      </c>
      <c r="C476" s="34" t="n">
        <v>1330309</v>
      </c>
      <c r="D476" s="34" t="n">
        <v>1334860</v>
      </c>
      <c r="E476" s="34" t="n">
        <v>1325710</v>
      </c>
      <c r="F476" s="34" t="n">
        <v>0</v>
      </c>
      <c r="G476" s="35" t="n">
        <f aca="false">IF($A476="","",IF(ISNUMBER($G475),$G475+1,1))</f>
        <v>472</v>
      </c>
      <c r="H476" s="36" t="n">
        <f aca="false">IF(OR(NOT(ISNUMBER($G476)),$G476&lt;2,NOT(ISNUMBER($C475)),$C475=0),"",$C476/$C475-1)</f>
        <v>-0.0133749350128268</v>
      </c>
      <c r="I476" s="37" t="n">
        <f aca="false">IF(AND(ISNUMBER($G476),$G476&gt;=MA_SHORT),AVERAGE(INDEX($C$76:$C476,402-MA_SHORT):$C476),"")</f>
        <v>1355799.6</v>
      </c>
      <c r="J476" s="37" t="n">
        <f aca="false">IF(AND(ISNUMBER($G476),$G476&gt;=MA_MED),AVERAGE(INDEX($C$76:$C476,402-MA_MED):$C476),"")</f>
        <v>1350858.08</v>
      </c>
      <c r="K476" s="37" t="n">
        <f aca="false">IF(AND(ISNUMBER($G476),$G476&gt;=MA_LONG2),AVERAGE(INDEX($C$76:$C476,402-MA_LONG2):$C476),"")</f>
        <v>1198427.085</v>
      </c>
      <c r="L476" s="38" t="n">
        <f aca="false">IF(AND(ISNUMBER($G476),$G476&gt;=21),STDEV(INDEX($H$416:$H476,62-20):$H476)*SQRT(245),"")</f>
        <v>0.126972958787921</v>
      </c>
      <c r="M476" s="37" t="n">
        <f aca="false">IF(AND(ISNUMBER($G476),$G476&gt;=60),MAX(INDEX($D$276:$D476,202-60):$D476),"")</f>
        <v>1395701</v>
      </c>
      <c r="N476" s="37" t="n">
        <f aca="false">IF(AND(ISNUMBER($G476),$G476&gt;=60),MIN(INDEX($E$276:$E476,202-60):$E476),"")</f>
        <v>1174454</v>
      </c>
      <c r="O476" s="38" t="n">
        <f aca="false">IF(OR(NOT(ISNUMBER($C476)),NOT(ISNUMBER($M476)),$M476=0),"",$C476/$M476-1)</f>
        <v>-0.0468524418912074</v>
      </c>
    </row>
    <row r="477" customFormat="false" ht="15" hidden="false" customHeight="true" outlineLevel="0" collapsed="false">
      <c r="A477" s="32" t="n">
        <v>46230</v>
      </c>
      <c r="B477" s="33" t="s">
        <v>567</v>
      </c>
      <c r="C477" s="34" t="n">
        <v>1331322</v>
      </c>
      <c r="D477" s="34" t="n">
        <v>1332231</v>
      </c>
      <c r="E477" s="34" t="n">
        <v>1330496</v>
      </c>
      <c r="F477" s="34" t="n">
        <v>0</v>
      </c>
      <c r="G477" s="35" t="n">
        <f aca="false">IF($A477="","",IF(ISNUMBER($G476),$G476+1,1))</f>
        <v>473</v>
      </c>
      <c r="H477" s="36" t="n">
        <f aca="false">IF(OR(NOT(ISNUMBER($G477)),$G477&lt;2,NOT(ISNUMBER($C476)),$C476=0),"",$C477/$C476-1)</f>
        <v>0.000761477220705853</v>
      </c>
      <c r="I477" s="37" t="n">
        <f aca="false">IF(AND(ISNUMBER($G477),$G477&gt;=MA_SHORT),AVERAGE(INDEX($C$77:$C477,402-MA_SHORT):$C477),"")</f>
        <v>1354456.2</v>
      </c>
      <c r="J477" s="37" t="n">
        <f aca="false">IF(AND(ISNUMBER($G477),$G477&gt;=MA_MED),AVERAGE(INDEX($C$77:$C477,402-MA_MED):$C477),"")</f>
        <v>1351390.4</v>
      </c>
      <c r="K477" s="37" t="n">
        <f aca="false">IF(AND(ISNUMBER($G477),$G477&gt;=MA_LONG2),AVERAGE(INDEX($C$77:$C477,402-MA_LONG2):$C477),"")</f>
        <v>1199708.275</v>
      </c>
      <c r="L477" s="38" t="n">
        <f aca="false">IF(AND(ISNUMBER($G477),$G477&gt;=21),STDEV(INDEX($H$417:$H477,62-20):$H477)*SQRT(245),"")</f>
        <v>0.12681420805446</v>
      </c>
      <c r="M477" s="37" t="n">
        <f aca="false">IF(AND(ISNUMBER($G477),$G477&gt;=60),MAX(INDEX($D$277:$D477,202-60):$D477),"")</f>
        <v>1395701</v>
      </c>
      <c r="N477" s="37" t="n">
        <f aca="false">IF(AND(ISNUMBER($G477),$G477&gt;=60),MIN(INDEX($E$277:$E477,202-60):$E477),"")</f>
        <v>1174454</v>
      </c>
      <c r="O477" s="38" t="n">
        <f aca="false">IF(OR(NOT(ISNUMBER($C477)),NOT(ISNUMBER($M477)),$M477=0),"",$C477/$M477-1)</f>
        <v>-0.0461266417377361</v>
      </c>
    </row>
    <row r="478" customFormat="false" ht="15" hidden="false" customHeight="true" outlineLevel="0" collapsed="false">
      <c r="A478" s="32" t="n">
        <v>46231</v>
      </c>
      <c r="B478" s="33" t="s">
        <v>568</v>
      </c>
      <c r="C478" s="34" t="n">
        <v>1412138</v>
      </c>
      <c r="D478" s="34" t="n">
        <v>1416196</v>
      </c>
      <c r="E478" s="34" t="n">
        <v>1409379</v>
      </c>
      <c r="F478" s="34" t="n">
        <v>0</v>
      </c>
      <c r="G478" s="35" t="n">
        <f aca="false">IF($A478="","",IF(ISNUMBER($G477),$G477+1,1))</f>
        <v>474</v>
      </c>
      <c r="H478" s="36" t="n">
        <f aca="false">IF(OR(NOT(ISNUMBER($G478)),$G478&lt;2,NOT(ISNUMBER($C477)),$C477=0),"",$C478/$C477-1)</f>
        <v>0.0607035713373625</v>
      </c>
      <c r="I478" s="37" t="n">
        <f aca="false">IF(AND(ISNUMBER($G478),$G478&gt;=MA_SHORT),AVERAGE(INDEX($C$78:$C478,402-MA_SHORT):$C478),"")</f>
        <v>1357514.3</v>
      </c>
      <c r="J478" s="37" t="n">
        <f aca="false">IF(AND(ISNUMBER($G478),$G478&gt;=MA_MED),AVERAGE(INDEX($C$78:$C478,402-MA_MED):$C478),"")</f>
        <v>1353386.08</v>
      </c>
      <c r="K478" s="37" t="n">
        <f aca="false">IF(AND(ISNUMBER($G478),$G478&gt;=MA_LONG2),AVERAGE(INDEX($C$78:$C478,402-MA_LONG2):$C478),"")</f>
        <v>1201414.755</v>
      </c>
      <c r="L478" s="38" t="n">
        <f aca="false">IF(AND(ISNUMBER($G478),$G478&gt;=21),STDEV(INDEX($H$418:$H478,62-20):$H478)*SQRT(245),"")</f>
        <v>0.249141486625802</v>
      </c>
      <c r="M478" s="37" t="n">
        <f aca="false">IF(AND(ISNUMBER($G478),$G478&gt;=60),MAX(INDEX($D$278:$D478,202-60):$D478),"")</f>
        <v>1416196</v>
      </c>
      <c r="N478" s="37" t="n">
        <f aca="false">IF(AND(ISNUMBER($G478),$G478&gt;=60),MIN(INDEX($E$278:$E478,202-60):$E478),"")</f>
        <v>1174454</v>
      </c>
      <c r="O478" s="38" t="n">
        <f aca="false">IF(OR(NOT(ISNUMBER($C478)),NOT(ISNUMBER($M478)),$M478=0),"",$C478/$M478-1)</f>
        <v>-0.0028654225827498</v>
      </c>
    </row>
    <row r="479" customFormat="false" ht="15" hidden="false" customHeight="true" outlineLevel="0" collapsed="false">
      <c r="A479" s="32" t="n">
        <v>46232</v>
      </c>
      <c r="B479" s="33" t="s">
        <v>569</v>
      </c>
      <c r="C479" s="34" t="n">
        <v>1415855</v>
      </c>
      <c r="D479" s="34" t="n">
        <v>1419379</v>
      </c>
      <c r="E479" s="34" t="n">
        <v>1412290</v>
      </c>
      <c r="F479" s="34" t="n">
        <v>0</v>
      </c>
      <c r="G479" s="35" t="n">
        <f aca="false">IF($A479="","",IF(ISNUMBER($G478),$G478+1,1))</f>
        <v>475</v>
      </c>
      <c r="H479" s="36" t="n">
        <f aca="false">IF(OR(NOT(ISNUMBER($G479)),$G479&lt;2,NOT(ISNUMBER($C478)),$C478=0),"",$C479/$C478-1)</f>
        <v>0.00263217900800061</v>
      </c>
      <c r="I479" s="37" t="n">
        <f aca="false">IF(AND(ISNUMBER($G479),$G479&gt;=MA_SHORT),AVERAGE(INDEX($C$79:$C479,402-MA_SHORT):$C479),"")</f>
        <v>1361143.75</v>
      </c>
      <c r="J479" s="37" t="n">
        <f aca="false">IF(AND(ISNUMBER($G479),$G479&gt;=MA_MED),AVERAGE(INDEX($C$79:$C479,402-MA_MED):$C479),"")</f>
        <v>1355556.22</v>
      </c>
      <c r="K479" s="37" t="n">
        <f aca="false">IF(AND(ISNUMBER($G479),$G479&gt;=MA_LONG2),AVERAGE(INDEX($C$79:$C479,402-MA_LONG2):$C479),"")</f>
        <v>1203151.165</v>
      </c>
      <c r="L479" s="38" t="n">
        <f aca="false">IF(AND(ISNUMBER($G479),$G479&gt;=21),STDEV(INDEX($H$419:$H479,62-20):$H479)*SQRT(245),"")</f>
        <v>0.247374609405133</v>
      </c>
      <c r="M479" s="37" t="n">
        <f aca="false">IF(AND(ISNUMBER($G479),$G479&gt;=60),MAX(INDEX($D$279:$D479,202-60):$D479),"")</f>
        <v>1419379</v>
      </c>
      <c r="N479" s="37" t="n">
        <f aca="false">IF(AND(ISNUMBER($G479),$G479&gt;=60),MIN(INDEX($E$279:$E479,202-60):$E479),"")</f>
        <v>1187387</v>
      </c>
      <c r="O479" s="38" t="n">
        <f aca="false">IF(OR(NOT(ISNUMBER($C479)),NOT(ISNUMBER($M479)),$M479=0),"",$C479/$M479-1)</f>
        <v>-0.0024827759182009</v>
      </c>
    </row>
    <row r="480" customFormat="false" ht="15" hidden="false" customHeight="true" outlineLevel="0" collapsed="false">
      <c r="A480" s="32" t="n">
        <v>46235</v>
      </c>
      <c r="B480" s="33" t="s">
        <v>570</v>
      </c>
      <c r="C480" s="34" t="n">
        <v>1407484</v>
      </c>
      <c r="D480" s="34" t="n">
        <v>1408311</v>
      </c>
      <c r="E480" s="34" t="n">
        <v>1404070</v>
      </c>
      <c r="F480" s="34" t="n">
        <v>0</v>
      </c>
      <c r="G480" s="35" t="n">
        <f aca="false">IF($A480="","",IF(ISNUMBER($G479),$G479+1,1))</f>
        <v>476</v>
      </c>
      <c r="H480" s="36" t="n">
        <f aca="false">IF(OR(NOT(ISNUMBER($G480)),$G480&lt;2,NOT(ISNUMBER($C479)),$C479=0),"",$C480/$C479-1)</f>
        <v>-0.00591232859297031</v>
      </c>
      <c r="I480" s="37" t="n">
        <f aca="false">IF(AND(ISNUMBER($G480),$G480&gt;=MA_SHORT),AVERAGE(INDEX($C$80:$C480,402-MA_SHORT):$C480),"")</f>
        <v>1365057.2</v>
      </c>
      <c r="J480" s="37" t="n">
        <f aca="false">IF(AND(ISNUMBER($G480),$G480&gt;=MA_MED),AVERAGE(INDEX($C$80:$C480,402-MA_MED):$C480),"")</f>
        <v>1357318.54</v>
      </c>
      <c r="K480" s="37" t="n">
        <f aca="false">IF(AND(ISNUMBER($G480),$G480&gt;=MA_LONG2),AVERAGE(INDEX($C$80:$C480,402-MA_LONG2):$C480),"")</f>
        <v>1204727.475</v>
      </c>
      <c r="L480" s="38" t="n">
        <f aca="false">IF(AND(ISNUMBER($G480),$G480&gt;=21),STDEV(INDEX($H$420:$H480,62-20):$H480)*SQRT(245),"")</f>
        <v>0.244740888757777</v>
      </c>
      <c r="M480" s="37" t="n">
        <f aca="false">IF(AND(ISNUMBER($G480),$G480&gt;=60),MAX(INDEX($D$280:$D480,202-60):$D480),"")</f>
        <v>1419379</v>
      </c>
      <c r="N480" s="37" t="n">
        <f aca="false">IF(AND(ISNUMBER($G480),$G480&gt;=60),MIN(INDEX($E$280:$E480,202-60):$E480),"")</f>
        <v>1259702</v>
      </c>
      <c r="O480" s="38" t="n">
        <f aca="false">IF(OR(NOT(ISNUMBER($C480)),NOT(ISNUMBER($M480)),$M480=0),"",$C480/$M480-1)</f>
        <v>-0.00838042552412011</v>
      </c>
    </row>
    <row r="481" customFormat="false" ht="15" hidden="false" customHeight="true" outlineLevel="0" collapsed="false">
      <c r="A481" s="32" t="n">
        <v>46236</v>
      </c>
      <c r="B481" s="33" t="s">
        <v>571</v>
      </c>
      <c r="C481" s="34" t="n">
        <v>1389360</v>
      </c>
      <c r="D481" s="34" t="n">
        <v>1392847</v>
      </c>
      <c r="E481" s="34" t="n">
        <v>1383113</v>
      </c>
      <c r="F481" s="34" t="n">
        <v>0</v>
      </c>
      <c r="G481" s="35" t="n">
        <f aca="false">IF($A481="","",IF(ISNUMBER($G480),$G480+1,1))</f>
        <v>477</v>
      </c>
      <c r="H481" s="36" t="n">
        <f aca="false">IF(OR(NOT(ISNUMBER($G481)),$G481&lt;2,NOT(ISNUMBER($C480)),$C480=0),"",$C481/$C480-1)</f>
        <v>-0.0128768781741035</v>
      </c>
      <c r="I481" s="37" t="n">
        <f aca="false">IF(AND(ISNUMBER($G481),$G481&gt;=MA_SHORT),AVERAGE(INDEX($C$81:$C481,402-MA_SHORT):$C481),"")</f>
        <v>1367629.3</v>
      </c>
      <c r="J481" s="37" t="n">
        <f aca="false">IF(AND(ISNUMBER($G481),$G481&gt;=MA_MED),AVERAGE(INDEX($C$81:$C481,402-MA_MED):$C481),"")</f>
        <v>1358790.6</v>
      </c>
      <c r="K481" s="37" t="n">
        <f aca="false">IF(AND(ISNUMBER($G481),$G481&gt;=MA_LONG2),AVERAGE(INDEX($C$81:$C481,402-MA_LONG2):$C481),"")</f>
        <v>1206107.28</v>
      </c>
      <c r="L481" s="38" t="n">
        <f aca="false">IF(AND(ISNUMBER($G481),$G481&gt;=21),STDEV(INDEX($H$421:$H481,62-20):$H481)*SQRT(245),"")</f>
        <v>0.250463220518935</v>
      </c>
      <c r="M481" s="37" t="n">
        <f aca="false">IF(AND(ISNUMBER($G481),$G481&gt;=60),MAX(INDEX($D$281:$D481,202-60):$D481),"")</f>
        <v>1419379</v>
      </c>
      <c r="N481" s="37" t="n">
        <f aca="false">IF(AND(ISNUMBER($G481),$G481&gt;=60),MIN(INDEX($E$281:$E481,202-60):$E481),"")</f>
        <v>1259702</v>
      </c>
      <c r="O481" s="38" t="n">
        <f aca="false">IF(OR(NOT(ISNUMBER($C481)),NOT(ISNUMBER($M481)),$M481=0),"",$C481/$M481-1)</f>
        <v>-0.0211493899797024</v>
      </c>
    </row>
    <row r="482" customFormat="false" ht="15" hidden="false" customHeight="true" outlineLevel="0" collapsed="false">
      <c r="A482" s="32" t="n">
        <v>46237</v>
      </c>
      <c r="B482" s="33" t="s">
        <v>572</v>
      </c>
      <c r="C482" s="34" t="n">
        <v>1371072</v>
      </c>
      <c r="D482" s="34" t="n">
        <v>1375649</v>
      </c>
      <c r="E482" s="34" t="n">
        <v>1367560</v>
      </c>
      <c r="F482" s="34" t="n">
        <v>0</v>
      </c>
      <c r="G482" s="35" t="n">
        <f aca="false">IF($A482="","",IF(ISNUMBER($G481),$G481+1,1))</f>
        <v>478</v>
      </c>
      <c r="H482" s="36" t="n">
        <f aca="false">IF(OR(NOT(ISNUMBER($G482)),$G482&lt;2,NOT(ISNUMBER($C481)),$C481=0),"",$C482/$C481-1)</f>
        <v>-0.0131628951459665</v>
      </c>
      <c r="I482" s="37" t="n">
        <f aca="false">IF(AND(ISNUMBER($G482),$G482&gt;=MA_SHORT),AVERAGE(INDEX($C$82:$C482,402-MA_SHORT):$C482),"")</f>
        <v>1368797.55</v>
      </c>
      <c r="J482" s="37" t="n">
        <f aca="false">IF(AND(ISNUMBER($G482),$G482&gt;=MA_MED),AVERAGE(INDEX($C$82:$C482,402-MA_MED):$C482),"")</f>
        <v>1359931.78</v>
      </c>
      <c r="K482" s="37" t="n">
        <f aca="false">IF(AND(ISNUMBER($G482),$G482&gt;=MA_LONG2),AVERAGE(INDEX($C$82:$C482,402-MA_LONG2):$C482),"")</f>
        <v>1207436.61</v>
      </c>
      <c r="L482" s="38" t="n">
        <f aca="false">IF(AND(ISNUMBER($G482),$G482&gt;=21),STDEV(INDEX($H$422:$H482,62-20):$H482)*SQRT(245),"")</f>
        <v>0.255078446251294</v>
      </c>
      <c r="M482" s="37" t="n">
        <f aca="false">IF(AND(ISNUMBER($G482),$G482&gt;=60),MAX(INDEX($D$282:$D482,202-60):$D482),"")</f>
        <v>1419379</v>
      </c>
      <c r="N482" s="37" t="n">
        <f aca="false">IF(AND(ISNUMBER($G482),$G482&gt;=60),MIN(INDEX($E$282:$E482,202-60):$E482),"")</f>
        <v>1269158</v>
      </c>
      <c r="O482" s="38" t="n">
        <f aca="false">IF(OR(NOT(ISNUMBER($C482)),NOT(ISNUMBER($M482)),$M482=0),"",$C482/$M482-1)</f>
        <v>-0.0340338979229649</v>
      </c>
    </row>
    <row r="483" customFormat="false" ht="15" hidden="false" customHeight="true" outlineLevel="0" collapsed="false">
      <c r="A483" s="32" t="n">
        <v>46238</v>
      </c>
      <c r="B483" s="33" t="s">
        <v>573</v>
      </c>
      <c r="C483" s="34" t="n">
        <v>1379904</v>
      </c>
      <c r="D483" s="34" t="n">
        <v>1380602</v>
      </c>
      <c r="E483" s="34" t="n">
        <v>1371983</v>
      </c>
      <c r="F483" s="34" t="n">
        <v>0</v>
      </c>
      <c r="G483" s="35" t="n">
        <f aca="false">IF($A483="","",IF(ISNUMBER($G482),$G482+1,1))</f>
        <v>479</v>
      </c>
      <c r="H483" s="36" t="n">
        <f aca="false">IF(OR(NOT(ISNUMBER($G483)),$G483&lt;2,NOT(ISNUMBER($C482)),$C482=0),"",$C483/$C482-1)</f>
        <v>0.00644167483545721</v>
      </c>
      <c r="I483" s="37" t="n">
        <f aca="false">IF(AND(ISNUMBER($G483),$G483&gt;=MA_SHORT),AVERAGE(INDEX($C$83:$C483,402-MA_SHORT):$C483),"")</f>
        <v>1370147.85</v>
      </c>
      <c r="J483" s="37" t="n">
        <f aca="false">IF(AND(ISNUMBER($G483),$G483&gt;=MA_MED),AVERAGE(INDEX($C$83:$C483,402-MA_MED):$C483),"")</f>
        <v>1360991.06</v>
      </c>
      <c r="K483" s="37" t="n">
        <f aca="false">IF(AND(ISNUMBER($G483),$G483&gt;=MA_LONG2),AVERAGE(INDEX($C$83:$C483,402-MA_LONG2):$C483),"")</f>
        <v>1208801.215</v>
      </c>
      <c r="L483" s="38" t="n">
        <f aca="false">IF(AND(ISNUMBER($G483),$G483&gt;=21),STDEV(INDEX($H$423:$H483,62-20):$H483)*SQRT(245),"")</f>
        <v>0.255614614780927</v>
      </c>
      <c r="M483" s="37" t="n">
        <f aca="false">IF(AND(ISNUMBER($G483),$G483&gt;=60),MAX(INDEX($D$283:$D483,202-60):$D483),"")</f>
        <v>1419379</v>
      </c>
      <c r="N483" s="37" t="n">
        <f aca="false">IF(AND(ISNUMBER($G483),$G483&gt;=60),MIN(INDEX($E$283:$E483,202-60):$E483),"")</f>
        <v>1279577</v>
      </c>
      <c r="O483" s="38" t="n">
        <f aca="false">IF(OR(NOT(ISNUMBER($C483)),NOT(ISNUMBER($M483)),$M483=0),"",$C483/$M483-1)</f>
        <v>-0.0278114583913106</v>
      </c>
    </row>
    <row r="484" customFormat="false" ht="15" hidden="false" customHeight="true" outlineLevel="0" collapsed="false">
      <c r="A484" s="32" t="n">
        <v>46239</v>
      </c>
      <c r="B484" s="33" t="s">
        <v>574</v>
      </c>
      <c r="C484" s="34" t="n">
        <v>1388116</v>
      </c>
      <c r="D484" s="34" t="n">
        <v>1392136</v>
      </c>
      <c r="E484" s="34" t="n">
        <v>1384491</v>
      </c>
      <c r="F484" s="34" t="n">
        <v>0</v>
      </c>
      <c r="G484" s="35" t="n">
        <f aca="false">IF($A484="","",IF(ISNUMBER($G483),$G483+1,1))</f>
        <v>480</v>
      </c>
      <c r="H484" s="36" t="n">
        <f aca="false">IF(OR(NOT(ISNUMBER($G484)),$G484&lt;2,NOT(ISNUMBER($C483)),$C483=0),"",$C484/$C483-1)</f>
        <v>0.00595113862993357</v>
      </c>
      <c r="I484" s="37" t="n">
        <f aca="false">IF(AND(ISNUMBER($G484),$G484&gt;=MA_SHORT),AVERAGE(INDEX($C$84:$C484,402-MA_SHORT):$C484),"")</f>
        <v>1370453.25</v>
      </c>
      <c r="J484" s="37" t="n">
        <f aca="false">IF(AND(ISNUMBER($G484),$G484&gt;=MA_MED),AVERAGE(INDEX($C$84:$C484,402-MA_MED):$C484),"")</f>
        <v>1362053.66</v>
      </c>
      <c r="K484" s="37" t="n">
        <f aca="false">IF(AND(ISNUMBER($G484),$G484&gt;=MA_LONG2),AVERAGE(INDEX($C$84:$C484,402-MA_LONG2):$C484),"")</f>
        <v>1210204.675</v>
      </c>
      <c r="L484" s="38" t="n">
        <f aca="false">IF(AND(ISNUMBER($G484),$G484&gt;=21),STDEV(INDEX($H$424:$H484,62-20):$H484)*SQRT(245),"")</f>
        <v>0.245185203586803</v>
      </c>
      <c r="M484" s="37" t="n">
        <f aca="false">IF(AND(ISNUMBER($G484),$G484&gt;=60),MAX(INDEX($D$284:$D484,202-60):$D484),"")</f>
        <v>1419379</v>
      </c>
      <c r="N484" s="37" t="n">
        <f aca="false">IF(AND(ISNUMBER($G484),$G484&gt;=60),MIN(INDEX($E$284:$E484,202-60):$E484),"")</f>
        <v>1279577</v>
      </c>
      <c r="O484" s="38" t="n">
        <f aca="false">IF(OR(NOT(ISNUMBER($C484)),NOT(ISNUMBER($M484)),$M484=0),"",$C484/$M484-1)</f>
        <v>-0.0220258296057642</v>
      </c>
    </row>
    <row r="485" customFormat="false" ht="15" hidden="false" customHeight="true" outlineLevel="0" collapsed="false">
      <c r="A485" s="32" t="n">
        <v>46242</v>
      </c>
      <c r="B485" s="33" t="s">
        <v>575</v>
      </c>
      <c r="C485" s="34" t="n">
        <v>1380230</v>
      </c>
      <c r="D485" s="34" t="n">
        <v>1382045</v>
      </c>
      <c r="E485" s="34" t="n">
        <v>1377644</v>
      </c>
      <c r="F485" s="34" t="n">
        <v>0</v>
      </c>
      <c r="G485" s="35" t="n">
        <f aca="false">IF($A485="","",IF(ISNUMBER($G484),$G484+1,1))</f>
        <v>481</v>
      </c>
      <c r="H485" s="36" t="n">
        <f aca="false">IF(OR(NOT(ISNUMBER($G485)),$G485&lt;2,NOT(ISNUMBER($C484)),$C484=0),"",$C485/$C484-1)</f>
        <v>-0.00568108140818202</v>
      </c>
      <c r="I485" s="37" t="n">
        <f aca="false">IF(AND(ISNUMBER($G485),$G485&gt;=MA_SHORT),AVERAGE(INDEX($C$85:$C485,402-MA_SHORT):$C485),"")</f>
        <v>1371271.15</v>
      </c>
      <c r="J485" s="37" t="n">
        <f aca="false">IF(AND(ISNUMBER($G485),$G485&gt;=MA_MED),AVERAGE(INDEX($C$85:$C485,402-MA_MED):$C485),"")</f>
        <v>1363177.16</v>
      </c>
      <c r="K485" s="37" t="n">
        <f aca="false">IF(AND(ISNUMBER($G485),$G485&gt;=MA_LONG2),AVERAGE(INDEX($C$85:$C485,402-MA_LONG2):$C485),"")</f>
        <v>1211718.615</v>
      </c>
      <c r="L485" s="38" t="n">
        <f aca="false">IF(AND(ISNUMBER($G485),$G485&gt;=21),STDEV(INDEX($H$425:$H485,62-20):$H485)*SQRT(245),"")</f>
        <v>0.24127077545247</v>
      </c>
      <c r="M485" s="37" t="n">
        <f aca="false">IF(AND(ISNUMBER($G485),$G485&gt;=60),MAX(INDEX($D$285:$D485,202-60):$D485),"")</f>
        <v>1419379</v>
      </c>
      <c r="N485" s="37" t="n">
        <f aca="false">IF(AND(ISNUMBER($G485),$G485&gt;=60),MIN(INDEX($E$285:$E485,202-60):$E485),"")</f>
        <v>1292806</v>
      </c>
      <c r="O485" s="38" t="n">
        <f aca="false">IF(OR(NOT(ISNUMBER($C485)),NOT(ISNUMBER($M485)),$M485=0),"",$C485/$M485-1)</f>
        <v>-0.0275817804828732</v>
      </c>
    </row>
    <row r="486" customFormat="false" ht="15" hidden="false" customHeight="true" outlineLevel="0" collapsed="false">
      <c r="A486" s="32" t="n">
        <v>46243</v>
      </c>
      <c r="B486" s="33" t="s">
        <v>576</v>
      </c>
      <c r="C486" s="34" t="n">
        <v>1376090</v>
      </c>
      <c r="D486" s="34" t="n">
        <v>1378566</v>
      </c>
      <c r="E486" s="34" t="n">
        <v>1373351</v>
      </c>
      <c r="F486" s="34" t="n">
        <v>0</v>
      </c>
      <c r="G486" s="35" t="n">
        <f aca="false">IF($A486="","",IF(ISNUMBER($G485),$G485+1,1))</f>
        <v>482</v>
      </c>
      <c r="H486" s="36" t="n">
        <f aca="false">IF(OR(NOT(ISNUMBER($G486)),$G486&lt;2,NOT(ISNUMBER($C485)),$C485=0),"",$C486/$C485-1)</f>
        <v>-0.0029995000833194</v>
      </c>
      <c r="I486" s="37" t="n">
        <f aca="false">IF(AND(ISNUMBER($G486),$G486&gt;=MA_SHORT),AVERAGE(INDEX($C$86:$C486,402-MA_SHORT):$C486),"")</f>
        <v>1371850.35</v>
      </c>
      <c r="J486" s="37" t="n">
        <f aca="false">IF(AND(ISNUMBER($G486),$G486&gt;=MA_MED),AVERAGE(INDEX($C$86:$C486,402-MA_MED):$C486),"")</f>
        <v>1364314.56</v>
      </c>
      <c r="K486" s="37" t="n">
        <f aca="false">IF(AND(ISNUMBER($G486),$G486&gt;=MA_LONG2),AVERAGE(INDEX($C$86:$C486,402-MA_LONG2):$C486),"")</f>
        <v>1213276.76</v>
      </c>
      <c r="L486" s="38" t="n">
        <f aca="false">IF(AND(ISNUMBER($G486),$G486&gt;=21),STDEV(INDEX($H$426:$H486,62-20):$H486)*SQRT(245),"")</f>
        <v>0.241619814200638</v>
      </c>
      <c r="M486" s="37" t="n">
        <f aca="false">IF(AND(ISNUMBER($G486),$G486&gt;=60),MAX(INDEX($D$286:$D486,202-60):$D486),"")</f>
        <v>1419379</v>
      </c>
      <c r="N486" s="37" t="n">
        <f aca="false">IF(AND(ISNUMBER($G486),$G486&gt;=60),MIN(INDEX($E$286:$E486,202-60):$E486),"")</f>
        <v>1297364</v>
      </c>
      <c r="O486" s="38" t="n">
        <f aca="false">IF(OR(NOT(ISNUMBER($C486)),NOT(ISNUMBER($M486)),$M486=0),"",$C486/$M486-1)</f>
        <v>-0.0304985490133362</v>
      </c>
    </row>
    <row r="487" customFormat="false" ht="15" hidden="false" customHeight="true" outlineLevel="0" collapsed="false">
      <c r="A487" s="32" t="n">
        <v>46244</v>
      </c>
      <c r="B487" s="33" t="s">
        <v>577</v>
      </c>
      <c r="C487" s="34" t="n">
        <v>1375557</v>
      </c>
      <c r="D487" s="34" t="n">
        <v>1380081</v>
      </c>
      <c r="E487" s="34" t="n">
        <v>1374268</v>
      </c>
      <c r="F487" s="34" t="n">
        <v>0</v>
      </c>
      <c r="G487" s="35" t="n">
        <f aca="false">IF($A487="","",IF(ISNUMBER($G486),$G486+1,1))</f>
        <v>483</v>
      </c>
      <c r="H487" s="36" t="n">
        <f aca="false">IF(OR(NOT(ISNUMBER($G487)),$G487&lt;2,NOT(ISNUMBER($C486)),$C486=0),"",$C487/$C486-1)</f>
        <v>-0.000387329317123153</v>
      </c>
      <c r="I487" s="37" t="n">
        <f aca="false">IF(AND(ISNUMBER($G487),$G487&gt;=MA_SHORT),AVERAGE(INDEX($C$87:$C487,402-MA_SHORT):$C487),"")</f>
        <v>1372748.05</v>
      </c>
      <c r="J487" s="37" t="n">
        <f aca="false">IF(AND(ISNUMBER($G487),$G487&gt;=MA_MED),AVERAGE(INDEX($C$87:$C487,402-MA_MED):$C487),"")</f>
        <v>1364873.76</v>
      </c>
      <c r="K487" s="37" t="n">
        <f aca="false">IF(AND(ISNUMBER($G487),$G487&gt;=MA_LONG2),AVERAGE(INDEX($C$87:$C487,402-MA_LONG2):$C487),"")</f>
        <v>1214885.815</v>
      </c>
      <c r="L487" s="38" t="n">
        <f aca="false">IF(AND(ISNUMBER($G487),$G487&gt;=21),STDEV(INDEX($H$427:$H487,62-20):$H487)*SQRT(245),"")</f>
        <v>0.240777525134589</v>
      </c>
      <c r="M487" s="37" t="n">
        <f aca="false">IF(AND(ISNUMBER($G487),$G487&gt;=60),MAX(INDEX($D$287:$D487,202-60):$D487),"")</f>
        <v>1419379</v>
      </c>
      <c r="N487" s="37" t="n">
        <f aca="false">IF(AND(ISNUMBER($G487),$G487&gt;=60),MIN(INDEX($E$287:$E487,202-60):$E487),"")</f>
        <v>1299474</v>
      </c>
      <c r="O487" s="38" t="n">
        <f aca="false">IF(OR(NOT(ISNUMBER($C487)),NOT(ISNUMBER($M487)),$M487=0),"",$C487/$M487-1)</f>
        <v>-0.0308740653482967</v>
      </c>
    </row>
    <row r="488" customFormat="false" ht="15" hidden="false" customHeight="true" outlineLevel="0" collapsed="false">
      <c r="A488" s="32" t="n">
        <v>46245</v>
      </c>
      <c r="B488" s="33" t="s">
        <v>578</v>
      </c>
      <c r="C488" s="34" t="n">
        <v>1374600</v>
      </c>
      <c r="D488" s="34" t="n">
        <v>1376222</v>
      </c>
      <c r="E488" s="34" t="n">
        <v>1371426</v>
      </c>
      <c r="F488" s="34" t="n">
        <v>0</v>
      </c>
      <c r="G488" s="35" t="n">
        <f aca="false">IF($A488="","",IF(ISNUMBER($G487),$G487+1,1))</f>
        <v>484</v>
      </c>
      <c r="H488" s="36" t="n">
        <f aca="false">IF(OR(NOT(ISNUMBER($G488)),$G488&lt;2,NOT(ISNUMBER($C487)),$C487=0),"",$C488/$C487-1)</f>
        <v>-0.000695718170893644</v>
      </c>
      <c r="I488" s="37" t="n">
        <f aca="false">IF(AND(ISNUMBER($G488),$G488&gt;=MA_SHORT),AVERAGE(INDEX($C$88:$C488,402-MA_SHORT):$C488),"")</f>
        <v>1373352.9</v>
      </c>
      <c r="J488" s="37" t="n">
        <f aca="false">IF(AND(ISNUMBER($G488),$G488&gt;=MA_MED),AVERAGE(INDEX($C$88:$C488,402-MA_MED):$C488),"")</f>
        <v>1365215.66</v>
      </c>
      <c r="K488" s="37" t="n">
        <f aca="false">IF(AND(ISNUMBER($G488),$G488&gt;=MA_LONG2),AVERAGE(INDEX($C$88:$C488,402-MA_LONG2):$C488),"")</f>
        <v>1216434.56</v>
      </c>
      <c r="L488" s="38" t="n">
        <f aca="false">IF(AND(ISNUMBER($G488),$G488&gt;=21),STDEV(INDEX($H$428:$H488,62-20):$H488)*SQRT(245),"")</f>
        <v>0.240593412212659</v>
      </c>
      <c r="M488" s="37" t="n">
        <f aca="false">IF(AND(ISNUMBER($G488),$G488&gt;=60),MAX(INDEX($D$288:$D488,202-60):$D488),"")</f>
        <v>1419379</v>
      </c>
      <c r="N488" s="37" t="n">
        <f aca="false">IF(AND(ISNUMBER($G488),$G488&gt;=60),MIN(INDEX($E$288:$E488,202-60):$E488),"")</f>
        <v>1299474</v>
      </c>
      <c r="O488" s="38" t="n">
        <f aca="false">IF(OR(NOT(ISNUMBER($C488)),NOT(ISNUMBER($M488)),$M488=0),"",$C488/$M488-1)</f>
        <v>-0.0315483038709182</v>
      </c>
    </row>
    <row r="489" customFormat="false" ht="15" hidden="false" customHeight="true" outlineLevel="0" collapsed="false">
      <c r="A489" s="32" t="n">
        <v>46246</v>
      </c>
      <c r="B489" s="33" t="s">
        <v>579</v>
      </c>
      <c r="C489" s="34" t="n">
        <v>1378121</v>
      </c>
      <c r="D489" s="34" t="n">
        <v>1379154</v>
      </c>
      <c r="E489" s="34" t="n">
        <v>1377671</v>
      </c>
      <c r="F489" s="34" t="n">
        <v>0</v>
      </c>
      <c r="G489" s="35" t="n">
        <f aca="false">IF($A489="","",IF(ISNUMBER($G488),$G488+1,1))</f>
        <v>485</v>
      </c>
      <c r="H489" s="36" t="n">
        <f aca="false">IF(OR(NOT(ISNUMBER($G489)),$G489&lt;2,NOT(ISNUMBER($C488)),$C488=0),"",$C489/$C488-1)</f>
        <v>0.0025614724283427</v>
      </c>
      <c r="I489" s="37" t="n">
        <f aca="false">IF(AND(ISNUMBER($G489),$G489&gt;=MA_SHORT),AVERAGE(INDEX($C$89:$C489,402-MA_SHORT):$C489),"")</f>
        <v>1374114.15</v>
      </c>
      <c r="J489" s="37" t="n">
        <f aca="false">IF(AND(ISNUMBER($G489),$G489&gt;=MA_MED),AVERAGE(INDEX($C$89:$C489,402-MA_MED):$C489),"")</f>
        <v>1365477.66</v>
      </c>
      <c r="K489" s="37" t="n">
        <f aca="false">IF(AND(ISNUMBER($G489),$G489&gt;=MA_LONG2),AVERAGE(INDEX($C$89:$C489,402-MA_LONG2):$C489),"")</f>
        <v>1218022.745</v>
      </c>
      <c r="L489" s="38" t="n">
        <f aca="false">IF(AND(ISNUMBER($G489),$G489&gt;=21),STDEV(INDEX($H$429:$H489,62-20):$H489)*SQRT(245),"")</f>
        <v>0.240692949887158</v>
      </c>
      <c r="M489" s="37" t="n">
        <f aca="false">IF(AND(ISNUMBER($G489),$G489&gt;=60),MAX(INDEX($D$289:$D489,202-60):$D489),"")</f>
        <v>1419379</v>
      </c>
      <c r="N489" s="37" t="n">
        <f aca="false">IF(AND(ISNUMBER($G489),$G489&gt;=60),MIN(INDEX($E$289:$E489,202-60):$E489),"")</f>
        <v>1313177</v>
      </c>
      <c r="O489" s="38" t="n">
        <f aca="false">IF(OR(NOT(ISNUMBER($C489)),NOT(ISNUMBER($M489)),$M489=0),"",$C489/$M489-1)</f>
        <v>-0.0290676415531017</v>
      </c>
    </row>
    <row r="490" customFormat="false" ht="15" hidden="false" customHeight="true" outlineLevel="0" collapsed="false">
      <c r="A490" s="32" t="n">
        <v>46249</v>
      </c>
      <c r="B490" s="33" t="s">
        <v>580</v>
      </c>
      <c r="C490" s="34" t="n">
        <v>1370948</v>
      </c>
      <c r="D490" s="34" t="n">
        <v>1372362</v>
      </c>
      <c r="E490" s="34" t="n">
        <v>1361009</v>
      </c>
      <c r="F490" s="34" t="n">
        <v>0</v>
      </c>
      <c r="G490" s="35" t="n">
        <f aca="false">IF($A490="","",IF(ISNUMBER($G489),$G489+1,1))</f>
        <v>486</v>
      </c>
      <c r="H490" s="36" t="n">
        <f aca="false">IF(OR(NOT(ISNUMBER($G490)),$G490&lt;2,NOT(ISNUMBER($C489)),$C489=0),"",$C490/$C489-1)</f>
        <v>-0.00520491306641435</v>
      </c>
      <c r="I490" s="37" t="n">
        <f aca="false">IF(AND(ISNUMBER($G490),$G490&gt;=MA_SHORT),AVERAGE(INDEX($C$90:$C490,402-MA_SHORT):$C490),"")</f>
        <v>1374560.5</v>
      </c>
      <c r="J490" s="37" t="n">
        <f aca="false">IF(AND(ISNUMBER($G490),$G490&gt;=MA_MED),AVERAGE(INDEX($C$90:$C490,402-MA_MED):$C490),"")</f>
        <v>1365933.66</v>
      </c>
      <c r="K490" s="37" t="n">
        <f aca="false">IF(AND(ISNUMBER($G490),$G490&gt;=MA_LONG2),AVERAGE(INDEX($C$90:$C490,402-MA_LONG2):$C490),"")</f>
        <v>1219614.58</v>
      </c>
      <c r="L490" s="38" t="n">
        <f aca="false">IF(AND(ISNUMBER($G490),$G490&gt;=21),STDEV(INDEX($H$430:$H490,62-20):$H490)*SQRT(245),"")</f>
        <v>0.241540662884945</v>
      </c>
      <c r="M490" s="37" t="n">
        <f aca="false">IF(AND(ISNUMBER($G490),$G490&gt;=60),MAX(INDEX($D$290:$D490,202-60):$D490),"")</f>
        <v>1419379</v>
      </c>
      <c r="N490" s="37" t="n">
        <f aca="false">IF(AND(ISNUMBER($G490),$G490&gt;=60),MIN(INDEX($E$290:$E490,202-60):$E490),"")</f>
        <v>1313177</v>
      </c>
      <c r="O490" s="38" t="n">
        <f aca="false">IF(OR(NOT(ISNUMBER($C490)),NOT(ISNUMBER($M490)),$M490=0),"",$C490/$M490-1)</f>
        <v>-0.0341212600721865</v>
      </c>
    </row>
    <row r="491" customFormat="false" ht="15" hidden="false" customHeight="true" outlineLevel="0" collapsed="false">
      <c r="A491" s="32" t="n">
        <v>46250</v>
      </c>
      <c r="B491" s="33" t="s">
        <v>581</v>
      </c>
      <c r="C491" s="34" t="n">
        <v>1378842</v>
      </c>
      <c r="D491" s="34" t="n">
        <v>1379123</v>
      </c>
      <c r="E491" s="34" t="n">
        <v>1376212</v>
      </c>
      <c r="F491" s="34" t="n">
        <v>0</v>
      </c>
      <c r="G491" s="35" t="n">
        <f aca="false">IF($A491="","",IF(ISNUMBER($G490),$G490+1,1))</f>
        <v>487</v>
      </c>
      <c r="H491" s="36" t="n">
        <f aca="false">IF(OR(NOT(ISNUMBER($G491)),$G491&lt;2,NOT(ISNUMBER($C490)),$C490=0),"",$C491/$C490-1)</f>
        <v>0.00575805938664331</v>
      </c>
      <c r="I491" s="37" t="n">
        <f aca="false">IF(AND(ISNUMBER($G491),$G491&gt;=MA_SHORT),AVERAGE(INDEX($C$91:$C491,402-MA_SHORT):$C491),"")</f>
        <v>1375250.4</v>
      </c>
      <c r="J491" s="37" t="n">
        <f aca="false">IF(AND(ISNUMBER($G491),$G491&gt;=MA_MED),AVERAGE(INDEX($C$91:$C491,402-MA_MED):$C491),"")</f>
        <v>1366245.6</v>
      </c>
      <c r="K491" s="37" t="n">
        <f aca="false">IF(AND(ISNUMBER($G491),$G491&gt;=MA_LONG2),AVERAGE(INDEX($C$91:$C491,402-MA_LONG2):$C491),"")</f>
        <v>1221227.505</v>
      </c>
      <c r="L491" s="38" t="n">
        <f aca="false">IF(AND(ISNUMBER($G491),$G491&gt;=21),STDEV(INDEX($H$431:$H491,62-20):$H491)*SQRT(245),"")</f>
        <v>0.242194136374397</v>
      </c>
      <c r="M491" s="37" t="n">
        <f aca="false">IF(AND(ISNUMBER($G491),$G491&gt;=60),MAX(INDEX($D$291:$D491,202-60):$D491),"")</f>
        <v>1419379</v>
      </c>
      <c r="N491" s="37" t="n">
        <f aca="false">IF(AND(ISNUMBER($G491),$G491&gt;=60),MIN(INDEX($E$291:$E491,202-60):$E491),"")</f>
        <v>1313177</v>
      </c>
      <c r="O491" s="38" t="n">
        <f aca="false">IF(OR(NOT(ISNUMBER($C491)),NOT(ISNUMBER($M491)),$M491=0),"",$C491/$M491-1)</f>
        <v>-0.0285596729273858</v>
      </c>
    </row>
    <row r="492" customFormat="false" ht="15" hidden="false" customHeight="true" outlineLevel="0" collapsed="false">
      <c r="A492" s="32" t="n">
        <v>46251</v>
      </c>
      <c r="B492" s="33" t="s">
        <v>582</v>
      </c>
      <c r="C492" s="34" t="n">
        <v>1412488</v>
      </c>
      <c r="D492" s="34" t="n">
        <v>1415348</v>
      </c>
      <c r="E492" s="34" t="n">
        <v>1407333</v>
      </c>
      <c r="F492" s="34" t="n">
        <v>0</v>
      </c>
      <c r="G492" s="35" t="n">
        <f aca="false">IF($A492="","",IF(ISNUMBER($G491),$G491+1,1))</f>
        <v>488</v>
      </c>
      <c r="H492" s="36" t="n">
        <f aca="false">IF(OR(NOT(ISNUMBER($G492)),$G492&lt;2,NOT(ISNUMBER($C491)),$C491=0),"",$C492/$C491-1)</f>
        <v>0.0244016355753596</v>
      </c>
      <c r="I492" s="37" t="n">
        <f aca="false">IF(AND(ISNUMBER($G492),$G492&gt;=MA_SHORT),AVERAGE(INDEX($C$92:$C492,402-MA_SHORT):$C492),"")</f>
        <v>1377334.5</v>
      </c>
      <c r="J492" s="37" t="n">
        <f aca="false">IF(AND(ISNUMBER($G492),$G492&gt;=MA_MED),AVERAGE(INDEX($C$92:$C492,402-MA_MED):$C492),"")</f>
        <v>1366885.06</v>
      </c>
      <c r="K492" s="37" t="n">
        <f aca="false">IF(AND(ISNUMBER($G492),$G492&gt;=MA_LONG2),AVERAGE(INDEX($C$92:$C492,402-MA_LONG2):$C492),"")</f>
        <v>1222982.415</v>
      </c>
      <c r="L492" s="38" t="n">
        <f aca="false">IF(AND(ISNUMBER($G492),$G492&gt;=21),STDEV(INDEX($H$432:$H492,62-20):$H492)*SQRT(245),"")</f>
        <v>0.255977545789966</v>
      </c>
      <c r="M492" s="37" t="n">
        <f aca="false">IF(AND(ISNUMBER($G492),$G492&gt;=60),MAX(INDEX($D$292:$D492,202-60):$D492),"")</f>
        <v>1419379</v>
      </c>
      <c r="N492" s="37" t="n">
        <f aca="false">IF(AND(ISNUMBER($G492),$G492&gt;=60),MIN(INDEX($E$292:$E492,202-60):$E492),"")</f>
        <v>1316448</v>
      </c>
      <c r="O492" s="38" t="n">
        <f aca="false">IF(OR(NOT(ISNUMBER($C492)),NOT(ISNUMBER($M492)),$M492=0),"",$C492/$M492-1)</f>
        <v>-0.00485494008295173</v>
      </c>
    </row>
    <row r="493" customFormat="false" ht="15" hidden="false" customHeight="true" outlineLevel="0" collapsed="false">
      <c r="A493" s="32" t="n">
        <v>46252</v>
      </c>
      <c r="B493" s="33" t="s">
        <v>583</v>
      </c>
      <c r="C493" s="34" t="n">
        <v>1420916</v>
      </c>
      <c r="D493" s="34" t="n">
        <v>1425073</v>
      </c>
      <c r="E493" s="34" t="n">
        <v>1409528</v>
      </c>
      <c r="F493" s="34" t="n">
        <v>0</v>
      </c>
      <c r="G493" s="35" t="n">
        <f aca="false">IF($A493="","",IF(ISNUMBER($G492),$G492+1,1))</f>
        <v>489</v>
      </c>
      <c r="H493" s="36" t="n">
        <f aca="false">IF(OR(NOT(ISNUMBER($G493)),$G493&lt;2,NOT(ISNUMBER($C492)),$C492=0),"",$C493/$C492-1)</f>
        <v>0.00596677635491427</v>
      </c>
      <c r="I493" s="37" t="n">
        <f aca="false">IF(AND(ISNUMBER($G493),$G493&gt;=MA_SHORT),AVERAGE(INDEX($C$93:$C493,402-MA_SHORT):$C493),"")</f>
        <v>1379983.5</v>
      </c>
      <c r="J493" s="37" t="n">
        <f aca="false">IF(AND(ISNUMBER($G493),$G493&gt;=MA_MED),AVERAGE(INDEX($C$93:$C493,402-MA_MED):$C493),"")</f>
        <v>1368011.18</v>
      </c>
      <c r="K493" s="37" t="n">
        <f aca="false">IF(AND(ISNUMBER($G493),$G493&gt;=MA_LONG2),AVERAGE(INDEX($C$93:$C493,402-MA_LONG2):$C493),"")</f>
        <v>1224797.125</v>
      </c>
      <c r="L493" s="38" t="n">
        <f aca="false">IF(AND(ISNUMBER($G493),$G493&gt;=21),STDEV(INDEX($H$433:$H493,62-20):$H493)*SQRT(245),"")</f>
        <v>0.256023295843615</v>
      </c>
      <c r="M493" s="37" t="n">
        <f aca="false">IF(AND(ISNUMBER($G493),$G493&gt;=60),MAX(INDEX($D$293:$D493,202-60):$D493),"")</f>
        <v>1425073</v>
      </c>
      <c r="N493" s="37" t="n">
        <f aca="false">IF(AND(ISNUMBER($G493),$G493&gt;=60),MIN(INDEX($E$293:$E493,202-60):$E493),"")</f>
        <v>1316448</v>
      </c>
      <c r="O493" s="38" t="n">
        <f aca="false">IF(OR(NOT(ISNUMBER($C493)),NOT(ISNUMBER($M493)),$M493=0),"",$C493/$M493-1)</f>
        <v>-0.00291704354794453</v>
      </c>
    </row>
    <row r="494" customFormat="false" ht="15" hidden="false" customHeight="true" outlineLevel="0" collapsed="false">
      <c r="A494" s="32" t="n">
        <v>46253</v>
      </c>
      <c r="B494" s="33" t="s">
        <v>584</v>
      </c>
      <c r="C494" s="34" t="n">
        <v>1422331</v>
      </c>
      <c r="D494" s="34" t="n">
        <v>1424925</v>
      </c>
      <c r="E494" s="34" t="n">
        <v>1422156</v>
      </c>
      <c r="F494" s="34" t="n">
        <v>0</v>
      </c>
      <c r="G494" s="35" t="n">
        <f aca="false">IF($A494="","",IF(ISNUMBER($G493),$G493+1,1))</f>
        <v>490</v>
      </c>
      <c r="H494" s="36" t="n">
        <f aca="false">IF(OR(NOT(ISNUMBER($G494)),$G494&lt;2,NOT(ISNUMBER($C493)),$C493=0),"",$C494/$C493-1)</f>
        <v>0.000995836488574931</v>
      </c>
      <c r="I494" s="37" t="n">
        <f aca="false">IF(AND(ISNUMBER($G494),$G494&gt;=MA_SHORT),AVERAGE(INDEX($C$94:$C494,402-MA_SHORT):$C494),"")</f>
        <v>1383201.3</v>
      </c>
      <c r="J494" s="37" t="n">
        <f aca="false">IF(AND(ISNUMBER($G494),$G494&gt;=MA_MED),AVERAGE(INDEX($C$94:$C494,402-MA_MED):$C494),"")</f>
        <v>1369506.02</v>
      </c>
      <c r="K494" s="37" t="n">
        <f aca="false">IF(AND(ISNUMBER($G494),$G494&gt;=MA_LONG2),AVERAGE(INDEX($C$94:$C494,402-MA_LONG2):$C494),"")</f>
        <v>1226643.325</v>
      </c>
      <c r="L494" s="38" t="n">
        <f aca="false">IF(AND(ISNUMBER($G494),$G494&gt;=21),STDEV(INDEX($H$434:$H494,62-20):$H494)*SQRT(245),"")</f>
        <v>0.253772409658735</v>
      </c>
      <c r="M494" s="37" t="n">
        <f aca="false">IF(AND(ISNUMBER($G494),$G494&gt;=60),MAX(INDEX($D$294:$D494,202-60):$D494),"")</f>
        <v>1425073</v>
      </c>
      <c r="N494" s="37" t="n">
        <f aca="false">IF(AND(ISNUMBER($G494),$G494&gt;=60),MIN(INDEX($E$294:$E494,202-60):$E494),"")</f>
        <v>1316448</v>
      </c>
      <c r="O494" s="38" t="n">
        <f aca="false">IF(OR(NOT(ISNUMBER($C494)),NOT(ISNUMBER($M494)),$M494=0),"",$C494/$M494-1)</f>
        <v>-0.00192411195777342</v>
      </c>
    </row>
    <row r="495" customFormat="false" ht="15" hidden="false" customHeight="true" outlineLevel="0" collapsed="false">
      <c r="A495" s="32" t="n">
        <v>46256</v>
      </c>
      <c r="B495" s="33" t="s">
        <v>585</v>
      </c>
      <c r="C495" s="34" t="n">
        <v>1402909</v>
      </c>
      <c r="D495" s="34" t="n">
        <v>1405706</v>
      </c>
      <c r="E495" s="34" t="n">
        <v>1401127</v>
      </c>
      <c r="F495" s="34" t="n">
        <v>0</v>
      </c>
      <c r="G495" s="35" t="n">
        <f aca="false">IF($A495="","",IF(ISNUMBER($G494),$G494+1,1))</f>
        <v>491</v>
      </c>
      <c r="H495" s="36" t="n">
        <f aca="false">IF(OR(NOT(ISNUMBER($G495)),$G495&lt;2,NOT(ISNUMBER($C494)),$C494=0),"",$C495/$C494-1)</f>
        <v>-0.0136550493520847</v>
      </c>
      <c r="I495" s="37" t="n">
        <f aca="false">IF(AND(ISNUMBER($G495),$G495&gt;=MA_SHORT),AVERAGE(INDEX($C$95:$C495,402-MA_SHORT):$C495),"")</f>
        <v>1385929.6</v>
      </c>
      <c r="J495" s="37" t="n">
        <f aca="false">IF(AND(ISNUMBER($G495),$G495&gt;=MA_MED),AVERAGE(INDEX($C$95:$C495,402-MA_MED):$C495),"")</f>
        <v>1370534.8</v>
      </c>
      <c r="K495" s="37" t="n">
        <f aca="false">IF(AND(ISNUMBER($G495),$G495&gt;=MA_LONG2),AVERAGE(INDEX($C$95:$C495,402-MA_LONG2):$C495),"")</f>
        <v>1228298.99</v>
      </c>
      <c r="L495" s="38" t="n">
        <f aca="false">IF(AND(ISNUMBER($G495),$G495&gt;=21),STDEV(INDEX($H$435:$H495,62-20):$H495)*SQRT(245),"")</f>
        <v>0.257955635557127</v>
      </c>
      <c r="M495" s="37" t="n">
        <f aca="false">IF(AND(ISNUMBER($G495),$G495&gt;=60),MAX(INDEX($D$295:$D495,202-60):$D495),"")</f>
        <v>1425073</v>
      </c>
      <c r="N495" s="37" t="n">
        <f aca="false">IF(AND(ISNUMBER($G495),$G495&gt;=60),MIN(INDEX($E$295:$E495,202-60):$E495),"")</f>
        <v>1316448</v>
      </c>
      <c r="O495" s="38" t="n">
        <f aca="false">IF(OR(NOT(ISNUMBER($C495)),NOT(ISNUMBER($M495)),$M495=0),"",$C495/$M495-1)</f>
        <v>-0.0155528874661157</v>
      </c>
    </row>
    <row r="496" customFormat="false" ht="15" hidden="false" customHeight="true" outlineLevel="0" collapsed="false">
      <c r="A496" s="32" t="n">
        <v>46257</v>
      </c>
      <c r="B496" s="33" t="s">
        <v>586</v>
      </c>
      <c r="C496" s="34" t="n">
        <v>1415161</v>
      </c>
      <c r="D496" s="34" t="n">
        <v>1416196</v>
      </c>
      <c r="E496" s="34" t="n">
        <v>1410819</v>
      </c>
      <c r="F496" s="34" t="n">
        <v>0</v>
      </c>
      <c r="G496" s="35" t="n">
        <f aca="false">IF($A496="","",IF(ISNUMBER($G495),$G495+1,1))</f>
        <v>492</v>
      </c>
      <c r="H496" s="36" t="n">
        <f aca="false">IF(OR(NOT(ISNUMBER($G496)),$G496&lt;2,NOT(ISNUMBER($C495)),$C495=0),"",$C496/$C495-1)</f>
        <v>0.00873328205892188</v>
      </c>
      <c r="I496" s="37" t="n">
        <f aca="false">IF(AND(ISNUMBER($G496),$G496&gt;=MA_SHORT),AVERAGE(INDEX($C$96:$C496,402-MA_SHORT):$C496),"")</f>
        <v>1390172.2</v>
      </c>
      <c r="J496" s="37" t="n">
        <f aca="false">IF(AND(ISNUMBER($G496),$G496&gt;=MA_MED),AVERAGE(INDEX($C$96:$C496,402-MA_MED):$C496),"")</f>
        <v>1371333.84</v>
      </c>
      <c r="K496" s="37" t="n">
        <f aca="false">IF(AND(ISNUMBER($G496),$G496&gt;=MA_LONG2),AVERAGE(INDEX($C$96:$C496,402-MA_LONG2):$C496),"")</f>
        <v>1229961.8</v>
      </c>
      <c r="L496" s="38" t="n">
        <f aca="false">IF(AND(ISNUMBER($G496),$G496&gt;=21),STDEV(INDEX($H$436:$H496,62-20):$H496)*SQRT(245),"")</f>
        <v>0.252386690929214</v>
      </c>
      <c r="M496" s="37" t="n">
        <f aca="false">IF(AND(ISNUMBER($G496),$G496&gt;=60),MAX(INDEX($D$296:$D496,202-60):$D496),"")</f>
        <v>1425073</v>
      </c>
      <c r="N496" s="37" t="n">
        <f aca="false">IF(AND(ISNUMBER($G496),$G496&gt;=60),MIN(INDEX($E$296:$E496,202-60):$E496),"")</f>
        <v>1325710</v>
      </c>
      <c r="O496" s="38" t="n">
        <f aca="false">IF(OR(NOT(ISNUMBER($C496)),NOT(ISNUMBER($M496)),$M496=0),"",$C496/$M496-1)</f>
        <v>-0.00695543316026614</v>
      </c>
    </row>
    <row r="497" customFormat="false" ht="15" hidden="false" customHeight="true" outlineLevel="0" collapsed="false">
      <c r="A497" s="32" t="n">
        <v>46258</v>
      </c>
      <c r="B497" s="33" t="s">
        <v>587</v>
      </c>
      <c r="C497" s="34" t="n">
        <v>1393823</v>
      </c>
      <c r="D497" s="34" t="n">
        <v>1398924</v>
      </c>
      <c r="E497" s="34" t="n">
        <v>1392596</v>
      </c>
      <c r="F497" s="34" t="n">
        <v>0</v>
      </c>
      <c r="G497" s="35" t="n">
        <f aca="false">IF($A497="","",IF(ISNUMBER($G496),$G496+1,1))</f>
        <v>493</v>
      </c>
      <c r="H497" s="36" t="n">
        <f aca="false">IF(OR(NOT(ISNUMBER($G497)),$G497&lt;2,NOT(ISNUMBER($C496)),$C496=0),"",$C497/$C496-1)</f>
        <v>-0.0150781430522746</v>
      </c>
      <c r="I497" s="37" t="n">
        <f aca="false">IF(AND(ISNUMBER($G497),$G497&gt;=MA_SHORT),AVERAGE(INDEX($C$97:$C497,402-MA_SHORT):$C497),"")</f>
        <v>1393297.25</v>
      </c>
      <c r="J497" s="37" t="n">
        <f aca="false">IF(AND(ISNUMBER($G497),$G497&gt;=MA_MED),AVERAGE(INDEX($C$97:$C497,402-MA_MED):$C497),"")</f>
        <v>1371456.86</v>
      </c>
      <c r="K497" s="37" t="n">
        <f aca="false">IF(AND(ISNUMBER($G497),$G497&gt;=MA_LONG2),AVERAGE(INDEX($C$97:$C497,402-MA_LONG2):$C497),"")</f>
        <v>1231521.94</v>
      </c>
      <c r="L497" s="38" t="n">
        <f aca="false">IF(AND(ISNUMBER($G497),$G497&gt;=21),STDEV(INDEX($H$437:$H497,62-20):$H497)*SQRT(245),"")</f>
        <v>0.260337055524712</v>
      </c>
      <c r="M497" s="37" t="n">
        <f aca="false">IF(AND(ISNUMBER($G497),$G497&gt;=60),MAX(INDEX($D$297:$D497,202-60):$D497),"")</f>
        <v>1425073</v>
      </c>
      <c r="N497" s="37" t="n">
        <f aca="false">IF(AND(ISNUMBER($G497),$G497&gt;=60),MIN(INDEX($E$297:$E497,202-60):$E497),"")</f>
        <v>1325710</v>
      </c>
      <c r="O497" s="38" t="n">
        <f aca="false">IF(OR(NOT(ISNUMBER($C497)),NOT(ISNUMBER($M497)),$M497=0),"",$C497/$M497-1)</f>
        <v>-0.0219287011963598</v>
      </c>
    </row>
    <row r="498" customFormat="false" ht="15" hidden="false" customHeight="true" outlineLevel="0" collapsed="false">
      <c r="A498" s="32" t="n">
        <v>46259</v>
      </c>
      <c r="B498" s="33" t="s">
        <v>588</v>
      </c>
      <c r="C498" s="34" t="n">
        <v>1384005</v>
      </c>
      <c r="D498" s="34" t="n">
        <v>1388219</v>
      </c>
      <c r="E498" s="34" t="n">
        <v>1382234</v>
      </c>
      <c r="F498" s="34" t="n">
        <v>0</v>
      </c>
      <c r="G498" s="35" t="n">
        <f aca="false">IF($A498="","",IF(ISNUMBER($G497),$G497+1,1))</f>
        <v>494</v>
      </c>
      <c r="H498" s="36" t="n">
        <f aca="false">IF(OR(NOT(ISNUMBER($G498)),$G498&lt;2,NOT(ISNUMBER($C497)),$C497=0),"",$C498/$C497-1)</f>
        <v>-0.00704393599474251</v>
      </c>
      <c r="I498" s="37" t="n">
        <f aca="false">IF(AND(ISNUMBER($G498),$G498&gt;=MA_SHORT),AVERAGE(INDEX($C$98:$C498,402-MA_SHORT):$C498),"")</f>
        <v>1391890.6</v>
      </c>
      <c r="J498" s="37" t="n">
        <f aca="false">IF(AND(ISNUMBER($G498),$G498&gt;=MA_MED),AVERAGE(INDEX($C$98:$C498,402-MA_MED):$C498),"")</f>
        <v>1371737.72</v>
      </c>
      <c r="K498" s="37" t="n">
        <f aca="false">IF(AND(ISNUMBER($G498),$G498&gt;=MA_LONG2),AVERAGE(INDEX($C$98:$C498,402-MA_LONG2):$C498),"")</f>
        <v>1232988.46</v>
      </c>
      <c r="L498" s="38" t="n">
        <f aca="false">IF(AND(ISNUMBER($G498),$G498&gt;=21),STDEV(INDEX($H$438:$H498,62-20):$H498)*SQRT(245),"")</f>
        <v>0.148916328502219</v>
      </c>
      <c r="M498" s="37" t="n">
        <f aca="false">IF(AND(ISNUMBER($G498),$G498&gt;=60),MAX(INDEX($D$298:$D498,202-60):$D498),"")</f>
        <v>1425073</v>
      </c>
      <c r="N498" s="37" t="n">
        <f aca="false">IF(AND(ISNUMBER($G498),$G498&gt;=60),MIN(INDEX($E$298:$E498,202-60):$E498),"")</f>
        <v>1325710</v>
      </c>
      <c r="O498" s="38" t="n">
        <f aca="false">IF(OR(NOT(ISNUMBER($C498)),NOT(ISNUMBER($M498)),$M498=0),"",$C498/$M498-1)</f>
        <v>-0.0288181728234272</v>
      </c>
    </row>
    <row r="499" customFormat="false" ht="15" hidden="false" customHeight="true" outlineLevel="0" collapsed="false">
      <c r="A499" s="32" t="n">
        <v>46260</v>
      </c>
      <c r="B499" s="33" t="s">
        <v>589</v>
      </c>
      <c r="C499" s="34" t="n">
        <v>1356185</v>
      </c>
      <c r="D499" s="34" t="n">
        <v>1359015</v>
      </c>
      <c r="E499" s="34" t="n">
        <v>1352313</v>
      </c>
      <c r="F499" s="34" t="n">
        <v>0</v>
      </c>
      <c r="G499" s="35" t="n">
        <f aca="false">IF($A499="","",IF(ISNUMBER($G498),$G498+1,1))</f>
        <v>495</v>
      </c>
      <c r="H499" s="36" t="n">
        <f aca="false">IF(OR(NOT(ISNUMBER($G499)),$G499&lt;2,NOT(ISNUMBER($C498)),$C498=0),"",$C499/$C498-1)</f>
        <v>-0.0201010834498431</v>
      </c>
      <c r="I499" s="37" t="n">
        <f aca="false">IF(AND(ISNUMBER($G499),$G499&gt;=MA_SHORT),AVERAGE(INDEX($C$99:$C499,402-MA_SHORT):$C499),"")</f>
        <v>1388907.1</v>
      </c>
      <c r="J499" s="37" t="n">
        <f aca="false">IF(AND(ISNUMBER($G499),$G499&gt;=MA_MED),AVERAGE(INDEX($C$99:$C499,402-MA_MED):$C499),"")</f>
        <v>1371284.76</v>
      </c>
      <c r="K499" s="37" t="n">
        <f aca="false">IF(AND(ISNUMBER($G499),$G499&gt;=MA_LONG2),AVERAGE(INDEX($C$99:$C499,402-MA_LONG2):$C499),"")</f>
        <v>1234285.1</v>
      </c>
      <c r="L499" s="38" t="n">
        <f aca="false">IF(AND(ISNUMBER($G499),$G499&gt;=21),STDEV(INDEX($H$439:$H499,62-20):$H499)*SQRT(245),"")</f>
        <v>0.16247841671356</v>
      </c>
      <c r="M499" s="37" t="n">
        <f aca="false">IF(AND(ISNUMBER($G499),$G499&gt;=60),MAX(INDEX($D$299:$D499,202-60):$D499),"")</f>
        <v>1425073</v>
      </c>
      <c r="N499" s="37" t="n">
        <f aca="false">IF(AND(ISNUMBER($G499),$G499&gt;=60),MIN(INDEX($E$299:$E499,202-60):$E499),"")</f>
        <v>1325710</v>
      </c>
      <c r="O499" s="38" t="n">
        <f aca="false">IF(OR(NOT(ISNUMBER($C499)),NOT(ISNUMBER($M499)),$M499=0),"",$C499/$M499-1)</f>
        <v>-0.0483399797764746</v>
      </c>
    </row>
    <row r="500" customFormat="false" ht="15" hidden="false" customHeight="true" outlineLevel="0" collapsed="false">
      <c r="A500" s="32" t="n">
        <v>46263</v>
      </c>
      <c r="B500" s="33" t="s">
        <v>590</v>
      </c>
      <c r="C500" s="34" t="n">
        <v>1359687</v>
      </c>
      <c r="D500" s="34" t="n">
        <v>1367349</v>
      </c>
      <c r="E500" s="34" t="n">
        <v>1358038</v>
      </c>
      <c r="F500" s="34" t="n">
        <v>0</v>
      </c>
      <c r="G500" s="35" t="n">
        <f aca="false">IF($A500="","",IF(ISNUMBER($G499),$G499+1,1))</f>
        <v>496</v>
      </c>
      <c r="H500" s="36" t="n">
        <f aca="false">IF(OR(NOT(ISNUMBER($G500)),$G500&lt;2,NOT(ISNUMBER($C499)),$C499=0),"",$C500/$C499-1)</f>
        <v>0.00258224357296388</v>
      </c>
      <c r="I500" s="37" t="n">
        <f aca="false">IF(AND(ISNUMBER($G500),$G500&gt;=MA_SHORT),AVERAGE(INDEX($C$100:$C500,402-MA_SHORT):$C500),"")</f>
        <v>1386517.25</v>
      </c>
      <c r="J500" s="37" t="n">
        <f aca="false">IF(AND(ISNUMBER($G500),$G500&gt;=MA_MED),AVERAGE(INDEX($C$100:$C500,402-MA_MED):$C500),"")</f>
        <v>1371180.56</v>
      </c>
      <c r="K500" s="37" t="n">
        <f aca="false">IF(AND(ISNUMBER($G500),$G500&gt;=MA_LONG2),AVERAGE(INDEX($C$100:$C500,402-MA_LONG2):$C500),"")</f>
        <v>1235607.17</v>
      </c>
      <c r="L500" s="38" t="n">
        <f aca="false">IF(AND(ISNUMBER($G500),$G500&gt;=21),STDEV(INDEX($H$440:$H500,62-20):$H500)*SQRT(245),"")</f>
        <v>0.162628038176173</v>
      </c>
      <c r="M500" s="37" t="n">
        <f aca="false">IF(AND(ISNUMBER($G500),$G500&gt;=60),MAX(INDEX($D$300:$D500,202-60):$D500),"")</f>
        <v>1425073</v>
      </c>
      <c r="N500" s="37" t="n">
        <f aca="false">IF(AND(ISNUMBER($G500),$G500&gt;=60),MIN(INDEX($E$300:$E500,202-60):$E500),"")</f>
        <v>1325710</v>
      </c>
      <c r="O500" s="38" t="n">
        <f aca="false">IF(OR(NOT(ISNUMBER($C500)),NOT(ISNUMBER($M500)),$M500=0),"",$C500/$M500-1)</f>
        <v>-0.0458825618056058</v>
      </c>
    </row>
    <row r="501" customFormat="false" ht="15" hidden="false" customHeight="true" outlineLevel="0" collapsed="false">
      <c r="A501" s="32" t="n">
        <v>46264</v>
      </c>
      <c r="B501" s="33" t="s">
        <v>591</v>
      </c>
      <c r="C501" s="34" t="n">
        <v>1355491</v>
      </c>
      <c r="D501" s="34" t="n">
        <v>1359946</v>
      </c>
      <c r="E501" s="34" t="n">
        <v>1351885</v>
      </c>
      <c r="F501" s="34" t="n">
        <v>0</v>
      </c>
      <c r="G501" s="35" t="n">
        <f aca="false">IF($A501="","",IF(ISNUMBER($G500),$G500+1,1))</f>
        <v>497</v>
      </c>
      <c r="H501" s="36" t="n">
        <f aca="false">IF(OR(NOT(ISNUMBER($G501)),$G501&lt;2,NOT(ISNUMBER($C500)),$C500=0),"",$C501/$C500-1)</f>
        <v>-0.0030860043524723</v>
      </c>
      <c r="I501" s="37" t="n">
        <f aca="false">IF(AND(ISNUMBER($G501),$G501&gt;=MA_SHORT),AVERAGE(INDEX($C$101:$C501,402-MA_SHORT):$C501),"")</f>
        <v>1384823.8</v>
      </c>
      <c r="J501" s="37" t="n">
        <f aca="false">IF(AND(ISNUMBER($G501),$G501&gt;=MA_MED),AVERAGE(INDEX($C$101:$C501,402-MA_MED):$C501),"")</f>
        <v>1371164.98</v>
      </c>
      <c r="K501" s="37" t="n">
        <f aca="false">IF(AND(ISNUMBER($G501),$G501&gt;=MA_LONG2),AVERAGE(INDEX($C$101:$C501,402-MA_LONG2):$C501),"")</f>
        <v>1236840.985</v>
      </c>
      <c r="L501" s="38" t="n">
        <f aca="false">IF(AND(ISNUMBER($G501),$G501&gt;=21),STDEV(INDEX($H$441:$H501,62-20):$H501)*SQRT(245),"")</f>
        <v>0.157459890690419</v>
      </c>
      <c r="M501" s="37" t="n">
        <f aca="false">IF(AND(ISNUMBER($G501),$G501&gt;=60),MAX(INDEX($D$301:$D501,202-60):$D501),"")</f>
        <v>1425073</v>
      </c>
      <c r="N501" s="37" t="n">
        <f aca="false">IF(AND(ISNUMBER($G501),$G501&gt;=60),MIN(INDEX($E$301:$E501,202-60):$E501),"")</f>
        <v>1325710</v>
      </c>
      <c r="O501" s="38" t="n">
        <f aca="false">IF(OR(NOT(ISNUMBER($C501)),NOT(ISNUMBER($M501)),$M501=0),"",$C501/$M501-1)</f>
        <v>-0.0488269723726433</v>
      </c>
    </row>
    <row r="502" customFormat="false" ht="15" hidden="false" customHeight="true" outlineLevel="0" collapsed="false">
      <c r="A502" s="32" t="n">
        <v>46265</v>
      </c>
      <c r="B502" s="33" t="s">
        <v>592</v>
      </c>
      <c r="C502" s="34" t="n">
        <v>1333983</v>
      </c>
      <c r="D502" s="34" t="n">
        <v>1340823</v>
      </c>
      <c r="E502" s="34" t="n">
        <v>1330622</v>
      </c>
      <c r="F502" s="34" t="n">
        <v>0</v>
      </c>
      <c r="G502" s="35" t="n">
        <f aca="false">IF($A502="","",IF(ISNUMBER($G501),$G501+1,1))</f>
        <v>498</v>
      </c>
      <c r="H502" s="36" t="n">
        <f aca="false">IF(OR(NOT(ISNUMBER($G502)),$G502&lt;2,NOT(ISNUMBER($C501)),$C501=0),"",$C502/$C501-1)</f>
        <v>-0.0158673130253171</v>
      </c>
      <c r="I502" s="37" t="n">
        <f aca="false">IF(AND(ISNUMBER($G502),$G502&gt;=MA_SHORT),AVERAGE(INDEX($C$102:$C502,402-MA_SHORT):$C502),"")</f>
        <v>1382969.35</v>
      </c>
      <c r="J502" s="37" t="n">
        <f aca="false">IF(AND(ISNUMBER($G502),$G502&gt;=MA_MED),AVERAGE(INDEX($C$102:$C502,402-MA_MED):$C502),"")</f>
        <v>1370650.74</v>
      </c>
      <c r="K502" s="37" t="n">
        <f aca="false">IF(AND(ISNUMBER($G502),$G502&gt;=MA_LONG2),AVERAGE(INDEX($C$102:$C502,402-MA_LONG2):$C502),"")</f>
        <v>1237985.725</v>
      </c>
      <c r="L502" s="38" t="n">
        <f aca="false">IF(AND(ISNUMBER($G502),$G502&gt;=21),STDEV(INDEX($H$442:$H502,62-20):$H502)*SQRT(245),"")</f>
        <v>0.160370210089551</v>
      </c>
      <c r="M502" s="37" t="n">
        <f aca="false">IF(AND(ISNUMBER($G502),$G502&gt;=60),MAX(INDEX($D$302:$D502,202-60):$D502),"")</f>
        <v>1425073</v>
      </c>
      <c r="N502" s="37" t="n">
        <f aca="false">IF(AND(ISNUMBER($G502),$G502&gt;=60),MIN(INDEX($E$302:$E502,202-60):$E502),"")</f>
        <v>1325710</v>
      </c>
      <c r="O502" s="38" t="n">
        <f aca="false">IF(OR(NOT(ISNUMBER($C502)),NOT(ISNUMBER($M502)),$M502=0),"",$C502/$M502-1)</f>
        <v>-0.0639195325432451</v>
      </c>
    </row>
    <row r="503" customFormat="false" ht="15" hidden="false" customHeight="true" outlineLevel="0" collapsed="false">
      <c r="A503" s="32" t="n">
        <v>46266</v>
      </c>
      <c r="B503" s="33" t="s">
        <v>593</v>
      </c>
      <c r="C503" s="34" t="n">
        <v>1340963</v>
      </c>
      <c r="D503" s="34" t="n">
        <v>1342660</v>
      </c>
      <c r="E503" s="34" t="n">
        <v>1337035</v>
      </c>
      <c r="F503" s="34" t="n">
        <v>0</v>
      </c>
      <c r="G503" s="35" t="n">
        <f aca="false">IF($A503="","",IF(ISNUMBER($G502),$G502+1,1))</f>
        <v>499</v>
      </c>
      <c r="H503" s="36" t="n">
        <f aca="false">IF(OR(NOT(ISNUMBER($G503)),$G503&lt;2,NOT(ISNUMBER($C502)),$C502=0),"",$C503/$C502-1)</f>
        <v>0.00523245048849952</v>
      </c>
      <c r="I503" s="37" t="n">
        <f aca="false">IF(AND(ISNUMBER($G503),$G503&gt;=MA_SHORT),AVERAGE(INDEX($C$103:$C503,402-MA_SHORT):$C503),"")</f>
        <v>1381022.3</v>
      </c>
      <c r="J503" s="37" t="n">
        <f aca="false">IF(AND(ISNUMBER($G503),$G503&gt;=MA_MED),AVERAGE(INDEX($C$103:$C503,402-MA_MED):$C503),"")</f>
        <v>1370613.62</v>
      </c>
      <c r="K503" s="37" t="n">
        <f aca="false">IF(AND(ISNUMBER($G503),$G503&gt;=MA_LONG2),AVERAGE(INDEX($C$103:$C503,402-MA_LONG2):$C503),"")</f>
        <v>1239191.425</v>
      </c>
      <c r="L503" s="38" t="n">
        <f aca="false">IF(AND(ISNUMBER($G503),$G503&gt;=21),STDEV(INDEX($H$443:$H503,62-20):$H503)*SQRT(245),"")</f>
        <v>0.159669828957873</v>
      </c>
      <c r="M503" s="37" t="n">
        <f aca="false">IF(AND(ISNUMBER($G503),$G503&gt;=60),MAX(INDEX($D$303:$D503,202-60):$D503),"")</f>
        <v>1425073</v>
      </c>
      <c r="N503" s="37" t="n">
        <f aca="false">IF(AND(ISNUMBER($G503),$G503&gt;=60),MIN(INDEX($E$303:$E503,202-60):$E503),"")</f>
        <v>1325710</v>
      </c>
      <c r="O503" s="38" t="n">
        <f aca="false">IF(OR(NOT(ISNUMBER($C503)),NOT(ISNUMBER($M503)),$M503=0),"",$C503/$M503-1)</f>
        <v>-0.0590215378440262</v>
      </c>
    </row>
    <row r="504" customFormat="false" ht="15" hidden="false" customHeight="true" outlineLevel="0" collapsed="false">
      <c r="A504" s="32" t="n">
        <v>46267</v>
      </c>
      <c r="B504" s="33" t="s">
        <v>594</v>
      </c>
      <c r="C504" s="34" t="n">
        <v>1342547</v>
      </c>
      <c r="D504" s="34" t="n">
        <v>1345887</v>
      </c>
      <c r="E504" s="34" t="n">
        <v>1331723</v>
      </c>
      <c r="F504" s="34" t="n">
        <v>0</v>
      </c>
      <c r="G504" s="35" t="n">
        <f aca="false">IF($A504="","",IF(ISNUMBER($G503),$G503+1,1))</f>
        <v>500</v>
      </c>
      <c r="H504" s="36" t="n">
        <f aca="false">IF(OR(NOT(ISNUMBER($G504)),$G504&lt;2,NOT(ISNUMBER($C503)),$C503=0),"",$C504/$C503-1)</f>
        <v>0.00118124064571501</v>
      </c>
      <c r="I504" s="37" t="n">
        <f aca="false">IF(AND(ISNUMBER($G504),$G504&gt;=MA_SHORT),AVERAGE(INDEX($C$104:$C504,402-MA_SHORT):$C504),"")</f>
        <v>1378743.85</v>
      </c>
      <c r="J504" s="37" t="n">
        <f aca="false">IF(AND(ISNUMBER($G504),$G504&gt;=MA_MED),AVERAGE(INDEX($C$104:$C504,402-MA_MED):$C504),"")</f>
        <v>1370345.22</v>
      </c>
      <c r="K504" s="37" t="n">
        <f aca="false">IF(AND(ISNUMBER($G504),$G504&gt;=MA_LONG2),AVERAGE(INDEX($C$104:$C504,402-MA_LONG2):$C504),"")</f>
        <v>1240447.21</v>
      </c>
      <c r="L504" s="38" t="n">
        <f aca="false">IF(AND(ISNUMBER($G504),$G504&gt;=21),STDEV(INDEX($H$444:$H504,62-20):$H504)*SQRT(245),"")</f>
        <v>0.15770616100346</v>
      </c>
      <c r="M504" s="37" t="n">
        <f aca="false">IF(AND(ISNUMBER($G504),$G504&gt;=60),MAX(INDEX($D$304:$D504,202-60):$D504),"")</f>
        <v>1425073</v>
      </c>
      <c r="N504" s="37" t="n">
        <f aca="false">IF(AND(ISNUMBER($G504),$G504&gt;=60),MIN(INDEX($E$304:$E504,202-60):$E504),"")</f>
        <v>1325710</v>
      </c>
      <c r="O504" s="38" t="n">
        <f aca="false">IF(OR(NOT(ISNUMBER($C504)),NOT(ISNUMBER($M504)),$M504=0),"",$C504/$M504-1)</f>
        <v>-0.0579100158377851</v>
      </c>
    </row>
    <row r="505" customFormat="false" ht="15" hidden="false" customHeight="true" outlineLevel="0" collapsed="false">
      <c r="A505" s="39" t="n">
        <v>46271</v>
      </c>
      <c r="B505" s="40" t="s">
        <v>595</v>
      </c>
      <c r="C505" s="41" t="n">
        <v>952000</v>
      </c>
      <c r="D505" s="40" t="n">
        <v>952000</v>
      </c>
      <c r="E505" s="40" t="n">
        <v>952000</v>
      </c>
      <c r="F505" s="40"/>
      <c r="G505" s="35" t="n">
        <f aca="false">IF($A505="","",IF(ISNUMBER($G504),$G504+1,1))</f>
        <v>501</v>
      </c>
      <c r="H505" s="36" t="n">
        <f aca="false">IF(OR(NOT(ISNUMBER($G505)),$G505&lt;2,NOT(ISNUMBER($C504)),$C504=0),"",$C505/$C504-1)</f>
        <v>-0.290900057875069</v>
      </c>
      <c r="I505" s="37" t="n">
        <f aca="false">IF(AND(ISNUMBER($G505),$G505&gt;=MA_SHORT),AVERAGE(INDEX($C$105:$C505,402-MA_SHORT):$C505),"")</f>
        <v>1357332.35</v>
      </c>
      <c r="J505" s="37" t="n">
        <f aca="false">IF(AND(ISNUMBER($G505),$G505&gt;=MA_MED),AVERAGE(INDEX($C$105:$C505,402-MA_MED):$C505),"")</f>
        <v>1362025.1</v>
      </c>
      <c r="K505" s="37" t="n">
        <f aca="false">IF(AND(ISNUMBER($G505),$G505&gt;=MA_LONG2),AVERAGE(INDEX($C$105:$C505,402-MA_LONG2):$C505),"")</f>
        <v>1239769.91</v>
      </c>
      <c r="L505" s="38" t="n">
        <f aca="false">IF(AND(ISNUMBER($G505),$G505&gt;=21),STDEV(INDEX($H$445:$H505,62-20):$H505)*SQRT(245),"")</f>
        <v>1.02532127164844</v>
      </c>
      <c r="M505" s="37" t="n">
        <f aca="false">IF(AND(ISNUMBER($G505),$G505&gt;=60),MAX(INDEX($D$305:$D505,202-60):$D505),"")</f>
        <v>1425073</v>
      </c>
      <c r="N505" s="37" t="n">
        <f aca="false">IF(AND(ISNUMBER($G505),$G505&gt;=60),MIN(INDEX($E$305:$E505,202-60):$E505),"")</f>
        <v>952000</v>
      </c>
      <c r="O505" s="38" t="n">
        <f aca="false">IF(OR(NOT(ISNUMBER($C505)),NOT(ISNUMBER($M505)),$M505=0),"",$C505/$M505-1)</f>
        <v>-0.331964046754096</v>
      </c>
    </row>
    <row r="506" customFormat="false" ht="15" hidden="false" customHeight="true" outlineLevel="0" collapsed="false">
      <c r="A506" s="39"/>
      <c r="B506" s="40"/>
      <c r="C506" s="41"/>
      <c r="D506" s="40"/>
      <c r="E506" s="40"/>
      <c r="F506" s="40"/>
      <c r="G506" s="35" t="str">
        <f aca="false">IF($A506="","",IF(ISNUMBER($G505),$G505+1,1))</f>
        <v/>
      </c>
      <c r="H506" s="36" t="str">
        <f aca="false">IF(OR(NOT(ISNUMBER($G506)),$G506&lt;2,NOT(ISNUMBER($C505)),$C505=0),"",$C506/$C505-1)</f>
        <v/>
      </c>
      <c r="I506" s="37" t="str">
        <f aca="false">IF(AND(ISNUMBER($G506),$G506&gt;=MA_SHORT),AVERAGE(INDEX($C$106:$C506,402-MA_SHORT):$C506),"")</f>
        <v/>
      </c>
      <c r="J506" s="37" t="str">
        <f aca="false">IF(AND(ISNUMBER($G506),$G506&gt;=MA_MED),AVERAGE(INDEX($C$106:$C506,402-MA_MED):$C506),"")</f>
        <v/>
      </c>
      <c r="K506" s="37" t="str">
        <f aca="false">IF(AND(ISNUMBER($G506),$G506&gt;=MA_LONG2),AVERAGE(INDEX($C$106:$C506,402-MA_LONG2):$C506),"")</f>
        <v/>
      </c>
      <c r="L506" s="38" t="str">
        <f aca="false">IF(AND(ISNUMBER($G506),$G506&gt;=21),STDEV(INDEX($H$446:$H506,62-20):$H506)*SQRT(245),"")</f>
        <v/>
      </c>
      <c r="M506" s="37" t="str">
        <f aca="false">IF(AND(ISNUMBER($G506),$G506&gt;=60),MAX(INDEX($D$306:$D506,202-60):$D506),"")</f>
        <v/>
      </c>
      <c r="N506" s="37" t="str">
        <f aca="false">IF(AND(ISNUMBER($G506),$G506&gt;=60),MIN(INDEX($E$306:$E506,202-60):$E506),"")</f>
        <v/>
      </c>
      <c r="O506" s="38" t="str">
        <f aca="false">IF(OR(NOT(ISNUMBER($C506)),NOT(ISNUMBER($M506)),$M506=0),"",$C506/$M506-1)</f>
        <v/>
      </c>
    </row>
    <row r="507" customFormat="false" ht="15" hidden="false" customHeight="true" outlineLevel="0" collapsed="false">
      <c r="A507" s="39"/>
      <c r="B507" s="40"/>
      <c r="C507" s="41"/>
      <c r="D507" s="40"/>
      <c r="E507" s="40"/>
      <c r="F507" s="40"/>
      <c r="G507" s="35" t="str">
        <f aca="false">IF($A507="","",IF(ISNUMBER($G506),$G506+1,1))</f>
        <v/>
      </c>
      <c r="H507" s="36" t="str">
        <f aca="false">IF(OR(NOT(ISNUMBER($G507)),$G507&lt;2,NOT(ISNUMBER($C506)),$C506=0),"",$C507/$C506-1)</f>
        <v/>
      </c>
      <c r="I507" s="37" t="str">
        <f aca="false">IF(AND(ISNUMBER($G507),$G507&gt;=MA_SHORT),AVERAGE(INDEX($C$107:$C507,402-MA_SHORT):$C507),"")</f>
        <v/>
      </c>
      <c r="J507" s="37" t="str">
        <f aca="false">IF(AND(ISNUMBER($G507),$G507&gt;=MA_MED),AVERAGE(INDEX($C$107:$C507,402-MA_MED):$C507),"")</f>
        <v/>
      </c>
      <c r="K507" s="37" t="str">
        <f aca="false">IF(AND(ISNUMBER($G507),$G507&gt;=MA_LONG2),AVERAGE(INDEX($C$107:$C507,402-MA_LONG2):$C507),"")</f>
        <v/>
      </c>
      <c r="L507" s="38" t="str">
        <f aca="false">IF(AND(ISNUMBER($G507),$G507&gt;=21),STDEV(INDEX($H$447:$H507,62-20):$H507)*SQRT(245),"")</f>
        <v/>
      </c>
      <c r="M507" s="37" t="str">
        <f aca="false">IF(AND(ISNUMBER($G507),$G507&gt;=60),MAX(INDEX($D$307:$D507,202-60):$D507),"")</f>
        <v/>
      </c>
      <c r="N507" s="37" t="str">
        <f aca="false">IF(AND(ISNUMBER($G507),$G507&gt;=60),MIN(INDEX($E$307:$E507,202-60):$E507),"")</f>
        <v/>
      </c>
      <c r="O507" s="38" t="str">
        <f aca="false">IF(OR(NOT(ISNUMBER($C507)),NOT(ISNUMBER($M507)),$M507=0),"",$C507/$M507-1)</f>
        <v/>
      </c>
    </row>
    <row r="508" customFormat="false" ht="15" hidden="false" customHeight="true" outlineLevel="0" collapsed="false">
      <c r="A508" s="39"/>
      <c r="B508" s="40"/>
      <c r="C508" s="41"/>
      <c r="D508" s="40"/>
      <c r="E508" s="40"/>
      <c r="F508" s="40"/>
      <c r="G508" s="35" t="str">
        <f aca="false">IF($A508="","",IF(ISNUMBER($G507),$G507+1,1))</f>
        <v/>
      </c>
      <c r="H508" s="36" t="str">
        <f aca="false">IF(OR(NOT(ISNUMBER($G508)),$G508&lt;2,NOT(ISNUMBER($C507)),$C507=0),"",$C508/$C507-1)</f>
        <v/>
      </c>
      <c r="I508" s="37" t="str">
        <f aca="false">IF(AND(ISNUMBER($G508),$G508&gt;=MA_SHORT),AVERAGE(INDEX($C$108:$C508,402-MA_SHORT):$C508),"")</f>
        <v/>
      </c>
      <c r="J508" s="37" t="str">
        <f aca="false">IF(AND(ISNUMBER($G508),$G508&gt;=MA_MED),AVERAGE(INDEX($C$108:$C508,402-MA_MED):$C508),"")</f>
        <v/>
      </c>
      <c r="K508" s="37" t="str">
        <f aca="false">IF(AND(ISNUMBER($G508),$G508&gt;=MA_LONG2),AVERAGE(INDEX($C$108:$C508,402-MA_LONG2):$C508),"")</f>
        <v/>
      </c>
      <c r="L508" s="38" t="str">
        <f aca="false">IF(AND(ISNUMBER($G508),$G508&gt;=21),STDEV(INDEX($H$448:$H508,62-20):$H508)*SQRT(245),"")</f>
        <v/>
      </c>
      <c r="M508" s="37" t="str">
        <f aca="false">IF(AND(ISNUMBER($G508),$G508&gt;=60),MAX(INDEX($D$308:$D508,202-60):$D508),"")</f>
        <v/>
      </c>
      <c r="N508" s="37" t="str">
        <f aca="false">IF(AND(ISNUMBER($G508),$G508&gt;=60),MIN(INDEX($E$308:$E508,202-60):$E508),"")</f>
        <v/>
      </c>
      <c r="O508" s="38" t="str">
        <f aca="false">IF(OR(NOT(ISNUMBER($C508)),NOT(ISNUMBER($M508)),$M508=0),"",$C508/$M508-1)</f>
        <v/>
      </c>
    </row>
    <row r="509" customFormat="false" ht="15" hidden="false" customHeight="true" outlineLevel="0" collapsed="false">
      <c r="A509" s="39"/>
      <c r="B509" s="40"/>
      <c r="C509" s="41"/>
      <c r="D509" s="40"/>
      <c r="E509" s="40"/>
      <c r="F509" s="40"/>
      <c r="G509" s="35" t="str">
        <f aca="false">IF($A509="","",IF(ISNUMBER($G508),$G508+1,1))</f>
        <v/>
      </c>
      <c r="H509" s="36" t="str">
        <f aca="false">IF(OR(NOT(ISNUMBER($G509)),$G509&lt;2,NOT(ISNUMBER($C508)),$C508=0),"",$C509/$C508-1)</f>
        <v/>
      </c>
      <c r="I509" s="37" t="str">
        <f aca="false">IF(AND(ISNUMBER($G509),$G509&gt;=MA_SHORT),AVERAGE(INDEX($C$109:$C509,402-MA_SHORT):$C509),"")</f>
        <v/>
      </c>
      <c r="J509" s="37" t="str">
        <f aca="false">IF(AND(ISNUMBER($G509),$G509&gt;=MA_MED),AVERAGE(INDEX($C$109:$C509,402-MA_MED):$C509),"")</f>
        <v/>
      </c>
      <c r="K509" s="37" t="str">
        <f aca="false">IF(AND(ISNUMBER($G509),$G509&gt;=MA_LONG2),AVERAGE(INDEX($C$109:$C509,402-MA_LONG2):$C509),"")</f>
        <v/>
      </c>
      <c r="L509" s="38" t="str">
        <f aca="false">IF(AND(ISNUMBER($G509),$G509&gt;=21),STDEV(INDEX($H$449:$H509,62-20):$H509)*SQRT(245),"")</f>
        <v/>
      </c>
      <c r="M509" s="37" t="str">
        <f aca="false">IF(AND(ISNUMBER($G509),$G509&gt;=60),MAX(INDEX($D$309:$D509,202-60):$D509),"")</f>
        <v/>
      </c>
      <c r="N509" s="37" t="str">
        <f aca="false">IF(AND(ISNUMBER($G509),$G509&gt;=60),MIN(INDEX($E$309:$E509,202-60):$E509),"")</f>
        <v/>
      </c>
      <c r="O509" s="38" t="str">
        <f aca="false">IF(OR(NOT(ISNUMBER($C509)),NOT(ISNUMBER($M509)),$M509=0),"",$C509/$M509-1)</f>
        <v/>
      </c>
    </row>
    <row r="510" customFormat="false" ht="15" hidden="false" customHeight="true" outlineLevel="0" collapsed="false">
      <c r="A510" s="39"/>
      <c r="B510" s="40"/>
      <c r="C510" s="41"/>
      <c r="D510" s="40"/>
      <c r="E510" s="40"/>
      <c r="F510" s="40"/>
      <c r="G510" s="35" t="str">
        <f aca="false">IF($A510="","",IF(ISNUMBER($G509),$G509+1,1))</f>
        <v/>
      </c>
      <c r="H510" s="36" t="str">
        <f aca="false">IF(OR(NOT(ISNUMBER($G510)),$G510&lt;2,NOT(ISNUMBER($C509)),$C509=0),"",$C510/$C509-1)</f>
        <v/>
      </c>
      <c r="I510" s="37" t="str">
        <f aca="false">IF(AND(ISNUMBER($G510),$G510&gt;=MA_SHORT),AVERAGE(INDEX($C$110:$C510,402-MA_SHORT):$C510),"")</f>
        <v/>
      </c>
      <c r="J510" s="37" t="str">
        <f aca="false">IF(AND(ISNUMBER($G510),$G510&gt;=MA_MED),AVERAGE(INDEX($C$110:$C510,402-MA_MED):$C510),"")</f>
        <v/>
      </c>
      <c r="K510" s="37" t="str">
        <f aca="false">IF(AND(ISNUMBER($G510),$G510&gt;=MA_LONG2),AVERAGE(INDEX($C$110:$C510,402-MA_LONG2):$C510),"")</f>
        <v/>
      </c>
      <c r="L510" s="38" t="str">
        <f aca="false">IF(AND(ISNUMBER($G510),$G510&gt;=21),STDEV(INDEX($H$450:$H510,62-20):$H510)*SQRT(245),"")</f>
        <v/>
      </c>
      <c r="M510" s="37" t="str">
        <f aca="false">IF(AND(ISNUMBER($G510),$G510&gt;=60),MAX(INDEX($D$310:$D510,202-60):$D510),"")</f>
        <v/>
      </c>
      <c r="N510" s="37" t="str">
        <f aca="false">IF(AND(ISNUMBER($G510),$G510&gt;=60),MIN(INDEX($E$310:$E510,202-60):$E510),"")</f>
        <v/>
      </c>
      <c r="O510" s="38" t="str">
        <f aca="false">IF(OR(NOT(ISNUMBER($C510)),NOT(ISNUMBER($M510)),$M510=0),"",$C510/$M510-1)</f>
        <v/>
      </c>
    </row>
    <row r="511" customFormat="false" ht="15" hidden="false" customHeight="true" outlineLevel="0" collapsed="false">
      <c r="A511" s="39"/>
      <c r="B511" s="40"/>
      <c r="C511" s="41"/>
      <c r="D511" s="40"/>
      <c r="E511" s="40"/>
      <c r="F511" s="40"/>
      <c r="G511" s="35" t="str">
        <f aca="false">IF($A511="","",IF(ISNUMBER($G510),$G510+1,1))</f>
        <v/>
      </c>
      <c r="H511" s="36" t="str">
        <f aca="false">IF(OR(NOT(ISNUMBER($G511)),$G511&lt;2,NOT(ISNUMBER($C510)),$C510=0),"",$C511/$C510-1)</f>
        <v/>
      </c>
      <c r="I511" s="37" t="str">
        <f aca="false">IF(AND(ISNUMBER($G511),$G511&gt;=MA_SHORT),AVERAGE(INDEX($C$111:$C511,402-MA_SHORT):$C511),"")</f>
        <v/>
      </c>
      <c r="J511" s="37" t="str">
        <f aca="false">IF(AND(ISNUMBER($G511),$G511&gt;=MA_MED),AVERAGE(INDEX($C$111:$C511,402-MA_MED):$C511),"")</f>
        <v/>
      </c>
      <c r="K511" s="37" t="str">
        <f aca="false">IF(AND(ISNUMBER($G511),$G511&gt;=MA_LONG2),AVERAGE(INDEX($C$111:$C511,402-MA_LONG2):$C511),"")</f>
        <v/>
      </c>
      <c r="L511" s="38" t="str">
        <f aca="false">IF(AND(ISNUMBER($G511),$G511&gt;=21),STDEV(INDEX($H$451:$H511,62-20):$H511)*SQRT(245),"")</f>
        <v/>
      </c>
      <c r="M511" s="37" t="str">
        <f aca="false">IF(AND(ISNUMBER($G511),$G511&gt;=60),MAX(INDEX($D$311:$D511,202-60):$D511),"")</f>
        <v/>
      </c>
      <c r="N511" s="37" t="str">
        <f aca="false">IF(AND(ISNUMBER($G511),$G511&gt;=60),MIN(INDEX($E$311:$E511,202-60):$E511),"")</f>
        <v/>
      </c>
      <c r="O511" s="38" t="str">
        <f aca="false">IF(OR(NOT(ISNUMBER($C511)),NOT(ISNUMBER($M511)),$M511=0),"",$C511/$M511-1)</f>
        <v/>
      </c>
    </row>
    <row r="512" customFormat="false" ht="15" hidden="false" customHeight="true" outlineLevel="0" collapsed="false">
      <c r="A512" s="39"/>
      <c r="B512" s="40"/>
      <c r="C512" s="41"/>
      <c r="D512" s="40"/>
      <c r="E512" s="40"/>
      <c r="F512" s="40"/>
      <c r="G512" s="35" t="str">
        <f aca="false">IF($A512="","",IF(ISNUMBER($G511),$G511+1,1))</f>
        <v/>
      </c>
      <c r="H512" s="36" t="str">
        <f aca="false">IF(OR(NOT(ISNUMBER($G512)),$G512&lt;2,NOT(ISNUMBER($C511)),$C511=0),"",$C512/$C511-1)</f>
        <v/>
      </c>
      <c r="I512" s="37" t="str">
        <f aca="false">IF(AND(ISNUMBER($G512),$G512&gt;=MA_SHORT),AVERAGE(INDEX($C$112:$C512,402-MA_SHORT):$C512),"")</f>
        <v/>
      </c>
      <c r="J512" s="37" t="str">
        <f aca="false">IF(AND(ISNUMBER($G512),$G512&gt;=MA_MED),AVERAGE(INDEX($C$112:$C512,402-MA_MED):$C512),"")</f>
        <v/>
      </c>
      <c r="K512" s="37" t="str">
        <f aca="false">IF(AND(ISNUMBER($G512),$G512&gt;=MA_LONG2),AVERAGE(INDEX($C$112:$C512,402-MA_LONG2):$C512),"")</f>
        <v/>
      </c>
      <c r="L512" s="38" t="str">
        <f aca="false">IF(AND(ISNUMBER($G512),$G512&gt;=21),STDEV(INDEX($H$452:$H512,62-20):$H512)*SQRT(245),"")</f>
        <v/>
      </c>
      <c r="M512" s="37" t="str">
        <f aca="false">IF(AND(ISNUMBER($G512),$G512&gt;=60),MAX(INDEX($D$312:$D512,202-60):$D512),"")</f>
        <v/>
      </c>
      <c r="N512" s="37" t="str">
        <f aca="false">IF(AND(ISNUMBER($G512),$G512&gt;=60),MIN(INDEX($E$312:$E512,202-60):$E512),"")</f>
        <v/>
      </c>
      <c r="O512" s="38" t="str">
        <f aca="false">IF(OR(NOT(ISNUMBER($C512)),NOT(ISNUMBER($M512)),$M512=0),"",$C512/$M512-1)</f>
        <v/>
      </c>
    </row>
    <row r="513" customFormat="false" ht="15" hidden="false" customHeight="true" outlineLevel="0" collapsed="false">
      <c r="A513" s="39"/>
      <c r="B513" s="40"/>
      <c r="C513" s="41"/>
      <c r="D513" s="40"/>
      <c r="E513" s="40"/>
      <c r="F513" s="40"/>
      <c r="G513" s="35" t="str">
        <f aca="false">IF($A513="","",IF(ISNUMBER($G512),$G512+1,1))</f>
        <v/>
      </c>
      <c r="H513" s="36" t="str">
        <f aca="false">IF(OR(NOT(ISNUMBER($G513)),$G513&lt;2,NOT(ISNUMBER($C512)),$C512=0),"",$C513/$C512-1)</f>
        <v/>
      </c>
      <c r="I513" s="37" t="str">
        <f aca="false">IF(AND(ISNUMBER($G513),$G513&gt;=MA_SHORT),AVERAGE(INDEX($C$113:$C513,402-MA_SHORT):$C513),"")</f>
        <v/>
      </c>
      <c r="J513" s="37" t="str">
        <f aca="false">IF(AND(ISNUMBER($G513),$G513&gt;=MA_MED),AVERAGE(INDEX($C$113:$C513,402-MA_MED):$C513),"")</f>
        <v/>
      </c>
      <c r="K513" s="37" t="str">
        <f aca="false">IF(AND(ISNUMBER($G513),$G513&gt;=MA_LONG2),AVERAGE(INDEX($C$113:$C513,402-MA_LONG2):$C513),"")</f>
        <v/>
      </c>
      <c r="L513" s="38" t="str">
        <f aca="false">IF(AND(ISNUMBER($G513),$G513&gt;=21),STDEV(INDEX($H$453:$H513,62-20):$H513)*SQRT(245),"")</f>
        <v/>
      </c>
      <c r="M513" s="37" t="str">
        <f aca="false">IF(AND(ISNUMBER($G513),$G513&gt;=60),MAX(INDEX($D$313:$D513,202-60):$D513),"")</f>
        <v/>
      </c>
      <c r="N513" s="37" t="str">
        <f aca="false">IF(AND(ISNUMBER($G513),$G513&gt;=60),MIN(INDEX($E$313:$E513,202-60):$E513),"")</f>
        <v/>
      </c>
      <c r="O513" s="38" t="str">
        <f aca="false">IF(OR(NOT(ISNUMBER($C513)),NOT(ISNUMBER($M513)),$M513=0),"",$C513/$M513-1)</f>
        <v/>
      </c>
    </row>
    <row r="514" customFormat="false" ht="15" hidden="false" customHeight="true" outlineLevel="0" collapsed="false">
      <c r="A514" s="39"/>
      <c r="B514" s="40"/>
      <c r="C514" s="41"/>
      <c r="D514" s="40"/>
      <c r="E514" s="40"/>
      <c r="F514" s="40"/>
      <c r="G514" s="35" t="str">
        <f aca="false">IF($A514="","",IF(ISNUMBER($G513),$G513+1,1))</f>
        <v/>
      </c>
      <c r="H514" s="36" t="str">
        <f aca="false">IF(OR(NOT(ISNUMBER($G514)),$G514&lt;2,NOT(ISNUMBER($C513)),$C513=0),"",$C514/$C513-1)</f>
        <v/>
      </c>
      <c r="I514" s="37" t="str">
        <f aca="false">IF(AND(ISNUMBER($G514),$G514&gt;=MA_SHORT),AVERAGE(INDEX($C$114:$C514,402-MA_SHORT):$C514),"")</f>
        <v/>
      </c>
      <c r="J514" s="37" t="str">
        <f aca="false">IF(AND(ISNUMBER($G514),$G514&gt;=MA_MED),AVERAGE(INDEX($C$114:$C514,402-MA_MED):$C514),"")</f>
        <v/>
      </c>
      <c r="K514" s="37" t="str">
        <f aca="false">IF(AND(ISNUMBER($G514),$G514&gt;=MA_LONG2),AVERAGE(INDEX($C$114:$C514,402-MA_LONG2):$C514),"")</f>
        <v/>
      </c>
      <c r="L514" s="38" t="str">
        <f aca="false">IF(AND(ISNUMBER($G514),$G514&gt;=21),STDEV(INDEX($H$454:$H514,62-20):$H514)*SQRT(245),"")</f>
        <v/>
      </c>
      <c r="M514" s="37" t="str">
        <f aca="false">IF(AND(ISNUMBER($G514),$G514&gt;=60),MAX(INDEX($D$314:$D514,202-60):$D514),"")</f>
        <v/>
      </c>
      <c r="N514" s="37" t="str">
        <f aca="false">IF(AND(ISNUMBER($G514),$G514&gt;=60),MIN(INDEX($E$314:$E514,202-60):$E514),"")</f>
        <v/>
      </c>
      <c r="O514" s="38" t="str">
        <f aca="false">IF(OR(NOT(ISNUMBER($C514)),NOT(ISNUMBER($M514)),$M514=0),"",$C514/$M514-1)</f>
        <v/>
      </c>
    </row>
    <row r="515" customFormat="false" ht="15" hidden="false" customHeight="true" outlineLevel="0" collapsed="false">
      <c r="A515" s="39"/>
      <c r="B515" s="40"/>
      <c r="C515" s="41"/>
      <c r="D515" s="40"/>
      <c r="E515" s="40"/>
      <c r="F515" s="40"/>
      <c r="G515" s="35" t="str">
        <f aca="false">IF($A515="","",IF(ISNUMBER($G514),$G514+1,1))</f>
        <v/>
      </c>
      <c r="H515" s="36" t="str">
        <f aca="false">IF(OR(NOT(ISNUMBER($G515)),$G515&lt;2,NOT(ISNUMBER($C514)),$C514=0),"",$C515/$C514-1)</f>
        <v/>
      </c>
      <c r="I515" s="37" t="str">
        <f aca="false">IF(AND(ISNUMBER($G515),$G515&gt;=MA_SHORT),AVERAGE(INDEX($C$115:$C515,402-MA_SHORT):$C515),"")</f>
        <v/>
      </c>
      <c r="J515" s="37" t="str">
        <f aca="false">IF(AND(ISNUMBER($G515),$G515&gt;=MA_MED),AVERAGE(INDEX($C$115:$C515,402-MA_MED):$C515),"")</f>
        <v/>
      </c>
      <c r="K515" s="37" t="str">
        <f aca="false">IF(AND(ISNUMBER($G515),$G515&gt;=MA_LONG2),AVERAGE(INDEX($C$115:$C515,402-MA_LONG2):$C515),"")</f>
        <v/>
      </c>
      <c r="L515" s="38" t="str">
        <f aca="false">IF(AND(ISNUMBER($G515),$G515&gt;=21),STDEV(INDEX($H$455:$H515,62-20):$H515)*SQRT(245),"")</f>
        <v/>
      </c>
      <c r="M515" s="37" t="str">
        <f aca="false">IF(AND(ISNUMBER($G515),$G515&gt;=60),MAX(INDEX($D$315:$D515,202-60):$D515),"")</f>
        <v/>
      </c>
      <c r="N515" s="37" t="str">
        <f aca="false">IF(AND(ISNUMBER($G515),$G515&gt;=60),MIN(INDEX($E$315:$E515,202-60):$E515),"")</f>
        <v/>
      </c>
      <c r="O515" s="38" t="str">
        <f aca="false">IF(OR(NOT(ISNUMBER($C515)),NOT(ISNUMBER($M515)),$M515=0),"",$C515/$M515-1)</f>
        <v/>
      </c>
    </row>
    <row r="516" customFormat="false" ht="15" hidden="false" customHeight="true" outlineLevel="0" collapsed="false">
      <c r="A516" s="39"/>
      <c r="B516" s="40"/>
      <c r="C516" s="41"/>
      <c r="D516" s="40"/>
      <c r="E516" s="40"/>
      <c r="F516" s="40"/>
      <c r="G516" s="35" t="str">
        <f aca="false">IF($A516="","",IF(ISNUMBER($G515),$G515+1,1))</f>
        <v/>
      </c>
      <c r="H516" s="36" t="str">
        <f aca="false">IF(OR(NOT(ISNUMBER($G516)),$G516&lt;2,NOT(ISNUMBER($C515)),$C515=0),"",$C516/$C515-1)</f>
        <v/>
      </c>
      <c r="I516" s="37" t="str">
        <f aca="false">IF(AND(ISNUMBER($G516),$G516&gt;=MA_SHORT),AVERAGE(INDEX($C$116:$C516,402-MA_SHORT):$C516),"")</f>
        <v/>
      </c>
      <c r="J516" s="37" t="str">
        <f aca="false">IF(AND(ISNUMBER($G516),$G516&gt;=MA_MED),AVERAGE(INDEX($C$116:$C516,402-MA_MED):$C516),"")</f>
        <v/>
      </c>
      <c r="K516" s="37" t="str">
        <f aca="false">IF(AND(ISNUMBER($G516),$G516&gt;=MA_LONG2),AVERAGE(INDEX($C$116:$C516,402-MA_LONG2):$C516),"")</f>
        <v/>
      </c>
      <c r="L516" s="38" t="str">
        <f aca="false">IF(AND(ISNUMBER($G516),$G516&gt;=21),STDEV(INDEX($H$456:$H516,62-20):$H516)*SQRT(245),"")</f>
        <v/>
      </c>
      <c r="M516" s="37" t="str">
        <f aca="false">IF(AND(ISNUMBER($G516),$G516&gt;=60),MAX(INDEX($D$316:$D516,202-60):$D516),"")</f>
        <v/>
      </c>
      <c r="N516" s="37" t="str">
        <f aca="false">IF(AND(ISNUMBER($G516),$G516&gt;=60),MIN(INDEX($E$316:$E516,202-60):$E516),"")</f>
        <v/>
      </c>
      <c r="O516" s="38" t="str">
        <f aca="false">IF(OR(NOT(ISNUMBER($C516)),NOT(ISNUMBER($M516)),$M516=0),"",$C516/$M516-1)</f>
        <v/>
      </c>
    </row>
    <row r="517" customFormat="false" ht="15" hidden="false" customHeight="true" outlineLevel="0" collapsed="false">
      <c r="A517" s="39"/>
      <c r="B517" s="40"/>
      <c r="C517" s="41"/>
      <c r="D517" s="40"/>
      <c r="E517" s="40"/>
      <c r="F517" s="40"/>
      <c r="G517" s="35" t="str">
        <f aca="false">IF($A517="","",IF(ISNUMBER($G516),$G516+1,1))</f>
        <v/>
      </c>
      <c r="H517" s="36" t="str">
        <f aca="false">IF(OR(NOT(ISNUMBER($G517)),$G517&lt;2,NOT(ISNUMBER($C516)),$C516=0),"",$C517/$C516-1)</f>
        <v/>
      </c>
      <c r="I517" s="37" t="str">
        <f aca="false">IF(AND(ISNUMBER($G517),$G517&gt;=MA_SHORT),AVERAGE(INDEX($C$117:$C517,402-MA_SHORT):$C517),"")</f>
        <v/>
      </c>
      <c r="J517" s="37" t="str">
        <f aca="false">IF(AND(ISNUMBER($G517),$G517&gt;=MA_MED),AVERAGE(INDEX($C$117:$C517,402-MA_MED):$C517),"")</f>
        <v/>
      </c>
      <c r="K517" s="37" t="str">
        <f aca="false">IF(AND(ISNUMBER($G517),$G517&gt;=MA_LONG2),AVERAGE(INDEX($C$117:$C517,402-MA_LONG2):$C517),"")</f>
        <v/>
      </c>
      <c r="L517" s="38" t="str">
        <f aca="false">IF(AND(ISNUMBER($G517),$G517&gt;=21),STDEV(INDEX($H$457:$H517,62-20):$H517)*SQRT(245),"")</f>
        <v/>
      </c>
      <c r="M517" s="37" t="str">
        <f aca="false">IF(AND(ISNUMBER($G517),$G517&gt;=60),MAX(INDEX($D$317:$D517,202-60):$D517),"")</f>
        <v/>
      </c>
      <c r="N517" s="37" t="str">
        <f aca="false">IF(AND(ISNUMBER($G517),$G517&gt;=60),MIN(INDEX($E$317:$E517,202-60):$E517),"")</f>
        <v/>
      </c>
      <c r="O517" s="38" t="str">
        <f aca="false">IF(OR(NOT(ISNUMBER($C517)),NOT(ISNUMBER($M517)),$M517=0),"",$C517/$M517-1)</f>
        <v/>
      </c>
    </row>
    <row r="518" customFormat="false" ht="15" hidden="false" customHeight="true" outlineLevel="0" collapsed="false">
      <c r="A518" s="39"/>
      <c r="B518" s="40"/>
      <c r="C518" s="41"/>
      <c r="D518" s="40"/>
      <c r="E518" s="40"/>
      <c r="F518" s="40"/>
      <c r="G518" s="35" t="str">
        <f aca="false">IF($A518="","",IF(ISNUMBER($G517),$G517+1,1))</f>
        <v/>
      </c>
      <c r="H518" s="36" t="str">
        <f aca="false">IF(OR(NOT(ISNUMBER($G518)),$G518&lt;2,NOT(ISNUMBER($C517)),$C517=0),"",$C518/$C517-1)</f>
        <v/>
      </c>
      <c r="I518" s="37" t="str">
        <f aca="false">IF(AND(ISNUMBER($G518),$G518&gt;=MA_SHORT),AVERAGE(INDEX($C$118:$C518,402-MA_SHORT):$C518),"")</f>
        <v/>
      </c>
      <c r="J518" s="37" t="str">
        <f aca="false">IF(AND(ISNUMBER($G518),$G518&gt;=MA_MED),AVERAGE(INDEX($C$118:$C518,402-MA_MED):$C518),"")</f>
        <v/>
      </c>
      <c r="K518" s="37" t="str">
        <f aca="false">IF(AND(ISNUMBER($G518),$G518&gt;=MA_LONG2),AVERAGE(INDEX($C$118:$C518,402-MA_LONG2):$C518),"")</f>
        <v/>
      </c>
      <c r="L518" s="38" t="str">
        <f aca="false">IF(AND(ISNUMBER($G518),$G518&gt;=21),STDEV(INDEX($H$458:$H518,62-20):$H518)*SQRT(245),"")</f>
        <v/>
      </c>
      <c r="M518" s="37" t="str">
        <f aca="false">IF(AND(ISNUMBER($G518),$G518&gt;=60),MAX(INDEX($D$318:$D518,202-60):$D518),"")</f>
        <v/>
      </c>
      <c r="N518" s="37" t="str">
        <f aca="false">IF(AND(ISNUMBER($G518),$G518&gt;=60),MIN(INDEX($E$318:$E518,202-60):$E518),"")</f>
        <v/>
      </c>
      <c r="O518" s="38" t="str">
        <f aca="false">IF(OR(NOT(ISNUMBER($C518)),NOT(ISNUMBER($M518)),$M518=0),"",$C518/$M518-1)</f>
        <v/>
      </c>
    </row>
    <row r="519" customFormat="false" ht="15" hidden="false" customHeight="true" outlineLevel="0" collapsed="false">
      <c r="A519" s="39"/>
      <c r="B519" s="40"/>
      <c r="C519" s="41"/>
      <c r="D519" s="40"/>
      <c r="E519" s="40"/>
      <c r="F519" s="40"/>
      <c r="G519" s="35" t="str">
        <f aca="false">IF($A519="","",IF(ISNUMBER($G518),$G518+1,1))</f>
        <v/>
      </c>
      <c r="H519" s="36" t="str">
        <f aca="false">IF(OR(NOT(ISNUMBER($G519)),$G519&lt;2,NOT(ISNUMBER($C518)),$C518=0),"",$C519/$C518-1)</f>
        <v/>
      </c>
      <c r="I519" s="37" t="str">
        <f aca="false">IF(AND(ISNUMBER($G519),$G519&gt;=MA_SHORT),AVERAGE(INDEX($C$119:$C519,402-MA_SHORT):$C519),"")</f>
        <v/>
      </c>
      <c r="J519" s="37" t="str">
        <f aca="false">IF(AND(ISNUMBER($G519),$G519&gt;=MA_MED),AVERAGE(INDEX($C$119:$C519,402-MA_MED):$C519),"")</f>
        <v/>
      </c>
      <c r="K519" s="37" t="str">
        <f aca="false">IF(AND(ISNUMBER($G519),$G519&gt;=MA_LONG2),AVERAGE(INDEX($C$119:$C519,402-MA_LONG2):$C519),"")</f>
        <v/>
      </c>
      <c r="L519" s="38" t="str">
        <f aca="false">IF(AND(ISNUMBER($G519),$G519&gt;=21),STDEV(INDEX($H$459:$H519,62-20):$H519)*SQRT(245),"")</f>
        <v/>
      </c>
      <c r="M519" s="37" t="str">
        <f aca="false">IF(AND(ISNUMBER($G519),$G519&gt;=60),MAX(INDEX($D$319:$D519,202-60):$D519),"")</f>
        <v/>
      </c>
      <c r="N519" s="37" t="str">
        <f aca="false">IF(AND(ISNUMBER($G519),$G519&gt;=60),MIN(INDEX($E$319:$E519,202-60):$E519),"")</f>
        <v/>
      </c>
      <c r="O519" s="38" t="str">
        <f aca="false">IF(OR(NOT(ISNUMBER($C519)),NOT(ISNUMBER($M519)),$M519=0),"",$C519/$M519-1)</f>
        <v/>
      </c>
    </row>
    <row r="520" customFormat="false" ht="15" hidden="false" customHeight="true" outlineLevel="0" collapsed="false">
      <c r="A520" s="39"/>
      <c r="B520" s="40"/>
      <c r="C520" s="41"/>
      <c r="D520" s="40"/>
      <c r="E520" s="40"/>
      <c r="F520" s="40"/>
      <c r="G520" s="35" t="str">
        <f aca="false">IF($A520="","",IF(ISNUMBER($G519),$G519+1,1))</f>
        <v/>
      </c>
      <c r="H520" s="36" t="str">
        <f aca="false">IF(OR(NOT(ISNUMBER($G520)),$G520&lt;2,NOT(ISNUMBER($C519)),$C519=0),"",$C520/$C519-1)</f>
        <v/>
      </c>
      <c r="I520" s="37" t="str">
        <f aca="false">IF(AND(ISNUMBER($G520),$G520&gt;=MA_SHORT),AVERAGE(INDEX($C$120:$C520,402-MA_SHORT):$C520),"")</f>
        <v/>
      </c>
      <c r="J520" s="37" t="str">
        <f aca="false">IF(AND(ISNUMBER($G520),$G520&gt;=MA_MED),AVERAGE(INDEX($C$120:$C520,402-MA_MED):$C520),"")</f>
        <v/>
      </c>
      <c r="K520" s="37" t="str">
        <f aca="false">IF(AND(ISNUMBER($G520),$G520&gt;=MA_LONG2),AVERAGE(INDEX($C$120:$C520,402-MA_LONG2):$C520),"")</f>
        <v/>
      </c>
      <c r="L520" s="38" t="str">
        <f aca="false">IF(AND(ISNUMBER($G520),$G520&gt;=21),STDEV(INDEX($H$460:$H520,62-20):$H520)*SQRT(245),"")</f>
        <v/>
      </c>
      <c r="M520" s="37" t="str">
        <f aca="false">IF(AND(ISNUMBER($G520),$G520&gt;=60),MAX(INDEX($D$320:$D520,202-60):$D520),"")</f>
        <v/>
      </c>
      <c r="N520" s="37" t="str">
        <f aca="false">IF(AND(ISNUMBER($G520),$G520&gt;=60),MIN(INDEX($E$320:$E520,202-60):$E520),"")</f>
        <v/>
      </c>
      <c r="O520" s="38" t="str">
        <f aca="false">IF(OR(NOT(ISNUMBER($C520)),NOT(ISNUMBER($M520)),$M520=0),"",$C520/$M520-1)</f>
        <v/>
      </c>
    </row>
    <row r="521" customFormat="false" ht="15" hidden="false" customHeight="true" outlineLevel="0" collapsed="false">
      <c r="A521" s="39"/>
      <c r="B521" s="40"/>
      <c r="C521" s="41"/>
      <c r="D521" s="40"/>
      <c r="E521" s="40"/>
      <c r="F521" s="40"/>
      <c r="G521" s="35" t="str">
        <f aca="false">IF($A521="","",IF(ISNUMBER($G520),$G520+1,1))</f>
        <v/>
      </c>
      <c r="H521" s="36" t="str">
        <f aca="false">IF(OR(NOT(ISNUMBER($G521)),$G521&lt;2,NOT(ISNUMBER($C520)),$C520=0),"",$C521/$C520-1)</f>
        <v/>
      </c>
      <c r="I521" s="37" t="str">
        <f aca="false">IF(AND(ISNUMBER($G521),$G521&gt;=MA_SHORT),AVERAGE(INDEX($C$121:$C521,402-MA_SHORT):$C521),"")</f>
        <v/>
      </c>
      <c r="J521" s="37" t="str">
        <f aca="false">IF(AND(ISNUMBER($G521),$G521&gt;=MA_MED),AVERAGE(INDEX($C$121:$C521,402-MA_MED):$C521),"")</f>
        <v/>
      </c>
      <c r="K521" s="37" t="str">
        <f aca="false">IF(AND(ISNUMBER($G521),$G521&gt;=MA_LONG2),AVERAGE(INDEX($C$121:$C521,402-MA_LONG2):$C521),"")</f>
        <v/>
      </c>
      <c r="L521" s="38" t="str">
        <f aca="false">IF(AND(ISNUMBER($G521),$G521&gt;=21),STDEV(INDEX($H$461:$H521,62-20):$H521)*SQRT(245),"")</f>
        <v/>
      </c>
      <c r="M521" s="37" t="str">
        <f aca="false">IF(AND(ISNUMBER($G521),$G521&gt;=60),MAX(INDEX($D$321:$D521,202-60):$D521),"")</f>
        <v/>
      </c>
      <c r="N521" s="37" t="str">
        <f aca="false">IF(AND(ISNUMBER($G521),$G521&gt;=60),MIN(INDEX($E$321:$E521,202-60):$E521),"")</f>
        <v/>
      </c>
      <c r="O521" s="38" t="str">
        <f aca="false">IF(OR(NOT(ISNUMBER($C521)),NOT(ISNUMBER($M521)),$M521=0),"",$C521/$M521-1)</f>
        <v/>
      </c>
    </row>
    <row r="522" customFormat="false" ht="15" hidden="false" customHeight="true" outlineLevel="0" collapsed="false">
      <c r="A522" s="39"/>
      <c r="B522" s="40"/>
      <c r="C522" s="41"/>
      <c r="D522" s="40"/>
      <c r="E522" s="40"/>
      <c r="F522" s="40"/>
      <c r="G522" s="35" t="str">
        <f aca="false">IF($A522="","",IF(ISNUMBER($G521),$G521+1,1))</f>
        <v/>
      </c>
      <c r="H522" s="36" t="str">
        <f aca="false">IF(OR(NOT(ISNUMBER($G522)),$G522&lt;2,NOT(ISNUMBER($C521)),$C521=0),"",$C522/$C521-1)</f>
        <v/>
      </c>
      <c r="I522" s="37" t="str">
        <f aca="false">IF(AND(ISNUMBER($G522),$G522&gt;=MA_SHORT),AVERAGE(INDEX($C$122:$C522,402-MA_SHORT):$C522),"")</f>
        <v/>
      </c>
      <c r="J522" s="37" t="str">
        <f aca="false">IF(AND(ISNUMBER($G522),$G522&gt;=MA_MED),AVERAGE(INDEX($C$122:$C522,402-MA_MED):$C522),"")</f>
        <v/>
      </c>
      <c r="K522" s="37" t="str">
        <f aca="false">IF(AND(ISNUMBER($G522),$G522&gt;=MA_LONG2),AVERAGE(INDEX($C$122:$C522,402-MA_LONG2):$C522),"")</f>
        <v/>
      </c>
      <c r="L522" s="38" t="str">
        <f aca="false">IF(AND(ISNUMBER($G522),$G522&gt;=21),STDEV(INDEX($H$462:$H522,62-20):$H522)*SQRT(245),"")</f>
        <v/>
      </c>
      <c r="M522" s="37" t="str">
        <f aca="false">IF(AND(ISNUMBER($G522),$G522&gt;=60),MAX(INDEX($D$322:$D522,202-60):$D522),"")</f>
        <v/>
      </c>
      <c r="N522" s="37" t="str">
        <f aca="false">IF(AND(ISNUMBER($G522),$G522&gt;=60),MIN(INDEX($E$322:$E522,202-60):$E522),"")</f>
        <v/>
      </c>
      <c r="O522" s="38" t="str">
        <f aca="false">IF(OR(NOT(ISNUMBER($C522)),NOT(ISNUMBER($M522)),$M522=0),"",$C522/$M522-1)</f>
        <v/>
      </c>
    </row>
    <row r="523" customFormat="false" ht="15" hidden="false" customHeight="true" outlineLevel="0" collapsed="false">
      <c r="A523" s="39"/>
      <c r="B523" s="40"/>
      <c r="C523" s="41"/>
      <c r="D523" s="40"/>
      <c r="E523" s="40"/>
      <c r="F523" s="40"/>
      <c r="G523" s="35" t="str">
        <f aca="false">IF($A523="","",IF(ISNUMBER($G522),$G522+1,1))</f>
        <v/>
      </c>
      <c r="H523" s="36" t="str">
        <f aca="false">IF(OR(NOT(ISNUMBER($G523)),$G523&lt;2,NOT(ISNUMBER($C522)),$C522=0),"",$C523/$C522-1)</f>
        <v/>
      </c>
      <c r="I523" s="37" t="str">
        <f aca="false">IF(AND(ISNUMBER($G523),$G523&gt;=MA_SHORT),AVERAGE(INDEX($C$123:$C523,402-MA_SHORT):$C523),"")</f>
        <v/>
      </c>
      <c r="J523" s="37" t="str">
        <f aca="false">IF(AND(ISNUMBER($G523),$G523&gt;=MA_MED),AVERAGE(INDEX($C$123:$C523,402-MA_MED):$C523),"")</f>
        <v/>
      </c>
      <c r="K523" s="37" t="str">
        <f aca="false">IF(AND(ISNUMBER($G523),$G523&gt;=MA_LONG2),AVERAGE(INDEX($C$123:$C523,402-MA_LONG2):$C523),"")</f>
        <v/>
      </c>
      <c r="L523" s="38" t="str">
        <f aca="false">IF(AND(ISNUMBER($G523),$G523&gt;=21),STDEV(INDEX($H$463:$H523,62-20):$H523)*SQRT(245),"")</f>
        <v/>
      </c>
      <c r="M523" s="37" t="str">
        <f aca="false">IF(AND(ISNUMBER($G523),$G523&gt;=60),MAX(INDEX($D$323:$D523,202-60):$D523),"")</f>
        <v/>
      </c>
      <c r="N523" s="37" t="str">
        <f aca="false">IF(AND(ISNUMBER($G523),$G523&gt;=60),MIN(INDEX($E$323:$E523,202-60):$E523),"")</f>
        <v/>
      </c>
      <c r="O523" s="38" t="str">
        <f aca="false">IF(OR(NOT(ISNUMBER($C523)),NOT(ISNUMBER($M523)),$M523=0),"",$C523/$M523-1)</f>
        <v/>
      </c>
    </row>
    <row r="524" customFormat="false" ht="15" hidden="false" customHeight="true" outlineLevel="0" collapsed="false">
      <c r="A524" s="39"/>
      <c r="B524" s="40"/>
      <c r="C524" s="41"/>
      <c r="D524" s="40"/>
      <c r="E524" s="40"/>
      <c r="F524" s="40"/>
      <c r="G524" s="35" t="str">
        <f aca="false">IF($A524="","",IF(ISNUMBER($G523),$G523+1,1))</f>
        <v/>
      </c>
      <c r="H524" s="36" t="str">
        <f aca="false">IF(OR(NOT(ISNUMBER($G524)),$G524&lt;2,NOT(ISNUMBER($C523)),$C523=0),"",$C524/$C523-1)</f>
        <v/>
      </c>
      <c r="I524" s="37" t="str">
        <f aca="false">IF(AND(ISNUMBER($G524),$G524&gt;=MA_SHORT),AVERAGE(INDEX($C$124:$C524,402-MA_SHORT):$C524),"")</f>
        <v/>
      </c>
      <c r="J524" s="37" t="str">
        <f aca="false">IF(AND(ISNUMBER($G524),$G524&gt;=MA_MED),AVERAGE(INDEX($C$124:$C524,402-MA_MED):$C524),"")</f>
        <v/>
      </c>
      <c r="K524" s="37" t="str">
        <f aca="false">IF(AND(ISNUMBER($G524),$G524&gt;=MA_LONG2),AVERAGE(INDEX($C$124:$C524,402-MA_LONG2):$C524),"")</f>
        <v/>
      </c>
      <c r="L524" s="38" t="str">
        <f aca="false">IF(AND(ISNUMBER($G524),$G524&gt;=21),STDEV(INDEX($H$464:$H524,62-20):$H524)*SQRT(245),"")</f>
        <v/>
      </c>
      <c r="M524" s="37" t="str">
        <f aca="false">IF(AND(ISNUMBER($G524),$G524&gt;=60),MAX(INDEX($D$324:$D524,202-60):$D524),"")</f>
        <v/>
      </c>
      <c r="N524" s="37" t="str">
        <f aca="false">IF(AND(ISNUMBER($G524),$G524&gt;=60),MIN(INDEX($E$324:$E524,202-60):$E524),"")</f>
        <v/>
      </c>
      <c r="O524" s="38" t="str">
        <f aca="false">IF(OR(NOT(ISNUMBER($C524)),NOT(ISNUMBER($M524)),$M524=0),"",$C524/$M524-1)</f>
        <v/>
      </c>
    </row>
    <row r="525" customFormat="false" ht="15" hidden="false" customHeight="true" outlineLevel="0" collapsed="false">
      <c r="A525" s="39"/>
      <c r="B525" s="40"/>
      <c r="C525" s="41"/>
      <c r="D525" s="40"/>
      <c r="E525" s="40"/>
      <c r="F525" s="40"/>
      <c r="G525" s="35" t="str">
        <f aca="false">IF($A525="","",IF(ISNUMBER($G524),$G524+1,1))</f>
        <v/>
      </c>
      <c r="H525" s="36" t="str">
        <f aca="false">IF(OR(NOT(ISNUMBER($G525)),$G525&lt;2,NOT(ISNUMBER($C524)),$C524=0),"",$C525/$C524-1)</f>
        <v/>
      </c>
      <c r="I525" s="37" t="str">
        <f aca="false">IF(AND(ISNUMBER($G525),$G525&gt;=MA_SHORT),AVERAGE(INDEX($C$125:$C525,402-MA_SHORT):$C525),"")</f>
        <v/>
      </c>
      <c r="J525" s="37" t="str">
        <f aca="false">IF(AND(ISNUMBER($G525),$G525&gt;=MA_MED),AVERAGE(INDEX($C$125:$C525,402-MA_MED):$C525),"")</f>
        <v/>
      </c>
      <c r="K525" s="37" t="str">
        <f aca="false">IF(AND(ISNUMBER($G525),$G525&gt;=MA_LONG2),AVERAGE(INDEX($C$125:$C525,402-MA_LONG2):$C525),"")</f>
        <v/>
      </c>
      <c r="L525" s="38" t="str">
        <f aca="false">IF(AND(ISNUMBER($G525),$G525&gt;=21),STDEV(INDEX($H$465:$H525,62-20):$H525)*SQRT(245),"")</f>
        <v/>
      </c>
      <c r="M525" s="37" t="str">
        <f aca="false">IF(AND(ISNUMBER($G525),$G525&gt;=60),MAX(INDEX($D$325:$D525,202-60):$D525),"")</f>
        <v/>
      </c>
      <c r="N525" s="37" t="str">
        <f aca="false">IF(AND(ISNUMBER($G525),$G525&gt;=60),MIN(INDEX($E$325:$E525,202-60):$E525),"")</f>
        <v/>
      </c>
      <c r="O525" s="38" t="str">
        <f aca="false">IF(OR(NOT(ISNUMBER($C525)),NOT(ISNUMBER($M525)),$M525=0),"",$C525/$M525-1)</f>
        <v/>
      </c>
    </row>
    <row r="526" customFormat="false" ht="15" hidden="false" customHeight="true" outlineLevel="0" collapsed="false">
      <c r="A526" s="39"/>
      <c r="B526" s="40"/>
      <c r="C526" s="41"/>
      <c r="D526" s="40"/>
      <c r="E526" s="40"/>
      <c r="F526" s="40"/>
      <c r="G526" s="35" t="str">
        <f aca="false">IF($A526="","",IF(ISNUMBER($G525),$G525+1,1))</f>
        <v/>
      </c>
      <c r="H526" s="36" t="str">
        <f aca="false">IF(OR(NOT(ISNUMBER($G526)),$G526&lt;2,NOT(ISNUMBER($C525)),$C525=0),"",$C526/$C525-1)</f>
        <v/>
      </c>
      <c r="I526" s="37" t="str">
        <f aca="false">IF(AND(ISNUMBER($G526),$G526&gt;=MA_SHORT),AVERAGE(INDEX($C$126:$C526,402-MA_SHORT):$C526),"")</f>
        <v/>
      </c>
      <c r="J526" s="37" t="str">
        <f aca="false">IF(AND(ISNUMBER($G526),$G526&gt;=MA_MED),AVERAGE(INDEX($C$126:$C526,402-MA_MED):$C526),"")</f>
        <v/>
      </c>
      <c r="K526" s="37" t="str">
        <f aca="false">IF(AND(ISNUMBER($G526),$G526&gt;=MA_LONG2),AVERAGE(INDEX($C$126:$C526,402-MA_LONG2):$C526),"")</f>
        <v/>
      </c>
      <c r="L526" s="38" t="str">
        <f aca="false">IF(AND(ISNUMBER($G526),$G526&gt;=21),STDEV(INDEX($H$466:$H526,62-20):$H526)*SQRT(245),"")</f>
        <v/>
      </c>
      <c r="M526" s="37" t="str">
        <f aca="false">IF(AND(ISNUMBER($G526),$G526&gt;=60),MAX(INDEX($D$326:$D526,202-60):$D526),"")</f>
        <v/>
      </c>
      <c r="N526" s="37" t="str">
        <f aca="false">IF(AND(ISNUMBER($G526),$G526&gt;=60),MIN(INDEX($E$326:$E526,202-60):$E526),"")</f>
        <v/>
      </c>
      <c r="O526" s="38" t="str">
        <f aca="false">IF(OR(NOT(ISNUMBER($C526)),NOT(ISNUMBER($M526)),$M526=0),"",$C526/$M526-1)</f>
        <v/>
      </c>
    </row>
    <row r="527" customFormat="false" ht="15" hidden="false" customHeight="true" outlineLevel="0" collapsed="false">
      <c r="A527" s="39"/>
      <c r="B527" s="40"/>
      <c r="C527" s="41"/>
      <c r="D527" s="40"/>
      <c r="E527" s="40"/>
      <c r="F527" s="40"/>
      <c r="G527" s="35" t="str">
        <f aca="false">IF($A527="","",IF(ISNUMBER($G526),$G526+1,1))</f>
        <v/>
      </c>
      <c r="H527" s="36" t="str">
        <f aca="false">IF(OR(NOT(ISNUMBER($G527)),$G527&lt;2,NOT(ISNUMBER($C526)),$C526=0),"",$C527/$C526-1)</f>
        <v/>
      </c>
      <c r="I527" s="37" t="str">
        <f aca="false">IF(AND(ISNUMBER($G527),$G527&gt;=MA_SHORT),AVERAGE(INDEX($C$127:$C527,402-MA_SHORT):$C527),"")</f>
        <v/>
      </c>
      <c r="J527" s="37" t="str">
        <f aca="false">IF(AND(ISNUMBER($G527),$G527&gt;=MA_MED),AVERAGE(INDEX($C$127:$C527,402-MA_MED):$C527),"")</f>
        <v/>
      </c>
      <c r="K527" s="37" t="str">
        <f aca="false">IF(AND(ISNUMBER($G527),$G527&gt;=MA_LONG2),AVERAGE(INDEX($C$127:$C527,402-MA_LONG2):$C527),"")</f>
        <v/>
      </c>
      <c r="L527" s="38" t="str">
        <f aca="false">IF(AND(ISNUMBER($G527),$G527&gt;=21),STDEV(INDEX($H$467:$H527,62-20):$H527)*SQRT(245),"")</f>
        <v/>
      </c>
      <c r="M527" s="37" t="str">
        <f aca="false">IF(AND(ISNUMBER($G527),$G527&gt;=60),MAX(INDEX($D$327:$D527,202-60):$D527),"")</f>
        <v/>
      </c>
      <c r="N527" s="37" t="str">
        <f aca="false">IF(AND(ISNUMBER($G527),$G527&gt;=60),MIN(INDEX($E$327:$E527,202-60):$E527),"")</f>
        <v/>
      </c>
      <c r="O527" s="38" t="str">
        <f aca="false">IF(OR(NOT(ISNUMBER($C527)),NOT(ISNUMBER($M527)),$M527=0),"",$C527/$M527-1)</f>
        <v/>
      </c>
    </row>
    <row r="528" customFormat="false" ht="15" hidden="false" customHeight="true" outlineLevel="0" collapsed="false">
      <c r="A528" s="39"/>
      <c r="B528" s="40"/>
      <c r="C528" s="41"/>
      <c r="D528" s="40"/>
      <c r="E528" s="40"/>
      <c r="F528" s="40"/>
      <c r="G528" s="35" t="str">
        <f aca="false">IF($A528="","",IF(ISNUMBER($G527),$G527+1,1))</f>
        <v/>
      </c>
      <c r="H528" s="36" t="str">
        <f aca="false">IF(OR(NOT(ISNUMBER($G528)),$G528&lt;2,NOT(ISNUMBER($C527)),$C527=0),"",$C528/$C527-1)</f>
        <v/>
      </c>
      <c r="I528" s="37" t="str">
        <f aca="false">IF(AND(ISNUMBER($G528),$G528&gt;=MA_SHORT),AVERAGE(INDEX($C$128:$C528,402-MA_SHORT):$C528),"")</f>
        <v/>
      </c>
      <c r="J528" s="37" t="str">
        <f aca="false">IF(AND(ISNUMBER($G528),$G528&gt;=MA_MED),AVERAGE(INDEX($C$128:$C528,402-MA_MED):$C528),"")</f>
        <v/>
      </c>
      <c r="K528" s="37" t="str">
        <f aca="false">IF(AND(ISNUMBER($G528),$G528&gt;=MA_LONG2),AVERAGE(INDEX($C$128:$C528,402-MA_LONG2):$C528),"")</f>
        <v/>
      </c>
      <c r="L528" s="38" t="str">
        <f aca="false">IF(AND(ISNUMBER($G528),$G528&gt;=21),STDEV(INDEX($H$468:$H528,62-20):$H528)*SQRT(245),"")</f>
        <v/>
      </c>
      <c r="M528" s="37" t="str">
        <f aca="false">IF(AND(ISNUMBER($G528),$G528&gt;=60),MAX(INDEX($D$328:$D528,202-60):$D528),"")</f>
        <v/>
      </c>
      <c r="N528" s="37" t="str">
        <f aca="false">IF(AND(ISNUMBER($G528),$G528&gt;=60),MIN(INDEX($E$328:$E528,202-60):$E528),"")</f>
        <v/>
      </c>
      <c r="O528" s="38" t="str">
        <f aca="false">IF(OR(NOT(ISNUMBER($C528)),NOT(ISNUMBER($M528)),$M528=0),"",$C528/$M528-1)</f>
        <v/>
      </c>
    </row>
    <row r="529" customFormat="false" ht="15" hidden="false" customHeight="true" outlineLevel="0" collapsed="false">
      <c r="A529" s="39"/>
      <c r="B529" s="40"/>
      <c r="C529" s="41"/>
      <c r="D529" s="40"/>
      <c r="E529" s="40"/>
      <c r="F529" s="40"/>
      <c r="G529" s="35" t="str">
        <f aca="false">IF($A529="","",IF(ISNUMBER($G528),$G528+1,1))</f>
        <v/>
      </c>
      <c r="H529" s="36" t="str">
        <f aca="false">IF(OR(NOT(ISNUMBER($G529)),$G529&lt;2,NOT(ISNUMBER($C528)),$C528=0),"",$C529/$C528-1)</f>
        <v/>
      </c>
      <c r="I529" s="37" t="str">
        <f aca="false">IF(AND(ISNUMBER($G529),$G529&gt;=MA_SHORT),AVERAGE(INDEX($C$129:$C529,402-MA_SHORT):$C529),"")</f>
        <v/>
      </c>
      <c r="J529" s="37" t="str">
        <f aca="false">IF(AND(ISNUMBER($G529),$G529&gt;=MA_MED),AVERAGE(INDEX($C$129:$C529,402-MA_MED):$C529),"")</f>
        <v/>
      </c>
      <c r="K529" s="37" t="str">
        <f aca="false">IF(AND(ISNUMBER($G529),$G529&gt;=MA_LONG2),AVERAGE(INDEX($C$129:$C529,402-MA_LONG2):$C529),"")</f>
        <v/>
      </c>
      <c r="L529" s="38" t="str">
        <f aca="false">IF(AND(ISNUMBER($G529),$G529&gt;=21),STDEV(INDEX($H$469:$H529,62-20):$H529)*SQRT(245),"")</f>
        <v/>
      </c>
      <c r="M529" s="37" t="str">
        <f aca="false">IF(AND(ISNUMBER($G529),$G529&gt;=60),MAX(INDEX($D$329:$D529,202-60):$D529),"")</f>
        <v/>
      </c>
      <c r="N529" s="37" t="str">
        <f aca="false">IF(AND(ISNUMBER($G529),$G529&gt;=60),MIN(INDEX($E$329:$E529,202-60):$E529),"")</f>
        <v/>
      </c>
      <c r="O529" s="38" t="str">
        <f aca="false">IF(OR(NOT(ISNUMBER($C529)),NOT(ISNUMBER($M529)),$M529=0),"",$C529/$M529-1)</f>
        <v/>
      </c>
    </row>
    <row r="530" customFormat="false" ht="15" hidden="false" customHeight="true" outlineLevel="0" collapsed="false">
      <c r="A530" s="39"/>
      <c r="B530" s="40"/>
      <c r="C530" s="41"/>
      <c r="D530" s="40"/>
      <c r="E530" s="40"/>
      <c r="F530" s="40"/>
      <c r="G530" s="35" t="str">
        <f aca="false">IF($A530="","",IF(ISNUMBER($G529),$G529+1,1))</f>
        <v/>
      </c>
      <c r="H530" s="36" t="str">
        <f aca="false">IF(OR(NOT(ISNUMBER($G530)),$G530&lt;2,NOT(ISNUMBER($C529)),$C529=0),"",$C530/$C529-1)</f>
        <v/>
      </c>
      <c r="I530" s="37" t="str">
        <f aca="false">IF(AND(ISNUMBER($G530),$G530&gt;=MA_SHORT),AVERAGE(INDEX($C$130:$C530,402-MA_SHORT):$C530),"")</f>
        <v/>
      </c>
      <c r="J530" s="37" t="str">
        <f aca="false">IF(AND(ISNUMBER($G530),$G530&gt;=MA_MED),AVERAGE(INDEX($C$130:$C530,402-MA_MED):$C530),"")</f>
        <v/>
      </c>
      <c r="K530" s="37" t="str">
        <f aca="false">IF(AND(ISNUMBER($G530),$G530&gt;=MA_LONG2),AVERAGE(INDEX($C$130:$C530,402-MA_LONG2):$C530),"")</f>
        <v/>
      </c>
      <c r="L530" s="38" t="str">
        <f aca="false">IF(AND(ISNUMBER($G530),$G530&gt;=21),STDEV(INDEX($H$470:$H530,62-20):$H530)*SQRT(245),"")</f>
        <v/>
      </c>
      <c r="M530" s="37" t="str">
        <f aca="false">IF(AND(ISNUMBER($G530),$G530&gt;=60),MAX(INDEX($D$330:$D530,202-60):$D530),"")</f>
        <v/>
      </c>
      <c r="N530" s="37" t="str">
        <f aca="false">IF(AND(ISNUMBER($G530),$G530&gt;=60),MIN(INDEX($E$330:$E530,202-60):$E530),"")</f>
        <v/>
      </c>
      <c r="O530" s="38" t="str">
        <f aca="false">IF(OR(NOT(ISNUMBER($C530)),NOT(ISNUMBER($M530)),$M530=0),"",$C530/$M530-1)</f>
        <v/>
      </c>
    </row>
    <row r="531" customFormat="false" ht="15" hidden="false" customHeight="true" outlineLevel="0" collapsed="false">
      <c r="A531" s="39"/>
      <c r="B531" s="40"/>
      <c r="C531" s="41"/>
      <c r="D531" s="40"/>
      <c r="E531" s="40"/>
      <c r="F531" s="40"/>
      <c r="G531" s="35" t="str">
        <f aca="false">IF($A531="","",IF(ISNUMBER($G530),$G530+1,1))</f>
        <v/>
      </c>
      <c r="H531" s="36" t="str">
        <f aca="false">IF(OR(NOT(ISNUMBER($G531)),$G531&lt;2,NOT(ISNUMBER($C530)),$C530=0),"",$C531/$C530-1)</f>
        <v/>
      </c>
      <c r="I531" s="37" t="str">
        <f aca="false">IF(AND(ISNUMBER($G531),$G531&gt;=MA_SHORT),AVERAGE(INDEX($C$131:$C531,402-MA_SHORT):$C531),"")</f>
        <v/>
      </c>
      <c r="J531" s="37" t="str">
        <f aca="false">IF(AND(ISNUMBER($G531),$G531&gt;=MA_MED),AVERAGE(INDEX($C$131:$C531,402-MA_MED):$C531),"")</f>
        <v/>
      </c>
      <c r="K531" s="37" t="str">
        <f aca="false">IF(AND(ISNUMBER($G531),$G531&gt;=MA_LONG2),AVERAGE(INDEX($C$131:$C531,402-MA_LONG2):$C531),"")</f>
        <v/>
      </c>
      <c r="L531" s="38" t="str">
        <f aca="false">IF(AND(ISNUMBER($G531),$G531&gt;=21),STDEV(INDEX($H$471:$H531,62-20):$H531)*SQRT(245),"")</f>
        <v/>
      </c>
      <c r="M531" s="37" t="str">
        <f aca="false">IF(AND(ISNUMBER($G531),$G531&gt;=60),MAX(INDEX($D$331:$D531,202-60):$D531),"")</f>
        <v/>
      </c>
      <c r="N531" s="37" t="str">
        <f aca="false">IF(AND(ISNUMBER($G531),$G531&gt;=60),MIN(INDEX($E$331:$E531,202-60):$E531),"")</f>
        <v/>
      </c>
      <c r="O531" s="38" t="str">
        <f aca="false">IF(OR(NOT(ISNUMBER($C531)),NOT(ISNUMBER($M531)),$M531=0),"",$C531/$M531-1)</f>
        <v/>
      </c>
    </row>
    <row r="532" customFormat="false" ht="15" hidden="false" customHeight="true" outlineLevel="0" collapsed="false">
      <c r="A532" s="39"/>
      <c r="B532" s="40"/>
      <c r="C532" s="41"/>
      <c r="D532" s="40"/>
      <c r="E532" s="40"/>
      <c r="F532" s="40"/>
      <c r="G532" s="35" t="str">
        <f aca="false">IF($A532="","",IF(ISNUMBER($G531),$G531+1,1))</f>
        <v/>
      </c>
      <c r="H532" s="36" t="str">
        <f aca="false">IF(OR(NOT(ISNUMBER($G532)),$G532&lt;2,NOT(ISNUMBER($C531)),$C531=0),"",$C532/$C531-1)</f>
        <v/>
      </c>
      <c r="I532" s="37" t="str">
        <f aca="false">IF(AND(ISNUMBER($G532),$G532&gt;=MA_SHORT),AVERAGE(INDEX($C$132:$C532,402-MA_SHORT):$C532),"")</f>
        <v/>
      </c>
      <c r="J532" s="37" t="str">
        <f aca="false">IF(AND(ISNUMBER($G532),$G532&gt;=MA_MED),AVERAGE(INDEX($C$132:$C532,402-MA_MED):$C532),"")</f>
        <v/>
      </c>
      <c r="K532" s="37" t="str">
        <f aca="false">IF(AND(ISNUMBER($G532),$G532&gt;=MA_LONG2),AVERAGE(INDEX($C$132:$C532,402-MA_LONG2):$C532),"")</f>
        <v/>
      </c>
      <c r="L532" s="38" t="str">
        <f aca="false">IF(AND(ISNUMBER($G532),$G532&gt;=21),STDEV(INDEX($H$472:$H532,62-20):$H532)*SQRT(245),"")</f>
        <v/>
      </c>
      <c r="M532" s="37" t="str">
        <f aca="false">IF(AND(ISNUMBER($G532),$G532&gt;=60),MAX(INDEX($D$332:$D532,202-60):$D532),"")</f>
        <v/>
      </c>
      <c r="N532" s="37" t="str">
        <f aca="false">IF(AND(ISNUMBER($G532),$G532&gt;=60),MIN(INDEX($E$332:$E532,202-60):$E532),"")</f>
        <v/>
      </c>
      <c r="O532" s="38" t="str">
        <f aca="false">IF(OR(NOT(ISNUMBER($C532)),NOT(ISNUMBER($M532)),$M532=0),"",$C532/$M532-1)</f>
        <v/>
      </c>
    </row>
    <row r="533" customFormat="false" ht="15" hidden="false" customHeight="true" outlineLevel="0" collapsed="false">
      <c r="A533" s="39"/>
      <c r="B533" s="40"/>
      <c r="C533" s="41"/>
      <c r="D533" s="40"/>
      <c r="E533" s="40"/>
      <c r="F533" s="40"/>
      <c r="G533" s="35" t="str">
        <f aca="false">IF($A533="","",IF(ISNUMBER($G532),$G532+1,1))</f>
        <v/>
      </c>
      <c r="H533" s="36" t="str">
        <f aca="false">IF(OR(NOT(ISNUMBER($G533)),$G533&lt;2,NOT(ISNUMBER($C532)),$C532=0),"",$C533/$C532-1)</f>
        <v/>
      </c>
      <c r="I533" s="37" t="str">
        <f aca="false">IF(AND(ISNUMBER($G533),$G533&gt;=MA_SHORT),AVERAGE(INDEX($C$133:$C533,402-MA_SHORT):$C533),"")</f>
        <v/>
      </c>
      <c r="J533" s="37" t="str">
        <f aca="false">IF(AND(ISNUMBER($G533),$G533&gt;=MA_MED),AVERAGE(INDEX($C$133:$C533,402-MA_MED):$C533),"")</f>
        <v/>
      </c>
      <c r="K533" s="37" t="str">
        <f aca="false">IF(AND(ISNUMBER($G533),$G533&gt;=MA_LONG2),AVERAGE(INDEX($C$133:$C533,402-MA_LONG2):$C533),"")</f>
        <v/>
      </c>
      <c r="L533" s="38" t="str">
        <f aca="false">IF(AND(ISNUMBER($G533),$G533&gt;=21),STDEV(INDEX($H$473:$H533,62-20):$H533)*SQRT(245),"")</f>
        <v/>
      </c>
      <c r="M533" s="37" t="str">
        <f aca="false">IF(AND(ISNUMBER($G533),$G533&gt;=60),MAX(INDEX($D$333:$D533,202-60):$D533),"")</f>
        <v/>
      </c>
      <c r="N533" s="37" t="str">
        <f aca="false">IF(AND(ISNUMBER($G533),$G533&gt;=60),MIN(INDEX($E$333:$E533,202-60):$E533),"")</f>
        <v/>
      </c>
      <c r="O533" s="38" t="str">
        <f aca="false">IF(OR(NOT(ISNUMBER($C533)),NOT(ISNUMBER($M533)),$M533=0),"",$C533/$M533-1)</f>
        <v/>
      </c>
    </row>
    <row r="534" customFormat="false" ht="15" hidden="false" customHeight="true" outlineLevel="0" collapsed="false">
      <c r="A534" s="39"/>
      <c r="B534" s="40"/>
      <c r="C534" s="41"/>
      <c r="D534" s="40"/>
      <c r="E534" s="40"/>
      <c r="F534" s="40"/>
      <c r="G534" s="35" t="str">
        <f aca="false">IF($A534="","",IF(ISNUMBER($G533),$G533+1,1))</f>
        <v/>
      </c>
      <c r="H534" s="36" t="str">
        <f aca="false">IF(OR(NOT(ISNUMBER($G534)),$G534&lt;2,NOT(ISNUMBER($C533)),$C533=0),"",$C534/$C533-1)</f>
        <v/>
      </c>
      <c r="I534" s="37" t="str">
        <f aca="false">IF(AND(ISNUMBER($G534),$G534&gt;=MA_SHORT),AVERAGE(INDEX($C$134:$C534,402-MA_SHORT):$C534),"")</f>
        <v/>
      </c>
      <c r="J534" s="37" t="str">
        <f aca="false">IF(AND(ISNUMBER($G534),$G534&gt;=MA_MED),AVERAGE(INDEX($C$134:$C534,402-MA_MED):$C534),"")</f>
        <v/>
      </c>
      <c r="K534" s="37" t="str">
        <f aca="false">IF(AND(ISNUMBER($G534),$G534&gt;=MA_LONG2),AVERAGE(INDEX($C$134:$C534,402-MA_LONG2):$C534),"")</f>
        <v/>
      </c>
      <c r="L534" s="38" t="str">
        <f aca="false">IF(AND(ISNUMBER($G534),$G534&gt;=21),STDEV(INDEX($H$474:$H534,62-20):$H534)*SQRT(245),"")</f>
        <v/>
      </c>
      <c r="M534" s="37" t="str">
        <f aca="false">IF(AND(ISNUMBER($G534),$G534&gt;=60),MAX(INDEX($D$334:$D534,202-60):$D534),"")</f>
        <v/>
      </c>
      <c r="N534" s="37" t="str">
        <f aca="false">IF(AND(ISNUMBER($G534),$G534&gt;=60),MIN(INDEX($E$334:$E534,202-60):$E534),"")</f>
        <v/>
      </c>
      <c r="O534" s="38" t="str">
        <f aca="false">IF(OR(NOT(ISNUMBER($C534)),NOT(ISNUMBER($M534)),$M534=0),"",$C534/$M534-1)</f>
        <v/>
      </c>
    </row>
    <row r="535" customFormat="false" ht="15" hidden="false" customHeight="true" outlineLevel="0" collapsed="false">
      <c r="A535" s="39"/>
      <c r="B535" s="40"/>
      <c r="C535" s="41"/>
      <c r="D535" s="40"/>
      <c r="E535" s="40"/>
      <c r="F535" s="40"/>
      <c r="G535" s="35" t="str">
        <f aca="false">IF($A535="","",IF(ISNUMBER($G534),$G534+1,1))</f>
        <v/>
      </c>
      <c r="H535" s="36" t="str">
        <f aca="false">IF(OR(NOT(ISNUMBER($G535)),$G535&lt;2,NOT(ISNUMBER($C534)),$C534=0),"",$C535/$C534-1)</f>
        <v/>
      </c>
      <c r="I535" s="37" t="str">
        <f aca="false">IF(AND(ISNUMBER($G535),$G535&gt;=MA_SHORT),AVERAGE(INDEX($C$135:$C535,402-MA_SHORT):$C535),"")</f>
        <v/>
      </c>
      <c r="J535" s="37" t="str">
        <f aca="false">IF(AND(ISNUMBER($G535),$G535&gt;=MA_MED),AVERAGE(INDEX($C$135:$C535,402-MA_MED):$C535),"")</f>
        <v/>
      </c>
      <c r="K535" s="37" t="str">
        <f aca="false">IF(AND(ISNUMBER($G535),$G535&gt;=MA_LONG2),AVERAGE(INDEX($C$135:$C535,402-MA_LONG2):$C535),"")</f>
        <v/>
      </c>
      <c r="L535" s="38" t="str">
        <f aca="false">IF(AND(ISNUMBER($G535),$G535&gt;=21),STDEV(INDEX($H$475:$H535,62-20):$H535)*SQRT(245),"")</f>
        <v/>
      </c>
      <c r="M535" s="37" t="str">
        <f aca="false">IF(AND(ISNUMBER($G535),$G535&gt;=60),MAX(INDEX($D$335:$D535,202-60):$D535),"")</f>
        <v/>
      </c>
      <c r="N535" s="37" t="str">
        <f aca="false">IF(AND(ISNUMBER($G535),$G535&gt;=60),MIN(INDEX($E$335:$E535,202-60):$E535),"")</f>
        <v/>
      </c>
      <c r="O535" s="38" t="str">
        <f aca="false">IF(OR(NOT(ISNUMBER($C535)),NOT(ISNUMBER($M535)),$M535=0),"",$C535/$M535-1)</f>
        <v/>
      </c>
    </row>
    <row r="536" customFormat="false" ht="15" hidden="false" customHeight="true" outlineLevel="0" collapsed="false">
      <c r="A536" s="39"/>
      <c r="B536" s="40"/>
      <c r="C536" s="41"/>
      <c r="D536" s="40"/>
      <c r="E536" s="40"/>
      <c r="F536" s="40"/>
      <c r="G536" s="35" t="str">
        <f aca="false">IF($A536="","",IF(ISNUMBER($G535),$G535+1,1))</f>
        <v/>
      </c>
      <c r="H536" s="36" t="str">
        <f aca="false">IF(OR(NOT(ISNUMBER($G536)),$G536&lt;2,NOT(ISNUMBER($C535)),$C535=0),"",$C536/$C535-1)</f>
        <v/>
      </c>
      <c r="I536" s="37" t="str">
        <f aca="false">IF(AND(ISNUMBER($G536),$G536&gt;=MA_SHORT),AVERAGE(INDEX($C$136:$C536,402-MA_SHORT):$C536),"")</f>
        <v/>
      </c>
      <c r="J536" s="37" t="str">
        <f aca="false">IF(AND(ISNUMBER($G536),$G536&gt;=MA_MED),AVERAGE(INDEX($C$136:$C536,402-MA_MED):$C536),"")</f>
        <v/>
      </c>
      <c r="K536" s="37" t="str">
        <f aca="false">IF(AND(ISNUMBER($G536),$G536&gt;=MA_LONG2),AVERAGE(INDEX($C$136:$C536,402-MA_LONG2):$C536),"")</f>
        <v/>
      </c>
      <c r="L536" s="38" t="str">
        <f aca="false">IF(AND(ISNUMBER($G536),$G536&gt;=21),STDEV(INDEX($H$476:$H536,62-20):$H536)*SQRT(245),"")</f>
        <v/>
      </c>
      <c r="M536" s="37" t="str">
        <f aca="false">IF(AND(ISNUMBER($G536),$G536&gt;=60),MAX(INDEX($D$336:$D536,202-60):$D536),"")</f>
        <v/>
      </c>
      <c r="N536" s="37" t="str">
        <f aca="false">IF(AND(ISNUMBER($G536),$G536&gt;=60),MIN(INDEX($E$336:$E536,202-60):$E536),"")</f>
        <v/>
      </c>
      <c r="O536" s="38" t="str">
        <f aca="false">IF(OR(NOT(ISNUMBER($C536)),NOT(ISNUMBER($M536)),$M536=0),"",$C536/$M536-1)</f>
        <v/>
      </c>
    </row>
    <row r="537" customFormat="false" ht="15" hidden="false" customHeight="true" outlineLevel="0" collapsed="false">
      <c r="A537" s="39"/>
      <c r="B537" s="40"/>
      <c r="C537" s="41"/>
      <c r="D537" s="40"/>
      <c r="E537" s="40"/>
      <c r="F537" s="40"/>
      <c r="G537" s="35" t="str">
        <f aca="false">IF($A537="","",IF(ISNUMBER($G536),$G536+1,1))</f>
        <v/>
      </c>
      <c r="H537" s="36" t="str">
        <f aca="false">IF(OR(NOT(ISNUMBER($G537)),$G537&lt;2,NOT(ISNUMBER($C536)),$C536=0),"",$C537/$C536-1)</f>
        <v/>
      </c>
      <c r="I537" s="37" t="str">
        <f aca="false">IF(AND(ISNUMBER($G537),$G537&gt;=MA_SHORT),AVERAGE(INDEX($C$137:$C537,402-MA_SHORT):$C537),"")</f>
        <v/>
      </c>
      <c r="J537" s="37" t="str">
        <f aca="false">IF(AND(ISNUMBER($G537),$G537&gt;=MA_MED),AVERAGE(INDEX($C$137:$C537,402-MA_MED):$C537),"")</f>
        <v/>
      </c>
      <c r="K537" s="37" t="str">
        <f aca="false">IF(AND(ISNUMBER($G537),$G537&gt;=MA_LONG2),AVERAGE(INDEX($C$137:$C537,402-MA_LONG2):$C537),"")</f>
        <v/>
      </c>
      <c r="L537" s="38" t="str">
        <f aca="false">IF(AND(ISNUMBER($G537),$G537&gt;=21),STDEV(INDEX($H$477:$H537,62-20):$H537)*SQRT(245),"")</f>
        <v/>
      </c>
      <c r="M537" s="37" t="str">
        <f aca="false">IF(AND(ISNUMBER($G537),$G537&gt;=60),MAX(INDEX($D$337:$D537,202-60):$D537),"")</f>
        <v/>
      </c>
      <c r="N537" s="37" t="str">
        <f aca="false">IF(AND(ISNUMBER($G537),$G537&gt;=60),MIN(INDEX($E$337:$E537,202-60):$E537),"")</f>
        <v/>
      </c>
      <c r="O537" s="38" t="str">
        <f aca="false">IF(OR(NOT(ISNUMBER($C537)),NOT(ISNUMBER($M537)),$M537=0),"",$C537/$M537-1)</f>
        <v/>
      </c>
    </row>
    <row r="538" customFormat="false" ht="15" hidden="false" customHeight="true" outlineLevel="0" collapsed="false">
      <c r="A538" s="39"/>
      <c r="B538" s="40"/>
      <c r="C538" s="41"/>
      <c r="D538" s="40"/>
      <c r="E538" s="40"/>
      <c r="F538" s="40"/>
      <c r="G538" s="35" t="str">
        <f aca="false">IF($A538="","",IF(ISNUMBER($G537),$G537+1,1))</f>
        <v/>
      </c>
      <c r="H538" s="36" t="str">
        <f aca="false">IF(OR(NOT(ISNUMBER($G538)),$G538&lt;2,NOT(ISNUMBER($C537)),$C537=0),"",$C538/$C537-1)</f>
        <v/>
      </c>
      <c r="I538" s="37" t="str">
        <f aca="false">IF(AND(ISNUMBER($G538),$G538&gt;=MA_SHORT),AVERAGE(INDEX($C$138:$C538,402-MA_SHORT):$C538),"")</f>
        <v/>
      </c>
      <c r="J538" s="37" t="str">
        <f aca="false">IF(AND(ISNUMBER($G538),$G538&gt;=MA_MED),AVERAGE(INDEX($C$138:$C538,402-MA_MED):$C538),"")</f>
        <v/>
      </c>
      <c r="K538" s="37" t="str">
        <f aca="false">IF(AND(ISNUMBER($G538),$G538&gt;=MA_LONG2),AVERAGE(INDEX($C$138:$C538,402-MA_LONG2):$C538),"")</f>
        <v/>
      </c>
      <c r="L538" s="38" t="str">
        <f aca="false">IF(AND(ISNUMBER($G538),$G538&gt;=21),STDEV(INDEX($H$478:$H538,62-20):$H538)*SQRT(245),"")</f>
        <v/>
      </c>
      <c r="M538" s="37" t="str">
        <f aca="false">IF(AND(ISNUMBER($G538),$G538&gt;=60),MAX(INDEX($D$338:$D538,202-60):$D538),"")</f>
        <v/>
      </c>
      <c r="N538" s="37" t="str">
        <f aca="false">IF(AND(ISNUMBER($G538),$G538&gt;=60),MIN(INDEX($E$338:$E538,202-60):$E538),"")</f>
        <v/>
      </c>
      <c r="O538" s="38" t="str">
        <f aca="false">IF(OR(NOT(ISNUMBER($C538)),NOT(ISNUMBER($M538)),$M538=0),"",$C538/$M538-1)</f>
        <v/>
      </c>
    </row>
    <row r="539" customFormat="false" ht="15" hidden="false" customHeight="true" outlineLevel="0" collapsed="false">
      <c r="A539" s="39"/>
      <c r="B539" s="40"/>
      <c r="C539" s="41"/>
      <c r="D539" s="40"/>
      <c r="E539" s="40"/>
      <c r="F539" s="40"/>
      <c r="G539" s="35" t="str">
        <f aca="false">IF($A539="","",IF(ISNUMBER($G538),$G538+1,1))</f>
        <v/>
      </c>
      <c r="H539" s="36" t="str">
        <f aca="false">IF(OR(NOT(ISNUMBER($G539)),$G539&lt;2,NOT(ISNUMBER($C538)),$C538=0),"",$C539/$C538-1)</f>
        <v/>
      </c>
      <c r="I539" s="37" t="str">
        <f aca="false">IF(AND(ISNUMBER($G539),$G539&gt;=MA_SHORT),AVERAGE(INDEX($C$139:$C539,402-MA_SHORT):$C539),"")</f>
        <v/>
      </c>
      <c r="J539" s="37" t="str">
        <f aca="false">IF(AND(ISNUMBER($G539),$G539&gt;=MA_MED),AVERAGE(INDEX($C$139:$C539,402-MA_MED):$C539),"")</f>
        <v/>
      </c>
      <c r="K539" s="37" t="str">
        <f aca="false">IF(AND(ISNUMBER($G539),$G539&gt;=MA_LONG2),AVERAGE(INDEX($C$139:$C539,402-MA_LONG2):$C539),"")</f>
        <v/>
      </c>
      <c r="L539" s="38" t="str">
        <f aca="false">IF(AND(ISNUMBER($G539),$G539&gt;=21),STDEV(INDEX($H$479:$H539,62-20):$H539)*SQRT(245),"")</f>
        <v/>
      </c>
      <c r="M539" s="37" t="str">
        <f aca="false">IF(AND(ISNUMBER($G539),$G539&gt;=60),MAX(INDEX($D$339:$D539,202-60):$D539),"")</f>
        <v/>
      </c>
      <c r="N539" s="37" t="str">
        <f aca="false">IF(AND(ISNUMBER($G539),$G539&gt;=60),MIN(INDEX($E$339:$E539,202-60):$E539),"")</f>
        <v/>
      </c>
      <c r="O539" s="38" t="str">
        <f aca="false">IF(OR(NOT(ISNUMBER($C539)),NOT(ISNUMBER($M539)),$M539=0),"",$C539/$M539-1)</f>
        <v/>
      </c>
    </row>
    <row r="540" customFormat="false" ht="15" hidden="false" customHeight="true" outlineLevel="0" collapsed="false">
      <c r="A540" s="39"/>
      <c r="B540" s="40"/>
      <c r="C540" s="41"/>
      <c r="D540" s="40"/>
      <c r="E540" s="40"/>
      <c r="F540" s="40"/>
      <c r="G540" s="35" t="str">
        <f aca="false">IF($A540="","",IF(ISNUMBER($G539),$G539+1,1))</f>
        <v/>
      </c>
      <c r="H540" s="36" t="str">
        <f aca="false">IF(OR(NOT(ISNUMBER($G540)),$G540&lt;2,NOT(ISNUMBER($C539)),$C539=0),"",$C540/$C539-1)</f>
        <v/>
      </c>
      <c r="I540" s="37" t="str">
        <f aca="false">IF(AND(ISNUMBER($G540),$G540&gt;=MA_SHORT),AVERAGE(INDEX($C$140:$C540,402-MA_SHORT):$C540),"")</f>
        <v/>
      </c>
      <c r="J540" s="37" t="str">
        <f aca="false">IF(AND(ISNUMBER($G540),$G540&gt;=MA_MED),AVERAGE(INDEX($C$140:$C540,402-MA_MED):$C540),"")</f>
        <v/>
      </c>
      <c r="K540" s="37" t="str">
        <f aca="false">IF(AND(ISNUMBER($G540),$G540&gt;=MA_LONG2),AVERAGE(INDEX($C$140:$C540,402-MA_LONG2):$C540),"")</f>
        <v/>
      </c>
      <c r="L540" s="38" t="str">
        <f aca="false">IF(AND(ISNUMBER($G540),$G540&gt;=21),STDEV(INDEX($H$480:$H540,62-20):$H540)*SQRT(245),"")</f>
        <v/>
      </c>
      <c r="M540" s="37" t="str">
        <f aca="false">IF(AND(ISNUMBER($G540),$G540&gt;=60),MAX(INDEX($D$340:$D540,202-60):$D540),"")</f>
        <v/>
      </c>
      <c r="N540" s="37" t="str">
        <f aca="false">IF(AND(ISNUMBER($G540),$G540&gt;=60),MIN(INDEX($E$340:$E540,202-60):$E540),"")</f>
        <v/>
      </c>
      <c r="O540" s="38" t="str">
        <f aca="false">IF(OR(NOT(ISNUMBER($C540)),NOT(ISNUMBER($M540)),$M540=0),"",$C540/$M540-1)</f>
        <v/>
      </c>
    </row>
    <row r="541" customFormat="false" ht="15" hidden="false" customHeight="true" outlineLevel="0" collapsed="false">
      <c r="A541" s="39"/>
      <c r="B541" s="40"/>
      <c r="C541" s="41"/>
      <c r="D541" s="40"/>
      <c r="E541" s="40"/>
      <c r="F541" s="40"/>
      <c r="G541" s="35" t="str">
        <f aca="false">IF($A541="","",IF(ISNUMBER($G540),$G540+1,1))</f>
        <v/>
      </c>
      <c r="H541" s="36" t="str">
        <f aca="false">IF(OR(NOT(ISNUMBER($G541)),$G541&lt;2,NOT(ISNUMBER($C540)),$C540=0),"",$C541/$C540-1)</f>
        <v/>
      </c>
      <c r="I541" s="37" t="str">
        <f aca="false">IF(AND(ISNUMBER($G541),$G541&gt;=MA_SHORT),AVERAGE(INDEX($C$141:$C541,402-MA_SHORT):$C541),"")</f>
        <v/>
      </c>
      <c r="J541" s="37" t="str">
        <f aca="false">IF(AND(ISNUMBER($G541),$G541&gt;=MA_MED),AVERAGE(INDEX($C$141:$C541,402-MA_MED):$C541),"")</f>
        <v/>
      </c>
      <c r="K541" s="37" t="str">
        <f aca="false">IF(AND(ISNUMBER($G541),$G541&gt;=MA_LONG2),AVERAGE(INDEX($C$141:$C541,402-MA_LONG2):$C541),"")</f>
        <v/>
      </c>
      <c r="L541" s="38" t="str">
        <f aca="false">IF(AND(ISNUMBER($G541),$G541&gt;=21),STDEV(INDEX($H$481:$H541,62-20):$H541)*SQRT(245),"")</f>
        <v/>
      </c>
      <c r="M541" s="37" t="str">
        <f aca="false">IF(AND(ISNUMBER($G541),$G541&gt;=60),MAX(INDEX($D$341:$D541,202-60):$D541),"")</f>
        <v/>
      </c>
      <c r="N541" s="37" t="str">
        <f aca="false">IF(AND(ISNUMBER($G541),$G541&gt;=60),MIN(INDEX($E$341:$E541,202-60):$E541),"")</f>
        <v/>
      </c>
      <c r="O541" s="38" t="str">
        <f aca="false">IF(OR(NOT(ISNUMBER($C541)),NOT(ISNUMBER($M541)),$M541=0),"",$C541/$M541-1)</f>
        <v/>
      </c>
    </row>
    <row r="542" customFormat="false" ht="15" hidden="false" customHeight="true" outlineLevel="0" collapsed="false">
      <c r="A542" s="39"/>
      <c r="B542" s="40"/>
      <c r="C542" s="41"/>
      <c r="D542" s="40"/>
      <c r="E542" s="40"/>
      <c r="F542" s="40"/>
      <c r="G542" s="35" t="str">
        <f aca="false">IF($A542="","",IF(ISNUMBER($G541),$G541+1,1))</f>
        <v/>
      </c>
      <c r="H542" s="36" t="str">
        <f aca="false">IF(OR(NOT(ISNUMBER($G542)),$G542&lt;2,NOT(ISNUMBER($C541)),$C541=0),"",$C542/$C541-1)</f>
        <v/>
      </c>
      <c r="I542" s="37" t="str">
        <f aca="false">IF(AND(ISNUMBER($G542),$G542&gt;=MA_SHORT),AVERAGE(INDEX($C$142:$C542,402-MA_SHORT):$C542),"")</f>
        <v/>
      </c>
      <c r="J542" s="37" t="str">
        <f aca="false">IF(AND(ISNUMBER($G542),$G542&gt;=MA_MED),AVERAGE(INDEX($C$142:$C542,402-MA_MED):$C542),"")</f>
        <v/>
      </c>
      <c r="K542" s="37" t="str">
        <f aca="false">IF(AND(ISNUMBER($G542),$G542&gt;=MA_LONG2),AVERAGE(INDEX($C$142:$C542,402-MA_LONG2):$C542),"")</f>
        <v/>
      </c>
      <c r="L542" s="38" t="str">
        <f aca="false">IF(AND(ISNUMBER($G542),$G542&gt;=21),STDEV(INDEX($H$482:$H542,62-20):$H542)*SQRT(245),"")</f>
        <v/>
      </c>
      <c r="M542" s="37" t="str">
        <f aca="false">IF(AND(ISNUMBER($G542),$G542&gt;=60),MAX(INDEX($D$342:$D542,202-60):$D542),"")</f>
        <v/>
      </c>
      <c r="N542" s="37" t="str">
        <f aca="false">IF(AND(ISNUMBER($G542),$G542&gt;=60),MIN(INDEX($E$342:$E542,202-60):$E542),"")</f>
        <v/>
      </c>
      <c r="O542" s="38" t="str">
        <f aca="false">IF(OR(NOT(ISNUMBER($C542)),NOT(ISNUMBER($M542)),$M542=0),"",$C542/$M542-1)</f>
        <v/>
      </c>
    </row>
    <row r="543" customFormat="false" ht="15" hidden="false" customHeight="true" outlineLevel="0" collapsed="false">
      <c r="A543" s="39"/>
      <c r="B543" s="40"/>
      <c r="C543" s="41"/>
      <c r="D543" s="40"/>
      <c r="E543" s="40"/>
      <c r="F543" s="40"/>
      <c r="G543" s="35" t="str">
        <f aca="false">IF($A543="","",IF(ISNUMBER($G542),$G542+1,1))</f>
        <v/>
      </c>
      <c r="H543" s="36" t="str">
        <f aca="false">IF(OR(NOT(ISNUMBER($G543)),$G543&lt;2,NOT(ISNUMBER($C542)),$C542=0),"",$C543/$C542-1)</f>
        <v/>
      </c>
      <c r="I543" s="37" t="str">
        <f aca="false">IF(AND(ISNUMBER($G543),$G543&gt;=MA_SHORT),AVERAGE(INDEX($C$143:$C543,402-MA_SHORT):$C543),"")</f>
        <v/>
      </c>
      <c r="J543" s="37" t="str">
        <f aca="false">IF(AND(ISNUMBER($G543),$G543&gt;=MA_MED),AVERAGE(INDEX($C$143:$C543,402-MA_MED):$C543),"")</f>
        <v/>
      </c>
      <c r="K543" s="37" t="str">
        <f aca="false">IF(AND(ISNUMBER($G543),$G543&gt;=MA_LONG2),AVERAGE(INDEX($C$143:$C543,402-MA_LONG2):$C543),"")</f>
        <v/>
      </c>
      <c r="L543" s="38" t="str">
        <f aca="false">IF(AND(ISNUMBER($G543),$G543&gt;=21),STDEV(INDEX($H$483:$H543,62-20):$H543)*SQRT(245),"")</f>
        <v/>
      </c>
      <c r="M543" s="37" t="str">
        <f aca="false">IF(AND(ISNUMBER($G543),$G543&gt;=60),MAX(INDEX($D$343:$D543,202-60):$D543),"")</f>
        <v/>
      </c>
      <c r="N543" s="37" t="str">
        <f aca="false">IF(AND(ISNUMBER($G543),$G543&gt;=60),MIN(INDEX($E$343:$E543,202-60):$E543),"")</f>
        <v/>
      </c>
      <c r="O543" s="38" t="str">
        <f aca="false">IF(OR(NOT(ISNUMBER($C543)),NOT(ISNUMBER($M543)),$M543=0),"",$C543/$M543-1)</f>
        <v/>
      </c>
    </row>
    <row r="544" customFormat="false" ht="15" hidden="false" customHeight="true" outlineLevel="0" collapsed="false">
      <c r="A544" s="39"/>
      <c r="B544" s="40"/>
      <c r="C544" s="41"/>
      <c r="D544" s="40"/>
      <c r="E544" s="40"/>
      <c r="F544" s="40"/>
      <c r="G544" s="35" t="str">
        <f aca="false">IF($A544="","",IF(ISNUMBER($G543),$G543+1,1))</f>
        <v/>
      </c>
      <c r="H544" s="36" t="str">
        <f aca="false">IF(OR(NOT(ISNUMBER($G544)),$G544&lt;2,NOT(ISNUMBER($C543)),$C543=0),"",$C544/$C543-1)</f>
        <v/>
      </c>
      <c r="I544" s="37" t="str">
        <f aca="false">IF(AND(ISNUMBER($G544),$G544&gt;=MA_SHORT),AVERAGE(INDEX($C$144:$C544,402-MA_SHORT):$C544),"")</f>
        <v/>
      </c>
      <c r="J544" s="37" t="str">
        <f aca="false">IF(AND(ISNUMBER($G544),$G544&gt;=MA_MED),AVERAGE(INDEX($C$144:$C544,402-MA_MED):$C544),"")</f>
        <v/>
      </c>
      <c r="K544" s="37" t="str">
        <f aca="false">IF(AND(ISNUMBER($G544),$G544&gt;=MA_LONG2),AVERAGE(INDEX($C$144:$C544,402-MA_LONG2):$C544),"")</f>
        <v/>
      </c>
      <c r="L544" s="38" t="str">
        <f aca="false">IF(AND(ISNUMBER($G544),$G544&gt;=21),STDEV(INDEX($H$484:$H544,62-20):$H544)*SQRT(245),"")</f>
        <v/>
      </c>
      <c r="M544" s="37" t="str">
        <f aca="false">IF(AND(ISNUMBER($G544),$G544&gt;=60),MAX(INDEX($D$344:$D544,202-60):$D544),"")</f>
        <v/>
      </c>
      <c r="N544" s="37" t="str">
        <f aca="false">IF(AND(ISNUMBER($G544),$G544&gt;=60),MIN(INDEX($E$344:$E544,202-60):$E544),"")</f>
        <v/>
      </c>
      <c r="O544" s="38" t="str">
        <f aca="false">IF(OR(NOT(ISNUMBER($C544)),NOT(ISNUMBER($M544)),$M544=0),"",$C544/$M544-1)</f>
        <v/>
      </c>
    </row>
    <row r="545" customFormat="false" ht="15" hidden="false" customHeight="true" outlineLevel="0" collapsed="false">
      <c r="A545" s="39"/>
      <c r="B545" s="40"/>
      <c r="C545" s="41"/>
      <c r="D545" s="40"/>
      <c r="E545" s="40"/>
      <c r="F545" s="40"/>
      <c r="G545" s="35" t="str">
        <f aca="false">IF($A545="","",IF(ISNUMBER($G544),$G544+1,1))</f>
        <v/>
      </c>
      <c r="H545" s="36" t="str">
        <f aca="false">IF(OR(NOT(ISNUMBER($G545)),$G545&lt;2,NOT(ISNUMBER($C544)),$C544=0),"",$C545/$C544-1)</f>
        <v/>
      </c>
      <c r="I545" s="37" t="str">
        <f aca="false">IF(AND(ISNUMBER($G545),$G545&gt;=MA_SHORT),AVERAGE(INDEX($C$145:$C545,402-MA_SHORT):$C545),"")</f>
        <v/>
      </c>
      <c r="J545" s="37" t="str">
        <f aca="false">IF(AND(ISNUMBER($G545),$G545&gt;=MA_MED),AVERAGE(INDEX($C$145:$C545,402-MA_MED):$C545),"")</f>
        <v/>
      </c>
      <c r="K545" s="37" t="str">
        <f aca="false">IF(AND(ISNUMBER($G545),$G545&gt;=MA_LONG2),AVERAGE(INDEX($C$145:$C545,402-MA_LONG2):$C545),"")</f>
        <v/>
      </c>
      <c r="L545" s="38" t="str">
        <f aca="false">IF(AND(ISNUMBER($G545),$G545&gt;=21),STDEV(INDEX($H$485:$H545,62-20):$H545)*SQRT(245),"")</f>
        <v/>
      </c>
      <c r="M545" s="37" t="str">
        <f aca="false">IF(AND(ISNUMBER($G545),$G545&gt;=60),MAX(INDEX($D$345:$D545,202-60):$D545),"")</f>
        <v/>
      </c>
      <c r="N545" s="37" t="str">
        <f aca="false">IF(AND(ISNUMBER($G545),$G545&gt;=60),MIN(INDEX($E$345:$E545,202-60):$E545),"")</f>
        <v/>
      </c>
      <c r="O545" s="38" t="str">
        <f aca="false">IF(OR(NOT(ISNUMBER($C545)),NOT(ISNUMBER($M545)),$M545=0),"",$C545/$M545-1)</f>
        <v/>
      </c>
    </row>
    <row r="546" customFormat="false" ht="15" hidden="false" customHeight="true" outlineLevel="0" collapsed="false">
      <c r="A546" s="39"/>
      <c r="B546" s="40"/>
      <c r="C546" s="41"/>
      <c r="D546" s="40"/>
      <c r="E546" s="40"/>
      <c r="F546" s="40"/>
      <c r="G546" s="35" t="str">
        <f aca="false">IF($A546="","",IF(ISNUMBER($G545),$G545+1,1))</f>
        <v/>
      </c>
      <c r="H546" s="36" t="str">
        <f aca="false">IF(OR(NOT(ISNUMBER($G546)),$G546&lt;2,NOT(ISNUMBER($C545)),$C545=0),"",$C546/$C545-1)</f>
        <v/>
      </c>
      <c r="I546" s="37" t="str">
        <f aca="false">IF(AND(ISNUMBER($G546),$G546&gt;=MA_SHORT),AVERAGE(INDEX($C$146:$C546,402-MA_SHORT):$C546),"")</f>
        <v/>
      </c>
      <c r="J546" s="37" t="str">
        <f aca="false">IF(AND(ISNUMBER($G546),$G546&gt;=MA_MED),AVERAGE(INDEX($C$146:$C546,402-MA_MED):$C546),"")</f>
        <v/>
      </c>
      <c r="K546" s="37" t="str">
        <f aca="false">IF(AND(ISNUMBER($G546),$G546&gt;=MA_LONG2),AVERAGE(INDEX($C$146:$C546,402-MA_LONG2):$C546),"")</f>
        <v/>
      </c>
      <c r="L546" s="38" t="str">
        <f aca="false">IF(AND(ISNUMBER($G546),$G546&gt;=21),STDEV(INDEX($H$486:$H546,62-20):$H546)*SQRT(245),"")</f>
        <v/>
      </c>
      <c r="M546" s="37" t="str">
        <f aca="false">IF(AND(ISNUMBER($G546),$G546&gt;=60),MAX(INDEX($D$346:$D546,202-60):$D546),"")</f>
        <v/>
      </c>
      <c r="N546" s="37" t="str">
        <f aca="false">IF(AND(ISNUMBER($G546),$G546&gt;=60),MIN(INDEX($E$346:$E546,202-60):$E546),"")</f>
        <v/>
      </c>
      <c r="O546" s="38" t="str">
        <f aca="false">IF(OR(NOT(ISNUMBER($C546)),NOT(ISNUMBER($M546)),$M546=0),"",$C546/$M546-1)</f>
        <v/>
      </c>
    </row>
    <row r="547" customFormat="false" ht="15" hidden="false" customHeight="true" outlineLevel="0" collapsed="false">
      <c r="A547" s="39"/>
      <c r="B547" s="40"/>
      <c r="C547" s="41"/>
      <c r="D547" s="40"/>
      <c r="E547" s="40"/>
      <c r="F547" s="40"/>
      <c r="G547" s="35" t="str">
        <f aca="false">IF($A547="","",IF(ISNUMBER($G546),$G546+1,1))</f>
        <v/>
      </c>
      <c r="H547" s="36" t="str">
        <f aca="false">IF(OR(NOT(ISNUMBER($G547)),$G547&lt;2,NOT(ISNUMBER($C546)),$C546=0),"",$C547/$C546-1)</f>
        <v/>
      </c>
      <c r="I547" s="37" t="str">
        <f aca="false">IF(AND(ISNUMBER($G547),$G547&gt;=MA_SHORT),AVERAGE(INDEX($C$147:$C547,402-MA_SHORT):$C547),"")</f>
        <v/>
      </c>
      <c r="J547" s="37" t="str">
        <f aca="false">IF(AND(ISNUMBER($G547),$G547&gt;=MA_MED),AVERAGE(INDEX($C$147:$C547,402-MA_MED):$C547),"")</f>
        <v/>
      </c>
      <c r="K547" s="37" t="str">
        <f aca="false">IF(AND(ISNUMBER($G547),$G547&gt;=MA_LONG2),AVERAGE(INDEX($C$147:$C547,402-MA_LONG2):$C547),"")</f>
        <v/>
      </c>
      <c r="L547" s="38" t="str">
        <f aca="false">IF(AND(ISNUMBER($G547),$G547&gt;=21),STDEV(INDEX($H$487:$H547,62-20):$H547)*SQRT(245),"")</f>
        <v/>
      </c>
      <c r="M547" s="37" t="str">
        <f aca="false">IF(AND(ISNUMBER($G547),$G547&gt;=60),MAX(INDEX($D$347:$D547,202-60):$D547),"")</f>
        <v/>
      </c>
      <c r="N547" s="37" t="str">
        <f aca="false">IF(AND(ISNUMBER($G547),$G547&gt;=60),MIN(INDEX($E$347:$E547,202-60):$E547),"")</f>
        <v/>
      </c>
      <c r="O547" s="38" t="str">
        <f aca="false">IF(OR(NOT(ISNUMBER($C547)),NOT(ISNUMBER($M547)),$M547=0),"",$C547/$M547-1)</f>
        <v/>
      </c>
    </row>
    <row r="548" customFormat="false" ht="15" hidden="false" customHeight="true" outlineLevel="0" collapsed="false">
      <c r="A548" s="39"/>
      <c r="B548" s="40"/>
      <c r="C548" s="41"/>
      <c r="D548" s="40"/>
      <c r="E548" s="40"/>
      <c r="F548" s="40"/>
      <c r="G548" s="35" t="str">
        <f aca="false">IF($A548="","",IF(ISNUMBER($G547),$G547+1,1))</f>
        <v/>
      </c>
      <c r="H548" s="36" t="str">
        <f aca="false">IF(OR(NOT(ISNUMBER($G548)),$G548&lt;2,NOT(ISNUMBER($C547)),$C547=0),"",$C548/$C547-1)</f>
        <v/>
      </c>
      <c r="I548" s="37" t="str">
        <f aca="false">IF(AND(ISNUMBER($G548),$G548&gt;=MA_SHORT),AVERAGE(INDEX($C$148:$C548,402-MA_SHORT):$C548),"")</f>
        <v/>
      </c>
      <c r="J548" s="37" t="str">
        <f aca="false">IF(AND(ISNUMBER($G548),$G548&gt;=MA_MED),AVERAGE(INDEX($C$148:$C548,402-MA_MED):$C548),"")</f>
        <v/>
      </c>
      <c r="K548" s="37" t="str">
        <f aca="false">IF(AND(ISNUMBER($G548),$G548&gt;=MA_LONG2),AVERAGE(INDEX($C$148:$C548,402-MA_LONG2):$C548),"")</f>
        <v/>
      </c>
      <c r="L548" s="38" t="str">
        <f aca="false">IF(AND(ISNUMBER($G548),$G548&gt;=21),STDEV(INDEX($H$488:$H548,62-20):$H548)*SQRT(245),"")</f>
        <v/>
      </c>
      <c r="M548" s="37" t="str">
        <f aca="false">IF(AND(ISNUMBER($G548),$G548&gt;=60),MAX(INDEX($D$348:$D548,202-60):$D548),"")</f>
        <v/>
      </c>
      <c r="N548" s="37" t="str">
        <f aca="false">IF(AND(ISNUMBER($G548),$G548&gt;=60),MIN(INDEX($E$348:$E548,202-60):$E548),"")</f>
        <v/>
      </c>
      <c r="O548" s="38" t="str">
        <f aca="false">IF(OR(NOT(ISNUMBER($C548)),NOT(ISNUMBER($M548)),$M548=0),"",$C548/$M548-1)</f>
        <v/>
      </c>
    </row>
    <row r="549" customFormat="false" ht="15" hidden="false" customHeight="true" outlineLevel="0" collapsed="false">
      <c r="A549" s="39"/>
      <c r="B549" s="40"/>
      <c r="C549" s="41"/>
      <c r="D549" s="40"/>
      <c r="E549" s="40"/>
      <c r="F549" s="40"/>
      <c r="G549" s="35" t="str">
        <f aca="false">IF($A549="","",IF(ISNUMBER($G548),$G548+1,1))</f>
        <v/>
      </c>
      <c r="H549" s="36" t="str">
        <f aca="false">IF(OR(NOT(ISNUMBER($G549)),$G549&lt;2,NOT(ISNUMBER($C548)),$C548=0),"",$C549/$C548-1)</f>
        <v/>
      </c>
      <c r="I549" s="37" t="str">
        <f aca="false">IF(AND(ISNUMBER($G549),$G549&gt;=MA_SHORT),AVERAGE(INDEX($C$149:$C549,402-MA_SHORT):$C549),"")</f>
        <v/>
      </c>
      <c r="J549" s="37" t="str">
        <f aca="false">IF(AND(ISNUMBER($G549),$G549&gt;=MA_MED),AVERAGE(INDEX($C$149:$C549,402-MA_MED):$C549),"")</f>
        <v/>
      </c>
      <c r="K549" s="37" t="str">
        <f aca="false">IF(AND(ISNUMBER($G549),$G549&gt;=MA_LONG2),AVERAGE(INDEX($C$149:$C549,402-MA_LONG2):$C549),"")</f>
        <v/>
      </c>
      <c r="L549" s="38" t="str">
        <f aca="false">IF(AND(ISNUMBER($G549),$G549&gt;=21),STDEV(INDEX($H$489:$H549,62-20):$H549)*SQRT(245),"")</f>
        <v/>
      </c>
      <c r="M549" s="37" t="str">
        <f aca="false">IF(AND(ISNUMBER($G549),$G549&gt;=60),MAX(INDEX($D$349:$D549,202-60):$D549),"")</f>
        <v/>
      </c>
      <c r="N549" s="37" t="str">
        <f aca="false">IF(AND(ISNUMBER($G549),$G549&gt;=60),MIN(INDEX($E$349:$E549,202-60):$E549),"")</f>
        <v/>
      </c>
      <c r="O549" s="38" t="str">
        <f aca="false">IF(OR(NOT(ISNUMBER($C549)),NOT(ISNUMBER($M549)),$M549=0),"",$C549/$M549-1)</f>
        <v/>
      </c>
    </row>
    <row r="550" customFormat="false" ht="15" hidden="false" customHeight="true" outlineLevel="0" collapsed="false">
      <c r="A550" s="39"/>
      <c r="B550" s="40"/>
      <c r="C550" s="41"/>
      <c r="D550" s="40"/>
      <c r="E550" s="40"/>
      <c r="F550" s="40"/>
      <c r="G550" s="35" t="str">
        <f aca="false">IF($A550="","",IF(ISNUMBER($G549),$G549+1,1))</f>
        <v/>
      </c>
      <c r="H550" s="36" t="str">
        <f aca="false">IF(OR(NOT(ISNUMBER($G550)),$G550&lt;2,NOT(ISNUMBER($C549)),$C549=0),"",$C550/$C549-1)</f>
        <v/>
      </c>
      <c r="I550" s="37" t="str">
        <f aca="false">IF(AND(ISNUMBER($G550),$G550&gt;=MA_SHORT),AVERAGE(INDEX($C$150:$C550,402-MA_SHORT):$C550),"")</f>
        <v/>
      </c>
      <c r="J550" s="37" t="str">
        <f aca="false">IF(AND(ISNUMBER($G550),$G550&gt;=MA_MED),AVERAGE(INDEX($C$150:$C550,402-MA_MED):$C550),"")</f>
        <v/>
      </c>
      <c r="K550" s="37" t="str">
        <f aca="false">IF(AND(ISNUMBER($G550),$G550&gt;=MA_LONG2),AVERAGE(INDEX($C$150:$C550,402-MA_LONG2):$C550),"")</f>
        <v/>
      </c>
      <c r="L550" s="38" t="str">
        <f aca="false">IF(AND(ISNUMBER($G550),$G550&gt;=21),STDEV(INDEX($H$490:$H550,62-20):$H550)*SQRT(245),"")</f>
        <v/>
      </c>
      <c r="M550" s="37" t="str">
        <f aca="false">IF(AND(ISNUMBER($G550),$G550&gt;=60),MAX(INDEX($D$350:$D550,202-60):$D550),"")</f>
        <v/>
      </c>
      <c r="N550" s="37" t="str">
        <f aca="false">IF(AND(ISNUMBER($G550),$G550&gt;=60),MIN(INDEX($E$350:$E550,202-60):$E550),"")</f>
        <v/>
      </c>
      <c r="O550" s="38" t="str">
        <f aca="false">IF(OR(NOT(ISNUMBER($C550)),NOT(ISNUMBER($M550)),$M550=0),"",$C550/$M550-1)</f>
        <v/>
      </c>
    </row>
    <row r="551" customFormat="false" ht="15" hidden="false" customHeight="true" outlineLevel="0" collapsed="false">
      <c r="A551" s="39"/>
      <c r="B551" s="40"/>
      <c r="C551" s="41"/>
      <c r="D551" s="40"/>
      <c r="E551" s="40"/>
      <c r="F551" s="40"/>
      <c r="G551" s="35" t="str">
        <f aca="false">IF($A551="","",IF(ISNUMBER($G550),$G550+1,1))</f>
        <v/>
      </c>
      <c r="H551" s="36" t="str">
        <f aca="false">IF(OR(NOT(ISNUMBER($G551)),$G551&lt;2,NOT(ISNUMBER($C550)),$C550=0),"",$C551/$C550-1)</f>
        <v/>
      </c>
      <c r="I551" s="37" t="str">
        <f aca="false">IF(AND(ISNUMBER($G551),$G551&gt;=MA_SHORT),AVERAGE(INDEX($C$151:$C551,402-MA_SHORT):$C551),"")</f>
        <v/>
      </c>
      <c r="J551" s="37" t="str">
        <f aca="false">IF(AND(ISNUMBER($G551),$G551&gt;=MA_MED),AVERAGE(INDEX($C$151:$C551,402-MA_MED):$C551),"")</f>
        <v/>
      </c>
      <c r="K551" s="37" t="str">
        <f aca="false">IF(AND(ISNUMBER($G551),$G551&gt;=MA_LONG2),AVERAGE(INDEX($C$151:$C551,402-MA_LONG2):$C551),"")</f>
        <v/>
      </c>
      <c r="L551" s="38" t="str">
        <f aca="false">IF(AND(ISNUMBER($G551),$G551&gt;=21),STDEV(INDEX($H$491:$H551,62-20):$H551)*SQRT(245),"")</f>
        <v/>
      </c>
      <c r="M551" s="37" t="str">
        <f aca="false">IF(AND(ISNUMBER($G551),$G551&gt;=60),MAX(INDEX($D$351:$D551,202-60):$D551),"")</f>
        <v/>
      </c>
      <c r="N551" s="37" t="str">
        <f aca="false">IF(AND(ISNUMBER($G551),$G551&gt;=60),MIN(INDEX($E$351:$E551,202-60):$E551),"")</f>
        <v/>
      </c>
      <c r="O551" s="38" t="str">
        <f aca="false">IF(OR(NOT(ISNUMBER($C551)),NOT(ISNUMBER($M551)),$M551=0),"",$C551/$M551-1)</f>
        <v/>
      </c>
    </row>
    <row r="552" customFormat="false" ht="15" hidden="false" customHeight="true" outlineLevel="0" collapsed="false">
      <c r="A552" s="39"/>
      <c r="B552" s="40"/>
      <c r="C552" s="41"/>
      <c r="D552" s="40"/>
      <c r="E552" s="40"/>
      <c r="F552" s="40"/>
      <c r="G552" s="35" t="str">
        <f aca="false">IF($A552="","",IF(ISNUMBER($G551),$G551+1,1))</f>
        <v/>
      </c>
      <c r="H552" s="36" t="str">
        <f aca="false">IF(OR(NOT(ISNUMBER($G552)),$G552&lt;2,NOT(ISNUMBER($C551)),$C551=0),"",$C552/$C551-1)</f>
        <v/>
      </c>
      <c r="I552" s="37" t="str">
        <f aca="false">IF(AND(ISNUMBER($G552),$G552&gt;=MA_SHORT),AVERAGE(INDEX($C$152:$C552,402-MA_SHORT):$C552),"")</f>
        <v/>
      </c>
      <c r="J552" s="37" t="str">
        <f aca="false">IF(AND(ISNUMBER($G552),$G552&gt;=MA_MED),AVERAGE(INDEX($C$152:$C552,402-MA_MED):$C552),"")</f>
        <v/>
      </c>
      <c r="K552" s="37" t="str">
        <f aca="false">IF(AND(ISNUMBER($G552),$G552&gt;=MA_LONG2),AVERAGE(INDEX($C$152:$C552,402-MA_LONG2):$C552),"")</f>
        <v/>
      </c>
      <c r="L552" s="38" t="str">
        <f aca="false">IF(AND(ISNUMBER($G552),$G552&gt;=21),STDEV(INDEX($H$492:$H552,62-20):$H552)*SQRT(245),"")</f>
        <v/>
      </c>
      <c r="M552" s="37" t="str">
        <f aca="false">IF(AND(ISNUMBER($G552),$G552&gt;=60),MAX(INDEX($D$352:$D552,202-60):$D552),"")</f>
        <v/>
      </c>
      <c r="N552" s="37" t="str">
        <f aca="false">IF(AND(ISNUMBER($G552),$G552&gt;=60),MIN(INDEX($E$352:$E552,202-60):$E552),"")</f>
        <v/>
      </c>
      <c r="O552" s="38" t="str">
        <f aca="false">IF(OR(NOT(ISNUMBER($C552)),NOT(ISNUMBER($M552)),$M552=0),"",$C552/$M552-1)</f>
        <v/>
      </c>
    </row>
    <row r="553" customFormat="false" ht="15" hidden="false" customHeight="true" outlineLevel="0" collapsed="false">
      <c r="A553" s="39"/>
      <c r="B553" s="40"/>
      <c r="C553" s="41"/>
      <c r="D553" s="40"/>
      <c r="E553" s="40"/>
      <c r="F553" s="40"/>
      <c r="G553" s="35" t="str">
        <f aca="false">IF($A553="","",IF(ISNUMBER($G552),$G552+1,1))</f>
        <v/>
      </c>
      <c r="H553" s="36" t="str">
        <f aca="false">IF(OR(NOT(ISNUMBER($G553)),$G553&lt;2,NOT(ISNUMBER($C552)),$C552=0),"",$C553/$C552-1)</f>
        <v/>
      </c>
      <c r="I553" s="37" t="str">
        <f aca="false">IF(AND(ISNUMBER($G553),$G553&gt;=MA_SHORT),AVERAGE(INDEX($C$153:$C553,402-MA_SHORT):$C553),"")</f>
        <v/>
      </c>
      <c r="J553" s="37" t="str">
        <f aca="false">IF(AND(ISNUMBER($G553),$G553&gt;=MA_MED),AVERAGE(INDEX($C$153:$C553,402-MA_MED):$C553),"")</f>
        <v/>
      </c>
      <c r="K553" s="37" t="str">
        <f aca="false">IF(AND(ISNUMBER($G553),$G553&gt;=MA_LONG2),AVERAGE(INDEX($C$153:$C553,402-MA_LONG2):$C553),"")</f>
        <v/>
      </c>
      <c r="L553" s="38" t="str">
        <f aca="false">IF(AND(ISNUMBER($G553),$G553&gt;=21),STDEV(INDEX($H$493:$H553,62-20):$H553)*SQRT(245),"")</f>
        <v/>
      </c>
      <c r="M553" s="37" t="str">
        <f aca="false">IF(AND(ISNUMBER($G553),$G553&gt;=60),MAX(INDEX($D$353:$D553,202-60):$D553),"")</f>
        <v/>
      </c>
      <c r="N553" s="37" t="str">
        <f aca="false">IF(AND(ISNUMBER($G553),$G553&gt;=60),MIN(INDEX($E$353:$E553,202-60):$E553),"")</f>
        <v/>
      </c>
      <c r="O553" s="38" t="str">
        <f aca="false">IF(OR(NOT(ISNUMBER($C553)),NOT(ISNUMBER($M553)),$M553=0),"",$C553/$M553-1)</f>
        <v/>
      </c>
    </row>
    <row r="554" customFormat="false" ht="15" hidden="false" customHeight="true" outlineLevel="0" collapsed="false">
      <c r="A554" s="39"/>
      <c r="B554" s="40"/>
      <c r="C554" s="41"/>
      <c r="D554" s="40"/>
      <c r="E554" s="40"/>
      <c r="F554" s="40"/>
      <c r="G554" s="35" t="str">
        <f aca="false">IF($A554="","",IF(ISNUMBER($G553),$G553+1,1))</f>
        <v/>
      </c>
      <c r="H554" s="36" t="str">
        <f aca="false">IF(OR(NOT(ISNUMBER($G554)),$G554&lt;2,NOT(ISNUMBER($C553)),$C553=0),"",$C554/$C553-1)</f>
        <v/>
      </c>
      <c r="I554" s="37" t="str">
        <f aca="false">IF(AND(ISNUMBER($G554),$G554&gt;=MA_SHORT),AVERAGE(INDEX($C$154:$C554,402-MA_SHORT):$C554),"")</f>
        <v/>
      </c>
      <c r="J554" s="37" t="str">
        <f aca="false">IF(AND(ISNUMBER($G554),$G554&gt;=MA_MED),AVERAGE(INDEX($C$154:$C554,402-MA_MED):$C554),"")</f>
        <v/>
      </c>
      <c r="K554" s="37" t="str">
        <f aca="false">IF(AND(ISNUMBER($G554),$G554&gt;=MA_LONG2),AVERAGE(INDEX($C$154:$C554,402-MA_LONG2):$C554),"")</f>
        <v/>
      </c>
      <c r="L554" s="38" t="str">
        <f aca="false">IF(AND(ISNUMBER($G554),$G554&gt;=21),STDEV(INDEX($H$494:$H554,62-20):$H554)*SQRT(245),"")</f>
        <v/>
      </c>
      <c r="M554" s="37" t="str">
        <f aca="false">IF(AND(ISNUMBER($G554),$G554&gt;=60),MAX(INDEX($D$354:$D554,202-60):$D554),"")</f>
        <v/>
      </c>
      <c r="N554" s="37" t="str">
        <f aca="false">IF(AND(ISNUMBER($G554),$G554&gt;=60),MIN(INDEX($E$354:$E554,202-60):$E554),"")</f>
        <v/>
      </c>
      <c r="O554" s="38" t="str">
        <f aca="false">IF(OR(NOT(ISNUMBER($C554)),NOT(ISNUMBER($M554)),$M554=0),"",$C554/$M554-1)</f>
        <v/>
      </c>
    </row>
    <row r="555" customFormat="false" ht="15" hidden="false" customHeight="true" outlineLevel="0" collapsed="false">
      <c r="A555" s="39"/>
      <c r="B555" s="40"/>
      <c r="C555" s="41"/>
      <c r="D555" s="40"/>
      <c r="E555" s="40"/>
      <c r="F555" s="40"/>
      <c r="G555" s="35" t="str">
        <f aca="false">IF($A555="","",IF(ISNUMBER($G554),$G554+1,1))</f>
        <v/>
      </c>
      <c r="H555" s="36" t="str">
        <f aca="false">IF(OR(NOT(ISNUMBER($G555)),$G555&lt;2,NOT(ISNUMBER($C554)),$C554=0),"",$C555/$C554-1)</f>
        <v/>
      </c>
      <c r="I555" s="37" t="str">
        <f aca="false">IF(AND(ISNUMBER($G555),$G555&gt;=MA_SHORT),AVERAGE(INDEX($C$155:$C555,402-MA_SHORT):$C555),"")</f>
        <v/>
      </c>
      <c r="J555" s="37" t="str">
        <f aca="false">IF(AND(ISNUMBER($G555),$G555&gt;=MA_MED),AVERAGE(INDEX($C$155:$C555,402-MA_MED):$C555),"")</f>
        <v/>
      </c>
      <c r="K555" s="37" t="str">
        <f aca="false">IF(AND(ISNUMBER($G555),$G555&gt;=MA_LONG2),AVERAGE(INDEX($C$155:$C555,402-MA_LONG2):$C555),"")</f>
        <v/>
      </c>
      <c r="L555" s="38" t="str">
        <f aca="false">IF(AND(ISNUMBER($G555),$G555&gt;=21),STDEV(INDEX($H$495:$H555,62-20):$H555)*SQRT(245),"")</f>
        <v/>
      </c>
      <c r="M555" s="37" t="str">
        <f aca="false">IF(AND(ISNUMBER($G555),$G555&gt;=60),MAX(INDEX($D$355:$D555,202-60):$D555),"")</f>
        <v/>
      </c>
      <c r="N555" s="37" t="str">
        <f aca="false">IF(AND(ISNUMBER($G555),$G555&gt;=60),MIN(INDEX($E$355:$E555,202-60):$E555),"")</f>
        <v/>
      </c>
      <c r="O555" s="38" t="str">
        <f aca="false">IF(OR(NOT(ISNUMBER($C555)),NOT(ISNUMBER($M555)),$M555=0),"",$C555/$M555-1)</f>
        <v/>
      </c>
    </row>
    <row r="556" customFormat="false" ht="15" hidden="false" customHeight="true" outlineLevel="0" collapsed="false">
      <c r="A556" s="39"/>
      <c r="B556" s="40"/>
      <c r="C556" s="41"/>
      <c r="D556" s="40"/>
      <c r="E556" s="40"/>
      <c r="F556" s="40"/>
      <c r="G556" s="35" t="str">
        <f aca="false">IF($A556="","",IF(ISNUMBER($G555),$G555+1,1))</f>
        <v/>
      </c>
      <c r="H556" s="36" t="str">
        <f aca="false">IF(OR(NOT(ISNUMBER($G556)),$G556&lt;2,NOT(ISNUMBER($C555)),$C555=0),"",$C556/$C555-1)</f>
        <v/>
      </c>
      <c r="I556" s="37" t="str">
        <f aca="false">IF(AND(ISNUMBER($G556),$G556&gt;=MA_SHORT),AVERAGE(INDEX($C$156:$C556,402-MA_SHORT):$C556),"")</f>
        <v/>
      </c>
      <c r="J556" s="37" t="str">
        <f aca="false">IF(AND(ISNUMBER($G556),$G556&gt;=MA_MED),AVERAGE(INDEX($C$156:$C556,402-MA_MED):$C556),"")</f>
        <v/>
      </c>
      <c r="K556" s="37" t="str">
        <f aca="false">IF(AND(ISNUMBER($G556),$G556&gt;=MA_LONG2),AVERAGE(INDEX($C$156:$C556,402-MA_LONG2):$C556),"")</f>
        <v/>
      </c>
      <c r="L556" s="38" t="str">
        <f aca="false">IF(AND(ISNUMBER($G556),$G556&gt;=21),STDEV(INDEX($H$496:$H556,62-20):$H556)*SQRT(245),"")</f>
        <v/>
      </c>
      <c r="M556" s="37" t="str">
        <f aca="false">IF(AND(ISNUMBER($G556),$G556&gt;=60),MAX(INDEX($D$356:$D556,202-60):$D556),"")</f>
        <v/>
      </c>
      <c r="N556" s="37" t="str">
        <f aca="false">IF(AND(ISNUMBER($G556),$G556&gt;=60),MIN(INDEX($E$356:$E556,202-60):$E556),"")</f>
        <v/>
      </c>
      <c r="O556" s="38" t="str">
        <f aca="false">IF(OR(NOT(ISNUMBER($C556)),NOT(ISNUMBER($M556)),$M556=0),"",$C556/$M556-1)</f>
        <v/>
      </c>
    </row>
    <row r="557" customFormat="false" ht="15" hidden="false" customHeight="true" outlineLevel="0" collapsed="false">
      <c r="A557" s="39"/>
      <c r="B557" s="40"/>
      <c r="C557" s="41"/>
      <c r="D557" s="40"/>
      <c r="E557" s="40"/>
      <c r="F557" s="40"/>
      <c r="G557" s="35" t="str">
        <f aca="false">IF($A557="","",IF(ISNUMBER($G556),$G556+1,1))</f>
        <v/>
      </c>
      <c r="H557" s="36" t="str">
        <f aca="false">IF(OR(NOT(ISNUMBER($G557)),$G557&lt;2,NOT(ISNUMBER($C556)),$C556=0),"",$C557/$C556-1)</f>
        <v/>
      </c>
      <c r="I557" s="37" t="str">
        <f aca="false">IF(AND(ISNUMBER($G557),$G557&gt;=MA_SHORT),AVERAGE(INDEX($C$157:$C557,402-MA_SHORT):$C557),"")</f>
        <v/>
      </c>
      <c r="J557" s="37" t="str">
        <f aca="false">IF(AND(ISNUMBER($G557),$G557&gt;=MA_MED),AVERAGE(INDEX($C$157:$C557,402-MA_MED):$C557),"")</f>
        <v/>
      </c>
      <c r="K557" s="37" t="str">
        <f aca="false">IF(AND(ISNUMBER($G557),$G557&gt;=MA_LONG2),AVERAGE(INDEX($C$157:$C557,402-MA_LONG2):$C557),"")</f>
        <v/>
      </c>
      <c r="L557" s="38" t="str">
        <f aca="false">IF(AND(ISNUMBER($G557),$G557&gt;=21),STDEV(INDEX($H$497:$H557,62-20):$H557)*SQRT(245),"")</f>
        <v/>
      </c>
      <c r="M557" s="37" t="str">
        <f aca="false">IF(AND(ISNUMBER($G557),$G557&gt;=60),MAX(INDEX($D$357:$D557,202-60):$D557),"")</f>
        <v/>
      </c>
      <c r="N557" s="37" t="str">
        <f aca="false">IF(AND(ISNUMBER($G557),$G557&gt;=60),MIN(INDEX($E$357:$E557,202-60):$E557),"")</f>
        <v/>
      </c>
      <c r="O557" s="38" t="str">
        <f aca="false">IF(OR(NOT(ISNUMBER($C557)),NOT(ISNUMBER($M557)),$M557=0),"",$C557/$M557-1)</f>
        <v/>
      </c>
    </row>
    <row r="558" customFormat="false" ht="15" hidden="false" customHeight="true" outlineLevel="0" collapsed="false">
      <c r="A558" s="39"/>
      <c r="B558" s="40"/>
      <c r="C558" s="41"/>
      <c r="D558" s="40"/>
      <c r="E558" s="40"/>
      <c r="F558" s="40"/>
      <c r="G558" s="35" t="str">
        <f aca="false">IF($A558="","",IF(ISNUMBER($G557),$G557+1,1))</f>
        <v/>
      </c>
      <c r="H558" s="36" t="str">
        <f aca="false">IF(OR(NOT(ISNUMBER($G558)),$G558&lt;2,NOT(ISNUMBER($C557)),$C557=0),"",$C558/$C557-1)</f>
        <v/>
      </c>
      <c r="I558" s="37" t="str">
        <f aca="false">IF(AND(ISNUMBER($G558),$G558&gt;=MA_SHORT),AVERAGE(INDEX($C$158:$C558,402-MA_SHORT):$C558),"")</f>
        <v/>
      </c>
      <c r="J558" s="37" t="str">
        <f aca="false">IF(AND(ISNUMBER($G558),$G558&gt;=MA_MED),AVERAGE(INDEX($C$158:$C558,402-MA_MED):$C558),"")</f>
        <v/>
      </c>
      <c r="K558" s="37" t="str">
        <f aca="false">IF(AND(ISNUMBER($G558),$G558&gt;=MA_LONG2),AVERAGE(INDEX($C$158:$C558,402-MA_LONG2):$C558),"")</f>
        <v/>
      </c>
      <c r="L558" s="38" t="str">
        <f aca="false">IF(AND(ISNUMBER($G558),$G558&gt;=21),STDEV(INDEX($H$498:$H558,62-20):$H558)*SQRT(245),"")</f>
        <v/>
      </c>
      <c r="M558" s="37" t="str">
        <f aca="false">IF(AND(ISNUMBER($G558),$G558&gt;=60),MAX(INDEX($D$358:$D558,202-60):$D558),"")</f>
        <v/>
      </c>
      <c r="N558" s="37" t="str">
        <f aca="false">IF(AND(ISNUMBER($G558),$G558&gt;=60),MIN(INDEX($E$358:$E558,202-60):$E558),"")</f>
        <v/>
      </c>
      <c r="O558" s="38" t="str">
        <f aca="false">IF(OR(NOT(ISNUMBER($C558)),NOT(ISNUMBER($M558)),$M558=0),"",$C558/$M558-1)</f>
        <v/>
      </c>
    </row>
    <row r="559" customFormat="false" ht="15" hidden="false" customHeight="true" outlineLevel="0" collapsed="false">
      <c r="A559" s="39"/>
      <c r="B559" s="40"/>
      <c r="C559" s="41"/>
      <c r="D559" s="40"/>
      <c r="E559" s="40"/>
      <c r="F559" s="40"/>
      <c r="G559" s="35" t="str">
        <f aca="false">IF($A559="","",IF(ISNUMBER($G558),$G558+1,1))</f>
        <v/>
      </c>
      <c r="H559" s="36" t="str">
        <f aca="false">IF(OR(NOT(ISNUMBER($G559)),$G559&lt;2,NOT(ISNUMBER($C558)),$C558=0),"",$C559/$C558-1)</f>
        <v/>
      </c>
      <c r="I559" s="37" t="str">
        <f aca="false">IF(AND(ISNUMBER($G559),$G559&gt;=MA_SHORT),AVERAGE(INDEX($C$159:$C559,402-MA_SHORT):$C559),"")</f>
        <v/>
      </c>
      <c r="J559" s="37" t="str">
        <f aca="false">IF(AND(ISNUMBER($G559),$G559&gt;=MA_MED),AVERAGE(INDEX($C$159:$C559,402-MA_MED):$C559),"")</f>
        <v/>
      </c>
      <c r="K559" s="37" t="str">
        <f aca="false">IF(AND(ISNUMBER($G559),$G559&gt;=MA_LONG2),AVERAGE(INDEX($C$159:$C559,402-MA_LONG2):$C559),"")</f>
        <v/>
      </c>
      <c r="L559" s="38" t="str">
        <f aca="false">IF(AND(ISNUMBER($G559),$G559&gt;=21),STDEV(INDEX($H$499:$H559,62-20):$H559)*SQRT(245),"")</f>
        <v/>
      </c>
      <c r="M559" s="37" t="str">
        <f aca="false">IF(AND(ISNUMBER($G559),$G559&gt;=60),MAX(INDEX($D$359:$D559,202-60):$D559),"")</f>
        <v/>
      </c>
      <c r="N559" s="37" t="str">
        <f aca="false">IF(AND(ISNUMBER($G559),$G559&gt;=60),MIN(INDEX($E$359:$E559,202-60):$E559),"")</f>
        <v/>
      </c>
      <c r="O559" s="38" t="str">
        <f aca="false">IF(OR(NOT(ISNUMBER($C559)),NOT(ISNUMBER($M559)),$M559=0),"",$C559/$M559-1)</f>
        <v/>
      </c>
    </row>
    <row r="560" customFormat="false" ht="15" hidden="false" customHeight="true" outlineLevel="0" collapsed="false">
      <c r="A560" s="39"/>
      <c r="B560" s="40"/>
      <c r="C560" s="41"/>
      <c r="D560" s="40"/>
      <c r="E560" s="40"/>
      <c r="F560" s="40"/>
      <c r="G560" s="35" t="str">
        <f aca="false">IF($A560="","",IF(ISNUMBER($G559),$G559+1,1))</f>
        <v/>
      </c>
      <c r="H560" s="36" t="str">
        <f aca="false">IF(OR(NOT(ISNUMBER($G560)),$G560&lt;2,NOT(ISNUMBER($C559)),$C559=0),"",$C560/$C559-1)</f>
        <v/>
      </c>
      <c r="I560" s="37" t="str">
        <f aca="false">IF(AND(ISNUMBER($G560),$G560&gt;=MA_SHORT),AVERAGE(INDEX($C$160:$C560,402-MA_SHORT):$C560),"")</f>
        <v/>
      </c>
      <c r="J560" s="37" t="str">
        <f aca="false">IF(AND(ISNUMBER($G560),$G560&gt;=MA_MED),AVERAGE(INDEX($C$160:$C560,402-MA_MED):$C560),"")</f>
        <v/>
      </c>
      <c r="K560" s="37" t="str">
        <f aca="false">IF(AND(ISNUMBER($G560),$G560&gt;=MA_LONG2),AVERAGE(INDEX($C$160:$C560,402-MA_LONG2):$C560),"")</f>
        <v/>
      </c>
      <c r="L560" s="38" t="str">
        <f aca="false">IF(AND(ISNUMBER($G560),$G560&gt;=21),STDEV(INDEX($H$500:$H560,62-20):$H560)*SQRT(245),"")</f>
        <v/>
      </c>
      <c r="M560" s="37" t="str">
        <f aca="false">IF(AND(ISNUMBER($G560),$G560&gt;=60),MAX(INDEX($D$360:$D560,202-60):$D560),"")</f>
        <v/>
      </c>
      <c r="N560" s="37" t="str">
        <f aca="false">IF(AND(ISNUMBER($G560),$G560&gt;=60),MIN(INDEX($E$360:$E560,202-60):$E560),"")</f>
        <v/>
      </c>
      <c r="O560" s="38" t="str">
        <f aca="false">IF(OR(NOT(ISNUMBER($C560)),NOT(ISNUMBER($M560)),$M560=0),"",$C560/$M560-1)</f>
        <v/>
      </c>
    </row>
    <row r="561" customFormat="false" ht="15" hidden="false" customHeight="true" outlineLevel="0" collapsed="false">
      <c r="A561" s="39"/>
      <c r="B561" s="40"/>
      <c r="C561" s="41"/>
      <c r="D561" s="40"/>
      <c r="E561" s="40"/>
      <c r="F561" s="40"/>
      <c r="G561" s="35" t="str">
        <f aca="false">IF($A561="","",IF(ISNUMBER($G560),$G560+1,1))</f>
        <v/>
      </c>
      <c r="H561" s="36" t="str">
        <f aca="false">IF(OR(NOT(ISNUMBER($G561)),$G561&lt;2,NOT(ISNUMBER($C560)),$C560=0),"",$C561/$C560-1)</f>
        <v/>
      </c>
      <c r="I561" s="37" t="str">
        <f aca="false">IF(AND(ISNUMBER($G561),$G561&gt;=MA_SHORT),AVERAGE(INDEX($C$161:$C561,402-MA_SHORT):$C561),"")</f>
        <v/>
      </c>
      <c r="J561" s="37" t="str">
        <f aca="false">IF(AND(ISNUMBER($G561),$G561&gt;=MA_MED),AVERAGE(INDEX($C$161:$C561,402-MA_MED):$C561),"")</f>
        <v/>
      </c>
      <c r="K561" s="37" t="str">
        <f aca="false">IF(AND(ISNUMBER($G561),$G561&gt;=MA_LONG2),AVERAGE(INDEX($C$161:$C561,402-MA_LONG2):$C561),"")</f>
        <v/>
      </c>
      <c r="L561" s="38" t="str">
        <f aca="false">IF(AND(ISNUMBER($G561),$G561&gt;=21),STDEV(INDEX($H$501:$H561,62-20):$H561)*SQRT(245),"")</f>
        <v/>
      </c>
      <c r="M561" s="37" t="str">
        <f aca="false">IF(AND(ISNUMBER($G561),$G561&gt;=60),MAX(INDEX($D$361:$D561,202-60):$D561),"")</f>
        <v/>
      </c>
      <c r="N561" s="37" t="str">
        <f aca="false">IF(AND(ISNUMBER($G561),$G561&gt;=60),MIN(INDEX($E$361:$E561,202-60):$E561),"")</f>
        <v/>
      </c>
      <c r="O561" s="38" t="str">
        <f aca="false">IF(OR(NOT(ISNUMBER($C561)),NOT(ISNUMBER($M561)),$M561=0),"",$C561/$M561-1)</f>
        <v/>
      </c>
    </row>
    <row r="562" customFormat="false" ht="15" hidden="false" customHeight="true" outlineLevel="0" collapsed="false">
      <c r="A562" s="39"/>
      <c r="B562" s="40"/>
      <c r="C562" s="41"/>
      <c r="D562" s="40"/>
      <c r="E562" s="40"/>
      <c r="F562" s="40"/>
      <c r="G562" s="35" t="str">
        <f aca="false">IF($A562="","",IF(ISNUMBER($G561),$G561+1,1))</f>
        <v/>
      </c>
      <c r="H562" s="36" t="str">
        <f aca="false">IF(OR(NOT(ISNUMBER($G562)),$G562&lt;2,NOT(ISNUMBER($C561)),$C561=0),"",$C562/$C561-1)</f>
        <v/>
      </c>
      <c r="I562" s="37" t="str">
        <f aca="false">IF(AND(ISNUMBER($G562),$G562&gt;=MA_SHORT),AVERAGE(INDEX($C$162:$C562,402-MA_SHORT):$C562),"")</f>
        <v/>
      </c>
      <c r="J562" s="37" t="str">
        <f aca="false">IF(AND(ISNUMBER($G562),$G562&gt;=MA_MED),AVERAGE(INDEX($C$162:$C562,402-MA_MED):$C562),"")</f>
        <v/>
      </c>
      <c r="K562" s="37" t="str">
        <f aca="false">IF(AND(ISNUMBER($G562),$G562&gt;=MA_LONG2),AVERAGE(INDEX($C$162:$C562,402-MA_LONG2):$C562),"")</f>
        <v/>
      </c>
      <c r="L562" s="38" t="str">
        <f aca="false">IF(AND(ISNUMBER($G562),$G562&gt;=21),STDEV(INDEX($H$502:$H562,62-20):$H562)*SQRT(245),"")</f>
        <v/>
      </c>
      <c r="M562" s="37" t="str">
        <f aca="false">IF(AND(ISNUMBER($G562),$G562&gt;=60),MAX(INDEX($D$362:$D562,202-60):$D562),"")</f>
        <v/>
      </c>
      <c r="N562" s="37" t="str">
        <f aca="false">IF(AND(ISNUMBER($G562),$G562&gt;=60),MIN(INDEX($E$362:$E562,202-60):$E562),"")</f>
        <v/>
      </c>
      <c r="O562" s="38" t="str">
        <f aca="false">IF(OR(NOT(ISNUMBER($C562)),NOT(ISNUMBER($M562)),$M562=0),"",$C562/$M562-1)</f>
        <v/>
      </c>
    </row>
    <row r="563" customFormat="false" ht="15" hidden="false" customHeight="true" outlineLevel="0" collapsed="false">
      <c r="A563" s="39"/>
      <c r="B563" s="40"/>
      <c r="C563" s="41"/>
      <c r="D563" s="40"/>
      <c r="E563" s="40"/>
      <c r="F563" s="40"/>
      <c r="G563" s="35" t="str">
        <f aca="false">IF($A563="","",IF(ISNUMBER($G562),$G562+1,1))</f>
        <v/>
      </c>
      <c r="H563" s="36" t="str">
        <f aca="false">IF(OR(NOT(ISNUMBER($G563)),$G563&lt;2,NOT(ISNUMBER($C562)),$C562=0),"",$C563/$C562-1)</f>
        <v/>
      </c>
      <c r="I563" s="37" t="str">
        <f aca="false">IF(AND(ISNUMBER($G563),$G563&gt;=MA_SHORT),AVERAGE(INDEX($C$163:$C563,402-MA_SHORT):$C563),"")</f>
        <v/>
      </c>
      <c r="J563" s="37" t="str">
        <f aca="false">IF(AND(ISNUMBER($G563),$G563&gt;=MA_MED),AVERAGE(INDEX($C$163:$C563,402-MA_MED):$C563),"")</f>
        <v/>
      </c>
      <c r="K563" s="37" t="str">
        <f aca="false">IF(AND(ISNUMBER($G563),$G563&gt;=MA_LONG2),AVERAGE(INDEX($C$163:$C563,402-MA_LONG2):$C563),"")</f>
        <v/>
      </c>
      <c r="L563" s="38" t="str">
        <f aca="false">IF(AND(ISNUMBER($G563),$G563&gt;=21),STDEV(INDEX($H$503:$H563,62-20):$H563)*SQRT(245),"")</f>
        <v/>
      </c>
      <c r="M563" s="37" t="str">
        <f aca="false">IF(AND(ISNUMBER($G563),$G563&gt;=60),MAX(INDEX($D$363:$D563,202-60):$D563),"")</f>
        <v/>
      </c>
      <c r="N563" s="37" t="str">
        <f aca="false">IF(AND(ISNUMBER($G563),$G563&gt;=60),MIN(INDEX($E$363:$E563,202-60):$E563),"")</f>
        <v/>
      </c>
      <c r="O563" s="38" t="str">
        <f aca="false">IF(OR(NOT(ISNUMBER($C563)),NOT(ISNUMBER($M563)),$M563=0),"",$C563/$M563-1)</f>
        <v/>
      </c>
    </row>
    <row r="564" customFormat="false" ht="15" hidden="false" customHeight="true" outlineLevel="0" collapsed="false">
      <c r="A564" s="39"/>
      <c r="B564" s="40"/>
      <c r="C564" s="41"/>
      <c r="D564" s="40"/>
      <c r="E564" s="40"/>
      <c r="F564" s="40"/>
      <c r="G564" s="35" t="str">
        <f aca="false">IF($A564="","",IF(ISNUMBER($G563),$G563+1,1))</f>
        <v/>
      </c>
      <c r="H564" s="36" t="str">
        <f aca="false">IF(OR(NOT(ISNUMBER($G564)),$G564&lt;2,NOT(ISNUMBER($C563)),$C563=0),"",$C564/$C563-1)</f>
        <v/>
      </c>
      <c r="I564" s="37" t="str">
        <f aca="false">IF(AND(ISNUMBER($G564),$G564&gt;=MA_SHORT),AVERAGE(INDEX($C$164:$C564,402-MA_SHORT):$C564),"")</f>
        <v/>
      </c>
      <c r="J564" s="37" t="str">
        <f aca="false">IF(AND(ISNUMBER($G564),$G564&gt;=MA_MED),AVERAGE(INDEX($C$164:$C564,402-MA_MED):$C564),"")</f>
        <v/>
      </c>
      <c r="K564" s="37" t="str">
        <f aca="false">IF(AND(ISNUMBER($G564),$G564&gt;=MA_LONG2),AVERAGE(INDEX($C$164:$C564,402-MA_LONG2):$C564),"")</f>
        <v/>
      </c>
      <c r="L564" s="38" t="str">
        <f aca="false">IF(AND(ISNUMBER($G564),$G564&gt;=21),STDEV(INDEX($H$504:$H564,62-20):$H564)*SQRT(245),"")</f>
        <v/>
      </c>
      <c r="M564" s="37" t="str">
        <f aca="false">IF(AND(ISNUMBER($G564),$G564&gt;=60),MAX(INDEX($D$364:$D564,202-60):$D564),"")</f>
        <v/>
      </c>
      <c r="N564" s="37" t="str">
        <f aca="false">IF(AND(ISNUMBER($G564),$G564&gt;=60),MIN(INDEX($E$364:$E564,202-60):$E564),"")</f>
        <v/>
      </c>
      <c r="O564" s="38" t="str">
        <f aca="false">IF(OR(NOT(ISNUMBER($C564)),NOT(ISNUMBER($M564)),$M564=0),"",$C564/$M564-1)</f>
        <v/>
      </c>
    </row>
    <row r="565" customFormat="false" ht="15" hidden="false" customHeight="true" outlineLevel="0" collapsed="false">
      <c r="A565" s="39"/>
      <c r="B565" s="40"/>
      <c r="C565" s="41"/>
      <c r="D565" s="40"/>
      <c r="E565" s="40"/>
      <c r="F565" s="40"/>
      <c r="G565" s="35" t="str">
        <f aca="false">IF($A565="","",IF(ISNUMBER($G564),$G564+1,1))</f>
        <v/>
      </c>
      <c r="H565" s="36" t="str">
        <f aca="false">IF(OR(NOT(ISNUMBER($G565)),$G565&lt;2,NOT(ISNUMBER($C564)),$C564=0),"",$C565/$C564-1)</f>
        <v/>
      </c>
      <c r="I565" s="37" t="str">
        <f aca="false">IF(AND(ISNUMBER($G565),$G565&gt;=MA_SHORT),AVERAGE(INDEX($C$165:$C565,402-MA_SHORT):$C565),"")</f>
        <v/>
      </c>
      <c r="J565" s="37" t="str">
        <f aca="false">IF(AND(ISNUMBER($G565),$G565&gt;=MA_MED),AVERAGE(INDEX($C$165:$C565,402-MA_MED):$C565),"")</f>
        <v/>
      </c>
      <c r="K565" s="37" t="str">
        <f aca="false">IF(AND(ISNUMBER($G565),$G565&gt;=MA_LONG2),AVERAGE(INDEX($C$165:$C565,402-MA_LONG2):$C565),"")</f>
        <v/>
      </c>
      <c r="L565" s="38" t="str">
        <f aca="false">IF(AND(ISNUMBER($G565),$G565&gt;=21),STDEV(INDEX($H$505:$H565,62-20):$H565)*SQRT(245),"")</f>
        <v/>
      </c>
      <c r="M565" s="37" t="str">
        <f aca="false">IF(AND(ISNUMBER($G565),$G565&gt;=60),MAX(INDEX($D$365:$D565,202-60):$D565),"")</f>
        <v/>
      </c>
      <c r="N565" s="37" t="str">
        <f aca="false">IF(AND(ISNUMBER($G565),$G565&gt;=60),MIN(INDEX($E$365:$E565,202-60):$E565),"")</f>
        <v/>
      </c>
      <c r="O565" s="38" t="str">
        <f aca="false">IF(OR(NOT(ISNUMBER($C565)),NOT(ISNUMBER($M565)),$M565=0),"",$C565/$M565-1)</f>
        <v/>
      </c>
    </row>
    <row r="566" customFormat="false" ht="15" hidden="false" customHeight="true" outlineLevel="0" collapsed="false">
      <c r="A566" s="39"/>
      <c r="B566" s="40"/>
      <c r="C566" s="41"/>
      <c r="D566" s="40"/>
      <c r="E566" s="40"/>
      <c r="F566" s="40"/>
      <c r="G566" s="35" t="str">
        <f aca="false">IF($A566="","",IF(ISNUMBER($G565),$G565+1,1))</f>
        <v/>
      </c>
      <c r="H566" s="36" t="str">
        <f aca="false">IF(OR(NOT(ISNUMBER($G566)),$G566&lt;2,NOT(ISNUMBER($C565)),$C565=0),"",$C566/$C565-1)</f>
        <v/>
      </c>
      <c r="I566" s="37" t="str">
        <f aca="false">IF(AND(ISNUMBER($G566),$G566&gt;=MA_SHORT),AVERAGE(INDEX($C$166:$C566,402-MA_SHORT):$C566),"")</f>
        <v/>
      </c>
      <c r="J566" s="37" t="str">
        <f aca="false">IF(AND(ISNUMBER($G566),$G566&gt;=MA_MED),AVERAGE(INDEX($C$166:$C566,402-MA_MED):$C566),"")</f>
        <v/>
      </c>
      <c r="K566" s="37" t="str">
        <f aca="false">IF(AND(ISNUMBER($G566),$G566&gt;=MA_LONG2),AVERAGE(INDEX($C$166:$C566,402-MA_LONG2):$C566),"")</f>
        <v/>
      </c>
      <c r="L566" s="38" t="str">
        <f aca="false">IF(AND(ISNUMBER($G566),$G566&gt;=21),STDEV(INDEX($H$506:$H566,62-20):$H566)*SQRT(245),"")</f>
        <v/>
      </c>
      <c r="M566" s="37" t="str">
        <f aca="false">IF(AND(ISNUMBER($G566),$G566&gt;=60),MAX(INDEX($D$366:$D566,202-60):$D566),"")</f>
        <v/>
      </c>
      <c r="N566" s="37" t="str">
        <f aca="false">IF(AND(ISNUMBER($G566),$G566&gt;=60),MIN(INDEX($E$366:$E566,202-60):$E566),"")</f>
        <v/>
      </c>
      <c r="O566" s="38" t="str">
        <f aca="false">IF(OR(NOT(ISNUMBER($C566)),NOT(ISNUMBER($M566)),$M566=0),"",$C566/$M566-1)</f>
        <v/>
      </c>
    </row>
    <row r="567" customFormat="false" ht="15" hidden="false" customHeight="true" outlineLevel="0" collapsed="false">
      <c r="A567" s="39"/>
      <c r="B567" s="40"/>
      <c r="C567" s="41"/>
      <c r="D567" s="40"/>
      <c r="E567" s="40"/>
      <c r="F567" s="40"/>
      <c r="G567" s="35" t="str">
        <f aca="false">IF($A567="","",IF(ISNUMBER($G566),$G566+1,1))</f>
        <v/>
      </c>
      <c r="H567" s="36" t="str">
        <f aca="false">IF(OR(NOT(ISNUMBER($G567)),$G567&lt;2,NOT(ISNUMBER($C566)),$C566=0),"",$C567/$C566-1)</f>
        <v/>
      </c>
      <c r="I567" s="37" t="str">
        <f aca="false">IF(AND(ISNUMBER($G567),$G567&gt;=MA_SHORT),AVERAGE(INDEX($C$167:$C567,402-MA_SHORT):$C567),"")</f>
        <v/>
      </c>
      <c r="J567" s="37" t="str">
        <f aca="false">IF(AND(ISNUMBER($G567),$G567&gt;=MA_MED),AVERAGE(INDEX($C$167:$C567,402-MA_MED):$C567),"")</f>
        <v/>
      </c>
      <c r="K567" s="37" t="str">
        <f aca="false">IF(AND(ISNUMBER($G567),$G567&gt;=MA_LONG2),AVERAGE(INDEX($C$167:$C567,402-MA_LONG2):$C567),"")</f>
        <v/>
      </c>
      <c r="L567" s="38" t="str">
        <f aca="false">IF(AND(ISNUMBER($G567),$G567&gt;=21),STDEV(INDEX($H$507:$H567,62-20):$H567)*SQRT(245),"")</f>
        <v/>
      </c>
      <c r="M567" s="37" t="str">
        <f aca="false">IF(AND(ISNUMBER($G567),$G567&gt;=60),MAX(INDEX($D$367:$D567,202-60):$D567),"")</f>
        <v/>
      </c>
      <c r="N567" s="37" t="str">
        <f aca="false">IF(AND(ISNUMBER($G567),$G567&gt;=60),MIN(INDEX($E$367:$E567,202-60):$E567),"")</f>
        <v/>
      </c>
      <c r="O567" s="38" t="str">
        <f aca="false">IF(OR(NOT(ISNUMBER($C567)),NOT(ISNUMBER($M567)),$M567=0),"",$C567/$M567-1)</f>
        <v/>
      </c>
    </row>
    <row r="568" customFormat="false" ht="15" hidden="false" customHeight="true" outlineLevel="0" collapsed="false">
      <c r="A568" s="39"/>
      <c r="B568" s="40"/>
      <c r="C568" s="41"/>
      <c r="D568" s="40"/>
      <c r="E568" s="40"/>
      <c r="F568" s="40"/>
      <c r="G568" s="35" t="str">
        <f aca="false">IF($A568="","",IF(ISNUMBER($G567),$G567+1,1))</f>
        <v/>
      </c>
      <c r="H568" s="36" t="str">
        <f aca="false">IF(OR(NOT(ISNUMBER($G568)),$G568&lt;2,NOT(ISNUMBER($C567)),$C567=0),"",$C568/$C567-1)</f>
        <v/>
      </c>
      <c r="I568" s="37" t="str">
        <f aca="false">IF(AND(ISNUMBER($G568),$G568&gt;=MA_SHORT),AVERAGE(INDEX($C$168:$C568,402-MA_SHORT):$C568),"")</f>
        <v/>
      </c>
      <c r="J568" s="37" t="str">
        <f aca="false">IF(AND(ISNUMBER($G568),$G568&gt;=MA_MED),AVERAGE(INDEX($C$168:$C568,402-MA_MED):$C568),"")</f>
        <v/>
      </c>
      <c r="K568" s="37" t="str">
        <f aca="false">IF(AND(ISNUMBER($G568),$G568&gt;=MA_LONG2),AVERAGE(INDEX($C$168:$C568,402-MA_LONG2):$C568),"")</f>
        <v/>
      </c>
      <c r="L568" s="38" t="str">
        <f aca="false">IF(AND(ISNUMBER($G568),$G568&gt;=21),STDEV(INDEX($H$508:$H568,62-20):$H568)*SQRT(245),"")</f>
        <v/>
      </c>
      <c r="M568" s="37" t="str">
        <f aca="false">IF(AND(ISNUMBER($G568),$G568&gt;=60),MAX(INDEX($D$368:$D568,202-60):$D568),"")</f>
        <v/>
      </c>
      <c r="N568" s="37" t="str">
        <f aca="false">IF(AND(ISNUMBER($G568),$G568&gt;=60),MIN(INDEX($E$368:$E568,202-60):$E568),"")</f>
        <v/>
      </c>
      <c r="O568" s="38" t="str">
        <f aca="false">IF(OR(NOT(ISNUMBER($C568)),NOT(ISNUMBER($M568)),$M568=0),"",$C568/$M568-1)</f>
        <v/>
      </c>
    </row>
    <row r="569" customFormat="false" ht="15" hidden="false" customHeight="true" outlineLevel="0" collapsed="false">
      <c r="A569" s="39"/>
      <c r="B569" s="40"/>
      <c r="C569" s="41"/>
      <c r="D569" s="40"/>
      <c r="E569" s="40"/>
      <c r="F569" s="40"/>
      <c r="G569" s="35" t="str">
        <f aca="false">IF($A569="","",IF(ISNUMBER($G568),$G568+1,1))</f>
        <v/>
      </c>
      <c r="H569" s="36" t="str">
        <f aca="false">IF(OR(NOT(ISNUMBER($G569)),$G569&lt;2,NOT(ISNUMBER($C568)),$C568=0),"",$C569/$C568-1)</f>
        <v/>
      </c>
      <c r="I569" s="37" t="str">
        <f aca="false">IF(AND(ISNUMBER($G569),$G569&gt;=MA_SHORT),AVERAGE(INDEX($C$169:$C569,402-MA_SHORT):$C569),"")</f>
        <v/>
      </c>
      <c r="J569" s="37" t="str">
        <f aca="false">IF(AND(ISNUMBER($G569),$G569&gt;=MA_MED),AVERAGE(INDEX($C$169:$C569,402-MA_MED):$C569),"")</f>
        <v/>
      </c>
      <c r="K569" s="37" t="str">
        <f aca="false">IF(AND(ISNUMBER($G569),$G569&gt;=MA_LONG2),AVERAGE(INDEX($C$169:$C569,402-MA_LONG2):$C569),"")</f>
        <v/>
      </c>
      <c r="L569" s="38" t="str">
        <f aca="false">IF(AND(ISNUMBER($G569),$G569&gt;=21),STDEV(INDEX($H$509:$H569,62-20):$H569)*SQRT(245),"")</f>
        <v/>
      </c>
      <c r="M569" s="37" t="str">
        <f aca="false">IF(AND(ISNUMBER($G569),$G569&gt;=60),MAX(INDEX($D$369:$D569,202-60):$D569),"")</f>
        <v/>
      </c>
      <c r="N569" s="37" t="str">
        <f aca="false">IF(AND(ISNUMBER($G569),$G569&gt;=60),MIN(INDEX($E$369:$E569,202-60):$E569),"")</f>
        <v/>
      </c>
      <c r="O569" s="38" t="str">
        <f aca="false">IF(OR(NOT(ISNUMBER($C569)),NOT(ISNUMBER($M569)),$M569=0),"",$C569/$M569-1)</f>
        <v/>
      </c>
    </row>
    <row r="570" customFormat="false" ht="15" hidden="false" customHeight="true" outlineLevel="0" collapsed="false">
      <c r="A570" s="39"/>
      <c r="B570" s="40"/>
      <c r="C570" s="41"/>
      <c r="D570" s="40"/>
      <c r="E570" s="40"/>
      <c r="F570" s="40"/>
      <c r="G570" s="35" t="str">
        <f aca="false">IF($A570="","",IF(ISNUMBER($G569),$G569+1,1))</f>
        <v/>
      </c>
      <c r="H570" s="36" t="str">
        <f aca="false">IF(OR(NOT(ISNUMBER($G570)),$G570&lt;2,NOT(ISNUMBER($C569)),$C569=0),"",$C570/$C569-1)</f>
        <v/>
      </c>
      <c r="I570" s="37" t="str">
        <f aca="false">IF(AND(ISNUMBER($G570),$G570&gt;=MA_SHORT),AVERAGE(INDEX($C$170:$C570,402-MA_SHORT):$C570),"")</f>
        <v/>
      </c>
      <c r="J570" s="37" t="str">
        <f aca="false">IF(AND(ISNUMBER($G570),$G570&gt;=MA_MED),AVERAGE(INDEX($C$170:$C570,402-MA_MED):$C570),"")</f>
        <v/>
      </c>
      <c r="K570" s="37" t="str">
        <f aca="false">IF(AND(ISNUMBER($G570),$G570&gt;=MA_LONG2),AVERAGE(INDEX($C$170:$C570,402-MA_LONG2):$C570),"")</f>
        <v/>
      </c>
      <c r="L570" s="38" t="str">
        <f aca="false">IF(AND(ISNUMBER($G570),$G570&gt;=21),STDEV(INDEX($H$510:$H570,62-20):$H570)*SQRT(245),"")</f>
        <v/>
      </c>
      <c r="M570" s="37" t="str">
        <f aca="false">IF(AND(ISNUMBER($G570),$G570&gt;=60),MAX(INDEX($D$370:$D570,202-60):$D570),"")</f>
        <v/>
      </c>
      <c r="N570" s="37" t="str">
        <f aca="false">IF(AND(ISNUMBER($G570),$G570&gt;=60),MIN(INDEX($E$370:$E570,202-60):$E570),"")</f>
        <v/>
      </c>
      <c r="O570" s="38" t="str">
        <f aca="false">IF(OR(NOT(ISNUMBER($C570)),NOT(ISNUMBER($M570)),$M570=0),"",$C570/$M570-1)</f>
        <v/>
      </c>
    </row>
    <row r="571" customFormat="false" ht="15" hidden="false" customHeight="true" outlineLevel="0" collapsed="false">
      <c r="A571" s="39"/>
      <c r="B571" s="40"/>
      <c r="C571" s="41"/>
      <c r="D571" s="40"/>
      <c r="E571" s="40"/>
      <c r="F571" s="40"/>
      <c r="G571" s="35" t="str">
        <f aca="false">IF($A571="","",IF(ISNUMBER($G570),$G570+1,1))</f>
        <v/>
      </c>
      <c r="H571" s="36" t="str">
        <f aca="false">IF(OR(NOT(ISNUMBER($G571)),$G571&lt;2,NOT(ISNUMBER($C570)),$C570=0),"",$C571/$C570-1)</f>
        <v/>
      </c>
      <c r="I571" s="37" t="str">
        <f aca="false">IF(AND(ISNUMBER($G571),$G571&gt;=MA_SHORT),AVERAGE(INDEX($C$171:$C571,402-MA_SHORT):$C571),"")</f>
        <v/>
      </c>
      <c r="J571" s="37" t="str">
        <f aca="false">IF(AND(ISNUMBER($G571),$G571&gt;=MA_MED),AVERAGE(INDEX($C$171:$C571,402-MA_MED):$C571),"")</f>
        <v/>
      </c>
      <c r="K571" s="37" t="str">
        <f aca="false">IF(AND(ISNUMBER($G571),$G571&gt;=MA_LONG2),AVERAGE(INDEX($C$171:$C571,402-MA_LONG2):$C571),"")</f>
        <v/>
      </c>
      <c r="L571" s="38" t="str">
        <f aca="false">IF(AND(ISNUMBER($G571),$G571&gt;=21),STDEV(INDEX($H$511:$H571,62-20):$H571)*SQRT(245),"")</f>
        <v/>
      </c>
      <c r="M571" s="37" t="str">
        <f aca="false">IF(AND(ISNUMBER($G571),$G571&gt;=60),MAX(INDEX($D$371:$D571,202-60):$D571),"")</f>
        <v/>
      </c>
      <c r="N571" s="37" t="str">
        <f aca="false">IF(AND(ISNUMBER($G571),$G571&gt;=60),MIN(INDEX($E$371:$E571,202-60):$E571),"")</f>
        <v/>
      </c>
      <c r="O571" s="38" t="str">
        <f aca="false">IF(OR(NOT(ISNUMBER($C571)),NOT(ISNUMBER($M571)),$M571=0),"",$C571/$M571-1)</f>
        <v/>
      </c>
    </row>
    <row r="572" customFormat="false" ht="15" hidden="false" customHeight="true" outlineLevel="0" collapsed="false">
      <c r="A572" s="39"/>
      <c r="B572" s="40"/>
      <c r="C572" s="41"/>
      <c r="D572" s="40"/>
      <c r="E572" s="40"/>
      <c r="F572" s="40"/>
      <c r="G572" s="35" t="str">
        <f aca="false">IF($A572="","",IF(ISNUMBER($G571),$G571+1,1))</f>
        <v/>
      </c>
      <c r="H572" s="36" t="str">
        <f aca="false">IF(OR(NOT(ISNUMBER($G572)),$G572&lt;2,NOT(ISNUMBER($C571)),$C571=0),"",$C572/$C571-1)</f>
        <v/>
      </c>
      <c r="I572" s="37" t="str">
        <f aca="false">IF(AND(ISNUMBER($G572),$G572&gt;=MA_SHORT),AVERAGE(INDEX($C$172:$C572,402-MA_SHORT):$C572),"")</f>
        <v/>
      </c>
      <c r="J572" s="37" t="str">
        <f aca="false">IF(AND(ISNUMBER($G572),$G572&gt;=MA_MED),AVERAGE(INDEX($C$172:$C572,402-MA_MED):$C572),"")</f>
        <v/>
      </c>
      <c r="K572" s="37" t="str">
        <f aca="false">IF(AND(ISNUMBER($G572),$G572&gt;=MA_LONG2),AVERAGE(INDEX($C$172:$C572,402-MA_LONG2):$C572),"")</f>
        <v/>
      </c>
      <c r="L572" s="38" t="str">
        <f aca="false">IF(AND(ISNUMBER($G572),$G572&gt;=21),STDEV(INDEX($H$512:$H572,62-20):$H572)*SQRT(245),"")</f>
        <v/>
      </c>
      <c r="M572" s="37" t="str">
        <f aca="false">IF(AND(ISNUMBER($G572),$G572&gt;=60),MAX(INDEX($D$372:$D572,202-60):$D572),"")</f>
        <v/>
      </c>
      <c r="N572" s="37" t="str">
        <f aca="false">IF(AND(ISNUMBER($G572),$G572&gt;=60),MIN(INDEX($E$372:$E572,202-60):$E572),"")</f>
        <v/>
      </c>
      <c r="O572" s="38" t="str">
        <f aca="false">IF(OR(NOT(ISNUMBER($C572)),NOT(ISNUMBER($M572)),$M572=0),"",$C572/$M572-1)</f>
        <v/>
      </c>
    </row>
    <row r="573" customFormat="false" ht="15" hidden="false" customHeight="true" outlineLevel="0" collapsed="false">
      <c r="A573" s="39"/>
      <c r="B573" s="40"/>
      <c r="C573" s="41"/>
      <c r="D573" s="40"/>
      <c r="E573" s="40"/>
      <c r="F573" s="40"/>
      <c r="G573" s="35" t="str">
        <f aca="false">IF($A573="","",IF(ISNUMBER($G572),$G572+1,1))</f>
        <v/>
      </c>
      <c r="H573" s="36" t="str">
        <f aca="false">IF(OR(NOT(ISNUMBER($G573)),$G573&lt;2,NOT(ISNUMBER($C572)),$C572=0),"",$C573/$C572-1)</f>
        <v/>
      </c>
      <c r="I573" s="37" t="str">
        <f aca="false">IF(AND(ISNUMBER($G573),$G573&gt;=MA_SHORT),AVERAGE(INDEX($C$173:$C573,402-MA_SHORT):$C573),"")</f>
        <v/>
      </c>
      <c r="J573" s="37" t="str">
        <f aca="false">IF(AND(ISNUMBER($G573),$G573&gt;=MA_MED),AVERAGE(INDEX($C$173:$C573,402-MA_MED):$C573),"")</f>
        <v/>
      </c>
      <c r="K573" s="37" t="str">
        <f aca="false">IF(AND(ISNUMBER($G573),$G573&gt;=MA_LONG2),AVERAGE(INDEX($C$173:$C573,402-MA_LONG2):$C573),"")</f>
        <v/>
      </c>
      <c r="L573" s="38" t="str">
        <f aca="false">IF(AND(ISNUMBER($G573),$G573&gt;=21),STDEV(INDEX($H$513:$H573,62-20):$H573)*SQRT(245),"")</f>
        <v/>
      </c>
      <c r="M573" s="37" t="str">
        <f aca="false">IF(AND(ISNUMBER($G573),$G573&gt;=60),MAX(INDEX($D$373:$D573,202-60):$D573),"")</f>
        <v/>
      </c>
      <c r="N573" s="37" t="str">
        <f aca="false">IF(AND(ISNUMBER($G573),$G573&gt;=60),MIN(INDEX($E$373:$E573,202-60):$E573),"")</f>
        <v/>
      </c>
      <c r="O573" s="38" t="str">
        <f aca="false">IF(OR(NOT(ISNUMBER($C573)),NOT(ISNUMBER($M573)),$M573=0),"",$C573/$M573-1)</f>
        <v/>
      </c>
    </row>
    <row r="574" customFormat="false" ht="15" hidden="false" customHeight="true" outlineLevel="0" collapsed="false">
      <c r="A574" s="39"/>
      <c r="B574" s="40"/>
      <c r="C574" s="41"/>
      <c r="D574" s="40"/>
      <c r="E574" s="40"/>
      <c r="F574" s="40"/>
      <c r="G574" s="35" t="str">
        <f aca="false">IF($A574="","",IF(ISNUMBER($G573),$G573+1,1))</f>
        <v/>
      </c>
      <c r="H574" s="36" t="str">
        <f aca="false">IF(OR(NOT(ISNUMBER($G574)),$G574&lt;2,NOT(ISNUMBER($C573)),$C573=0),"",$C574/$C573-1)</f>
        <v/>
      </c>
      <c r="I574" s="37" t="str">
        <f aca="false">IF(AND(ISNUMBER($G574),$G574&gt;=MA_SHORT),AVERAGE(INDEX($C$174:$C574,402-MA_SHORT):$C574),"")</f>
        <v/>
      </c>
      <c r="J574" s="37" t="str">
        <f aca="false">IF(AND(ISNUMBER($G574),$G574&gt;=MA_MED),AVERAGE(INDEX($C$174:$C574,402-MA_MED):$C574),"")</f>
        <v/>
      </c>
      <c r="K574" s="37" t="str">
        <f aca="false">IF(AND(ISNUMBER($G574),$G574&gt;=MA_LONG2),AVERAGE(INDEX($C$174:$C574,402-MA_LONG2):$C574),"")</f>
        <v/>
      </c>
      <c r="L574" s="38" t="str">
        <f aca="false">IF(AND(ISNUMBER($G574),$G574&gt;=21),STDEV(INDEX($H$514:$H574,62-20):$H574)*SQRT(245),"")</f>
        <v/>
      </c>
      <c r="M574" s="37" t="str">
        <f aca="false">IF(AND(ISNUMBER($G574),$G574&gt;=60),MAX(INDEX($D$374:$D574,202-60):$D574),"")</f>
        <v/>
      </c>
      <c r="N574" s="37" t="str">
        <f aca="false">IF(AND(ISNUMBER($G574),$G574&gt;=60),MIN(INDEX($E$374:$E574,202-60):$E574),"")</f>
        <v/>
      </c>
      <c r="O574" s="38" t="str">
        <f aca="false">IF(OR(NOT(ISNUMBER($C574)),NOT(ISNUMBER($M574)),$M574=0),"",$C574/$M574-1)</f>
        <v/>
      </c>
    </row>
    <row r="575" customFormat="false" ht="15" hidden="false" customHeight="true" outlineLevel="0" collapsed="false">
      <c r="A575" s="39"/>
      <c r="B575" s="40"/>
      <c r="C575" s="41"/>
      <c r="D575" s="40"/>
      <c r="E575" s="40"/>
      <c r="F575" s="40"/>
      <c r="G575" s="35" t="str">
        <f aca="false">IF($A575="","",IF(ISNUMBER($G574),$G574+1,1))</f>
        <v/>
      </c>
      <c r="H575" s="36" t="str">
        <f aca="false">IF(OR(NOT(ISNUMBER($G575)),$G575&lt;2,NOT(ISNUMBER($C574)),$C574=0),"",$C575/$C574-1)</f>
        <v/>
      </c>
      <c r="I575" s="37" t="str">
        <f aca="false">IF(AND(ISNUMBER($G575),$G575&gt;=MA_SHORT),AVERAGE(INDEX($C$175:$C575,402-MA_SHORT):$C575),"")</f>
        <v/>
      </c>
      <c r="J575" s="37" t="str">
        <f aca="false">IF(AND(ISNUMBER($G575),$G575&gt;=MA_MED),AVERAGE(INDEX($C$175:$C575,402-MA_MED):$C575),"")</f>
        <v/>
      </c>
      <c r="K575" s="37" t="str">
        <f aca="false">IF(AND(ISNUMBER($G575),$G575&gt;=MA_LONG2),AVERAGE(INDEX($C$175:$C575,402-MA_LONG2):$C575),"")</f>
        <v/>
      </c>
      <c r="L575" s="38" t="str">
        <f aca="false">IF(AND(ISNUMBER($G575),$G575&gt;=21),STDEV(INDEX($H$515:$H575,62-20):$H575)*SQRT(245),"")</f>
        <v/>
      </c>
      <c r="M575" s="37" t="str">
        <f aca="false">IF(AND(ISNUMBER($G575),$G575&gt;=60),MAX(INDEX($D$375:$D575,202-60):$D575),"")</f>
        <v/>
      </c>
      <c r="N575" s="37" t="str">
        <f aca="false">IF(AND(ISNUMBER($G575),$G575&gt;=60),MIN(INDEX($E$375:$E575,202-60):$E575),"")</f>
        <v/>
      </c>
      <c r="O575" s="38" t="str">
        <f aca="false">IF(OR(NOT(ISNUMBER($C575)),NOT(ISNUMBER($M575)),$M575=0),"",$C575/$M575-1)</f>
        <v/>
      </c>
    </row>
    <row r="576" customFormat="false" ht="15" hidden="false" customHeight="true" outlineLevel="0" collapsed="false">
      <c r="A576" s="39"/>
      <c r="B576" s="40"/>
      <c r="C576" s="41"/>
      <c r="D576" s="40"/>
      <c r="E576" s="40"/>
      <c r="F576" s="40"/>
      <c r="G576" s="35" t="str">
        <f aca="false">IF($A576="","",IF(ISNUMBER($G575),$G575+1,1))</f>
        <v/>
      </c>
      <c r="H576" s="36" t="str">
        <f aca="false">IF(OR(NOT(ISNUMBER($G576)),$G576&lt;2,NOT(ISNUMBER($C575)),$C575=0),"",$C576/$C575-1)</f>
        <v/>
      </c>
      <c r="I576" s="37" t="str">
        <f aca="false">IF(AND(ISNUMBER($G576),$G576&gt;=MA_SHORT),AVERAGE(INDEX($C$176:$C576,402-MA_SHORT):$C576),"")</f>
        <v/>
      </c>
      <c r="J576" s="37" t="str">
        <f aca="false">IF(AND(ISNUMBER($G576),$G576&gt;=MA_MED),AVERAGE(INDEX($C$176:$C576,402-MA_MED):$C576),"")</f>
        <v/>
      </c>
      <c r="K576" s="37" t="str">
        <f aca="false">IF(AND(ISNUMBER($G576),$G576&gt;=MA_LONG2),AVERAGE(INDEX($C$176:$C576,402-MA_LONG2):$C576),"")</f>
        <v/>
      </c>
      <c r="L576" s="38" t="str">
        <f aca="false">IF(AND(ISNUMBER($G576),$G576&gt;=21),STDEV(INDEX($H$516:$H576,62-20):$H576)*SQRT(245),"")</f>
        <v/>
      </c>
      <c r="M576" s="37" t="str">
        <f aca="false">IF(AND(ISNUMBER($G576),$G576&gt;=60),MAX(INDEX($D$376:$D576,202-60):$D576),"")</f>
        <v/>
      </c>
      <c r="N576" s="37" t="str">
        <f aca="false">IF(AND(ISNUMBER($G576),$G576&gt;=60),MIN(INDEX($E$376:$E576,202-60):$E576),"")</f>
        <v/>
      </c>
      <c r="O576" s="38" t="str">
        <f aca="false">IF(OR(NOT(ISNUMBER($C576)),NOT(ISNUMBER($M576)),$M576=0),"",$C576/$M576-1)</f>
        <v/>
      </c>
    </row>
    <row r="577" customFormat="false" ht="15" hidden="false" customHeight="true" outlineLevel="0" collapsed="false">
      <c r="A577" s="39"/>
      <c r="B577" s="40"/>
      <c r="C577" s="41"/>
      <c r="D577" s="40"/>
      <c r="E577" s="40"/>
      <c r="F577" s="40"/>
      <c r="G577" s="35" t="str">
        <f aca="false">IF($A577="","",IF(ISNUMBER($G576),$G576+1,1))</f>
        <v/>
      </c>
      <c r="H577" s="36" t="str">
        <f aca="false">IF(OR(NOT(ISNUMBER($G577)),$G577&lt;2,NOT(ISNUMBER($C576)),$C576=0),"",$C577/$C576-1)</f>
        <v/>
      </c>
      <c r="I577" s="37" t="str">
        <f aca="false">IF(AND(ISNUMBER($G577),$G577&gt;=MA_SHORT),AVERAGE(INDEX($C$177:$C577,402-MA_SHORT):$C577),"")</f>
        <v/>
      </c>
      <c r="J577" s="37" t="str">
        <f aca="false">IF(AND(ISNUMBER($G577),$G577&gt;=MA_MED),AVERAGE(INDEX($C$177:$C577,402-MA_MED):$C577),"")</f>
        <v/>
      </c>
      <c r="K577" s="37" t="str">
        <f aca="false">IF(AND(ISNUMBER($G577),$G577&gt;=MA_LONG2),AVERAGE(INDEX($C$177:$C577,402-MA_LONG2):$C577),"")</f>
        <v/>
      </c>
      <c r="L577" s="38" t="str">
        <f aca="false">IF(AND(ISNUMBER($G577),$G577&gt;=21),STDEV(INDEX($H$517:$H577,62-20):$H577)*SQRT(245),"")</f>
        <v/>
      </c>
      <c r="M577" s="37" t="str">
        <f aca="false">IF(AND(ISNUMBER($G577),$G577&gt;=60),MAX(INDEX($D$377:$D577,202-60):$D577),"")</f>
        <v/>
      </c>
      <c r="N577" s="37" t="str">
        <f aca="false">IF(AND(ISNUMBER($G577),$G577&gt;=60),MIN(INDEX($E$377:$E577,202-60):$E577),"")</f>
        <v/>
      </c>
      <c r="O577" s="38" t="str">
        <f aca="false">IF(OR(NOT(ISNUMBER($C577)),NOT(ISNUMBER($M577)),$M577=0),"",$C577/$M577-1)</f>
        <v/>
      </c>
    </row>
    <row r="578" customFormat="false" ht="15" hidden="false" customHeight="true" outlineLevel="0" collapsed="false">
      <c r="A578" s="39"/>
      <c r="B578" s="40"/>
      <c r="C578" s="41"/>
      <c r="D578" s="40"/>
      <c r="E578" s="40"/>
      <c r="F578" s="40"/>
      <c r="G578" s="35" t="str">
        <f aca="false">IF($A578="","",IF(ISNUMBER($G577),$G577+1,1))</f>
        <v/>
      </c>
      <c r="H578" s="36" t="str">
        <f aca="false">IF(OR(NOT(ISNUMBER($G578)),$G578&lt;2,NOT(ISNUMBER($C577)),$C577=0),"",$C578/$C577-1)</f>
        <v/>
      </c>
      <c r="I578" s="37" t="str">
        <f aca="false">IF(AND(ISNUMBER($G578),$G578&gt;=MA_SHORT),AVERAGE(INDEX($C$178:$C578,402-MA_SHORT):$C578),"")</f>
        <v/>
      </c>
      <c r="J578" s="37" t="str">
        <f aca="false">IF(AND(ISNUMBER($G578),$G578&gt;=MA_MED),AVERAGE(INDEX($C$178:$C578,402-MA_MED):$C578),"")</f>
        <v/>
      </c>
      <c r="K578" s="37" t="str">
        <f aca="false">IF(AND(ISNUMBER($G578),$G578&gt;=MA_LONG2),AVERAGE(INDEX($C$178:$C578,402-MA_LONG2):$C578),"")</f>
        <v/>
      </c>
      <c r="L578" s="38" t="str">
        <f aca="false">IF(AND(ISNUMBER($G578),$G578&gt;=21),STDEV(INDEX($H$518:$H578,62-20):$H578)*SQRT(245),"")</f>
        <v/>
      </c>
      <c r="M578" s="37" t="str">
        <f aca="false">IF(AND(ISNUMBER($G578),$G578&gt;=60),MAX(INDEX($D$378:$D578,202-60):$D578),"")</f>
        <v/>
      </c>
      <c r="N578" s="37" t="str">
        <f aca="false">IF(AND(ISNUMBER($G578),$G578&gt;=60),MIN(INDEX($E$378:$E578,202-60):$E578),"")</f>
        <v/>
      </c>
      <c r="O578" s="38" t="str">
        <f aca="false">IF(OR(NOT(ISNUMBER($C578)),NOT(ISNUMBER($M578)),$M578=0),"",$C578/$M578-1)</f>
        <v/>
      </c>
    </row>
    <row r="579" customFormat="false" ht="15" hidden="false" customHeight="true" outlineLevel="0" collapsed="false">
      <c r="A579" s="39"/>
      <c r="B579" s="40"/>
      <c r="C579" s="41"/>
      <c r="D579" s="40"/>
      <c r="E579" s="40"/>
      <c r="F579" s="40"/>
      <c r="G579" s="35" t="str">
        <f aca="false">IF($A579="","",IF(ISNUMBER($G578),$G578+1,1))</f>
        <v/>
      </c>
      <c r="H579" s="36" t="str">
        <f aca="false">IF(OR(NOT(ISNUMBER($G579)),$G579&lt;2,NOT(ISNUMBER($C578)),$C578=0),"",$C579/$C578-1)</f>
        <v/>
      </c>
      <c r="I579" s="37" t="str">
        <f aca="false">IF(AND(ISNUMBER($G579),$G579&gt;=MA_SHORT),AVERAGE(INDEX($C$179:$C579,402-MA_SHORT):$C579),"")</f>
        <v/>
      </c>
      <c r="J579" s="37" t="str">
        <f aca="false">IF(AND(ISNUMBER($G579),$G579&gt;=MA_MED),AVERAGE(INDEX($C$179:$C579,402-MA_MED):$C579),"")</f>
        <v/>
      </c>
      <c r="K579" s="37" t="str">
        <f aca="false">IF(AND(ISNUMBER($G579),$G579&gt;=MA_LONG2),AVERAGE(INDEX($C$179:$C579,402-MA_LONG2):$C579),"")</f>
        <v/>
      </c>
      <c r="L579" s="38" t="str">
        <f aca="false">IF(AND(ISNUMBER($G579),$G579&gt;=21),STDEV(INDEX($H$519:$H579,62-20):$H579)*SQRT(245),"")</f>
        <v/>
      </c>
      <c r="M579" s="37" t="str">
        <f aca="false">IF(AND(ISNUMBER($G579),$G579&gt;=60),MAX(INDEX($D$379:$D579,202-60):$D579),"")</f>
        <v/>
      </c>
      <c r="N579" s="37" t="str">
        <f aca="false">IF(AND(ISNUMBER($G579),$G579&gt;=60),MIN(INDEX($E$379:$E579,202-60):$E579),"")</f>
        <v/>
      </c>
      <c r="O579" s="38" t="str">
        <f aca="false">IF(OR(NOT(ISNUMBER($C579)),NOT(ISNUMBER($M579)),$M579=0),"",$C579/$M579-1)</f>
        <v/>
      </c>
    </row>
    <row r="580" customFormat="false" ht="15" hidden="false" customHeight="true" outlineLevel="0" collapsed="false">
      <c r="A580" s="39"/>
      <c r="B580" s="40"/>
      <c r="C580" s="41"/>
      <c r="D580" s="40"/>
      <c r="E580" s="40"/>
      <c r="F580" s="40"/>
      <c r="G580" s="35" t="str">
        <f aca="false">IF($A580="","",IF(ISNUMBER($G579),$G579+1,1))</f>
        <v/>
      </c>
      <c r="H580" s="36" t="str">
        <f aca="false">IF(OR(NOT(ISNUMBER($G580)),$G580&lt;2,NOT(ISNUMBER($C579)),$C579=0),"",$C580/$C579-1)</f>
        <v/>
      </c>
      <c r="I580" s="37" t="str">
        <f aca="false">IF(AND(ISNUMBER($G580),$G580&gt;=MA_SHORT),AVERAGE(INDEX($C$180:$C580,402-MA_SHORT):$C580),"")</f>
        <v/>
      </c>
      <c r="J580" s="37" t="str">
        <f aca="false">IF(AND(ISNUMBER($G580),$G580&gt;=MA_MED),AVERAGE(INDEX($C$180:$C580,402-MA_MED):$C580),"")</f>
        <v/>
      </c>
      <c r="K580" s="37" t="str">
        <f aca="false">IF(AND(ISNUMBER($G580),$G580&gt;=MA_LONG2),AVERAGE(INDEX($C$180:$C580,402-MA_LONG2):$C580),"")</f>
        <v/>
      </c>
      <c r="L580" s="38" t="str">
        <f aca="false">IF(AND(ISNUMBER($G580),$G580&gt;=21),STDEV(INDEX($H$520:$H580,62-20):$H580)*SQRT(245),"")</f>
        <v/>
      </c>
      <c r="M580" s="37" t="str">
        <f aca="false">IF(AND(ISNUMBER($G580),$G580&gt;=60),MAX(INDEX($D$380:$D580,202-60):$D580),"")</f>
        <v/>
      </c>
      <c r="N580" s="37" t="str">
        <f aca="false">IF(AND(ISNUMBER($G580),$G580&gt;=60),MIN(INDEX($E$380:$E580,202-60):$E580),"")</f>
        <v/>
      </c>
      <c r="O580" s="38" t="str">
        <f aca="false">IF(OR(NOT(ISNUMBER($C580)),NOT(ISNUMBER($M580)),$M580=0),"",$C580/$M580-1)</f>
        <v/>
      </c>
    </row>
    <row r="581" customFormat="false" ht="15" hidden="false" customHeight="true" outlineLevel="0" collapsed="false">
      <c r="A581" s="39"/>
      <c r="B581" s="40"/>
      <c r="C581" s="41"/>
      <c r="D581" s="40"/>
      <c r="E581" s="40"/>
      <c r="F581" s="40"/>
      <c r="G581" s="35" t="str">
        <f aca="false">IF($A581="","",IF(ISNUMBER($G580),$G580+1,1))</f>
        <v/>
      </c>
      <c r="H581" s="36" t="str">
        <f aca="false">IF(OR(NOT(ISNUMBER($G581)),$G581&lt;2,NOT(ISNUMBER($C580)),$C580=0),"",$C581/$C580-1)</f>
        <v/>
      </c>
      <c r="I581" s="37" t="str">
        <f aca="false">IF(AND(ISNUMBER($G581),$G581&gt;=MA_SHORT),AVERAGE(INDEX($C$181:$C581,402-MA_SHORT):$C581),"")</f>
        <v/>
      </c>
      <c r="J581" s="37" t="str">
        <f aca="false">IF(AND(ISNUMBER($G581),$G581&gt;=MA_MED),AVERAGE(INDEX($C$181:$C581,402-MA_MED):$C581),"")</f>
        <v/>
      </c>
      <c r="K581" s="37" t="str">
        <f aca="false">IF(AND(ISNUMBER($G581),$G581&gt;=MA_LONG2),AVERAGE(INDEX($C$181:$C581,402-MA_LONG2):$C581),"")</f>
        <v/>
      </c>
      <c r="L581" s="38" t="str">
        <f aca="false">IF(AND(ISNUMBER($G581),$G581&gt;=21),STDEV(INDEX($H$521:$H581,62-20):$H581)*SQRT(245),"")</f>
        <v/>
      </c>
      <c r="M581" s="37" t="str">
        <f aca="false">IF(AND(ISNUMBER($G581),$G581&gt;=60),MAX(INDEX($D$381:$D581,202-60):$D581),"")</f>
        <v/>
      </c>
      <c r="N581" s="37" t="str">
        <f aca="false">IF(AND(ISNUMBER($G581),$G581&gt;=60),MIN(INDEX($E$381:$E581,202-60):$E581),"")</f>
        <v/>
      </c>
      <c r="O581" s="38" t="str">
        <f aca="false">IF(OR(NOT(ISNUMBER($C581)),NOT(ISNUMBER($M581)),$M581=0),"",$C581/$M581-1)</f>
        <v/>
      </c>
    </row>
    <row r="582" customFormat="false" ht="15" hidden="false" customHeight="true" outlineLevel="0" collapsed="false">
      <c r="A582" s="39"/>
      <c r="B582" s="40"/>
      <c r="C582" s="41"/>
      <c r="D582" s="40"/>
      <c r="E582" s="40"/>
      <c r="F582" s="40"/>
      <c r="G582" s="35" t="str">
        <f aca="false">IF($A582="","",IF(ISNUMBER($G581),$G581+1,1))</f>
        <v/>
      </c>
      <c r="H582" s="36" t="str">
        <f aca="false">IF(OR(NOT(ISNUMBER($G582)),$G582&lt;2,NOT(ISNUMBER($C581)),$C581=0),"",$C582/$C581-1)</f>
        <v/>
      </c>
      <c r="I582" s="37" t="str">
        <f aca="false">IF(AND(ISNUMBER($G582),$G582&gt;=MA_SHORT),AVERAGE(INDEX($C$182:$C582,402-MA_SHORT):$C582),"")</f>
        <v/>
      </c>
      <c r="J582" s="37" t="str">
        <f aca="false">IF(AND(ISNUMBER($G582),$G582&gt;=MA_MED),AVERAGE(INDEX($C$182:$C582,402-MA_MED):$C582),"")</f>
        <v/>
      </c>
      <c r="K582" s="37" t="str">
        <f aca="false">IF(AND(ISNUMBER($G582),$G582&gt;=MA_LONG2),AVERAGE(INDEX($C$182:$C582,402-MA_LONG2):$C582),"")</f>
        <v/>
      </c>
      <c r="L582" s="38" t="str">
        <f aca="false">IF(AND(ISNUMBER($G582),$G582&gt;=21),STDEV(INDEX($H$522:$H582,62-20):$H582)*SQRT(245),"")</f>
        <v/>
      </c>
      <c r="M582" s="37" t="str">
        <f aca="false">IF(AND(ISNUMBER($G582),$G582&gt;=60),MAX(INDEX($D$382:$D582,202-60):$D582),"")</f>
        <v/>
      </c>
      <c r="N582" s="37" t="str">
        <f aca="false">IF(AND(ISNUMBER($G582),$G582&gt;=60),MIN(INDEX($E$382:$E582,202-60):$E582),"")</f>
        <v/>
      </c>
      <c r="O582" s="38" t="str">
        <f aca="false">IF(OR(NOT(ISNUMBER($C582)),NOT(ISNUMBER($M582)),$M582=0),"",$C582/$M582-1)</f>
        <v/>
      </c>
    </row>
    <row r="583" customFormat="false" ht="15" hidden="false" customHeight="true" outlineLevel="0" collapsed="false">
      <c r="A583" s="39"/>
      <c r="B583" s="40"/>
      <c r="C583" s="41"/>
      <c r="D583" s="40"/>
      <c r="E583" s="40"/>
      <c r="F583" s="40"/>
      <c r="G583" s="35" t="str">
        <f aca="false">IF($A583="","",IF(ISNUMBER($G582),$G582+1,1))</f>
        <v/>
      </c>
      <c r="H583" s="36" t="str">
        <f aca="false">IF(OR(NOT(ISNUMBER($G583)),$G583&lt;2,NOT(ISNUMBER($C582)),$C582=0),"",$C583/$C582-1)</f>
        <v/>
      </c>
      <c r="I583" s="37" t="str">
        <f aca="false">IF(AND(ISNUMBER($G583),$G583&gt;=MA_SHORT),AVERAGE(INDEX($C$183:$C583,402-MA_SHORT):$C583),"")</f>
        <v/>
      </c>
      <c r="J583" s="37" t="str">
        <f aca="false">IF(AND(ISNUMBER($G583),$G583&gt;=MA_MED),AVERAGE(INDEX($C$183:$C583,402-MA_MED):$C583),"")</f>
        <v/>
      </c>
      <c r="K583" s="37" t="str">
        <f aca="false">IF(AND(ISNUMBER($G583),$G583&gt;=MA_LONG2),AVERAGE(INDEX($C$183:$C583,402-MA_LONG2):$C583),"")</f>
        <v/>
      </c>
      <c r="L583" s="38" t="str">
        <f aca="false">IF(AND(ISNUMBER($G583),$G583&gt;=21),STDEV(INDEX($H$523:$H583,62-20):$H583)*SQRT(245),"")</f>
        <v/>
      </c>
      <c r="M583" s="37" t="str">
        <f aca="false">IF(AND(ISNUMBER($G583),$G583&gt;=60),MAX(INDEX($D$383:$D583,202-60):$D583),"")</f>
        <v/>
      </c>
      <c r="N583" s="37" t="str">
        <f aca="false">IF(AND(ISNUMBER($G583),$G583&gt;=60),MIN(INDEX($E$383:$E583,202-60):$E583),"")</f>
        <v/>
      </c>
      <c r="O583" s="38" t="str">
        <f aca="false">IF(OR(NOT(ISNUMBER($C583)),NOT(ISNUMBER($M583)),$M583=0),"",$C583/$M583-1)</f>
        <v/>
      </c>
    </row>
    <row r="584" customFormat="false" ht="15" hidden="false" customHeight="true" outlineLevel="0" collapsed="false">
      <c r="A584" s="39"/>
      <c r="B584" s="40"/>
      <c r="C584" s="41"/>
      <c r="D584" s="40"/>
      <c r="E584" s="40"/>
      <c r="F584" s="40"/>
      <c r="G584" s="35" t="str">
        <f aca="false">IF($A584="","",IF(ISNUMBER($G583),$G583+1,1))</f>
        <v/>
      </c>
      <c r="H584" s="36" t="str">
        <f aca="false">IF(OR(NOT(ISNUMBER($G584)),$G584&lt;2,NOT(ISNUMBER($C583)),$C583=0),"",$C584/$C583-1)</f>
        <v/>
      </c>
      <c r="I584" s="37" t="str">
        <f aca="false">IF(AND(ISNUMBER($G584),$G584&gt;=MA_SHORT),AVERAGE(INDEX($C$184:$C584,402-MA_SHORT):$C584),"")</f>
        <v/>
      </c>
      <c r="J584" s="37" t="str">
        <f aca="false">IF(AND(ISNUMBER($G584),$G584&gt;=MA_MED),AVERAGE(INDEX($C$184:$C584,402-MA_MED):$C584),"")</f>
        <v/>
      </c>
      <c r="K584" s="37" t="str">
        <f aca="false">IF(AND(ISNUMBER($G584),$G584&gt;=MA_LONG2),AVERAGE(INDEX($C$184:$C584,402-MA_LONG2):$C584),"")</f>
        <v/>
      </c>
      <c r="L584" s="38" t="str">
        <f aca="false">IF(AND(ISNUMBER($G584),$G584&gt;=21),STDEV(INDEX($H$524:$H584,62-20):$H584)*SQRT(245),"")</f>
        <v/>
      </c>
      <c r="M584" s="37" t="str">
        <f aca="false">IF(AND(ISNUMBER($G584),$G584&gt;=60),MAX(INDEX($D$384:$D584,202-60):$D584),"")</f>
        <v/>
      </c>
      <c r="N584" s="37" t="str">
        <f aca="false">IF(AND(ISNUMBER($G584),$G584&gt;=60),MIN(INDEX($E$384:$E584,202-60):$E584),"")</f>
        <v/>
      </c>
      <c r="O584" s="38" t="str">
        <f aca="false">IF(OR(NOT(ISNUMBER($C584)),NOT(ISNUMBER($M584)),$M584=0),"",$C584/$M584-1)</f>
        <v/>
      </c>
    </row>
    <row r="585" customFormat="false" ht="15" hidden="false" customHeight="true" outlineLevel="0" collapsed="false">
      <c r="A585" s="39"/>
      <c r="B585" s="40"/>
      <c r="C585" s="41"/>
      <c r="D585" s="40"/>
      <c r="E585" s="40"/>
      <c r="F585" s="40"/>
      <c r="G585" s="35" t="str">
        <f aca="false">IF($A585="","",IF(ISNUMBER($G584),$G584+1,1))</f>
        <v/>
      </c>
      <c r="H585" s="36" t="str">
        <f aca="false">IF(OR(NOT(ISNUMBER($G585)),$G585&lt;2,NOT(ISNUMBER($C584)),$C584=0),"",$C585/$C584-1)</f>
        <v/>
      </c>
      <c r="I585" s="37" t="str">
        <f aca="false">IF(AND(ISNUMBER($G585),$G585&gt;=MA_SHORT),AVERAGE(INDEX($C$185:$C585,402-MA_SHORT):$C585),"")</f>
        <v/>
      </c>
      <c r="J585" s="37" t="str">
        <f aca="false">IF(AND(ISNUMBER($G585),$G585&gt;=MA_MED),AVERAGE(INDEX($C$185:$C585,402-MA_MED):$C585),"")</f>
        <v/>
      </c>
      <c r="K585" s="37" t="str">
        <f aca="false">IF(AND(ISNUMBER($G585),$G585&gt;=MA_LONG2),AVERAGE(INDEX($C$185:$C585,402-MA_LONG2):$C585),"")</f>
        <v/>
      </c>
      <c r="L585" s="38" t="str">
        <f aca="false">IF(AND(ISNUMBER($G585),$G585&gt;=21),STDEV(INDEX($H$525:$H585,62-20):$H585)*SQRT(245),"")</f>
        <v/>
      </c>
      <c r="M585" s="37" t="str">
        <f aca="false">IF(AND(ISNUMBER($G585),$G585&gt;=60),MAX(INDEX($D$385:$D585,202-60):$D585),"")</f>
        <v/>
      </c>
      <c r="N585" s="37" t="str">
        <f aca="false">IF(AND(ISNUMBER($G585),$G585&gt;=60),MIN(INDEX($E$385:$E585,202-60):$E585),"")</f>
        <v/>
      </c>
      <c r="O585" s="38" t="str">
        <f aca="false">IF(OR(NOT(ISNUMBER($C585)),NOT(ISNUMBER($M585)),$M585=0),"",$C585/$M585-1)</f>
        <v/>
      </c>
    </row>
    <row r="586" customFormat="false" ht="15" hidden="false" customHeight="true" outlineLevel="0" collapsed="false">
      <c r="A586" s="39"/>
      <c r="B586" s="40"/>
      <c r="C586" s="41"/>
      <c r="D586" s="40"/>
      <c r="E586" s="40"/>
      <c r="F586" s="40"/>
      <c r="G586" s="35" t="str">
        <f aca="false">IF($A586="","",IF(ISNUMBER($G585),$G585+1,1))</f>
        <v/>
      </c>
      <c r="H586" s="36" t="str">
        <f aca="false">IF(OR(NOT(ISNUMBER($G586)),$G586&lt;2,NOT(ISNUMBER($C585)),$C585=0),"",$C586/$C585-1)</f>
        <v/>
      </c>
      <c r="I586" s="37" t="str">
        <f aca="false">IF(AND(ISNUMBER($G586),$G586&gt;=MA_SHORT),AVERAGE(INDEX($C$186:$C586,402-MA_SHORT):$C586),"")</f>
        <v/>
      </c>
      <c r="J586" s="37" t="str">
        <f aca="false">IF(AND(ISNUMBER($G586),$G586&gt;=MA_MED),AVERAGE(INDEX($C$186:$C586,402-MA_MED):$C586),"")</f>
        <v/>
      </c>
      <c r="K586" s="37" t="str">
        <f aca="false">IF(AND(ISNUMBER($G586),$G586&gt;=MA_LONG2),AVERAGE(INDEX($C$186:$C586,402-MA_LONG2):$C586),"")</f>
        <v/>
      </c>
      <c r="L586" s="38" t="str">
        <f aca="false">IF(AND(ISNUMBER($G586),$G586&gt;=21),STDEV(INDEX($H$526:$H586,62-20):$H586)*SQRT(245),"")</f>
        <v/>
      </c>
      <c r="M586" s="37" t="str">
        <f aca="false">IF(AND(ISNUMBER($G586),$G586&gt;=60),MAX(INDEX($D$386:$D586,202-60):$D586),"")</f>
        <v/>
      </c>
      <c r="N586" s="37" t="str">
        <f aca="false">IF(AND(ISNUMBER($G586),$G586&gt;=60),MIN(INDEX($E$386:$E586,202-60):$E586),"")</f>
        <v/>
      </c>
      <c r="O586" s="38" t="str">
        <f aca="false">IF(OR(NOT(ISNUMBER($C586)),NOT(ISNUMBER($M586)),$M586=0),"",$C586/$M586-1)</f>
        <v/>
      </c>
    </row>
    <row r="587" customFormat="false" ht="15" hidden="false" customHeight="true" outlineLevel="0" collapsed="false">
      <c r="A587" s="39"/>
      <c r="B587" s="40"/>
      <c r="C587" s="41"/>
      <c r="D587" s="40"/>
      <c r="E587" s="40"/>
      <c r="F587" s="40"/>
      <c r="G587" s="35" t="str">
        <f aca="false">IF($A587="","",IF(ISNUMBER($G586),$G586+1,1))</f>
        <v/>
      </c>
      <c r="H587" s="36" t="str">
        <f aca="false">IF(OR(NOT(ISNUMBER($G587)),$G587&lt;2,NOT(ISNUMBER($C586)),$C586=0),"",$C587/$C586-1)</f>
        <v/>
      </c>
      <c r="I587" s="37" t="str">
        <f aca="false">IF(AND(ISNUMBER($G587),$G587&gt;=MA_SHORT),AVERAGE(INDEX($C$187:$C587,402-MA_SHORT):$C587),"")</f>
        <v/>
      </c>
      <c r="J587" s="37" t="str">
        <f aca="false">IF(AND(ISNUMBER($G587),$G587&gt;=MA_MED),AVERAGE(INDEX($C$187:$C587,402-MA_MED):$C587),"")</f>
        <v/>
      </c>
      <c r="K587" s="37" t="str">
        <f aca="false">IF(AND(ISNUMBER($G587),$G587&gt;=MA_LONG2),AVERAGE(INDEX($C$187:$C587,402-MA_LONG2):$C587),"")</f>
        <v/>
      </c>
      <c r="L587" s="38" t="str">
        <f aca="false">IF(AND(ISNUMBER($G587),$G587&gt;=21),STDEV(INDEX($H$527:$H587,62-20):$H587)*SQRT(245),"")</f>
        <v/>
      </c>
      <c r="M587" s="37" t="str">
        <f aca="false">IF(AND(ISNUMBER($G587),$G587&gt;=60),MAX(INDEX($D$387:$D587,202-60):$D587),"")</f>
        <v/>
      </c>
      <c r="N587" s="37" t="str">
        <f aca="false">IF(AND(ISNUMBER($G587),$G587&gt;=60),MIN(INDEX($E$387:$E587,202-60):$E587),"")</f>
        <v/>
      </c>
      <c r="O587" s="38" t="str">
        <f aca="false">IF(OR(NOT(ISNUMBER($C587)),NOT(ISNUMBER($M587)),$M587=0),"",$C587/$M587-1)</f>
        <v/>
      </c>
    </row>
    <row r="588" customFormat="false" ht="15" hidden="false" customHeight="true" outlineLevel="0" collapsed="false">
      <c r="A588" s="39"/>
      <c r="B588" s="40"/>
      <c r="C588" s="41"/>
      <c r="D588" s="40"/>
      <c r="E588" s="40"/>
      <c r="F588" s="40"/>
      <c r="G588" s="35" t="str">
        <f aca="false">IF($A588="","",IF(ISNUMBER($G587),$G587+1,1))</f>
        <v/>
      </c>
      <c r="H588" s="36" t="str">
        <f aca="false">IF(OR(NOT(ISNUMBER($G588)),$G588&lt;2,NOT(ISNUMBER($C587)),$C587=0),"",$C588/$C587-1)</f>
        <v/>
      </c>
      <c r="I588" s="37" t="str">
        <f aca="false">IF(AND(ISNUMBER($G588),$G588&gt;=MA_SHORT),AVERAGE(INDEX($C$188:$C588,402-MA_SHORT):$C588),"")</f>
        <v/>
      </c>
      <c r="J588" s="37" t="str">
        <f aca="false">IF(AND(ISNUMBER($G588),$G588&gt;=MA_MED),AVERAGE(INDEX($C$188:$C588,402-MA_MED):$C588),"")</f>
        <v/>
      </c>
      <c r="K588" s="37" t="str">
        <f aca="false">IF(AND(ISNUMBER($G588),$G588&gt;=MA_LONG2),AVERAGE(INDEX($C$188:$C588,402-MA_LONG2):$C588),"")</f>
        <v/>
      </c>
      <c r="L588" s="38" t="str">
        <f aca="false">IF(AND(ISNUMBER($G588),$G588&gt;=21),STDEV(INDEX($H$528:$H588,62-20):$H588)*SQRT(245),"")</f>
        <v/>
      </c>
      <c r="M588" s="37" t="str">
        <f aca="false">IF(AND(ISNUMBER($G588),$G588&gt;=60),MAX(INDEX($D$388:$D588,202-60):$D588),"")</f>
        <v/>
      </c>
      <c r="N588" s="37" t="str">
        <f aca="false">IF(AND(ISNUMBER($G588),$G588&gt;=60),MIN(INDEX($E$388:$E588,202-60):$E588),"")</f>
        <v/>
      </c>
      <c r="O588" s="38" t="str">
        <f aca="false">IF(OR(NOT(ISNUMBER($C588)),NOT(ISNUMBER($M588)),$M588=0),"",$C588/$M588-1)</f>
        <v/>
      </c>
    </row>
    <row r="589" customFormat="false" ht="15" hidden="false" customHeight="true" outlineLevel="0" collapsed="false">
      <c r="A589" s="39"/>
      <c r="B589" s="40"/>
      <c r="C589" s="41"/>
      <c r="D589" s="40"/>
      <c r="E589" s="40"/>
      <c r="F589" s="40"/>
      <c r="G589" s="35" t="str">
        <f aca="false">IF($A589="","",IF(ISNUMBER($G588),$G588+1,1))</f>
        <v/>
      </c>
      <c r="H589" s="36" t="str">
        <f aca="false">IF(OR(NOT(ISNUMBER($G589)),$G589&lt;2,NOT(ISNUMBER($C588)),$C588=0),"",$C589/$C588-1)</f>
        <v/>
      </c>
      <c r="I589" s="37" t="str">
        <f aca="false">IF(AND(ISNUMBER($G589),$G589&gt;=MA_SHORT),AVERAGE(INDEX($C$189:$C589,402-MA_SHORT):$C589),"")</f>
        <v/>
      </c>
      <c r="J589" s="37" t="str">
        <f aca="false">IF(AND(ISNUMBER($G589),$G589&gt;=MA_MED),AVERAGE(INDEX($C$189:$C589,402-MA_MED):$C589),"")</f>
        <v/>
      </c>
      <c r="K589" s="37" t="str">
        <f aca="false">IF(AND(ISNUMBER($G589),$G589&gt;=MA_LONG2),AVERAGE(INDEX($C$189:$C589,402-MA_LONG2):$C589),"")</f>
        <v/>
      </c>
      <c r="L589" s="38" t="str">
        <f aca="false">IF(AND(ISNUMBER($G589),$G589&gt;=21),STDEV(INDEX($H$529:$H589,62-20):$H589)*SQRT(245),"")</f>
        <v/>
      </c>
      <c r="M589" s="37" t="str">
        <f aca="false">IF(AND(ISNUMBER($G589),$G589&gt;=60),MAX(INDEX($D$389:$D589,202-60):$D589),"")</f>
        <v/>
      </c>
      <c r="N589" s="37" t="str">
        <f aca="false">IF(AND(ISNUMBER($G589),$G589&gt;=60),MIN(INDEX($E$389:$E589,202-60):$E589),"")</f>
        <v/>
      </c>
      <c r="O589" s="38" t="str">
        <f aca="false">IF(OR(NOT(ISNUMBER($C589)),NOT(ISNUMBER($M589)),$M589=0),"",$C589/$M589-1)</f>
        <v/>
      </c>
    </row>
    <row r="590" customFormat="false" ht="15" hidden="false" customHeight="true" outlineLevel="0" collapsed="false">
      <c r="A590" s="39"/>
      <c r="B590" s="40"/>
      <c r="C590" s="41"/>
      <c r="D590" s="40"/>
      <c r="E590" s="40"/>
      <c r="F590" s="40"/>
      <c r="G590" s="35" t="str">
        <f aca="false">IF($A590="","",IF(ISNUMBER($G589),$G589+1,1))</f>
        <v/>
      </c>
      <c r="H590" s="36" t="str">
        <f aca="false">IF(OR(NOT(ISNUMBER($G590)),$G590&lt;2,NOT(ISNUMBER($C589)),$C589=0),"",$C590/$C589-1)</f>
        <v/>
      </c>
      <c r="I590" s="37" t="str">
        <f aca="false">IF(AND(ISNUMBER($G590),$G590&gt;=MA_SHORT),AVERAGE(INDEX($C$190:$C590,402-MA_SHORT):$C590),"")</f>
        <v/>
      </c>
      <c r="J590" s="37" t="str">
        <f aca="false">IF(AND(ISNUMBER($G590),$G590&gt;=MA_MED),AVERAGE(INDEX($C$190:$C590,402-MA_MED):$C590),"")</f>
        <v/>
      </c>
      <c r="K590" s="37" t="str">
        <f aca="false">IF(AND(ISNUMBER($G590),$G590&gt;=MA_LONG2),AVERAGE(INDEX($C$190:$C590,402-MA_LONG2):$C590),"")</f>
        <v/>
      </c>
      <c r="L590" s="38" t="str">
        <f aca="false">IF(AND(ISNUMBER($G590),$G590&gt;=21),STDEV(INDEX($H$530:$H590,62-20):$H590)*SQRT(245),"")</f>
        <v/>
      </c>
      <c r="M590" s="37" t="str">
        <f aca="false">IF(AND(ISNUMBER($G590),$G590&gt;=60),MAX(INDEX($D$390:$D590,202-60):$D590),"")</f>
        <v/>
      </c>
      <c r="N590" s="37" t="str">
        <f aca="false">IF(AND(ISNUMBER($G590),$G590&gt;=60),MIN(INDEX($E$390:$E590,202-60):$E590),"")</f>
        <v/>
      </c>
      <c r="O590" s="38" t="str">
        <f aca="false">IF(OR(NOT(ISNUMBER($C590)),NOT(ISNUMBER($M590)),$M590=0),"",$C590/$M590-1)</f>
        <v/>
      </c>
    </row>
    <row r="591" customFormat="false" ht="15" hidden="false" customHeight="true" outlineLevel="0" collapsed="false">
      <c r="A591" s="39"/>
      <c r="B591" s="40"/>
      <c r="C591" s="41"/>
      <c r="D591" s="40"/>
      <c r="E591" s="40"/>
      <c r="F591" s="40"/>
      <c r="G591" s="35" t="str">
        <f aca="false">IF($A591="","",IF(ISNUMBER($G590),$G590+1,1))</f>
        <v/>
      </c>
      <c r="H591" s="36" t="str">
        <f aca="false">IF(OR(NOT(ISNUMBER($G591)),$G591&lt;2,NOT(ISNUMBER($C590)),$C590=0),"",$C591/$C590-1)</f>
        <v/>
      </c>
      <c r="I591" s="37" t="str">
        <f aca="false">IF(AND(ISNUMBER($G591),$G591&gt;=MA_SHORT),AVERAGE(INDEX($C$191:$C591,402-MA_SHORT):$C591),"")</f>
        <v/>
      </c>
      <c r="J591" s="37" t="str">
        <f aca="false">IF(AND(ISNUMBER($G591),$G591&gt;=MA_MED),AVERAGE(INDEX($C$191:$C591,402-MA_MED):$C591),"")</f>
        <v/>
      </c>
      <c r="K591" s="37" t="str">
        <f aca="false">IF(AND(ISNUMBER($G591),$G591&gt;=MA_LONG2),AVERAGE(INDEX($C$191:$C591,402-MA_LONG2):$C591),"")</f>
        <v/>
      </c>
      <c r="L591" s="38" t="str">
        <f aca="false">IF(AND(ISNUMBER($G591),$G591&gt;=21),STDEV(INDEX($H$531:$H591,62-20):$H591)*SQRT(245),"")</f>
        <v/>
      </c>
      <c r="M591" s="37" t="str">
        <f aca="false">IF(AND(ISNUMBER($G591),$G591&gt;=60),MAX(INDEX($D$391:$D591,202-60):$D591),"")</f>
        <v/>
      </c>
      <c r="N591" s="37" t="str">
        <f aca="false">IF(AND(ISNUMBER($G591),$G591&gt;=60),MIN(INDEX($E$391:$E591,202-60):$E591),"")</f>
        <v/>
      </c>
      <c r="O591" s="38" t="str">
        <f aca="false">IF(OR(NOT(ISNUMBER($C591)),NOT(ISNUMBER($M591)),$M591=0),"",$C591/$M591-1)</f>
        <v/>
      </c>
    </row>
    <row r="592" customFormat="false" ht="15" hidden="false" customHeight="true" outlineLevel="0" collapsed="false">
      <c r="A592" s="39"/>
      <c r="B592" s="40"/>
      <c r="C592" s="41"/>
      <c r="D592" s="40"/>
      <c r="E592" s="40"/>
      <c r="F592" s="40"/>
      <c r="G592" s="35" t="str">
        <f aca="false">IF($A592="","",IF(ISNUMBER($G591),$G591+1,1))</f>
        <v/>
      </c>
      <c r="H592" s="36" t="str">
        <f aca="false">IF(OR(NOT(ISNUMBER($G592)),$G592&lt;2,NOT(ISNUMBER($C591)),$C591=0),"",$C592/$C591-1)</f>
        <v/>
      </c>
      <c r="I592" s="37" t="str">
        <f aca="false">IF(AND(ISNUMBER($G592),$G592&gt;=MA_SHORT),AVERAGE(INDEX($C$192:$C592,402-MA_SHORT):$C592),"")</f>
        <v/>
      </c>
      <c r="J592" s="37" t="str">
        <f aca="false">IF(AND(ISNUMBER($G592),$G592&gt;=MA_MED),AVERAGE(INDEX($C$192:$C592,402-MA_MED):$C592),"")</f>
        <v/>
      </c>
      <c r="K592" s="37" t="str">
        <f aca="false">IF(AND(ISNUMBER($G592),$G592&gt;=MA_LONG2),AVERAGE(INDEX($C$192:$C592,402-MA_LONG2):$C592),"")</f>
        <v/>
      </c>
      <c r="L592" s="38" t="str">
        <f aca="false">IF(AND(ISNUMBER($G592),$G592&gt;=21),STDEV(INDEX($H$532:$H592,62-20):$H592)*SQRT(245),"")</f>
        <v/>
      </c>
      <c r="M592" s="37" t="str">
        <f aca="false">IF(AND(ISNUMBER($G592),$G592&gt;=60),MAX(INDEX($D$392:$D592,202-60):$D592),"")</f>
        <v/>
      </c>
      <c r="N592" s="37" t="str">
        <f aca="false">IF(AND(ISNUMBER($G592),$G592&gt;=60),MIN(INDEX($E$392:$E592,202-60):$E592),"")</f>
        <v/>
      </c>
      <c r="O592" s="38" t="str">
        <f aca="false">IF(OR(NOT(ISNUMBER($C592)),NOT(ISNUMBER($M592)),$M592=0),"",$C592/$M592-1)</f>
        <v/>
      </c>
    </row>
    <row r="593" customFormat="false" ht="15" hidden="false" customHeight="true" outlineLevel="0" collapsed="false">
      <c r="A593" s="39"/>
      <c r="B593" s="40"/>
      <c r="C593" s="41"/>
      <c r="D593" s="40"/>
      <c r="E593" s="40"/>
      <c r="F593" s="40"/>
      <c r="G593" s="35" t="str">
        <f aca="false">IF($A593="","",IF(ISNUMBER($G592),$G592+1,1))</f>
        <v/>
      </c>
      <c r="H593" s="36" t="str">
        <f aca="false">IF(OR(NOT(ISNUMBER($G593)),$G593&lt;2,NOT(ISNUMBER($C592)),$C592=0),"",$C593/$C592-1)</f>
        <v/>
      </c>
      <c r="I593" s="37" t="str">
        <f aca="false">IF(AND(ISNUMBER($G593),$G593&gt;=MA_SHORT),AVERAGE(INDEX($C$193:$C593,402-MA_SHORT):$C593),"")</f>
        <v/>
      </c>
      <c r="J593" s="37" t="str">
        <f aca="false">IF(AND(ISNUMBER($G593),$G593&gt;=MA_MED),AVERAGE(INDEX($C$193:$C593,402-MA_MED):$C593),"")</f>
        <v/>
      </c>
      <c r="K593" s="37" t="str">
        <f aca="false">IF(AND(ISNUMBER($G593),$G593&gt;=MA_LONG2),AVERAGE(INDEX($C$193:$C593,402-MA_LONG2):$C593),"")</f>
        <v/>
      </c>
      <c r="L593" s="38" t="str">
        <f aca="false">IF(AND(ISNUMBER($G593),$G593&gt;=21),STDEV(INDEX($H$533:$H593,62-20):$H593)*SQRT(245),"")</f>
        <v/>
      </c>
      <c r="M593" s="37" t="str">
        <f aca="false">IF(AND(ISNUMBER($G593),$G593&gt;=60),MAX(INDEX($D$393:$D593,202-60):$D593),"")</f>
        <v/>
      </c>
      <c r="N593" s="37" t="str">
        <f aca="false">IF(AND(ISNUMBER($G593),$G593&gt;=60),MIN(INDEX($E$393:$E593,202-60):$E593),"")</f>
        <v/>
      </c>
      <c r="O593" s="38" t="str">
        <f aca="false">IF(OR(NOT(ISNUMBER($C593)),NOT(ISNUMBER($M593)),$M593=0),"",$C593/$M593-1)</f>
        <v/>
      </c>
    </row>
    <row r="594" customFormat="false" ht="15" hidden="false" customHeight="true" outlineLevel="0" collapsed="false">
      <c r="A594" s="39"/>
      <c r="B594" s="40"/>
      <c r="C594" s="41"/>
      <c r="D594" s="40"/>
      <c r="E594" s="40"/>
      <c r="F594" s="40"/>
      <c r="G594" s="35" t="str">
        <f aca="false">IF($A594="","",IF(ISNUMBER($G593),$G593+1,1))</f>
        <v/>
      </c>
      <c r="H594" s="36" t="str">
        <f aca="false">IF(OR(NOT(ISNUMBER($G594)),$G594&lt;2,NOT(ISNUMBER($C593)),$C593=0),"",$C594/$C593-1)</f>
        <v/>
      </c>
      <c r="I594" s="37" t="str">
        <f aca="false">IF(AND(ISNUMBER($G594),$G594&gt;=MA_SHORT),AVERAGE(INDEX($C$194:$C594,402-MA_SHORT):$C594),"")</f>
        <v/>
      </c>
      <c r="J594" s="37" t="str">
        <f aca="false">IF(AND(ISNUMBER($G594),$G594&gt;=MA_MED),AVERAGE(INDEX($C$194:$C594,402-MA_MED):$C594),"")</f>
        <v/>
      </c>
      <c r="K594" s="37" t="str">
        <f aca="false">IF(AND(ISNUMBER($G594),$G594&gt;=MA_LONG2),AVERAGE(INDEX($C$194:$C594,402-MA_LONG2):$C594),"")</f>
        <v/>
      </c>
      <c r="L594" s="38" t="str">
        <f aca="false">IF(AND(ISNUMBER($G594),$G594&gt;=21),STDEV(INDEX($H$534:$H594,62-20):$H594)*SQRT(245),"")</f>
        <v/>
      </c>
      <c r="M594" s="37" t="str">
        <f aca="false">IF(AND(ISNUMBER($G594),$G594&gt;=60),MAX(INDEX($D$394:$D594,202-60):$D594),"")</f>
        <v/>
      </c>
      <c r="N594" s="37" t="str">
        <f aca="false">IF(AND(ISNUMBER($G594),$G594&gt;=60),MIN(INDEX($E$394:$E594,202-60):$E594),"")</f>
        <v/>
      </c>
      <c r="O594" s="38" t="str">
        <f aca="false">IF(OR(NOT(ISNUMBER($C594)),NOT(ISNUMBER($M594)),$M594=0),"",$C594/$M594-1)</f>
        <v/>
      </c>
    </row>
    <row r="595" customFormat="false" ht="15" hidden="false" customHeight="true" outlineLevel="0" collapsed="false">
      <c r="A595" s="39"/>
      <c r="B595" s="40"/>
      <c r="C595" s="41"/>
      <c r="D595" s="40"/>
      <c r="E595" s="40"/>
      <c r="F595" s="40"/>
      <c r="G595" s="35" t="str">
        <f aca="false">IF($A595="","",IF(ISNUMBER($G594),$G594+1,1))</f>
        <v/>
      </c>
      <c r="H595" s="36" t="str">
        <f aca="false">IF(OR(NOT(ISNUMBER($G595)),$G595&lt;2,NOT(ISNUMBER($C594)),$C594=0),"",$C595/$C594-1)</f>
        <v/>
      </c>
      <c r="I595" s="37" t="str">
        <f aca="false">IF(AND(ISNUMBER($G595),$G595&gt;=MA_SHORT),AVERAGE(INDEX($C$195:$C595,402-MA_SHORT):$C595),"")</f>
        <v/>
      </c>
      <c r="J595" s="37" t="str">
        <f aca="false">IF(AND(ISNUMBER($G595),$G595&gt;=MA_MED),AVERAGE(INDEX($C$195:$C595,402-MA_MED):$C595),"")</f>
        <v/>
      </c>
      <c r="K595" s="37" t="str">
        <f aca="false">IF(AND(ISNUMBER($G595),$G595&gt;=MA_LONG2),AVERAGE(INDEX($C$195:$C595,402-MA_LONG2):$C595),"")</f>
        <v/>
      </c>
      <c r="L595" s="38" t="str">
        <f aca="false">IF(AND(ISNUMBER($G595),$G595&gt;=21),STDEV(INDEX($H$535:$H595,62-20):$H595)*SQRT(245),"")</f>
        <v/>
      </c>
      <c r="M595" s="37" t="str">
        <f aca="false">IF(AND(ISNUMBER($G595),$G595&gt;=60),MAX(INDEX($D$395:$D595,202-60):$D595),"")</f>
        <v/>
      </c>
      <c r="N595" s="37" t="str">
        <f aca="false">IF(AND(ISNUMBER($G595),$G595&gt;=60),MIN(INDEX($E$395:$E595,202-60):$E595),"")</f>
        <v/>
      </c>
      <c r="O595" s="38" t="str">
        <f aca="false">IF(OR(NOT(ISNUMBER($C595)),NOT(ISNUMBER($M595)),$M595=0),"",$C595/$M595-1)</f>
        <v/>
      </c>
    </row>
    <row r="596" customFormat="false" ht="15" hidden="false" customHeight="true" outlineLevel="0" collapsed="false">
      <c r="A596" s="39"/>
      <c r="B596" s="40"/>
      <c r="C596" s="41"/>
      <c r="D596" s="40"/>
      <c r="E596" s="40"/>
      <c r="F596" s="40"/>
      <c r="G596" s="35" t="str">
        <f aca="false">IF($A596="","",IF(ISNUMBER($G595),$G595+1,1))</f>
        <v/>
      </c>
      <c r="H596" s="36" t="str">
        <f aca="false">IF(OR(NOT(ISNUMBER($G596)),$G596&lt;2,NOT(ISNUMBER($C595)),$C595=0),"",$C596/$C595-1)</f>
        <v/>
      </c>
      <c r="I596" s="37" t="str">
        <f aca="false">IF(AND(ISNUMBER($G596),$G596&gt;=MA_SHORT),AVERAGE(INDEX($C$196:$C596,402-MA_SHORT):$C596),"")</f>
        <v/>
      </c>
      <c r="J596" s="37" t="str">
        <f aca="false">IF(AND(ISNUMBER($G596),$G596&gt;=MA_MED),AVERAGE(INDEX($C$196:$C596,402-MA_MED):$C596),"")</f>
        <v/>
      </c>
      <c r="K596" s="37" t="str">
        <f aca="false">IF(AND(ISNUMBER($G596),$G596&gt;=MA_LONG2),AVERAGE(INDEX($C$196:$C596,402-MA_LONG2):$C596),"")</f>
        <v/>
      </c>
      <c r="L596" s="38" t="str">
        <f aca="false">IF(AND(ISNUMBER($G596),$G596&gt;=21),STDEV(INDEX($H$536:$H596,62-20):$H596)*SQRT(245),"")</f>
        <v/>
      </c>
      <c r="M596" s="37" t="str">
        <f aca="false">IF(AND(ISNUMBER($G596),$G596&gt;=60),MAX(INDEX($D$396:$D596,202-60):$D596),"")</f>
        <v/>
      </c>
      <c r="N596" s="37" t="str">
        <f aca="false">IF(AND(ISNUMBER($G596),$G596&gt;=60),MIN(INDEX($E$396:$E596,202-60):$E596),"")</f>
        <v/>
      </c>
      <c r="O596" s="38" t="str">
        <f aca="false">IF(OR(NOT(ISNUMBER($C596)),NOT(ISNUMBER($M596)),$M596=0),"",$C596/$M596-1)</f>
        <v/>
      </c>
    </row>
    <row r="597" customFormat="false" ht="15" hidden="false" customHeight="true" outlineLevel="0" collapsed="false">
      <c r="A597" s="39"/>
      <c r="B597" s="40"/>
      <c r="C597" s="41"/>
      <c r="D597" s="40"/>
      <c r="E597" s="40"/>
      <c r="F597" s="40"/>
      <c r="G597" s="35" t="str">
        <f aca="false">IF($A597="","",IF(ISNUMBER($G596),$G596+1,1))</f>
        <v/>
      </c>
      <c r="H597" s="36" t="str">
        <f aca="false">IF(OR(NOT(ISNUMBER($G597)),$G597&lt;2,NOT(ISNUMBER($C596)),$C596=0),"",$C597/$C596-1)</f>
        <v/>
      </c>
      <c r="I597" s="37" t="str">
        <f aca="false">IF(AND(ISNUMBER($G597),$G597&gt;=MA_SHORT),AVERAGE(INDEX($C$197:$C597,402-MA_SHORT):$C597),"")</f>
        <v/>
      </c>
      <c r="J597" s="37" t="str">
        <f aca="false">IF(AND(ISNUMBER($G597),$G597&gt;=MA_MED),AVERAGE(INDEX($C$197:$C597,402-MA_MED):$C597),"")</f>
        <v/>
      </c>
      <c r="K597" s="37" t="str">
        <f aca="false">IF(AND(ISNUMBER($G597),$G597&gt;=MA_LONG2),AVERAGE(INDEX($C$197:$C597,402-MA_LONG2):$C597),"")</f>
        <v/>
      </c>
      <c r="L597" s="38" t="str">
        <f aca="false">IF(AND(ISNUMBER($G597),$G597&gt;=21),STDEV(INDEX($H$537:$H597,62-20):$H597)*SQRT(245),"")</f>
        <v/>
      </c>
      <c r="M597" s="37" t="str">
        <f aca="false">IF(AND(ISNUMBER($G597),$G597&gt;=60),MAX(INDEX($D$397:$D597,202-60):$D597),"")</f>
        <v/>
      </c>
      <c r="N597" s="37" t="str">
        <f aca="false">IF(AND(ISNUMBER($G597),$G597&gt;=60),MIN(INDEX($E$397:$E597,202-60):$E597),"")</f>
        <v/>
      </c>
      <c r="O597" s="38" t="str">
        <f aca="false">IF(OR(NOT(ISNUMBER($C597)),NOT(ISNUMBER($M597)),$M597=0),"",$C597/$M597-1)</f>
        <v/>
      </c>
    </row>
    <row r="598" customFormat="false" ht="15" hidden="false" customHeight="true" outlineLevel="0" collapsed="false">
      <c r="A598" s="39"/>
      <c r="B598" s="40"/>
      <c r="C598" s="41"/>
      <c r="D598" s="40"/>
      <c r="E598" s="40"/>
      <c r="F598" s="40"/>
      <c r="G598" s="35" t="str">
        <f aca="false">IF($A598="","",IF(ISNUMBER($G597),$G597+1,1))</f>
        <v/>
      </c>
      <c r="H598" s="36" t="str">
        <f aca="false">IF(OR(NOT(ISNUMBER($G598)),$G598&lt;2,NOT(ISNUMBER($C597)),$C597=0),"",$C598/$C597-1)</f>
        <v/>
      </c>
      <c r="I598" s="37" t="str">
        <f aca="false">IF(AND(ISNUMBER($G598),$G598&gt;=MA_SHORT),AVERAGE(INDEX($C$198:$C598,402-MA_SHORT):$C598),"")</f>
        <v/>
      </c>
      <c r="J598" s="37" t="str">
        <f aca="false">IF(AND(ISNUMBER($G598),$G598&gt;=MA_MED),AVERAGE(INDEX($C$198:$C598,402-MA_MED):$C598),"")</f>
        <v/>
      </c>
      <c r="K598" s="37" t="str">
        <f aca="false">IF(AND(ISNUMBER($G598),$G598&gt;=MA_LONG2),AVERAGE(INDEX($C$198:$C598,402-MA_LONG2):$C598),"")</f>
        <v/>
      </c>
      <c r="L598" s="38" t="str">
        <f aca="false">IF(AND(ISNUMBER($G598),$G598&gt;=21),STDEV(INDEX($H$538:$H598,62-20):$H598)*SQRT(245),"")</f>
        <v/>
      </c>
      <c r="M598" s="37" t="str">
        <f aca="false">IF(AND(ISNUMBER($G598),$G598&gt;=60),MAX(INDEX($D$398:$D598,202-60):$D598),"")</f>
        <v/>
      </c>
      <c r="N598" s="37" t="str">
        <f aca="false">IF(AND(ISNUMBER($G598),$G598&gt;=60),MIN(INDEX($E$398:$E598,202-60):$E598),"")</f>
        <v/>
      </c>
      <c r="O598" s="38" t="str">
        <f aca="false">IF(OR(NOT(ISNUMBER($C598)),NOT(ISNUMBER($M598)),$M598=0),"",$C598/$M598-1)</f>
        <v/>
      </c>
    </row>
    <row r="599" customFormat="false" ht="15" hidden="false" customHeight="true" outlineLevel="0" collapsed="false">
      <c r="A599" s="39"/>
      <c r="B599" s="40"/>
      <c r="C599" s="41"/>
      <c r="D599" s="40"/>
      <c r="E599" s="40"/>
      <c r="F599" s="40"/>
      <c r="G599" s="35" t="str">
        <f aca="false">IF($A599="","",IF(ISNUMBER($G598),$G598+1,1))</f>
        <v/>
      </c>
      <c r="H599" s="36" t="str">
        <f aca="false">IF(OR(NOT(ISNUMBER($G599)),$G599&lt;2,NOT(ISNUMBER($C598)),$C598=0),"",$C599/$C598-1)</f>
        <v/>
      </c>
      <c r="I599" s="37" t="str">
        <f aca="false">IF(AND(ISNUMBER($G599),$G599&gt;=MA_SHORT),AVERAGE(INDEX($C$199:$C599,402-MA_SHORT):$C599),"")</f>
        <v/>
      </c>
      <c r="J599" s="37" t="str">
        <f aca="false">IF(AND(ISNUMBER($G599),$G599&gt;=MA_MED),AVERAGE(INDEX($C$199:$C599,402-MA_MED):$C599),"")</f>
        <v/>
      </c>
      <c r="K599" s="37" t="str">
        <f aca="false">IF(AND(ISNUMBER($G599),$G599&gt;=MA_LONG2),AVERAGE(INDEX($C$199:$C599,402-MA_LONG2):$C599),"")</f>
        <v/>
      </c>
      <c r="L599" s="38" t="str">
        <f aca="false">IF(AND(ISNUMBER($G599),$G599&gt;=21),STDEV(INDEX($H$539:$H599,62-20):$H599)*SQRT(245),"")</f>
        <v/>
      </c>
      <c r="M599" s="37" t="str">
        <f aca="false">IF(AND(ISNUMBER($G599),$G599&gt;=60),MAX(INDEX($D$399:$D599,202-60):$D599),"")</f>
        <v/>
      </c>
      <c r="N599" s="37" t="str">
        <f aca="false">IF(AND(ISNUMBER($G599),$G599&gt;=60),MIN(INDEX($E$399:$E599,202-60):$E599),"")</f>
        <v/>
      </c>
      <c r="O599" s="38" t="str">
        <f aca="false">IF(OR(NOT(ISNUMBER($C599)),NOT(ISNUMBER($M599)),$M599=0),"",$C599/$M599-1)</f>
        <v/>
      </c>
    </row>
    <row r="600" customFormat="false" ht="15" hidden="false" customHeight="true" outlineLevel="0" collapsed="false">
      <c r="A600" s="39"/>
      <c r="B600" s="40"/>
      <c r="C600" s="41"/>
      <c r="D600" s="40"/>
      <c r="E600" s="40"/>
      <c r="F600" s="40"/>
      <c r="G600" s="35" t="str">
        <f aca="false">IF($A600="","",IF(ISNUMBER($G599),$G599+1,1))</f>
        <v/>
      </c>
      <c r="H600" s="36" t="str">
        <f aca="false">IF(OR(NOT(ISNUMBER($G600)),$G600&lt;2,NOT(ISNUMBER($C599)),$C599=0),"",$C600/$C599-1)</f>
        <v/>
      </c>
      <c r="I600" s="37" t="str">
        <f aca="false">IF(AND(ISNUMBER($G600),$G600&gt;=MA_SHORT),AVERAGE(INDEX($C$200:$C600,402-MA_SHORT):$C600),"")</f>
        <v/>
      </c>
      <c r="J600" s="37" t="str">
        <f aca="false">IF(AND(ISNUMBER($G600),$G600&gt;=MA_MED),AVERAGE(INDEX($C$200:$C600,402-MA_MED):$C600),"")</f>
        <v/>
      </c>
      <c r="K600" s="37" t="str">
        <f aca="false">IF(AND(ISNUMBER($G600),$G600&gt;=MA_LONG2),AVERAGE(INDEX($C$200:$C600,402-MA_LONG2):$C600),"")</f>
        <v/>
      </c>
      <c r="L600" s="38" t="str">
        <f aca="false">IF(AND(ISNUMBER($G600),$G600&gt;=21),STDEV(INDEX($H$540:$H600,62-20):$H600)*SQRT(245),"")</f>
        <v/>
      </c>
      <c r="M600" s="37" t="str">
        <f aca="false">IF(AND(ISNUMBER($G600),$G600&gt;=60),MAX(INDEX($D$400:$D600,202-60):$D600),"")</f>
        <v/>
      </c>
      <c r="N600" s="37" t="str">
        <f aca="false">IF(AND(ISNUMBER($G600),$G600&gt;=60),MIN(INDEX($E$400:$E600,202-60):$E600),"")</f>
        <v/>
      </c>
      <c r="O600" s="38" t="str">
        <f aca="false">IF(OR(NOT(ISNUMBER($C600)),NOT(ISNUMBER($M600)),$M600=0),"",$C600/$M600-1)</f>
        <v/>
      </c>
    </row>
    <row r="601" customFormat="false" ht="15" hidden="false" customHeight="true" outlineLevel="0" collapsed="false">
      <c r="A601" s="39"/>
      <c r="B601" s="40"/>
      <c r="C601" s="41"/>
      <c r="D601" s="40"/>
      <c r="E601" s="40"/>
      <c r="F601" s="40"/>
      <c r="G601" s="35" t="str">
        <f aca="false">IF($A601="","",IF(ISNUMBER($G600),$G600+1,1))</f>
        <v/>
      </c>
      <c r="H601" s="36" t="str">
        <f aca="false">IF(OR(NOT(ISNUMBER($G601)),$G601&lt;2,NOT(ISNUMBER($C600)),$C600=0),"",$C601/$C600-1)</f>
        <v/>
      </c>
      <c r="I601" s="37" t="str">
        <f aca="false">IF(AND(ISNUMBER($G601),$G601&gt;=MA_SHORT),AVERAGE(INDEX($C$201:$C601,402-MA_SHORT):$C601),"")</f>
        <v/>
      </c>
      <c r="J601" s="37" t="str">
        <f aca="false">IF(AND(ISNUMBER($G601),$G601&gt;=MA_MED),AVERAGE(INDEX($C$201:$C601,402-MA_MED):$C601),"")</f>
        <v/>
      </c>
      <c r="K601" s="37" t="str">
        <f aca="false">IF(AND(ISNUMBER($G601),$G601&gt;=MA_LONG2),AVERAGE(INDEX($C$201:$C601,402-MA_LONG2):$C601),"")</f>
        <v/>
      </c>
      <c r="L601" s="38" t="str">
        <f aca="false">IF(AND(ISNUMBER($G601),$G601&gt;=21),STDEV(INDEX($H$541:$H601,62-20):$H601)*SQRT(245),"")</f>
        <v/>
      </c>
      <c r="M601" s="37" t="str">
        <f aca="false">IF(AND(ISNUMBER($G601),$G601&gt;=60),MAX(INDEX($D$401:$D601,202-60):$D601),"")</f>
        <v/>
      </c>
      <c r="N601" s="37" t="str">
        <f aca="false">IF(AND(ISNUMBER($G601),$G601&gt;=60),MIN(INDEX($E$401:$E601,202-60):$E601),"")</f>
        <v/>
      </c>
      <c r="O601" s="38" t="str">
        <f aca="false">IF(OR(NOT(ISNUMBER($C601)),NOT(ISNUMBER($M601)),$M601=0),"",$C601/$M601-1)</f>
        <v/>
      </c>
    </row>
    <row r="602" customFormat="false" ht="15" hidden="false" customHeight="true" outlineLevel="0" collapsed="false">
      <c r="A602" s="39"/>
      <c r="B602" s="40"/>
      <c r="C602" s="41"/>
      <c r="D602" s="40"/>
      <c r="E602" s="40"/>
      <c r="F602" s="40"/>
      <c r="G602" s="35" t="str">
        <f aca="false">IF($A602="","",IF(ISNUMBER($G601),$G601+1,1))</f>
        <v/>
      </c>
      <c r="H602" s="36" t="str">
        <f aca="false">IF(OR(NOT(ISNUMBER($G602)),$G602&lt;2,NOT(ISNUMBER($C601)),$C601=0),"",$C602/$C601-1)</f>
        <v/>
      </c>
      <c r="I602" s="37" t="str">
        <f aca="false">IF(AND(ISNUMBER($G602),$G602&gt;=MA_SHORT),AVERAGE(INDEX($C$202:$C602,402-MA_SHORT):$C602),"")</f>
        <v/>
      </c>
      <c r="J602" s="37" t="str">
        <f aca="false">IF(AND(ISNUMBER($G602),$G602&gt;=MA_MED),AVERAGE(INDEX($C$202:$C602,402-MA_MED):$C602),"")</f>
        <v/>
      </c>
      <c r="K602" s="37" t="str">
        <f aca="false">IF(AND(ISNUMBER($G602),$G602&gt;=MA_LONG2),AVERAGE(INDEX($C$202:$C602,402-MA_LONG2):$C602),"")</f>
        <v/>
      </c>
      <c r="L602" s="38" t="str">
        <f aca="false">IF(AND(ISNUMBER($G602),$G602&gt;=21),STDEV(INDEX($H$542:$H602,62-20):$H602)*SQRT(245),"")</f>
        <v/>
      </c>
      <c r="M602" s="37" t="str">
        <f aca="false">IF(AND(ISNUMBER($G602),$G602&gt;=60),MAX(INDEX($D$402:$D602,202-60):$D602),"")</f>
        <v/>
      </c>
      <c r="N602" s="37" t="str">
        <f aca="false">IF(AND(ISNUMBER($G602),$G602&gt;=60),MIN(INDEX($E$402:$E602,202-60):$E602),"")</f>
        <v/>
      </c>
      <c r="O602" s="38" t="str">
        <f aca="false">IF(OR(NOT(ISNUMBER($C602)),NOT(ISNUMBER($M602)),$M602=0),"",$C602/$M602-1)</f>
        <v/>
      </c>
    </row>
    <row r="603" customFormat="false" ht="15" hidden="false" customHeight="true" outlineLevel="0" collapsed="false">
      <c r="A603" s="39"/>
      <c r="B603" s="40"/>
      <c r="C603" s="41"/>
      <c r="D603" s="40"/>
      <c r="E603" s="40"/>
      <c r="F603" s="40"/>
      <c r="G603" s="35" t="str">
        <f aca="false">IF($A603="","",IF(ISNUMBER($G602),$G602+1,1))</f>
        <v/>
      </c>
      <c r="H603" s="36" t="str">
        <f aca="false">IF(OR(NOT(ISNUMBER($G603)),$G603&lt;2,NOT(ISNUMBER($C602)),$C602=0),"",$C603/$C602-1)</f>
        <v/>
      </c>
      <c r="I603" s="37" t="str">
        <f aca="false">IF(AND(ISNUMBER($G603),$G603&gt;=MA_SHORT),AVERAGE(INDEX($C$203:$C603,402-MA_SHORT):$C603),"")</f>
        <v/>
      </c>
      <c r="J603" s="37" t="str">
        <f aca="false">IF(AND(ISNUMBER($G603),$G603&gt;=MA_MED),AVERAGE(INDEX($C$203:$C603,402-MA_MED):$C603),"")</f>
        <v/>
      </c>
      <c r="K603" s="37" t="str">
        <f aca="false">IF(AND(ISNUMBER($G603),$G603&gt;=MA_LONG2),AVERAGE(INDEX($C$203:$C603,402-MA_LONG2):$C603),"")</f>
        <v/>
      </c>
      <c r="L603" s="38" t="str">
        <f aca="false">IF(AND(ISNUMBER($G603),$G603&gt;=21),STDEV(INDEX($H$543:$H603,62-20):$H603)*SQRT(245),"")</f>
        <v/>
      </c>
      <c r="M603" s="37" t="str">
        <f aca="false">IF(AND(ISNUMBER($G603),$G603&gt;=60),MAX(INDEX($D$403:$D603,202-60):$D603),"")</f>
        <v/>
      </c>
      <c r="N603" s="37" t="str">
        <f aca="false">IF(AND(ISNUMBER($G603),$G603&gt;=60),MIN(INDEX($E$403:$E603,202-60):$E603),"")</f>
        <v/>
      </c>
      <c r="O603" s="38" t="str">
        <f aca="false">IF(OR(NOT(ISNUMBER($C603)),NOT(ISNUMBER($M603)),$M603=0),"",$C603/$M603-1)</f>
        <v/>
      </c>
    </row>
    <row r="604" customFormat="false" ht="15" hidden="false" customHeight="true" outlineLevel="0" collapsed="false">
      <c r="A604" s="39"/>
      <c r="B604" s="40"/>
      <c r="C604" s="41"/>
      <c r="D604" s="40"/>
      <c r="E604" s="40"/>
      <c r="F604" s="40"/>
      <c r="G604" s="35" t="str">
        <f aca="false">IF($A604="","",IF(ISNUMBER($G603),$G603+1,1))</f>
        <v/>
      </c>
      <c r="H604" s="36" t="str">
        <f aca="false">IF(OR(NOT(ISNUMBER($G604)),$G604&lt;2,NOT(ISNUMBER($C603)),$C603=0),"",$C604/$C603-1)</f>
        <v/>
      </c>
      <c r="I604" s="37" t="str">
        <f aca="false">IF(AND(ISNUMBER($G604),$G604&gt;=MA_SHORT),AVERAGE(INDEX($C$204:$C604,402-MA_SHORT):$C604),"")</f>
        <v/>
      </c>
      <c r="J604" s="37" t="str">
        <f aca="false">IF(AND(ISNUMBER($G604),$G604&gt;=MA_MED),AVERAGE(INDEX($C$204:$C604,402-MA_MED):$C604),"")</f>
        <v/>
      </c>
      <c r="K604" s="37" t="str">
        <f aca="false">IF(AND(ISNUMBER($G604),$G604&gt;=MA_LONG2),AVERAGE(INDEX($C$204:$C604,402-MA_LONG2):$C604),"")</f>
        <v/>
      </c>
      <c r="L604" s="38" t="str">
        <f aca="false">IF(AND(ISNUMBER($G604),$G604&gt;=21),STDEV(INDEX($H$544:$H604,62-20):$H604)*SQRT(245),"")</f>
        <v/>
      </c>
      <c r="M604" s="37" t="str">
        <f aca="false">IF(AND(ISNUMBER($G604),$G604&gt;=60),MAX(INDEX($D$404:$D604,202-60):$D604),"")</f>
        <v/>
      </c>
      <c r="N604" s="37" t="str">
        <f aca="false">IF(AND(ISNUMBER($G604),$G604&gt;=60),MIN(INDEX($E$404:$E604,202-60):$E604),"")</f>
        <v/>
      </c>
      <c r="O604" s="38" t="str">
        <f aca="false">IF(OR(NOT(ISNUMBER($C604)),NOT(ISNUMBER($M604)),$M604=0),"",$C604/$M604-1)</f>
        <v/>
      </c>
    </row>
    <row r="605" customFormat="false" ht="15" hidden="false" customHeight="true" outlineLevel="0" collapsed="false">
      <c r="A605" s="39"/>
      <c r="B605" s="40"/>
      <c r="C605" s="41"/>
      <c r="D605" s="40"/>
      <c r="E605" s="40"/>
      <c r="F605" s="40"/>
      <c r="G605" s="35" t="str">
        <f aca="false">IF($A605="","",IF(ISNUMBER($G604),$G604+1,1))</f>
        <v/>
      </c>
      <c r="H605" s="36" t="str">
        <f aca="false">IF(OR(NOT(ISNUMBER($G605)),$G605&lt;2,NOT(ISNUMBER($C604)),$C604=0),"",$C605/$C604-1)</f>
        <v/>
      </c>
      <c r="I605" s="37" t="str">
        <f aca="false">IF(AND(ISNUMBER($G605),$G605&gt;=MA_SHORT),AVERAGE(INDEX($C$205:$C605,402-MA_SHORT):$C605),"")</f>
        <v/>
      </c>
      <c r="J605" s="37" t="str">
        <f aca="false">IF(AND(ISNUMBER($G605),$G605&gt;=MA_MED),AVERAGE(INDEX($C$205:$C605,402-MA_MED):$C605),"")</f>
        <v/>
      </c>
      <c r="K605" s="37" t="str">
        <f aca="false">IF(AND(ISNUMBER($G605),$G605&gt;=MA_LONG2),AVERAGE(INDEX($C$205:$C605,402-MA_LONG2):$C605),"")</f>
        <v/>
      </c>
      <c r="L605" s="38" t="str">
        <f aca="false">IF(AND(ISNUMBER($G605),$G605&gt;=21),STDEV(INDEX($H$545:$H605,62-20):$H605)*SQRT(245),"")</f>
        <v/>
      </c>
      <c r="M605" s="37" t="str">
        <f aca="false">IF(AND(ISNUMBER($G605),$G605&gt;=60),MAX(INDEX($D$405:$D605,202-60):$D605),"")</f>
        <v/>
      </c>
      <c r="N605" s="37" t="str">
        <f aca="false">IF(AND(ISNUMBER($G605),$G605&gt;=60),MIN(INDEX($E$405:$E605,202-60):$E605),"")</f>
        <v/>
      </c>
      <c r="O605" s="38" t="str">
        <f aca="false">IF(OR(NOT(ISNUMBER($C605)),NOT(ISNUMBER($M605)),$M605=0),"",$C605/$M605-1)</f>
        <v/>
      </c>
    </row>
    <row r="606" customFormat="false" ht="15" hidden="false" customHeight="true" outlineLevel="0" collapsed="false">
      <c r="A606" s="39"/>
      <c r="B606" s="40"/>
      <c r="C606" s="41"/>
      <c r="D606" s="40"/>
      <c r="E606" s="40"/>
      <c r="F606" s="40"/>
      <c r="G606" s="35" t="str">
        <f aca="false">IF($A606="","",IF(ISNUMBER($G605),$G605+1,1))</f>
        <v/>
      </c>
      <c r="H606" s="36" t="str">
        <f aca="false">IF(OR(NOT(ISNUMBER($G606)),$G606&lt;2,NOT(ISNUMBER($C605)),$C605=0),"",$C606/$C605-1)</f>
        <v/>
      </c>
      <c r="I606" s="37" t="str">
        <f aca="false">IF(AND(ISNUMBER($G606),$G606&gt;=MA_SHORT),AVERAGE(INDEX($C$206:$C606,402-MA_SHORT):$C606),"")</f>
        <v/>
      </c>
      <c r="J606" s="37" t="str">
        <f aca="false">IF(AND(ISNUMBER($G606),$G606&gt;=MA_MED),AVERAGE(INDEX($C$206:$C606,402-MA_MED):$C606),"")</f>
        <v/>
      </c>
      <c r="K606" s="37" t="str">
        <f aca="false">IF(AND(ISNUMBER($G606),$G606&gt;=MA_LONG2),AVERAGE(INDEX($C$206:$C606,402-MA_LONG2):$C606),"")</f>
        <v/>
      </c>
      <c r="L606" s="38" t="str">
        <f aca="false">IF(AND(ISNUMBER($G606),$G606&gt;=21),STDEV(INDEX($H$546:$H606,62-20):$H606)*SQRT(245),"")</f>
        <v/>
      </c>
      <c r="M606" s="37" t="str">
        <f aca="false">IF(AND(ISNUMBER($G606),$G606&gt;=60),MAX(INDEX($D$406:$D606,202-60):$D606),"")</f>
        <v/>
      </c>
      <c r="N606" s="37" t="str">
        <f aca="false">IF(AND(ISNUMBER($G606),$G606&gt;=60),MIN(INDEX($E$406:$E606,202-60):$E606),"")</f>
        <v/>
      </c>
      <c r="O606" s="38" t="str">
        <f aca="false">IF(OR(NOT(ISNUMBER($C606)),NOT(ISNUMBER($M606)),$M606=0),"",$C606/$M606-1)</f>
        <v/>
      </c>
    </row>
    <row r="607" customFormat="false" ht="15" hidden="false" customHeight="true" outlineLevel="0" collapsed="false">
      <c r="A607" s="39"/>
      <c r="B607" s="40"/>
      <c r="C607" s="41"/>
      <c r="D607" s="40"/>
      <c r="E607" s="40"/>
      <c r="F607" s="40"/>
      <c r="G607" s="35" t="str">
        <f aca="false">IF($A607="","",IF(ISNUMBER($G606),$G606+1,1))</f>
        <v/>
      </c>
      <c r="H607" s="36" t="str">
        <f aca="false">IF(OR(NOT(ISNUMBER($G607)),$G607&lt;2,NOT(ISNUMBER($C606)),$C606=0),"",$C607/$C606-1)</f>
        <v/>
      </c>
      <c r="I607" s="37" t="str">
        <f aca="false">IF(AND(ISNUMBER($G607),$G607&gt;=MA_SHORT),AVERAGE(INDEX($C$207:$C607,402-MA_SHORT):$C607),"")</f>
        <v/>
      </c>
      <c r="J607" s="37" t="str">
        <f aca="false">IF(AND(ISNUMBER($G607),$G607&gt;=MA_MED),AVERAGE(INDEX($C$207:$C607,402-MA_MED):$C607),"")</f>
        <v/>
      </c>
      <c r="K607" s="37" t="str">
        <f aca="false">IF(AND(ISNUMBER($G607),$G607&gt;=MA_LONG2),AVERAGE(INDEX($C$207:$C607,402-MA_LONG2):$C607),"")</f>
        <v/>
      </c>
      <c r="L607" s="38" t="str">
        <f aca="false">IF(AND(ISNUMBER($G607),$G607&gt;=21),STDEV(INDEX($H$547:$H607,62-20):$H607)*SQRT(245),"")</f>
        <v/>
      </c>
      <c r="M607" s="37" t="str">
        <f aca="false">IF(AND(ISNUMBER($G607),$G607&gt;=60),MAX(INDEX($D$407:$D607,202-60):$D607),"")</f>
        <v/>
      </c>
      <c r="N607" s="37" t="str">
        <f aca="false">IF(AND(ISNUMBER($G607),$G607&gt;=60),MIN(INDEX($E$407:$E607,202-60):$E607),"")</f>
        <v/>
      </c>
      <c r="O607" s="38" t="str">
        <f aca="false">IF(OR(NOT(ISNUMBER($C607)),NOT(ISNUMBER($M607)),$M607=0),"",$C607/$M607-1)</f>
        <v/>
      </c>
    </row>
    <row r="608" customFormat="false" ht="15" hidden="false" customHeight="true" outlineLevel="0" collapsed="false">
      <c r="A608" s="39"/>
      <c r="B608" s="40"/>
      <c r="C608" s="41"/>
      <c r="D608" s="40"/>
      <c r="E608" s="40"/>
      <c r="F608" s="40"/>
      <c r="G608" s="35" t="str">
        <f aca="false">IF($A608="","",IF(ISNUMBER($G607),$G607+1,1))</f>
        <v/>
      </c>
      <c r="H608" s="36" t="str">
        <f aca="false">IF(OR(NOT(ISNUMBER($G608)),$G608&lt;2,NOT(ISNUMBER($C607)),$C607=0),"",$C608/$C607-1)</f>
        <v/>
      </c>
      <c r="I608" s="37" t="str">
        <f aca="false">IF(AND(ISNUMBER($G608),$G608&gt;=MA_SHORT),AVERAGE(INDEX($C$208:$C608,402-MA_SHORT):$C608),"")</f>
        <v/>
      </c>
      <c r="J608" s="37" t="str">
        <f aca="false">IF(AND(ISNUMBER($G608),$G608&gt;=MA_MED),AVERAGE(INDEX($C$208:$C608,402-MA_MED):$C608),"")</f>
        <v/>
      </c>
      <c r="K608" s="37" t="str">
        <f aca="false">IF(AND(ISNUMBER($G608),$G608&gt;=MA_LONG2),AVERAGE(INDEX($C$208:$C608,402-MA_LONG2):$C608),"")</f>
        <v/>
      </c>
      <c r="L608" s="38" t="str">
        <f aca="false">IF(AND(ISNUMBER($G608),$G608&gt;=21),STDEV(INDEX($H$548:$H608,62-20):$H608)*SQRT(245),"")</f>
        <v/>
      </c>
      <c r="M608" s="37" t="str">
        <f aca="false">IF(AND(ISNUMBER($G608),$G608&gt;=60),MAX(INDEX($D$408:$D608,202-60):$D608),"")</f>
        <v/>
      </c>
      <c r="N608" s="37" t="str">
        <f aca="false">IF(AND(ISNUMBER($G608),$G608&gt;=60),MIN(INDEX($E$408:$E608,202-60):$E608),"")</f>
        <v/>
      </c>
      <c r="O608" s="38" t="str">
        <f aca="false">IF(OR(NOT(ISNUMBER($C608)),NOT(ISNUMBER($M608)),$M608=0),"",$C608/$M608-1)</f>
        <v/>
      </c>
    </row>
    <row r="609" customFormat="false" ht="15" hidden="false" customHeight="true" outlineLevel="0" collapsed="false">
      <c r="A609" s="39"/>
      <c r="B609" s="40"/>
      <c r="C609" s="41"/>
      <c r="D609" s="40"/>
      <c r="E609" s="40"/>
      <c r="F609" s="40"/>
      <c r="G609" s="35" t="str">
        <f aca="false">IF($A609="","",IF(ISNUMBER($G608),$G608+1,1))</f>
        <v/>
      </c>
      <c r="H609" s="36" t="str">
        <f aca="false">IF(OR(NOT(ISNUMBER($G609)),$G609&lt;2,NOT(ISNUMBER($C608)),$C608=0),"",$C609/$C608-1)</f>
        <v/>
      </c>
      <c r="I609" s="37" t="str">
        <f aca="false">IF(AND(ISNUMBER($G609),$G609&gt;=MA_SHORT),AVERAGE(INDEX($C$209:$C609,402-MA_SHORT):$C609),"")</f>
        <v/>
      </c>
      <c r="J609" s="37" t="str">
        <f aca="false">IF(AND(ISNUMBER($G609),$G609&gt;=MA_MED),AVERAGE(INDEX($C$209:$C609,402-MA_MED):$C609),"")</f>
        <v/>
      </c>
      <c r="K609" s="37" t="str">
        <f aca="false">IF(AND(ISNUMBER($G609),$G609&gt;=MA_LONG2),AVERAGE(INDEX($C$209:$C609,402-MA_LONG2):$C609),"")</f>
        <v/>
      </c>
      <c r="L609" s="38" t="str">
        <f aca="false">IF(AND(ISNUMBER($G609),$G609&gt;=21),STDEV(INDEX($H$549:$H609,62-20):$H609)*SQRT(245),"")</f>
        <v/>
      </c>
      <c r="M609" s="37" t="str">
        <f aca="false">IF(AND(ISNUMBER($G609),$G609&gt;=60),MAX(INDEX($D$409:$D609,202-60):$D609),"")</f>
        <v/>
      </c>
      <c r="N609" s="37" t="str">
        <f aca="false">IF(AND(ISNUMBER($G609),$G609&gt;=60),MIN(INDEX($E$409:$E609,202-60):$E609),"")</f>
        <v/>
      </c>
      <c r="O609" s="38" t="str">
        <f aca="false">IF(OR(NOT(ISNUMBER($C609)),NOT(ISNUMBER($M609)),$M609=0),"",$C609/$M609-1)</f>
        <v/>
      </c>
    </row>
    <row r="610" customFormat="false" ht="15" hidden="false" customHeight="true" outlineLevel="0" collapsed="false">
      <c r="A610" s="39"/>
      <c r="B610" s="40"/>
      <c r="C610" s="41"/>
      <c r="D610" s="40"/>
      <c r="E610" s="40"/>
      <c r="F610" s="40"/>
      <c r="G610" s="35" t="str">
        <f aca="false">IF($A610="","",IF(ISNUMBER($G609),$G609+1,1))</f>
        <v/>
      </c>
      <c r="H610" s="36" t="str">
        <f aca="false">IF(OR(NOT(ISNUMBER($G610)),$G610&lt;2,NOT(ISNUMBER($C609)),$C609=0),"",$C610/$C609-1)</f>
        <v/>
      </c>
      <c r="I610" s="37" t="str">
        <f aca="false">IF(AND(ISNUMBER($G610),$G610&gt;=MA_SHORT),AVERAGE(INDEX($C$210:$C610,402-MA_SHORT):$C610),"")</f>
        <v/>
      </c>
      <c r="J610" s="37" t="str">
        <f aca="false">IF(AND(ISNUMBER($G610),$G610&gt;=MA_MED),AVERAGE(INDEX($C$210:$C610,402-MA_MED):$C610),"")</f>
        <v/>
      </c>
      <c r="K610" s="37" t="str">
        <f aca="false">IF(AND(ISNUMBER($G610),$G610&gt;=MA_LONG2),AVERAGE(INDEX($C$210:$C610,402-MA_LONG2):$C610),"")</f>
        <v/>
      </c>
      <c r="L610" s="38" t="str">
        <f aca="false">IF(AND(ISNUMBER($G610),$G610&gt;=21),STDEV(INDEX($H$550:$H610,62-20):$H610)*SQRT(245),"")</f>
        <v/>
      </c>
      <c r="M610" s="37" t="str">
        <f aca="false">IF(AND(ISNUMBER($G610),$G610&gt;=60),MAX(INDEX($D$410:$D610,202-60):$D610),"")</f>
        <v/>
      </c>
      <c r="N610" s="37" t="str">
        <f aca="false">IF(AND(ISNUMBER($G610),$G610&gt;=60),MIN(INDEX($E$410:$E610,202-60):$E610),"")</f>
        <v/>
      </c>
      <c r="O610" s="38" t="str">
        <f aca="false">IF(OR(NOT(ISNUMBER($C610)),NOT(ISNUMBER($M610)),$M610=0),"",$C610/$M610-1)</f>
        <v/>
      </c>
    </row>
    <row r="611" customFormat="false" ht="15" hidden="false" customHeight="true" outlineLevel="0" collapsed="false">
      <c r="A611" s="39"/>
      <c r="B611" s="40"/>
      <c r="C611" s="41"/>
      <c r="D611" s="40"/>
      <c r="E611" s="40"/>
      <c r="F611" s="40"/>
      <c r="G611" s="35" t="str">
        <f aca="false">IF($A611="","",IF(ISNUMBER($G610),$G610+1,1))</f>
        <v/>
      </c>
      <c r="H611" s="36" t="str">
        <f aca="false">IF(OR(NOT(ISNUMBER($G611)),$G611&lt;2,NOT(ISNUMBER($C610)),$C610=0),"",$C611/$C610-1)</f>
        <v/>
      </c>
      <c r="I611" s="37" t="str">
        <f aca="false">IF(AND(ISNUMBER($G611),$G611&gt;=MA_SHORT),AVERAGE(INDEX($C$211:$C611,402-MA_SHORT):$C611),"")</f>
        <v/>
      </c>
      <c r="J611" s="37" t="str">
        <f aca="false">IF(AND(ISNUMBER($G611),$G611&gt;=MA_MED),AVERAGE(INDEX($C$211:$C611,402-MA_MED):$C611),"")</f>
        <v/>
      </c>
      <c r="K611" s="37" t="str">
        <f aca="false">IF(AND(ISNUMBER($G611),$G611&gt;=MA_LONG2),AVERAGE(INDEX($C$211:$C611,402-MA_LONG2):$C611),"")</f>
        <v/>
      </c>
      <c r="L611" s="38" t="str">
        <f aca="false">IF(AND(ISNUMBER($G611),$G611&gt;=21),STDEV(INDEX($H$551:$H611,62-20):$H611)*SQRT(245),"")</f>
        <v/>
      </c>
      <c r="M611" s="37" t="str">
        <f aca="false">IF(AND(ISNUMBER($G611),$G611&gt;=60),MAX(INDEX($D$411:$D611,202-60):$D611),"")</f>
        <v/>
      </c>
      <c r="N611" s="37" t="str">
        <f aca="false">IF(AND(ISNUMBER($G611),$G611&gt;=60),MIN(INDEX($E$411:$E611,202-60):$E611),"")</f>
        <v/>
      </c>
      <c r="O611" s="38" t="str">
        <f aca="false">IF(OR(NOT(ISNUMBER($C611)),NOT(ISNUMBER($M611)),$M611=0),"",$C611/$M611-1)</f>
        <v/>
      </c>
    </row>
    <row r="612" customFormat="false" ht="15" hidden="false" customHeight="true" outlineLevel="0" collapsed="false">
      <c r="A612" s="39"/>
      <c r="B612" s="40"/>
      <c r="C612" s="41"/>
      <c r="D612" s="40"/>
      <c r="E612" s="40"/>
      <c r="F612" s="40"/>
      <c r="G612" s="35" t="str">
        <f aca="false">IF($A612="","",IF(ISNUMBER($G611),$G611+1,1))</f>
        <v/>
      </c>
      <c r="H612" s="36" t="str">
        <f aca="false">IF(OR(NOT(ISNUMBER($G612)),$G612&lt;2,NOT(ISNUMBER($C611)),$C611=0),"",$C612/$C611-1)</f>
        <v/>
      </c>
      <c r="I612" s="37" t="str">
        <f aca="false">IF(AND(ISNUMBER($G612),$G612&gt;=MA_SHORT),AVERAGE(INDEX($C$212:$C612,402-MA_SHORT):$C612),"")</f>
        <v/>
      </c>
      <c r="J612" s="37" t="str">
        <f aca="false">IF(AND(ISNUMBER($G612),$G612&gt;=MA_MED),AVERAGE(INDEX($C$212:$C612,402-MA_MED):$C612),"")</f>
        <v/>
      </c>
      <c r="K612" s="37" t="str">
        <f aca="false">IF(AND(ISNUMBER($G612),$G612&gt;=MA_LONG2),AVERAGE(INDEX($C$212:$C612,402-MA_LONG2):$C612),"")</f>
        <v/>
      </c>
      <c r="L612" s="38" t="str">
        <f aca="false">IF(AND(ISNUMBER($G612),$G612&gt;=21),STDEV(INDEX($H$552:$H612,62-20):$H612)*SQRT(245),"")</f>
        <v/>
      </c>
      <c r="M612" s="37" t="str">
        <f aca="false">IF(AND(ISNUMBER($G612),$G612&gt;=60),MAX(INDEX($D$412:$D612,202-60):$D612),"")</f>
        <v/>
      </c>
      <c r="N612" s="37" t="str">
        <f aca="false">IF(AND(ISNUMBER($G612),$G612&gt;=60),MIN(INDEX($E$412:$E612,202-60):$E612),"")</f>
        <v/>
      </c>
      <c r="O612" s="38" t="str">
        <f aca="false">IF(OR(NOT(ISNUMBER($C612)),NOT(ISNUMBER($M612)),$M612=0),"",$C612/$M612-1)</f>
        <v/>
      </c>
    </row>
    <row r="613" customFormat="false" ht="15" hidden="false" customHeight="true" outlineLevel="0" collapsed="false">
      <c r="A613" s="39"/>
      <c r="B613" s="40"/>
      <c r="C613" s="41"/>
      <c r="D613" s="40"/>
      <c r="E613" s="40"/>
      <c r="F613" s="40"/>
      <c r="G613" s="35" t="str">
        <f aca="false">IF($A613="","",IF(ISNUMBER($G612),$G612+1,1))</f>
        <v/>
      </c>
      <c r="H613" s="36" t="str">
        <f aca="false">IF(OR(NOT(ISNUMBER($G613)),$G613&lt;2,NOT(ISNUMBER($C612)),$C612=0),"",$C613/$C612-1)</f>
        <v/>
      </c>
      <c r="I613" s="37" t="str">
        <f aca="false">IF(AND(ISNUMBER($G613),$G613&gt;=MA_SHORT),AVERAGE(INDEX($C$213:$C613,402-MA_SHORT):$C613),"")</f>
        <v/>
      </c>
      <c r="J613" s="37" t="str">
        <f aca="false">IF(AND(ISNUMBER($G613),$G613&gt;=MA_MED),AVERAGE(INDEX($C$213:$C613,402-MA_MED):$C613),"")</f>
        <v/>
      </c>
      <c r="K613" s="37" t="str">
        <f aca="false">IF(AND(ISNUMBER($G613),$G613&gt;=MA_LONG2),AVERAGE(INDEX($C$213:$C613,402-MA_LONG2):$C613),"")</f>
        <v/>
      </c>
      <c r="L613" s="38" t="str">
        <f aca="false">IF(AND(ISNUMBER($G613),$G613&gt;=21),STDEV(INDEX($H$553:$H613,62-20):$H613)*SQRT(245),"")</f>
        <v/>
      </c>
      <c r="M613" s="37" t="str">
        <f aca="false">IF(AND(ISNUMBER($G613),$G613&gt;=60),MAX(INDEX($D$413:$D613,202-60):$D613),"")</f>
        <v/>
      </c>
      <c r="N613" s="37" t="str">
        <f aca="false">IF(AND(ISNUMBER($G613),$G613&gt;=60),MIN(INDEX($E$413:$E613,202-60):$E613),"")</f>
        <v/>
      </c>
      <c r="O613" s="38" t="str">
        <f aca="false">IF(OR(NOT(ISNUMBER($C613)),NOT(ISNUMBER($M613)),$M613=0),"",$C613/$M613-1)</f>
        <v/>
      </c>
    </row>
    <row r="614" customFormat="false" ht="15" hidden="false" customHeight="true" outlineLevel="0" collapsed="false">
      <c r="A614" s="39"/>
      <c r="B614" s="40"/>
      <c r="C614" s="41"/>
      <c r="D614" s="40"/>
      <c r="E614" s="40"/>
      <c r="F614" s="40"/>
      <c r="G614" s="35" t="str">
        <f aca="false">IF($A614="","",IF(ISNUMBER($G613),$G613+1,1))</f>
        <v/>
      </c>
      <c r="H614" s="36" t="str">
        <f aca="false">IF(OR(NOT(ISNUMBER($G614)),$G614&lt;2,NOT(ISNUMBER($C613)),$C613=0),"",$C614/$C613-1)</f>
        <v/>
      </c>
      <c r="I614" s="37" t="str">
        <f aca="false">IF(AND(ISNUMBER($G614),$G614&gt;=MA_SHORT),AVERAGE(INDEX($C$214:$C614,402-MA_SHORT):$C614),"")</f>
        <v/>
      </c>
      <c r="J614" s="37" t="str">
        <f aca="false">IF(AND(ISNUMBER($G614),$G614&gt;=MA_MED),AVERAGE(INDEX($C$214:$C614,402-MA_MED):$C614),"")</f>
        <v/>
      </c>
      <c r="K614" s="37" t="str">
        <f aca="false">IF(AND(ISNUMBER($G614),$G614&gt;=MA_LONG2),AVERAGE(INDEX($C$214:$C614,402-MA_LONG2):$C614),"")</f>
        <v/>
      </c>
      <c r="L614" s="38" t="str">
        <f aca="false">IF(AND(ISNUMBER($G614),$G614&gt;=21),STDEV(INDEX($H$554:$H614,62-20):$H614)*SQRT(245),"")</f>
        <v/>
      </c>
      <c r="M614" s="37" t="str">
        <f aca="false">IF(AND(ISNUMBER($G614),$G614&gt;=60),MAX(INDEX($D$414:$D614,202-60):$D614),"")</f>
        <v/>
      </c>
      <c r="N614" s="37" t="str">
        <f aca="false">IF(AND(ISNUMBER($G614),$G614&gt;=60),MIN(INDEX($E$414:$E614,202-60):$E614),"")</f>
        <v/>
      </c>
      <c r="O614" s="38" t="str">
        <f aca="false">IF(OR(NOT(ISNUMBER($C614)),NOT(ISNUMBER($M614)),$M614=0),"",$C614/$M614-1)</f>
        <v/>
      </c>
    </row>
    <row r="615" customFormat="false" ht="15" hidden="false" customHeight="true" outlineLevel="0" collapsed="false">
      <c r="A615" s="39"/>
      <c r="B615" s="40"/>
      <c r="C615" s="41"/>
      <c r="D615" s="40"/>
      <c r="E615" s="40"/>
      <c r="F615" s="40"/>
      <c r="G615" s="35" t="str">
        <f aca="false">IF($A615="","",IF(ISNUMBER($G614),$G614+1,1))</f>
        <v/>
      </c>
      <c r="H615" s="36" t="str">
        <f aca="false">IF(OR(NOT(ISNUMBER($G615)),$G615&lt;2,NOT(ISNUMBER($C614)),$C614=0),"",$C615/$C614-1)</f>
        <v/>
      </c>
      <c r="I615" s="37" t="str">
        <f aca="false">IF(AND(ISNUMBER($G615),$G615&gt;=MA_SHORT),AVERAGE(INDEX($C$215:$C615,402-MA_SHORT):$C615),"")</f>
        <v/>
      </c>
      <c r="J615" s="37" t="str">
        <f aca="false">IF(AND(ISNUMBER($G615),$G615&gt;=MA_MED),AVERAGE(INDEX($C$215:$C615,402-MA_MED):$C615),"")</f>
        <v/>
      </c>
      <c r="K615" s="37" t="str">
        <f aca="false">IF(AND(ISNUMBER($G615),$G615&gt;=MA_LONG2),AVERAGE(INDEX($C$215:$C615,402-MA_LONG2):$C615),"")</f>
        <v/>
      </c>
      <c r="L615" s="38" t="str">
        <f aca="false">IF(AND(ISNUMBER($G615),$G615&gt;=21),STDEV(INDEX($H$555:$H615,62-20):$H615)*SQRT(245),"")</f>
        <v/>
      </c>
      <c r="M615" s="37" t="str">
        <f aca="false">IF(AND(ISNUMBER($G615),$G615&gt;=60),MAX(INDEX($D$415:$D615,202-60):$D615),"")</f>
        <v/>
      </c>
      <c r="N615" s="37" t="str">
        <f aca="false">IF(AND(ISNUMBER($G615),$G615&gt;=60),MIN(INDEX($E$415:$E615,202-60):$E615),"")</f>
        <v/>
      </c>
      <c r="O615" s="38" t="str">
        <f aca="false">IF(OR(NOT(ISNUMBER($C615)),NOT(ISNUMBER($M615)),$M615=0),"",$C615/$M615-1)</f>
        <v/>
      </c>
    </row>
    <row r="616" customFormat="false" ht="15" hidden="false" customHeight="true" outlineLevel="0" collapsed="false">
      <c r="A616" s="39"/>
      <c r="B616" s="40"/>
      <c r="C616" s="41"/>
      <c r="D616" s="40"/>
      <c r="E616" s="40"/>
      <c r="F616" s="40"/>
      <c r="G616" s="35" t="str">
        <f aca="false">IF($A616="","",IF(ISNUMBER($G615),$G615+1,1))</f>
        <v/>
      </c>
      <c r="H616" s="36" t="str">
        <f aca="false">IF(OR(NOT(ISNUMBER($G616)),$G616&lt;2,NOT(ISNUMBER($C615)),$C615=0),"",$C616/$C615-1)</f>
        <v/>
      </c>
      <c r="I616" s="37" t="str">
        <f aca="false">IF(AND(ISNUMBER($G616),$G616&gt;=MA_SHORT),AVERAGE(INDEX($C$216:$C616,402-MA_SHORT):$C616),"")</f>
        <v/>
      </c>
      <c r="J616" s="37" t="str">
        <f aca="false">IF(AND(ISNUMBER($G616),$G616&gt;=MA_MED),AVERAGE(INDEX($C$216:$C616,402-MA_MED):$C616),"")</f>
        <v/>
      </c>
      <c r="K616" s="37" t="str">
        <f aca="false">IF(AND(ISNUMBER($G616),$G616&gt;=MA_LONG2),AVERAGE(INDEX($C$216:$C616,402-MA_LONG2):$C616),"")</f>
        <v/>
      </c>
      <c r="L616" s="38" t="str">
        <f aca="false">IF(AND(ISNUMBER($G616),$G616&gt;=21),STDEV(INDEX($H$556:$H616,62-20):$H616)*SQRT(245),"")</f>
        <v/>
      </c>
      <c r="M616" s="37" t="str">
        <f aca="false">IF(AND(ISNUMBER($G616),$G616&gt;=60),MAX(INDEX($D$416:$D616,202-60):$D616),"")</f>
        <v/>
      </c>
      <c r="N616" s="37" t="str">
        <f aca="false">IF(AND(ISNUMBER($G616),$G616&gt;=60),MIN(INDEX($E$416:$E616,202-60):$E616),"")</f>
        <v/>
      </c>
      <c r="O616" s="38" t="str">
        <f aca="false">IF(OR(NOT(ISNUMBER($C616)),NOT(ISNUMBER($M616)),$M616=0),"",$C616/$M616-1)</f>
        <v/>
      </c>
    </row>
    <row r="617" customFormat="false" ht="15" hidden="false" customHeight="true" outlineLevel="0" collapsed="false">
      <c r="A617" s="39"/>
      <c r="B617" s="40"/>
      <c r="C617" s="41"/>
      <c r="D617" s="40"/>
      <c r="E617" s="40"/>
      <c r="F617" s="40"/>
      <c r="G617" s="35" t="str">
        <f aca="false">IF($A617="","",IF(ISNUMBER($G616),$G616+1,1))</f>
        <v/>
      </c>
      <c r="H617" s="36" t="str">
        <f aca="false">IF(OR(NOT(ISNUMBER($G617)),$G617&lt;2,NOT(ISNUMBER($C616)),$C616=0),"",$C617/$C616-1)</f>
        <v/>
      </c>
      <c r="I617" s="37" t="str">
        <f aca="false">IF(AND(ISNUMBER($G617),$G617&gt;=MA_SHORT),AVERAGE(INDEX($C$217:$C617,402-MA_SHORT):$C617),"")</f>
        <v/>
      </c>
      <c r="J617" s="37" t="str">
        <f aca="false">IF(AND(ISNUMBER($G617),$G617&gt;=MA_MED),AVERAGE(INDEX($C$217:$C617,402-MA_MED):$C617),"")</f>
        <v/>
      </c>
      <c r="K617" s="37" t="str">
        <f aca="false">IF(AND(ISNUMBER($G617),$G617&gt;=MA_LONG2),AVERAGE(INDEX($C$217:$C617,402-MA_LONG2):$C617),"")</f>
        <v/>
      </c>
      <c r="L617" s="38" t="str">
        <f aca="false">IF(AND(ISNUMBER($G617),$G617&gt;=21),STDEV(INDEX($H$557:$H617,62-20):$H617)*SQRT(245),"")</f>
        <v/>
      </c>
      <c r="M617" s="37" t="str">
        <f aca="false">IF(AND(ISNUMBER($G617),$G617&gt;=60),MAX(INDEX($D$417:$D617,202-60):$D617),"")</f>
        <v/>
      </c>
      <c r="N617" s="37" t="str">
        <f aca="false">IF(AND(ISNUMBER($G617),$G617&gt;=60),MIN(INDEX($E$417:$E617,202-60):$E617),"")</f>
        <v/>
      </c>
      <c r="O617" s="38" t="str">
        <f aca="false">IF(OR(NOT(ISNUMBER($C617)),NOT(ISNUMBER($M617)),$M617=0),"",$C617/$M617-1)</f>
        <v/>
      </c>
    </row>
    <row r="618" customFormat="false" ht="15" hidden="false" customHeight="true" outlineLevel="0" collapsed="false">
      <c r="A618" s="39"/>
      <c r="B618" s="40"/>
      <c r="C618" s="41"/>
      <c r="D618" s="40"/>
      <c r="E618" s="40"/>
      <c r="F618" s="40"/>
      <c r="G618" s="35" t="str">
        <f aca="false">IF($A618="","",IF(ISNUMBER($G617),$G617+1,1))</f>
        <v/>
      </c>
      <c r="H618" s="36" t="str">
        <f aca="false">IF(OR(NOT(ISNUMBER($G618)),$G618&lt;2,NOT(ISNUMBER($C617)),$C617=0),"",$C618/$C617-1)</f>
        <v/>
      </c>
      <c r="I618" s="37" t="str">
        <f aca="false">IF(AND(ISNUMBER($G618),$G618&gt;=MA_SHORT),AVERAGE(INDEX($C$218:$C618,402-MA_SHORT):$C618),"")</f>
        <v/>
      </c>
      <c r="J618" s="37" t="str">
        <f aca="false">IF(AND(ISNUMBER($G618),$G618&gt;=MA_MED),AVERAGE(INDEX($C$218:$C618,402-MA_MED):$C618),"")</f>
        <v/>
      </c>
      <c r="K618" s="37" t="str">
        <f aca="false">IF(AND(ISNUMBER($G618),$G618&gt;=MA_LONG2),AVERAGE(INDEX($C$218:$C618,402-MA_LONG2):$C618),"")</f>
        <v/>
      </c>
      <c r="L618" s="38" t="str">
        <f aca="false">IF(AND(ISNUMBER($G618),$G618&gt;=21),STDEV(INDEX($H$558:$H618,62-20):$H618)*SQRT(245),"")</f>
        <v/>
      </c>
      <c r="M618" s="37" t="str">
        <f aca="false">IF(AND(ISNUMBER($G618),$G618&gt;=60),MAX(INDEX($D$418:$D618,202-60):$D618),"")</f>
        <v/>
      </c>
      <c r="N618" s="37" t="str">
        <f aca="false">IF(AND(ISNUMBER($G618),$G618&gt;=60),MIN(INDEX($E$418:$E618,202-60):$E618),"")</f>
        <v/>
      </c>
      <c r="O618" s="38" t="str">
        <f aca="false">IF(OR(NOT(ISNUMBER($C618)),NOT(ISNUMBER($M618)),$M618=0),"",$C618/$M618-1)</f>
        <v/>
      </c>
    </row>
    <row r="619" customFormat="false" ht="15" hidden="false" customHeight="true" outlineLevel="0" collapsed="false">
      <c r="A619" s="39"/>
      <c r="B619" s="40"/>
      <c r="C619" s="41"/>
      <c r="D619" s="40"/>
      <c r="E619" s="40"/>
      <c r="F619" s="40"/>
      <c r="G619" s="35" t="str">
        <f aca="false">IF($A619="","",IF(ISNUMBER($G618),$G618+1,1))</f>
        <v/>
      </c>
      <c r="H619" s="36" t="str">
        <f aca="false">IF(OR(NOT(ISNUMBER($G619)),$G619&lt;2,NOT(ISNUMBER($C618)),$C618=0),"",$C619/$C618-1)</f>
        <v/>
      </c>
      <c r="I619" s="37" t="str">
        <f aca="false">IF(AND(ISNUMBER($G619),$G619&gt;=MA_SHORT),AVERAGE(INDEX($C$219:$C619,402-MA_SHORT):$C619),"")</f>
        <v/>
      </c>
      <c r="J619" s="37" t="str">
        <f aca="false">IF(AND(ISNUMBER($G619),$G619&gt;=MA_MED),AVERAGE(INDEX($C$219:$C619,402-MA_MED):$C619),"")</f>
        <v/>
      </c>
      <c r="K619" s="37" t="str">
        <f aca="false">IF(AND(ISNUMBER($G619),$G619&gt;=MA_LONG2),AVERAGE(INDEX($C$219:$C619,402-MA_LONG2):$C619),"")</f>
        <v/>
      </c>
      <c r="L619" s="38" t="str">
        <f aca="false">IF(AND(ISNUMBER($G619),$G619&gt;=21),STDEV(INDEX($H$559:$H619,62-20):$H619)*SQRT(245),"")</f>
        <v/>
      </c>
      <c r="M619" s="37" t="str">
        <f aca="false">IF(AND(ISNUMBER($G619),$G619&gt;=60),MAX(INDEX($D$419:$D619,202-60):$D619),"")</f>
        <v/>
      </c>
      <c r="N619" s="37" t="str">
        <f aca="false">IF(AND(ISNUMBER($G619),$G619&gt;=60),MIN(INDEX($E$419:$E619,202-60):$E619),"")</f>
        <v/>
      </c>
      <c r="O619" s="38" t="str">
        <f aca="false">IF(OR(NOT(ISNUMBER($C619)),NOT(ISNUMBER($M619)),$M619=0),"",$C619/$M619-1)</f>
        <v/>
      </c>
    </row>
    <row r="620" customFormat="false" ht="15" hidden="false" customHeight="true" outlineLevel="0" collapsed="false">
      <c r="A620" s="39"/>
      <c r="B620" s="40"/>
      <c r="C620" s="41"/>
      <c r="D620" s="40"/>
      <c r="E620" s="40"/>
      <c r="F620" s="40"/>
      <c r="G620" s="35" t="str">
        <f aca="false">IF($A620="","",IF(ISNUMBER($G619),$G619+1,1))</f>
        <v/>
      </c>
      <c r="H620" s="36" t="str">
        <f aca="false">IF(OR(NOT(ISNUMBER($G620)),$G620&lt;2,NOT(ISNUMBER($C619)),$C619=0),"",$C620/$C619-1)</f>
        <v/>
      </c>
      <c r="I620" s="37" t="str">
        <f aca="false">IF(AND(ISNUMBER($G620),$G620&gt;=MA_SHORT),AVERAGE(INDEX($C$220:$C620,402-MA_SHORT):$C620),"")</f>
        <v/>
      </c>
      <c r="J620" s="37" t="str">
        <f aca="false">IF(AND(ISNUMBER($G620),$G620&gt;=MA_MED),AVERAGE(INDEX($C$220:$C620,402-MA_MED):$C620),"")</f>
        <v/>
      </c>
      <c r="K620" s="37" t="str">
        <f aca="false">IF(AND(ISNUMBER($G620),$G620&gt;=MA_LONG2),AVERAGE(INDEX($C$220:$C620,402-MA_LONG2):$C620),"")</f>
        <v/>
      </c>
      <c r="L620" s="38" t="str">
        <f aca="false">IF(AND(ISNUMBER($G620),$G620&gt;=21),STDEV(INDEX($H$560:$H620,62-20):$H620)*SQRT(245),"")</f>
        <v/>
      </c>
      <c r="M620" s="37" t="str">
        <f aca="false">IF(AND(ISNUMBER($G620),$G620&gt;=60),MAX(INDEX($D$420:$D620,202-60):$D620),"")</f>
        <v/>
      </c>
      <c r="N620" s="37" t="str">
        <f aca="false">IF(AND(ISNUMBER($G620),$G620&gt;=60),MIN(INDEX($E$420:$E620,202-60):$E620),"")</f>
        <v/>
      </c>
      <c r="O620" s="38" t="str">
        <f aca="false">IF(OR(NOT(ISNUMBER($C620)),NOT(ISNUMBER($M620)),$M620=0),"",$C620/$M620-1)</f>
        <v/>
      </c>
    </row>
    <row r="621" customFormat="false" ht="15" hidden="false" customHeight="true" outlineLevel="0" collapsed="false">
      <c r="A621" s="39"/>
      <c r="B621" s="40"/>
      <c r="C621" s="41"/>
      <c r="D621" s="40"/>
      <c r="E621" s="40"/>
      <c r="F621" s="40"/>
      <c r="G621" s="35" t="str">
        <f aca="false">IF($A621="","",IF(ISNUMBER($G620),$G620+1,1))</f>
        <v/>
      </c>
      <c r="H621" s="36" t="str">
        <f aca="false">IF(OR(NOT(ISNUMBER($G621)),$G621&lt;2,NOT(ISNUMBER($C620)),$C620=0),"",$C621/$C620-1)</f>
        <v/>
      </c>
      <c r="I621" s="37" t="str">
        <f aca="false">IF(AND(ISNUMBER($G621),$G621&gt;=MA_SHORT),AVERAGE(INDEX($C$221:$C621,402-MA_SHORT):$C621),"")</f>
        <v/>
      </c>
      <c r="J621" s="37" t="str">
        <f aca="false">IF(AND(ISNUMBER($G621),$G621&gt;=MA_MED),AVERAGE(INDEX($C$221:$C621,402-MA_MED):$C621),"")</f>
        <v/>
      </c>
      <c r="K621" s="37" t="str">
        <f aca="false">IF(AND(ISNUMBER($G621),$G621&gt;=MA_LONG2),AVERAGE(INDEX($C$221:$C621,402-MA_LONG2):$C621),"")</f>
        <v/>
      </c>
      <c r="L621" s="38" t="str">
        <f aca="false">IF(AND(ISNUMBER($G621),$G621&gt;=21),STDEV(INDEX($H$561:$H621,62-20):$H621)*SQRT(245),"")</f>
        <v/>
      </c>
      <c r="M621" s="37" t="str">
        <f aca="false">IF(AND(ISNUMBER($G621),$G621&gt;=60),MAX(INDEX($D$421:$D621,202-60):$D621),"")</f>
        <v/>
      </c>
      <c r="N621" s="37" t="str">
        <f aca="false">IF(AND(ISNUMBER($G621),$G621&gt;=60),MIN(INDEX($E$421:$E621,202-60):$E621),"")</f>
        <v/>
      </c>
      <c r="O621" s="38" t="str">
        <f aca="false">IF(OR(NOT(ISNUMBER($C621)),NOT(ISNUMBER($M621)),$M621=0),"",$C621/$M621-1)</f>
        <v/>
      </c>
    </row>
    <row r="622" customFormat="false" ht="15" hidden="false" customHeight="true" outlineLevel="0" collapsed="false">
      <c r="A622" s="39"/>
      <c r="B622" s="40"/>
      <c r="C622" s="41"/>
      <c r="D622" s="40"/>
      <c r="E622" s="40"/>
      <c r="F622" s="40"/>
      <c r="G622" s="35" t="str">
        <f aca="false">IF($A622="","",IF(ISNUMBER($G621),$G621+1,1))</f>
        <v/>
      </c>
      <c r="H622" s="36" t="str">
        <f aca="false">IF(OR(NOT(ISNUMBER($G622)),$G622&lt;2,NOT(ISNUMBER($C621)),$C621=0),"",$C622/$C621-1)</f>
        <v/>
      </c>
      <c r="I622" s="37" t="str">
        <f aca="false">IF(AND(ISNUMBER($G622),$G622&gt;=MA_SHORT),AVERAGE(INDEX($C$222:$C622,402-MA_SHORT):$C622),"")</f>
        <v/>
      </c>
      <c r="J622" s="37" t="str">
        <f aca="false">IF(AND(ISNUMBER($G622),$G622&gt;=MA_MED),AVERAGE(INDEX($C$222:$C622,402-MA_MED):$C622),"")</f>
        <v/>
      </c>
      <c r="K622" s="37" t="str">
        <f aca="false">IF(AND(ISNUMBER($G622),$G622&gt;=MA_LONG2),AVERAGE(INDEX($C$222:$C622,402-MA_LONG2):$C622),"")</f>
        <v/>
      </c>
      <c r="L622" s="38" t="str">
        <f aca="false">IF(AND(ISNUMBER($G622),$G622&gt;=21),STDEV(INDEX($H$562:$H622,62-20):$H622)*SQRT(245),"")</f>
        <v/>
      </c>
      <c r="M622" s="37" t="str">
        <f aca="false">IF(AND(ISNUMBER($G622),$G622&gt;=60),MAX(INDEX($D$422:$D622,202-60):$D622),"")</f>
        <v/>
      </c>
      <c r="N622" s="37" t="str">
        <f aca="false">IF(AND(ISNUMBER($G622),$G622&gt;=60),MIN(INDEX($E$422:$E622,202-60):$E622),"")</f>
        <v/>
      </c>
      <c r="O622" s="38" t="str">
        <f aca="false">IF(OR(NOT(ISNUMBER($C622)),NOT(ISNUMBER($M622)),$M622=0),"",$C622/$M622-1)</f>
        <v/>
      </c>
    </row>
    <row r="623" customFormat="false" ht="15" hidden="false" customHeight="true" outlineLevel="0" collapsed="false">
      <c r="A623" s="39"/>
      <c r="B623" s="40"/>
      <c r="C623" s="41"/>
      <c r="D623" s="40"/>
      <c r="E623" s="40"/>
      <c r="F623" s="40"/>
      <c r="G623" s="35" t="str">
        <f aca="false">IF($A623="","",IF(ISNUMBER($G622),$G622+1,1))</f>
        <v/>
      </c>
      <c r="H623" s="36" t="str">
        <f aca="false">IF(OR(NOT(ISNUMBER($G623)),$G623&lt;2,NOT(ISNUMBER($C622)),$C622=0),"",$C623/$C622-1)</f>
        <v/>
      </c>
      <c r="I623" s="37" t="str">
        <f aca="false">IF(AND(ISNUMBER($G623),$G623&gt;=MA_SHORT),AVERAGE(INDEX($C$223:$C623,402-MA_SHORT):$C623),"")</f>
        <v/>
      </c>
      <c r="J623" s="37" t="str">
        <f aca="false">IF(AND(ISNUMBER($G623),$G623&gt;=MA_MED),AVERAGE(INDEX($C$223:$C623,402-MA_MED):$C623),"")</f>
        <v/>
      </c>
      <c r="K623" s="37" t="str">
        <f aca="false">IF(AND(ISNUMBER($G623),$G623&gt;=MA_LONG2),AVERAGE(INDEX($C$223:$C623,402-MA_LONG2):$C623),"")</f>
        <v/>
      </c>
      <c r="L623" s="38" t="str">
        <f aca="false">IF(AND(ISNUMBER($G623),$G623&gt;=21),STDEV(INDEX($H$563:$H623,62-20):$H623)*SQRT(245),"")</f>
        <v/>
      </c>
      <c r="M623" s="37" t="str">
        <f aca="false">IF(AND(ISNUMBER($G623),$G623&gt;=60),MAX(INDEX($D$423:$D623,202-60):$D623),"")</f>
        <v/>
      </c>
      <c r="N623" s="37" t="str">
        <f aca="false">IF(AND(ISNUMBER($G623),$G623&gt;=60),MIN(INDEX($E$423:$E623,202-60):$E623),"")</f>
        <v/>
      </c>
      <c r="O623" s="38" t="str">
        <f aca="false">IF(OR(NOT(ISNUMBER($C623)),NOT(ISNUMBER($M623)),$M623=0),"",$C623/$M623-1)</f>
        <v/>
      </c>
    </row>
    <row r="624" customFormat="false" ht="15" hidden="false" customHeight="true" outlineLevel="0" collapsed="false">
      <c r="A624" s="39"/>
      <c r="B624" s="40"/>
      <c r="C624" s="41"/>
      <c r="D624" s="40"/>
      <c r="E624" s="40"/>
      <c r="F624" s="40"/>
      <c r="G624" s="35" t="str">
        <f aca="false">IF($A624="","",IF(ISNUMBER($G623),$G623+1,1))</f>
        <v/>
      </c>
      <c r="H624" s="36" t="str">
        <f aca="false">IF(OR(NOT(ISNUMBER($G624)),$G624&lt;2,NOT(ISNUMBER($C623)),$C623=0),"",$C624/$C623-1)</f>
        <v/>
      </c>
      <c r="I624" s="37" t="str">
        <f aca="false">IF(AND(ISNUMBER($G624),$G624&gt;=MA_SHORT),AVERAGE(INDEX($C$224:$C624,402-MA_SHORT):$C624),"")</f>
        <v/>
      </c>
      <c r="J624" s="37" t="str">
        <f aca="false">IF(AND(ISNUMBER($G624),$G624&gt;=MA_MED),AVERAGE(INDEX($C$224:$C624,402-MA_MED):$C624),"")</f>
        <v/>
      </c>
      <c r="K624" s="37" t="str">
        <f aca="false">IF(AND(ISNUMBER($G624),$G624&gt;=MA_LONG2),AVERAGE(INDEX($C$224:$C624,402-MA_LONG2):$C624),"")</f>
        <v/>
      </c>
      <c r="L624" s="38" t="str">
        <f aca="false">IF(AND(ISNUMBER($G624),$G624&gt;=21),STDEV(INDEX($H$564:$H624,62-20):$H624)*SQRT(245),"")</f>
        <v/>
      </c>
      <c r="M624" s="37" t="str">
        <f aca="false">IF(AND(ISNUMBER($G624),$G624&gt;=60),MAX(INDEX($D$424:$D624,202-60):$D624),"")</f>
        <v/>
      </c>
      <c r="N624" s="37" t="str">
        <f aca="false">IF(AND(ISNUMBER($G624),$G624&gt;=60),MIN(INDEX($E$424:$E624,202-60):$E624),"")</f>
        <v/>
      </c>
      <c r="O624" s="38" t="str">
        <f aca="false">IF(OR(NOT(ISNUMBER($C624)),NOT(ISNUMBER($M624)),$M624=0),"",$C624/$M624-1)</f>
        <v/>
      </c>
    </row>
    <row r="625" customFormat="false" ht="15" hidden="false" customHeight="true" outlineLevel="0" collapsed="false">
      <c r="A625" s="39"/>
      <c r="B625" s="40"/>
      <c r="C625" s="41"/>
      <c r="D625" s="40"/>
      <c r="E625" s="40"/>
      <c r="F625" s="40"/>
      <c r="G625" s="35" t="str">
        <f aca="false">IF($A625="","",IF(ISNUMBER($G624),$G624+1,1))</f>
        <v/>
      </c>
      <c r="H625" s="36" t="str">
        <f aca="false">IF(OR(NOT(ISNUMBER($G625)),$G625&lt;2,NOT(ISNUMBER($C624)),$C624=0),"",$C625/$C624-1)</f>
        <v/>
      </c>
      <c r="I625" s="37" t="str">
        <f aca="false">IF(AND(ISNUMBER($G625),$G625&gt;=MA_SHORT),AVERAGE(INDEX($C$225:$C625,402-MA_SHORT):$C625),"")</f>
        <v/>
      </c>
      <c r="J625" s="37" t="str">
        <f aca="false">IF(AND(ISNUMBER($G625),$G625&gt;=MA_MED),AVERAGE(INDEX($C$225:$C625,402-MA_MED):$C625),"")</f>
        <v/>
      </c>
      <c r="K625" s="37" t="str">
        <f aca="false">IF(AND(ISNUMBER($G625),$G625&gt;=MA_LONG2),AVERAGE(INDEX($C$225:$C625,402-MA_LONG2):$C625),"")</f>
        <v/>
      </c>
      <c r="L625" s="38" t="str">
        <f aca="false">IF(AND(ISNUMBER($G625),$G625&gt;=21),STDEV(INDEX($H$565:$H625,62-20):$H625)*SQRT(245),"")</f>
        <v/>
      </c>
      <c r="M625" s="37" t="str">
        <f aca="false">IF(AND(ISNUMBER($G625),$G625&gt;=60),MAX(INDEX($D$425:$D625,202-60):$D625),"")</f>
        <v/>
      </c>
      <c r="N625" s="37" t="str">
        <f aca="false">IF(AND(ISNUMBER($G625),$G625&gt;=60),MIN(INDEX($E$425:$E625,202-60):$E625),"")</f>
        <v/>
      </c>
      <c r="O625" s="38" t="str">
        <f aca="false">IF(OR(NOT(ISNUMBER($C625)),NOT(ISNUMBER($M625)),$M625=0),"",$C625/$M625-1)</f>
        <v/>
      </c>
    </row>
    <row r="626" customFormat="false" ht="15" hidden="false" customHeight="true" outlineLevel="0" collapsed="false">
      <c r="A626" s="39"/>
      <c r="B626" s="40"/>
      <c r="C626" s="41"/>
      <c r="D626" s="40"/>
      <c r="E626" s="40"/>
      <c r="F626" s="40"/>
      <c r="G626" s="35" t="str">
        <f aca="false">IF($A626="","",IF(ISNUMBER($G625),$G625+1,1))</f>
        <v/>
      </c>
      <c r="H626" s="36" t="str">
        <f aca="false">IF(OR(NOT(ISNUMBER($G626)),$G626&lt;2,NOT(ISNUMBER($C625)),$C625=0),"",$C626/$C625-1)</f>
        <v/>
      </c>
      <c r="I626" s="37" t="str">
        <f aca="false">IF(AND(ISNUMBER($G626),$G626&gt;=MA_SHORT),AVERAGE(INDEX($C$226:$C626,402-MA_SHORT):$C626),"")</f>
        <v/>
      </c>
      <c r="J626" s="37" t="str">
        <f aca="false">IF(AND(ISNUMBER($G626),$G626&gt;=MA_MED),AVERAGE(INDEX($C$226:$C626,402-MA_MED):$C626),"")</f>
        <v/>
      </c>
      <c r="K626" s="37" t="str">
        <f aca="false">IF(AND(ISNUMBER($G626),$G626&gt;=MA_LONG2),AVERAGE(INDEX($C$226:$C626,402-MA_LONG2):$C626),"")</f>
        <v/>
      </c>
      <c r="L626" s="38" t="str">
        <f aca="false">IF(AND(ISNUMBER($G626),$G626&gt;=21),STDEV(INDEX($H$566:$H626,62-20):$H626)*SQRT(245),"")</f>
        <v/>
      </c>
      <c r="M626" s="37" t="str">
        <f aca="false">IF(AND(ISNUMBER($G626),$G626&gt;=60),MAX(INDEX($D$426:$D626,202-60):$D626),"")</f>
        <v/>
      </c>
      <c r="N626" s="37" t="str">
        <f aca="false">IF(AND(ISNUMBER($G626),$G626&gt;=60),MIN(INDEX($E$426:$E626,202-60):$E626),"")</f>
        <v/>
      </c>
      <c r="O626" s="38" t="str">
        <f aca="false">IF(OR(NOT(ISNUMBER($C626)),NOT(ISNUMBER($M626)),$M626=0),"",$C626/$M626-1)</f>
        <v/>
      </c>
    </row>
    <row r="627" customFormat="false" ht="15" hidden="false" customHeight="true" outlineLevel="0" collapsed="false">
      <c r="A627" s="39"/>
      <c r="B627" s="40"/>
      <c r="C627" s="41"/>
      <c r="D627" s="40"/>
      <c r="E627" s="40"/>
      <c r="F627" s="40"/>
      <c r="G627" s="35" t="str">
        <f aca="false">IF($A627="","",IF(ISNUMBER($G626),$G626+1,1))</f>
        <v/>
      </c>
      <c r="H627" s="36" t="str">
        <f aca="false">IF(OR(NOT(ISNUMBER($G627)),$G627&lt;2,NOT(ISNUMBER($C626)),$C626=0),"",$C627/$C626-1)</f>
        <v/>
      </c>
      <c r="I627" s="37" t="str">
        <f aca="false">IF(AND(ISNUMBER($G627),$G627&gt;=MA_SHORT),AVERAGE(INDEX($C$227:$C627,402-MA_SHORT):$C627),"")</f>
        <v/>
      </c>
      <c r="J627" s="37" t="str">
        <f aca="false">IF(AND(ISNUMBER($G627),$G627&gt;=MA_MED),AVERAGE(INDEX($C$227:$C627,402-MA_MED):$C627),"")</f>
        <v/>
      </c>
      <c r="K627" s="37" t="str">
        <f aca="false">IF(AND(ISNUMBER($G627),$G627&gt;=MA_LONG2),AVERAGE(INDEX($C$227:$C627,402-MA_LONG2):$C627),"")</f>
        <v/>
      </c>
      <c r="L627" s="38" t="str">
        <f aca="false">IF(AND(ISNUMBER($G627),$G627&gt;=21),STDEV(INDEX($H$567:$H627,62-20):$H627)*SQRT(245),"")</f>
        <v/>
      </c>
      <c r="M627" s="37" t="str">
        <f aca="false">IF(AND(ISNUMBER($G627),$G627&gt;=60),MAX(INDEX($D$427:$D627,202-60):$D627),"")</f>
        <v/>
      </c>
      <c r="N627" s="37" t="str">
        <f aca="false">IF(AND(ISNUMBER($G627),$G627&gt;=60),MIN(INDEX($E$427:$E627,202-60):$E627),"")</f>
        <v/>
      </c>
      <c r="O627" s="38" t="str">
        <f aca="false">IF(OR(NOT(ISNUMBER($C627)),NOT(ISNUMBER($M627)),$M627=0),"",$C627/$M627-1)</f>
        <v/>
      </c>
    </row>
    <row r="628" customFormat="false" ht="15" hidden="false" customHeight="true" outlineLevel="0" collapsed="false">
      <c r="A628" s="39"/>
      <c r="B628" s="40"/>
      <c r="C628" s="41"/>
      <c r="D628" s="40"/>
      <c r="E628" s="40"/>
      <c r="F628" s="40"/>
      <c r="G628" s="35" t="str">
        <f aca="false">IF($A628="","",IF(ISNUMBER($G627),$G627+1,1))</f>
        <v/>
      </c>
      <c r="H628" s="36" t="str">
        <f aca="false">IF(OR(NOT(ISNUMBER($G628)),$G628&lt;2,NOT(ISNUMBER($C627)),$C627=0),"",$C628/$C627-1)</f>
        <v/>
      </c>
      <c r="I628" s="37" t="str">
        <f aca="false">IF(AND(ISNUMBER($G628),$G628&gt;=MA_SHORT),AVERAGE(INDEX($C$228:$C628,402-MA_SHORT):$C628),"")</f>
        <v/>
      </c>
      <c r="J628" s="37" t="str">
        <f aca="false">IF(AND(ISNUMBER($G628),$G628&gt;=MA_MED),AVERAGE(INDEX($C$228:$C628,402-MA_MED):$C628),"")</f>
        <v/>
      </c>
      <c r="K628" s="37" t="str">
        <f aca="false">IF(AND(ISNUMBER($G628),$G628&gt;=MA_LONG2),AVERAGE(INDEX($C$228:$C628,402-MA_LONG2):$C628),"")</f>
        <v/>
      </c>
      <c r="L628" s="38" t="str">
        <f aca="false">IF(AND(ISNUMBER($G628),$G628&gt;=21),STDEV(INDEX($H$568:$H628,62-20):$H628)*SQRT(245),"")</f>
        <v/>
      </c>
      <c r="M628" s="37" t="str">
        <f aca="false">IF(AND(ISNUMBER($G628),$G628&gt;=60),MAX(INDEX($D$428:$D628,202-60):$D628),"")</f>
        <v/>
      </c>
      <c r="N628" s="37" t="str">
        <f aca="false">IF(AND(ISNUMBER($G628),$G628&gt;=60),MIN(INDEX($E$428:$E628,202-60):$E628),"")</f>
        <v/>
      </c>
      <c r="O628" s="38" t="str">
        <f aca="false">IF(OR(NOT(ISNUMBER($C628)),NOT(ISNUMBER($M628)),$M628=0),"",$C628/$M628-1)</f>
        <v/>
      </c>
    </row>
    <row r="629" customFormat="false" ht="15" hidden="false" customHeight="true" outlineLevel="0" collapsed="false">
      <c r="A629" s="39"/>
      <c r="B629" s="40"/>
      <c r="C629" s="41"/>
      <c r="D629" s="40"/>
      <c r="E629" s="40"/>
      <c r="F629" s="40"/>
      <c r="G629" s="35" t="str">
        <f aca="false">IF($A629="","",IF(ISNUMBER($G628),$G628+1,1))</f>
        <v/>
      </c>
      <c r="H629" s="36" t="str">
        <f aca="false">IF(OR(NOT(ISNUMBER($G629)),$G629&lt;2,NOT(ISNUMBER($C628)),$C628=0),"",$C629/$C628-1)</f>
        <v/>
      </c>
      <c r="I629" s="37" t="str">
        <f aca="false">IF(AND(ISNUMBER($G629),$G629&gt;=MA_SHORT),AVERAGE(INDEX($C$229:$C629,402-MA_SHORT):$C629),"")</f>
        <v/>
      </c>
      <c r="J629" s="37" t="str">
        <f aca="false">IF(AND(ISNUMBER($G629),$G629&gt;=MA_MED),AVERAGE(INDEX($C$229:$C629,402-MA_MED):$C629),"")</f>
        <v/>
      </c>
      <c r="K629" s="37" t="str">
        <f aca="false">IF(AND(ISNUMBER($G629),$G629&gt;=MA_LONG2),AVERAGE(INDEX($C$229:$C629,402-MA_LONG2):$C629),"")</f>
        <v/>
      </c>
      <c r="L629" s="38" t="str">
        <f aca="false">IF(AND(ISNUMBER($G629),$G629&gt;=21),STDEV(INDEX($H$569:$H629,62-20):$H629)*SQRT(245),"")</f>
        <v/>
      </c>
      <c r="M629" s="37" t="str">
        <f aca="false">IF(AND(ISNUMBER($G629),$G629&gt;=60),MAX(INDEX($D$429:$D629,202-60):$D629),"")</f>
        <v/>
      </c>
      <c r="N629" s="37" t="str">
        <f aca="false">IF(AND(ISNUMBER($G629),$G629&gt;=60),MIN(INDEX($E$429:$E629,202-60):$E629),"")</f>
        <v/>
      </c>
      <c r="O629" s="38" t="str">
        <f aca="false">IF(OR(NOT(ISNUMBER($C629)),NOT(ISNUMBER($M629)),$M629=0),"",$C629/$M629-1)</f>
        <v/>
      </c>
    </row>
    <row r="630" customFormat="false" ht="15" hidden="false" customHeight="true" outlineLevel="0" collapsed="false">
      <c r="A630" s="39"/>
      <c r="B630" s="40"/>
      <c r="C630" s="41"/>
      <c r="D630" s="40"/>
      <c r="E630" s="40"/>
      <c r="F630" s="40"/>
      <c r="G630" s="35" t="str">
        <f aca="false">IF($A630="","",IF(ISNUMBER($G629),$G629+1,1))</f>
        <v/>
      </c>
      <c r="H630" s="36" t="str">
        <f aca="false">IF(OR(NOT(ISNUMBER($G630)),$G630&lt;2,NOT(ISNUMBER($C629)),$C629=0),"",$C630/$C629-1)</f>
        <v/>
      </c>
      <c r="I630" s="37" t="str">
        <f aca="false">IF(AND(ISNUMBER($G630),$G630&gt;=MA_SHORT),AVERAGE(INDEX($C$230:$C630,402-MA_SHORT):$C630),"")</f>
        <v/>
      </c>
      <c r="J630" s="37" t="str">
        <f aca="false">IF(AND(ISNUMBER($G630),$G630&gt;=MA_MED),AVERAGE(INDEX($C$230:$C630,402-MA_MED):$C630),"")</f>
        <v/>
      </c>
      <c r="K630" s="37" t="str">
        <f aca="false">IF(AND(ISNUMBER($G630),$G630&gt;=MA_LONG2),AVERAGE(INDEX($C$230:$C630,402-MA_LONG2):$C630),"")</f>
        <v/>
      </c>
      <c r="L630" s="38" t="str">
        <f aca="false">IF(AND(ISNUMBER($G630),$G630&gt;=21),STDEV(INDEX($H$570:$H630,62-20):$H630)*SQRT(245),"")</f>
        <v/>
      </c>
      <c r="M630" s="37" t="str">
        <f aca="false">IF(AND(ISNUMBER($G630),$G630&gt;=60),MAX(INDEX($D$430:$D630,202-60):$D630),"")</f>
        <v/>
      </c>
      <c r="N630" s="37" t="str">
        <f aca="false">IF(AND(ISNUMBER($G630),$G630&gt;=60),MIN(INDEX($E$430:$E630,202-60):$E630),"")</f>
        <v/>
      </c>
      <c r="O630" s="38" t="str">
        <f aca="false">IF(OR(NOT(ISNUMBER($C630)),NOT(ISNUMBER($M630)),$M630=0),"",$C630/$M630-1)</f>
        <v/>
      </c>
    </row>
    <row r="631" customFormat="false" ht="15" hidden="false" customHeight="true" outlineLevel="0" collapsed="false">
      <c r="A631" s="39"/>
      <c r="B631" s="40"/>
      <c r="C631" s="41"/>
      <c r="D631" s="40"/>
      <c r="E631" s="40"/>
      <c r="F631" s="40"/>
      <c r="G631" s="35" t="str">
        <f aca="false">IF($A631="","",IF(ISNUMBER($G630),$G630+1,1))</f>
        <v/>
      </c>
      <c r="H631" s="36" t="str">
        <f aca="false">IF(OR(NOT(ISNUMBER($G631)),$G631&lt;2,NOT(ISNUMBER($C630)),$C630=0),"",$C631/$C630-1)</f>
        <v/>
      </c>
      <c r="I631" s="37" t="str">
        <f aca="false">IF(AND(ISNUMBER($G631),$G631&gt;=MA_SHORT),AVERAGE(INDEX($C$231:$C631,402-MA_SHORT):$C631),"")</f>
        <v/>
      </c>
      <c r="J631" s="37" t="str">
        <f aca="false">IF(AND(ISNUMBER($G631),$G631&gt;=MA_MED),AVERAGE(INDEX($C$231:$C631,402-MA_MED):$C631),"")</f>
        <v/>
      </c>
      <c r="K631" s="37" t="str">
        <f aca="false">IF(AND(ISNUMBER($G631),$G631&gt;=MA_LONG2),AVERAGE(INDEX($C$231:$C631,402-MA_LONG2):$C631),"")</f>
        <v/>
      </c>
      <c r="L631" s="38" t="str">
        <f aca="false">IF(AND(ISNUMBER($G631),$G631&gt;=21),STDEV(INDEX($H$571:$H631,62-20):$H631)*SQRT(245),"")</f>
        <v/>
      </c>
      <c r="M631" s="37" t="str">
        <f aca="false">IF(AND(ISNUMBER($G631),$G631&gt;=60),MAX(INDEX($D$431:$D631,202-60):$D631),"")</f>
        <v/>
      </c>
      <c r="N631" s="37" t="str">
        <f aca="false">IF(AND(ISNUMBER($G631),$G631&gt;=60),MIN(INDEX($E$431:$E631,202-60):$E631),"")</f>
        <v/>
      </c>
      <c r="O631" s="38" t="str">
        <f aca="false">IF(OR(NOT(ISNUMBER($C631)),NOT(ISNUMBER($M631)),$M631=0),"",$C631/$M631-1)</f>
        <v/>
      </c>
    </row>
    <row r="632" customFormat="false" ht="15" hidden="false" customHeight="true" outlineLevel="0" collapsed="false">
      <c r="A632" s="39"/>
      <c r="B632" s="40"/>
      <c r="C632" s="41"/>
      <c r="D632" s="40"/>
      <c r="E632" s="40"/>
      <c r="F632" s="40"/>
      <c r="G632" s="35" t="str">
        <f aca="false">IF($A632="","",IF(ISNUMBER($G631),$G631+1,1))</f>
        <v/>
      </c>
      <c r="H632" s="36" t="str">
        <f aca="false">IF(OR(NOT(ISNUMBER($G632)),$G632&lt;2,NOT(ISNUMBER($C631)),$C631=0),"",$C632/$C631-1)</f>
        <v/>
      </c>
      <c r="I632" s="37" t="str">
        <f aca="false">IF(AND(ISNUMBER($G632),$G632&gt;=MA_SHORT),AVERAGE(INDEX($C$232:$C632,402-MA_SHORT):$C632),"")</f>
        <v/>
      </c>
      <c r="J632" s="37" t="str">
        <f aca="false">IF(AND(ISNUMBER($G632),$G632&gt;=MA_MED),AVERAGE(INDEX($C$232:$C632,402-MA_MED):$C632),"")</f>
        <v/>
      </c>
      <c r="K632" s="37" t="str">
        <f aca="false">IF(AND(ISNUMBER($G632),$G632&gt;=MA_LONG2),AVERAGE(INDEX($C$232:$C632,402-MA_LONG2):$C632),"")</f>
        <v/>
      </c>
      <c r="L632" s="38" t="str">
        <f aca="false">IF(AND(ISNUMBER($G632),$G632&gt;=21),STDEV(INDEX($H$572:$H632,62-20):$H632)*SQRT(245),"")</f>
        <v/>
      </c>
      <c r="M632" s="37" t="str">
        <f aca="false">IF(AND(ISNUMBER($G632),$G632&gt;=60),MAX(INDEX($D$432:$D632,202-60):$D632),"")</f>
        <v/>
      </c>
      <c r="N632" s="37" t="str">
        <f aca="false">IF(AND(ISNUMBER($G632),$G632&gt;=60),MIN(INDEX($E$432:$E632,202-60):$E632),"")</f>
        <v/>
      </c>
      <c r="O632" s="38" t="str">
        <f aca="false">IF(OR(NOT(ISNUMBER($C632)),NOT(ISNUMBER($M632)),$M632=0),"",$C632/$M632-1)</f>
        <v/>
      </c>
    </row>
    <row r="633" customFormat="false" ht="15" hidden="false" customHeight="true" outlineLevel="0" collapsed="false">
      <c r="A633" s="39"/>
      <c r="B633" s="40"/>
      <c r="C633" s="41"/>
      <c r="D633" s="40"/>
      <c r="E633" s="40"/>
      <c r="F633" s="40"/>
      <c r="G633" s="35" t="str">
        <f aca="false">IF($A633="","",IF(ISNUMBER($G632),$G632+1,1))</f>
        <v/>
      </c>
      <c r="H633" s="36" t="str">
        <f aca="false">IF(OR(NOT(ISNUMBER($G633)),$G633&lt;2,NOT(ISNUMBER($C632)),$C632=0),"",$C633/$C632-1)</f>
        <v/>
      </c>
      <c r="I633" s="37" t="str">
        <f aca="false">IF(AND(ISNUMBER($G633),$G633&gt;=MA_SHORT),AVERAGE(INDEX($C$233:$C633,402-MA_SHORT):$C633),"")</f>
        <v/>
      </c>
      <c r="J633" s="37" t="str">
        <f aca="false">IF(AND(ISNUMBER($G633),$G633&gt;=MA_MED),AVERAGE(INDEX($C$233:$C633,402-MA_MED):$C633),"")</f>
        <v/>
      </c>
      <c r="K633" s="37" t="str">
        <f aca="false">IF(AND(ISNUMBER($G633),$G633&gt;=MA_LONG2),AVERAGE(INDEX($C$233:$C633,402-MA_LONG2):$C633),"")</f>
        <v/>
      </c>
      <c r="L633" s="38" t="str">
        <f aca="false">IF(AND(ISNUMBER($G633),$G633&gt;=21),STDEV(INDEX($H$573:$H633,62-20):$H633)*SQRT(245),"")</f>
        <v/>
      </c>
      <c r="M633" s="37" t="str">
        <f aca="false">IF(AND(ISNUMBER($G633),$G633&gt;=60),MAX(INDEX($D$433:$D633,202-60):$D633),"")</f>
        <v/>
      </c>
      <c r="N633" s="37" t="str">
        <f aca="false">IF(AND(ISNUMBER($G633),$G633&gt;=60),MIN(INDEX($E$433:$E633,202-60):$E633),"")</f>
        <v/>
      </c>
      <c r="O633" s="38" t="str">
        <f aca="false">IF(OR(NOT(ISNUMBER($C633)),NOT(ISNUMBER($M633)),$M633=0),"",$C633/$M633-1)</f>
        <v/>
      </c>
    </row>
    <row r="634" customFormat="false" ht="15" hidden="false" customHeight="true" outlineLevel="0" collapsed="false">
      <c r="A634" s="39"/>
      <c r="B634" s="40"/>
      <c r="C634" s="41"/>
      <c r="D634" s="40"/>
      <c r="E634" s="40"/>
      <c r="F634" s="40"/>
      <c r="G634" s="35" t="str">
        <f aca="false">IF($A634="","",IF(ISNUMBER($G633),$G633+1,1))</f>
        <v/>
      </c>
      <c r="H634" s="36" t="str">
        <f aca="false">IF(OR(NOT(ISNUMBER($G634)),$G634&lt;2,NOT(ISNUMBER($C633)),$C633=0),"",$C634/$C633-1)</f>
        <v/>
      </c>
      <c r="I634" s="37" t="str">
        <f aca="false">IF(AND(ISNUMBER($G634),$G634&gt;=MA_SHORT),AVERAGE(INDEX($C$234:$C634,402-MA_SHORT):$C634),"")</f>
        <v/>
      </c>
      <c r="J634" s="37" t="str">
        <f aca="false">IF(AND(ISNUMBER($G634),$G634&gt;=MA_MED),AVERAGE(INDEX($C$234:$C634,402-MA_MED):$C634),"")</f>
        <v/>
      </c>
      <c r="K634" s="37" t="str">
        <f aca="false">IF(AND(ISNUMBER($G634),$G634&gt;=MA_LONG2),AVERAGE(INDEX($C$234:$C634,402-MA_LONG2):$C634),"")</f>
        <v/>
      </c>
      <c r="L634" s="38" t="str">
        <f aca="false">IF(AND(ISNUMBER($G634),$G634&gt;=21),STDEV(INDEX($H$574:$H634,62-20):$H634)*SQRT(245),"")</f>
        <v/>
      </c>
      <c r="M634" s="37" t="str">
        <f aca="false">IF(AND(ISNUMBER($G634),$G634&gt;=60),MAX(INDEX($D$434:$D634,202-60):$D634),"")</f>
        <v/>
      </c>
      <c r="N634" s="37" t="str">
        <f aca="false">IF(AND(ISNUMBER($G634),$G634&gt;=60),MIN(INDEX($E$434:$E634,202-60):$E634),"")</f>
        <v/>
      </c>
      <c r="O634" s="38" t="str">
        <f aca="false">IF(OR(NOT(ISNUMBER($C634)),NOT(ISNUMBER($M634)),$M634=0),"",$C634/$M634-1)</f>
        <v/>
      </c>
    </row>
    <row r="635" customFormat="false" ht="15" hidden="false" customHeight="true" outlineLevel="0" collapsed="false">
      <c r="A635" s="39"/>
      <c r="B635" s="40"/>
      <c r="C635" s="41"/>
      <c r="D635" s="40"/>
      <c r="E635" s="40"/>
      <c r="F635" s="40"/>
      <c r="G635" s="35" t="str">
        <f aca="false">IF($A635="","",IF(ISNUMBER($G634),$G634+1,1))</f>
        <v/>
      </c>
      <c r="H635" s="36" t="str">
        <f aca="false">IF(OR(NOT(ISNUMBER($G635)),$G635&lt;2,NOT(ISNUMBER($C634)),$C634=0),"",$C635/$C634-1)</f>
        <v/>
      </c>
      <c r="I635" s="37" t="str">
        <f aca="false">IF(AND(ISNUMBER($G635),$G635&gt;=MA_SHORT),AVERAGE(INDEX($C$235:$C635,402-MA_SHORT):$C635),"")</f>
        <v/>
      </c>
      <c r="J635" s="37" t="str">
        <f aca="false">IF(AND(ISNUMBER($G635),$G635&gt;=MA_MED),AVERAGE(INDEX($C$235:$C635,402-MA_MED):$C635),"")</f>
        <v/>
      </c>
      <c r="K635" s="37" t="str">
        <f aca="false">IF(AND(ISNUMBER($G635),$G635&gt;=MA_LONG2),AVERAGE(INDEX($C$235:$C635,402-MA_LONG2):$C635),"")</f>
        <v/>
      </c>
      <c r="L635" s="38" t="str">
        <f aca="false">IF(AND(ISNUMBER($G635),$G635&gt;=21),STDEV(INDEX($H$575:$H635,62-20):$H635)*SQRT(245),"")</f>
        <v/>
      </c>
      <c r="M635" s="37" t="str">
        <f aca="false">IF(AND(ISNUMBER($G635),$G635&gt;=60),MAX(INDEX($D$435:$D635,202-60):$D635),"")</f>
        <v/>
      </c>
      <c r="N635" s="37" t="str">
        <f aca="false">IF(AND(ISNUMBER($G635),$G635&gt;=60),MIN(INDEX($E$435:$E635,202-60):$E635),"")</f>
        <v/>
      </c>
      <c r="O635" s="38" t="str">
        <f aca="false">IF(OR(NOT(ISNUMBER($C635)),NOT(ISNUMBER($M635)),$M635=0),"",$C635/$M635-1)</f>
        <v/>
      </c>
    </row>
    <row r="636" customFormat="false" ht="15" hidden="false" customHeight="true" outlineLevel="0" collapsed="false">
      <c r="A636" s="39"/>
      <c r="B636" s="40"/>
      <c r="C636" s="41"/>
      <c r="D636" s="40"/>
      <c r="E636" s="40"/>
      <c r="F636" s="40"/>
      <c r="G636" s="35" t="str">
        <f aca="false">IF($A636="","",IF(ISNUMBER($G635),$G635+1,1))</f>
        <v/>
      </c>
      <c r="H636" s="36" t="str">
        <f aca="false">IF(OR(NOT(ISNUMBER($G636)),$G636&lt;2,NOT(ISNUMBER($C635)),$C635=0),"",$C636/$C635-1)</f>
        <v/>
      </c>
      <c r="I636" s="37" t="str">
        <f aca="false">IF(AND(ISNUMBER($G636),$G636&gt;=MA_SHORT),AVERAGE(INDEX($C$236:$C636,402-MA_SHORT):$C636),"")</f>
        <v/>
      </c>
      <c r="J636" s="37" t="str">
        <f aca="false">IF(AND(ISNUMBER($G636),$G636&gt;=MA_MED),AVERAGE(INDEX($C$236:$C636,402-MA_MED):$C636),"")</f>
        <v/>
      </c>
      <c r="K636" s="37" t="str">
        <f aca="false">IF(AND(ISNUMBER($G636),$G636&gt;=MA_LONG2),AVERAGE(INDEX($C$236:$C636,402-MA_LONG2):$C636),"")</f>
        <v/>
      </c>
      <c r="L636" s="38" t="str">
        <f aca="false">IF(AND(ISNUMBER($G636),$G636&gt;=21),STDEV(INDEX($H$576:$H636,62-20):$H636)*SQRT(245),"")</f>
        <v/>
      </c>
      <c r="M636" s="37" t="str">
        <f aca="false">IF(AND(ISNUMBER($G636),$G636&gt;=60),MAX(INDEX($D$436:$D636,202-60):$D636),"")</f>
        <v/>
      </c>
      <c r="N636" s="37" t="str">
        <f aca="false">IF(AND(ISNUMBER($G636),$G636&gt;=60),MIN(INDEX($E$436:$E636,202-60):$E636),"")</f>
        <v/>
      </c>
      <c r="O636" s="38" t="str">
        <f aca="false">IF(OR(NOT(ISNUMBER($C636)),NOT(ISNUMBER($M636)),$M636=0),"",$C636/$M636-1)</f>
        <v/>
      </c>
    </row>
    <row r="637" customFormat="false" ht="15" hidden="false" customHeight="true" outlineLevel="0" collapsed="false">
      <c r="A637" s="39"/>
      <c r="B637" s="40"/>
      <c r="C637" s="41"/>
      <c r="D637" s="40"/>
      <c r="E637" s="40"/>
      <c r="F637" s="40"/>
      <c r="G637" s="35" t="str">
        <f aca="false">IF($A637="","",IF(ISNUMBER($G636),$G636+1,1))</f>
        <v/>
      </c>
      <c r="H637" s="36" t="str">
        <f aca="false">IF(OR(NOT(ISNUMBER($G637)),$G637&lt;2,NOT(ISNUMBER($C636)),$C636=0),"",$C637/$C636-1)</f>
        <v/>
      </c>
      <c r="I637" s="37" t="str">
        <f aca="false">IF(AND(ISNUMBER($G637),$G637&gt;=MA_SHORT),AVERAGE(INDEX($C$237:$C637,402-MA_SHORT):$C637),"")</f>
        <v/>
      </c>
      <c r="J637" s="37" t="str">
        <f aca="false">IF(AND(ISNUMBER($G637),$G637&gt;=MA_MED),AVERAGE(INDEX($C$237:$C637,402-MA_MED):$C637),"")</f>
        <v/>
      </c>
      <c r="K637" s="37" t="str">
        <f aca="false">IF(AND(ISNUMBER($G637),$G637&gt;=MA_LONG2),AVERAGE(INDEX($C$237:$C637,402-MA_LONG2):$C637),"")</f>
        <v/>
      </c>
      <c r="L637" s="38" t="str">
        <f aca="false">IF(AND(ISNUMBER($G637),$G637&gt;=21),STDEV(INDEX($H$577:$H637,62-20):$H637)*SQRT(245),"")</f>
        <v/>
      </c>
      <c r="M637" s="37" t="str">
        <f aca="false">IF(AND(ISNUMBER($G637),$G637&gt;=60),MAX(INDEX($D$437:$D637,202-60):$D637),"")</f>
        <v/>
      </c>
      <c r="N637" s="37" t="str">
        <f aca="false">IF(AND(ISNUMBER($G637),$G637&gt;=60),MIN(INDEX($E$437:$E637,202-60):$E637),"")</f>
        <v/>
      </c>
      <c r="O637" s="38" t="str">
        <f aca="false">IF(OR(NOT(ISNUMBER($C637)),NOT(ISNUMBER($M637)),$M637=0),"",$C637/$M637-1)</f>
        <v/>
      </c>
    </row>
    <row r="638" customFormat="false" ht="15" hidden="false" customHeight="true" outlineLevel="0" collapsed="false">
      <c r="A638" s="39"/>
      <c r="B638" s="40"/>
      <c r="C638" s="41"/>
      <c r="D638" s="40"/>
      <c r="E638" s="40"/>
      <c r="F638" s="40"/>
      <c r="G638" s="35" t="str">
        <f aca="false">IF($A638="","",IF(ISNUMBER($G637),$G637+1,1))</f>
        <v/>
      </c>
      <c r="H638" s="36" t="str">
        <f aca="false">IF(OR(NOT(ISNUMBER($G638)),$G638&lt;2,NOT(ISNUMBER($C637)),$C637=0),"",$C638/$C637-1)</f>
        <v/>
      </c>
      <c r="I638" s="37" t="str">
        <f aca="false">IF(AND(ISNUMBER($G638),$G638&gt;=MA_SHORT),AVERAGE(INDEX($C$238:$C638,402-MA_SHORT):$C638),"")</f>
        <v/>
      </c>
      <c r="J638" s="37" t="str">
        <f aca="false">IF(AND(ISNUMBER($G638),$G638&gt;=MA_MED),AVERAGE(INDEX($C$238:$C638,402-MA_MED):$C638),"")</f>
        <v/>
      </c>
      <c r="K638" s="37" t="str">
        <f aca="false">IF(AND(ISNUMBER($G638),$G638&gt;=MA_LONG2),AVERAGE(INDEX($C$238:$C638,402-MA_LONG2):$C638),"")</f>
        <v/>
      </c>
      <c r="L638" s="38" t="str">
        <f aca="false">IF(AND(ISNUMBER($G638),$G638&gt;=21),STDEV(INDEX($H$578:$H638,62-20):$H638)*SQRT(245),"")</f>
        <v/>
      </c>
      <c r="M638" s="37" t="str">
        <f aca="false">IF(AND(ISNUMBER($G638),$G638&gt;=60),MAX(INDEX($D$438:$D638,202-60):$D638),"")</f>
        <v/>
      </c>
      <c r="N638" s="37" t="str">
        <f aca="false">IF(AND(ISNUMBER($G638),$G638&gt;=60),MIN(INDEX($E$438:$E638,202-60):$E638),"")</f>
        <v/>
      </c>
      <c r="O638" s="38" t="str">
        <f aca="false">IF(OR(NOT(ISNUMBER($C638)),NOT(ISNUMBER($M638)),$M638=0),"",$C638/$M638-1)</f>
        <v/>
      </c>
    </row>
    <row r="639" customFormat="false" ht="15" hidden="false" customHeight="true" outlineLevel="0" collapsed="false">
      <c r="A639" s="39"/>
      <c r="B639" s="40"/>
      <c r="C639" s="41"/>
      <c r="D639" s="40"/>
      <c r="E639" s="40"/>
      <c r="F639" s="40"/>
      <c r="G639" s="35" t="str">
        <f aca="false">IF($A639="","",IF(ISNUMBER($G638),$G638+1,1))</f>
        <v/>
      </c>
      <c r="H639" s="36" t="str">
        <f aca="false">IF(OR(NOT(ISNUMBER($G639)),$G639&lt;2,NOT(ISNUMBER($C638)),$C638=0),"",$C639/$C638-1)</f>
        <v/>
      </c>
      <c r="I639" s="37" t="str">
        <f aca="false">IF(AND(ISNUMBER($G639),$G639&gt;=MA_SHORT),AVERAGE(INDEX($C$239:$C639,402-MA_SHORT):$C639),"")</f>
        <v/>
      </c>
      <c r="J639" s="37" t="str">
        <f aca="false">IF(AND(ISNUMBER($G639),$G639&gt;=MA_MED),AVERAGE(INDEX($C$239:$C639,402-MA_MED):$C639),"")</f>
        <v/>
      </c>
      <c r="K639" s="37" t="str">
        <f aca="false">IF(AND(ISNUMBER($G639),$G639&gt;=MA_LONG2),AVERAGE(INDEX($C$239:$C639,402-MA_LONG2):$C639),"")</f>
        <v/>
      </c>
      <c r="L639" s="38" t="str">
        <f aca="false">IF(AND(ISNUMBER($G639),$G639&gt;=21),STDEV(INDEX($H$579:$H639,62-20):$H639)*SQRT(245),"")</f>
        <v/>
      </c>
      <c r="M639" s="37" t="str">
        <f aca="false">IF(AND(ISNUMBER($G639),$G639&gt;=60),MAX(INDEX($D$439:$D639,202-60):$D639),"")</f>
        <v/>
      </c>
      <c r="N639" s="37" t="str">
        <f aca="false">IF(AND(ISNUMBER($G639),$G639&gt;=60),MIN(INDEX($E$439:$E639,202-60):$E639),"")</f>
        <v/>
      </c>
      <c r="O639" s="38" t="str">
        <f aca="false">IF(OR(NOT(ISNUMBER($C639)),NOT(ISNUMBER($M639)),$M639=0),"",$C639/$M639-1)</f>
        <v/>
      </c>
    </row>
    <row r="640" customFormat="false" ht="15" hidden="false" customHeight="true" outlineLevel="0" collapsed="false">
      <c r="A640" s="39"/>
      <c r="B640" s="40"/>
      <c r="C640" s="41"/>
      <c r="D640" s="40"/>
      <c r="E640" s="40"/>
      <c r="F640" s="40"/>
      <c r="G640" s="35" t="str">
        <f aca="false">IF($A640="","",IF(ISNUMBER($G639),$G639+1,1))</f>
        <v/>
      </c>
      <c r="H640" s="36" t="str">
        <f aca="false">IF(OR(NOT(ISNUMBER($G640)),$G640&lt;2,NOT(ISNUMBER($C639)),$C639=0),"",$C640/$C639-1)</f>
        <v/>
      </c>
      <c r="I640" s="37" t="str">
        <f aca="false">IF(AND(ISNUMBER($G640),$G640&gt;=MA_SHORT),AVERAGE(INDEX($C$240:$C640,402-MA_SHORT):$C640),"")</f>
        <v/>
      </c>
      <c r="J640" s="37" t="str">
        <f aca="false">IF(AND(ISNUMBER($G640),$G640&gt;=MA_MED),AVERAGE(INDEX($C$240:$C640,402-MA_MED):$C640),"")</f>
        <v/>
      </c>
      <c r="K640" s="37" t="str">
        <f aca="false">IF(AND(ISNUMBER($G640),$G640&gt;=MA_LONG2),AVERAGE(INDEX($C$240:$C640,402-MA_LONG2):$C640),"")</f>
        <v/>
      </c>
      <c r="L640" s="38" t="str">
        <f aca="false">IF(AND(ISNUMBER($G640),$G640&gt;=21),STDEV(INDEX($H$580:$H640,62-20):$H640)*SQRT(245),"")</f>
        <v/>
      </c>
      <c r="M640" s="37" t="str">
        <f aca="false">IF(AND(ISNUMBER($G640),$G640&gt;=60),MAX(INDEX($D$440:$D640,202-60):$D640),"")</f>
        <v/>
      </c>
      <c r="N640" s="37" t="str">
        <f aca="false">IF(AND(ISNUMBER($G640),$G640&gt;=60),MIN(INDEX($E$440:$E640,202-60):$E640),"")</f>
        <v/>
      </c>
      <c r="O640" s="38" t="str">
        <f aca="false">IF(OR(NOT(ISNUMBER($C640)),NOT(ISNUMBER($M640)),$M640=0),"",$C640/$M640-1)</f>
        <v/>
      </c>
    </row>
    <row r="641" customFormat="false" ht="15" hidden="false" customHeight="true" outlineLevel="0" collapsed="false">
      <c r="A641" s="39"/>
      <c r="B641" s="40"/>
      <c r="C641" s="41"/>
      <c r="D641" s="40"/>
      <c r="E641" s="40"/>
      <c r="F641" s="40"/>
      <c r="G641" s="35" t="str">
        <f aca="false">IF($A641="","",IF(ISNUMBER($G640),$G640+1,1))</f>
        <v/>
      </c>
      <c r="H641" s="36" t="str">
        <f aca="false">IF(OR(NOT(ISNUMBER($G641)),$G641&lt;2,NOT(ISNUMBER($C640)),$C640=0),"",$C641/$C640-1)</f>
        <v/>
      </c>
      <c r="I641" s="37" t="str">
        <f aca="false">IF(AND(ISNUMBER($G641),$G641&gt;=MA_SHORT),AVERAGE(INDEX($C$241:$C641,402-MA_SHORT):$C641),"")</f>
        <v/>
      </c>
      <c r="J641" s="37" t="str">
        <f aca="false">IF(AND(ISNUMBER($G641),$G641&gt;=MA_MED),AVERAGE(INDEX($C$241:$C641,402-MA_MED):$C641),"")</f>
        <v/>
      </c>
      <c r="K641" s="37" t="str">
        <f aca="false">IF(AND(ISNUMBER($G641),$G641&gt;=MA_LONG2),AVERAGE(INDEX($C$241:$C641,402-MA_LONG2):$C641),"")</f>
        <v/>
      </c>
      <c r="L641" s="38" t="str">
        <f aca="false">IF(AND(ISNUMBER($G641),$G641&gt;=21),STDEV(INDEX($H$581:$H641,62-20):$H641)*SQRT(245),"")</f>
        <v/>
      </c>
      <c r="M641" s="37" t="str">
        <f aca="false">IF(AND(ISNUMBER($G641),$G641&gt;=60),MAX(INDEX($D$441:$D641,202-60):$D641),"")</f>
        <v/>
      </c>
      <c r="N641" s="37" t="str">
        <f aca="false">IF(AND(ISNUMBER($G641),$G641&gt;=60),MIN(INDEX($E$441:$E641,202-60):$E641),"")</f>
        <v/>
      </c>
      <c r="O641" s="38" t="str">
        <f aca="false">IF(OR(NOT(ISNUMBER($C641)),NOT(ISNUMBER($M641)),$M641=0),"",$C641/$M641-1)</f>
        <v/>
      </c>
    </row>
    <row r="642" customFormat="false" ht="15" hidden="false" customHeight="true" outlineLevel="0" collapsed="false">
      <c r="A642" s="39"/>
      <c r="B642" s="40"/>
      <c r="C642" s="41"/>
      <c r="D642" s="40"/>
      <c r="E642" s="40"/>
      <c r="F642" s="40"/>
      <c r="G642" s="35" t="str">
        <f aca="false">IF($A642="","",IF(ISNUMBER($G641),$G641+1,1))</f>
        <v/>
      </c>
      <c r="H642" s="36" t="str">
        <f aca="false">IF(OR(NOT(ISNUMBER($G642)),$G642&lt;2,NOT(ISNUMBER($C641)),$C641=0),"",$C642/$C641-1)</f>
        <v/>
      </c>
      <c r="I642" s="37" t="str">
        <f aca="false">IF(AND(ISNUMBER($G642),$G642&gt;=MA_SHORT),AVERAGE(INDEX($C$242:$C642,402-MA_SHORT):$C642),"")</f>
        <v/>
      </c>
      <c r="J642" s="37" t="str">
        <f aca="false">IF(AND(ISNUMBER($G642),$G642&gt;=MA_MED),AVERAGE(INDEX($C$242:$C642,402-MA_MED):$C642),"")</f>
        <v/>
      </c>
      <c r="K642" s="37" t="str">
        <f aca="false">IF(AND(ISNUMBER($G642),$G642&gt;=MA_LONG2),AVERAGE(INDEX($C$242:$C642,402-MA_LONG2):$C642),"")</f>
        <v/>
      </c>
      <c r="L642" s="38" t="str">
        <f aca="false">IF(AND(ISNUMBER($G642),$G642&gt;=21),STDEV(INDEX($H$582:$H642,62-20):$H642)*SQRT(245),"")</f>
        <v/>
      </c>
      <c r="M642" s="37" t="str">
        <f aca="false">IF(AND(ISNUMBER($G642),$G642&gt;=60),MAX(INDEX($D$442:$D642,202-60):$D642),"")</f>
        <v/>
      </c>
      <c r="N642" s="37" t="str">
        <f aca="false">IF(AND(ISNUMBER($G642),$G642&gt;=60),MIN(INDEX($E$442:$E642,202-60):$E642),"")</f>
        <v/>
      </c>
      <c r="O642" s="38" t="str">
        <f aca="false">IF(OR(NOT(ISNUMBER($C642)),NOT(ISNUMBER($M642)),$M642=0),"",$C642/$M642-1)</f>
        <v/>
      </c>
    </row>
    <row r="643" customFormat="false" ht="15" hidden="false" customHeight="true" outlineLevel="0" collapsed="false">
      <c r="A643" s="39"/>
      <c r="B643" s="40"/>
      <c r="C643" s="41"/>
      <c r="D643" s="40"/>
      <c r="E643" s="40"/>
      <c r="F643" s="40"/>
      <c r="G643" s="35" t="str">
        <f aca="false">IF($A643="","",IF(ISNUMBER($G642),$G642+1,1))</f>
        <v/>
      </c>
      <c r="H643" s="36" t="str">
        <f aca="false">IF(OR(NOT(ISNUMBER($G643)),$G643&lt;2,NOT(ISNUMBER($C642)),$C642=0),"",$C643/$C642-1)</f>
        <v/>
      </c>
      <c r="I643" s="37" t="str">
        <f aca="false">IF(AND(ISNUMBER($G643),$G643&gt;=MA_SHORT),AVERAGE(INDEX($C$243:$C643,402-MA_SHORT):$C643),"")</f>
        <v/>
      </c>
      <c r="J643" s="37" t="str">
        <f aca="false">IF(AND(ISNUMBER($G643),$G643&gt;=MA_MED),AVERAGE(INDEX($C$243:$C643,402-MA_MED):$C643),"")</f>
        <v/>
      </c>
      <c r="K643" s="37" t="str">
        <f aca="false">IF(AND(ISNUMBER($G643),$G643&gt;=MA_LONG2),AVERAGE(INDEX($C$243:$C643,402-MA_LONG2):$C643),"")</f>
        <v/>
      </c>
      <c r="L643" s="38" t="str">
        <f aca="false">IF(AND(ISNUMBER($G643),$G643&gt;=21),STDEV(INDEX($H$583:$H643,62-20):$H643)*SQRT(245),"")</f>
        <v/>
      </c>
      <c r="M643" s="37" t="str">
        <f aca="false">IF(AND(ISNUMBER($G643),$G643&gt;=60),MAX(INDEX($D$443:$D643,202-60):$D643),"")</f>
        <v/>
      </c>
      <c r="N643" s="37" t="str">
        <f aca="false">IF(AND(ISNUMBER($G643),$G643&gt;=60),MIN(INDEX($E$443:$E643,202-60):$E643),"")</f>
        <v/>
      </c>
      <c r="O643" s="38" t="str">
        <f aca="false">IF(OR(NOT(ISNUMBER($C643)),NOT(ISNUMBER($M643)),$M643=0),"",$C643/$M643-1)</f>
        <v/>
      </c>
    </row>
    <row r="644" customFormat="false" ht="15" hidden="false" customHeight="true" outlineLevel="0" collapsed="false">
      <c r="A644" s="39"/>
      <c r="B644" s="40"/>
      <c r="C644" s="41"/>
      <c r="D644" s="40"/>
      <c r="E644" s="40"/>
      <c r="F644" s="40"/>
      <c r="G644" s="35" t="str">
        <f aca="false">IF($A644="","",IF(ISNUMBER($G643),$G643+1,1))</f>
        <v/>
      </c>
      <c r="H644" s="36" t="str">
        <f aca="false">IF(OR(NOT(ISNUMBER($G644)),$G644&lt;2,NOT(ISNUMBER($C643)),$C643=0),"",$C644/$C643-1)</f>
        <v/>
      </c>
      <c r="I644" s="37" t="str">
        <f aca="false">IF(AND(ISNUMBER($G644),$G644&gt;=MA_SHORT),AVERAGE(INDEX($C$244:$C644,402-MA_SHORT):$C644),"")</f>
        <v/>
      </c>
      <c r="J644" s="37" t="str">
        <f aca="false">IF(AND(ISNUMBER($G644),$G644&gt;=MA_MED),AVERAGE(INDEX($C$244:$C644,402-MA_MED):$C644),"")</f>
        <v/>
      </c>
      <c r="K644" s="37" t="str">
        <f aca="false">IF(AND(ISNUMBER($G644),$G644&gt;=MA_LONG2),AVERAGE(INDEX($C$244:$C644,402-MA_LONG2):$C644),"")</f>
        <v/>
      </c>
      <c r="L644" s="38" t="str">
        <f aca="false">IF(AND(ISNUMBER($G644),$G644&gt;=21),STDEV(INDEX($H$584:$H644,62-20):$H644)*SQRT(245),"")</f>
        <v/>
      </c>
      <c r="M644" s="37" t="str">
        <f aca="false">IF(AND(ISNUMBER($G644),$G644&gt;=60),MAX(INDEX($D$444:$D644,202-60):$D644),"")</f>
        <v/>
      </c>
      <c r="N644" s="37" t="str">
        <f aca="false">IF(AND(ISNUMBER($G644),$G644&gt;=60),MIN(INDEX($E$444:$E644,202-60):$E644),"")</f>
        <v/>
      </c>
      <c r="O644" s="38" t="str">
        <f aca="false">IF(OR(NOT(ISNUMBER($C644)),NOT(ISNUMBER($M644)),$M644=0),"",$C644/$M644-1)</f>
        <v/>
      </c>
    </row>
    <row r="645" customFormat="false" ht="15" hidden="false" customHeight="true" outlineLevel="0" collapsed="false">
      <c r="A645" s="39"/>
      <c r="B645" s="40"/>
      <c r="C645" s="41"/>
      <c r="D645" s="40"/>
      <c r="E645" s="40"/>
      <c r="F645" s="40"/>
      <c r="G645" s="35" t="str">
        <f aca="false">IF($A645="","",IF(ISNUMBER($G644),$G644+1,1))</f>
        <v/>
      </c>
      <c r="H645" s="36" t="str">
        <f aca="false">IF(OR(NOT(ISNUMBER($G645)),$G645&lt;2,NOT(ISNUMBER($C644)),$C644=0),"",$C645/$C644-1)</f>
        <v/>
      </c>
      <c r="I645" s="37" t="str">
        <f aca="false">IF(AND(ISNUMBER($G645),$G645&gt;=MA_SHORT),AVERAGE(INDEX($C$245:$C645,402-MA_SHORT):$C645),"")</f>
        <v/>
      </c>
      <c r="J645" s="37" t="str">
        <f aca="false">IF(AND(ISNUMBER($G645),$G645&gt;=MA_MED),AVERAGE(INDEX($C$245:$C645,402-MA_MED):$C645),"")</f>
        <v/>
      </c>
      <c r="K645" s="37" t="str">
        <f aca="false">IF(AND(ISNUMBER($G645),$G645&gt;=MA_LONG2),AVERAGE(INDEX($C$245:$C645,402-MA_LONG2):$C645),"")</f>
        <v/>
      </c>
      <c r="L645" s="38" t="str">
        <f aca="false">IF(AND(ISNUMBER($G645),$G645&gt;=21),STDEV(INDEX($H$585:$H645,62-20):$H645)*SQRT(245),"")</f>
        <v/>
      </c>
      <c r="M645" s="37" t="str">
        <f aca="false">IF(AND(ISNUMBER($G645),$G645&gt;=60),MAX(INDEX($D$445:$D645,202-60):$D645),"")</f>
        <v/>
      </c>
      <c r="N645" s="37" t="str">
        <f aca="false">IF(AND(ISNUMBER($G645),$G645&gt;=60),MIN(INDEX($E$445:$E645,202-60):$E645),"")</f>
        <v/>
      </c>
      <c r="O645" s="38" t="str">
        <f aca="false">IF(OR(NOT(ISNUMBER($C645)),NOT(ISNUMBER($M645)),$M645=0),"",$C645/$M645-1)</f>
        <v/>
      </c>
    </row>
    <row r="646" customFormat="false" ht="15" hidden="false" customHeight="true" outlineLevel="0" collapsed="false">
      <c r="A646" s="39"/>
      <c r="B646" s="40"/>
      <c r="C646" s="41"/>
      <c r="D646" s="40"/>
      <c r="E646" s="40"/>
      <c r="F646" s="40"/>
      <c r="G646" s="35" t="str">
        <f aca="false">IF($A646="","",IF(ISNUMBER($G645),$G645+1,1))</f>
        <v/>
      </c>
      <c r="H646" s="36" t="str">
        <f aca="false">IF(OR(NOT(ISNUMBER($G646)),$G646&lt;2,NOT(ISNUMBER($C645)),$C645=0),"",$C646/$C645-1)</f>
        <v/>
      </c>
      <c r="I646" s="37" t="str">
        <f aca="false">IF(AND(ISNUMBER($G646),$G646&gt;=MA_SHORT),AVERAGE(INDEX($C$246:$C646,402-MA_SHORT):$C646),"")</f>
        <v/>
      </c>
      <c r="J646" s="37" t="str">
        <f aca="false">IF(AND(ISNUMBER($G646),$G646&gt;=MA_MED),AVERAGE(INDEX($C$246:$C646,402-MA_MED):$C646),"")</f>
        <v/>
      </c>
      <c r="K646" s="37" t="str">
        <f aca="false">IF(AND(ISNUMBER($G646),$G646&gt;=MA_LONG2),AVERAGE(INDEX($C$246:$C646,402-MA_LONG2):$C646),"")</f>
        <v/>
      </c>
      <c r="L646" s="38" t="str">
        <f aca="false">IF(AND(ISNUMBER($G646),$G646&gt;=21),STDEV(INDEX($H$586:$H646,62-20):$H646)*SQRT(245),"")</f>
        <v/>
      </c>
      <c r="M646" s="37" t="str">
        <f aca="false">IF(AND(ISNUMBER($G646),$G646&gt;=60),MAX(INDEX($D$446:$D646,202-60):$D646),"")</f>
        <v/>
      </c>
      <c r="N646" s="37" t="str">
        <f aca="false">IF(AND(ISNUMBER($G646),$G646&gt;=60),MIN(INDEX($E$446:$E646,202-60):$E646),"")</f>
        <v/>
      </c>
      <c r="O646" s="38" t="str">
        <f aca="false">IF(OR(NOT(ISNUMBER($C646)),NOT(ISNUMBER($M646)),$M646=0),"",$C646/$M646-1)</f>
        <v/>
      </c>
    </row>
    <row r="647" customFormat="false" ht="15" hidden="false" customHeight="true" outlineLevel="0" collapsed="false">
      <c r="A647" s="39"/>
      <c r="B647" s="40"/>
      <c r="C647" s="41"/>
      <c r="D647" s="40"/>
      <c r="E647" s="40"/>
      <c r="F647" s="40"/>
      <c r="G647" s="35" t="str">
        <f aca="false">IF($A647="","",IF(ISNUMBER($G646),$G646+1,1))</f>
        <v/>
      </c>
      <c r="H647" s="36" t="str">
        <f aca="false">IF(OR(NOT(ISNUMBER($G647)),$G647&lt;2,NOT(ISNUMBER($C646)),$C646=0),"",$C647/$C646-1)</f>
        <v/>
      </c>
      <c r="I647" s="37" t="str">
        <f aca="false">IF(AND(ISNUMBER($G647),$G647&gt;=MA_SHORT),AVERAGE(INDEX($C$247:$C647,402-MA_SHORT):$C647),"")</f>
        <v/>
      </c>
      <c r="J647" s="37" t="str">
        <f aca="false">IF(AND(ISNUMBER($G647),$G647&gt;=MA_MED),AVERAGE(INDEX($C$247:$C647,402-MA_MED):$C647),"")</f>
        <v/>
      </c>
      <c r="K647" s="37" t="str">
        <f aca="false">IF(AND(ISNUMBER($G647),$G647&gt;=MA_LONG2),AVERAGE(INDEX($C$247:$C647,402-MA_LONG2):$C647),"")</f>
        <v/>
      </c>
      <c r="L647" s="38" t="str">
        <f aca="false">IF(AND(ISNUMBER($G647),$G647&gt;=21),STDEV(INDEX($H$587:$H647,62-20):$H647)*SQRT(245),"")</f>
        <v/>
      </c>
      <c r="M647" s="37" t="str">
        <f aca="false">IF(AND(ISNUMBER($G647),$G647&gt;=60),MAX(INDEX($D$447:$D647,202-60):$D647),"")</f>
        <v/>
      </c>
      <c r="N647" s="37" t="str">
        <f aca="false">IF(AND(ISNUMBER($G647),$G647&gt;=60),MIN(INDEX($E$447:$E647,202-60):$E647),"")</f>
        <v/>
      </c>
      <c r="O647" s="38" t="str">
        <f aca="false">IF(OR(NOT(ISNUMBER($C647)),NOT(ISNUMBER($M647)),$M647=0),"",$C647/$M647-1)</f>
        <v/>
      </c>
    </row>
    <row r="648" customFormat="false" ht="15" hidden="false" customHeight="true" outlineLevel="0" collapsed="false">
      <c r="A648" s="39"/>
      <c r="B648" s="40"/>
      <c r="C648" s="41"/>
      <c r="D648" s="40"/>
      <c r="E648" s="40"/>
      <c r="F648" s="40"/>
      <c r="G648" s="35" t="str">
        <f aca="false">IF($A648="","",IF(ISNUMBER($G647),$G647+1,1))</f>
        <v/>
      </c>
      <c r="H648" s="36" t="str">
        <f aca="false">IF(OR(NOT(ISNUMBER($G648)),$G648&lt;2,NOT(ISNUMBER($C647)),$C647=0),"",$C648/$C647-1)</f>
        <v/>
      </c>
      <c r="I648" s="37" t="str">
        <f aca="false">IF(AND(ISNUMBER($G648),$G648&gt;=MA_SHORT),AVERAGE(INDEX($C$248:$C648,402-MA_SHORT):$C648),"")</f>
        <v/>
      </c>
      <c r="J648" s="37" t="str">
        <f aca="false">IF(AND(ISNUMBER($G648),$G648&gt;=MA_MED),AVERAGE(INDEX($C$248:$C648,402-MA_MED):$C648),"")</f>
        <v/>
      </c>
      <c r="K648" s="37" t="str">
        <f aca="false">IF(AND(ISNUMBER($G648),$G648&gt;=MA_LONG2),AVERAGE(INDEX($C$248:$C648,402-MA_LONG2):$C648),"")</f>
        <v/>
      </c>
      <c r="L648" s="38" t="str">
        <f aca="false">IF(AND(ISNUMBER($G648),$G648&gt;=21),STDEV(INDEX($H$588:$H648,62-20):$H648)*SQRT(245),"")</f>
        <v/>
      </c>
      <c r="M648" s="37" t="str">
        <f aca="false">IF(AND(ISNUMBER($G648),$G648&gt;=60),MAX(INDEX($D$448:$D648,202-60):$D648),"")</f>
        <v/>
      </c>
      <c r="N648" s="37" t="str">
        <f aca="false">IF(AND(ISNUMBER($G648),$G648&gt;=60),MIN(INDEX($E$448:$E648,202-60):$E648),"")</f>
        <v/>
      </c>
      <c r="O648" s="38" t="str">
        <f aca="false">IF(OR(NOT(ISNUMBER($C648)),NOT(ISNUMBER($M648)),$M648=0),"",$C648/$M648-1)</f>
        <v/>
      </c>
    </row>
    <row r="649" customFormat="false" ht="15" hidden="false" customHeight="true" outlineLevel="0" collapsed="false">
      <c r="A649" s="39"/>
      <c r="B649" s="40"/>
      <c r="C649" s="41"/>
      <c r="D649" s="40"/>
      <c r="E649" s="40"/>
      <c r="F649" s="40"/>
      <c r="G649" s="35" t="str">
        <f aca="false">IF($A649="","",IF(ISNUMBER($G648),$G648+1,1))</f>
        <v/>
      </c>
      <c r="H649" s="36" t="str">
        <f aca="false">IF(OR(NOT(ISNUMBER($G649)),$G649&lt;2,NOT(ISNUMBER($C648)),$C648=0),"",$C649/$C648-1)</f>
        <v/>
      </c>
      <c r="I649" s="37" t="str">
        <f aca="false">IF(AND(ISNUMBER($G649),$G649&gt;=MA_SHORT),AVERAGE(INDEX($C$249:$C649,402-MA_SHORT):$C649),"")</f>
        <v/>
      </c>
      <c r="J649" s="37" t="str">
        <f aca="false">IF(AND(ISNUMBER($G649),$G649&gt;=MA_MED),AVERAGE(INDEX($C$249:$C649,402-MA_MED):$C649),"")</f>
        <v/>
      </c>
      <c r="K649" s="37" t="str">
        <f aca="false">IF(AND(ISNUMBER($G649),$G649&gt;=MA_LONG2),AVERAGE(INDEX($C$249:$C649,402-MA_LONG2):$C649),"")</f>
        <v/>
      </c>
      <c r="L649" s="38" t="str">
        <f aca="false">IF(AND(ISNUMBER($G649),$G649&gt;=21),STDEV(INDEX($H$589:$H649,62-20):$H649)*SQRT(245),"")</f>
        <v/>
      </c>
      <c r="M649" s="37" t="str">
        <f aca="false">IF(AND(ISNUMBER($G649),$G649&gt;=60),MAX(INDEX($D$449:$D649,202-60):$D649),"")</f>
        <v/>
      </c>
      <c r="N649" s="37" t="str">
        <f aca="false">IF(AND(ISNUMBER($G649),$G649&gt;=60),MIN(INDEX($E$449:$E649,202-60):$E649),"")</f>
        <v/>
      </c>
      <c r="O649" s="38" t="str">
        <f aca="false">IF(OR(NOT(ISNUMBER($C649)),NOT(ISNUMBER($M649)),$M649=0),"",$C649/$M649-1)</f>
        <v/>
      </c>
    </row>
    <row r="650" customFormat="false" ht="15" hidden="false" customHeight="true" outlineLevel="0" collapsed="false">
      <c r="A650" s="39"/>
      <c r="B650" s="40"/>
      <c r="C650" s="41"/>
      <c r="D650" s="40"/>
      <c r="E650" s="40"/>
      <c r="F650" s="40"/>
      <c r="G650" s="35" t="str">
        <f aca="false">IF($A650="","",IF(ISNUMBER($G649),$G649+1,1))</f>
        <v/>
      </c>
      <c r="H650" s="36" t="str">
        <f aca="false">IF(OR(NOT(ISNUMBER($G650)),$G650&lt;2,NOT(ISNUMBER($C649)),$C649=0),"",$C650/$C649-1)</f>
        <v/>
      </c>
      <c r="I650" s="37" t="str">
        <f aca="false">IF(AND(ISNUMBER($G650),$G650&gt;=MA_SHORT),AVERAGE(INDEX($C$250:$C650,402-MA_SHORT):$C650),"")</f>
        <v/>
      </c>
      <c r="J650" s="37" t="str">
        <f aca="false">IF(AND(ISNUMBER($G650),$G650&gt;=MA_MED),AVERAGE(INDEX($C$250:$C650,402-MA_MED):$C650),"")</f>
        <v/>
      </c>
      <c r="K650" s="37" t="str">
        <f aca="false">IF(AND(ISNUMBER($G650),$G650&gt;=MA_LONG2),AVERAGE(INDEX($C$250:$C650,402-MA_LONG2):$C650),"")</f>
        <v/>
      </c>
      <c r="L650" s="38" t="str">
        <f aca="false">IF(AND(ISNUMBER($G650),$G650&gt;=21),STDEV(INDEX($H$590:$H650,62-20):$H650)*SQRT(245),"")</f>
        <v/>
      </c>
      <c r="M650" s="37" t="str">
        <f aca="false">IF(AND(ISNUMBER($G650),$G650&gt;=60),MAX(INDEX($D$450:$D650,202-60):$D650),"")</f>
        <v/>
      </c>
      <c r="N650" s="37" t="str">
        <f aca="false">IF(AND(ISNUMBER($G650),$G650&gt;=60),MIN(INDEX($E$450:$E650,202-60):$E650),"")</f>
        <v/>
      </c>
      <c r="O650" s="38" t="str">
        <f aca="false">IF(OR(NOT(ISNUMBER($C650)),NOT(ISNUMBER($M650)),$M650=0),"",$C650/$M650-1)</f>
        <v/>
      </c>
    </row>
    <row r="651" customFormat="false" ht="15" hidden="false" customHeight="true" outlineLevel="0" collapsed="false">
      <c r="A651" s="39"/>
      <c r="B651" s="40"/>
      <c r="C651" s="41"/>
      <c r="D651" s="40"/>
      <c r="E651" s="40"/>
      <c r="F651" s="40"/>
      <c r="G651" s="35" t="str">
        <f aca="false">IF($A651="","",IF(ISNUMBER($G650),$G650+1,1))</f>
        <v/>
      </c>
      <c r="H651" s="36" t="str">
        <f aca="false">IF(OR(NOT(ISNUMBER($G651)),$G651&lt;2,NOT(ISNUMBER($C650)),$C650=0),"",$C651/$C650-1)</f>
        <v/>
      </c>
      <c r="I651" s="37" t="str">
        <f aca="false">IF(AND(ISNUMBER($G651),$G651&gt;=MA_SHORT),AVERAGE(INDEX($C$251:$C651,402-MA_SHORT):$C651),"")</f>
        <v/>
      </c>
      <c r="J651" s="37" t="str">
        <f aca="false">IF(AND(ISNUMBER($G651),$G651&gt;=MA_MED),AVERAGE(INDEX($C$251:$C651,402-MA_MED):$C651),"")</f>
        <v/>
      </c>
      <c r="K651" s="37" t="str">
        <f aca="false">IF(AND(ISNUMBER($G651),$G651&gt;=MA_LONG2),AVERAGE(INDEX($C$251:$C651,402-MA_LONG2):$C651),"")</f>
        <v/>
      </c>
      <c r="L651" s="38" t="str">
        <f aca="false">IF(AND(ISNUMBER($G651),$G651&gt;=21),STDEV(INDEX($H$591:$H651,62-20):$H651)*SQRT(245),"")</f>
        <v/>
      </c>
      <c r="M651" s="37" t="str">
        <f aca="false">IF(AND(ISNUMBER($G651),$G651&gt;=60),MAX(INDEX($D$451:$D651,202-60):$D651),"")</f>
        <v/>
      </c>
      <c r="N651" s="37" t="str">
        <f aca="false">IF(AND(ISNUMBER($G651),$G651&gt;=60),MIN(INDEX($E$451:$E651,202-60):$E651),"")</f>
        <v/>
      </c>
      <c r="O651" s="38" t="str">
        <f aca="false">IF(OR(NOT(ISNUMBER($C651)),NOT(ISNUMBER($M651)),$M651=0),"",$C651/$M651-1)</f>
        <v/>
      </c>
    </row>
    <row r="652" customFormat="false" ht="15" hidden="false" customHeight="true" outlineLevel="0" collapsed="false">
      <c r="A652" s="39"/>
      <c r="B652" s="40"/>
      <c r="C652" s="41"/>
      <c r="D652" s="40"/>
      <c r="E652" s="40"/>
      <c r="F652" s="40"/>
      <c r="G652" s="35" t="str">
        <f aca="false">IF($A652="","",IF(ISNUMBER($G651),$G651+1,1))</f>
        <v/>
      </c>
      <c r="H652" s="36" t="str">
        <f aca="false">IF(OR(NOT(ISNUMBER($G652)),$G652&lt;2,NOT(ISNUMBER($C651)),$C651=0),"",$C652/$C651-1)</f>
        <v/>
      </c>
      <c r="I652" s="37" t="str">
        <f aca="false">IF(AND(ISNUMBER($G652),$G652&gt;=MA_SHORT),AVERAGE(INDEX($C$252:$C652,402-MA_SHORT):$C652),"")</f>
        <v/>
      </c>
      <c r="J652" s="37" t="str">
        <f aca="false">IF(AND(ISNUMBER($G652),$G652&gt;=MA_MED),AVERAGE(INDEX($C$252:$C652,402-MA_MED):$C652),"")</f>
        <v/>
      </c>
      <c r="K652" s="37" t="str">
        <f aca="false">IF(AND(ISNUMBER($G652),$G652&gt;=MA_LONG2),AVERAGE(INDEX($C$252:$C652,402-MA_LONG2):$C652),"")</f>
        <v/>
      </c>
      <c r="L652" s="38" t="str">
        <f aca="false">IF(AND(ISNUMBER($G652),$G652&gt;=21),STDEV(INDEX($H$592:$H652,62-20):$H652)*SQRT(245),"")</f>
        <v/>
      </c>
      <c r="M652" s="37" t="str">
        <f aca="false">IF(AND(ISNUMBER($G652),$G652&gt;=60),MAX(INDEX($D$452:$D652,202-60):$D652),"")</f>
        <v/>
      </c>
      <c r="N652" s="37" t="str">
        <f aca="false">IF(AND(ISNUMBER($G652),$G652&gt;=60),MIN(INDEX($E$452:$E652,202-60):$E652),"")</f>
        <v/>
      </c>
      <c r="O652" s="38" t="str">
        <f aca="false">IF(OR(NOT(ISNUMBER($C652)),NOT(ISNUMBER($M652)),$M652=0),"",$C652/$M652-1)</f>
        <v/>
      </c>
    </row>
    <row r="653" customFormat="false" ht="15" hidden="false" customHeight="true" outlineLevel="0" collapsed="false">
      <c r="A653" s="39"/>
      <c r="B653" s="40"/>
      <c r="C653" s="41"/>
      <c r="D653" s="40"/>
      <c r="E653" s="40"/>
      <c r="F653" s="40"/>
      <c r="G653" s="35" t="str">
        <f aca="false">IF($A653="","",IF(ISNUMBER($G652),$G652+1,1))</f>
        <v/>
      </c>
      <c r="H653" s="36" t="str">
        <f aca="false">IF(OR(NOT(ISNUMBER($G653)),$G653&lt;2,NOT(ISNUMBER($C652)),$C652=0),"",$C653/$C652-1)</f>
        <v/>
      </c>
      <c r="I653" s="37" t="str">
        <f aca="false">IF(AND(ISNUMBER($G653),$G653&gt;=MA_SHORT),AVERAGE(INDEX($C$253:$C653,402-MA_SHORT):$C653),"")</f>
        <v/>
      </c>
      <c r="J653" s="37" t="str">
        <f aca="false">IF(AND(ISNUMBER($G653),$G653&gt;=MA_MED),AVERAGE(INDEX($C$253:$C653,402-MA_MED):$C653),"")</f>
        <v/>
      </c>
      <c r="K653" s="37" t="str">
        <f aca="false">IF(AND(ISNUMBER($G653),$G653&gt;=MA_LONG2),AVERAGE(INDEX($C$253:$C653,402-MA_LONG2):$C653),"")</f>
        <v/>
      </c>
      <c r="L653" s="38" t="str">
        <f aca="false">IF(AND(ISNUMBER($G653),$G653&gt;=21),STDEV(INDEX($H$593:$H653,62-20):$H653)*SQRT(245),"")</f>
        <v/>
      </c>
      <c r="M653" s="37" t="str">
        <f aca="false">IF(AND(ISNUMBER($G653),$G653&gt;=60),MAX(INDEX($D$453:$D653,202-60):$D653),"")</f>
        <v/>
      </c>
      <c r="N653" s="37" t="str">
        <f aca="false">IF(AND(ISNUMBER($G653),$G653&gt;=60),MIN(INDEX($E$453:$E653,202-60):$E653),"")</f>
        <v/>
      </c>
      <c r="O653" s="38" t="str">
        <f aca="false">IF(OR(NOT(ISNUMBER($C653)),NOT(ISNUMBER($M653)),$M653=0),"",$C653/$M653-1)</f>
        <v/>
      </c>
    </row>
    <row r="654" customFormat="false" ht="15" hidden="false" customHeight="true" outlineLevel="0" collapsed="false">
      <c r="A654" s="39"/>
      <c r="B654" s="40"/>
      <c r="C654" s="41"/>
      <c r="D654" s="40"/>
      <c r="E654" s="40"/>
      <c r="F654" s="40"/>
      <c r="G654" s="35" t="str">
        <f aca="false">IF($A654="","",IF(ISNUMBER($G653),$G653+1,1))</f>
        <v/>
      </c>
      <c r="H654" s="36" t="str">
        <f aca="false">IF(OR(NOT(ISNUMBER($G654)),$G654&lt;2,NOT(ISNUMBER($C653)),$C653=0),"",$C654/$C653-1)</f>
        <v/>
      </c>
      <c r="I654" s="37" t="str">
        <f aca="false">IF(AND(ISNUMBER($G654),$G654&gt;=MA_SHORT),AVERAGE(INDEX($C$254:$C654,402-MA_SHORT):$C654),"")</f>
        <v/>
      </c>
      <c r="J654" s="37" t="str">
        <f aca="false">IF(AND(ISNUMBER($G654),$G654&gt;=MA_MED),AVERAGE(INDEX($C$254:$C654,402-MA_MED):$C654),"")</f>
        <v/>
      </c>
      <c r="K654" s="37" t="str">
        <f aca="false">IF(AND(ISNUMBER($G654),$G654&gt;=MA_LONG2),AVERAGE(INDEX($C$254:$C654,402-MA_LONG2):$C654),"")</f>
        <v/>
      </c>
      <c r="L654" s="38" t="str">
        <f aca="false">IF(AND(ISNUMBER($G654),$G654&gt;=21),STDEV(INDEX($H$594:$H654,62-20):$H654)*SQRT(245),"")</f>
        <v/>
      </c>
      <c r="M654" s="37" t="str">
        <f aca="false">IF(AND(ISNUMBER($G654),$G654&gt;=60),MAX(INDEX($D$454:$D654,202-60):$D654),"")</f>
        <v/>
      </c>
      <c r="N654" s="37" t="str">
        <f aca="false">IF(AND(ISNUMBER($G654),$G654&gt;=60),MIN(INDEX($E$454:$E654,202-60):$E654),"")</f>
        <v/>
      </c>
      <c r="O654" s="38" t="str">
        <f aca="false">IF(OR(NOT(ISNUMBER($C654)),NOT(ISNUMBER($M654)),$M654=0),"",$C654/$M654-1)</f>
        <v/>
      </c>
    </row>
    <row r="655" customFormat="false" ht="15" hidden="false" customHeight="true" outlineLevel="0" collapsed="false">
      <c r="A655" s="39"/>
      <c r="B655" s="40"/>
      <c r="C655" s="41"/>
      <c r="D655" s="40"/>
      <c r="E655" s="40"/>
      <c r="F655" s="40"/>
      <c r="G655" s="35" t="str">
        <f aca="false">IF($A655="","",IF(ISNUMBER($G654),$G654+1,1))</f>
        <v/>
      </c>
      <c r="H655" s="36" t="str">
        <f aca="false">IF(OR(NOT(ISNUMBER($G655)),$G655&lt;2,NOT(ISNUMBER($C654)),$C654=0),"",$C655/$C654-1)</f>
        <v/>
      </c>
      <c r="I655" s="37" t="str">
        <f aca="false">IF(AND(ISNUMBER($G655),$G655&gt;=MA_SHORT),AVERAGE(INDEX($C$255:$C655,402-MA_SHORT):$C655),"")</f>
        <v/>
      </c>
      <c r="J655" s="37" t="str">
        <f aca="false">IF(AND(ISNUMBER($G655),$G655&gt;=MA_MED),AVERAGE(INDEX($C$255:$C655,402-MA_MED):$C655),"")</f>
        <v/>
      </c>
      <c r="K655" s="37" t="str">
        <f aca="false">IF(AND(ISNUMBER($G655),$G655&gt;=MA_LONG2),AVERAGE(INDEX($C$255:$C655,402-MA_LONG2):$C655),"")</f>
        <v/>
      </c>
      <c r="L655" s="38" t="str">
        <f aca="false">IF(AND(ISNUMBER($G655),$G655&gt;=21),STDEV(INDEX($H$595:$H655,62-20):$H655)*SQRT(245),"")</f>
        <v/>
      </c>
      <c r="M655" s="37" t="str">
        <f aca="false">IF(AND(ISNUMBER($G655),$G655&gt;=60),MAX(INDEX($D$455:$D655,202-60):$D655),"")</f>
        <v/>
      </c>
      <c r="N655" s="37" t="str">
        <f aca="false">IF(AND(ISNUMBER($G655),$G655&gt;=60),MIN(INDEX($E$455:$E655,202-60):$E655),"")</f>
        <v/>
      </c>
      <c r="O655" s="38" t="str">
        <f aca="false">IF(OR(NOT(ISNUMBER($C655)),NOT(ISNUMBER($M655)),$M655=0),"",$C655/$M655-1)</f>
        <v/>
      </c>
    </row>
    <row r="656" customFormat="false" ht="15" hidden="false" customHeight="true" outlineLevel="0" collapsed="false">
      <c r="A656" s="39"/>
      <c r="B656" s="40"/>
      <c r="C656" s="41"/>
      <c r="D656" s="40"/>
      <c r="E656" s="40"/>
      <c r="F656" s="40"/>
      <c r="G656" s="35" t="str">
        <f aca="false">IF($A656="","",IF(ISNUMBER($G655),$G655+1,1))</f>
        <v/>
      </c>
      <c r="H656" s="36" t="str">
        <f aca="false">IF(OR(NOT(ISNUMBER($G656)),$G656&lt;2,NOT(ISNUMBER($C655)),$C655=0),"",$C656/$C655-1)</f>
        <v/>
      </c>
      <c r="I656" s="37" t="str">
        <f aca="false">IF(AND(ISNUMBER($G656),$G656&gt;=MA_SHORT),AVERAGE(INDEX($C$256:$C656,402-MA_SHORT):$C656),"")</f>
        <v/>
      </c>
      <c r="J656" s="37" t="str">
        <f aca="false">IF(AND(ISNUMBER($G656),$G656&gt;=MA_MED),AVERAGE(INDEX($C$256:$C656,402-MA_MED):$C656),"")</f>
        <v/>
      </c>
      <c r="K656" s="37" t="str">
        <f aca="false">IF(AND(ISNUMBER($G656),$G656&gt;=MA_LONG2),AVERAGE(INDEX($C$256:$C656,402-MA_LONG2):$C656),"")</f>
        <v/>
      </c>
      <c r="L656" s="38" t="str">
        <f aca="false">IF(AND(ISNUMBER($G656),$G656&gt;=21),STDEV(INDEX($H$596:$H656,62-20):$H656)*SQRT(245),"")</f>
        <v/>
      </c>
      <c r="M656" s="37" t="str">
        <f aca="false">IF(AND(ISNUMBER($G656),$G656&gt;=60),MAX(INDEX($D$456:$D656,202-60):$D656),"")</f>
        <v/>
      </c>
      <c r="N656" s="37" t="str">
        <f aca="false">IF(AND(ISNUMBER($G656),$G656&gt;=60),MIN(INDEX($E$456:$E656,202-60):$E656),"")</f>
        <v/>
      </c>
      <c r="O656" s="38" t="str">
        <f aca="false">IF(OR(NOT(ISNUMBER($C656)),NOT(ISNUMBER($M656)),$M656=0),"",$C656/$M656-1)</f>
        <v/>
      </c>
    </row>
    <row r="657" customFormat="false" ht="15" hidden="false" customHeight="true" outlineLevel="0" collapsed="false">
      <c r="A657" s="39"/>
      <c r="B657" s="40"/>
      <c r="C657" s="41"/>
      <c r="D657" s="40"/>
      <c r="E657" s="40"/>
      <c r="F657" s="40"/>
      <c r="G657" s="35" t="str">
        <f aca="false">IF($A657="","",IF(ISNUMBER($G656),$G656+1,1))</f>
        <v/>
      </c>
      <c r="H657" s="36" t="str">
        <f aca="false">IF(OR(NOT(ISNUMBER($G657)),$G657&lt;2,NOT(ISNUMBER($C656)),$C656=0),"",$C657/$C656-1)</f>
        <v/>
      </c>
      <c r="I657" s="37" t="str">
        <f aca="false">IF(AND(ISNUMBER($G657),$G657&gt;=MA_SHORT),AVERAGE(INDEX($C$257:$C657,402-MA_SHORT):$C657),"")</f>
        <v/>
      </c>
      <c r="J657" s="37" t="str">
        <f aca="false">IF(AND(ISNUMBER($G657),$G657&gt;=MA_MED),AVERAGE(INDEX($C$257:$C657,402-MA_MED):$C657),"")</f>
        <v/>
      </c>
      <c r="K657" s="37" t="str">
        <f aca="false">IF(AND(ISNUMBER($G657),$G657&gt;=MA_LONG2),AVERAGE(INDEX($C$257:$C657,402-MA_LONG2):$C657),"")</f>
        <v/>
      </c>
      <c r="L657" s="38" t="str">
        <f aca="false">IF(AND(ISNUMBER($G657),$G657&gt;=21),STDEV(INDEX($H$597:$H657,62-20):$H657)*SQRT(245),"")</f>
        <v/>
      </c>
      <c r="M657" s="37" t="str">
        <f aca="false">IF(AND(ISNUMBER($G657),$G657&gt;=60),MAX(INDEX($D$457:$D657,202-60):$D657),"")</f>
        <v/>
      </c>
      <c r="N657" s="37" t="str">
        <f aca="false">IF(AND(ISNUMBER($G657),$G657&gt;=60),MIN(INDEX($E$457:$E657,202-60):$E657),"")</f>
        <v/>
      </c>
      <c r="O657" s="38" t="str">
        <f aca="false">IF(OR(NOT(ISNUMBER($C657)),NOT(ISNUMBER($M657)),$M657=0),"",$C657/$M657-1)</f>
        <v/>
      </c>
    </row>
    <row r="658" customFormat="false" ht="15" hidden="false" customHeight="true" outlineLevel="0" collapsed="false">
      <c r="A658" s="39"/>
      <c r="B658" s="40"/>
      <c r="C658" s="41"/>
      <c r="D658" s="40"/>
      <c r="E658" s="40"/>
      <c r="F658" s="40"/>
      <c r="G658" s="35" t="str">
        <f aca="false">IF($A658="","",IF(ISNUMBER($G657),$G657+1,1))</f>
        <v/>
      </c>
      <c r="H658" s="36" t="str">
        <f aca="false">IF(OR(NOT(ISNUMBER($G658)),$G658&lt;2,NOT(ISNUMBER($C657)),$C657=0),"",$C658/$C657-1)</f>
        <v/>
      </c>
      <c r="I658" s="37" t="str">
        <f aca="false">IF(AND(ISNUMBER($G658),$G658&gt;=MA_SHORT),AVERAGE(INDEX($C$258:$C658,402-MA_SHORT):$C658),"")</f>
        <v/>
      </c>
      <c r="J658" s="37" t="str">
        <f aca="false">IF(AND(ISNUMBER($G658),$G658&gt;=MA_MED),AVERAGE(INDEX($C$258:$C658,402-MA_MED):$C658),"")</f>
        <v/>
      </c>
      <c r="K658" s="37" t="str">
        <f aca="false">IF(AND(ISNUMBER($G658),$G658&gt;=MA_LONG2),AVERAGE(INDEX($C$258:$C658,402-MA_LONG2):$C658),"")</f>
        <v/>
      </c>
      <c r="L658" s="38" t="str">
        <f aca="false">IF(AND(ISNUMBER($G658),$G658&gt;=21),STDEV(INDEX($H$598:$H658,62-20):$H658)*SQRT(245),"")</f>
        <v/>
      </c>
      <c r="M658" s="37" t="str">
        <f aca="false">IF(AND(ISNUMBER($G658),$G658&gt;=60),MAX(INDEX($D$458:$D658,202-60):$D658),"")</f>
        <v/>
      </c>
      <c r="N658" s="37" t="str">
        <f aca="false">IF(AND(ISNUMBER($G658),$G658&gt;=60),MIN(INDEX($E$458:$E658,202-60):$E658),"")</f>
        <v/>
      </c>
      <c r="O658" s="38" t="str">
        <f aca="false">IF(OR(NOT(ISNUMBER($C658)),NOT(ISNUMBER($M658)),$M658=0),"",$C658/$M658-1)</f>
        <v/>
      </c>
    </row>
    <row r="659" customFormat="false" ht="15" hidden="false" customHeight="true" outlineLevel="0" collapsed="false">
      <c r="A659" s="39"/>
      <c r="B659" s="40"/>
      <c r="C659" s="41"/>
      <c r="D659" s="40"/>
      <c r="E659" s="40"/>
      <c r="F659" s="40"/>
      <c r="G659" s="35" t="str">
        <f aca="false">IF($A659="","",IF(ISNUMBER($G658),$G658+1,1))</f>
        <v/>
      </c>
      <c r="H659" s="36" t="str">
        <f aca="false">IF(OR(NOT(ISNUMBER($G659)),$G659&lt;2,NOT(ISNUMBER($C658)),$C658=0),"",$C659/$C658-1)</f>
        <v/>
      </c>
      <c r="I659" s="37" t="str">
        <f aca="false">IF(AND(ISNUMBER($G659),$G659&gt;=MA_SHORT),AVERAGE(INDEX($C$259:$C659,402-MA_SHORT):$C659),"")</f>
        <v/>
      </c>
      <c r="J659" s="37" t="str">
        <f aca="false">IF(AND(ISNUMBER($G659),$G659&gt;=MA_MED),AVERAGE(INDEX($C$259:$C659,402-MA_MED):$C659),"")</f>
        <v/>
      </c>
      <c r="K659" s="37" t="str">
        <f aca="false">IF(AND(ISNUMBER($G659),$G659&gt;=MA_LONG2),AVERAGE(INDEX($C$259:$C659,402-MA_LONG2):$C659),"")</f>
        <v/>
      </c>
      <c r="L659" s="38" t="str">
        <f aca="false">IF(AND(ISNUMBER($G659),$G659&gt;=21),STDEV(INDEX($H$599:$H659,62-20):$H659)*SQRT(245),"")</f>
        <v/>
      </c>
      <c r="M659" s="37" t="str">
        <f aca="false">IF(AND(ISNUMBER($G659),$G659&gt;=60),MAX(INDEX($D$459:$D659,202-60):$D659),"")</f>
        <v/>
      </c>
      <c r="N659" s="37" t="str">
        <f aca="false">IF(AND(ISNUMBER($G659),$G659&gt;=60),MIN(INDEX($E$459:$E659,202-60):$E659),"")</f>
        <v/>
      </c>
      <c r="O659" s="38" t="str">
        <f aca="false">IF(OR(NOT(ISNUMBER($C659)),NOT(ISNUMBER($M659)),$M659=0),"",$C659/$M659-1)</f>
        <v/>
      </c>
    </row>
    <row r="660" customFormat="false" ht="15" hidden="false" customHeight="true" outlineLevel="0" collapsed="false">
      <c r="A660" s="39"/>
      <c r="B660" s="40"/>
      <c r="C660" s="41"/>
      <c r="D660" s="40"/>
      <c r="E660" s="40"/>
      <c r="F660" s="40"/>
      <c r="G660" s="35" t="str">
        <f aca="false">IF($A660="","",IF(ISNUMBER($G659),$G659+1,1))</f>
        <v/>
      </c>
      <c r="H660" s="36" t="str">
        <f aca="false">IF(OR(NOT(ISNUMBER($G660)),$G660&lt;2,NOT(ISNUMBER($C659)),$C659=0),"",$C660/$C659-1)</f>
        <v/>
      </c>
      <c r="I660" s="37" t="str">
        <f aca="false">IF(AND(ISNUMBER($G660),$G660&gt;=MA_SHORT),AVERAGE(INDEX($C$260:$C660,402-MA_SHORT):$C660),"")</f>
        <v/>
      </c>
      <c r="J660" s="37" t="str">
        <f aca="false">IF(AND(ISNUMBER($G660),$G660&gt;=MA_MED),AVERAGE(INDEX($C$260:$C660,402-MA_MED):$C660),"")</f>
        <v/>
      </c>
      <c r="K660" s="37" t="str">
        <f aca="false">IF(AND(ISNUMBER($G660),$G660&gt;=MA_LONG2),AVERAGE(INDEX($C$260:$C660,402-MA_LONG2):$C660),"")</f>
        <v/>
      </c>
      <c r="L660" s="38" t="str">
        <f aca="false">IF(AND(ISNUMBER($G660),$G660&gt;=21),STDEV(INDEX($H$600:$H660,62-20):$H660)*SQRT(245),"")</f>
        <v/>
      </c>
      <c r="M660" s="37" t="str">
        <f aca="false">IF(AND(ISNUMBER($G660),$G660&gt;=60),MAX(INDEX($D$460:$D660,202-60):$D660),"")</f>
        <v/>
      </c>
      <c r="N660" s="37" t="str">
        <f aca="false">IF(AND(ISNUMBER($G660),$G660&gt;=60),MIN(INDEX($E$460:$E660,202-60):$E660),"")</f>
        <v/>
      </c>
      <c r="O660" s="38" t="str">
        <f aca="false">IF(OR(NOT(ISNUMBER($C660)),NOT(ISNUMBER($M660)),$M660=0),"",$C660/$M660-1)</f>
        <v/>
      </c>
    </row>
    <row r="661" customFormat="false" ht="15" hidden="false" customHeight="true" outlineLevel="0" collapsed="false">
      <c r="A661" s="39"/>
      <c r="B661" s="40"/>
      <c r="C661" s="41"/>
      <c r="D661" s="40"/>
      <c r="E661" s="40"/>
      <c r="F661" s="40"/>
      <c r="G661" s="35" t="str">
        <f aca="false">IF($A661="","",IF(ISNUMBER($G660),$G660+1,1))</f>
        <v/>
      </c>
      <c r="H661" s="36" t="str">
        <f aca="false">IF(OR(NOT(ISNUMBER($G661)),$G661&lt;2,NOT(ISNUMBER($C660)),$C660=0),"",$C661/$C660-1)</f>
        <v/>
      </c>
      <c r="I661" s="37" t="str">
        <f aca="false">IF(AND(ISNUMBER($G661),$G661&gt;=MA_SHORT),AVERAGE(INDEX($C$261:$C661,402-MA_SHORT):$C661),"")</f>
        <v/>
      </c>
      <c r="J661" s="37" t="str">
        <f aca="false">IF(AND(ISNUMBER($G661),$G661&gt;=MA_MED),AVERAGE(INDEX($C$261:$C661,402-MA_MED):$C661),"")</f>
        <v/>
      </c>
      <c r="K661" s="37" t="str">
        <f aca="false">IF(AND(ISNUMBER($G661),$G661&gt;=MA_LONG2),AVERAGE(INDEX($C$261:$C661,402-MA_LONG2):$C661),"")</f>
        <v/>
      </c>
      <c r="L661" s="38" t="str">
        <f aca="false">IF(AND(ISNUMBER($G661),$G661&gt;=21),STDEV(INDEX($H$601:$H661,62-20):$H661)*SQRT(245),"")</f>
        <v/>
      </c>
      <c r="M661" s="37" t="str">
        <f aca="false">IF(AND(ISNUMBER($G661),$G661&gt;=60),MAX(INDEX($D$461:$D661,202-60):$D661),"")</f>
        <v/>
      </c>
      <c r="N661" s="37" t="str">
        <f aca="false">IF(AND(ISNUMBER($G661),$G661&gt;=60),MIN(INDEX($E$461:$E661,202-60):$E661),"")</f>
        <v/>
      </c>
      <c r="O661" s="38" t="str">
        <f aca="false">IF(OR(NOT(ISNUMBER($C661)),NOT(ISNUMBER($M661)),$M661=0),"",$C661/$M661-1)</f>
        <v/>
      </c>
    </row>
    <row r="662" customFormat="false" ht="15" hidden="false" customHeight="true" outlineLevel="0" collapsed="false">
      <c r="A662" s="39"/>
      <c r="B662" s="40"/>
      <c r="C662" s="41"/>
      <c r="D662" s="40"/>
      <c r="E662" s="40"/>
      <c r="F662" s="40"/>
      <c r="G662" s="35" t="str">
        <f aca="false">IF($A662="","",IF(ISNUMBER($G661),$G661+1,1))</f>
        <v/>
      </c>
      <c r="H662" s="36" t="str">
        <f aca="false">IF(OR(NOT(ISNUMBER($G662)),$G662&lt;2,NOT(ISNUMBER($C661)),$C661=0),"",$C662/$C661-1)</f>
        <v/>
      </c>
      <c r="I662" s="37" t="str">
        <f aca="false">IF(AND(ISNUMBER($G662),$G662&gt;=MA_SHORT),AVERAGE(INDEX($C$262:$C662,402-MA_SHORT):$C662),"")</f>
        <v/>
      </c>
      <c r="J662" s="37" t="str">
        <f aca="false">IF(AND(ISNUMBER($G662),$G662&gt;=MA_MED),AVERAGE(INDEX($C$262:$C662,402-MA_MED):$C662),"")</f>
        <v/>
      </c>
      <c r="K662" s="37" t="str">
        <f aca="false">IF(AND(ISNUMBER($G662),$G662&gt;=MA_LONG2),AVERAGE(INDEX($C$262:$C662,402-MA_LONG2):$C662),"")</f>
        <v/>
      </c>
      <c r="L662" s="38" t="str">
        <f aca="false">IF(AND(ISNUMBER($G662),$G662&gt;=21),STDEV(INDEX($H$602:$H662,62-20):$H662)*SQRT(245),"")</f>
        <v/>
      </c>
      <c r="M662" s="37" t="str">
        <f aca="false">IF(AND(ISNUMBER($G662),$G662&gt;=60),MAX(INDEX($D$462:$D662,202-60):$D662),"")</f>
        <v/>
      </c>
      <c r="N662" s="37" t="str">
        <f aca="false">IF(AND(ISNUMBER($G662),$G662&gt;=60),MIN(INDEX($E$462:$E662,202-60):$E662),"")</f>
        <v/>
      </c>
      <c r="O662" s="38" t="str">
        <f aca="false">IF(OR(NOT(ISNUMBER($C662)),NOT(ISNUMBER($M662)),$M662=0),"",$C662/$M662-1)</f>
        <v/>
      </c>
    </row>
    <row r="663" customFormat="false" ht="15" hidden="false" customHeight="true" outlineLevel="0" collapsed="false">
      <c r="A663" s="39"/>
      <c r="B663" s="40"/>
      <c r="C663" s="41"/>
      <c r="D663" s="40"/>
      <c r="E663" s="40"/>
      <c r="F663" s="40"/>
      <c r="G663" s="35" t="str">
        <f aca="false">IF($A663="","",IF(ISNUMBER($G662),$G662+1,1))</f>
        <v/>
      </c>
      <c r="H663" s="36" t="str">
        <f aca="false">IF(OR(NOT(ISNUMBER($G663)),$G663&lt;2,NOT(ISNUMBER($C662)),$C662=0),"",$C663/$C662-1)</f>
        <v/>
      </c>
      <c r="I663" s="37" t="str">
        <f aca="false">IF(AND(ISNUMBER($G663),$G663&gt;=MA_SHORT),AVERAGE(INDEX($C$263:$C663,402-MA_SHORT):$C663),"")</f>
        <v/>
      </c>
      <c r="J663" s="37" t="str">
        <f aca="false">IF(AND(ISNUMBER($G663),$G663&gt;=MA_MED),AVERAGE(INDEX($C$263:$C663,402-MA_MED):$C663),"")</f>
        <v/>
      </c>
      <c r="K663" s="37" t="str">
        <f aca="false">IF(AND(ISNUMBER($G663),$G663&gt;=MA_LONG2),AVERAGE(INDEX($C$263:$C663,402-MA_LONG2):$C663),"")</f>
        <v/>
      </c>
      <c r="L663" s="38" t="str">
        <f aca="false">IF(AND(ISNUMBER($G663),$G663&gt;=21),STDEV(INDEX($H$603:$H663,62-20):$H663)*SQRT(245),"")</f>
        <v/>
      </c>
      <c r="M663" s="37" t="str">
        <f aca="false">IF(AND(ISNUMBER($G663),$G663&gt;=60),MAX(INDEX($D$463:$D663,202-60):$D663),"")</f>
        <v/>
      </c>
      <c r="N663" s="37" t="str">
        <f aca="false">IF(AND(ISNUMBER($G663),$G663&gt;=60),MIN(INDEX($E$463:$E663,202-60):$E663),"")</f>
        <v/>
      </c>
      <c r="O663" s="38" t="str">
        <f aca="false">IF(OR(NOT(ISNUMBER($C663)),NOT(ISNUMBER($M663)),$M663=0),"",$C663/$M663-1)</f>
        <v/>
      </c>
    </row>
    <row r="664" customFormat="false" ht="15" hidden="false" customHeight="true" outlineLevel="0" collapsed="false">
      <c r="A664" s="39"/>
      <c r="B664" s="40"/>
      <c r="C664" s="41"/>
      <c r="D664" s="40"/>
      <c r="E664" s="40"/>
      <c r="F664" s="40"/>
      <c r="G664" s="35" t="str">
        <f aca="false">IF($A664="","",IF(ISNUMBER($G663),$G663+1,1))</f>
        <v/>
      </c>
      <c r="H664" s="36" t="str">
        <f aca="false">IF(OR(NOT(ISNUMBER($G664)),$G664&lt;2,NOT(ISNUMBER($C663)),$C663=0),"",$C664/$C663-1)</f>
        <v/>
      </c>
      <c r="I664" s="37" t="str">
        <f aca="false">IF(AND(ISNUMBER($G664),$G664&gt;=MA_SHORT),AVERAGE(INDEX($C$264:$C664,402-MA_SHORT):$C664),"")</f>
        <v/>
      </c>
      <c r="J664" s="37" t="str">
        <f aca="false">IF(AND(ISNUMBER($G664),$G664&gt;=MA_MED),AVERAGE(INDEX($C$264:$C664,402-MA_MED):$C664),"")</f>
        <v/>
      </c>
      <c r="K664" s="37" t="str">
        <f aca="false">IF(AND(ISNUMBER($G664),$G664&gt;=MA_LONG2),AVERAGE(INDEX($C$264:$C664,402-MA_LONG2):$C664),"")</f>
        <v/>
      </c>
      <c r="L664" s="38" t="str">
        <f aca="false">IF(AND(ISNUMBER($G664),$G664&gt;=21),STDEV(INDEX($H$604:$H664,62-20):$H664)*SQRT(245),"")</f>
        <v/>
      </c>
      <c r="M664" s="37" t="str">
        <f aca="false">IF(AND(ISNUMBER($G664),$G664&gt;=60),MAX(INDEX($D$464:$D664,202-60):$D664),"")</f>
        <v/>
      </c>
      <c r="N664" s="37" t="str">
        <f aca="false">IF(AND(ISNUMBER($G664),$G664&gt;=60),MIN(INDEX($E$464:$E664,202-60):$E664),"")</f>
        <v/>
      </c>
      <c r="O664" s="38" t="str">
        <f aca="false">IF(OR(NOT(ISNUMBER($C664)),NOT(ISNUMBER($M664)),$M664=0),"",$C664/$M664-1)</f>
        <v/>
      </c>
    </row>
    <row r="665" customFormat="false" ht="15" hidden="false" customHeight="true" outlineLevel="0" collapsed="false">
      <c r="A665" s="39"/>
      <c r="B665" s="40"/>
      <c r="C665" s="41"/>
      <c r="D665" s="40"/>
      <c r="E665" s="40"/>
      <c r="F665" s="40"/>
      <c r="G665" s="35" t="str">
        <f aca="false">IF($A665="","",IF(ISNUMBER($G664),$G664+1,1))</f>
        <v/>
      </c>
      <c r="H665" s="36" t="str">
        <f aca="false">IF(OR(NOT(ISNUMBER($G665)),$G665&lt;2,NOT(ISNUMBER($C664)),$C664=0),"",$C665/$C664-1)</f>
        <v/>
      </c>
      <c r="I665" s="37" t="str">
        <f aca="false">IF(AND(ISNUMBER($G665),$G665&gt;=MA_SHORT),AVERAGE(INDEX($C$265:$C665,402-MA_SHORT):$C665),"")</f>
        <v/>
      </c>
      <c r="J665" s="37" t="str">
        <f aca="false">IF(AND(ISNUMBER($G665),$G665&gt;=MA_MED),AVERAGE(INDEX($C$265:$C665,402-MA_MED):$C665),"")</f>
        <v/>
      </c>
      <c r="K665" s="37" t="str">
        <f aca="false">IF(AND(ISNUMBER($G665),$G665&gt;=MA_LONG2),AVERAGE(INDEX($C$265:$C665,402-MA_LONG2):$C665),"")</f>
        <v/>
      </c>
      <c r="L665" s="38" t="str">
        <f aca="false">IF(AND(ISNUMBER($G665),$G665&gt;=21),STDEV(INDEX($H$605:$H665,62-20):$H665)*SQRT(245),"")</f>
        <v/>
      </c>
      <c r="M665" s="37" t="str">
        <f aca="false">IF(AND(ISNUMBER($G665),$G665&gt;=60),MAX(INDEX($D$465:$D665,202-60):$D665),"")</f>
        <v/>
      </c>
      <c r="N665" s="37" t="str">
        <f aca="false">IF(AND(ISNUMBER($G665),$G665&gt;=60),MIN(INDEX($E$465:$E665,202-60):$E665),"")</f>
        <v/>
      </c>
      <c r="O665" s="38" t="str">
        <f aca="false">IF(OR(NOT(ISNUMBER($C665)),NOT(ISNUMBER($M665)),$M665=0),"",$C665/$M665-1)</f>
        <v/>
      </c>
    </row>
    <row r="666" customFormat="false" ht="15" hidden="false" customHeight="true" outlineLevel="0" collapsed="false">
      <c r="A666" s="39"/>
      <c r="B666" s="40"/>
      <c r="C666" s="41"/>
      <c r="D666" s="40"/>
      <c r="E666" s="40"/>
      <c r="F666" s="40"/>
      <c r="G666" s="35" t="str">
        <f aca="false">IF($A666="","",IF(ISNUMBER($G665),$G665+1,1))</f>
        <v/>
      </c>
      <c r="H666" s="36" t="str">
        <f aca="false">IF(OR(NOT(ISNUMBER($G666)),$G666&lt;2,NOT(ISNUMBER($C665)),$C665=0),"",$C666/$C665-1)</f>
        <v/>
      </c>
      <c r="I666" s="37" t="str">
        <f aca="false">IF(AND(ISNUMBER($G666),$G666&gt;=MA_SHORT),AVERAGE(INDEX($C$266:$C666,402-MA_SHORT):$C666),"")</f>
        <v/>
      </c>
      <c r="J666" s="37" t="str">
        <f aca="false">IF(AND(ISNUMBER($G666),$G666&gt;=MA_MED),AVERAGE(INDEX($C$266:$C666,402-MA_MED):$C666),"")</f>
        <v/>
      </c>
      <c r="K666" s="37" t="str">
        <f aca="false">IF(AND(ISNUMBER($G666),$G666&gt;=MA_LONG2),AVERAGE(INDEX($C$266:$C666,402-MA_LONG2):$C666),"")</f>
        <v/>
      </c>
      <c r="L666" s="38" t="str">
        <f aca="false">IF(AND(ISNUMBER($G666),$G666&gt;=21),STDEV(INDEX($H$606:$H666,62-20):$H666)*SQRT(245),"")</f>
        <v/>
      </c>
      <c r="M666" s="37" t="str">
        <f aca="false">IF(AND(ISNUMBER($G666),$G666&gt;=60),MAX(INDEX($D$466:$D666,202-60):$D666),"")</f>
        <v/>
      </c>
      <c r="N666" s="37" t="str">
        <f aca="false">IF(AND(ISNUMBER($G666),$G666&gt;=60),MIN(INDEX($E$466:$E666,202-60):$E666),"")</f>
        <v/>
      </c>
      <c r="O666" s="38" t="str">
        <f aca="false">IF(OR(NOT(ISNUMBER($C666)),NOT(ISNUMBER($M666)),$M666=0),"",$C666/$M666-1)</f>
        <v/>
      </c>
    </row>
    <row r="667" customFormat="false" ht="15" hidden="false" customHeight="true" outlineLevel="0" collapsed="false">
      <c r="A667" s="39"/>
      <c r="B667" s="40"/>
      <c r="C667" s="41"/>
      <c r="D667" s="40"/>
      <c r="E667" s="40"/>
      <c r="F667" s="40"/>
      <c r="G667" s="35" t="str">
        <f aca="false">IF($A667="","",IF(ISNUMBER($G666),$G666+1,1))</f>
        <v/>
      </c>
      <c r="H667" s="36" t="str">
        <f aca="false">IF(OR(NOT(ISNUMBER($G667)),$G667&lt;2,NOT(ISNUMBER($C666)),$C666=0),"",$C667/$C666-1)</f>
        <v/>
      </c>
      <c r="I667" s="37" t="str">
        <f aca="false">IF(AND(ISNUMBER($G667),$G667&gt;=MA_SHORT),AVERAGE(INDEX($C$267:$C667,402-MA_SHORT):$C667),"")</f>
        <v/>
      </c>
      <c r="J667" s="37" t="str">
        <f aca="false">IF(AND(ISNUMBER($G667),$G667&gt;=MA_MED),AVERAGE(INDEX($C$267:$C667,402-MA_MED):$C667),"")</f>
        <v/>
      </c>
      <c r="K667" s="37" t="str">
        <f aca="false">IF(AND(ISNUMBER($G667),$G667&gt;=MA_LONG2),AVERAGE(INDEX($C$267:$C667,402-MA_LONG2):$C667),"")</f>
        <v/>
      </c>
      <c r="L667" s="38" t="str">
        <f aca="false">IF(AND(ISNUMBER($G667),$G667&gt;=21),STDEV(INDEX($H$607:$H667,62-20):$H667)*SQRT(245),"")</f>
        <v/>
      </c>
      <c r="M667" s="37" t="str">
        <f aca="false">IF(AND(ISNUMBER($G667),$G667&gt;=60),MAX(INDEX($D$467:$D667,202-60):$D667),"")</f>
        <v/>
      </c>
      <c r="N667" s="37" t="str">
        <f aca="false">IF(AND(ISNUMBER($G667),$G667&gt;=60),MIN(INDEX($E$467:$E667,202-60):$E667),"")</f>
        <v/>
      </c>
      <c r="O667" s="38" t="str">
        <f aca="false">IF(OR(NOT(ISNUMBER($C667)),NOT(ISNUMBER($M667)),$M667=0),"",$C667/$M667-1)</f>
        <v/>
      </c>
    </row>
    <row r="668" customFormat="false" ht="15" hidden="false" customHeight="true" outlineLevel="0" collapsed="false">
      <c r="A668" s="39"/>
      <c r="B668" s="40"/>
      <c r="C668" s="41"/>
      <c r="D668" s="40"/>
      <c r="E668" s="40"/>
      <c r="F668" s="40"/>
      <c r="G668" s="35" t="str">
        <f aca="false">IF($A668="","",IF(ISNUMBER($G667),$G667+1,1))</f>
        <v/>
      </c>
      <c r="H668" s="36" t="str">
        <f aca="false">IF(OR(NOT(ISNUMBER($G668)),$G668&lt;2,NOT(ISNUMBER($C667)),$C667=0),"",$C668/$C667-1)</f>
        <v/>
      </c>
      <c r="I668" s="37" t="str">
        <f aca="false">IF(AND(ISNUMBER($G668),$G668&gt;=MA_SHORT),AVERAGE(INDEX($C$268:$C668,402-MA_SHORT):$C668),"")</f>
        <v/>
      </c>
      <c r="J668" s="37" t="str">
        <f aca="false">IF(AND(ISNUMBER($G668),$G668&gt;=MA_MED),AVERAGE(INDEX($C$268:$C668,402-MA_MED):$C668),"")</f>
        <v/>
      </c>
      <c r="K668" s="37" t="str">
        <f aca="false">IF(AND(ISNUMBER($G668),$G668&gt;=MA_LONG2),AVERAGE(INDEX($C$268:$C668,402-MA_LONG2):$C668),"")</f>
        <v/>
      </c>
      <c r="L668" s="38" t="str">
        <f aca="false">IF(AND(ISNUMBER($G668),$G668&gt;=21),STDEV(INDEX($H$608:$H668,62-20):$H668)*SQRT(245),"")</f>
        <v/>
      </c>
      <c r="M668" s="37" t="str">
        <f aca="false">IF(AND(ISNUMBER($G668),$G668&gt;=60),MAX(INDEX($D$468:$D668,202-60):$D668),"")</f>
        <v/>
      </c>
      <c r="N668" s="37" t="str">
        <f aca="false">IF(AND(ISNUMBER($G668),$G668&gt;=60),MIN(INDEX($E$468:$E668,202-60):$E668),"")</f>
        <v/>
      </c>
      <c r="O668" s="38" t="str">
        <f aca="false">IF(OR(NOT(ISNUMBER($C668)),NOT(ISNUMBER($M668)),$M668=0),"",$C668/$M668-1)</f>
        <v/>
      </c>
    </row>
    <row r="669" customFormat="false" ht="15" hidden="false" customHeight="true" outlineLevel="0" collapsed="false">
      <c r="A669" s="39"/>
      <c r="B669" s="40"/>
      <c r="C669" s="41"/>
      <c r="D669" s="40"/>
      <c r="E669" s="40"/>
      <c r="F669" s="40"/>
      <c r="G669" s="35" t="str">
        <f aca="false">IF($A669="","",IF(ISNUMBER($G668),$G668+1,1))</f>
        <v/>
      </c>
      <c r="H669" s="36" t="str">
        <f aca="false">IF(OR(NOT(ISNUMBER($G669)),$G669&lt;2,NOT(ISNUMBER($C668)),$C668=0),"",$C669/$C668-1)</f>
        <v/>
      </c>
      <c r="I669" s="37" t="str">
        <f aca="false">IF(AND(ISNUMBER($G669),$G669&gt;=MA_SHORT),AVERAGE(INDEX($C$269:$C669,402-MA_SHORT):$C669),"")</f>
        <v/>
      </c>
      <c r="J669" s="37" t="str">
        <f aca="false">IF(AND(ISNUMBER($G669),$G669&gt;=MA_MED),AVERAGE(INDEX($C$269:$C669,402-MA_MED):$C669),"")</f>
        <v/>
      </c>
      <c r="K669" s="37" t="str">
        <f aca="false">IF(AND(ISNUMBER($G669),$G669&gt;=MA_LONG2),AVERAGE(INDEX($C$269:$C669,402-MA_LONG2):$C669),"")</f>
        <v/>
      </c>
      <c r="L669" s="38" t="str">
        <f aca="false">IF(AND(ISNUMBER($G669),$G669&gt;=21),STDEV(INDEX($H$609:$H669,62-20):$H669)*SQRT(245),"")</f>
        <v/>
      </c>
      <c r="M669" s="37" t="str">
        <f aca="false">IF(AND(ISNUMBER($G669),$G669&gt;=60),MAX(INDEX($D$469:$D669,202-60):$D669),"")</f>
        <v/>
      </c>
      <c r="N669" s="37" t="str">
        <f aca="false">IF(AND(ISNUMBER($G669),$G669&gt;=60),MIN(INDEX($E$469:$E669,202-60):$E669),"")</f>
        <v/>
      </c>
      <c r="O669" s="38" t="str">
        <f aca="false">IF(OR(NOT(ISNUMBER($C669)),NOT(ISNUMBER($M669)),$M669=0),"",$C669/$M669-1)</f>
        <v/>
      </c>
    </row>
    <row r="670" customFormat="false" ht="15" hidden="false" customHeight="true" outlineLevel="0" collapsed="false">
      <c r="A670" s="39"/>
      <c r="B670" s="40"/>
      <c r="C670" s="41"/>
      <c r="D670" s="40"/>
      <c r="E670" s="40"/>
      <c r="F670" s="40"/>
      <c r="G670" s="35" t="str">
        <f aca="false">IF($A670="","",IF(ISNUMBER($G669),$G669+1,1))</f>
        <v/>
      </c>
      <c r="H670" s="36" t="str">
        <f aca="false">IF(OR(NOT(ISNUMBER($G670)),$G670&lt;2,NOT(ISNUMBER($C669)),$C669=0),"",$C670/$C669-1)</f>
        <v/>
      </c>
      <c r="I670" s="37" t="str">
        <f aca="false">IF(AND(ISNUMBER($G670),$G670&gt;=MA_SHORT),AVERAGE(INDEX($C$270:$C670,402-MA_SHORT):$C670),"")</f>
        <v/>
      </c>
      <c r="J670" s="37" t="str">
        <f aca="false">IF(AND(ISNUMBER($G670),$G670&gt;=MA_MED),AVERAGE(INDEX($C$270:$C670,402-MA_MED):$C670),"")</f>
        <v/>
      </c>
      <c r="K670" s="37" t="str">
        <f aca="false">IF(AND(ISNUMBER($G670),$G670&gt;=MA_LONG2),AVERAGE(INDEX($C$270:$C670,402-MA_LONG2):$C670),"")</f>
        <v/>
      </c>
      <c r="L670" s="38" t="str">
        <f aca="false">IF(AND(ISNUMBER($G670),$G670&gt;=21),STDEV(INDEX($H$610:$H670,62-20):$H670)*SQRT(245),"")</f>
        <v/>
      </c>
      <c r="M670" s="37" t="str">
        <f aca="false">IF(AND(ISNUMBER($G670),$G670&gt;=60),MAX(INDEX($D$470:$D670,202-60):$D670),"")</f>
        <v/>
      </c>
      <c r="N670" s="37" t="str">
        <f aca="false">IF(AND(ISNUMBER($G670),$G670&gt;=60),MIN(INDEX($E$470:$E670,202-60):$E670),"")</f>
        <v/>
      </c>
      <c r="O670" s="38" t="str">
        <f aca="false">IF(OR(NOT(ISNUMBER($C670)),NOT(ISNUMBER($M670)),$M670=0),"",$C670/$M670-1)</f>
        <v/>
      </c>
    </row>
    <row r="671" customFormat="false" ht="15" hidden="false" customHeight="true" outlineLevel="0" collapsed="false">
      <c r="A671" s="39"/>
      <c r="B671" s="40"/>
      <c r="C671" s="41"/>
      <c r="D671" s="40"/>
      <c r="E671" s="40"/>
      <c r="F671" s="40"/>
      <c r="G671" s="35" t="str">
        <f aca="false">IF($A671="","",IF(ISNUMBER($G670),$G670+1,1))</f>
        <v/>
      </c>
      <c r="H671" s="36" t="str">
        <f aca="false">IF(OR(NOT(ISNUMBER($G671)),$G671&lt;2,NOT(ISNUMBER($C670)),$C670=0),"",$C671/$C670-1)</f>
        <v/>
      </c>
      <c r="I671" s="37" t="str">
        <f aca="false">IF(AND(ISNUMBER($G671),$G671&gt;=MA_SHORT),AVERAGE(INDEX($C$271:$C671,402-MA_SHORT):$C671),"")</f>
        <v/>
      </c>
      <c r="J671" s="37" t="str">
        <f aca="false">IF(AND(ISNUMBER($G671),$G671&gt;=MA_MED),AVERAGE(INDEX($C$271:$C671,402-MA_MED):$C671),"")</f>
        <v/>
      </c>
      <c r="K671" s="37" t="str">
        <f aca="false">IF(AND(ISNUMBER($G671),$G671&gt;=MA_LONG2),AVERAGE(INDEX($C$271:$C671,402-MA_LONG2):$C671),"")</f>
        <v/>
      </c>
      <c r="L671" s="38" t="str">
        <f aca="false">IF(AND(ISNUMBER($G671),$G671&gt;=21),STDEV(INDEX($H$611:$H671,62-20):$H671)*SQRT(245),"")</f>
        <v/>
      </c>
      <c r="M671" s="37" t="str">
        <f aca="false">IF(AND(ISNUMBER($G671),$G671&gt;=60),MAX(INDEX($D$471:$D671,202-60):$D671),"")</f>
        <v/>
      </c>
      <c r="N671" s="37" t="str">
        <f aca="false">IF(AND(ISNUMBER($G671),$G671&gt;=60),MIN(INDEX($E$471:$E671,202-60):$E671),"")</f>
        <v/>
      </c>
      <c r="O671" s="38" t="str">
        <f aca="false">IF(OR(NOT(ISNUMBER($C671)),NOT(ISNUMBER($M671)),$M671=0),"",$C671/$M671-1)</f>
        <v/>
      </c>
    </row>
    <row r="672" customFormat="false" ht="15" hidden="false" customHeight="true" outlineLevel="0" collapsed="false">
      <c r="A672" s="39"/>
      <c r="B672" s="40"/>
      <c r="C672" s="41"/>
      <c r="D672" s="40"/>
      <c r="E672" s="40"/>
      <c r="F672" s="40"/>
      <c r="G672" s="35" t="str">
        <f aca="false">IF($A672="","",IF(ISNUMBER($G671),$G671+1,1))</f>
        <v/>
      </c>
      <c r="H672" s="36" t="str">
        <f aca="false">IF(OR(NOT(ISNUMBER($G672)),$G672&lt;2,NOT(ISNUMBER($C671)),$C671=0),"",$C672/$C671-1)</f>
        <v/>
      </c>
      <c r="I672" s="37" t="str">
        <f aca="false">IF(AND(ISNUMBER($G672),$G672&gt;=MA_SHORT),AVERAGE(INDEX($C$272:$C672,402-MA_SHORT):$C672),"")</f>
        <v/>
      </c>
      <c r="J672" s="37" t="str">
        <f aca="false">IF(AND(ISNUMBER($G672),$G672&gt;=MA_MED),AVERAGE(INDEX($C$272:$C672,402-MA_MED):$C672),"")</f>
        <v/>
      </c>
      <c r="K672" s="37" t="str">
        <f aca="false">IF(AND(ISNUMBER($G672),$G672&gt;=MA_LONG2),AVERAGE(INDEX($C$272:$C672,402-MA_LONG2):$C672),"")</f>
        <v/>
      </c>
      <c r="L672" s="38" t="str">
        <f aca="false">IF(AND(ISNUMBER($G672),$G672&gt;=21),STDEV(INDEX($H$612:$H672,62-20):$H672)*SQRT(245),"")</f>
        <v/>
      </c>
      <c r="M672" s="37" t="str">
        <f aca="false">IF(AND(ISNUMBER($G672),$G672&gt;=60),MAX(INDEX($D$472:$D672,202-60):$D672),"")</f>
        <v/>
      </c>
      <c r="N672" s="37" t="str">
        <f aca="false">IF(AND(ISNUMBER($G672),$G672&gt;=60),MIN(INDEX($E$472:$E672,202-60):$E672),"")</f>
        <v/>
      </c>
      <c r="O672" s="38" t="str">
        <f aca="false">IF(OR(NOT(ISNUMBER($C672)),NOT(ISNUMBER($M672)),$M672=0),"",$C672/$M672-1)</f>
        <v/>
      </c>
    </row>
    <row r="673" customFormat="false" ht="15" hidden="false" customHeight="true" outlineLevel="0" collapsed="false">
      <c r="A673" s="39"/>
      <c r="B673" s="40"/>
      <c r="C673" s="41"/>
      <c r="D673" s="40"/>
      <c r="E673" s="40"/>
      <c r="F673" s="40"/>
      <c r="G673" s="35" t="str">
        <f aca="false">IF($A673="","",IF(ISNUMBER($G672),$G672+1,1))</f>
        <v/>
      </c>
      <c r="H673" s="36" t="str">
        <f aca="false">IF(OR(NOT(ISNUMBER($G673)),$G673&lt;2,NOT(ISNUMBER($C672)),$C672=0),"",$C673/$C672-1)</f>
        <v/>
      </c>
      <c r="I673" s="37" t="str">
        <f aca="false">IF(AND(ISNUMBER($G673),$G673&gt;=MA_SHORT),AVERAGE(INDEX($C$273:$C673,402-MA_SHORT):$C673),"")</f>
        <v/>
      </c>
      <c r="J673" s="37" t="str">
        <f aca="false">IF(AND(ISNUMBER($G673),$G673&gt;=MA_MED),AVERAGE(INDEX($C$273:$C673,402-MA_MED):$C673),"")</f>
        <v/>
      </c>
      <c r="K673" s="37" t="str">
        <f aca="false">IF(AND(ISNUMBER($G673),$G673&gt;=MA_LONG2),AVERAGE(INDEX($C$273:$C673,402-MA_LONG2):$C673),"")</f>
        <v/>
      </c>
      <c r="L673" s="38" t="str">
        <f aca="false">IF(AND(ISNUMBER($G673),$G673&gt;=21),STDEV(INDEX($H$613:$H673,62-20):$H673)*SQRT(245),"")</f>
        <v/>
      </c>
      <c r="M673" s="37" t="str">
        <f aca="false">IF(AND(ISNUMBER($G673),$G673&gt;=60),MAX(INDEX($D$473:$D673,202-60):$D673),"")</f>
        <v/>
      </c>
      <c r="N673" s="37" t="str">
        <f aca="false">IF(AND(ISNUMBER($G673),$G673&gt;=60),MIN(INDEX($E$473:$E673,202-60):$E673),"")</f>
        <v/>
      </c>
      <c r="O673" s="38" t="str">
        <f aca="false">IF(OR(NOT(ISNUMBER($C673)),NOT(ISNUMBER($M673)),$M673=0),"",$C673/$M673-1)</f>
        <v/>
      </c>
    </row>
    <row r="674" customFormat="false" ht="15" hidden="false" customHeight="true" outlineLevel="0" collapsed="false">
      <c r="A674" s="39"/>
      <c r="B674" s="40"/>
      <c r="C674" s="41"/>
      <c r="D674" s="40"/>
      <c r="E674" s="40"/>
      <c r="F674" s="40"/>
      <c r="G674" s="35" t="str">
        <f aca="false">IF($A674="","",IF(ISNUMBER($G673),$G673+1,1))</f>
        <v/>
      </c>
      <c r="H674" s="36" t="str">
        <f aca="false">IF(OR(NOT(ISNUMBER($G674)),$G674&lt;2,NOT(ISNUMBER($C673)),$C673=0),"",$C674/$C673-1)</f>
        <v/>
      </c>
      <c r="I674" s="37" t="str">
        <f aca="false">IF(AND(ISNUMBER($G674),$G674&gt;=MA_SHORT),AVERAGE(INDEX($C$274:$C674,402-MA_SHORT):$C674),"")</f>
        <v/>
      </c>
      <c r="J674" s="37" t="str">
        <f aca="false">IF(AND(ISNUMBER($G674),$G674&gt;=MA_MED),AVERAGE(INDEX($C$274:$C674,402-MA_MED):$C674),"")</f>
        <v/>
      </c>
      <c r="K674" s="37" t="str">
        <f aca="false">IF(AND(ISNUMBER($G674),$G674&gt;=MA_LONG2),AVERAGE(INDEX($C$274:$C674,402-MA_LONG2):$C674),"")</f>
        <v/>
      </c>
      <c r="L674" s="38" t="str">
        <f aca="false">IF(AND(ISNUMBER($G674),$G674&gt;=21),STDEV(INDEX($H$614:$H674,62-20):$H674)*SQRT(245),"")</f>
        <v/>
      </c>
      <c r="M674" s="37" t="str">
        <f aca="false">IF(AND(ISNUMBER($G674),$G674&gt;=60),MAX(INDEX($D$474:$D674,202-60):$D674),"")</f>
        <v/>
      </c>
      <c r="N674" s="37" t="str">
        <f aca="false">IF(AND(ISNUMBER($G674),$G674&gt;=60),MIN(INDEX($E$474:$E674,202-60):$E674),"")</f>
        <v/>
      </c>
      <c r="O674" s="38" t="str">
        <f aca="false">IF(OR(NOT(ISNUMBER($C674)),NOT(ISNUMBER($M674)),$M674=0),"",$C674/$M674-1)</f>
        <v/>
      </c>
    </row>
    <row r="675" customFormat="false" ht="15" hidden="false" customHeight="true" outlineLevel="0" collapsed="false">
      <c r="A675" s="39"/>
      <c r="B675" s="40"/>
      <c r="C675" s="41"/>
      <c r="D675" s="40"/>
      <c r="E675" s="40"/>
      <c r="F675" s="40"/>
      <c r="G675" s="35" t="str">
        <f aca="false">IF($A675="","",IF(ISNUMBER($G674),$G674+1,1))</f>
        <v/>
      </c>
      <c r="H675" s="36" t="str">
        <f aca="false">IF(OR(NOT(ISNUMBER($G675)),$G675&lt;2,NOT(ISNUMBER($C674)),$C674=0),"",$C675/$C674-1)</f>
        <v/>
      </c>
      <c r="I675" s="37" t="str">
        <f aca="false">IF(AND(ISNUMBER($G675),$G675&gt;=MA_SHORT),AVERAGE(INDEX($C$275:$C675,402-MA_SHORT):$C675),"")</f>
        <v/>
      </c>
      <c r="J675" s="37" t="str">
        <f aca="false">IF(AND(ISNUMBER($G675),$G675&gt;=MA_MED),AVERAGE(INDEX($C$275:$C675,402-MA_MED):$C675),"")</f>
        <v/>
      </c>
      <c r="K675" s="37" t="str">
        <f aca="false">IF(AND(ISNUMBER($G675),$G675&gt;=MA_LONG2),AVERAGE(INDEX($C$275:$C675,402-MA_LONG2):$C675),"")</f>
        <v/>
      </c>
      <c r="L675" s="38" t="str">
        <f aca="false">IF(AND(ISNUMBER($G675),$G675&gt;=21),STDEV(INDEX($H$615:$H675,62-20):$H675)*SQRT(245),"")</f>
        <v/>
      </c>
      <c r="M675" s="37" t="str">
        <f aca="false">IF(AND(ISNUMBER($G675),$G675&gt;=60),MAX(INDEX($D$475:$D675,202-60):$D675),"")</f>
        <v/>
      </c>
      <c r="N675" s="37" t="str">
        <f aca="false">IF(AND(ISNUMBER($G675),$G675&gt;=60),MIN(INDEX($E$475:$E675,202-60):$E675),"")</f>
        <v/>
      </c>
      <c r="O675" s="38" t="str">
        <f aca="false">IF(OR(NOT(ISNUMBER($C675)),NOT(ISNUMBER($M675)),$M675=0),"",$C675/$M675-1)</f>
        <v/>
      </c>
    </row>
    <row r="676" customFormat="false" ht="15" hidden="false" customHeight="true" outlineLevel="0" collapsed="false">
      <c r="A676" s="39"/>
      <c r="B676" s="40"/>
      <c r="C676" s="41"/>
      <c r="D676" s="40"/>
      <c r="E676" s="40"/>
      <c r="F676" s="40"/>
      <c r="G676" s="35" t="str">
        <f aca="false">IF($A676="","",IF(ISNUMBER($G675),$G675+1,1))</f>
        <v/>
      </c>
      <c r="H676" s="36" t="str">
        <f aca="false">IF(OR(NOT(ISNUMBER($G676)),$G676&lt;2,NOT(ISNUMBER($C675)),$C675=0),"",$C676/$C675-1)</f>
        <v/>
      </c>
      <c r="I676" s="37" t="str">
        <f aca="false">IF(AND(ISNUMBER($G676),$G676&gt;=MA_SHORT),AVERAGE(INDEX($C$276:$C676,402-MA_SHORT):$C676),"")</f>
        <v/>
      </c>
      <c r="J676" s="37" t="str">
        <f aca="false">IF(AND(ISNUMBER($G676),$G676&gt;=MA_MED),AVERAGE(INDEX($C$276:$C676,402-MA_MED):$C676),"")</f>
        <v/>
      </c>
      <c r="K676" s="37" t="str">
        <f aca="false">IF(AND(ISNUMBER($G676),$G676&gt;=MA_LONG2),AVERAGE(INDEX($C$276:$C676,402-MA_LONG2):$C676),"")</f>
        <v/>
      </c>
      <c r="L676" s="38" t="str">
        <f aca="false">IF(AND(ISNUMBER($G676),$G676&gt;=21),STDEV(INDEX($H$616:$H676,62-20):$H676)*SQRT(245),"")</f>
        <v/>
      </c>
      <c r="M676" s="37" t="str">
        <f aca="false">IF(AND(ISNUMBER($G676),$G676&gt;=60),MAX(INDEX($D$476:$D676,202-60):$D676),"")</f>
        <v/>
      </c>
      <c r="N676" s="37" t="str">
        <f aca="false">IF(AND(ISNUMBER($G676),$G676&gt;=60),MIN(INDEX($E$476:$E676,202-60):$E676),"")</f>
        <v/>
      </c>
      <c r="O676" s="38" t="str">
        <f aca="false">IF(OR(NOT(ISNUMBER($C676)),NOT(ISNUMBER($M676)),$M676=0),"",$C676/$M676-1)</f>
        <v/>
      </c>
    </row>
    <row r="677" customFormat="false" ht="15" hidden="false" customHeight="true" outlineLevel="0" collapsed="false">
      <c r="A677" s="39"/>
      <c r="B677" s="40"/>
      <c r="C677" s="41"/>
      <c r="D677" s="40"/>
      <c r="E677" s="40"/>
      <c r="F677" s="40"/>
      <c r="G677" s="35" t="str">
        <f aca="false">IF($A677="","",IF(ISNUMBER($G676),$G676+1,1))</f>
        <v/>
      </c>
      <c r="H677" s="36" t="str">
        <f aca="false">IF(OR(NOT(ISNUMBER($G677)),$G677&lt;2,NOT(ISNUMBER($C676)),$C676=0),"",$C677/$C676-1)</f>
        <v/>
      </c>
      <c r="I677" s="37" t="str">
        <f aca="false">IF(AND(ISNUMBER($G677),$G677&gt;=MA_SHORT),AVERAGE(INDEX($C$277:$C677,402-MA_SHORT):$C677),"")</f>
        <v/>
      </c>
      <c r="J677" s="37" t="str">
        <f aca="false">IF(AND(ISNUMBER($G677),$G677&gt;=MA_MED),AVERAGE(INDEX($C$277:$C677,402-MA_MED):$C677),"")</f>
        <v/>
      </c>
      <c r="K677" s="37" t="str">
        <f aca="false">IF(AND(ISNUMBER($G677),$G677&gt;=MA_LONG2),AVERAGE(INDEX($C$277:$C677,402-MA_LONG2):$C677),"")</f>
        <v/>
      </c>
      <c r="L677" s="38" t="str">
        <f aca="false">IF(AND(ISNUMBER($G677),$G677&gt;=21),STDEV(INDEX($H$617:$H677,62-20):$H677)*SQRT(245),"")</f>
        <v/>
      </c>
      <c r="M677" s="37" t="str">
        <f aca="false">IF(AND(ISNUMBER($G677),$G677&gt;=60),MAX(INDEX($D$477:$D677,202-60):$D677),"")</f>
        <v/>
      </c>
      <c r="N677" s="37" t="str">
        <f aca="false">IF(AND(ISNUMBER($G677),$G677&gt;=60),MIN(INDEX($E$477:$E677,202-60):$E677),"")</f>
        <v/>
      </c>
      <c r="O677" s="38" t="str">
        <f aca="false">IF(OR(NOT(ISNUMBER($C677)),NOT(ISNUMBER($M677)),$M677=0),"",$C677/$M677-1)</f>
        <v/>
      </c>
    </row>
    <row r="678" customFormat="false" ht="15" hidden="false" customHeight="true" outlineLevel="0" collapsed="false">
      <c r="A678" s="39"/>
      <c r="B678" s="40"/>
      <c r="C678" s="41"/>
      <c r="D678" s="40"/>
      <c r="E678" s="40"/>
      <c r="F678" s="40"/>
      <c r="G678" s="35" t="str">
        <f aca="false">IF($A678="","",IF(ISNUMBER($G677),$G677+1,1))</f>
        <v/>
      </c>
      <c r="H678" s="36" t="str">
        <f aca="false">IF(OR(NOT(ISNUMBER($G678)),$G678&lt;2,NOT(ISNUMBER($C677)),$C677=0),"",$C678/$C677-1)</f>
        <v/>
      </c>
      <c r="I678" s="37" t="str">
        <f aca="false">IF(AND(ISNUMBER($G678),$G678&gt;=MA_SHORT),AVERAGE(INDEX($C$278:$C678,402-MA_SHORT):$C678),"")</f>
        <v/>
      </c>
      <c r="J678" s="37" t="str">
        <f aca="false">IF(AND(ISNUMBER($G678),$G678&gt;=MA_MED),AVERAGE(INDEX($C$278:$C678,402-MA_MED):$C678),"")</f>
        <v/>
      </c>
      <c r="K678" s="37" t="str">
        <f aca="false">IF(AND(ISNUMBER($G678),$G678&gt;=MA_LONG2),AVERAGE(INDEX($C$278:$C678,402-MA_LONG2):$C678),"")</f>
        <v/>
      </c>
      <c r="L678" s="38" t="str">
        <f aca="false">IF(AND(ISNUMBER($G678),$G678&gt;=21),STDEV(INDEX($H$618:$H678,62-20):$H678)*SQRT(245),"")</f>
        <v/>
      </c>
      <c r="M678" s="37" t="str">
        <f aca="false">IF(AND(ISNUMBER($G678),$G678&gt;=60),MAX(INDEX($D$478:$D678,202-60):$D678),"")</f>
        <v/>
      </c>
      <c r="N678" s="37" t="str">
        <f aca="false">IF(AND(ISNUMBER($G678),$G678&gt;=60),MIN(INDEX($E$478:$E678,202-60):$E678),"")</f>
        <v/>
      </c>
      <c r="O678" s="38" t="str">
        <f aca="false">IF(OR(NOT(ISNUMBER($C678)),NOT(ISNUMBER($M678)),$M678=0),"",$C678/$M678-1)</f>
        <v/>
      </c>
    </row>
    <row r="679" customFormat="false" ht="15" hidden="false" customHeight="true" outlineLevel="0" collapsed="false">
      <c r="A679" s="39"/>
      <c r="B679" s="40"/>
      <c r="C679" s="41"/>
      <c r="D679" s="40"/>
      <c r="E679" s="40"/>
      <c r="F679" s="40"/>
      <c r="G679" s="35" t="str">
        <f aca="false">IF($A679="","",IF(ISNUMBER($G678),$G678+1,1))</f>
        <v/>
      </c>
      <c r="H679" s="36" t="str">
        <f aca="false">IF(OR(NOT(ISNUMBER($G679)),$G679&lt;2,NOT(ISNUMBER($C678)),$C678=0),"",$C679/$C678-1)</f>
        <v/>
      </c>
      <c r="I679" s="37" t="str">
        <f aca="false">IF(AND(ISNUMBER($G679),$G679&gt;=MA_SHORT),AVERAGE(INDEX($C$279:$C679,402-MA_SHORT):$C679),"")</f>
        <v/>
      </c>
      <c r="J679" s="37" t="str">
        <f aca="false">IF(AND(ISNUMBER($G679),$G679&gt;=MA_MED),AVERAGE(INDEX($C$279:$C679,402-MA_MED):$C679),"")</f>
        <v/>
      </c>
      <c r="K679" s="37" t="str">
        <f aca="false">IF(AND(ISNUMBER($G679),$G679&gt;=MA_LONG2),AVERAGE(INDEX($C$279:$C679,402-MA_LONG2):$C679),"")</f>
        <v/>
      </c>
      <c r="L679" s="38" t="str">
        <f aca="false">IF(AND(ISNUMBER($G679),$G679&gt;=21),STDEV(INDEX($H$619:$H679,62-20):$H679)*SQRT(245),"")</f>
        <v/>
      </c>
      <c r="M679" s="37" t="str">
        <f aca="false">IF(AND(ISNUMBER($G679),$G679&gt;=60),MAX(INDEX($D$479:$D679,202-60):$D679),"")</f>
        <v/>
      </c>
      <c r="N679" s="37" t="str">
        <f aca="false">IF(AND(ISNUMBER($G679),$G679&gt;=60),MIN(INDEX($E$479:$E679,202-60):$E679),"")</f>
        <v/>
      </c>
      <c r="O679" s="38" t="str">
        <f aca="false">IF(OR(NOT(ISNUMBER($C679)),NOT(ISNUMBER($M679)),$M679=0),"",$C679/$M679-1)</f>
        <v/>
      </c>
    </row>
    <row r="680" customFormat="false" ht="15" hidden="false" customHeight="true" outlineLevel="0" collapsed="false">
      <c r="A680" s="39"/>
      <c r="B680" s="40"/>
      <c r="C680" s="41"/>
      <c r="D680" s="40"/>
      <c r="E680" s="40"/>
      <c r="F680" s="40"/>
      <c r="G680" s="35" t="str">
        <f aca="false">IF($A680="","",IF(ISNUMBER($G679),$G679+1,1))</f>
        <v/>
      </c>
      <c r="H680" s="36" t="str">
        <f aca="false">IF(OR(NOT(ISNUMBER($G680)),$G680&lt;2,NOT(ISNUMBER($C679)),$C679=0),"",$C680/$C679-1)</f>
        <v/>
      </c>
      <c r="I680" s="37" t="str">
        <f aca="false">IF(AND(ISNUMBER($G680),$G680&gt;=MA_SHORT),AVERAGE(INDEX($C$280:$C680,402-MA_SHORT):$C680),"")</f>
        <v/>
      </c>
      <c r="J680" s="37" t="str">
        <f aca="false">IF(AND(ISNUMBER($G680),$G680&gt;=MA_MED),AVERAGE(INDEX($C$280:$C680,402-MA_MED):$C680),"")</f>
        <v/>
      </c>
      <c r="K680" s="37" t="str">
        <f aca="false">IF(AND(ISNUMBER($G680),$G680&gt;=MA_LONG2),AVERAGE(INDEX($C$280:$C680,402-MA_LONG2):$C680),"")</f>
        <v/>
      </c>
      <c r="L680" s="38" t="str">
        <f aca="false">IF(AND(ISNUMBER($G680),$G680&gt;=21),STDEV(INDEX($H$620:$H680,62-20):$H680)*SQRT(245),"")</f>
        <v/>
      </c>
      <c r="M680" s="37" t="str">
        <f aca="false">IF(AND(ISNUMBER($G680),$G680&gt;=60),MAX(INDEX($D$480:$D680,202-60):$D680),"")</f>
        <v/>
      </c>
      <c r="N680" s="37" t="str">
        <f aca="false">IF(AND(ISNUMBER($G680),$G680&gt;=60),MIN(INDEX($E$480:$E680,202-60):$E680),"")</f>
        <v/>
      </c>
      <c r="O680" s="38" t="str">
        <f aca="false">IF(OR(NOT(ISNUMBER($C680)),NOT(ISNUMBER($M680)),$M680=0),"",$C680/$M680-1)</f>
        <v/>
      </c>
    </row>
    <row r="681" customFormat="false" ht="15" hidden="false" customHeight="true" outlineLevel="0" collapsed="false">
      <c r="A681" s="39"/>
      <c r="B681" s="40"/>
      <c r="C681" s="41"/>
      <c r="D681" s="40"/>
      <c r="E681" s="40"/>
      <c r="F681" s="40"/>
      <c r="G681" s="35" t="str">
        <f aca="false">IF($A681="","",IF(ISNUMBER($G680),$G680+1,1))</f>
        <v/>
      </c>
      <c r="H681" s="36" t="str">
        <f aca="false">IF(OR(NOT(ISNUMBER($G681)),$G681&lt;2,NOT(ISNUMBER($C680)),$C680=0),"",$C681/$C680-1)</f>
        <v/>
      </c>
      <c r="I681" s="37" t="str">
        <f aca="false">IF(AND(ISNUMBER($G681),$G681&gt;=MA_SHORT),AVERAGE(INDEX($C$281:$C681,402-MA_SHORT):$C681),"")</f>
        <v/>
      </c>
      <c r="J681" s="37" t="str">
        <f aca="false">IF(AND(ISNUMBER($G681),$G681&gt;=MA_MED),AVERAGE(INDEX($C$281:$C681,402-MA_MED):$C681),"")</f>
        <v/>
      </c>
      <c r="K681" s="37" t="str">
        <f aca="false">IF(AND(ISNUMBER($G681),$G681&gt;=MA_LONG2),AVERAGE(INDEX($C$281:$C681,402-MA_LONG2):$C681),"")</f>
        <v/>
      </c>
      <c r="L681" s="38" t="str">
        <f aca="false">IF(AND(ISNUMBER($G681),$G681&gt;=21),STDEV(INDEX($H$621:$H681,62-20):$H681)*SQRT(245),"")</f>
        <v/>
      </c>
      <c r="M681" s="37" t="str">
        <f aca="false">IF(AND(ISNUMBER($G681),$G681&gt;=60),MAX(INDEX($D$481:$D681,202-60):$D681),"")</f>
        <v/>
      </c>
      <c r="N681" s="37" t="str">
        <f aca="false">IF(AND(ISNUMBER($G681),$G681&gt;=60),MIN(INDEX($E$481:$E681,202-60):$E681),"")</f>
        <v/>
      </c>
      <c r="O681" s="38" t="str">
        <f aca="false">IF(OR(NOT(ISNUMBER($C681)),NOT(ISNUMBER($M681)),$M681=0),"",$C681/$M681-1)</f>
        <v/>
      </c>
    </row>
    <row r="682" customFormat="false" ht="15" hidden="false" customHeight="true" outlineLevel="0" collapsed="false">
      <c r="A682" s="39"/>
      <c r="B682" s="40"/>
      <c r="C682" s="41"/>
      <c r="D682" s="40"/>
      <c r="E682" s="40"/>
      <c r="F682" s="40"/>
      <c r="G682" s="35" t="str">
        <f aca="false">IF($A682="","",IF(ISNUMBER($G681),$G681+1,1))</f>
        <v/>
      </c>
      <c r="H682" s="36" t="str">
        <f aca="false">IF(OR(NOT(ISNUMBER($G682)),$G682&lt;2,NOT(ISNUMBER($C681)),$C681=0),"",$C682/$C681-1)</f>
        <v/>
      </c>
      <c r="I682" s="37" t="str">
        <f aca="false">IF(AND(ISNUMBER($G682),$G682&gt;=MA_SHORT),AVERAGE(INDEX($C$282:$C682,402-MA_SHORT):$C682),"")</f>
        <v/>
      </c>
      <c r="J682" s="37" t="str">
        <f aca="false">IF(AND(ISNUMBER($G682),$G682&gt;=MA_MED),AVERAGE(INDEX($C$282:$C682,402-MA_MED):$C682),"")</f>
        <v/>
      </c>
      <c r="K682" s="37" t="str">
        <f aca="false">IF(AND(ISNUMBER($G682),$G682&gt;=MA_LONG2),AVERAGE(INDEX($C$282:$C682,402-MA_LONG2):$C682),"")</f>
        <v/>
      </c>
      <c r="L682" s="38" t="str">
        <f aca="false">IF(AND(ISNUMBER($G682),$G682&gt;=21),STDEV(INDEX($H$622:$H682,62-20):$H682)*SQRT(245),"")</f>
        <v/>
      </c>
      <c r="M682" s="37" t="str">
        <f aca="false">IF(AND(ISNUMBER($G682),$G682&gt;=60),MAX(INDEX($D$482:$D682,202-60):$D682),"")</f>
        <v/>
      </c>
      <c r="N682" s="37" t="str">
        <f aca="false">IF(AND(ISNUMBER($G682),$G682&gt;=60),MIN(INDEX($E$482:$E682,202-60):$E682),"")</f>
        <v/>
      </c>
      <c r="O682" s="38" t="str">
        <f aca="false">IF(OR(NOT(ISNUMBER($C682)),NOT(ISNUMBER($M682)),$M682=0),"",$C682/$M682-1)</f>
        <v/>
      </c>
    </row>
    <row r="683" customFormat="false" ht="15" hidden="false" customHeight="true" outlineLevel="0" collapsed="false">
      <c r="A683" s="39"/>
      <c r="B683" s="40"/>
      <c r="C683" s="41"/>
      <c r="D683" s="40"/>
      <c r="E683" s="40"/>
      <c r="F683" s="40"/>
      <c r="G683" s="35" t="str">
        <f aca="false">IF($A683="","",IF(ISNUMBER($G682),$G682+1,1))</f>
        <v/>
      </c>
      <c r="H683" s="36" t="str">
        <f aca="false">IF(OR(NOT(ISNUMBER($G683)),$G683&lt;2,NOT(ISNUMBER($C682)),$C682=0),"",$C683/$C682-1)</f>
        <v/>
      </c>
      <c r="I683" s="37" t="str">
        <f aca="false">IF(AND(ISNUMBER($G683),$G683&gt;=MA_SHORT),AVERAGE(INDEX($C$283:$C683,402-MA_SHORT):$C683),"")</f>
        <v/>
      </c>
      <c r="J683" s="37" t="str">
        <f aca="false">IF(AND(ISNUMBER($G683),$G683&gt;=MA_MED),AVERAGE(INDEX($C$283:$C683,402-MA_MED):$C683),"")</f>
        <v/>
      </c>
      <c r="K683" s="37" t="str">
        <f aca="false">IF(AND(ISNUMBER($G683),$G683&gt;=MA_LONG2),AVERAGE(INDEX($C$283:$C683,402-MA_LONG2):$C683),"")</f>
        <v/>
      </c>
      <c r="L683" s="38" t="str">
        <f aca="false">IF(AND(ISNUMBER($G683),$G683&gt;=21),STDEV(INDEX($H$623:$H683,62-20):$H683)*SQRT(245),"")</f>
        <v/>
      </c>
      <c r="M683" s="37" t="str">
        <f aca="false">IF(AND(ISNUMBER($G683),$G683&gt;=60),MAX(INDEX($D$483:$D683,202-60):$D683),"")</f>
        <v/>
      </c>
      <c r="N683" s="37" t="str">
        <f aca="false">IF(AND(ISNUMBER($G683),$G683&gt;=60),MIN(INDEX($E$483:$E683,202-60):$E683),"")</f>
        <v/>
      </c>
      <c r="O683" s="38" t="str">
        <f aca="false">IF(OR(NOT(ISNUMBER($C683)),NOT(ISNUMBER($M683)),$M683=0),"",$C683/$M683-1)</f>
        <v/>
      </c>
    </row>
    <row r="684" customFormat="false" ht="15" hidden="false" customHeight="true" outlineLevel="0" collapsed="false">
      <c r="A684" s="39"/>
      <c r="B684" s="40"/>
      <c r="C684" s="41"/>
      <c r="D684" s="40"/>
      <c r="E684" s="40"/>
      <c r="F684" s="40"/>
      <c r="G684" s="35" t="str">
        <f aca="false">IF($A684="","",IF(ISNUMBER($G683),$G683+1,1))</f>
        <v/>
      </c>
      <c r="H684" s="36" t="str">
        <f aca="false">IF(OR(NOT(ISNUMBER($G684)),$G684&lt;2,NOT(ISNUMBER($C683)),$C683=0),"",$C684/$C683-1)</f>
        <v/>
      </c>
      <c r="I684" s="37" t="str">
        <f aca="false">IF(AND(ISNUMBER($G684),$G684&gt;=MA_SHORT),AVERAGE(INDEX($C$284:$C684,402-MA_SHORT):$C684),"")</f>
        <v/>
      </c>
      <c r="J684" s="37" t="str">
        <f aca="false">IF(AND(ISNUMBER($G684),$G684&gt;=MA_MED),AVERAGE(INDEX($C$284:$C684,402-MA_MED):$C684),"")</f>
        <v/>
      </c>
      <c r="K684" s="37" t="str">
        <f aca="false">IF(AND(ISNUMBER($G684),$G684&gt;=MA_LONG2),AVERAGE(INDEX($C$284:$C684,402-MA_LONG2):$C684),"")</f>
        <v/>
      </c>
      <c r="L684" s="38" t="str">
        <f aca="false">IF(AND(ISNUMBER($G684),$G684&gt;=21),STDEV(INDEX($H$624:$H684,62-20):$H684)*SQRT(245),"")</f>
        <v/>
      </c>
      <c r="M684" s="37" t="str">
        <f aca="false">IF(AND(ISNUMBER($G684),$G684&gt;=60),MAX(INDEX($D$484:$D684,202-60):$D684),"")</f>
        <v/>
      </c>
      <c r="N684" s="37" t="str">
        <f aca="false">IF(AND(ISNUMBER($G684),$G684&gt;=60),MIN(INDEX($E$484:$E684,202-60):$E684),"")</f>
        <v/>
      </c>
      <c r="O684" s="38" t="str">
        <f aca="false">IF(OR(NOT(ISNUMBER($C684)),NOT(ISNUMBER($M684)),$M684=0),"",$C684/$M684-1)</f>
        <v/>
      </c>
    </row>
    <row r="685" customFormat="false" ht="15" hidden="false" customHeight="true" outlineLevel="0" collapsed="false">
      <c r="A685" s="39"/>
      <c r="B685" s="40"/>
      <c r="C685" s="41"/>
      <c r="D685" s="40"/>
      <c r="E685" s="40"/>
      <c r="F685" s="40"/>
      <c r="G685" s="35" t="str">
        <f aca="false">IF($A685="","",IF(ISNUMBER($G684),$G684+1,1))</f>
        <v/>
      </c>
      <c r="H685" s="36" t="str">
        <f aca="false">IF(OR(NOT(ISNUMBER($G685)),$G685&lt;2,NOT(ISNUMBER($C684)),$C684=0),"",$C685/$C684-1)</f>
        <v/>
      </c>
      <c r="I685" s="37" t="str">
        <f aca="false">IF(AND(ISNUMBER($G685),$G685&gt;=MA_SHORT),AVERAGE(INDEX($C$285:$C685,402-MA_SHORT):$C685),"")</f>
        <v/>
      </c>
      <c r="J685" s="37" t="str">
        <f aca="false">IF(AND(ISNUMBER($G685),$G685&gt;=MA_MED),AVERAGE(INDEX($C$285:$C685,402-MA_MED):$C685),"")</f>
        <v/>
      </c>
      <c r="K685" s="37" t="str">
        <f aca="false">IF(AND(ISNUMBER($G685),$G685&gt;=MA_LONG2),AVERAGE(INDEX($C$285:$C685,402-MA_LONG2):$C685),"")</f>
        <v/>
      </c>
      <c r="L685" s="38" t="str">
        <f aca="false">IF(AND(ISNUMBER($G685),$G685&gt;=21),STDEV(INDEX($H$625:$H685,62-20):$H685)*SQRT(245),"")</f>
        <v/>
      </c>
      <c r="M685" s="37" t="str">
        <f aca="false">IF(AND(ISNUMBER($G685),$G685&gt;=60),MAX(INDEX($D$485:$D685,202-60):$D685),"")</f>
        <v/>
      </c>
      <c r="N685" s="37" t="str">
        <f aca="false">IF(AND(ISNUMBER($G685),$G685&gt;=60),MIN(INDEX($E$485:$E685,202-60):$E685),"")</f>
        <v/>
      </c>
      <c r="O685" s="38" t="str">
        <f aca="false">IF(OR(NOT(ISNUMBER($C685)),NOT(ISNUMBER($M685)),$M685=0),"",$C685/$M685-1)</f>
        <v/>
      </c>
    </row>
    <row r="686" customFormat="false" ht="15" hidden="false" customHeight="true" outlineLevel="0" collapsed="false">
      <c r="A686" s="39"/>
      <c r="B686" s="40"/>
      <c r="C686" s="41"/>
      <c r="D686" s="40"/>
      <c r="E686" s="40"/>
      <c r="F686" s="40"/>
      <c r="G686" s="35" t="str">
        <f aca="false">IF($A686="","",IF(ISNUMBER($G685),$G685+1,1))</f>
        <v/>
      </c>
      <c r="H686" s="36" t="str">
        <f aca="false">IF(OR(NOT(ISNUMBER($G686)),$G686&lt;2,NOT(ISNUMBER($C685)),$C685=0),"",$C686/$C685-1)</f>
        <v/>
      </c>
      <c r="I686" s="37" t="str">
        <f aca="false">IF(AND(ISNUMBER($G686),$G686&gt;=MA_SHORT),AVERAGE(INDEX($C$286:$C686,402-MA_SHORT):$C686),"")</f>
        <v/>
      </c>
      <c r="J686" s="37" t="str">
        <f aca="false">IF(AND(ISNUMBER($G686),$G686&gt;=MA_MED),AVERAGE(INDEX($C$286:$C686,402-MA_MED):$C686),"")</f>
        <v/>
      </c>
      <c r="K686" s="37" t="str">
        <f aca="false">IF(AND(ISNUMBER($G686),$G686&gt;=MA_LONG2),AVERAGE(INDEX($C$286:$C686,402-MA_LONG2):$C686),"")</f>
        <v/>
      </c>
      <c r="L686" s="38" t="str">
        <f aca="false">IF(AND(ISNUMBER($G686),$G686&gt;=21),STDEV(INDEX($H$626:$H686,62-20):$H686)*SQRT(245),"")</f>
        <v/>
      </c>
      <c r="M686" s="37" t="str">
        <f aca="false">IF(AND(ISNUMBER($G686),$G686&gt;=60),MAX(INDEX($D$486:$D686,202-60):$D686),"")</f>
        <v/>
      </c>
      <c r="N686" s="37" t="str">
        <f aca="false">IF(AND(ISNUMBER($G686),$G686&gt;=60),MIN(INDEX($E$486:$E686,202-60):$E686),"")</f>
        <v/>
      </c>
      <c r="O686" s="38" t="str">
        <f aca="false">IF(OR(NOT(ISNUMBER($C686)),NOT(ISNUMBER($M686)),$M686=0),"",$C686/$M686-1)</f>
        <v/>
      </c>
    </row>
    <row r="687" customFormat="false" ht="15" hidden="false" customHeight="true" outlineLevel="0" collapsed="false">
      <c r="A687" s="39"/>
      <c r="B687" s="40"/>
      <c r="C687" s="41"/>
      <c r="D687" s="40"/>
      <c r="E687" s="40"/>
      <c r="F687" s="40"/>
      <c r="G687" s="35" t="str">
        <f aca="false">IF($A687="","",IF(ISNUMBER($G686),$G686+1,1))</f>
        <v/>
      </c>
      <c r="H687" s="36" t="str">
        <f aca="false">IF(OR(NOT(ISNUMBER($G687)),$G687&lt;2,NOT(ISNUMBER($C686)),$C686=0),"",$C687/$C686-1)</f>
        <v/>
      </c>
      <c r="I687" s="37" t="str">
        <f aca="false">IF(AND(ISNUMBER($G687),$G687&gt;=MA_SHORT),AVERAGE(INDEX($C$287:$C687,402-MA_SHORT):$C687),"")</f>
        <v/>
      </c>
      <c r="J687" s="37" t="str">
        <f aca="false">IF(AND(ISNUMBER($G687),$G687&gt;=MA_MED),AVERAGE(INDEX($C$287:$C687,402-MA_MED):$C687),"")</f>
        <v/>
      </c>
      <c r="K687" s="37" t="str">
        <f aca="false">IF(AND(ISNUMBER($G687),$G687&gt;=MA_LONG2),AVERAGE(INDEX($C$287:$C687,402-MA_LONG2):$C687),"")</f>
        <v/>
      </c>
      <c r="L687" s="38" t="str">
        <f aca="false">IF(AND(ISNUMBER($G687),$G687&gt;=21),STDEV(INDEX($H$627:$H687,62-20):$H687)*SQRT(245),"")</f>
        <v/>
      </c>
      <c r="M687" s="37" t="str">
        <f aca="false">IF(AND(ISNUMBER($G687),$G687&gt;=60),MAX(INDEX($D$487:$D687,202-60):$D687),"")</f>
        <v/>
      </c>
      <c r="N687" s="37" t="str">
        <f aca="false">IF(AND(ISNUMBER($G687),$G687&gt;=60),MIN(INDEX($E$487:$E687,202-60):$E687),"")</f>
        <v/>
      </c>
      <c r="O687" s="38" t="str">
        <f aca="false">IF(OR(NOT(ISNUMBER($C687)),NOT(ISNUMBER($M687)),$M687=0),"",$C687/$M687-1)</f>
        <v/>
      </c>
    </row>
    <row r="688" customFormat="false" ht="15" hidden="false" customHeight="true" outlineLevel="0" collapsed="false">
      <c r="A688" s="39"/>
      <c r="B688" s="40"/>
      <c r="C688" s="41"/>
      <c r="D688" s="40"/>
      <c r="E688" s="40"/>
      <c r="F688" s="40"/>
      <c r="G688" s="35" t="str">
        <f aca="false">IF($A688="","",IF(ISNUMBER($G687),$G687+1,1))</f>
        <v/>
      </c>
      <c r="H688" s="36" t="str">
        <f aca="false">IF(OR(NOT(ISNUMBER($G688)),$G688&lt;2,NOT(ISNUMBER($C687)),$C687=0),"",$C688/$C687-1)</f>
        <v/>
      </c>
      <c r="I688" s="37" t="str">
        <f aca="false">IF(AND(ISNUMBER($G688),$G688&gt;=MA_SHORT),AVERAGE(INDEX($C$288:$C688,402-MA_SHORT):$C688),"")</f>
        <v/>
      </c>
      <c r="J688" s="37" t="str">
        <f aca="false">IF(AND(ISNUMBER($G688),$G688&gt;=MA_MED),AVERAGE(INDEX($C$288:$C688,402-MA_MED):$C688),"")</f>
        <v/>
      </c>
      <c r="K688" s="37" t="str">
        <f aca="false">IF(AND(ISNUMBER($G688),$G688&gt;=MA_LONG2),AVERAGE(INDEX($C$288:$C688,402-MA_LONG2):$C688),"")</f>
        <v/>
      </c>
      <c r="L688" s="38" t="str">
        <f aca="false">IF(AND(ISNUMBER($G688),$G688&gt;=21),STDEV(INDEX($H$628:$H688,62-20):$H688)*SQRT(245),"")</f>
        <v/>
      </c>
      <c r="M688" s="37" t="str">
        <f aca="false">IF(AND(ISNUMBER($G688),$G688&gt;=60),MAX(INDEX($D$488:$D688,202-60):$D688),"")</f>
        <v/>
      </c>
      <c r="N688" s="37" t="str">
        <f aca="false">IF(AND(ISNUMBER($G688),$G688&gt;=60),MIN(INDEX($E$488:$E688,202-60):$E688),"")</f>
        <v/>
      </c>
      <c r="O688" s="38" t="str">
        <f aca="false">IF(OR(NOT(ISNUMBER($C688)),NOT(ISNUMBER($M688)),$M688=0),"",$C688/$M688-1)</f>
        <v/>
      </c>
    </row>
    <row r="689" customFormat="false" ht="15" hidden="false" customHeight="true" outlineLevel="0" collapsed="false">
      <c r="A689" s="39"/>
      <c r="B689" s="40"/>
      <c r="C689" s="41"/>
      <c r="D689" s="40"/>
      <c r="E689" s="40"/>
      <c r="F689" s="40"/>
      <c r="G689" s="35" t="str">
        <f aca="false">IF($A689="","",IF(ISNUMBER($G688),$G688+1,1))</f>
        <v/>
      </c>
      <c r="H689" s="36" t="str">
        <f aca="false">IF(OR(NOT(ISNUMBER($G689)),$G689&lt;2,NOT(ISNUMBER($C688)),$C688=0),"",$C689/$C688-1)</f>
        <v/>
      </c>
      <c r="I689" s="37" t="str">
        <f aca="false">IF(AND(ISNUMBER($G689),$G689&gt;=MA_SHORT),AVERAGE(INDEX($C$289:$C689,402-MA_SHORT):$C689),"")</f>
        <v/>
      </c>
      <c r="J689" s="37" t="str">
        <f aca="false">IF(AND(ISNUMBER($G689),$G689&gt;=MA_MED),AVERAGE(INDEX($C$289:$C689,402-MA_MED):$C689),"")</f>
        <v/>
      </c>
      <c r="K689" s="37" t="str">
        <f aca="false">IF(AND(ISNUMBER($G689),$G689&gt;=MA_LONG2),AVERAGE(INDEX($C$289:$C689,402-MA_LONG2):$C689),"")</f>
        <v/>
      </c>
      <c r="L689" s="38" t="str">
        <f aca="false">IF(AND(ISNUMBER($G689),$G689&gt;=21),STDEV(INDEX($H$629:$H689,62-20):$H689)*SQRT(245),"")</f>
        <v/>
      </c>
      <c r="M689" s="37" t="str">
        <f aca="false">IF(AND(ISNUMBER($G689),$G689&gt;=60),MAX(INDEX($D$489:$D689,202-60):$D689),"")</f>
        <v/>
      </c>
      <c r="N689" s="37" t="str">
        <f aca="false">IF(AND(ISNUMBER($G689),$G689&gt;=60),MIN(INDEX($E$489:$E689,202-60):$E689),"")</f>
        <v/>
      </c>
      <c r="O689" s="38" t="str">
        <f aca="false">IF(OR(NOT(ISNUMBER($C689)),NOT(ISNUMBER($M689)),$M689=0),"",$C689/$M689-1)</f>
        <v/>
      </c>
    </row>
    <row r="690" customFormat="false" ht="15" hidden="false" customHeight="true" outlineLevel="0" collapsed="false">
      <c r="A690" s="39"/>
      <c r="B690" s="40"/>
      <c r="C690" s="41"/>
      <c r="D690" s="40"/>
      <c r="E690" s="40"/>
      <c r="F690" s="40"/>
      <c r="G690" s="35" t="str">
        <f aca="false">IF($A690="","",IF(ISNUMBER($G689),$G689+1,1))</f>
        <v/>
      </c>
      <c r="H690" s="36" t="str">
        <f aca="false">IF(OR(NOT(ISNUMBER($G690)),$G690&lt;2,NOT(ISNUMBER($C689)),$C689=0),"",$C690/$C689-1)</f>
        <v/>
      </c>
      <c r="I690" s="37" t="str">
        <f aca="false">IF(AND(ISNUMBER($G690),$G690&gt;=MA_SHORT),AVERAGE(INDEX($C$290:$C690,402-MA_SHORT):$C690),"")</f>
        <v/>
      </c>
      <c r="J690" s="37" t="str">
        <f aca="false">IF(AND(ISNUMBER($G690),$G690&gt;=MA_MED),AVERAGE(INDEX($C$290:$C690,402-MA_MED):$C690),"")</f>
        <v/>
      </c>
      <c r="K690" s="37" t="str">
        <f aca="false">IF(AND(ISNUMBER($G690),$G690&gt;=MA_LONG2),AVERAGE(INDEX($C$290:$C690,402-MA_LONG2):$C690),"")</f>
        <v/>
      </c>
      <c r="L690" s="38" t="str">
        <f aca="false">IF(AND(ISNUMBER($G690),$G690&gt;=21),STDEV(INDEX($H$630:$H690,62-20):$H690)*SQRT(245),"")</f>
        <v/>
      </c>
      <c r="M690" s="37" t="str">
        <f aca="false">IF(AND(ISNUMBER($G690),$G690&gt;=60),MAX(INDEX($D$490:$D690,202-60):$D690),"")</f>
        <v/>
      </c>
      <c r="N690" s="37" t="str">
        <f aca="false">IF(AND(ISNUMBER($G690),$G690&gt;=60),MIN(INDEX($E$490:$E690,202-60):$E690),"")</f>
        <v/>
      </c>
      <c r="O690" s="38" t="str">
        <f aca="false">IF(OR(NOT(ISNUMBER($C690)),NOT(ISNUMBER($M690)),$M690=0),"",$C690/$M690-1)</f>
        <v/>
      </c>
    </row>
    <row r="691" customFormat="false" ht="15" hidden="false" customHeight="true" outlineLevel="0" collapsed="false">
      <c r="A691" s="39"/>
      <c r="B691" s="40"/>
      <c r="C691" s="41"/>
      <c r="D691" s="40"/>
      <c r="E691" s="40"/>
      <c r="F691" s="40"/>
      <c r="G691" s="35" t="str">
        <f aca="false">IF($A691="","",IF(ISNUMBER($G690),$G690+1,1))</f>
        <v/>
      </c>
      <c r="H691" s="36" t="str">
        <f aca="false">IF(OR(NOT(ISNUMBER($G691)),$G691&lt;2,NOT(ISNUMBER($C690)),$C690=0),"",$C691/$C690-1)</f>
        <v/>
      </c>
      <c r="I691" s="37" t="str">
        <f aca="false">IF(AND(ISNUMBER($G691),$G691&gt;=MA_SHORT),AVERAGE(INDEX($C$291:$C691,402-MA_SHORT):$C691),"")</f>
        <v/>
      </c>
      <c r="J691" s="37" t="str">
        <f aca="false">IF(AND(ISNUMBER($G691),$G691&gt;=MA_MED),AVERAGE(INDEX($C$291:$C691,402-MA_MED):$C691),"")</f>
        <v/>
      </c>
      <c r="K691" s="37" t="str">
        <f aca="false">IF(AND(ISNUMBER($G691),$G691&gt;=MA_LONG2),AVERAGE(INDEX($C$291:$C691,402-MA_LONG2):$C691),"")</f>
        <v/>
      </c>
      <c r="L691" s="38" t="str">
        <f aca="false">IF(AND(ISNUMBER($G691),$G691&gt;=21),STDEV(INDEX($H$631:$H691,62-20):$H691)*SQRT(245),"")</f>
        <v/>
      </c>
      <c r="M691" s="37" t="str">
        <f aca="false">IF(AND(ISNUMBER($G691),$G691&gt;=60),MAX(INDEX($D$491:$D691,202-60):$D691),"")</f>
        <v/>
      </c>
      <c r="N691" s="37" t="str">
        <f aca="false">IF(AND(ISNUMBER($G691),$G691&gt;=60),MIN(INDEX($E$491:$E691,202-60):$E691),"")</f>
        <v/>
      </c>
      <c r="O691" s="38" t="str">
        <f aca="false">IF(OR(NOT(ISNUMBER($C691)),NOT(ISNUMBER($M691)),$M691=0),"",$C691/$M691-1)</f>
        <v/>
      </c>
    </row>
    <row r="692" customFormat="false" ht="15" hidden="false" customHeight="true" outlineLevel="0" collapsed="false">
      <c r="A692" s="39"/>
      <c r="B692" s="40"/>
      <c r="C692" s="41"/>
      <c r="D692" s="40"/>
      <c r="E692" s="40"/>
      <c r="F692" s="40"/>
      <c r="G692" s="35" t="str">
        <f aca="false">IF($A692="","",IF(ISNUMBER($G691),$G691+1,1))</f>
        <v/>
      </c>
      <c r="H692" s="36" t="str">
        <f aca="false">IF(OR(NOT(ISNUMBER($G692)),$G692&lt;2,NOT(ISNUMBER($C691)),$C691=0),"",$C692/$C691-1)</f>
        <v/>
      </c>
      <c r="I692" s="37" t="str">
        <f aca="false">IF(AND(ISNUMBER($G692),$G692&gt;=MA_SHORT),AVERAGE(INDEX($C$292:$C692,402-MA_SHORT):$C692),"")</f>
        <v/>
      </c>
      <c r="J692" s="37" t="str">
        <f aca="false">IF(AND(ISNUMBER($G692),$G692&gt;=MA_MED),AVERAGE(INDEX($C$292:$C692,402-MA_MED):$C692),"")</f>
        <v/>
      </c>
      <c r="K692" s="37" t="str">
        <f aca="false">IF(AND(ISNUMBER($G692),$G692&gt;=MA_LONG2),AVERAGE(INDEX($C$292:$C692,402-MA_LONG2):$C692),"")</f>
        <v/>
      </c>
      <c r="L692" s="38" t="str">
        <f aca="false">IF(AND(ISNUMBER($G692),$G692&gt;=21),STDEV(INDEX($H$632:$H692,62-20):$H692)*SQRT(245),"")</f>
        <v/>
      </c>
      <c r="M692" s="37" t="str">
        <f aca="false">IF(AND(ISNUMBER($G692),$G692&gt;=60),MAX(INDEX($D$492:$D692,202-60):$D692),"")</f>
        <v/>
      </c>
      <c r="N692" s="37" t="str">
        <f aca="false">IF(AND(ISNUMBER($G692),$G692&gt;=60),MIN(INDEX($E$492:$E692,202-60):$E692),"")</f>
        <v/>
      </c>
      <c r="O692" s="38" t="str">
        <f aca="false">IF(OR(NOT(ISNUMBER($C692)),NOT(ISNUMBER($M692)),$M692=0),"",$C692/$M692-1)</f>
        <v/>
      </c>
    </row>
    <row r="693" customFormat="false" ht="15" hidden="false" customHeight="true" outlineLevel="0" collapsed="false">
      <c r="A693" s="39"/>
      <c r="B693" s="40"/>
      <c r="C693" s="41"/>
      <c r="D693" s="40"/>
      <c r="E693" s="40"/>
      <c r="F693" s="40"/>
      <c r="G693" s="35" t="str">
        <f aca="false">IF($A693="","",IF(ISNUMBER($G692),$G692+1,1))</f>
        <v/>
      </c>
      <c r="H693" s="36" t="str">
        <f aca="false">IF(OR(NOT(ISNUMBER($G693)),$G693&lt;2,NOT(ISNUMBER($C692)),$C692=0),"",$C693/$C692-1)</f>
        <v/>
      </c>
      <c r="I693" s="37" t="str">
        <f aca="false">IF(AND(ISNUMBER($G693),$G693&gt;=MA_SHORT),AVERAGE(INDEX($C$293:$C693,402-MA_SHORT):$C693),"")</f>
        <v/>
      </c>
      <c r="J693" s="37" t="str">
        <f aca="false">IF(AND(ISNUMBER($G693),$G693&gt;=MA_MED),AVERAGE(INDEX($C$293:$C693,402-MA_MED):$C693),"")</f>
        <v/>
      </c>
      <c r="K693" s="37" t="str">
        <f aca="false">IF(AND(ISNUMBER($G693),$G693&gt;=MA_LONG2),AVERAGE(INDEX($C$293:$C693,402-MA_LONG2):$C693),"")</f>
        <v/>
      </c>
      <c r="L693" s="38" t="str">
        <f aca="false">IF(AND(ISNUMBER($G693),$G693&gt;=21),STDEV(INDEX($H$633:$H693,62-20):$H693)*SQRT(245),"")</f>
        <v/>
      </c>
      <c r="M693" s="37" t="str">
        <f aca="false">IF(AND(ISNUMBER($G693),$G693&gt;=60),MAX(INDEX($D$493:$D693,202-60):$D693),"")</f>
        <v/>
      </c>
      <c r="N693" s="37" t="str">
        <f aca="false">IF(AND(ISNUMBER($G693),$G693&gt;=60),MIN(INDEX($E$493:$E693,202-60):$E693),"")</f>
        <v/>
      </c>
      <c r="O693" s="38" t="str">
        <f aca="false">IF(OR(NOT(ISNUMBER($C693)),NOT(ISNUMBER($M693)),$M693=0),"",$C693/$M693-1)</f>
        <v/>
      </c>
    </row>
    <row r="694" customFormat="false" ht="15" hidden="false" customHeight="true" outlineLevel="0" collapsed="false">
      <c r="A694" s="39"/>
      <c r="B694" s="40"/>
      <c r="C694" s="41"/>
      <c r="D694" s="40"/>
      <c r="E694" s="40"/>
      <c r="F694" s="40"/>
      <c r="G694" s="35" t="str">
        <f aca="false">IF($A694="","",IF(ISNUMBER($G693),$G693+1,1))</f>
        <v/>
      </c>
      <c r="H694" s="36" t="str">
        <f aca="false">IF(OR(NOT(ISNUMBER($G694)),$G694&lt;2,NOT(ISNUMBER($C693)),$C693=0),"",$C694/$C693-1)</f>
        <v/>
      </c>
      <c r="I694" s="37" t="str">
        <f aca="false">IF(AND(ISNUMBER($G694),$G694&gt;=MA_SHORT),AVERAGE(INDEX($C$294:$C694,402-MA_SHORT):$C694),"")</f>
        <v/>
      </c>
      <c r="J694" s="37" t="str">
        <f aca="false">IF(AND(ISNUMBER($G694),$G694&gt;=MA_MED),AVERAGE(INDEX($C$294:$C694,402-MA_MED):$C694),"")</f>
        <v/>
      </c>
      <c r="K694" s="37" t="str">
        <f aca="false">IF(AND(ISNUMBER($G694),$G694&gt;=MA_LONG2),AVERAGE(INDEX($C$294:$C694,402-MA_LONG2):$C694),"")</f>
        <v/>
      </c>
      <c r="L694" s="38" t="str">
        <f aca="false">IF(AND(ISNUMBER($G694),$G694&gt;=21),STDEV(INDEX($H$634:$H694,62-20):$H694)*SQRT(245),"")</f>
        <v/>
      </c>
      <c r="M694" s="37" t="str">
        <f aca="false">IF(AND(ISNUMBER($G694),$G694&gt;=60),MAX(INDEX($D$494:$D694,202-60):$D694),"")</f>
        <v/>
      </c>
      <c r="N694" s="37" t="str">
        <f aca="false">IF(AND(ISNUMBER($G694),$G694&gt;=60),MIN(INDEX($E$494:$E694,202-60):$E694),"")</f>
        <v/>
      </c>
      <c r="O694" s="38" t="str">
        <f aca="false">IF(OR(NOT(ISNUMBER($C694)),NOT(ISNUMBER($M694)),$M694=0),"",$C694/$M694-1)</f>
        <v/>
      </c>
    </row>
    <row r="695" customFormat="false" ht="15" hidden="false" customHeight="true" outlineLevel="0" collapsed="false">
      <c r="A695" s="39"/>
      <c r="B695" s="40"/>
      <c r="C695" s="41"/>
      <c r="D695" s="40"/>
      <c r="E695" s="40"/>
      <c r="F695" s="40"/>
      <c r="G695" s="35" t="str">
        <f aca="false">IF($A695="","",IF(ISNUMBER($G694),$G694+1,1))</f>
        <v/>
      </c>
      <c r="H695" s="36" t="str">
        <f aca="false">IF(OR(NOT(ISNUMBER($G695)),$G695&lt;2,NOT(ISNUMBER($C694)),$C694=0),"",$C695/$C694-1)</f>
        <v/>
      </c>
      <c r="I695" s="37" t="str">
        <f aca="false">IF(AND(ISNUMBER($G695),$G695&gt;=MA_SHORT),AVERAGE(INDEX($C$295:$C695,402-MA_SHORT):$C695),"")</f>
        <v/>
      </c>
      <c r="J695" s="37" t="str">
        <f aca="false">IF(AND(ISNUMBER($G695),$G695&gt;=MA_MED),AVERAGE(INDEX($C$295:$C695,402-MA_MED):$C695),"")</f>
        <v/>
      </c>
      <c r="K695" s="37" t="str">
        <f aca="false">IF(AND(ISNUMBER($G695),$G695&gt;=MA_LONG2),AVERAGE(INDEX($C$295:$C695,402-MA_LONG2):$C695),"")</f>
        <v/>
      </c>
      <c r="L695" s="38" t="str">
        <f aca="false">IF(AND(ISNUMBER($G695),$G695&gt;=21),STDEV(INDEX($H$635:$H695,62-20):$H695)*SQRT(245),"")</f>
        <v/>
      </c>
      <c r="M695" s="37" t="str">
        <f aca="false">IF(AND(ISNUMBER($G695),$G695&gt;=60),MAX(INDEX($D$495:$D695,202-60):$D695),"")</f>
        <v/>
      </c>
      <c r="N695" s="37" t="str">
        <f aca="false">IF(AND(ISNUMBER($G695),$G695&gt;=60),MIN(INDEX($E$495:$E695,202-60):$E695),"")</f>
        <v/>
      </c>
      <c r="O695" s="38" t="str">
        <f aca="false">IF(OR(NOT(ISNUMBER($C695)),NOT(ISNUMBER($M695)),$M695=0),"",$C695/$M695-1)</f>
        <v/>
      </c>
    </row>
    <row r="696" customFormat="false" ht="15" hidden="false" customHeight="true" outlineLevel="0" collapsed="false">
      <c r="A696" s="39"/>
      <c r="B696" s="40"/>
      <c r="C696" s="41"/>
      <c r="D696" s="40"/>
      <c r="E696" s="40"/>
      <c r="F696" s="40"/>
      <c r="G696" s="35" t="str">
        <f aca="false">IF($A696="","",IF(ISNUMBER($G695),$G695+1,1))</f>
        <v/>
      </c>
      <c r="H696" s="36" t="str">
        <f aca="false">IF(OR(NOT(ISNUMBER($G696)),$G696&lt;2,NOT(ISNUMBER($C695)),$C695=0),"",$C696/$C695-1)</f>
        <v/>
      </c>
      <c r="I696" s="37" t="str">
        <f aca="false">IF(AND(ISNUMBER($G696),$G696&gt;=MA_SHORT),AVERAGE(INDEX($C$296:$C696,402-MA_SHORT):$C696),"")</f>
        <v/>
      </c>
      <c r="J696" s="37" t="str">
        <f aca="false">IF(AND(ISNUMBER($G696),$G696&gt;=MA_MED),AVERAGE(INDEX($C$296:$C696,402-MA_MED):$C696),"")</f>
        <v/>
      </c>
      <c r="K696" s="37" t="str">
        <f aca="false">IF(AND(ISNUMBER($G696),$G696&gt;=MA_LONG2),AVERAGE(INDEX($C$296:$C696,402-MA_LONG2):$C696),"")</f>
        <v/>
      </c>
      <c r="L696" s="38" t="str">
        <f aca="false">IF(AND(ISNUMBER($G696),$G696&gt;=21),STDEV(INDEX($H$636:$H696,62-20):$H696)*SQRT(245),"")</f>
        <v/>
      </c>
      <c r="M696" s="37" t="str">
        <f aca="false">IF(AND(ISNUMBER($G696),$G696&gt;=60),MAX(INDEX($D$496:$D696,202-60):$D696),"")</f>
        <v/>
      </c>
      <c r="N696" s="37" t="str">
        <f aca="false">IF(AND(ISNUMBER($G696),$G696&gt;=60),MIN(INDEX($E$496:$E696,202-60):$E696),"")</f>
        <v/>
      </c>
      <c r="O696" s="38" t="str">
        <f aca="false">IF(OR(NOT(ISNUMBER($C696)),NOT(ISNUMBER($M696)),$M696=0),"",$C696/$M696-1)</f>
        <v/>
      </c>
    </row>
    <row r="697" customFormat="false" ht="15" hidden="false" customHeight="true" outlineLevel="0" collapsed="false">
      <c r="A697" s="39"/>
      <c r="B697" s="40"/>
      <c r="C697" s="41"/>
      <c r="D697" s="40"/>
      <c r="E697" s="40"/>
      <c r="F697" s="40"/>
      <c r="G697" s="35" t="str">
        <f aca="false">IF($A697="","",IF(ISNUMBER($G696),$G696+1,1))</f>
        <v/>
      </c>
      <c r="H697" s="36" t="str">
        <f aca="false">IF(OR(NOT(ISNUMBER($G697)),$G697&lt;2,NOT(ISNUMBER($C696)),$C696=0),"",$C697/$C696-1)</f>
        <v/>
      </c>
      <c r="I697" s="37" t="str">
        <f aca="false">IF(AND(ISNUMBER($G697),$G697&gt;=MA_SHORT),AVERAGE(INDEX($C$297:$C697,402-MA_SHORT):$C697),"")</f>
        <v/>
      </c>
      <c r="J697" s="37" t="str">
        <f aca="false">IF(AND(ISNUMBER($G697),$G697&gt;=MA_MED),AVERAGE(INDEX($C$297:$C697,402-MA_MED):$C697),"")</f>
        <v/>
      </c>
      <c r="K697" s="37" t="str">
        <f aca="false">IF(AND(ISNUMBER($G697),$G697&gt;=MA_LONG2),AVERAGE(INDEX($C$297:$C697,402-MA_LONG2):$C697),"")</f>
        <v/>
      </c>
      <c r="L697" s="38" t="str">
        <f aca="false">IF(AND(ISNUMBER($G697),$G697&gt;=21),STDEV(INDEX($H$637:$H697,62-20):$H697)*SQRT(245),"")</f>
        <v/>
      </c>
      <c r="M697" s="37" t="str">
        <f aca="false">IF(AND(ISNUMBER($G697),$G697&gt;=60),MAX(INDEX($D$497:$D697,202-60):$D697),"")</f>
        <v/>
      </c>
      <c r="N697" s="37" t="str">
        <f aca="false">IF(AND(ISNUMBER($G697),$G697&gt;=60),MIN(INDEX($E$497:$E697,202-60):$E697),"")</f>
        <v/>
      </c>
      <c r="O697" s="38" t="str">
        <f aca="false">IF(OR(NOT(ISNUMBER($C697)),NOT(ISNUMBER($M697)),$M697=0),"",$C697/$M697-1)</f>
        <v/>
      </c>
    </row>
    <row r="698" customFormat="false" ht="15" hidden="false" customHeight="true" outlineLevel="0" collapsed="false">
      <c r="A698" s="39"/>
      <c r="B698" s="40"/>
      <c r="C698" s="41"/>
      <c r="D698" s="40"/>
      <c r="E698" s="40"/>
      <c r="F698" s="40"/>
      <c r="G698" s="35" t="str">
        <f aca="false">IF($A698="","",IF(ISNUMBER($G697),$G697+1,1))</f>
        <v/>
      </c>
      <c r="H698" s="36" t="str">
        <f aca="false">IF(OR(NOT(ISNUMBER($G698)),$G698&lt;2,NOT(ISNUMBER($C697)),$C697=0),"",$C698/$C697-1)</f>
        <v/>
      </c>
      <c r="I698" s="37" t="str">
        <f aca="false">IF(AND(ISNUMBER($G698),$G698&gt;=MA_SHORT),AVERAGE(INDEX($C$298:$C698,402-MA_SHORT):$C698),"")</f>
        <v/>
      </c>
      <c r="J698" s="37" t="str">
        <f aca="false">IF(AND(ISNUMBER($G698),$G698&gt;=MA_MED),AVERAGE(INDEX($C$298:$C698,402-MA_MED):$C698),"")</f>
        <v/>
      </c>
      <c r="K698" s="37" t="str">
        <f aca="false">IF(AND(ISNUMBER($G698),$G698&gt;=MA_LONG2),AVERAGE(INDEX($C$298:$C698,402-MA_LONG2):$C698),"")</f>
        <v/>
      </c>
      <c r="L698" s="38" t="str">
        <f aca="false">IF(AND(ISNUMBER($G698),$G698&gt;=21),STDEV(INDEX($H$638:$H698,62-20):$H698)*SQRT(245),"")</f>
        <v/>
      </c>
      <c r="M698" s="37" t="str">
        <f aca="false">IF(AND(ISNUMBER($G698),$G698&gt;=60),MAX(INDEX($D$498:$D698,202-60):$D698),"")</f>
        <v/>
      </c>
      <c r="N698" s="37" t="str">
        <f aca="false">IF(AND(ISNUMBER($G698),$G698&gt;=60),MIN(INDEX($E$498:$E698,202-60):$E698),"")</f>
        <v/>
      </c>
      <c r="O698" s="38" t="str">
        <f aca="false">IF(OR(NOT(ISNUMBER($C698)),NOT(ISNUMBER($M698)),$M698=0),"",$C698/$M698-1)</f>
        <v/>
      </c>
    </row>
    <row r="699" customFormat="false" ht="15" hidden="false" customHeight="true" outlineLevel="0" collapsed="false">
      <c r="A699" s="39"/>
      <c r="B699" s="40"/>
      <c r="C699" s="41"/>
      <c r="D699" s="40"/>
      <c r="E699" s="40"/>
      <c r="F699" s="40"/>
      <c r="G699" s="35" t="str">
        <f aca="false">IF($A699="","",IF(ISNUMBER($G698),$G698+1,1))</f>
        <v/>
      </c>
      <c r="H699" s="36" t="str">
        <f aca="false">IF(OR(NOT(ISNUMBER($G699)),$G699&lt;2,NOT(ISNUMBER($C698)),$C698=0),"",$C699/$C698-1)</f>
        <v/>
      </c>
      <c r="I699" s="37" t="str">
        <f aca="false">IF(AND(ISNUMBER($G699),$G699&gt;=MA_SHORT),AVERAGE(INDEX($C$299:$C699,402-MA_SHORT):$C699),"")</f>
        <v/>
      </c>
      <c r="J699" s="37" t="str">
        <f aca="false">IF(AND(ISNUMBER($G699),$G699&gt;=MA_MED),AVERAGE(INDEX($C$299:$C699,402-MA_MED):$C699),"")</f>
        <v/>
      </c>
      <c r="K699" s="37" t="str">
        <f aca="false">IF(AND(ISNUMBER($G699),$G699&gt;=MA_LONG2),AVERAGE(INDEX($C$299:$C699,402-MA_LONG2):$C699),"")</f>
        <v/>
      </c>
      <c r="L699" s="38" t="str">
        <f aca="false">IF(AND(ISNUMBER($G699),$G699&gt;=21),STDEV(INDEX($H$639:$H699,62-20):$H699)*SQRT(245),"")</f>
        <v/>
      </c>
      <c r="M699" s="37" t="str">
        <f aca="false">IF(AND(ISNUMBER($G699),$G699&gt;=60),MAX(INDEX($D$499:$D699,202-60):$D699),"")</f>
        <v/>
      </c>
      <c r="N699" s="37" t="str">
        <f aca="false">IF(AND(ISNUMBER($G699),$G699&gt;=60),MIN(INDEX($E$499:$E699,202-60):$E699),"")</f>
        <v/>
      </c>
      <c r="O699" s="38" t="str">
        <f aca="false">IF(OR(NOT(ISNUMBER($C699)),NOT(ISNUMBER($M699)),$M699=0),"",$C699/$M699-1)</f>
        <v/>
      </c>
    </row>
    <row r="700" customFormat="false" ht="15" hidden="false" customHeight="true" outlineLevel="0" collapsed="false">
      <c r="A700" s="39"/>
      <c r="B700" s="40"/>
      <c r="C700" s="41"/>
      <c r="D700" s="40"/>
      <c r="E700" s="40"/>
      <c r="F700" s="40"/>
      <c r="G700" s="35" t="str">
        <f aca="false">IF($A700="","",IF(ISNUMBER($G699),$G699+1,1))</f>
        <v/>
      </c>
      <c r="H700" s="36" t="str">
        <f aca="false">IF(OR(NOT(ISNUMBER($G700)),$G700&lt;2,NOT(ISNUMBER($C699)),$C699=0),"",$C700/$C699-1)</f>
        <v/>
      </c>
      <c r="I700" s="37" t="str">
        <f aca="false">IF(AND(ISNUMBER($G700),$G700&gt;=MA_SHORT),AVERAGE(INDEX($C$300:$C700,402-MA_SHORT):$C700),"")</f>
        <v/>
      </c>
      <c r="J700" s="37" t="str">
        <f aca="false">IF(AND(ISNUMBER($G700),$G700&gt;=MA_MED),AVERAGE(INDEX($C$300:$C700,402-MA_MED):$C700),"")</f>
        <v/>
      </c>
      <c r="K700" s="37" t="str">
        <f aca="false">IF(AND(ISNUMBER($G700),$G700&gt;=MA_LONG2),AVERAGE(INDEX($C$300:$C700,402-MA_LONG2):$C700),"")</f>
        <v/>
      </c>
      <c r="L700" s="38" t="str">
        <f aca="false">IF(AND(ISNUMBER($G700),$G700&gt;=21),STDEV(INDEX($H$640:$H700,62-20):$H700)*SQRT(245),"")</f>
        <v/>
      </c>
      <c r="M700" s="37" t="str">
        <f aca="false">IF(AND(ISNUMBER($G700),$G700&gt;=60),MAX(INDEX($D$500:$D700,202-60):$D700),"")</f>
        <v/>
      </c>
      <c r="N700" s="37" t="str">
        <f aca="false">IF(AND(ISNUMBER($G700),$G700&gt;=60),MIN(INDEX($E$500:$E700,202-60):$E700),"")</f>
        <v/>
      </c>
      <c r="O700" s="38" t="str">
        <f aca="false">IF(OR(NOT(ISNUMBER($C700)),NOT(ISNUMBER($M700)),$M700=0),"",$C700/$M700-1)</f>
        <v/>
      </c>
    </row>
    <row r="701" customFormat="false" ht="15" hidden="false" customHeight="true" outlineLevel="0" collapsed="false">
      <c r="A701" s="39"/>
      <c r="B701" s="40"/>
      <c r="C701" s="41"/>
      <c r="D701" s="40"/>
      <c r="E701" s="40"/>
      <c r="F701" s="40"/>
      <c r="G701" s="35" t="str">
        <f aca="false">IF($A701="","",IF(ISNUMBER($G700),$G700+1,1))</f>
        <v/>
      </c>
      <c r="H701" s="36" t="str">
        <f aca="false">IF(OR(NOT(ISNUMBER($G701)),$G701&lt;2,NOT(ISNUMBER($C700)),$C700=0),"",$C701/$C700-1)</f>
        <v/>
      </c>
      <c r="I701" s="37" t="str">
        <f aca="false">IF(AND(ISNUMBER($G701),$G701&gt;=MA_SHORT),AVERAGE(INDEX($C$301:$C701,402-MA_SHORT):$C701),"")</f>
        <v/>
      </c>
      <c r="J701" s="37" t="str">
        <f aca="false">IF(AND(ISNUMBER($G701),$G701&gt;=MA_MED),AVERAGE(INDEX($C$301:$C701,402-MA_MED):$C701),"")</f>
        <v/>
      </c>
      <c r="K701" s="37" t="str">
        <f aca="false">IF(AND(ISNUMBER($G701),$G701&gt;=MA_LONG2),AVERAGE(INDEX($C$301:$C701,402-MA_LONG2):$C701),"")</f>
        <v/>
      </c>
      <c r="L701" s="38" t="str">
        <f aca="false">IF(AND(ISNUMBER($G701),$G701&gt;=21),STDEV(INDEX($H$641:$H701,62-20):$H701)*SQRT(245),"")</f>
        <v/>
      </c>
      <c r="M701" s="37" t="str">
        <f aca="false">IF(AND(ISNUMBER($G701),$G701&gt;=60),MAX(INDEX($D$501:$D701,202-60):$D701),"")</f>
        <v/>
      </c>
      <c r="N701" s="37" t="str">
        <f aca="false">IF(AND(ISNUMBER($G701),$G701&gt;=60),MIN(INDEX($E$501:$E701,202-60):$E701),"")</f>
        <v/>
      </c>
      <c r="O701" s="38" t="str">
        <f aca="false">IF(OR(NOT(ISNUMBER($C701)),NOT(ISNUMBER($M701)),$M701=0),"",$C701/$M701-1)</f>
        <v/>
      </c>
    </row>
    <row r="702" customFormat="false" ht="15" hidden="false" customHeight="true" outlineLevel="0" collapsed="false">
      <c r="A702" s="39"/>
      <c r="B702" s="40"/>
      <c r="C702" s="41"/>
      <c r="D702" s="40"/>
      <c r="E702" s="40"/>
      <c r="F702" s="40"/>
      <c r="G702" s="35" t="str">
        <f aca="false">IF($A702="","",IF(ISNUMBER($G701),$G701+1,1))</f>
        <v/>
      </c>
      <c r="H702" s="36" t="str">
        <f aca="false">IF(OR(NOT(ISNUMBER($G702)),$G702&lt;2,NOT(ISNUMBER($C701)),$C701=0),"",$C702/$C701-1)</f>
        <v/>
      </c>
      <c r="I702" s="37" t="str">
        <f aca="false">IF(AND(ISNUMBER($G702),$G702&gt;=MA_SHORT),AVERAGE(INDEX($C$302:$C702,402-MA_SHORT):$C702),"")</f>
        <v/>
      </c>
      <c r="J702" s="37" t="str">
        <f aca="false">IF(AND(ISNUMBER($G702),$G702&gt;=MA_MED),AVERAGE(INDEX($C$302:$C702,402-MA_MED):$C702),"")</f>
        <v/>
      </c>
      <c r="K702" s="37" t="str">
        <f aca="false">IF(AND(ISNUMBER($G702),$G702&gt;=MA_LONG2),AVERAGE(INDEX($C$302:$C702,402-MA_LONG2):$C702),"")</f>
        <v/>
      </c>
      <c r="L702" s="38" t="str">
        <f aca="false">IF(AND(ISNUMBER($G702),$G702&gt;=21),STDEV(INDEX($H$642:$H702,62-20):$H702)*SQRT(245),"")</f>
        <v/>
      </c>
      <c r="M702" s="37" t="str">
        <f aca="false">IF(AND(ISNUMBER($G702),$G702&gt;=60),MAX(INDEX($D$502:$D702,202-60):$D702),"")</f>
        <v/>
      </c>
      <c r="N702" s="37" t="str">
        <f aca="false">IF(AND(ISNUMBER($G702),$G702&gt;=60),MIN(INDEX($E$502:$E702,202-60):$E702),"")</f>
        <v/>
      </c>
      <c r="O702" s="38" t="str">
        <f aca="false">IF(OR(NOT(ISNUMBER($C702)),NOT(ISNUMBER($M702)),$M702=0),"",$C702/$M702-1)</f>
        <v/>
      </c>
    </row>
    <row r="703" customFormat="false" ht="15" hidden="false" customHeight="true" outlineLevel="0" collapsed="false">
      <c r="A703" s="39"/>
      <c r="B703" s="40"/>
      <c r="C703" s="41"/>
      <c r="D703" s="40"/>
      <c r="E703" s="40"/>
      <c r="F703" s="40"/>
      <c r="G703" s="35" t="str">
        <f aca="false">IF($A703="","",IF(ISNUMBER($G702),$G702+1,1))</f>
        <v/>
      </c>
      <c r="H703" s="36" t="str">
        <f aca="false">IF(OR(NOT(ISNUMBER($G703)),$G703&lt;2,NOT(ISNUMBER($C702)),$C702=0),"",$C703/$C702-1)</f>
        <v/>
      </c>
      <c r="I703" s="37" t="str">
        <f aca="false">IF(AND(ISNUMBER($G703),$G703&gt;=MA_SHORT),AVERAGE(INDEX($C$303:$C703,402-MA_SHORT):$C703),"")</f>
        <v/>
      </c>
      <c r="J703" s="37" t="str">
        <f aca="false">IF(AND(ISNUMBER($G703),$G703&gt;=MA_MED),AVERAGE(INDEX($C$303:$C703,402-MA_MED):$C703),"")</f>
        <v/>
      </c>
      <c r="K703" s="37" t="str">
        <f aca="false">IF(AND(ISNUMBER($G703),$G703&gt;=MA_LONG2),AVERAGE(INDEX($C$303:$C703,402-MA_LONG2):$C703),"")</f>
        <v/>
      </c>
      <c r="L703" s="38" t="str">
        <f aca="false">IF(AND(ISNUMBER($G703),$G703&gt;=21),STDEV(INDEX($H$643:$H703,62-20):$H703)*SQRT(245),"")</f>
        <v/>
      </c>
      <c r="M703" s="37" t="str">
        <f aca="false">IF(AND(ISNUMBER($G703),$G703&gt;=60),MAX(INDEX($D$503:$D703,202-60):$D703),"")</f>
        <v/>
      </c>
      <c r="N703" s="37" t="str">
        <f aca="false">IF(AND(ISNUMBER($G703),$G703&gt;=60),MIN(INDEX($E$503:$E703,202-60):$E703),"")</f>
        <v/>
      </c>
      <c r="O703" s="38" t="str">
        <f aca="false">IF(OR(NOT(ISNUMBER($C703)),NOT(ISNUMBER($M703)),$M703=0),"",$C703/$M703-1)</f>
        <v/>
      </c>
    </row>
    <row r="704" customFormat="false" ht="15" hidden="false" customHeight="true" outlineLevel="0" collapsed="false">
      <c r="A704" s="39"/>
      <c r="B704" s="40"/>
      <c r="C704" s="41"/>
      <c r="D704" s="40"/>
      <c r="E704" s="40"/>
      <c r="F704" s="40"/>
      <c r="G704" s="35" t="str">
        <f aca="false">IF($A704="","",IF(ISNUMBER($G703),$G703+1,1))</f>
        <v/>
      </c>
      <c r="H704" s="36" t="str">
        <f aca="false">IF(OR(NOT(ISNUMBER($G704)),$G704&lt;2,NOT(ISNUMBER($C703)),$C703=0),"",$C704/$C703-1)</f>
        <v/>
      </c>
      <c r="I704" s="37" t="str">
        <f aca="false">IF(AND(ISNUMBER($G704),$G704&gt;=MA_SHORT),AVERAGE(INDEX($C$304:$C704,402-MA_SHORT):$C704),"")</f>
        <v/>
      </c>
      <c r="J704" s="37" t="str">
        <f aca="false">IF(AND(ISNUMBER($G704),$G704&gt;=MA_MED),AVERAGE(INDEX($C$304:$C704,402-MA_MED):$C704),"")</f>
        <v/>
      </c>
      <c r="K704" s="37" t="str">
        <f aca="false">IF(AND(ISNUMBER($G704),$G704&gt;=MA_LONG2),AVERAGE(INDEX($C$304:$C704,402-MA_LONG2):$C704),"")</f>
        <v/>
      </c>
      <c r="L704" s="38" t="str">
        <f aca="false">IF(AND(ISNUMBER($G704),$G704&gt;=21),STDEV(INDEX($H$644:$H704,62-20):$H704)*SQRT(245),"")</f>
        <v/>
      </c>
      <c r="M704" s="37" t="str">
        <f aca="false">IF(AND(ISNUMBER($G704),$G704&gt;=60),MAX(INDEX($D$504:$D704,202-60):$D704),"")</f>
        <v/>
      </c>
      <c r="N704" s="37" t="str">
        <f aca="false">IF(AND(ISNUMBER($G704),$G704&gt;=60),MIN(INDEX($E$504:$E704,202-60):$E704),"")</f>
        <v/>
      </c>
      <c r="O704" s="38" t="str">
        <f aca="false">IF(OR(NOT(ISNUMBER($C704)),NOT(ISNUMBER($M704)),$M704=0),"",$C704/$M704-1)</f>
        <v/>
      </c>
    </row>
    <row r="705" customFormat="false" ht="15" hidden="false" customHeight="true" outlineLevel="0" collapsed="false">
      <c r="A705" s="39"/>
      <c r="B705" s="40"/>
      <c r="C705" s="41"/>
      <c r="D705" s="40"/>
      <c r="E705" s="40"/>
      <c r="F705" s="40"/>
      <c r="G705" s="35" t="str">
        <f aca="false">IF($A705="","",IF(ISNUMBER($G704),$G704+1,1))</f>
        <v/>
      </c>
      <c r="H705" s="36" t="str">
        <f aca="false">IF(OR(NOT(ISNUMBER($G705)),$G705&lt;2,NOT(ISNUMBER($C704)),$C704=0),"",$C705/$C704-1)</f>
        <v/>
      </c>
      <c r="I705" s="37" t="str">
        <f aca="false">IF(AND(ISNUMBER($G705),$G705&gt;=MA_SHORT),AVERAGE(INDEX($C$305:$C705,402-MA_SHORT):$C705),"")</f>
        <v/>
      </c>
      <c r="J705" s="37" t="str">
        <f aca="false">IF(AND(ISNUMBER($G705),$G705&gt;=MA_MED),AVERAGE(INDEX($C$305:$C705,402-MA_MED):$C705),"")</f>
        <v/>
      </c>
      <c r="K705" s="37" t="str">
        <f aca="false">IF(AND(ISNUMBER($G705),$G705&gt;=MA_LONG2),AVERAGE(INDEX($C$305:$C705,402-MA_LONG2):$C705),"")</f>
        <v/>
      </c>
      <c r="L705" s="38" t="str">
        <f aca="false">IF(AND(ISNUMBER($G705),$G705&gt;=21),STDEV(INDEX($H$645:$H705,62-20):$H705)*SQRT(245),"")</f>
        <v/>
      </c>
      <c r="M705" s="37" t="str">
        <f aca="false">IF(AND(ISNUMBER($G705),$G705&gt;=60),MAX(INDEX($D$505:$D705,202-60):$D705),"")</f>
        <v/>
      </c>
      <c r="N705" s="37" t="str">
        <f aca="false">IF(AND(ISNUMBER($G705),$G705&gt;=60),MIN(INDEX($E$505:$E705,202-60):$E705),"")</f>
        <v/>
      </c>
      <c r="O705" s="38" t="str">
        <f aca="false">IF(OR(NOT(ISNUMBER($C705)),NOT(ISNUMBER($M705)),$M705=0),"",$C705/$M705-1)</f>
        <v/>
      </c>
    </row>
    <row r="706" customFormat="false" ht="15" hidden="false" customHeight="true" outlineLevel="0" collapsed="false">
      <c r="A706" s="39"/>
      <c r="B706" s="40"/>
      <c r="C706" s="41"/>
      <c r="D706" s="40"/>
      <c r="E706" s="40"/>
      <c r="F706" s="40"/>
      <c r="G706" s="35" t="str">
        <f aca="false">IF($A706="","",IF(ISNUMBER($G705),$G705+1,1))</f>
        <v/>
      </c>
      <c r="H706" s="36" t="str">
        <f aca="false">IF(OR(NOT(ISNUMBER($G706)),$G706&lt;2,NOT(ISNUMBER($C705)),$C705=0),"",$C706/$C705-1)</f>
        <v/>
      </c>
      <c r="I706" s="37" t="str">
        <f aca="false">IF(AND(ISNUMBER($G706),$G706&gt;=MA_SHORT),AVERAGE(INDEX($C$306:$C706,402-MA_SHORT):$C706),"")</f>
        <v/>
      </c>
      <c r="J706" s="37" t="str">
        <f aca="false">IF(AND(ISNUMBER($G706),$G706&gt;=MA_MED),AVERAGE(INDEX($C$306:$C706,402-MA_MED):$C706),"")</f>
        <v/>
      </c>
      <c r="K706" s="37" t="str">
        <f aca="false">IF(AND(ISNUMBER($G706),$G706&gt;=MA_LONG2),AVERAGE(INDEX($C$306:$C706,402-MA_LONG2):$C706),"")</f>
        <v/>
      </c>
      <c r="L706" s="38" t="str">
        <f aca="false">IF(AND(ISNUMBER($G706),$G706&gt;=21),STDEV(INDEX($H$646:$H706,62-20):$H706)*SQRT(245),"")</f>
        <v/>
      </c>
      <c r="M706" s="37" t="str">
        <f aca="false">IF(AND(ISNUMBER($G706),$G706&gt;=60),MAX(INDEX($D$506:$D706,202-60):$D706),"")</f>
        <v/>
      </c>
      <c r="N706" s="37" t="str">
        <f aca="false">IF(AND(ISNUMBER($G706),$G706&gt;=60),MIN(INDEX($E$506:$E706,202-60):$E706),"")</f>
        <v/>
      </c>
      <c r="O706" s="38" t="str">
        <f aca="false">IF(OR(NOT(ISNUMBER($C706)),NOT(ISNUMBER($M706)),$M706=0),"",$C706/$M706-1)</f>
        <v/>
      </c>
    </row>
    <row r="707" customFormat="false" ht="15" hidden="false" customHeight="true" outlineLevel="0" collapsed="false">
      <c r="A707" s="39"/>
      <c r="B707" s="40"/>
      <c r="C707" s="41"/>
      <c r="D707" s="40"/>
      <c r="E707" s="40"/>
      <c r="F707" s="40"/>
      <c r="G707" s="35" t="str">
        <f aca="false">IF($A707="","",IF(ISNUMBER($G706),$G706+1,1))</f>
        <v/>
      </c>
      <c r="H707" s="36" t="str">
        <f aca="false">IF(OR(NOT(ISNUMBER($G707)),$G707&lt;2,NOT(ISNUMBER($C706)),$C706=0),"",$C707/$C706-1)</f>
        <v/>
      </c>
      <c r="I707" s="37" t="str">
        <f aca="false">IF(AND(ISNUMBER($G707),$G707&gt;=MA_SHORT),AVERAGE(INDEX($C$307:$C707,402-MA_SHORT):$C707),"")</f>
        <v/>
      </c>
      <c r="J707" s="37" t="str">
        <f aca="false">IF(AND(ISNUMBER($G707),$G707&gt;=MA_MED),AVERAGE(INDEX($C$307:$C707,402-MA_MED):$C707),"")</f>
        <v/>
      </c>
      <c r="K707" s="37" t="str">
        <f aca="false">IF(AND(ISNUMBER($G707),$G707&gt;=MA_LONG2),AVERAGE(INDEX($C$307:$C707,402-MA_LONG2):$C707),"")</f>
        <v/>
      </c>
      <c r="L707" s="38" t="str">
        <f aca="false">IF(AND(ISNUMBER($G707),$G707&gt;=21),STDEV(INDEX($H$647:$H707,62-20):$H707)*SQRT(245),"")</f>
        <v/>
      </c>
      <c r="M707" s="37" t="str">
        <f aca="false">IF(AND(ISNUMBER($G707),$G707&gt;=60),MAX(INDEX($D$507:$D707,202-60):$D707),"")</f>
        <v/>
      </c>
      <c r="N707" s="37" t="str">
        <f aca="false">IF(AND(ISNUMBER($G707),$G707&gt;=60),MIN(INDEX($E$507:$E707,202-60):$E707),"")</f>
        <v/>
      </c>
      <c r="O707" s="38" t="str">
        <f aca="false">IF(OR(NOT(ISNUMBER($C707)),NOT(ISNUMBER($M707)),$M707=0),"",$C707/$M707-1)</f>
        <v/>
      </c>
    </row>
    <row r="708" customFormat="false" ht="15" hidden="false" customHeight="true" outlineLevel="0" collapsed="false">
      <c r="A708" s="39"/>
      <c r="B708" s="40"/>
      <c r="C708" s="41"/>
      <c r="D708" s="40"/>
      <c r="E708" s="40"/>
      <c r="F708" s="40"/>
      <c r="G708" s="35" t="str">
        <f aca="false">IF($A708="","",IF(ISNUMBER($G707),$G707+1,1))</f>
        <v/>
      </c>
      <c r="H708" s="36" t="str">
        <f aca="false">IF(OR(NOT(ISNUMBER($G708)),$G708&lt;2,NOT(ISNUMBER($C707)),$C707=0),"",$C708/$C707-1)</f>
        <v/>
      </c>
      <c r="I708" s="37" t="str">
        <f aca="false">IF(AND(ISNUMBER($G708),$G708&gt;=MA_SHORT),AVERAGE(INDEX($C$308:$C708,402-MA_SHORT):$C708),"")</f>
        <v/>
      </c>
      <c r="J708" s="37" t="str">
        <f aca="false">IF(AND(ISNUMBER($G708),$G708&gt;=MA_MED),AVERAGE(INDEX($C$308:$C708,402-MA_MED):$C708),"")</f>
        <v/>
      </c>
      <c r="K708" s="37" t="str">
        <f aca="false">IF(AND(ISNUMBER($G708),$G708&gt;=MA_LONG2),AVERAGE(INDEX($C$308:$C708,402-MA_LONG2):$C708),"")</f>
        <v/>
      </c>
      <c r="L708" s="38" t="str">
        <f aca="false">IF(AND(ISNUMBER($G708),$G708&gt;=21),STDEV(INDEX($H$648:$H708,62-20):$H708)*SQRT(245),"")</f>
        <v/>
      </c>
      <c r="M708" s="37" t="str">
        <f aca="false">IF(AND(ISNUMBER($G708),$G708&gt;=60),MAX(INDEX($D$508:$D708,202-60):$D708),"")</f>
        <v/>
      </c>
      <c r="N708" s="37" t="str">
        <f aca="false">IF(AND(ISNUMBER($G708),$G708&gt;=60),MIN(INDEX($E$508:$E708,202-60):$E708),"")</f>
        <v/>
      </c>
      <c r="O708" s="38" t="str">
        <f aca="false">IF(OR(NOT(ISNUMBER($C708)),NOT(ISNUMBER($M708)),$M708=0),"",$C708/$M708-1)</f>
        <v/>
      </c>
    </row>
    <row r="709" customFormat="false" ht="15" hidden="false" customHeight="true" outlineLevel="0" collapsed="false">
      <c r="A709" s="39"/>
      <c r="B709" s="40"/>
      <c r="C709" s="41"/>
      <c r="D709" s="40"/>
      <c r="E709" s="40"/>
      <c r="F709" s="40"/>
      <c r="G709" s="35" t="str">
        <f aca="false">IF($A709="","",IF(ISNUMBER($G708),$G708+1,1))</f>
        <v/>
      </c>
      <c r="H709" s="36" t="str">
        <f aca="false">IF(OR(NOT(ISNUMBER($G709)),$G709&lt;2,NOT(ISNUMBER($C708)),$C708=0),"",$C709/$C708-1)</f>
        <v/>
      </c>
      <c r="I709" s="37" t="str">
        <f aca="false">IF(AND(ISNUMBER($G709),$G709&gt;=MA_SHORT),AVERAGE(INDEX($C$309:$C709,402-MA_SHORT):$C709),"")</f>
        <v/>
      </c>
      <c r="J709" s="37" t="str">
        <f aca="false">IF(AND(ISNUMBER($G709),$G709&gt;=MA_MED),AVERAGE(INDEX($C$309:$C709,402-MA_MED):$C709),"")</f>
        <v/>
      </c>
      <c r="K709" s="37" t="str">
        <f aca="false">IF(AND(ISNUMBER($G709),$G709&gt;=MA_LONG2),AVERAGE(INDEX($C$309:$C709,402-MA_LONG2):$C709),"")</f>
        <v/>
      </c>
      <c r="L709" s="38" t="str">
        <f aca="false">IF(AND(ISNUMBER($G709),$G709&gt;=21),STDEV(INDEX($H$649:$H709,62-20):$H709)*SQRT(245),"")</f>
        <v/>
      </c>
      <c r="M709" s="37" t="str">
        <f aca="false">IF(AND(ISNUMBER($G709),$G709&gt;=60),MAX(INDEX($D$509:$D709,202-60):$D709),"")</f>
        <v/>
      </c>
      <c r="N709" s="37" t="str">
        <f aca="false">IF(AND(ISNUMBER($G709),$G709&gt;=60),MIN(INDEX($E$509:$E709,202-60):$E709),"")</f>
        <v/>
      </c>
      <c r="O709" s="38" t="str">
        <f aca="false">IF(OR(NOT(ISNUMBER($C709)),NOT(ISNUMBER($M709)),$M709=0),"",$C709/$M709-1)</f>
        <v/>
      </c>
    </row>
    <row r="710" customFormat="false" ht="15" hidden="false" customHeight="true" outlineLevel="0" collapsed="false">
      <c r="A710" s="39"/>
      <c r="B710" s="40"/>
      <c r="C710" s="41"/>
      <c r="D710" s="40"/>
      <c r="E710" s="40"/>
      <c r="F710" s="40"/>
      <c r="G710" s="35" t="str">
        <f aca="false">IF($A710="","",IF(ISNUMBER($G709),$G709+1,1))</f>
        <v/>
      </c>
      <c r="H710" s="36" t="str">
        <f aca="false">IF(OR(NOT(ISNUMBER($G710)),$G710&lt;2,NOT(ISNUMBER($C709)),$C709=0),"",$C710/$C709-1)</f>
        <v/>
      </c>
      <c r="I710" s="37" t="str">
        <f aca="false">IF(AND(ISNUMBER($G710),$G710&gt;=MA_SHORT),AVERAGE(INDEX($C$310:$C710,402-MA_SHORT):$C710),"")</f>
        <v/>
      </c>
      <c r="J710" s="37" t="str">
        <f aca="false">IF(AND(ISNUMBER($G710),$G710&gt;=MA_MED),AVERAGE(INDEX($C$310:$C710,402-MA_MED):$C710),"")</f>
        <v/>
      </c>
      <c r="K710" s="37" t="str">
        <f aca="false">IF(AND(ISNUMBER($G710),$G710&gt;=MA_LONG2),AVERAGE(INDEX($C$310:$C710,402-MA_LONG2):$C710),"")</f>
        <v/>
      </c>
      <c r="L710" s="38" t="str">
        <f aca="false">IF(AND(ISNUMBER($G710),$G710&gt;=21),STDEV(INDEX($H$650:$H710,62-20):$H710)*SQRT(245),"")</f>
        <v/>
      </c>
      <c r="M710" s="37" t="str">
        <f aca="false">IF(AND(ISNUMBER($G710),$G710&gt;=60),MAX(INDEX($D$510:$D710,202-60):$D710),"")</f>
        <v/>
      </c>
      <c r="N710" s="37" t="str">
        <f aca="false">IF(AND(ISNUMBER($G710),$G710&gt;=60),MIN(INDEX($E$510:$E710,202-60):$E710),"")</f>
        <v/>
      </c>
      <c r="O710" s="38" t="str">
        <f aca="false">IF(OR(NOT(ISNUMBER($C710)),NOT(ISNUMBER($M710)),$M710=0),"",$C710/$M710-1)</f>
        <v/>
      </c>
    </row>
    <row r="711" customFormat="false" ht="15" hidden="false" customHeight="true" outlineLevel="0" collapsed="false">
      <c r="A711" s="39"/>
      <c r="B711" s="40"/>
      <c r="C711" s="41"/>
      <c r="D711" s="40"/>
      <c r="E711" s="40"/>
      <c r="F711" s="40"/>
      <c r="G711" s="35" t="str">
        <f aca="false">IF($A711="","",IF(ISNUMBER($G710),$G710+1,1))</f>
        <v/>
      </c>
      <c r="H711" s="36" t="str">
        <f aca="false">IF(OR(NOT(ISNUMBER($G711)),$G711&lt;2,NOT(ISNUMBER($C710)),$C710=0),"",$C711/$C710-1)</f>
        <v/>
      </c>
      <c r="I711" s="37" t="str">
        <f aca="false">IF(AND(ISNUMBER($G711),$G711&gt;=MA_SHORT),AVERAGE(INDEX($C$311:$C711,402-MA_SHORT):$C711),"")</f>
        <v/>
      </c>
      <c r="J711" s="37" t="str">
        <f aca="false">IF(AND(ISNUMBER($G711),$G711&gt;=MA_MED),AVERAGE(INDEX($C$311:$C711,402-MA_MED):$C711),"")</f>
        <v/>
      </c>
      <c r="K711" s="37" t="str">
        <f aca="false">IF(AND(ISNUMBER($G711),$G711&gt;=MA_LONG2),AVERAGE(INDEX($C$311:$C711,402-MA_LONG2):$C711),"")</f>
        <v/>
      </c>
      <c r="L711" s="38" t="str">
        <f aca="false">IF(AND(ISNUMBER($G711),$G711&gt;=21),STDEV(INDEX($H$651:$H711,62-20):$H711)*SQRT(245),"")</f>
        <v/>
      </c>
      <c r="M711" s="37" t="str">
        <f aca="false">IF(AND(ISNUMBER($G711),$G711&gt;=60),MAX(INDEX($D$511:$D711,202-60):$D711),"")</f>
        <v/>
      </c>
      <c r="N711" s="37" t="str">
        <f aca="false">IF(AND(ISNUMBER($G711),$G711&gt;=60),MIN(INDEX($E$511:$E711,202-60):$E711),"")</f>
        <v/>
      </c>
      <c r="O711" s="38" t="str">
        <f aca="false">IF(OR(NOT(ISNUMBER($C711)),NOT(ISNUMBER($M711)),$M711=0),"",$C711/$M711-1)</f>
        <v/>
      </c>
    </row>
    <row r="712" customFormat="false" ht="15" hidden="false" customHeight="true" outlineLevel="0" collapsed="false">
      <c r="A712" s="39"/>
      <c r="B712" s="40"/>
      <c r="C712" s="41"/>
      <c r="D712" s="40"/>
      <c r="E712" s="40"/>
      <c r="F712" s="40"/>
      <c r="G712" s="35" t="str">
        <f aca="false">IF($A712="","",IF(ISNUMBER($G711),$G711+1,1))</f>
        <v/>
      </c>
      <c r="H712" s="36" t="str">
        <f aca="false">IF(OR(NOT(ISNUMBER($G712)),$G712&lt;2,NOT(ISNUMBER($C711)),$C711=0),"",$C712/$C711-1)</f>
        <v/>
      </c>
      <c r="I712" s="37" t="str">
        <f aca="false">IF(AND(ISNUMBER($G712),$G712&gt;=MA_SHORT),AVERAGE(INDEX($C$312:$C712,402-MA_SHORT):$C712),"")</f>
        <v/>
      </c>
      <c r="J712" s="37" t="str">
        <f aca="false">IF(AND(ISNUMBER($G712),$G712&gt;=MA_MED),AVERAGE(INDEX($C$312:$C712,402-MA_MED):$C712),"")</f>
        <v/>
      </c>
      <c r="K712" s="37" t="str">
        <f aca="false">IF(AND(ISNUMBER($G712),$G712&gt;=MA_LONG2),AVERAGE(INDEX($C$312:$C712,402-MA_LONG2):$C712),"")</f>
        <v/>
      </c>
      <c r="L712" s="38" t="str">
        <f aca="false">IF(AND(ISNUMBER($G712),$G712&gt;=21),STDEV(INDEX($H$652:$H712,62-20):$H712)*SQRT(245),"")</f>
        <v/>
      </c>
      <c r="M712" s="37" t="str">
        <f aca="false">IF(AND(ISNUMBER($G712),$G712&gt;=60),MAX(INDEX($D$512:$D712,202-60):$D712),"")</f>
        <v/>
      </c>
      <c r="N712" s="37" t="str">
        <f aca="false">IF(AND(ISNUMBER($G712),$G712&gt;=60),MIN(INDEX($E$512:$E712,202-60):$E712),"")</f>
        <v/>
      </c>
      <c r="O712" s="38" t="str">
        <f aca="false">IF(OR(NOT(ISNUMBER($C712)),NOT(ISNUMBER($M712)),$M712=0),"",$C712/$M712-1)</f>
        <v/>
      </c>
    </row>
    <row r="713" customFormat="false" ht="15" hidden="false" customHeight="true" outlineLevel="0" collapsed="false">
      <c r="A713" s="39"/>
      <c r="B713" s="40"/>
      <c r="C713" s="41"/>
      <c r="D713" s="40"/>
      <c r="E713" s="40"/>
      <c r="F713" s="40"/>
      <c r="G713" s="35" t="str">
        <f aca="false">IF($A713="","",IF(ISNUMBER($G712),$G712+1,1))</f>
        <v/>
      </c>
      <c r="H713" s="36" t="str">
        <f aca="false">IF(OR(NOT(ISNUMBER($G713)),$G713&lt;2,NOT(ISNUMBER($C712)),$C712=0),"",$C713/$C712-1)</f>
        <v/>
      </c>
      <c r="I713" s="37" t="str">
        <f aca="false">IF(AND(ISNUMBER($G713),$G713&gt;=MA_SHORT),AVERAGE(INDEX($C$313:$C713,402-MA_SHORT):$C713),"")</f>
        <v/>
      </c>
      <c r="J713" s="37" t="str">
        <f aca="false">IF(AND(ISNUMBER($G713),$G713&gt;=MA_MED),AVERAGE(INDEX($C$313:$C713,402-MA_MED):$C713),"")</f>
        <v/>
      </c>
      <c r="K713" s="37" t="str">
        <f aca="false">IF(AND(ISNUMBER($G713),$G713&gt;=MA_LONG2),AVERAGE(INDEX($C$313:$C713,402-MA_LONG2):$C713),"")</f>
        <v/>
      </c>
      <c r="L713" s="38" t="str">
        <f aca="false">IF(AND(ISNUMBER($G713),$G713&gt;=21),STDEV(INDEX($H$653:$H713,62-20):$H713)*SQRT(245),"")</f>
        <v/>
      </c>
      <c r="M713" s="37" t="str">
        <f aca="false">IF(AND(ISNUMBER($G713),$G713&gt;=60),MAX(INDEX($D$513:$D713,202-60):$D713),"")</f>
        <v/>
      </c>
      <c r="N713" s="37" t="str">
        <f aca="false">IF(AND(ISNUMBER($G713),$G713&gt;=60),MIN(INDEX($E$513:$E713,202-60):$E713),"")</f>
        <v/>
      </c>
      <c r="O713" s="38" t="str">
        <f aca="false">IF(OR(NOT(ISNUMBER($C713)),NOT(ISNUMBER($M713)),$M713=0),"",$C713/$M713-1)</f>
        <v/>
      </c>
    </row>
    <row r="714" customFormat="false" ht="15" hidden="false" customHeight="true" outlineLevel="0" collapsed="false">
      <c r="A714" s="39"/>
      <c r="B714" s="40"/>
      <c r="C714" s="41"/>
      <c r="D714" s="40"/>
      <c r="E714" s="40"/>
      <c r="F714" s="40"/>
      <c r="G714" s="35" t="str">
        <f aca="false">IF($A714="","",IF(ISNUMBER($G713),$G713+1,1))</f>
        <v/>
      </c>
      <c r="H714" s="36" t="str">
        <f aca="false">IF(OR(NOT(ISNUMBER($G714)),$G714&lt;2,NOT(ISNUMBER($C713)),$C713=0),"",$C714/$C713-1)</f>
        <v/>
      </c>
      <c r="I714" s="37" t="str">
        <f aca="false">IF(AND(ISNUMBER($G714),$G714&gt;=MA_SHORT),AVERAGE(INDEX($C$314:$C714,402-MA_SHORT):$C714),"")</f>
        <v/>
      </c>
      <c r="J714" s="37" t="str">
        <f aca="false">IF(AND(ISNUMBER($G714),$G714&gt;=MA_MED),AVERAGE(INDEX($C$314:$C714,402-MA_MED):$C714),"")</f>
        <v/>
      </c>
      <c r="K714" s="37" t="str">
        <f aca="false">IF(AND(ISNUMBER($G714),$G714&gt;=MA_LONG2),AVERAGE(INDEX($C$314:$C714,402-MA_LONG2):$C714),"")</f>
        <v/>
      </c>
      <c r="L714" s="38" t="str">
        <f aca="false">IF(AND(ISNUMBER($G714),$G714&gt;=21),STDEV(INDEX($H$654:$H714,62-20):$H714)*SQRT(245),"")</f>
        <v/>
      </c>
      <c r="M714" s="37" t="str">
        <f aca="false">IF(AND(ISNUMBER($G714),$G714&gt;=60),MAX(INDEX($D$514:$D714,202-60):$D714),"")</f>
        <v/>
      </c>
      <c r="N714" s="37" t="str">
        <f aca="false">IF(AND(ISNUMBER($G714),$G714&gt;=60),MIN(INDEX($E$514:$E714,202-60):$E714),"")</f>
        <v/>
      </c>
      <c r="O714" s="38" t="str">
        <f aca="false">IF(OR(NOT(ISNUMBER($C714)),NOT(ISNUMBER($M714)),$M714=0),"",$C714/$M714-1)</f>
        <v/>
      </c>
    </row>
    <row r="715" customFormat="false" ht="15" hidden="false" customHeight="true" outlineLevel="0" collapsed="false">
      <c r="A715" s="39"/>
      <c r="B715" s="40"/>
      <c r="C715" s="41"/>
      <c r="D715" s="40"/>
      <c r="E715" s="40"/>
      <c r="F715" s="40"/>
      <c r="G715" s="35" t="str">
        <f aca="false">IF($A715="","",IF(ISNUMBER($G714),$G714+1,1))</f>
        <v/>
      </c>
      <c r="H715" s="36" t="str">
        <f aca="false">IF(OR(NOT(ISNUMBER($G715)),$G715&lt;2,NOT(ISNUMBER($C714)),$C714=0),"",$C715/$C714-1)</f>
        <v/>
      </c>
      <c r="I715" s="37" t="str">
        <f aca="false">IF(AND(ISNUMBER($G715),$G715&gt;=MA_SHORT),AVERAGE(INDEX($C$315:$C715,402-MA_SHORT):$C715),"")</f>
        <v/>
      </c>
      <c r="J715" s="37" t="str">
        <f aca="false">IF(AND(ISNUMBER($G715),$G715&gt;=MA_MED),AVERAGE(INDEX($C$315:$C715,402-MA_MED):$C715),"")</f>
        <v/>
      </c>
      <c r="K715" s="37" t="str">
        <f aca="false">IF(AND(ISNUMBER($G715),$G715&gt;=MA_LONG2),AVERAGE(INDEX($C$315:$C715,402-MA_LONG2):$C715),"")</f>
        <v/>
      </c>
      <c r="L715" s="38" t="str">
        <f aca="false">IF(AND(ISNUMBER($G715),$G715&gt;=21),STDEV(INDEX($H$655:$H715,62-20):$H715)*SQRT(245),"")</f>
        <v/>
      </c>
      <c r="M715" s="37" t="str">
        <f aca="false">IF(AND(ISNUMBER($G715),$G715&gt;=60),MAX(INDEX($D$515:$D715,202-60):$D715),"")</f>
        <v/>
      </c>
      <c r="N715" s="37" t="str">
        <f aca="false">IF(AND(ISNUMBER($G715),$G715&gt;=60),MIN(INDEX($E$515:$E715,202-60):$E715),"")</f>
        <v/>
      </c>
      <c r="O715" s="38" t="str">
        <f aca="false">IF(OR(NOT(ISNUMBER($C715)),NOT(ISNUMBER($M715)),$M715=0),"",$C715/$M715-1)</f>
        <v/>
      </c>
    </row>
    <row r="716" customFormat="false" ht="15" hidden="false" customHeight="true" outlineLevel="0" collapsed="false">
      <c r="A716" s="39"/>
      <c r="B716" s="40"/>
      <c r="C716" s="41"/>
      <c r="D716" s="40"/>
      <c r="E716" s="40"/>
      <c r="F716" s="40"/>
      <c r="G716" s="35" t="str">
        <f aca="false">IF($A716="","",IF(ISNUMBER($G715),$G715+1,1))</f>
        <v/>
      </c>
      <c r="H716" s="36" t="str">
        <f aca="false">IF(OR(NOT(ISNUMBER($G716)),$G716&lt;2,NOT(ISNUMBER($C715)),$C715=0),"",$C716/$C715-1)</f>
        <v/>
      </c>
      <c r="I716" s="37" t="str">
        <f aca="false">IF(AND(ISNUMBER($G716),$G716&gt;=MA_SHORT),AVERAGE(INDEX($C$316:$C716,402-MA_SHORT):$C716),"")</f>
        <v/>
      </c>
      <c r="J716" s="37" t="str">
        <f aca="false">IF(AND(ISNUMBER($G716),$G716&gt;=MA_MED),AVERAGE(INDEX($C$316:$C716,402-MA_MED):$C716),"")</f>
        <v/>
      </c>
      <c r="K716" s="37" t="str">
        <f aca="false">IF(AND(ISNUMBER($G716),$G716&gt;=MA_LONG2),AVERAGE(INDEX($C$316:$C716,402-MA_LONG2):$C716),"")</f>
        <v/>
      </c>
      <c r="L716" s="38" t="str">
        <f aca="false">IF(AND(ISNUMBER($G716),$G716&gt;=21),STDEV(INDEX($H$656:$H716,62-20):$H716)*SQRT(245),"")</f>
        <v/>
      </c>
      <c r="M716" s="37" t="str">
        <f aca="false">IF(AND(ISNUMBER($G716),$G716&gt;=60),MAX(INDEX($D$516:$D716,202-60):$D716),"")</f>
        <v/>
      </c>
      <c r="N716" s="37" t="str">
        <f aca="false">IF(AND(ISNUMBER($G716),$G716&gt;=60),MIN(INDEX($E$516:$E716,202-60):$E716),"")</f>
        <v/>
      </c>
      <c r="O716" s="38" t="str">
        <f aca="false">IF(OR(NOT(ISNUMBER($C716)),NOT(ISNUMBER($M716)),$M716=0),"",$C716/$M716-1)</f>
        <v/>
      </c>
    </row>
    <row r="717" customFormat="false" ht="15" hidden="false" customHeight="true" outlineLevel="0" collapsed="false">
      <c r="A717" s="39"/>
      <c r="B717" s="40"/>
      <c r="C717" s="41"/>
      <c r="D717" s="40"/>
      <c r="E717" s="40"/>
      <c r="F717" s="40"/>
      <c r="G717" s="35" t="str">
        <f aca="false">IF($A717="","",IF(ISNUMBER($G716),$G716+1,1))</f>
        <v/>
      </c>
      <c r="H717" s="36" t="str">
        <f aca="false">IF(OR(NOT(ISNUMBER($G717)),$G717&lt;2,NOT(ISNUMBER($C716)),$C716=0),"",$C717/$C716-1)</f>
        <v/>
      </c>
      <c r="I717" s="37" t="str">
        <f aca="false">IF(AND(ISNUMBER($G717),$G717&gt;=MA_SHORT),AVERAGE(INDEX($C$317:$C717,402-MA_SHORT):$C717),"")</f>
        <v/>
      </c>
      <c r="J717" s="37" t="str">
        <f aca="false">IF(AND(ISNUMBER($G717),$G717&gt;=MA_MED),AVERAGE(INDEX($C$317:$C717,402-MA_MED):$C717),"")</f>
        <v/>
      </c>
      <c r="K717" s="37" t="str">
        <f aca="false">IF(AND(ISNUMBER($G717),$G717&gt;=MA_LONG2),AVERAGE(INDEX($C$317:$C717,402-MA_LONG2):$C717),"")</f>
        <v/>
      </c>
      <c r="L717" s="38" t="str">
        <f aca="false">IF(AND(ISNUMBER($G717),$G717&gt;=21),STDEV(INDEX($H$657:$H717,62-20):$H717)*SQRT(245),"")</f>
        <v/>
      </c>
      <c r="M717" s="37" t="str">
        <f aca="false">IF(AND(ISNUMBER($G717),$G717&gt;=60),MAX(INDEX($D$517:$D717,202-60):$D717),"")</f>
        <v/>
      </c>
      <c r="N717" s="37" t="str">
        <f aca="false">IF(AND(ISNUMBER($G717),$G717&gt;=60),MIN(INDEX($E$517:$E717,202-60):$E717),"")</f>
        <v/>
      </c>
      <c r="O717" s="38" t="str">
        <f aca="false">IF(OR(NOT(ISNUMBER($C717)),NOT(ISNUMBER($M717)),$M717=0),"",$C717/$M717-1)</f>
        <v/>
      </c>
    </row>
    <row r="718" customFormat="false" ht="15" hidden="false" customHeight="true" outlineLevel="0" collapsed="false">
      <c r="A718" s="39"/>
      <c r="B718" s="40"/>
      <c r="C718" s="41"/>
      <c r="D718" s="40"/>
      <c r="E718" s="40"/>
      <c r="F718" s="40"/>
      <c r="G718" s="35" t="str">
        <f aca="false">IF($A718="","",IF(ISNUMBER($G717),$G717+1,1))</f>
        <v/>
      </c>
      <c r="H718" s="36" t="str">
        <f aca="false">IF(OR(NOT(ISNUMBER($G718)),$G718&lt;2,NOT(ISNUMBER($C717)),$C717=0),"",$C718/$C717-1)</f>
        <v/>
      </c>
      <c r="I718" s="37" t="str">
        <f aca="false">IF(AND(ISNUMBER($G718),$G718&gt;=MA_SHORT),AVERAGE(INDEX($C$318:$C718,402-MA_SHORT):$C718),"")</f>
        <v/>
      </c>
      <c r="J718" s="37" t="str">
        <f aca="false">IF(AND(ISNUMBER($G718),$G718&gt;=MA_MED),AVERAGE(INDEX($C$318:$C718,402-MA_MED):$C718),"")</f>
        <v/>
      </c>
      <c r="K718" s="37" t="str">
        <f aca="false">IF(AND(ISNUMBER($G718),$G718&gt;=MA_LONG2),AVERAGE(INDEX($C$318:$C718,402-MA_LONG2):$C718),"")</f>
        <v/>
      </c>
      <c r="L718" s="38" t="str">
        <f aca="false">IF(AND(ISNUMBER($G718),$G718&gt;=21),STDEV(INDEX($H$658:$H718,62-20):$H718)*SQRT(245),"")</f>
        <v/>
      </c>
      <c r="M718" s="37" t="str">
        <f aca="false">IF(AND(ISNUMBER($G718),$G718&gt;=60),MAX(INDEX($D$518:$D718,202-60):$D718),"")</f>
        <v/>
      </c>
      <c r="N718" s="37" t="str">
        <f aca="false">IF(AND(ISNUMBER($G718),$G718&gt;=60),MIN(INDEX($E$518:$E718,202-60):$E718),"")</f>
        <v/>
      </c>
      <c r="O718" s="38" t="str">
        <f aca="false">IF(OR(NOT(ISNUMBER($C718)),NOT(ISNUMBER($M718)),$M718=0),"",$C718/$M718-1)</f>
        <v/>
      </c>
    </row>
    <row r="719" customFormat="false" ht="15" hidden="false" customHeight="true" outlineLevel="0" collapsed="false">
      <c r="A719" s="39"/>
      <c r="B719" s="40"/>
      <c r="C719" s="41"/>
      <c r="D719" s="40"/>
      <c r="E719" s="40"/>
      <c r="F719" s="40"/>
      <c r="G719" s="35" t="str">
        <f aca="false">IF($A719="","",IF(ISNUMBER($G718),$G718+1,1))</f>
        <v/>
      </c>
      <c r="H719" s="36" t="str">
        <f aca="false">IF(OR(NOT(ISNUMBER($G719)),$G719&lt;2,NOT(ISNUMBER($C718)),$C718=0),"",$C719/$C718-1)</f>
        <v/>
      </c>
      <c r="I719" s="37" t="str">
        <f aca="false">IF(AND(ISNUMBER($G719),$G719&gt;=MA_SHORT),AVERAGE(INDEX($C$319:$C719,402-MA_SHORT):$C719),"")</f>
        <v/>
      </c>
      <c r="J719" s="37" t="str">
        <f aca="false">IF(AND(ISNUMBER($G719),$G719&gt;=MA_MED),AVERAGE(INDEX($C$319:$C719,402-MA_MED):$C719),"")</f>
        <v/>
      </c>
      <c r="K719" s="37" t="str">
        <f aca="false">IF(AND(ISNUMBER($G719),$G719&gt;=MA_LONG2),AVERAGE(INDEX($C$319:$C719,402-MA_LONG2):$C719),"")</f>
        <v/>
      </c>
      <c r="L719" s="38" t="str">
        <f aca="false">IF(AND(ISNUMBER($G719),$G719&gt;=21),STDEV(INDEX($H$659:$H719,62-20):$H719)*SQRT(245),"")</f>
        <v/>
      </c>
      <c r="M719" s="37" t="str">
        <f aca="false">IF(AND(ISNUMBER($G719),$G719&gt;=60),MAX(INDEX($D$519:$D719,202-60):$D719),"")</f>
        <v/>
      </c>
      <c r="N719" s="37" t="str">
        <f aca="false">IF(AND(ISNUMBER($G719),$G719&gt;=60),MIN(INDEX($E$519:$E719,202-60):$E719),"")</f>
        <v/>
      </c>
      <c r="O719" s="38" t="str">
        <f aca="false">IF(OR(NOT(ISNUMBER($C719)),NOT(ISNUMBER($M719)),$M719=0),"",$C719/$M719-1)</f>
        <v/>
      </c>
    </row>
    <row r="720" customFormat="false" ht="15" hidden="false" customHeight="true" outlineLevel="0" collapsed="false">
      <c r="A720" s="39"/>
      <c r="B720" s="40"/>
      <c r="C720" s="41"/>
      <c r="D720" s="40"/>
      <c r="E720" s="40"/>
      <c r="F720" s="40"/>
      <c r="G720" s="35" t="str">
        <f aca="false">IF($A720="","",IF(ISNUMBER($G719),$G719+1,1))</f>
        <v/>
      </c>
      <c r="H720" s="36" t="str">
        <f aca="false">IF(OR(NOT(ISNUMBER($G720)),$G720&lt;2,NOT(ISNUMBER($C719)),$C719=0),"",$C720/$C719-1)</f>
        <v/>
      </c>
      <c r="I720" s="37" t="str">
        <f aca="false">IF(AND(ISNUMBER($G720),$G720&gt;=MA_SHORT),AVERAGE(INDEX($C$320:$C720,402-MA_SHORT):$C720),"")</f>
        <v/>
      </c>
      <c r="J720" s="37" t="str">
        <f aca="false">IF(AND(ISNUMBER($G720),$G720&gt;=MA_MED),AVERAGE(INDEX($C$320:$C720,402-MA_MED):$C720),"")</f>
        <v/>
      </c>
      <c r="K720" s="37" t="str">
        <f aca="false">IF(AND(ISNUMBER($G720),$G720&gt;=MA_LONG2),AVERAGE(INDEX($C$320:$C720,402-MA_LONG2):$C720),"")</f>
        <v/>
      </c>
      <c r="L720" s="38" t="str">
        <f aca="false">IF(AND(ISNUMBER($G720),$G720&gt;=21),STDEV(INDEX($H$660:$H720,62-20):$H720)*SQRT(245),"")</f>
        <v/>
      </c>
      <c r="M720" s="37" t="str">
        <f aca="false">IF(AND(ISNUMBER($G720),$G720&gt;=60),MAX(INDEX($D$520:$D720,202-60):$D720),"")</f>
        <v/>
      </c>
      <c r="N720" s="37" t="str">
        <f aca="false">IF(AND(ISNUMBER($G720),$G720&gt;=60),MIN(INDEX($E$520:$E720,202-60):$E720),"")</f>
        <v/>
      </c>
      <c r="O720" s="38" t="str">
        <f aca="false">IF(OR(NOT(ISNUMBER($C720)),NOT(ISNUMBER($M720)),$M720=0),"",$C720/$M720-1)</f>
        <v/>
      </c>
    </row>
    <row r="721" customFormat="false" ht="15" hidden="false" customHeight="true" outlineLevel="0" collapsed="false">
      <c r="A721" s="39"/>
      <c r="B721" s="40"/>
      <c r="C721" s="41"/>
      <c r="D721" s="40"/>
      <c r="E721" s="40"/>
      <c r="F721" s="40"/>
      <c r="G721" s="35" t="str">
        <f aca="false">IF($A721="","",IF(ISNUMBER($G720),$G720+1,1))</f>
        <v/>
      </c>
      <c r="H721" s="36" t="str">
        <f aca="false">IF(OR(NOT(ISNUMBER($G721)),$G721&lt;2,NOT(ISNUMBER($C720)),$C720=0),"",$C721/$C720-1)</f>
        <v/>
      </c>
      <c r="I721" s="37" t="str">
        <f aca="false">IF(AND(ISNUMBER($G721),$G721&gt;=MA_SHORT),AVERAGE(INDEX($C$321:$C721,402-MA_SHORT):$C721),"")</f>
        <v/>
      </c>
      <c r="J721" s="37" t="str">
        <f aca="false">IF(AND(ISNUMBER($G721),$G721&gt;=MA_MED),AVERAGE(INDEX($C$321:$C721,402-MA_MED):$C721),"")</f>
        <v/>
      </c>
      <c r="K721" s="37" t="str">
        <f aca="false">IF(AND(ISNUMBER($G721),$G721&gt;=MA_LONG2),AVERAGE(INDEX($C$321:$C721,402-MA_LONG2):$C721),"")</f>
        <v/>
      </c>
      <c r="L721" s="38" t="str">
        <f aca="false">IF(AND(ISNUMBER($G721),$G721&gt;=21),STDEV(INDEX($H$661:$H721,62-20):$H721)*SQRT(245),"")</f>
        <v/>
      </c>
      <c r="M721" s="37" t="str">
        <f aca="false">IF(AND(ISNUMBER($G721),$G721&gt;=60),MAX(INDEX($D$521:$D721,202-60):$D721),"")</f>
        <v/>
      </c>
      <c r="N721" s="37" t="str">
        <f aca="false">IF(AND(ISNUMBER($G721),$G721&gt;=60),MIN(INDEX($E$521:$E721,202-60):$E721),"")</f>
        <v/>
      </c>
      <c r="O721" s="38" t="str">
        <f aca="false">IF(OR(NOT(ISNUMBER($C721)),NOT(ISNUMBER($M721)),$M721=0),"",$C721/$M721-1)</f>
        <v/>
      </c>
    </row>
    <row r="722" customFormat="false" ht="15" hidden="false" customHeight="true" outlineLevel="0" collapsed="false">
      <c r="A722" s="39"/>
      <c r="B722" s="40"/>
      <c r="C722" s="41"/>
      <c r="D722" s="40"/>
      <c r="E722" s="40"/>
      <c r="F722" s="40"/>
      <c r="G722" s="35" t="str">
        <f aca="false">IF($A722="","",IF(ISNUMBER($G721),$G721+1,1))</f>
        <v/>
      </c>
      <c r="H722" s="36" t="str">
        <f aca="false">IF(OR(NOT(ISNUMBER($G722)),$G722&lt;2,NOT(ISNUMBER($C721)),$C721=0),"",$C722/$C721-1)</f>
        <v/>
      </c>
      <c r="I722" s="37" t="str">
        <f aca="false">IF(AND(ISNUMBER($G722),$G722&gt;=MA_SHORT),AVERAGE(INDEX($C$322:$C722,402-MA_SHORT):$C722),"")</f>
        <v/>
      </c>
      <c r="J722" s="37" t="str">
        <f aca="false">IF(AND(ISNUMBER($G722),$G722&gt;=MA_MED),AVERAGE(INDEX($C$322:$C722,402-MA_MED):$C722),"")</f>
        <v/>
      </c>
      <c r="K722" s="37" t="str">
        <f aca="false">IF(AND(ISNUMBER($G722),$G722&gt;=MA_LONG2),AVERAGE(INDEX($C$322:$C722,402-MA_LONG2):$C722),"")</f>
        <v/>
      </c>
      <c r="L722" s="38" t="str">
        <f aca="false">IF(AND(ISNUMBER($G722),$G722&gt;=21),STDEV(INDEX($H$662:$H722,62-20):$H722)*SQRT(245),"")</f>
        <v/>
      </c>
      <c r="M722" s="37" t="str">
        <f aca="false">IF(AND(ISNUMBER($G722),$G722&gt;=60),MAX(INDEX($D$522:$D722,202-60):$D722),"")</f>
        <v/>
      </c>
      <c r="N722" s="37" t="str">
        <f aca="false">IF(AND(ISNUMBER($G722),$G722&gt;=60),MIN(INDEX($E$522:$E722,202-60):$E722),"")</f>
        <v/>
      </c>
      <c r="O722" s="38" t="str">
        <f aca="false">IF(OR(NOT(ISNUMBER($C722)),NOT(ISNUMBER($M722)),$M722=0),"",$C722/$M722-1)</f>
        <v/>
      </c>
    </row>
    <row r="723" customFormat="false" ht="15" hidden="false" customHeight="true" outlineLevel="0" collapsed="false">
      <c r="A723" s="39"/>
      <c r="B723" s="40"/>
      <c r="C723" s="41"/>
      <c r="D723" s="40"/>
      <c r="E723" s="40"/>
      <c r="F723" s="40"/>
      <c r="G723" s="35" t="str">
        <f aca="false">IF($A723="","",IF(ISNUMBER($G722),$G722+1,1))</f>
        <v/>
      </c>
      <c r="H723" s="36" t="str">
        <f aca="false">IF(OR(NOT(ISNUMBER($G723)),$G723&lt;2,NOT(ISNUMBER($C722)),$C722=0),"",$C723/$C722-1)</f>
        <v/>
      </c>
      <c r="I723" s="37" t="str">
        <f aca="false">IF(AND(ISNUMBER($G723),$G723&gt;=MA_SHORT),AVERAGE(INDEX($C$323:$C723,402-MA_SHORT):$C723),"")</f>
        <v/>
      </c>
      <c r="J723" s="37" t="str">
        <f aca="false">IF(AND(ISNUMBER($G723),$G723&gt;=MA_MED),AVERAGE(INDEX($C$323:$C723,402-MA_MED):$C723),"")</f>
        <v/>
      </c>
      <c r="K723" s="37" t="str">
        <f aca="false">IF(AND(ISNUMBER($G723),$G723&gt;=MA_LONG2),AVERAGE(INDEX($C$323:$C723,402-MA_LONG2):$C723),"")</f>
        <v/>
      </c>
      <c r="L723" s="38" t="str">
        <f aca="false">IF(AND(ISNUMBER($G723),$G723&gt;=21),STDEV(INDEX($H$663:$H723,62-20):$H723)*SQRT(245),"")</f>
        <v/>
      </c>
      <c r="M723" s="37" t="str">
        <f aca="false">IF(AND(ISNUMBER($G723),$G723&gt;=60),MAX(INDEX($D$523:$D723,202-60):$D723),"")</f>
        <v/>
      </c>
      <c r="N723" s="37" t="str">
        <f aca="false">IF(AND(ISNUMBER($G723),$G723&gt;=60),MIN(INDEX($E$523:$E723,202-60):$E723),"")</f>
        <v/>
      </c>
      <c r="O723" s="38" t="str">
        <f aca="false">IF(OR(NOT(ISNUMBER($C723)),NOT(ISNUMBER($M723)),$M723=0),"",$C723/$M723-1)</f>
        <v/>
      </c>
    </row>
    <row r="724" customFormat="false" ht="15" hidden="false" customHeight="true" outlineLevel="0" collapsed="false">
      <c r="A724" s="39"/>
      <c r="B724" s="40"/>
      <c r="C724" s="41"/>
      <c r="D724" s="40"/>
      <c r="E724" s="40"/>
      <c r="F724" s="40"/>
      <c r="G724" s="35" t="str">
        <f aca="false">IF($A724="","",IF(ISNUMBER($G723),$G723+1,1))</f>
        <v/>
      </c>
      <c r="H724" s="36" t="str">
        <f aca="false">IF(OR(NOT(ISNUMBER($G724)),$G724&lt;2,NOT(ISNUMBER($C723)),$C723=0),"",$C724/$C723-1)</f>
        <v/>
      </c>
      <c r="I724" s="37" t="str">
        <f aca="false">IF(AND(ISNUMBER($G724),$G724&gt;=MA_SHORT),AVERAGE(INDEX($C$324:$C724,402-MA_SHORT):$C724),"")</f>
        <v/>
      </c>
      <c r="J724" s="37" t="str">
        <f aca="false">IF(AND(ISNUMBER($G724),$G724&gt;=MA_MED),AVERAGE(INDEX($C$324:$C724,402-MA_MED):$C724),"")</f>
        <v/>
      </c>
      <c r="K724" s="37" t="str">
        <f aca="false">IF(AND(ISNUMBER($G724),$G724&gt;=MA_LONG2),AVERAGE(INDEX($C$324:$C724,402-MA_LONG2):$C724),"")</f>
        <v/>
      </c>
      <c r="L724" s="38" t="str">
        <f aca="false">IF(AND(ISNUMBER($G724),$G724&gt;=21),STDEV(INDEX($H$664:$H724,62-20):$H724)*SQRT(245),"")</f>
        <v/>
      </c>
      <c r="M724" s="37" t="str">
        <f aca="false">IF(AND(ISNUMBER($G724),$G724&gt;=60),MAX(INDEX($D$524:$D724,202-60):$D724),"")</f>
        <v/>
      </c>
      <c r="N724" s="37" t="str">
        <f aca="false">IF(AND(ISNUMBER($G724),$G724&gt;=60),MIN(INDEX($E$524:$E724,202-60):$E724),"")</f>
        <v/>
      </c>
      <c r="O724" s="38" t="str">
        <f aca="false">IF(OR(NOT(ISNUMBER($C724)),NOT(ISNUMBER($M724)),$M724=0),"",$C724/$M724-1)</f>
        <v/>
      </c>
    </row>
    <row r="725" customFormat="false" ht="15" hidden="false" customHeight="true" outlineLevel="0" collapsed="false">
      <c r="A725" s="39"/>
      <c r="B725" s="40"/>
      <c r="C725" s="41"/>
      <c r="D725" s="40"/>
      <c r="E725" s="40"/>
      <c r="F725" s="40"/>
      <c r="G725" s="35" t="str">
        <f aca="false">IF($A725="","",IF(ISNUMBER($G724),$G724+1,1))</f>
        <v/>
      </c>
      <c r="H725" s="36" t="str">
        <f aca="false">IF(OR(NOT(ISNUMBER($G725)),$G725&lt;2,NOT(ISNUMBER($C724)),$C724=0),"",$C725/$C724-1)</f>
        <v/>
      </c>
      <c r="I725" s="37" t="str">
        <f aca="false">IF(AND(ISNUMBER($G725),$G725&gt;=MA_SHORT),AVERAGE(INDEX($C$325:$C725,402-MA_SHORT):$C725),"")</f>
        <v/>
      </c>
      <c r="J725" s="37" t="str">
        <f aca="false">IF(AND(ISNUMBER($G725),$G725&gt;=MA_MED),AVERAGE(INDEX($C$325:$C725,402-MA_MED):$C725),"")</f>
        <v/>
      </c>
      <c r="K725" s="37" t="str">
        <f aca="false">IF(AND(ISNUMBER($G725),$G725&gt;=MA_LONG2),AVERAGE(INDEX($C$325:$C725,402-MA_LONG2):$C725),"")</f>
        <v/>
      </c>
      <c r="L725" s="38" t="str">
        <f aca="false">IF(AND(ISNUMBER($G725),$G725&gt;=21),STDEV(INDEX($H$665:$H725,62-20):$H725)*SQRT(245),"")</f>
        <v/>
      </c>
      <c r="M725" s="37" t="str">
        <f aca="false">IF(AND(ISNUMBER($G725),$G725&gt;=60),MAX(INDEX($D$525:$D725,202-60):$D725),"")</f>
        <v/>
      </c>
      <c r="N725" s="37" t="str">
        <f aca="false">IF(AND(ISNUMBER($G725),$G725&gt;=60),MIN(INDEX($E$525:$E725,202-60):$E725),"")</f>
        <v/>
      </c>
      <c r="O725" s="38" t="str">
        <f aca="false">IF(OR(NOT(ISNUMBER($C725)),NOT(ISNUMBER($M725)),$M725=0),"",$C725/$M725-1)</f>
        <v/>
      </c>
    </row>
    <row r="726" customFormat="false" ht="15" hidden="false" customHeight="true" outlineLevel="0" collapsed="false">
      <c r="A726" s="39"/>
      <c r="B726" s="40"/>
      <c r="C726" s="41"/>
      <c r="D726" s="40"/>
      <c r="E726" s="40"/>
      <c r="F726" s="40"/>
      <c r="G726" s="35" t="str">
        <f aca="false">IF($A726="","",IF(ISNUMBER($G725),$G725+1,1))</f>
        <v/>
      </c>
      <c r="H726" s="36" t="str">
        <f aca="false">IF(OR(NOT(ISNUMBER($G726)),$G726&lt;2,NOT(ISNUMBER($C725)),$C725=0),"",$C726/$C725-1)</f>
        <v/>
      </c>
      <c r="I726" s="37" t="str">
        <f aca="false">IF(AND(ISNUMBER($G726),$G726&gt;=MA_SHORT),AVERAGE(INDEX($C$326:$C726,402-MA_SHORT):$C726),"")</f>
        <v/>
      </c>
      <c r="J726" s="37" t="str">
        <f aca="false">IF(AND(ISNUMBER($G726),$G726&gt;=MA_MED),AVERAGE(INDEX($C$326:$C726,402-MA_MED):$C726),"")</f>
        <v/>
      </c>
      <c r="K726" s="37" t="str">
        <f aca="false">IF(AND(ISNUMBER($G726),$G726&gt;=MA_LONG2),AVERAGE(INDEX($C$326:$C726,402-MA_LONG2):$C726),"")</f>
        <v/>
      </c>
      <c r="L726" s="38" t="str">
        <f aca="false">IF(AND(ISNUMBER($G726),$G726&gt;=21),STDEV(INDEX($H$666:$H726,62-20):$H726)*SQRT(245),"")</f>
        <v/>
      </c>
      <c r="M726" s="37" t="str">
        <f aca="false">IF(AND(ISNUMBER($G726),$G726&gt;=60),MAX(INDEX($D$526:$D726,202-60):$D726),"")</f>
        <v/>
      </c>
      <c r="N726" s="37" t="str">
        <f aca="false">IF(AND(ISNUMBER($G726),$G726&gt;=60),MIN(INDEX($E$526:$E726,202-60):$E726),"")</f>
        <v/>
      </c>
      <c r="O726" s="38" t="str">
        <f aca="false">IF(OR(NOT(ISNUMBER($C726)),NOT(ISNUMBER($M726)),$M726=0),"",$C726/$M726-1)</f>
        <v/>
      </c>
    </row>
    <row r="727" customFormat="false" ht="15" hidden="false" customHeight="true" outlineLevel="0" collapsed="false">
      <c r="A727" s="39"/>
      <c r="B727" s="40"/>
      <c r="C727" s="41"/>
      <c r="D727" s="40"/>
      <c r="E727" s="40"/>
      <c r="F727" s="40"/>
      <c r="G727" s="35" t="str">
        <f aca="false">IF($A727="","",IF(ISNUMBER($G726),$G726+1,1))</f>
        <v/>
      </c>
      <c r="H727" s="36" t="str">
        <f aca="false">IF(OR(NOT(ISNUMBER($G727)),$G727&lt;2,NOT(ISNUMBER($C726)),$C726=0),"",$C727/$C726-1)</f>
        <v/>
      </c>
      <c r="I727" s="37" t="str">
        <f aca="false">IF(AND(ISNUMBER($G727),$G727&gt;=MA_SHORT),AVERAGE(INDEX($C$327:$C727,402-MA_SHORT):$C727),"")</f>
        <v/>
      </c>
      <c r="J727" s="37" t="str">
        <f aca="false">IF(AND(ISNUMBER($G727),$G727&gt;=MA_MED),AVERAGE(INDEX($C$327:$C727,402-MA_MED):$C727),"")</f>
        <v/>
      </c>
      <c r="K727" s="37" t="str">
        <f aca="false">IF(AND(ISNUMBER($G727),$G727&gt;=MA_LONG2),AVERAGE(INDEX($C$327:$C727,402-MA_LONG2):$C727),"")</f>
        <v/>
      </c>
      <c r="L727" s="38" t="str">
        <f aca="false">IF(AND(ISNUMBER($G727),$G727&gt;=21),STDEV(INDEX($H$667:$H727,62-20):$H727)*SQRT(245),"")</f>
        <v/>
      </c>
      <c r="M727" s="37" t="str">
        <f aca="false">IF(AND(ISNUMBER($G727),$G727&gt;=60),MAX(INDEX($D$527:$D727,202-60):$D727),"")</f>
        <v/>
      </c>
      <c r="N727" s="37" t="str">
        <f aca="false">IF(AND(ISNUMBER($G727),$G727&gt;=60),MIN(INDEX($E$527:$E727,202-60):$E727),"")</f>
        <v/>
      </c>
      <c r="O727" s="38" t="str">
        <f aca="false">IF(OR(NOT(ISNUMBER($C727)),NOT(ISNUMBER($M727)),$M727=0),"",$C727/$M727-1)</f>
        <v/>
      </c>
    </row>
    <row r="728" customFormat="false" ht="15" hidden="false" customHeight="true" outlineLevel="0" collapsed="false">
      <c r="A728" s="39"/>
      <c r="B728" s="40"/>
      <c r="C728" s="41"/>
      <c r="D728" s="40"/>
      <c r="E728" s="40"/>
      <c r="F728" s="40"/>
      <c r="G728" s="35" t="str">
        <f aca="false">IF($A728="","",IF(ISNUMBER($G727),$G727+1,1))</f>
        <v/>
      </c>
      <c r="H728" s="36" t="str">
        <f aca="false">IF(OR(NOT(ISNUMBER($G728)),$G728&lt;2,NOT(ISNUMBER($C727)),$C727=0),"",$C728/$C727-1)</f>
        <v/>
      </c>
      <c r="I728" s="37" t="str">
        <f aca="false">IF(AND(ISNUMBER($G728),$G728&gt;=MA_SHORT),AVERAGE(INDEX($C$328:$C728,402-MA_SHORT):$C728),"")</f>
        <v/>
      </c>
      <c r="J728" s="37" t="str">
        <f aca="false">IF(AND(ISNUMBER($G728),$G728&gt;=MA_MED),AVERAGE(INDEX($C$328:$C728,402-MA_MED):$C728),"")</f>
        <v/>
      </c>
      <c r="K728" s="37" t="str">
        <f aca="false">IF(AND(ISNUMBER($G728),$G728&gt;=MA_LONG2),AVERAGE(INDEX($C$328:$C728,402-MA_LONG2):$C728),"")</f>
        <v/>
      </c>
      <c r="L728" s="38" t="str">
        <f aca="false">IF(AND(ISNUMBER($G728),$G728&gt;=21),STDEV(INDEX($H$668:$H728,62-20):$H728)*SQRT(245),"")</f>
        <v/>
      </c>
      <c r="M728" s="37" t="str">
        <f aca="false">IF(AND(ISNUMBER($G728),$G728&gt;=60),MAX(INDEX($D$528:$D728,202-60):$D728),"")</f>
        <v/>
      </c>
      <c r="N728" s="37" t="str">
        <f aca="false">IF(AND(ISNUMBER($G728),$G728&gt;=60),MIN(INDEX($E$528:$E728,202-60):$E728),"")</f>
        <v/>
      </c>
      <c r="O728" s="38" t="str">
        <f aca="false">IF(OR(NOT(ISNUMBER($C728)),NOT(ISNUMBER($M728)),$M728=0),"",$C728/$M728-1)</f>
        <v/>
      </c>
    </row>
    <row r="729" customFormat="false" ht="15" hidden="false" customHeight="true" outlineLevel="0" collapsed="false">
      <c r="A729" s="39"/>
      <c r="B729" s="40"/>
      <c r="C729" s="41"/>
      <c r="D729" s="40"/>
      <c r="E729" s="40"/>
      <c r="F729" s="40"/>
      <c r="G729" s="35" t="str">
        <f aca="false">IF($A729="","",IF(ISNUMBER($G728),$G728+1,1))</f>
        <v/>
      </c>
      <c r="H729" s="36" t="str">
        <f aca="false">IF(OR(NOT(ISNUMBER($G729)),$G729&lt;2,NOT(ISNUMBER($C728)),$C728=0),"",$C729/$C728-1)</f>
        <v/>
      </c>
      <c r="I729" s="37" t="str">
        <f aca="false">IF(AND(ISNUMBER($G729),$G729&gt;=MA_SHORT),AVERAGE(INDEX($C$329:$C729,402-MA_SHORT):$C729),"")</f>
        <v/>
      </c>
      <c r="J729" s="37" t="str">
        <f aca="false">IF(AND(ISNUMBER($G729),$G729&gt;=MA_MED),AVERAGE(INDEX($C$329:$C729,402-MA_MED):$C729),"")</f>
        <v/>
      </c>
      <c r="K729" s="37" t="str">
        <f aca="false">IF(AND(ISNUMBER($G729),$G729&gt;=MA_LONG2),AVERAGE(INDEX($C$329:$C729,402-MA_LONG2):$C729),"")</f>
        <v/>
      </c>
      <c r="L729" s="38" t="str">
        <f aca="false">IF(AND(ISNUMBER($G729),$G729&gt;=21),STDEV(INDEX($H$669:$H729,62-20):$H729)*SQRT(245),"")</f>
        <v/>
      </c>
      <c r="M729" s="37" t="str">
        <f aca="false">IF(AND(ISNUMBER($G729),$G729&gt;=60),MAX(INDEX($D$529:$D729,202-60):$D729),"")</f>
        <v/>
      </c>
      <c r="N729" s="37" t="str">
        <f aca="false">IF(AND(ISNUMBER($G729),$G729&gt;=60),MIN(INDEX($E$529:$E729,202-60):$E729),"")</f>
        <v/>
      </c>
      <c r="O729" s="38" t="str">
        <f aca="false">IF(OR(NOT(ISNUMBER($C729)),NOT(ISNUMBER($M729)),$M729=0),"",$C729/$M729-1)</f>
        <v/>
      </c>
    </row>
    <row r="730" customFormat="false" ht="15" hidden="false" customHeight="true" outlineLevel="0" collapsed="false">
      <c r="A730" s="39"/>
      <c r="B730" s="40"/>
      <c r="C730" s="41"/>
      <c r="D730" s="40"/>
      <c r="E730" s="40"/>
      <c r="F730" s="40"/>
      <c r="G730" s="35" t="str">
        <f aca="false">IF($A730="","",IF(ISNUMBER($G729),$G729+1,1))</f>
        <v/>
      </c>
      <c r="H730" s="36" t="str">
        <f aca="false">IF(OR(NOT(ISNUMBER($G730)),$G730&lt;2,NOT(ISNUMBER($C729)),$C729=0),"",$C730/$C729-1)</f>
        <v/>
      </c>
      <c r="I730" s="37" t="str">
        <f aca="false">IF(AND(ISNUMBER($G730),$G730&gt;=MA_SHORT),AVERAGE(INDEX($C$330:$C730,402-MA_SHORT):$C730),"")</f>
        <v/>
      </c>
      <c r="J730" s="37" t="str">
        <f aca="false">IF(AND(ISNUMBER($G730),$G730&gt;=MA_MED),AVERAGE(INDEX($C$330:$C730,402-MA_MED):$C730),"")</f>
        <v/>
      </c>
      <c r="K730" s="37" t="str">
        <f aca="false">IF(AND(ISNUMBER($G730),$G730&gt;=MA_LONG2),AVERAGE(INDEX($C$330:$C730,402-MA_LONG2):$C730),"")</f>
        <v/>
      </c>
      <c r="L730" s="38" t="str">
        <f aca="false">IF(AND(ISNUMBER($G730),$G730&gt;=21),STDEV(INDEX($H$670:$H730,62-20):$H730)*SQRT(245),"")</f>
        <v/>
      </c>
      <c r="M730" s="37" t="str">
        <f aca="false">IF(AND(ISNUMBER($G730),$G730&gt;=60),MAX(INDEX($D$530:$D730,202-60):$D730),"")</f>
        <v/>
      </c>
      <c r="N730" s="37" t="str">
        <f aca="false">IF(AND(ISNUMBER($G730),$G730&gt;=60),MIN(INDEX($E$530:$E730,202-60):$E730),"")</f>
        <v/>
      </c>
      <c r="O730" s="38" t="str">
        <f aca="false">IF(OR(NOT(ISNUMBER($C730)),NOT(ISNUMBER($M730)),$M730=0),"",$C730/$M730-1)</f>
        <v/>
      </c>
    </row>
    <row r="731" customFormat="false" ht="15" hidden="false" customHeight="true" outlineLevel="0" collapsed="false">
      <c r="A731" s="39"/>
      <c r="B731" s="40"/>
      <c r="C731" s="41"/>
      <c r="D731" s="40"/>
      <c r="E731" s="40"/>
      <c r="F731" s="40"/>
      <c r="G731" s="35" t="str">
        <f aca="false">IF($A731="","",IF(ISNUMBER($G730),$G730+1,1))</f>
        <v/>
      </c>
      <c r="H731" s="36" t="str">
        <f aca="false">IF(OR(NOT(ISNUMBER($G731)),$G731&lt;2,NOT(ISNUMBER($C730)),$C730=0),"",$C731/$C730-1)</f>
        <v/>
      </c>
      <c r="I731" s="37" t="str">
        <f aca="false">IF(AND(ISNUMBER($G731),$G731&gt;=MA_SHORT),AVERAGE(INDEX($C$331:$C731,402-MA_SHORT):$C731),"")</f>
        <v/>
      </c>
      <c r="J731" s="37" t="str">
        <f aca="false">IF(AND(ISNUMBER($G731),$G731&gt;=MA_MED),AVERAGE(INDEX($C$331:$C731,402-MA_MED):$C731),"")</f>
        <v/>
      </c>
      <c r="K731" s="37" t="str">
        <f aca="false">IF(AND(ISNUMBER($G731),$G731&gt;=MA_LONG2),AVERAGE(INDEX($C$331:$C731,402-MA_LONG2):$C731),"")</f>
        <v/>
      </c>
      <c r="L731" s="38" t="str">
        <f aca="false">IF(AND(ISNUMBER($G731),$G731&gt;=21),STDEV(INDEX($H$671:$H731,62-20):$H731)*SQRT(245),"")</f>
        <v/>
      </c>
      <c r="M731" s="37" t="str">
        <f aca="false">IF(AND(ISNUMBER($G731),$G731&gt;=60),MAX(INDEX($D$531:$D731,202-60):$D731),"")</f>
        <v/>
      </c>
      <c r="N731" s="37" t="str">
        <f aca="false">IF(AND(ISNUMBER($G731),$G731&gt;=60),MIN(INDEX($E$531:$E731,202-60):$E731),"")</f>
        <v/>
      </c>
      <c r="O731" s="38" t="str">
        <f aca="false">IF(OR(NOT(ISNUMBER($C731)),NOT(ISNUMBER($M731)),$M731=0),"",$C731/$M731-1)</f>
        <v/>
      </c>
    </row>
    <row r="732" customFormat="false" ht="15" hidden="false" customHeight="true" outlineLevel="0" collapsed="false">
      <c r="A732" s="39"/>
      <c r="B732" s="40"/>
      <c r="C732" s="41"/>
      <c r="D732" s="40"/>
      <c r="E732" s="40"/>
      <c r="F732" s="40"/>
      <c r="G732" s="35" t="str">
        <f aca="false">IF($A732="","",IF(ISNUMBER($G731),$G731+1,1))</f>
        <v/>
      </c>
      <c r="H732" s="36" t="str">
        <f aca="false">IF(OR(NOT(ISNUMBER($G732)),$G732&lt;2,NOT(ISNUMBER($C731)),$C731=0),"",$C732/$C731-1)</f>
        <v/>
      </c>
      <c r="I732" s="37" t="str">
        <f aca="false">IF(AND(ISNUMBER($G732),$G732&gt;=MA_SHORT),AVERAGE(INDEX($C$332:$C732,402-MA_SHORT):$C732),"")</f>
        <v/>
      </c>
      <c r="J732" s="37" t="str">
        <f aca="false">IF(AND(ISNUMBER($G732),$G732&gt;=MA_MED),AVERAGE(INDEX($C$332:$C732,402-MA_MED):$C732),"")</f>
        <v/>
      </c>
      <c r="K732" s="37" t="str">
        <f aca="false">IF(AND(ISNUMBER($G732),$G732&gt;=MA_LONG2),AVERAGE(INDEX($C$332:$C732,402-MA_LONG2):$C732),"")</f>
        <v/>
      </c>
      <c r="L732" s="38" t="str">
        <f aca="false">IF(AND(ISNUMBER($G732),$G732&gt;=21),STDEV(INDEX($H$672:$H732,62-20):$H732)*SQRT(245),"")</f>
        <v/>
      </c>
      <c r="M732" s="37" t="str">
        <f aca="false">IF(AND(ISNUMBER($G732),$G732&gt;=60),MAX(INDEX($D$532:$D732,202-60):$D732),"")</f>
        <v/>
      </c>
      <c r="N732" s="37" t="str">
        <f aca="false">IF(AND(ISNUMBER($G732),$G732&gt;=60),MIN(INDEX($E$532:$E732,202-60):$E732),"")</f>
        <v/>
      </c>
      <c r="O732" s="38" t="str">
        <f aca="false">IF(OR(NOT(ISNUMBER($C732)),NOT(ISNUMBER($M732)),$M732=0),"",$C732/$M732-1)</f>
        <v/>
      </c>
    </row>
    <row r="733" customFormat="false" ht="15" hidden="false" customHeight="true" outlineLevel="0" collapsed="false">
      <c r="A733" s="39"/>
      <c r="B733" s="40"/>
      <c r="C733" s="41"/>
      <c r="D733" s="40"/>
      <c r="E733" s="40"/>
      <c r="F733" s="40"/>
      <c r="G733" s="35" t="str">
        <f aca="false">IF($A733="","",IF(ISNUMBER($G732),$G732+1,1))</f>
        <v/>
      </c>
      <c r="H733" s="36" t="str">
        <f aca="false">IF(OR(NOT(ISNUMBER($G733)),$G733&lt;2,NOT(ISNUMBER($C732)),$C732=0),"",$C733/$C732-1)</f>
        <v/>
      </c>
      <c r="I733" s="37" t="str">
        <f aca="false">IF(AND(ISNUMBER($G733),$G733&gt;=MA_SHORT),AVERAGE(INDEX($C$333:$C733,402-MA_SHORT):$C733),"")</f>
        <v/>
      </c>
      <c r="J733" s="37" t="str">
        <f aca="false">IF(AND(ISNUMBER($G733),$G733&gt;=MA_MED),AVERAGE(INDEX($C$333:$C733,402-MA_MED):$C733),"")</f>
        <v/>
      </c>
      <c r="K733" s="37" t="str">
        <f aca="false">IF(AND(ISNUMBER($G733),$G733&gt;=MA_LONG2),AVERAGE(INDEX($C$333:$C733,402-MA_LONG2):$C733),"")</f>
        <v/>
      </c>
      <c r="L733" s="38" t="str">
        <f aca="false">IF(AND(ISNUMBER($G733),$G733&gt;=21),STDEV(INDEX($H$673:$H733,62-20):$H733)*SQRT(245),"")</f>
        <v/>
      </c>
      <c r="M733" s="37" t="str">
        <f aca="false">IF(AND(ISNUMBER($G733),$G733&gt;=60),MAX(INDEX($D$533:$D733,202-60):$D733),"")</f>
        <v/>
      </c>
      <c r="N733" s="37" t="str">
        <f aca="false">IF(AND(ISNUMBER($G733),$G733&gt;=60),MIN(INDEX($E$533:$E733,202-60):$E733),"")</f>
        <v/>
      </c>
      <c r="O733" s="38" t="str">
        <f aca="false">IF(OR(NOT(ISNUMBER($C733)),NOT(ISNUMBER($M733)),$M733=0),"",$C733/$M733-1)</f>
        <v/>
      </c>
    </row>
    <row r="734" customFormat="false" ht="15" hidden="false" customHeight="true" outlineLevel="0" collapsed="false">
      <c r="A734" s="39"/>
      <c r="B734" s="40"/>
      <c r="C734" s="41"/>
      <c r="D734" s="40"/>
      <c r="E734" s="40"/>
      <c r="F734" s="40"/>
      <c r="G734" s="35" t="str">
        <f aca="false">IF($A734="","",IF(ISNUMBER($G733),$G733+1,1))</f>
        <v/>
      </c>
      <c r="H734" s="36" t="str">
        <f aca="false">IF(OR(NOT(ISNUMBER($G734)),$G734&lt;2,NOT(ISNUMBER($C733)),$C733=0),"",$C734/$C733-1)</f>
        <v/>
      </c>
      <c r="I734" s="37" t="str">
        <f aca="false">IF(AND(ISNUMBER($G734),$G734&gt;=MA_SHORT),AVERAGE(INDEX($C$334:$C734,402-MA_SHORT):$C734),"")</f>
        <v/>
      </c>
      <c r="J734" s="37" t="str">
        <f aca="false">IF(AND(ISNUMBER($G734),$G734&gt;=MA_MED),AVERAGE(INDEX($C$334:$C734,402-MA_MED):$C734),"")</f>
        <v/>
      </c>
      <c r="K734" s="37" t="str">
        <f aca="false">IF(AND(ISNUMBER($G734),$G734&gt;=MA_LONG2),AVERAGE(INDEX($C$334:$C734,402-MA_LONG2):$C734),"")</f>
        <v/>
      </c>
      <c r="L734" s="38" t="str">
        <f aca="false">IF(AND(ISNUMBER($G734),$G734&gt;=21),STDEV(INDEX($H$674:$H734,62-20):$H734)*SQRT(245),"")</f>
        <v/>
      </c>
      <c r="M734" s="37" t="str">
        <f aca="false">IF(AND(ISNUMBER($G734),$G734&gt;=60),MAX(INDEX($D$534:$D734,202-60):$D734),"")</f>
        <v/>
      </c>
      <c r="N734" s="37" t="str">
        <f aca="false">IF(AND(ISNUMBER($G734),$G734&gt;=60),MIN(INDEX($E$534:$E734,202-60):$E734),"")</f>
        <v/>
      </c>
      <c r="O734" s="38" t="str">
        <f aca="false">IF(OR(NOT(ISNUMBER($C734)),NOT(ISNUMBER($M734)),$M734=0),"",$C734/$M734-1)</f>
        <v/>
      </c>
    </row>
    <row r="735" customFormat="false" ht="15" hidden="false" customHeight="true" outlineLevel="0" collapsed="false">
      <c r="A735" s="39"/>
      <c r="B735" s="40"/>
      <c r="C735" s="41"/>
      <c r="D735" s="40"/>
      <c r="E735" s="40"/>
      <c r="F735" s="40"/>
      <c r="G735" s="35" t="str">
        <f aca="false">IF($A735="","",IF(ISNUMBER($G734),$G734+1,1))</f>
        <v/>
      </c>
      <c r="H735" s="36" t="str">
        <f aca="false">IF(OR(NOT(ISNUMBER($G735)),$G735&lt;2,NOT(ISNUMBER($C734)),$C734=0),"",$C735/$C734-1)</f>
        <v/>
      </c>
      <c r="I735" s="37" t="str">
        <f aca="false">IF(AND(ISNUMBER($G735),$G735&gt;=MA_SHORT),AVERAGE(INDEX($C$335:$C735,402-MA_SHORT):$C735),"")</f>
        <v/>
      </c>
      <c r="J735" s="37" t="str">
        <f aca="false">IF(AND(ISNUMBER($G735),$G735&gt;=MA_MED),AVERAGE(INDEX($C$335:$C735,402-MA_MED):$C735),"")</f>
        <v/>
      </c>
      <c r="K735" s="37" t="str">
        <f aca="false">IF(AND(ISNUMBER($G735),$G735&gt;=MA_LONG2),AVERAGE(INDEX($C$335:$C735,402-MA_LONG2):$C735),"")</f>
        <v/>
      </c>
      <c r="L735" s="38" t="str">
        <f aca="false">IF(AND(ISNUMBER($G735),$G735&gt;=21),STDEV(INDEX($H$675:$H735,62-20):$H735)*SQRT(245),"")</f>
        <v/>
      </c>
      <c r="M735" s="37" t="str">
        <f aca="false">IF(AND(ISNUMBER($G735),$G735&gt;=60),MAX(INDEX($D$535:$D735,202-60):$D735),"")</f>
        <v/>
      </c>
      <c r="N735" s="37" t="str">
        <f aca="false">IF(AND(ISNUMBER($G735),$G735&gt;=60),MIN(INDEX($E$535:$E735,202-60):$E735),"")</f>
        <v/>
      </c>
      <c r="O735" s="38" t="str">
        <f aca="false">IF(OR(NOT(ISNUMBER($C735)),NOT(ISNUMBER($M735)),$M735=0),"",$C735/$M735-1)</f>
        <v/>
      </c>
    </row>
    <row r="736" customFormat="false" ht="15" hidden="false" customHeight="true" outlineLevel="0" collapsed="false">
      <c r="A736" s="39"/>
      <c r="B736" s="40"/>
      <c r="C736" s="41"/>
      <c r="D736" s="40"/>
      <c r="E736" s="40"/>
      <c r="F736" s="40"/>
      <c r="G736" s="35" t="str">
        <f aca="false">IF($A736="","",IF(ISNUMBER($G735),$G735+1,1))</f>
        <v/>
      </c>
      <c r="H736" s="36" t="str">
        <f aca="false">IF(OR(NOT(ISNUMBER($G736)),$G736&lt;2,NOT(ISNUMBER($C735)),$C735=0),"",$C736/$C735-1)</f>
        <v/>
      </c>
      <c r="I736" s="37" t="str">
        <f aca="false">IF(AND(ISNUMBER($G736),$G736&gt;=MA_SHORT),AVERAGE(INDEX($C$336:$C736,402-MA_SHORT):$C736),"")</f>
        <v/>
      </c>
      <c r="J736" s="37" t="str">
        <f aca="false">IF(AND(ISNUMBER($G736),$G736&gt;=MA_MED),AVERAGE(INDEX($C$336:$C736,402-MA_MED):$C736),"")</f>
        <v/>
      </c>
      <c r="K736" s="37" t="str">
        <f aca="false">IF(AND(ISNUMBER($G736),$G736&gt;=MA_LONG2),AVERAGE(INDEX($C$336:$C736,402-MA_LONG2):$C736),"")</f>
        <v/>
      </c>
      <c r="L736" s="38" t="str">
        <f aca="false">IF(AND(ISNUMBER($G736),$G736&gt;=21),STDEV(INDEX($H$676:$H736,62-20):$H736)*SQRT(245),"")</f>
        <v/>
      </c>
      <c r="M736" s="37" t="str">
        <f aca="false">IF(AND(ISNUMBER($G736),$G736&gt;=60),MAX(INDEX($D$536:$D736,202-60):$D736),"")</f>
        <v/>
      </c>
      <c r="N736" s="37" t="str">
        <f aca="false">IF(AND(ISNUMBER($G736),$G736&gt;=60),MIN(INDEX($E$536:$E736,202-60):$E736),"")</f>
        <v/>
      </c>
      <c r="O736" s="38" t="str">
        <f aca="false">IF(OR(NOT(ISNUMBER($C736)),NOT(ISNUMBER($M736)),$M736=0),"",$C736/$M736-1)</f>
        <v/>
      </c>
    </row>
    <row r="737" customFormat="false" ht="15" hidden="false" customHeight="true" outlineLevel="0" collapsed="false">
      <c r="A737" s="39"/>
      <c r="B737" s="40"/>
      <c r="C737" s="41"/>
      <c r="D737" s="40"/>
      <c r="E737" s="40"/>
      <c r="F737" s="40"/>
      <c r="G737" s="35" t="str">
        <f aca="false">IF($A737="","",IF(ISNUMBER($G736),$G736+1,1))</f>
        <v/>
      </c>
      <c r="H737" s="36" t="str">
        <f aca="false">IF(OR(NOT(ISNUMBER($G737)),$G737&lt;2,NOT(ISNUMBER($C736)),$C736=0),"",$C737/$C736-1)</f>
        <v/>
      </c>
      <c r="I737" s="37" t="str">
        <f aca="false">IF(AND(ISNUMBER($G737),$G737&gt;=MA_SHORT),AVERAGE(INDEX($C$337:$C737,402-MA_SHORT):$C737),"")</f>
        <v/>
      </c>
      <c r="J737" s="37" t="str">
        <f aca="false">IF(AND(ISNUMBER($G737),$G737&gt;=MA_MED),AVERAGE(INDEX($C$337:$C737,402-MA_MED):$C737),"")</f>
        <v/>
      </c>
      <c r="K737" s="37" t="str">
        <f aca="false">IF(AND(ISNUMBER($G737),$G737&gt;=MA_LONG2),AVERAGE(INDEX($C$337:$C737,402-MA_LONG2):$C737),"")</f>
        <v/>
      </c>
      <c r="L737" s="38" t="str">
        <f aca="false">IF(AND(ISNUMBER($G737),$G737&gt;=21),STDEV(INDEX($H$677:$H737,62-20):$H737)*SQRT(245),"")</f>
        <v/>
      </c>
      <c r="M737" s="37" t="str">
        <f aca="false">IF(AND(ISNUMBER($G737),$G737&gt;=60),MAX(INDEX($D$537:$D737,202-60):$D737),"")</f>
        <v/>
      </c>
      <c r="N737" s="37" t="str">
        <f aca="false">IF(AND(ISNUMBER($G737),$G737&gt;=60),MIN(INDEX($E$537:$E737,202-60):$E737),"")</f>
        <v/>
      </c>
      <c r="O737" s="38" t="str">
        <f aca="false">IF(OR(NOT(ISNUMBER($C737)),NOT(ISNUMBER($M737)),$M737=0),"",$C737/$M737-1)</f>
        <v/>
      </c>
    </row>
    <row r="738" customFormat="false" ht="15" hidden="false" customHeight="true" outlineLevel="0" collapsed="false">
      <c r="A738" s="39"/>
      <c r="B738" s="40"/>
      <c r="C738" s="41"/>
      <c r="D738" s="40"/>
      <c r="E738" s="40"/>
      <c r="F738" s="40"/>
      <c r="G738" s="35" t="str">
        <f aca="false">IF($A738="","",IF(ISNUMBER($G737),$G737+1,1))</f>
        <v/>
      </c>
      <c r="H738" s="36" t="str">
        <f aca="false">IF(OR(NOT(ISNUMBER($G738)),$G738&lt;2,NOT(ISNUMBER($C737)),$C737=0),"",$C738/$C737-1)</f>
        <v/>
      </c>
      <c r="I738" s="37" t="str">
        <f aca="false">IF(AND(ISNUMBER($G738),$G738&gt;=MA_SHORT),AVERAGE(INDEX($C$338:$C738,402-MA_SHORT):$C738),"")</f>
        <v/>
      </c>
      <c r="J738" s="37" t="str">
        <f aca="false">IF(AND(ISNUMBER($G738),$G738&gt;=MA_MED),AVERAGE(INDEX($C$338:$C738,402-MA_MED):$C738),"")</f>
        <v/>
      </c>
      <c r="K738" s="37" t="str">
        <f aca="false">IF(AND(ISNUMBER($G738),$G738&gt;=MA_LONG2),AVERAGE(INDEX($C$338:$C738,402-MA_LONG2):$C738),"")</f>
        <v/>
      </c>
      <c r="L738" s="38" t="str">
        <f aca="false">IF(AND(ISNUMBER($G738),$G738&gt;=21),STDEV(INDEX($H$678:$H738,62-20):$H738)*SQRT(245),"")</f>
        <v/>
      </c>
      <c r="M738" s="37" t="str">
        <f aca="false">IF(AND(ISNUMBER($G738),$G738&gt;=60),MAX(INDEX($D$538:$D738,202-60):$D738),"")</f>
        <v/>
      </c>
      <c r="N738" s="37" t="str">
        <f aca="false">IF(AND(ISNUMBER($G738),$G738&gt;=60),MIN(INDEX($E$538:$E738,202-60):$E738),"")</f>
        <v/>
      </c>
      <c r="O738" s="38" t="str">
        <f aca="false">IF(OR(NOT(ISNUMBER($C738)),NOT(ISNUMBER($M738)),$M738=0),"",$C738/$M738-1)</f>
        <v/>
      </c>
    </row>
    <row r="739" customFormat="false" ht="15" hidden="false" customHeight="true" outlineLevel="0" collapsed="false">
      <c r="A739" s="39"/>
      <c r="B739" s="40"/>
      <c r="C739" s="41"/>
      <c r="D739" s="40"/>
      <c r="E739" s="40"/>
      <c r="F739" s="40"/>
      <c r="G739" s="35" t="str">
        <f aca="false">IF($A739="","",IF(ISNUMBER($G738),$G738+1,1))</f>
        <v/>
      </c>
      <c r="H739" s="36" t="str">
        <f aca="false">IF(OR(NOT(ISNUMBER($G739)),$G739&lt;2,NOT(ISNUMBER($C738)),$C738=0),"",$C739/$C738-1)</f>
        <v/>
      </c>
      <c r="I739" s="37" t="str">
        <f aca="false">IF(AND(ISNUMBER($G739),$G739&gt;=MA_SHORT),AVERAGE(INDEX($C$339:$C739,402-MA_SHORT):$C739),"")</f>
        <v/>
      </c>
      <c r="J739" s="37" t="str">
        <f aca="false">IF(AND(ISNUMBER($G739),$G739&gt;=MA_MED),AVERAGE(INDEX($C$339:$C739,402-MA_MED):$C739),"")</f>
        <v/>
      </c>
      <c r="K739" s="37" t="str">
        <f aca="false">IF(AND(ISNUMBER($G739),$G739&gt;=MA_LONG2),AVERAGE(INDEX($C$339:$C739,402-MA_LONG2):$C739),"")</f>
        <v/>
      </c>
      <c r="L739" s="38" t="str">
        <f aca="false">IF(AND(ISNUMBER($G739),$G739&gt;=21),STDEV(INDEX($H$679:$H739,62-20):$H739)*SQRT(245),"")</f>
        <v/>
      </c>
      <c r="M739" s="37" t="str">
        <f aca="false">IF(AND(ISNUMBER($G739),$G739&gt;=60),MAX(INDEX($D$539:$D739,202-60):$D739),"")</f>
        <v/>
      </c>
      <c r="N739" s="37" t="str">
        <f aca="false">IF(AND(ISNUMBER($G739),$G739&gt;=60),MIN(INDEX($E$539:$E739,202-60):$E739),"")</f>
        <v/>
      </c>
      <c r="O739" s="38" t="str">
        <f aca="false">IF(OR(NOT(ISNUMBER($C739)),NOT(ISNUMBER($M739)),$M739=0),"",$C739/$M739-1)</f>
        <v/>
      </c>
    </row>
    <row r="740" customFormat="false" ht="15" hidden="false" customHeight="true" outlineLevel="0" collapsed="false">
      <c r="A740" s="39"/>
      <c r="B740" s="40"/>
      <c r="C740" s="41"/>
      <c r="D740" s="40"/>
      <c r="E740" s="40"/>
      <c r="F740" s="40"/>
      <c r="G740" s="35" t="str">
        <f aca="false">IF($A740="","",IF(ISNUMBER($G739),$G739+1,1))</f>
        <v/>
      </c>
      <c r="H740" s="36" t="str">
        <f aca="false">IF(OR(NOT(ISNUMBER($G740)),$G740&lt;2,NOT(ISNUMBER($C739)),$C739=0),"",$C740/$C739-1)</f>
        <v/>
      </c>
      <c r="I740" s="37" t="str">
        <f aca="false">IF(AND(ISNUMBER($G740),$G740&gt;=MA_SHORT),AVERAGE(INDEX($C$340:$C740,402-MA_SHORT):$C740),"")</f>
        <v/>
      </c>
      <c r="J740" s="37" t="str">
        <f aca="false">IF(AND(ISNUMBER($G740),$G740&gt;=MA_MED),AVERAGE(INDEX($C$340:$C740,402-MA_MED):$C740),"")</f>
        <v/>
      </c>
      <c r="K740" s="37" t="str">
        <f aca="false">IF(AND(ISNUMBER($G740),$G740&gt;=MA_LONG2),AVERAGE(INDEX($C$340:$C740,402-MA_LONG2):$C740),"")</f>
        <v/>
      </c>
      <c r="L740" s="38" t="str">
        <f aca="false">IF(AND(ISNUMBER($G740),$G740&gt;=21),STDEV(INDEX($H$680:$H740,62-20):$H740)*SQRT(245),"")</f>
        <v/>
      </c>
      <c r="M740" s="37" t="str">
        <f aca="false">IF(AND(ISNUMBER($G740),$G740&gt;=60),MAX(INDEX($D$540:$D740,202-60):$D740),"")</f>
        <v/>
      </c>
      <c r="N740" s="37" t="str">
        <f aca="false">IF(AND(ISNUMBER($G740),$G740&gt;=60),MIN(INDEX($E$540:$E740,202-60):$E740),"")</f>
        <v/>
      </c>
      <c r="O740" s="38" t="str">
        <f aca="false">IF(OR(NOT(ISNUMBER($C740)),NOT(ISNUMBER($M740)),$M740=0),"",$C740/$M740-1)</f>
        <v/>
      </c>
    </row>
    <row r="741" customFormat="false" ht="15" hidden="false" customHeight="true" outlineLevel="0" collapsed="false">
      <c r="A741" s="39"/>
      <c r="B741" s="40"/>
      <c r="C741" s="41"/>
      <c r="D741" s="40"/>
      <c r="E741" s="40"/>
      <c r="F741" s="40"/>
      <c r="G741" s="35" t="str">
        <f aca="false">IF($A741="","",IF(ISNUMBER($G740),$G740+1,1))</f>
        <v/>
      </c>
      <c r="H741" s="36" t="str">
        <f aca="false">IF(OR(NOT(ISNUMBER($G741)),$G741&lt;2,NOT(ISNUMBER($C740)),$C740=0),"",$C741/$C740-1)</f>
        <v/>
      </c>
      <c r="I741" s="37" t="str">
        <f aca="false">IF(AND(ISNUMBER($G741),$G741&gt;=MA_SHORT),AVERAGE(INDEX($C$341:$C741,402-MA_SHORT):$C741),"")</f>
        <v/>
      </c>
      <c r="J741" s="37" t="str">
        <f aca="false">IF(AND(ISNUMBER($G741),$G741&gt;=MA_MED),AVERAGE(INDEX($C$341:$C741,402-MA_MED):$C741),"")</f>
        <v/>
      </c>
      <c r="K741" s="37" t="str">
        <f aca="false">IF(AND(ISNUMBER($G741),$G741&gt;=MA_LONG2),AVERAGE(INDEX($C$341:$C741,402-MA_LONG2):$C741),"")</f>
        <v/>
      </c>
      <c r="L741" s="38" t="str">
        <f aca="false">IF(AND(ISNUMBER($G741),$G741&gt;=21),STDEV(INDEX($H$681:$H741,62-20):$H741)*SQRT(245),"")</f>
        <v/>
      </c>
      <c r="M741" s="37" t="str">
        <f aca="false">IF(AND(ISNUMBER($G741),$G741&gt;=60),MAX(INDEX($D$541:$D741,202-60):$D741),"")</f>
        <v/>
      </c>
      <c r="N741" s="37" t="str">
        <f aca="false">IF(AND(ISNUMBER($G741),$G741&gt;=60),MIN(INDEX($E$541:$E741,202-60):$E741),"")</f>
        <v/>
      </c>
      <c r="O741" s="38" t="str">
        <f aca="false">IF(OR(NOT(ISNUMBER($C741)),NOT(ISNUMBER($M741)),$M741=0),"",$C741/$M741-1)</f>
        <v/>
      </c>
    </row>
    <row r="742" customFormat="false" ht="15" hidden="false" customHeight="true" outlineLevel="0" collapsed="false">
      <c r="A742" s="39"/>
      <c r="B742" s="40"/>
      <c r="C742" s="41"/>
      <c r="D742" s="40"/>
      <c r="E742" s="40"/>
      <c r="F742" s="40"/>
      <c r="G742" s="35" t="str">
        <f aca="false">IF($A742="","",IF(ISNUMBER($G741),$G741+1,1))</f>
        <v/>
      </c>
      <c r="H742" s="36" t="str">
        <f aca="false">IF(OR(NOT(ISNUMBER($G742)),$G742&lt;2,NOT(ISNUMBER($C741)),$C741=0),"",$C742/$C741-1)</f>
        <v/>
      </c>
      <c r="I742" s="37" t="str">
        <f aca="false">IF(AND(ISNUMBER($G742),$G742&gt;=MA_SHORT),AVERAGE(INDEX($C$342:$C742,402-MA_SHORT):$C742),"")</f>
        <v/>
      </c>
      <c r="J742" s="37" t="str">
        <f aca="false">IF(AND(ISNUMBER($G742),$G742&gt;=MA_MED),AVERAGE(INDEX($C$342:$C742,402-MA_MED):$C742),"")</f>
        <v/>
      </c>
      <c r="K742" s="37" t="str">
        <f aca="false">IF(AND(ISNUMBER($G742),$G742&gt;=MA_LONG2),AVERAGE(INDEX($C$342:$C742,402-MA_LONG2):$C742),"")</f>
        <v/>
      </c>
      <c r="L742" s="38" t="str">
        <f aca="false">IF(AND(ISNUMBER($G742),$G742&gt;=21),STDEV(INDEX($H$682:$H742,62-20):$H742)*SQRT(245),"")</f>
        <v/>
      </c>
      <c r="M742" s="37" t="str">
        <f aca="false">IF(AND(ISNUMBER($G742),$G742&gt;=60),MAX(INDEX($D$542:$D742,202-60):$D742),"")</f>
        <v/>
      </c>
      <c r="N742" s="37" t="str">
        <f aca="false">IF(AND(ISNUMBER($G742),$G742&gt;=60),MIN(INDEX($E$542:$E742,202-60):$E742),"")</f>
        <v/>
      </c>
      <c r="O742" s="38" t="str">
        <f aca="false">IF(OR(NOT(ISNUMBER($C742)),NOT(ISNUMBER($M742)),$M742=0),"",$C742/$M742-1)</f>
        <v/>
      </c>
    </row>
    <row r="743" customFormat="false" ht="15" hidden="false" customHeight="true" outlineLevel="0" collapsed="false">
      <c r="A743" s="39"/>
      <c r="B743" s="40"/>
      <c r="C743" s="41"/>
      <c r="D743" s="40"/>
      <c r="E743" s="40"/>
      <c r="F743" s="40"/>
      <c r="G743" s="35" t="str">
        <f aca="false">IF($A743="","",IF(ISNUMBER($G742),$G742+1,1))</f>
        <v/>
      </c>
      <c r="H743" s="36" t="str">
        <f aca="false">IF(OR(NOT(ISNUMBER($G743)),$G743&lt;2,NOT(ISNUMBER($C742)),$C742=0),"",$C743/$C742-1)</f>
        <v/>
      </c>
      <c r="I743" s="37" t="str">
        <f aca="false">IF(AND(ISNUMBER($G743),$G743&gt;=MA_SHORT),AVERAGE(INDEX($C$343:$C743,402-MA_SHORT):$C743),"")</f>
        <v/>
      </c>
      <c r="J743" s="37" t="str">
        <f aca="false">IF(AND(ISNUMBER($G743),$G743&gt;=MA_MED),AVERAGE(INDEX($C$343:$C743,402-MA_MED):$C743),"")</f>
        <v/>
      </c>
      <c r="K743" s="37" t="str">
        <f aca="false">IF(AND(ISNUMBER($G743),$G743&gt;=MA_LONG2),AVERAGE(INDEX($C$343:$C743,402-MA_LONG2):$C743),"")</f>
        <v/>
      </c>
      <c r="L743" s="38" t="str">
        <f aca="false">IF(AND(ISNUMBER($G743),$G743&gt;=21),STDEV(INDEX($H$683:$H743,62-20):$H743)*SQRT(245),"")</f>
        <v/>
      </c>
      <c r="M743" s="37" t="str">
        <f aca="false">IF(AND(ISNUMBER($G743),$G743&gt;=60),MAX(INDEX($D$543:$D743,202-60):$D743),"")</f>
        <v/>
      </c>
      <c r="N743" s="37" t="str">
        <f aca="false">IF(AND(ISNUMBER($G743),$G743&gt;=60),MIN(INDEX($E$543:$E743,202-60):$E743),"")</f>
        <v/>
      </c>
      <c r="O743" s="38" t="str">
        <f aca="false">IF(OR(NOT(ISNUMBER($C743)),NOT(ISNUMBER($M743)),$M743=0),"",$C743/$M743-1)</f>
        <v/>
      </c>
    </row>
    <row r="744" customFormat="false" ht="15" hidden="false" customHeight="true" outlineLevel="0" collapsed="false">
      <c r="A744" s="39"/>
      <c r="B744" s="40"/>
      <c r="C744" s="41"/>
      <c r="D744" s="40"/>
      <c r="E744" s="40"/>
      <c r="F744" s="40"/>
      <c r="G744" s="35" t="str">
        <f aca="false">IF($A744="","",IF(ISNUMBER($G743),$G743+1,1))</f>
        <v/>
      </c>
      <c r="H744" s="36" t="str">
        <f aca="false">IF(OR(NOT(ISNUMBER($G744)),$G744&lt;2,NOT(ISNUMBER($C743)),$C743=0),"",$C744/$C743-1)</f>
        <v/>
      </c>
      <c r="I744" s="37" t="str">
        <f aca="false">IF(AND(ISNUMBER($G744),$G744&gt;=MA_SHORT),AVERAGE(INDEX($C$344:$C744,402-MA_SHORT):$C744),"")</f>
        <v/>
      </c>
      <c r="J744" s="37" t="str">
        <f aca="false">IF(AND(ISNUMBER($G744),$G744&gt;=MA_MED),AVERAGE(INDEX($C$344:$C744,402-MA_MED):$C744),"")</f>
        <v/>
      </c>
      <c r="K744" s="37" t="str">
        <f aca="false">IF(AND(ISNUMBER($G744),$G744&gt;=MA_LONG2),AVERAGE(INDEX($C$344:$C744,402-MA_LONG2):$C744),"")</f>
        <v/>
      </c>
      <c r="L744" s="38" t="str">
        <f aca="false">IF(AND(ISNUMBER($G744),$G744&gt;=21),STDEV(INDEX($H$684:$H744,62-20):$H744)*SQRT(245),"")</f>
        <v/>
      </c>
      <c r="M744" s="37" t="str">
        <f aca="false">IF(AND(ISNUMBER($G744),$G744&gt;=60),MAX(INDEX($D$544:$D744,202-60):$D744),"")</f>
        <v/>
      </c>
      <c r="N744" s="37" t="str">
        <f aca="false">IF(AND(ISNUMBER($G744),$G744&gt;=60),MIN(INDEX($E$544:$E744,202-60):$E744),"")</f>
        <v/>
      </c>
      <c r="O744" s="38" t="str">
        <f aca="false">IF(OR(NOT(ISNUMBER($C744)),NOT(ISNUMBER($M744)),$M744=0),"",$C744/$M744-1)</f>
        <v/>
      </c>
    </row>
    <row r="745" customFormat="false" ht="15" hidden="false" customHeight="true" outlineLevel="0" collapsed="false">
      <c r="A745" s="39"/>
      <c r="B745" s="40"/>
      <c r="C745" s="41"/>
      <c r="D745" s="40"/>
      <c r="E745" s="40"/>
      <c r="F745" s="40"/>
      <c r="G745" s="35" t="str">
        <f aca="false">IF($A745="","",IF(ISNUMBER($G744),$G744+1,1))</f>
        <v/>
      </c>
      <c r="H745" s="36" t="str">
        <f aca="false">IF(OR(NOT(ISNUMBER($G745)),$G745&lt;2,NOT(ISNUMBER($C744)),$C744=0),"",$C745/$C744-1)</f>
        <v/>
      </c>
      <c r="I745" s="37" t="str">
        <f aca="false">IF(AND(ISNUMBER($G745),$G745&gt;=MA_SHORT),AVERAGE(INDEX($C$345:$C745,402-MA_SHORT):$C745),"")</f>
        <v/>
      </c>
      <c r="J745" s="37" t="str">
        <f aca="false">IF(AND(ISNUMBER($G745),$G745&gt;=MA_MED),AVERAGE(INDEX($C$345:$C745,402-MA_MED):$C745),"")</f>
        <v/>
      </c>
      <c r="K745" s="37" t="str">
        <f aca="false">IF(AND(ISNUMBER($G745),$G745&gt;=MA_LONG2),AVERAGE(INDEX($C$345:$C745,402-MA_LONG2):$C745),"")</f>
        <v/>
      </c>
      <c r="L745" s="38" t="str">
        <f aca="false">IF(AND(ISNUMBER($G745),$G745&gt;=21),STDEV(INDEX($H$685:$H745,62-20):$H745)*SQRT(245),"")</f>
        <v/>
      </c>
      <c r="M745" s="37" t="str">
        <f aca="false">IF(AND(ISNUMBER($G745),$G745&gt;=60),MAX(INDEX($D$545:$D745,202-60):$D745),"")</f>
        <v/>
      </c>
      <c r="N745" s="37" t="str">
        <f aca="false">IF(AND(ISNUMBER($G745),$G745&gt;=60),MIN(INDEX($E$545:$E745,202-60):$E745),"")</f>
        <v/>
      </c>
      <c r="O745" s="38" t="str">
        <f aca="false">IF(OR(NOT(ISNUMBER($C745)),NOT(ISNUMBER($M745)),$M745=0),"",$C745/$M745-1)</f>
        <v/>
      </c>
    </row>
    <row r="746" customFormat="false" ht="15" hidden="false" customHeight="true" outlineLevel="0" collapsed="false">
      <c r="A746" s="39"/>
      <c r="B746" s="40"/>
      <c r="C746" s="41"/>
      <c r="D746" s="40"/>
      <c r="E746" s="40"/>
      <c r="F746" s="40"/>
      <c r="G746" s="35" t="str">
        <f aca="false">IF($A746="","",IF(ISNUMBER($G745),$G745+1,1))</f>
        <v/>
      </c>
      <c r="H746" s="36" t="str">
        <f aca="false">IF(OR(NOT(ISNUMBER($G746)),$G746&lt;2,NOT(ISNUMBER($C745)),$C745=0),"",$C746/$C745-1)</f>
        <v/>
      </c>
      <c r="I746" s="37" t="str">
        <f aca="false">IF(AND(ISNUMBER($G746),$G746&gt;=MA_SHORT),AVERAGE(INDEX($C$346:$C746,402-MA_SHORT):$C746),"")</f>
        <v/>
      </c>
      <c r="J746" s="37" t="str">
        <f aca="false">IF(AND(ISNUMBER($G746),$G746&gt;=MA_MED),AVERAGE(INDEX($C$346:$C746,402-MA_MED):$C746),"")</f>
        <v/>
      </c>
      <c r="K746" s="37" t="str">
        <f aca="false">IF(AND(ISNUMBER($G746),$G746&gt;=MA_LONG2),AVERAGE(INDEX($C$346:$C746,402-MA_LONG2):$C746),"")</f>
        <v/>
      </c>
      <c r="L746" s="38" t="str">
        <f aca="false">IF(AND(ISNUMBER($G746),$G746&gt;=21),STDEV(INDEX($H$686:$H746,62-20):$H746)*SQRT(245),"")</f>
        <v/>
      </c>
      <c r="M746" s="37" t="str">
        <f aca="false">IF(AND(ISNUMBER($G746),$G746&gt;=60),MAX(INDEX($D$546:$D746,202-60):$D746),"")</f>
        <v/>
      </c>
      <c r="N746" s="37" t="str">
        <f aca="false">IF(AND(ISNUMBER($G746),$G746&gt;=60),MIN(INDEX($E$546:$E746,202-60):$E746),"")</f>
        <v/>
      </c>
      <c r="O746" s="38" t="str">
        <f aca="false">IF(OR(NOT(ISNUMBER($C746)),NOT(ISNUMBER($M746)),$M746=0),"",$C746/$M746-1)</f>
        <v/>
      </c>
    </row>
    <row r="747" customFormat="false" ht="15" hidden="false" customHeight="true" outlineLevel="0" collapsed="false">
      <c r="A747" s="39"/>
      <c r="B747" s="40"/>
      <c r="C747" s="41"/>
      <c r="D747" s="40"/>
      <c r="E747" s="40"/>
      <c r="F747" s="40"/>
      <c r="G747" s="35" t="str">
        <f aca="false">IF($A747="","",IF(ISNUMBER($G746),$G746+1,1))</f>
        <v/>
      </c>
      <c r="H747" s="36" t="str">
        <f aca="false">IF(OR(NOT(ISNUMBER($G747)),$G747&lt;2,NOT(ISNUMBER($C746)),$C746=0),"",$C747/$C746-1)</f>
        <v/>
      </c>
      <c r="I747" s="37" t="str">
        <f aca="false">IF(AND(ISNUMBER($G747),$G747&gt;=MA_SHORT),AVERAGE(INDEX($C$347:$C747,402-MA_SHORT):$C747),"")</f>
        <v/>
      </c>
      <c r="J747" s="37" t="str">
        <f aca="false">IF(AND(ISNUMBER($G747),$G747&gt;=MA_MED),AVERAGE(INDEX($C$347:$C747,402-MA_MED):$C747),"")</f>
        <v/>
      </c>
      <c r="K747" s="37" t="str">
        <f aca="false">IF(AND(ISNUMBER($G747),$G747&gt;=MA_LONG2),AVERAGE(INDEX($C$347:$C747,402-MA_LONG2):$C747),"")</f>
        <v/>
      </c>
      <c r="L747" s="38" t="str">
        <f aca="false">IF(AND(ISNUMBER($G747),$G747&gt;=21),STDEV(INDEX($H$687:$H747,62-20):$H747)*SQRT(245),"")</f>
        <v/>
      </c>
      <c r="M747" s="37" t="str">
        <f aca="false">IF(AND(ISNUMBER($G747),$G747&gt;=60),MAX(INDEX($D$547:$D747,202-60):$D747),"")</f>
        <v/>
      </c>
      <c r="N747" s="37" t="str">
        <f aca="false">IF(AND(ISNUMBER($G747),$G747&gt;=60),MIN(INDEX($E$547:$E747,202-60):$E747),"")</f>
        <v/>
      </c>
      <c r="O747" s="38" t="str">
        <f aca="false">IF(OR(NOT(ISNUMBER($C747)),NOT(ISNUMBER($M747)),$M747=0),"",$C747/$M747-1)</f>
        <v/>
      </c>
    </row>
    <row r="748" customFormat="false" ht="15" hidden="false" customHeight="true" outlineLevel="0" collapsed="false">
      <c r="A748" s="39"/>
      <c r="B748" s="40"/>
      <c r="C748" s="41"/>
      <c r="D748" s="40"/>
      <c r="E748" s="40"/>
      <c r="F748" s="40"/>
      <c r="G748" s="35" t="str">
        <f aca="false">IF($A748="","",IF(ISNUMBER($G747),$G747+1,1))</f>
        <v/>
      </c>
      <c r="H748" s="36" t="str">
        <f aca="false">IF(OR(NOT(ISNUMBER($G748)),$G748&lt;2,NOT(ISNUMBER($C747)),$C747=0),"",$C748/$C747-1)</f>
        <v/>
      </c>
      <c r="I748" s="37" t="str">
        <f aca="false">IF(AND(ISNUMBER($G748),$G748&gt;=MA_SHORT),AVERAGE(INDEX($C$348:$C748,402-MA_SHORT):$C748),"")</f>
        <v/>
      </c>
      <c r="J748" s="37" t="str">
        <f aca="false">IF(AND(ISNUMBER($G748),$G748&gt;=MA_MED),AVERAGE(INDEX($C$348:$C748,402-MA_MED):$C748),"")</f>
        <v/>
      </c>
      <c r="K748" s="37" t="str">
        <f aca="false">IF(AND(ISNUMBER($G748),$G748&gt;=MA_LONG2),AVERAGE(INDEX($C$348:$C748,402-MA_LONG2):$C748),"")</f>
        <v/>
      </c>
      <c r="L748" s="38" t="str">
        <f aca="false">IF(AND(ISNUMBER($G748),$G748&gt;=21),STDEV(INDEX($H$688:$H748,62-20):$H748)*SQRT(245),"")</f>
        <v/>
      </c>
      <c r="M748" s="37" t="str">
        <f aca="false">IF(AND(ISNUMBER($G748),$G748&gt;=60),MAX(INDEX($D$548:$D748,202-60):$D748),"")</f>
        <v/>
      </c>
      <c r="N748" s="37" t="str">
        <f aca="false">IF(AND(ISNUMBER($G748),$G748&gt;=60),MIN(INDEX($E$548:$E748,202-60):$E748),"")</f>
        <v/>
      </c>
      <c r="O748" s="38" t="str">
        <f aca="false">IF(OR(NOT(ISNUMBER($C748)),NOT(ISNUMBER($M748)),$M748=0),"",$C748/$M748-1)</f>
        <v/>
      </c>
    </row>
    <row r="749" customFormat="false" ht="15" hidden="false" customHeight="true" outlineLevel="0" collapsed="false">
      <c r="A749" s="39"/>
      <c r="B749" s="40"/>
      <c r="C749" s="41"/>
      <c r="D749" s="40"/>
      <c r="E749" s="40"/>
      <c r="F749" s="40"/>
      <c r="G749" s="35" t="str">
        <f aca="false">IF($A749="","",IF(ISNUMBER($G748),$G748+1,1))</f>
        <v/>
      </c>
      <c r="H749" s="36" t="str">
        <f aca="false">IF(OR(NOT(ISNUMBER($G749)),$G749&lt;2,NOT(ISNUMBER($C748)),$C748=0),"",$C749/$C748-1)</f>
        <v/>
      </c>
      <c r="I749" s="37" t="str">
        <f aca="false">IF(AND(ISNUMBER($G749),$G749&gt;=MA_SHORT),AVERAGE(INDEX($C$349:$C749,402-MA_SHORT):$C749),"")</f>
        <v/>
      </c>
      <c r="J749" s="37" t="str">
        <f aca="false">IF(AND(ISNUMBER($G749),$G749&gt;=MA_MED),AVERAGE(INDEX($C$349:$C749,402-MA_MED):$C749),"")</f>
        <v/>
      </c>
      <c r="K749" s="37" t="str">
        <f aca="false">IF(AND(ISNUMBER($G749),$G749&gt;=MA_LONG2),AVERAGE(INDEX($C$349:$C749,402-MA_LONG2):$C749),"")</f>
        <v/>
      </c>
      <c r="L749" s="38" t="str">
        <f aca="false">IF(AND(ISNUMBER($G749),$G749&gt;=21),STDEV(INDEX($H$689:$H749,62-20):$H749)*SQRT(245),"")</f>
        <v/>
      </c>
      <c r="M749" s="37" t="str">
        <f aca="false">IF(AND(ISNUMBER($G749),$G749&gt;=60),MAX(INDEX($D$549:$D749,202-60):$D749),"")</f>
        <v/>
      </c>
      <c r="N749" s="37" t="str">
        <f aca="false">IF(AND(ISNUMBER($G749),$G749&gt;=60),MIN(INDEX($E$549:$E749,202-60):$E749),"")</f>
        <v/>
      </c>
      <c r="O749" s="38" t="str">
        <f aca="false">IF(OR(NOT(ISNUMBER($C749)),NOT(ISNUMBER($M749)),$M749=0),"",$C749/$M749-1)</f>
        <v/>
      </c>
    </row>
    <row r="750" customFormat="false" ht="15" hidden="false" customHeight="true" outlineLevel="0" collapsed="false">
      <c r="A750" s="39"/>
      <c r="B750" s="40"/>
      <c r="C750" s="41"/>
      <c r="D750" s="40"/>
      <c r="E750" s="40"/>
      <c r="F750" s="40"/>
      <c r="G750" s="35" t="str">
        <f aca="false">IF($A750="","",IF(ISNUMBER($G749),$G749+1,1))</f>
        <v/>
      </c>
      <c r="H750" s="36" t="str">
        <f aca="false">IF(OR(NOT(ISNUMBER($G750)),$G750&lt;2,NOT(ISNUMBER($C749)),$C749=0),"",$C750/$C749-1)</f>
        <v/>
      </c>
      <c r="I750" s="37" t="str">
        <f aca="false">IF(AND(ISNUMBER($G750),$G750&gt;=MA_SHORT),AVERAGE(INDEX($C$350:$C750,402-MA_SHORT):$C750),"")</f>
        <v/>
      </c>
      <c r="J750" s="37" t="str">
        <f aca="false">IF(AND(ISNUMBER($G750),$G750&gt;=MA_MED),AVERAGE(INDEX($C$350:$C750,402-MA_MED):$C750),"")</f>
        <v/>
      </c>
      <c r="K750" s="37" t="str">
        <f aca="false">IF(AND(ISNUMBER($G750),$G750&gt;=MA_LONG2),AVERAGE(INDEX($C$350:$C750,402-MA_LONG2):$C750),"")</f>
        <v/>
      </c>
      <c r="L750" s="38" t="str">
        <f aca="false">IF(AND(ISNUMBER($G750),$G750&gt;=21),STDEV(INDEX($H$690:$H750,62-20):$H750)*SQRT(245),"")</f>
        <v/>
      </c>
      <c r="M750" s="37" t="str">
        <f aca="false">IF(AND(ISNUMBER($G750),$G750&gt;=60),MAX(INDEX($D$550:$D750,202-60):$D750),"")</f>
        <v/>
      </c>
      <c r="N750" s="37" t="str">
        <f aca="false">IF(AND(ISNUMBER($G750),$G750&gt;=60),MIN(INDEX($E$550:$E750,202-60):$E750),"")</f>
        <v/>
      </c>
      <c r="O750" s="38" t="str">
        <f aca="false">IF(OR(NOT(ISNUMBER($C750)),NOT(ISNUMBER($M750)),$M750=0),"",$C750/$M750-1)</f>
        <v/>
      </c>
    </row>
    <row r="751" customFormat="false" ht="15" hidden="false" customHeight="true" outlineLevel="0" collapsed="false">
      <c r="A751" s="39"/>
      <c r="B751" s="40"/>
      <c r="C751" s="41"/>
      <c r="D751" s="40"/>
      <c r="E751" s="40"/>
      <c r="F751" s="40"/>
      <c r="G751" s="35" t="str">
        <f aca="false">IF($A751="","",IF(ISNUMBER($G750),$G750+1,1))</f>
        <v/>
      </c>
      <c r="H751" s="36" t="str">
        <f aca="false">IF(OR(NOT(ISNUMBER($G751)),$G751&lt;2,NOT(ISNUMBER($C750)),$C750=0),"",$C751/$C750-1)</f>
        <v/>
      </c>
      <c r="I751" s="37" t="str">
        <f aca="false">IF(AND(ISNUMBER($G751),$G751&gt;=MA_SHORT),AVERAGE(INDEX($C$351:$C751,402-MA_SHORT):$C751),"")</f>
        <v/>
      </c>
      <c r="J751" s="37" t="str">
        <f aca="false">IF(AND(ISNUMBER($G751),$G751&gt;=MA_MED),AVERAGE(INDEX($C$351:$C751,402-MA_MED):$C751),"")</f>
        <v/>
      </c>
      <c r="K751" s="37" t="str">
        <f aca="false">IF(AND(ISNUMBER($G751),$G751&gt;=MA_LONG2),AVERAGE(INDEX($C$351:$C751,402-MA_LONG2):$C751),"")</f>
        <v/>
      </c>
      <c r="L751" s="38" t="str">
        <f aca="false">IF(AND(ISNUMBER($G751),$G751&gt;=21),STDEV(INDEX($H$691:$H751,62-20):$H751)*SQRT(245),"")</f>
        <v/>
      </c>
      <c r="M751" s="37" t="str">
        <f aca="false">IF(AND(ISNUMBER($G751),$G751&gt;=60),MAX(INDEX($D$551:$D751,202-60):$D751),"")</f>
        <v/>
      </c>
      <c r="N751" s="37" t="str">
        <f aca="false">IF(AND(ISNUMBER($G751),$G751&gt;=60),MIN(INDEX($E$551:$E751,202-60):$E751),"")</f>
        <v/>
      </c>
      <c r="O751" s="38" t="str">
        <f aca="false">IF(OR(NOT(ISNUMBER($C751)),NOT(ISNUMBER($M751)),$M751=0),"",$C751/$M751-1)</f>
        <v/>
      </c>
    </row>
    <row r="752" customFormat="false" ht="15" hidden="false" customHeight="true" outlineLevel="0" collapsed="false">
      <c r="A752" s="39"/>
      <c r="B752" s="40"/>
      <c r="C752" s="41"/>
      <c r="D752" s="40"/>
      <c r="E752" s="40"/>
      <c r="F752" s="40"/>
      <c r="G752" s="35" t="str">
        <f aca="false">IF($A752="","",IF(ISNUMBER($G751),$G751+1,1))</f>
        <v/>
      </c>
      <c r="H752" s="36" t="str">
        <f aca="false">IF(OR(NOT(ISNUMBER($G752)),$G752&lt;2,NOT(ISNUMBER($C751)),$C751=0),"",$C752/$C751-1)</f>
        <v/>
      </c>
      <c r="I752" s="37" t="str">
        <f aca="false">IF(AND(ISNUMBER($G752),$G752&gt;=MA_SHORT),AVERAGE(INDEX($C$352:$C752,402-MA_SHORT):$C752),"")</f>
        <v/>
      </c>
      <c r="J752" s="37" t="str">
        <f aca="false">IF(AND(ISNUMBER($G752),$G752&gt;=MA_MED),AVERAGE(INDEX($C$352:$C752,402-MA_MED):$C752),"")</f>
        <v/>
      </c>
      <c r="K752" s="37" t="str">
        <f aca="false">IF(AND(ISNUMBER($G752),$G752&gt;=MA_LONG2),AVERAGE(INDEX($C$352:$C752,402-MA_LONG2):$C752),"")</f>
        <v/>
      </c>
      <c r="L752" s="38" t="str">
        <f aca="false">IF(AND(ISNUMBER($G752),$G752&gt;=21),STDEV(INDEX($H$692:$H752,62-20):$H752)*SQRT(245),"")</f>
        <v/>
      </c>
      <c r="M752" s="37" t="str">
        <f aca="false">IF(AND(ISNUMBER($G752),$G752&gt;=60),MAX(INDEX($D$552:$D752,202-60):$D752),"")</f>
        <v/>
      </c>
      <c r="N752" s="37" t="str">
        <f aca="false">IF(AND(ISNUMBER($G752),$G752&gt;=60),MIN(INDEX($E$552:$E752,202-60):$E752),"")</f>
        <v/>
      </c>
      <c r="O752" s="38" t="str">
        <f aca="false">IF(OR(NOT(ISNUMBER($C752)),NOT(ISNUMBER($M752)),$M752=0),"",$C752/$M752-1)</f>
        <v/>
      </c>
    </row>
    <row r="753" customFormat="false" ht="15" hidden="false" customHeight="true" outlineLevel="0" collapsed="false">
      <c r="A753" s="39"/>
      <c r="B753" s="40"/>
      <c r="C753" s="41"/>
      <c r="D753" s="40"/>
      <c r="E753" s="40"/>
      <c r="F753" s="40"/>
      <c r="G753" s="35" t="str">
        <f aca="false">IF($A753="","",IF(ISNUMBER($G752),$G752+1,1))</f>
        <v/>
      </c>
      <c r="H753" s="36" t="str">
        <f aca="false">IF(OR(NOT(ISNUMBER($G753)),$G753&lt;2,NOT(ISNUMBER($C752)),$C752=0),"",$C753/$C752-1)</f>
        <v/>
      </c>
      <c r="I753" s="37" t="str">
        <f aca="false">IF(AND(ISNUMBER($G753),$G753&gt;=MA_SHORT),AVERAGE(INDEX($C$353:$C753,402-MA_SHORT):$C753),"")</f>
        <v/>
      </c>
      <c r="J753" s="37" t="str">
        <f aca="false">IF(AND(ISNUMBER($G753),$G753&gt;=MA_MED),AVERAGE(INDEX($C$353:$C753,402-MA_MED):$C753),"")</f>
        <v/>
      </c>
      <c r="K753" s="37" t="str">
        <f aca="false">IF(AND(ISNUMBER($G753),$G753&gt;=MA_LONG2),AVERAGE(INDEX($C$353:$C753,402-MA_LONG2):$C753),"")</f>
        <v/>
      </c>
      <c r="L753" s="38" t="str">
        <f aca="false">IF(AND(ISNUMBER($G753),$G753&gt;=21),STDEV(INDEX($H$693:$H753,62-20):$H753)*SQRT(245),"")</f>
        <v/>
      </c>
      <c r="M753" s="37" t="str">
        <f aca="false">IF(AND(ISNUMBER($G753),$G753&gt;=60),MAX(INDEX($D$553:$D753,202-60):$D753),"")</f>
        <v/>
      </c>
      <c r="N753" s="37" t="str">
        <f aca="false">IF(AND(ISNUMBER($G753),$G753&gt;=60),MIN(INDEX($E$553:$E753,202-60):$E753),"")</f>
        <v/>
      </c>
      <c r="O753" s="38" t="str">
        <f aca="false">IF(OR(NOT(ISNUMBER($C753)),NOT(ISNUMBER($M753)),$M753=0),"",$C753/$M753-1)</f>
        <v/>
      </c>
    </row>
    <row r="754" customFormat="false" ht="15" hidden="false" customHeight="true" outlineLevel="0" collapsed="false">
      <c r="A754" s="39"/>
      <c r="B754" s="40"/>
      <c r="C754" s="41"/>
      <c r="D754" s="40"/>
      <c r="E754" s="40"/>
      <c r="F754" s="40"/>
      <c r="G754" s="35" t="str">
        <f aca="false">IF($A754="","",IF(ISNUMBER($G753),$G753+1,1))</f>
        <v/>
      </c>
      <c r="H754" s="36" t="str">
        <f aca="false">IF(OR(NOT(ISNUMBER($G754)),$G754&lt;2,NOT(ISNUMBER($C753)),$C753=0),"",$C754/$C753-1)</f>
        <v/>
      </c>
      <c r="I754" s="37" t="str">
        <f aca="false">IF(AND(ISNUMBER($G754),$G754&gt;=MA_SHORT),AVERAGE(INDEX($C$354:$C754,402-MA_SHORT):$C754),"")</f>
        <v/>
      </c>
      <c r="J754" s="37" t="str">
        <f aca="false">IF(AND(ISNUMBER($G754),$G754&gt;=MA_MED),AVERAGE(INDEX($C$354:$C754,402-MA_MED):$C754),"")</f>
        <v/>
      </c>
      <c r="K754" s="37" t="str">
        <f aca="false">IF(AND(ISNUMBER($G754),$G754&gt;=MA_LONG2),AVERAGE(INDEX($C$354:$C754,402-MA_LONG2):$C754),"")</f>
        <v/>
      </c>
      <c r="L754" s="38" t="str">
        <f aca="false">IF(AND(ISNUMBER($G754),$G754&gt;=21),STDEV(INDEX($H$694:$H754,62-20):$H754)*SQRT(245),"")</f>
        <v/>
      </c>
      <c r="M754" s="37" t="str">
        <f aca="false">IF(AND(ISNUMBER($G754),$G754&gt;=60),MAX(INDEX($D$554:$D754,202-60):$D754),"")</f>
        <v/>
      </c>
      <c r="N754" s="37" t="str">
        <f aca="false">IF(AND(ISNUMBER($G754),$G754&gt;=60),MIN(INDEX($E$554:$E754,202-60):$E754),"")</f>
        <v/>
      </c>
      <c r="O754" s="38" t="str">
        <f aca="false">IF(OR(NOT(ISNUMBER($C754)),NOT(ISNUMBER($M754)),$M754=0),"",$C754/$M754-1)</f>
        <v/>
      </c>
    </row>
    <row r="755" customFormat="false" ht="15" hidden="false" customHeight="true" outlineLevel="0" collapsed="false">
      <c r="A755" s="39"/>
      <c r="B755" s="40"/>
      <c r="C755" s="41"/>
      <c r="D755" s="40"/>
      <c r="E755" s="40"/>
      <c r="F755" s="40"/>
      <c r="G755" s="35" t="str">
        <f aca="false">IF($A755="","",IF(ISNUMBER($G754),$G754+1,1))</f>
        <v/>
      </c>
      <c r="H755" s="36" t="str">
        <f aca="false">IF(OR(NOT(ISNUMBER($G755)),$G755&lt;2,NOT(ISNUMBER($C754)),$C754=0),"",$C755/$C754-1)</f>
        <v/>
      </c>
      <c r="I755" s="37" t="str">
        <f aca="false">IF(AND(ISNUMBER($G755),$G755&gt;=MA_SHORT),AVERAGE(INDEX($C$355:$C755,402-MA_SHORT):$C755),"")</f>
        <v/>
      </c>
      <c r="J755" s="37" t="str">
        <f aca="false">IF(AND(ISNUMBER($G755),$G755&gt;=MA_MED),AVERAGE(INDEX($C$355:$C755,402-MA_MED):$C755),"")</f>
        <v/>
      </c>
      <c r="K755" s="37" t="str">
        <f aca="false">IF(AND(ISNUMBER($G755),$G755&gt;=MA_LONG2),AVERAGE(INDEX($C$355:$C755,402-MA_LONG2):$C755),"")</f>
        <v/>
      </c>
      <c r="L755" s="38" t="str">
        <f aca="false">IF(AND(ISNUMBER($G755),$G755&gt;=21),STDEV(INDEX($H$695:$H755,62-20):$H755)*SQRT(245),"")</f>
        <v/>
      </c>
      <c r="M755" s="37" t="str">
        <f aca="false">IF(AND(ISNUMBER($G755),$G755&gt;=60),MAX(INDEX($D$555:$D755,202-60):$D755),"")</f>
        <v/>
      </c>
      <c r="N755" s="37" t="str">
        <f aca="false">IF(AND(ISNUMBER($G755),$G755&gt;=60),MIN(INDEX($E$555:$E755,202-60):$E755),"")</f>
        <v/>
      </c>
      <c r="O755" s="38" t="str">
        <f aca="false">IF(OR(NOT(ISNUMBER($C755)),NOT(ISNUMBER($M755)),$M755=0),"",$C755/$M755-1)</f>
        <v/>
      </c>
    </row>
    <row r="756" customFormat="false" ht="15" hidden="false" customHeight="true" outlineLevel="0" collapsed="false">
      <c r="A756" s="39"/>
      <c r="B756" s="40"/>
      <c r="C756" s="41"/>
      <c r="D756" s="40"/>
      <c r="E756" s="40"/>
      <c r="F756" s="40"/>
      <c r="G756" s="35" t="str">
        <f aca="false">IF($A756="","",IF(ISNUMBER($G755),$G755+1,1))</f>
        <v/>
      </c>
      <c r="H756" s="36" t="str">
        <f aca="false">IF(OR(NOT(ISNUMBER($G756)),$G756&lt;2,NOT(ISNUMBER($C755)),$C755=0),"",$C756/$C755-1)</f>
        <v/>
      </c>
      <c r="I756" s="37" t="str">
        <f aca="false">IF(AND(ISNUMBER($G756),$G756&gt;=MA_SHORT),AVERAGE(INDEX($C$356:$C756,402-MA_SHORT):$C756),"")</f>
        <v/>
      </c>
      <c r="J756" s="37" t="str">
        <f aca="false">IF(AND(ISNUMBER($G756),$G756&gt;=MA_MED),AVERAGE(INDEX($C$356:$C756,402-MA_MED):$C756),"")</f>
        <v/>
      </c>
      <c r="K756" s="37" t="str">
        <f aca="false">IF(AND(ISNUMBER($G756),$G756&gt;=MA_LONG2),AVERAGE(INDEX($C$356:$C756,402-MA_LONG2):$C756),"")</f>
        <v/>
      </c>
      <c r="L756" s="38" t="str">
        <f aca="false">IF(AND(ISNUMBER($G756),$G756&gt;=21),STDEV(INDEX($H$696:$H756,62-20):$H756)*SQRT(245),"")</f>
        <v/>
      </c>
      <c r="M756" s="37" t="str">
        <f aca="false">IF(AND(ISNUMBER($G756),$G756&gt;=60),MAX(INDEX($D$556:$D756,202-60):$D756),"")</f>
        <v/>
      </c>
      <c r="N756" s="37" t="str">
        <f aca="false">IF(AND(ISNUMBER($G756),$G756&gt;=60),MIN(INDEX($E$556:$E756,202-60):$E756),"")</f>
        <v/>
      </c>
      <c r="O756" s="38" t="str">
        <f aca="false">IF(OR(NOT(ISNUMBER($C756)),NOT(ISNUMBER($M756)),$M756=0),"",$C756/$M756-1)</f>
        <v/>
      </c>
    </row>
    <row r="757" customFormat="false" ht="15" hidden="false" customHeight="true" outlineLevel="0" collapsed="false">
      <c r="A757" s="39"/>
      <c r="B757" s="40"/>
      <c r="C757" s="41"/>
      <c r="D757" s="40"/>
      <c r="E757" s="40"/>
      <c r="F757" s="40"/>
      <c r="G757" s="35" t="str">
        <f aca="false">IF($A757="","",IF(ISNUMBER($G756),$G756+1,1))</f>
        <v/>
      </c>
      <c r="H757" s="36" t="str">
        <f aca="false">IF(OR(NOT(ISNUMBER($G757)),$G757&lt;2,NOT(ISNUMBER($C756)),$C756=0),"",$C757/$C756-1)</f>
        <v/>
      </c>
      <c r="I757" s="37" t="str">
        <f aca="false">IF(AND(ISNUMBER($G757),$G757&gt;=MA_SHORT),AVERAGE(INDEX($C$357:$C757,402-MA_SHORT):$C757),"")</f>
        <v/>
      </c>
      <c r="J757" s="37" t="str">
        <f aca="false">IF(AND(ISNUMBER($G757),$G757&gt;=MA_MED),AVERAGE(INDEX($C$357:$C757,402-MA_MED):$C757),"")</f>
        <v/>
      </c>
      <c r="K757" s="37" t="str">
        <f aca="false">IF(AND(ISNUMBER($G757),$G757&gt;=MA_LONG2),AVERAGE(INDEX($C$357:$C757,402-MA_LONG2):$C757),"")</f>
        <v/>
      </c>
      <c r="L757" s="38" t="str">
        <f aca="false">IF(AND(ISNUMBER($G757),$G757&gt;=21),STDEV(INDEX($H$697:$H757,62-20):$H757)*SQRT(245),"")</f>
        <v/>
      </c>
      <c r="M757" s="37" t="str">
        <f aca="false">IF(AND(ISNUMBER($G757),$G757&gt;=60),MAX(INDEX($D$557:$D757,202-60):$D757),"")</f>
        <v/>
      </c>
      <c r="N757" s="37" t="str">
        <f aca="false">IF(AND(ISNUMBER($G757),$G757&gt;=60),MIN(INDEX($E$557:$E757,202-60):$E757),"")</f>
        <v/>
      </c>
      <c r="O757" s="38" t="str">
        <f aca="false">IF(OR(NOT(ISNUMBER($C757)),NOT(ISNUMBER($M757)),$M757=0),"",$C757/$M757-1)</f>
        <v/>
      </c>
    </row>
    <row r="758" customFormat="false" ht="15" hidden="false" customHeight="true" outlineLevel="0" collapsed="false">
      <c r="A758" s="39"/>
      <c r="B758" s="40"/>
      <c r="C758" s="41"/>
      <c r="D758" s="40"/>
      <c r="E758" s="40"/>
      <c r="F758" s="40"/>
      <c r="G758" s="35" t="str">
        <f aca="false">IF($A758="","",IF(ISNUMBER($G757),$G757+1,1))</f>
        <v/>
      </c>
      <c r="H758" s="36" t="str">
        <f aca="false">IF(OR(NOT(ISNUMBER($G758)),$G758&lt;2,NOT(ISNUMBER($C757)),$C757=0),"",$C758/$C757-1)</f>
        <v/>
      </c>
      <c r="I758" s="37" t="str">
        <f aca="false">IF(AND(ISNUMBER($G758),$G758&gt;=MA_SHORT),AVERAGE(INDEX($C$358:$C758,402-MA_SHORT):$C758),"")</f>
        <v/>
      </c>
      <c r="J758" s="37" t="str">
        <f aca="false">IF(AND(ISNUMBER($G758),$G758&gt;=MA_MED),AVERAGE(INDEX($C$358:$C758,402-MA_MED):$C758),"")</f>
        <v/>
      </c>
      <c r="K758" s="37" t="str">
        <f aca="false">IF(AND(ISNUMBER($G758),$G758&gt;=MA_LONG2),AVERAGE(INDEX($C$358:$C758,402-MA_LONG2):$C758),"")</f>
        <v/>
      </c>
      <c r="L758" s="38" t="str">
        <f aca="false">IF(AND(ISNUMBER($G758),$G758&gt;=21),STDEV(INDEX($H$698:$H758,62-20):$H758)*SQRT(245),"")</f>
        <v/>
      </c>
      <c r="M758" s="37" t="str">
        <f aca="false">IF(AND(ISNUMBER($G758),$G758&gt;=60),MAX(INDEX($D$558:$D758,202-60):$D758),"")</f>
        <v/>
      </c>
      <c r="N758" s="37" t="str">
        <f aca="false">IF(AND(ISNUMBER($G758),$G758&gt;=60),MIN(INDEX($E$558:$E758,202-60):$E758),"")</f>
        <v/>
      </c>
      <c r="O758" s="38" t="str">
        <f aca="false">IF(OR(NOT(ISNUMBER($C758)),NOT(ISNUMBER($M758)),$M758=0),"",$C758/$M758-1)</f>
        <v/>
      </c>
    </row>
    <row r="759" customFormat="false" ht="15" hidden="false" customHeight="true" outlineLevel="0" collapsed="false">
      <c r="A759" s="39"/>
      <c r="B759" s="40"/>
      <c r="C759" s="41"/>
      <c r="D759" s="40"/>
      <c r="E759" s="40"/>
      <c r="F759" s="40"/>
      <c r="G759" s="35" t="str">
        <f aca="false">IF($A759="","",IF(ISNUMBER($G758),$G758+1,1))</f>
        <v/>
      </c>
      <c r="H759" s="36" t="str">
        <f aca="false">IF(OR(NOT(ISNUMBER($G759)),$G759&lt;2,NOT(ISNUMBER($C758)),$C758=0),"",$C759/$C758-1)</f>
        <v/>
      </c>
      <c r="I759" s="37" t="str">
        <f aca="false">IF(AND(ISNUMBER($G759),$G759&gt;=MA_SHORT),AVERAGE(INDEX($C$359:$C759,402-MA_SHORT):$C759),"")</f>
        <v/>
      </c>
      <c r="J759" s="37" t="str">
        <f aca="false">IF(AND(ISNUMBER($G759),$G759&gt;=MA_MED),AVERAGE(INDEX($C$359:$C759,402-MA_MED):$C759),"")</f>
        <v/>
      </c>
      <c r="K759" s="37" t="str">
        <f aca="false">IF(AND(ISNUMBER($G759),$G759&gt;=MA_LONG2),AVERAGE(INDEX($C$359:$C759,402-MA_LONG2):$C759),"")</f>
        <v/>
      </c>
      <c r="L759" s="38" t="str">
        <f aca="false">IF(AND(ISNUMBER($G759),$G759&gt;=21),STDEV(INDEX($H$699:$H759,62-20):$H759)*SQRT(245),"")</f>
        <v/>
      </c>
      <c r="M759" s="37" t="str">
        <f aca="false">IF(AND(ISNUMBER($G759),$G759&gt;=60),MAX(INDEX($D$559:$D759,202-60):$D759),"")</f>
        <v/>
      </c>
      <c r="N759" s="37" t="str">
        <f aca="false">IF(AND(ISNUMBER($G759),$G759&gt;=60),MIN(INDEX($E$559:$E759,202-60):$E759),"")</f>
        <v/>
      </c>
      <c r="O759" s="38" t="str">
        <f aca="false">IF(OR(NOT(ISNUMBER($C759)),NOT(ISNUMBER($M759)),$M759=0),"",$C759/$M759-1)</f>
        <v/>
      </c>
    </row>
    <row r="760" customFormat="false" ht="15" hidden="false" customHeight="true" outlineLevel="0" collapsed="false">
      <c r="A760" s="39"/>
      <c r="B760" s="40"/>
      <c r="C760" s="41"/>
      <c r="D760" s="40"/>
      <c r="E760" s="40"/>
      <c r="F760" s="40"/>
      <c r="G760" s="35" t="str">
        <f aca="false">IF($A760="","",IF(ISNUMBER($G759),$G759+1,1))</f>
        <v/>
      </c>
      <c r="H760" s="36" t="str">
        <f aca="false">IF(OR(NOT(ISNUMBER($G760)),$G760&lt;2,NOT(ISNUMBER($C759)),$C759=0),"",$C760/$C759-1)</f>
        <v/>
      </c>
      <c r="I760" s="37" t="str">
        <f aca="false">IF(AND(ISNUMBER($G760),$G760&gt;=MA_SHORT),AVERAGE(INDEX($C$360:$C760,402-MA_SHORT):$C760),"")</f>
        <v/>
      </c>
      <c r="J760" s="37" t="str">
        <f aca="false">IF(AND(ISNUMBER($G760),$G760&gt;=MA_MED),AVERAGE(INDEX($C$360:$C760,402-MA_MED):$C760),"")</f>
        <v/>
      </c>
      <c r="K760" s="37" t="str">
        <f aca="false">IF(AND(ISNUMBER($G760),$G760&gt;=MA_LONG2),AVERAGE(INDEX($C$360:$C760,402-MA_LONG2):$C760),"")</f>
        <v/>
      </c>
      <c r="L760" s="38" t="str">
        <f aca="false">IF(AND(ISNUMBER($G760),$G760&gt;=21),STDEV(INDEX($H$700:$H760,62-20):$H760)*SQRT(245),"")</f>
        <v/>
      </c>
      <c r="M760" s="37" t="str">
        <f aca="false">IF(AND(ISNUMBER($G760),$G760&gt;=60),MAX(INDEX($D$560:$D760,202-60):$D760),"")</f>
        <v/>
      </c>
      <c r="N760" s="37" t="str">
        <f aca="false">IF(AND(ISNUMBER($G760),$G760&gt;=60),MIN(INDEX($E$560:$E760,202-60):$E760),"")</f>
        <v/>
      </c>
      <c r="O760" s="38" t="str">
        <f aca="false">IF(OR(NOT(ISNUMBER($C760)),NOT(ISNUMBER($M760)),$M760=0),"",$C760/$M760-1)</f>
        <v/>
      </c>
    </row>
    <row r="761" customFormat="false" ht="15" hidden="false" customHeight="true" outlineLevel="0" collapsed="false">
      <c r="A761" s="39"/>
      <c r="B761" s="40"/>
      <c r="C761" s="41"/>
      <c r="D761" s="40"/>
      <c r="E761" s="40"/>
      <c r="F761" s="40"/>
      <c r="G761" s="35" t="str">
        <f aca="false">IF($A761="","",IF(ISNUMBER($G760),$G760+1,1))</f>
        <v/>
      </c>
      <c r="H761" s="36" t="str">
        <f aca="false">IF(OR(NOT(ISNUMBER($G761)),$G761&lt;2,NOT(ISNUMBER($C760)),$C760=0),"",$C761/$C760-1)</f>
        <v/>
      </c>
      <c r="I761" s="37" t="str">
        <f aca="false">IF(AND(ISNUMBER($G761),$G761&gt;=MA_SHORT),AVERAGE(INDEX($C$361:$C761,402-MA_SHORT):$C761),"")</f>
        <v/>
      </c>
      <c r="J761" s="37" t="str">
        <f aca="false">IF(AND(ISNUMBER($G761),$G761&gt;=MA_MED),AVERAGE(INDEX($C$361:$C761,402-MA_MED):$C761),"")</f>
        <v/>
      </c>
      <c r="K761" s="37" t="str">
        <f aca="false">IF(AND(ISNUMBER($G761),$G761&gt;=MA_LONG2),AVERAGE(INDEX($C$361:$C761,402-MA_LONG2):$C761),"")</f>
        <v/>
      </c>
      <c r="L761" s="38" t="str">
        <f aca="false">IF(AND(ISNUMBER($G761),$G761&gt;=21),STDEV(INDEX($H$701:$H761,62-20):$H761)*SQRT(245),"")</f>
        <v/>
      </c>
      <c r="M761" s="37" t="str">
        <f aca="false">IF(AND(ISNUMBER($G761),$G761&gt;=60),MAX(INDEX($D$561:$D761,202-60):$D761),"")</f>
        <v/>
      </c>
      <c r="N761" s="37" t="str">
        <f aca="false">IF(AND(ISNUMBER($G761),$G761&gt;=60),MIN(INDEX($E$561:$E761,202-60):$E761),"")</f>
        <v/>
      </c>
      <c r="O761" s="38" t="str">
        <f aca="false">IF(OR(NOT(ISNUMBER($C761)),NOT(ISNUMBER($M761)),$M761=0),"",$C761/$M761-1)</f>
        <v/>
      </c>
    </row>
    <row r="762" customFormat="false" ht="15" hidden="false" customHeight="true" outlineLevel="0" collapsed="false">
      <c r="A762" s="39"/>
      <c r="B762" s="40"/>
      <c r="C762" s="41"/>
      <c r="D762" s="40"/>
      <c r="E762" s="40"/>
      <c r="F762" s="40"/>
      <c r="G762" s="35" t="str">
        <f aca="false">IF($A762="","",IF(ISNUMBER($G761),$G761+1,1))</f>
        <v/>
      </c>
      <c r="H762" s="36" t="str">
        <f aca="false">IF(OR(NOT(ISNUMBER($G762)),$G762&lt;2,NOT(ISNUMBER($C761)),$C761=0),"",$C762/$C761-1)</f>
        <v/>
      </c>
      <c r="I762" s="37" t="str">
        <f aca="false">IF(AND(ISNUMBER($G762),$G762&gt;=MA_SHORT),AVERAGE(INDEX($C$362:$C762,402-MA_SHORT):$C762),"")</f>
        <v/>
      </c>
      <c r="J762" s="37" t="str">
        <f aca="false">IF(AND(ISNUMBER($G762),$G762&gt;=MA_MED),AVERAGE(INDEX($C$362:$C762,402-MA_MED):$C762),"")</f>
        <v/>
      </c>
      <c r="K762" s="37" t="str">
        <f aca="false">IF(AND(ISNUMBER($G762),$G762&gt;=MA_LONG2),AVERAGE(INDEX($C$362:$C762,402-MA_LONG2):$C762),"")</f>
        <v/>
      </c>
      <c r="L762" s="38" t="str">
        <f aca="false">IF(AND(ISNUMBER($G762),$G762&gt;=21),STDEV(INDEX($H$702:$H762,62-20):$H762)*SQRT(245),"")</f>
        <v/>
      </c>
      <c r="M762" s="37" t="str">
        <f aca="false">IF(AND(ISNUMBER($G762),$G762&gt;=60),MAX(INDEX($D$562:$D762,202-60):$D762),"")</f>
        <v/>
      </c>
      <c r="N762" s="37" t="str">
        <f aca="false">IF(AND(ISNUMBER($G762),$G762&gt;=60),MIN(INDEX($E$562:$E762,202-60):$E762),"")</f>
        <v/>
      </c>
      <c r="O762" s="38" t="str">
        <f aca="false">IF(OR(NOT(ISNUMBER($C762)),NOT(ISNUMBER($M762)),$M762=0),"",$C762/$M762-1)</f>
        <v/>
      </c>
    </row>
    <row r="763" customFormat="false" ht="15" hidden="false" customHeight="true" outlineLevel="0" collapsed="false">
      <c r="A763" s="39"/>
      <c r="B763" s="40"/>
      <c r="C763" s="41"/>
      <c r="D763" s="40"/>
      <c r="E763" s="40"/>
      <c r="F763" s="40"/>
      <c r="G763" s="35" t="str">
        <f aca="false">IF($A763="","",IF(ISNUMBER($G762),$G762+1,1))</f>
        <v/>
      </c>
      <c r="H763" s="36" t="str">
        <f aca="false">IF(OR(NOT(ISNUMBER($G763)),$G763&lt;2,NOT(ISNUMBER($C762)),$C762=0),"",$C763/$C762-1)</f>
        <v/>
      </c>
      <c r="I763" s="37" t="str">
        <f aca="false">IF(AND(ISNUMBER($G763),$G763&gt;=MA_SHORT),AVERAGE(INDEX($C$363:$C763,402-MA_SHORT):$C763),"")</f>
        <v/>
      </c>
      <c r="J763" s="37" t="str">
        <f aca="false">IF(AND(ISNUMBER($G763),$G763&gt;=MA_MED),AVERAGE(INDEX($C$363:$C763,402-MA_MED):$C763),"")</f>
        <v/>
      </c>
      <c r="K763" s="37" t="str">
        <f aca="false">IF(AND(ISNUMBER($G763),$G763&gt;=MA_LONG2),AVERAGE(INDEX($C$363:$C763,402-MA_LONG2):$C763),"")</f>
        <v/>
      </c>
      <c r="L763" s="38" t="str">
        <f aca="false">IF(AND(ISNUMBER($G763),$G763&gt;=21),STDEV(INDEX($H$703:$H763,62-20):$H763)*SQRT(245),"")</f>
        <v/>
      </c>
      <c r="M763" s="37" t="str">
        <f aca="false">IF(AND(ISNUMBER($G763),$G763&gt;=60),MAX(INDEX($D$563:$D763,202-60):$D763),"")</f>
        <v/>
      </c>
      <c r="N763" s="37" t="str">
        <f aca="false">IF(AND(ISNUMBER($G763),$G763&gt;=60),MIN(INDEX($E$563:$E763,202-60):$E763),"")</f>
        <v/>
      </c>
      <c r="O763" s="38" t="str">
        <f aca="false">IF(OR(NOT(ISNUMBER($C763)),NOT(ISNUMBER($M763)),$M763=0),"",$C763/$M763-1)</f>
        <v/>
      </c>
    </row>
    <row r="764" customFormat="false" ht="15" hidden="false" customHeight="true" outlineLevel="0" collapsed="false">
      <c r="A764" s="39"/>
      <c r="B764" s="40"/>
      <c r="C764" s="41"/>
      <c r="D764" s="40"/>
      <c r="E764" s="40"/>
      <c r="F764" s="40"/>
      <c r="G764" s="35" t="str">
        <f aca="false">IF($A764="","",IF(ISNUMBER($G763),$G763+1,1))</f>
        <v/>
      </c>
      <c r="H764" s="36" t="str">
        <f aca="false">IF(OR(NOT(ISNUMBER($G764)),$G764&lt;2,NOT(ISNUMBER($C763)),$C763=0),"",$C764/$C763-1)</f>
        <v/>
      </c>
      <c r="I764" s="37" t="str">
        <f aca="false">IF(AND(ISNUMBER($G764),$G764&gt;=MA_SHORT),AVERAGE(INDEX($C$364:$C764,402-MA_SHORT):$C764),"")</f>
        <v/>
      </c>
      <c r="J764" s="37" t="str">
        <f aca="false">IF(AND(ISNUMBER($G764),$G764&gt;=MA_MED),AVERAGE(INDEX($C$364:$C764,402-MA_MED):$C764),"")</f>
        <v/>
      </c>
      <c r="K764" s="37" t="str">
        <f aca="false">IF(AND(ISNUMBER($G764),$G764&gt;=MA_LONG2),AVERAGE(INDEX($C$364:$C764,402-MA_LONG2):$C764),"")</f>
        <v/>
      </c>
      <c r="L764" s="38" t="str">
        <f aca="false">IF(AND(ISNUMBER($G764),$G764&gt;=21),STDEV(INDEX($H$704:$H764,62-20):$H764)*SQRT(245),"")</f>
        <v/>
      </c>
      <c r="M764" s="37" t="str">
        <f aca="false">IF(AND(ISNUMBER($G764),$G764&gt;=60),MAX(INDEX($D$564:$D764,202-60):$D764),"")</f>
        <v/>
      </c>
      <c r="N764" s="37" t="str">
        <f aca="false">IF(AND(ISNUMBER($G764),$G764&gt;=60),MIN(INDEX($E$564:$E764,202-60):$E764),"")</f>
        <v/>
      </c>
      <c r="O764" s="38" t="str">
        <f aca="false">IF(OR(NOT(ISNUMBER($C764)),NOT(ISNUMBER($M764)),$M764=0),"",$C764/$M764-1)</f>
        <v/>
      </c>
    </row>
    <row r="765" customFormat="false" ht="15" hidden="false" customHeight="true" outlineLevel="0" collapsed="false">
      <c r="A765" s="39"/>
      <c r="B765" s="40"/>
      <c r="C765" s="41"/>
      <c r="D765" s="40"/>
      <c r="E765" s="40"/>
      <c r="F765" s="40"/>
      <c r="G765" s="35" t="str">
        <f aca="false">IF($A765="","",IF(ISNUMBER($G764),$G764+1,1))</f>
        <v/>
      </c>
      <c r="H765" s="36" t="str">
        <f aca="false">IF(OR(NOT(ISNUMBER($G765)),$G765&lt;2,NOT(ISNUMBER($C764)),$C764=0),"",$C765/$C764-1)</f>
        <v/>
      </c>
      <c r="I765" s="37" t="str">
        <f aca="false">IF(AND(ISNUMBER($G765),$G765&gt;=MA_SHORT),AVERAGE(INDEX($C$365:$C765,402-MA_SHORT):$C765),"")</f>
        <v/>
      </c>
      <c r="J765" s="37" t="str">
        <f aca="false">IF(AND(ISNUMBER($G765),$G765&gt;=MA_MED),AVERAGE(INDEX($C$365:$C765,402-MA_MED):$C765),"")</f>
        <v/>
      </c>
      <c r="K765" s="37" t="str">
        <f aca="false">IF(AND(ISNUMBER($G765),$G765&gt;=MA_LONG2),AVERAGE(INDEX($C$365:$C765,402-MA_LONG2):$C765),"")</f>
        <v/>
      </c>
      <c r="L765" s="38" t="str">
        <f aca="false">IF(AND(ISNUMBER($G765),$G765&gt;=21),STDEV(INDEX($H$705:$H765,62-20):$H765)*SQRT(245),"")</f>
        <v/>
      </c>
      <c r="M765" s="37" t="str">
        <f aca="false">IF(AND(ISNUMBER($G765),$G765&gt;=60),MAX(INDEX($D$565:$D765,202-60):$D765),"")</f>
        <v/>
      </c>
      <c r="N765" s="37" t="str">
        <f aca="false">IF(AND(ISNUMBER($G765),$G765&gt;=60),MIN(INDEX($E$565:$E765,202-60):$E765),"")</f>
        <v/>
      </c>
      <c r="O765" s="38" t="str">
        <f aca="false">IF(OR(NOT(ISNUMBER($C765)),NOT(ISNUMBER($M765)),$M765=0),"",$C765/$M765-1)</f>
        <v/>
      </c>
    </row>
    <row r="766" customFormat="false" ht="15" hidden="false" customHeight="true" outlineLevel="0" collapsed="false">
      <c r="A766" s="39"/>
      <c r="B766" s="40"/>
      <c r="C766" s="41"/>
      <c r="D766" s="40"/>
      <c r="E766" s="40"/>
      <c r="F766" s="40"/>
      <c r="G766" s="35" t="str">
        <f aca="false">IF($A766="","",IF(ISNUMBER($G765),$G765+1,1))</f>
        <v/>
      </c>
      <c r="H766" s="36" t="str">
        <f aca="false">IF(OR(NOT(ISNUMBER($G766)),$G766&lt;2,NOT(ISNUMBER($C765)),$C765=0),"",$C766/$C765-1)</f>
        <v/>
      </c>
      <c r="I766" s="37" t="str">
        <f aca="false">IF(AND(ISNUMBER($G766),$G766&gt;=MA_SHORT),AVERAGE(INDEX($C$366:$C766,402-MA_SHORT):$C766),"")</f>
        <v/>
      </c>
      <c r="J766" s="37" t="str">
        <f aca="false">IF(AND(ISNUMBER($G766),$G766&gt;=MA_MED),AVERAGE(INDEX($C$366:$C766,402-MA_MED):$C766),"")</f>
        <v/>
      </c>
      <c r="K766" s="37" t="str">
        <f aca="false">IF(AND(ISNUMBER($G766),$G766&gt;=MA_LONG2),AVERAGE(INDEX($C$366:$C766,402-MA_LONG2):$C766),"")</f>
        <v/>
      </c>
      <c r="L766" s="38" t="str">
        <f aca="false">IF(AND(ISNUMBER($G766),$G766&gt;=21),STDEV(INDEX($H$706:$H766,62-20):$H766)*SQRT(245),"")</f>
        <v/>
      </c>
      <c r="M766" s="37" t="str">
        <f aca="false">IF(AND(ISNUMBER($G766),$G766&gt;=60),MAX(INDEX($D$566:$D766,202-60):$D766),"")</f>
        <v/>
      </c>
      <c r="N766" s="37" t="str">
        <f aca="false">IF(AND(ISNUMBER($G766),$G766&gt;=60),MIN(INDEX($E$566:$E766,202-60):$E766),"")</f>
        <v/>
      </c>
      <c r="O766" s="38" t="str">
        <f aca="false">IF(OR(NOT(ISNUMBER($C766)),NOT(ISNUMBER($M766)),$M766=0),"",$C766/$M766-1)</f>
        <v/>
      </c>
    </row>
    <row r="767" customFormat="false" ht="15" hidden="false" customHeight="true" outlineLevel="0" collapsed="false">
      <c r="A767" s="39"/>
      <c r="B767" s="40"/>
      <c r="C767" s="41"/>
      <c r="D767" s="40"/>
      <c r="E767" s="40"/>
      <c r="F767" s="40"/>
      <c r="G767" s="35" t="str">
        <f aca="false">IF($A767="","",IF(ISNUMBER($G766),$G766+1,1))</f>
        <v/>
      </c>
      <c r="H767" s="36" t="str">
        <f aca="false">IF(OR(NOT(ISNUMBER($G767)),$G767&lt;2,NOT(ISNUMBER($C766)),$C766=0),"",$C767/$C766-1)</f>
        <v/>
      </c>
      <c r="I767" s="37" t="str">
        <f aca="false">IF(AND(ISNUMBER($G767),$G767&gt;=MA_SHORT),AVERAGE(INDEX($C$367:$C767,402-MA_SHORT):$C767),"")</f>
        <v/>
      </c>
      <c r="J767" s="37" t="str">
        <f aca="false">IF(AND(ISNUMBER($G767),$G767&gt;=MA_MED),AVERAGE(INDEX($C$367:$C767,402-MA_MED):$C767),"")</f>
        <v/>
      </c>
      <c r="K767" s="37" t="str">
        <f aca="false">IF(AND(ISNUMBER($G767),$G767&gt;=MA_LONG2),AVERAGE(INDEX($C$367:$C767,402-MA_LONG2):$C767),"")</f>
        <v/>
      </c>
      <c r="L767" s="38" t="str">
        <f aca="false">IF(AND(ISNUMBER($G767),$G767&gt;=21),STDEV(INDEX($H$707:$H767,62-20):$H767)*SQRT(245),"")</f>
        <v/>
      </c>
      <c r="M767" s="37" t="str">
        <f aca="false">IF(AND(ISNUMBER($G767),$G767&gt;=60),MAX(INDEX($D$567:$D767,202-60):$D767),"")</f>
        <v/>
      </c>
      <c r="N767" s="37" t="str">
        <f aca="false">IF(AND(ISNUMBER($G767),$G767&gt;=60),MIN(INDEX($E$567:$E767,202-60):$E767),"")</f>
        <v/>
      </c>
      <c r="O767" s="38" t="str">
        <f aca="false">IF(OR(NOT(ISNUMBER($C767)),NOT(ISNUMBER($M767)),$M767=0),"",$C767/$M767-1)</f>
        <v/>
      </c>
    </row>
    <row r="768" customFormat="false" ht="15" hidden="false" customHeight="true" outlineLevel="0" collapsed="false">
      <c r="A768" s="39"/>
      <c r="B768" s="40"/>
      <c r="C768" s="41"/>
      <c r="D768" s="40"/>
      <c r="E768" s="40"/>
      <c r="F768" s="40"/>
      <c r="G768" s="35" t="str">
        <f aca="false">IF($A768="","",IF(ISNUMBER($G767),$G767+1,1))</f>
        <v/>
      </c>
      <c r="H768" s="36" t="str">
        <f aca="false">IF(OR(NOT(ISNUMBER($G768)),$G768&lt;2,NOT(ISNUMBER($C767)),$C767=0),"",$C768/$C767-1)</f>
        <v/>
      </c>
      <c r="I768" s="37" t="str">
        <f aca="false">IF(AND(ISNUMBER($G768),$G768&gt;=MA_SHORT),AVERAGE(INDEX($C$368:$C768,402-MA_SHORT):$C768),"")</f>
        <v/>
      </c>
      <c r="J768" s="37" t="str">
        <f aca="false">IF(AND(ISNUMBER($G768),$G768&gt;=MA_MED),AVERAGE(INDEX($C$368:$C768,402-MA_MED):$C768),"")</f>
        <v/>
      </c>
      <c r="K768" s="37" t="str">
        <f aca="false">IF(AND(ISNUMBER($G768),$G768&gt;=MA_LONG2),AVERAGE(INDEX($C$368:$C768,402-MA_LONG2):$C768),"")</f>
        <v/>
      </c>
      <c r="L768" s="38" t="str">
        <f aca="false">IF(AND(ISNUMBER($G768),$G768&gt;=21),STDEV(INDEX($H$708:$H768,62-20):$H768)*SQRT(245),"")</f>
        <v/>
      </c>
      <c r="M768" s="37" t="str">
        <f aca="false">IF(AND(ISNUMBER($G768),$G768&gt;=60),MAX(INDEX($D$568:$D768,202-60):$D768),"")</f>
        <v/>
      </c>
      <c r="N768" s="37" t="str">
        <f aca="false">IF(AND(ISNUMBER($G768),$G768&gt;=60),MIN(INDEX($E$568:$E768,202-60):$E768),"")</f>
        <v/>
      </c>
      <c r="O768" s="38" t="str">
        <f aca="false">IF(OR(NOT(ISNUMBER($C768)),NOT(ISNUMBER($M768)),$M768=0),"",$C768/$M768-1)</f>
        <v/>
      </c>
    </row>
    <row r="769" customFormat="false" ht="15" hidden="false" customHeight="true" outlineLevel="0" collapsed="false">
      <c r="A769" s="39"/>
      <c r="B769" s="40"/>
      <c r="C769" s="41"/>
      <c r="D769" s="40"/>
      <c r="E769" s="40"/>
      <c r="F769" s="40"/>
      <c r="G769" s="35" t="str">
        <f aca="false">IF($A769="","",IF(ISNUMBER($G768),$G768+1,1))</f>
        <v/>
      </c>
      <c r="H769" s="36" t="str">
        <f aca="false">IF(OR(NOT(ISNUMBER($G769)),$G769&lt;2,NOT(ISNUMBER($C768)),$C768=0),"",$C769/$C768-1)</f>
        <v/>
      </c>
      <c r="I769" s="37" t="str">
        <f aca="false">IF(AND(ISNUMBER($G769),$G769&gt;=MA_SHORT),AVERAGE(INDEX($C$369:$C769,402-MA_SHORT):$C769),"")</f>
        <v/>
      </c>
      <c r="J769" s="37" t="str">
        <f aca="false">IF(AND(ISNUMBER($G769),$G769&gt;=MA_MED),AVERAGE(INDEX($C$369:$C769,402-MA_MED):$C769),"")</f>
        <v/>
      </c>
      <c r="K769" s="37" t="str">
        <f aca="false">IF(AND(ISNUMBER($G769),$G769&gt;=MA_LONG2),AVERAGE(INDEX($C$369:$C769,402-MA_LONG2):$C769),"")</f>
        <v/>
      </c>
      <c r="L769" s="38" t="str">
        <f aca="false">IF(AND(ISNUMBER($G769),$G769&gt;=21),STDEV(INDEX($H$709:$H769,62-20):$H769)*SQRT(245),"")</f>
        <v/>
      </c>
      <c r="M769" s="37" t="str">
        <f aca="false">IF(AND(ISNUMBER($G769),$G769&gt;=60),MAX(INDEX($D$569:$D769,202-60):$D769),"")</f>
        <v/>
      </c>
      <c r="N769" s="37" t="str">
        <f aca="false">IF(AND(ISNUMBER($G769),$G769&gt;=60),MIN(INDEX($E$569:$E769,202-60):$E769),"")</f>
        <v/>
      </c>
      <c r="O769" s="38" t="str">
        <f aca="false">IF(OR(NOT(ISNUMBER($C769)),NOT(ISNUMBER($M769)),$M769=0),"",$C769/$M769-1)</f>
        <v/>
      </c>
    </row>
    <row r="770" customFormat="false" ht="15" hidden="false" customHeight="true" outlineLevel="0" collapsed="false">
      <c r="A770" s="39"/>
      <c r="B770" s="40"/>
      <c r="C770" s="41"/>
      <c r="D770" s="40"/>
      <c r="E770" s="40"/>
      <c r="F770" s="40"/>
      <c r="G770" s="35" t="str">
        <f aca="false">IF($A770="","",IF(ISNUMBER($G769),$G769+1,1))</f>
        <v/>
      </c>
      <c r="H770" s="36" t="str">
        <f aca="false">IF(OR(NOT(ISNUMBER($G770)),$G770&lt;2,NOT(ISNUMBER($C769)),$C769=0),"",$C770/$C769-1)</f>
        <v/>
      </c>
      <c r="I770" s="37" t="str">
        <f aca="false">IF(AND(ISNUMBER($G770),$G770&gt;=MA_SHORT),AVERAGE(INDEX($C$370:$C770,402-MA_SHORT):$C770),"")</f>
        <v/>
      </c>
      <c r="J770" s="37" t="str">
        <f aca="false">IF(AND(ISNUMBER($G770),$G770&gt;=MA_MED),AVERAGE(INDEX($C$370:$C770,402-MA_MED):$C770),"")</f>
        <v/>
      </c>
      <c r="K770" s="37" t="str">
        <f aca="false">IF(AND(ISNUMBER($G770),$G770&gt;=MA_LONG2),AVERAGE(INDEX($C$370:$C770,402-MA_LONG2):$C770),"")</f>
        <v/>
      </c>
      <c r="L770" s="38" t="str">
        <f aca="false">IF(AND(ISNUMBER($G770),$G770&gt;=21),STDEV(INDEX($H$710:$H770,62-20):$H770)*SQRT(245),"")</f>
        <v/>
      </c>
      <c r="M770" s="37" t="str">
        <f aca="false">IF(AND(ISNUMBER($G770),$G770&gt;=60),MAX(INDEX($D$570:$D770,202-60):$D770),"")</f>
        <v/>
      </c>
      <c r="N770" s="37" t="str">
        <f aca="false">IF(AND(ISNUMBER($G770),$G770&gt;=60),MIN(INDEX($E$570:$E770,202-60):$E770),"")</f>
        <v/>
      </c>
      <c r="O770" s="38" t="str">
        <f aca="false">IF(OR(NOT(ISNUMBER($C770)),NOT(ISNUMBER($M770)),$M770=0),"",$C770/$M770-1)</f>
        <v/>
      </c>
    </row>
    <row r="771" customFormat="false" ht="15" hidden="false" customHeight="true" outlineLevel="0" collapsed="false">
      <c r="A771" s="39"/>
      <c r="B771" s="40"/>
      <c r="C771" s="41"/>
      <c r="D771" s="40"/>
      <c r="E771" s="40"/>
      <c r="F771" s="40"/>
      <c r="G771" s="35" t="str">
        <f aca="false">IF($A771="","",IF(ISNUMBER($G770),$G770+1,1))</f>
        <v/>
      </c>
      <c r="H771" s="36" t="str">
        <f aca="false">IF(OR(NOT(ISNUMBER($G771)),$G771&lt;2,NOT(ISNUMBER($C770)),$C770=0),"",$C771/$C770-1)</f>
        <v/>
      </c>
      <c r="I771" s="37" t="str">
        <f aca="false">IF(AND(ISNUMBER($G771),$G771&gt;=MA_SHORT),AVERAGE(INDEX($C$371:$C771,402-MA_SHORT):$C771),"")</f>
        <v/>
      </c>
      <c r="J771" s="37" t="str">
        <f aca="false">IF(AND(ISNUMBER($G771),$G771&gt;=MA_MED),AVERAGE(INDEX($C$371:$C771,402-MA_MED):$C771),"")</f>
        <v/>
      </c>
      <c r="K771" s="37" t="str">
        <f aca="false">IF(AND(ISNUMBER($G771),$G771&gt;=MA_LONG2),AVERAGE(INDEX($C$371:$C771,402-MA_LONG2):$C771),"")</f>
        <v/>
      </c>
      <c r="L771" s="38" t="str">
        <f aca="false">IF(AND(ISNUMBER($G771),$G771&gt;=21),STDEV(INDEX($H$711:$H771,62-20):$H771)*SQRT(245),"")</f>
        <v/>
      </c>
      <c r="M771" s="37" t="str">
        <f aca="false">IF(AND(ISNUMBER($G771),$G771&gt;=60),MAX(INDEX($D$571:$D771,202-60):$D771),"")</f>
        <v/>
      </c>
      <c r="N771" s="37" t="str">
        <f aca="false">IF(AND(ISNUMBER($G771),$G771&gt;=60),MIN(INDEX($E$571:$E771,202-60):$E771),"")</f>
        <v/>
      </c>
      <c r="O771" s="38" t="str">
        <f aca="false">IF(OR(NOT(ISNUMBER($C771)),NOT(ISNUMBER($M771)),$M771=0),"",$C771/$M771-1)</f>
        <v/>
      </c>
    </row>
    <row r="772" customFormat="false" ht="15" hidden="false" customHeight="true" outlineLevel="0" collapsed="false">
      <c r="A772" s="39"/>
      <c r="B772" s="40"/>
      <c r="C772" s="41"/>
      <c r="D772" s="40"/>
      <c r="E772" s="40"/>
      <c r="F772" s="40"/>
      <c r="G772" s="35" t="str">
        <f aca="false">IF($A772="","",IF(ISNUMBER($G771),$G771+1,1))</f>
        <v/>
      </c>
      <c r="H772" s="36" t="str">
        <f aca="false">IF(OR(NOT(ISNUMBER($G772)),$G772&lt;2,NOT(ISNUMBER($C771)),$C771=0),"",$C772/$C771-1)</f>
        <v/>
      </c>
      <c r="I772" s="37" t="str">
        <f aca="false">IF(AND(ISNUMBER($G772),$G772&gt;=MA_SHORT),AVERAGE(INDEX($C$372:$C772,402-MA_SHORT):$C772),"")</f>
        <v/>
      </c>
      <c r="J772" s="37" t="str">
        <f aca="false">IF(AND(ISNUMBER($G772),$G772&gt;=MA_MED),AVERAGE(INDEX($C$372:$C772,402-MA_MED):$C772),"")</f>
        <v/>
      </c>
      <c r="K772" s="37" t="str">
        <f aca="false">IF(AND(ISNUMBER($G772),$G772&gt;=MA_LONG2),AVERAGE(INDEX($C$372:$C772,402-MA_LONG2):$C772),"")</f>
        <v/>
      </c>
      <c r="L772" s="38" t="str">
        <f aca="false">IF(AND(ISNUMBER($G772),$G772&gt;=21),STDEV(INDEX($H$712:$H772,62-20):$H772)*SQRT(245),"")</f>
        <v/>
      </c>
      <c r="M772" s="37" t="str">
        <f aca="false">IF(AND(ISNUMBER($G772),$G772&gt;=60),MAX(INDEX($D$572:$D772,202-60):$D772),"")</f>
        <v/>
      </c>
      <c r="N772" s="37" t="str">
        <f aca="false">IF(AND(ISNUMBER($G772),$G772&gt;=60),MIN(INDEX($E$572:$E772,202-60):$E772),"")</f>
        <v/>
      </c>
      <c r="O772" s="38" t="str">
        <f aca="false">IF(OR(NOT(ISNUMBER($C772)),NOT(ISNUMBER($M772)),$M772=0),"",$C772/$M772-1)</f>
        <v/>
      </c>
    </row>
    <row r="773" customFormat="false" ht="15" hidden="false" customHeight="true" outlineLevel="0" collapsed="false">
      <c r="A773" s="39"/>
      <c r="B773" s="40"/>
      <c r="C773" s="41"/>
      <c r="D773" s="40"/>
      <c r="E773" s="40"/>
      <c r="F773" s="40"/>
      <c r="G773" s="35" t="str">
        <f aca="false">IF($A773="","",IF(ISNUMBER($G772),$G772+1,1))</f>
        <v/>
      </c>
      <c r="H773" s="36" t="str">
        <f aca="false">IF(OR(NOT(ISNUMBER($G773)),$G773&lt;2,NOT(ISNUMBER($C772)),$C772=0),"",$C773/$C772-1)</f>
        <v/>
      </c>
      <c r="I773" s="37" t="str">
        <f aca="false">IF(AND(ISNUMBER($G773),$G773&gt;=MA_SHORT),AVERAGE(INDEX($C$373:$C773,402-MA_SHORT):$C773),"")</f>
        <v/>
      </c>
      <c r="J773" s="37" t="str">
        <f aca="false">IF(AND(ISNUMBER($G773),$G773&gt;=MA_MED),AVERAGE(INDEX($C$373:$C773,402-MA_MED):$C773),"")</f>
        <v/>
      </c>
      <c r="K773" s="37" t="str">
        <f aca="false">IF(AND(ISNUMBER($G773),$G773&gt;=MA_LONG2),AVERAGE(INDEX($C$373:$C773,402-MA_LONG2):$C773),"")</f>
        <v/>
      </c>
      <c r="L773" s="38" t="str">
        <f aca="false">IF(AND(ISNUMBER($G773),$G773&gt;=21),STDEV(INDEX($H$713:$H773,62-20):$H773)*SQRT(245),"")</f>
        <v/>
      </c>
      <c r="M773" s="37" t="str">
        <f aca="false">IF(AND(ISNUMBER($G773),$G773&gt;=60),MAX(INDEX($D$573:$D773,202-60):$D773),"")</f>
        <v/>
      </c>
      <c r="N773" s="37" t="str">
        <f aca="false">IF(AND(ISNUMBER($G773),$G773&gt;=60),MIN(INDEX($E$573:$E773,202-60):$E773),"")</f>
        <v/>
      </c>
      <c r="O773" s="38" t="str">
        <f aca="false">IF(OR(NOT(ISNUMBER($C773)),NOT(ISNUMBER($M773)),$M773=0),"",$C773/$M773-1)</f>
        <v/>
      </c>
    </row>
    <row r="774" customFormat="false" ht="15" hidden="false" customHeight="true" outlineLevel="0" collapsed="false">
      <c r="A774" s="39"/>
      <c r="B774" s="40"/>
      <c r="C774" s="41"/>
      <c r="D774" s="40"/>
      <c r="E774" s="40"/>
      <c r="F774" s="40"/>
      <c r="G774" s="35" t="str">
        <f aca="false">IF($A774="","",IF(ISNUMBER($G773),$G773+1,1))</f>
        <v/>
      </c>
      <c r="H774" s="36" t="str">
        <f aca="false">IF(OR(NOT(ISNUMBER($G774)),$G774&lt;2,NOT(ISNUMBER($C773)),$C773=0),"",$C774/$C773-1)</f>
        <v/>
      </c>
      <c r="I774" s="37" t="str">
        <f aca="false">IF(AND(ISNUMBER($G774),$G774&gt;=MA_SHORT),AVERAGE(INDEX($C$374:$C774,402-MA_SHORT):$C774),"")</f>
        <v/>
      </c>
      <c r="J774" s="37" t="str">
        <f aca="false">IF(AND(ISNUMBER($G774),$G774&gt;=MA_MED),AVERAGE(INDEX($C$374:$C774,402-MA_MED):$C774),"")</f>
        <v/>
      </c>
      <c r="K774" s="37" t="str">
        <f aca="false">IF(AND(ISNUMBER($G774),$G774&gt;=MA_LONG2),AVERAGE(INDEX($C$374:$C774,402-MA_LONG2):$C774),"")</f>
        <v/>
      </c>
      <c r="L774" s="38" t="str">
        <f aca="false">IF(AND(ISNUMBER($G774),$G774&gt;=21),STDEV(INDEX($H$714:$H774,62-20):$H774)*SQRT(245),"")</f>
        <v/>
      </c>
      <c r="M774" s="37" t="str">
        <f aca="false">IF(AND(ISNUMBER($G774),$G774&gt;=60),MAX(INDEX($D$574:$D774,202-60):$D774),"")</f>
        <v/>
      </c>
      <c r="N774" s="37" t="str">
        <f aca="false">IF(AND(ISNUMBER($G774),$G774&gt;=60),MIN(INDEX($E$574:$E774,202-60):$E774),"")</f>
        <v/>
      </c>
      <c r="O774" s="38" t="str">
        <f aca="false">IF(OR(NOT(ISNUMBER($C774)),NOT(ISNUMBER($M774)),$M774=0),"",$C774/$M774-1)</f>
        <v/>
      </c>
    </row>
    <row r="775" customFormat="false" ht="15" hidden="false" customHeight="true" outlineLevel="0" collapsed="false">
      <c r="A775" s="39"/>
      <c r="B775" s="40"/>
      <c r="C775" s="41"/>
      <c r="D775" s="40"/>
      <c r="E775" s="40"/>
      <c r="F775" s="40"/>
      <c r="G775" s="35" t="str">
        <f aca="false">IF($A775="","",IF(ISNUMBER($G774),$G774+1,1))</f>
        <v/>
      </c>
      <c r="H775" s="36" t="str">
        <f aca="false">IF(OR(NOT(ISNUMBER($G775)),$G775&lt;2,NOT(ISNUMBER($C774)),$C774=0),"",$C775/$C774-1)</f>
        <v/>
      </c>
      <c r="I775" s="37" t="str">
        <f aca="false">IF(AND(ISNUMBER($G775),$G775&gt;=MA_SHORT),AVERAGE(INDEX($C$375:$C775,402-MA_SHORT):$C775),"")</f>
        <v/>
      </c>
      <c r="J775" s="37" t="str">
        <f aca="false">IF(AND(ISNUMBER($G775),$G775&gt;=MA_MED),AVERAGE(INDEX($C$375:$C775,402-MA_MED):$C775),"")</f>
        <v/>
      </c>
      <c r="K775" s="37" t="str">
        <f aca="false">IF(AND(ISNUMBER($G775),$G775&gt;=MA_LONG2),AVERAGE(INDEX($C$375:$C775,402-MA_LONG2):$C775),"")</f>
        <v/>
      </c>
      <c r="L775" s="38" t="str">
        <f aca="false">IF(AND(ISNUMBER($G775),$G775&gt;=21),STDEV(INDEX($H$715:$H775,62-20):$H775)*SQRT(245),"")</f>
        <v/>
      </c>
      <c r="M775" s="37" t="str">
        <f aca="false">IF(AND(ISNUMBER($G775),$G775&gt;=60),MAX(INDEX($D$575:$D775,202-60):$D775),"")</f>
        <v/>
      </c>
      <c r="N775" s="37" t="str">
        <f aca="false">IF(AND(ISNUMBER($G775),$G775&gt;=60),MIN(INDEX($E$575:$E775,202-60):$E775),"")</f>
        <v/>
      </c>
      <c r="O775" s="38" t="str">
        <f aca="false">IF(OR(NOT(ISNUMBER($C775)),NOT(ISNUMBER($M775)),$M775=0),"",$C775/$M775-1)</f>
        <v/>
      </c>
    </row>
    <row r="776" customFormat="false" ht="15" hidden="false" customHeight="true" outlineLevel="0" collapsed="false">
      <c r="A776" s="39"/>
      <c r="B776" s="40"/>
      <c r="C776" s="41"/>
      <c r="D776" s="40"/>
      <c r="E776" s="40"/>
      <c r="F776" s="40"/>
      <c r="G776" s="35" t="str">
        <f aca="false">IF($A776="","",IF(ISNUMBER($G775),$G775+1,1))</f>
        <v/>
      </c>
      <c r="H776" s="36" t="str">
        <f aca="false">IF(OR(NOT(ISNUMBER($G776)),$G776&lt;2,NOT(ISNUMBER($C775)),$C775=0),"",$C776/$C775-1)</f>
        <v/>
      </c>
      <c r="I776" s="37" t="str">
        <f aca="false">IF(AND(ISNUMBER($G776),$G776&gt;=MA_SHORT),AVERAGE(INDEX($C$376:$C776,402-MA_SHORT):$C776),"")</f>
        <v/>
      </c>
      <c r="J776" s="37" t="str">
        <f aca="false">IF(AND(ISNUMBER($G776),$G776&gt;=MA_MED),AVERAGE(INDEX($C$376:$C776,402-MA_MED):$C776),"")</f>
        <v/>
      </c>
      <c r="K776" s="37" t="str">
        <f aca="false">IF(AND(ISNUMBER($G776),$G776&gt;=MA_LONG2),AVERAGE(INDEX($C$376:$C776,402-MA_LONG2):$C776),"")</f>
        <v/>
      </c>
      <c r="L776" s="38" t="str">
        <f aca="false">IF(AND(ISNUMBER($G776),$G776&gt;=21),STDEV(INDEX($H$716:$H776,62-20):$H776)*SQRT(245),"")</f>
        <v/>
      </c>
      <c r="M776" s="37" t="str">
        <f aca="false">IF(AND(ISNUMBER($G776),$G776&gt;=60),MAX(INDEX($D$576:$D776,202-60):$D776),"")</f>
        <v/>
      </c>
      <c r="N776" s="37" t="str">
        <f aca="false">IF(AND(ISNUMBER($G776),$G776&gt;=60),MIN(INDEX($E$576:$E776,202-60):$E776),"")</f>
        <v/>
      </c>
      <c r="O776" s="38" t="str">
        <f aca="false">IF(OR(NOT(ISNUMBER($C776)),NOT(ISNUMBER($M776)),$M776=0),"",$C776/$M776-1)</f>
        <v/>
      </c>
    </row>
    <row r="777" customFormat="false" ht="15" hidden="false" customHeight="true" outlineLevel="0" collapsed="false">
      <c r="A777" s="39"/>
      <c r="B777" s="40"/>
      <c r="C777" s="41"/>
      <c r="D777" s="40"/>
      <c r="E777" s="40"/>
      <c r="F777" s="40"/>
      <c r="G777" s="35" t="str">
        <f aca="false">IF($A777="","",IF(ISNUMBER($G776),$G776+1,1))</f>
        <v/>
      </c>
      <c r="H777" s="36" t="str">
        <f aca="false">IF(OR(NOT(ISNUMBER($G777)),$G777&lt;2,NOT(ISNUMBER($C776)),$C776=0),"",$C777/$C776-1)</f>
        <v/>
      </c>
      <c r="I777" s="37" t="str">
        <f aca="false">IF(AND(ISNUMBER($G777),$G777&gt;=MA_SHORT),AVERAGE(INDEX($C$377:$C777,402-MA_SHORT):$C777),"")</f>
        <v/>
      </c>
      <c r="J777" s="37" t="str">
        <f aca="false">IF(AND(ISNUMBER($G777),$G777&gt;=MA_MED),AVERAGE(INDEX($C$377:$C777,402-MA_MED):$C777),"")</f>
        <v/>
      </c>
      <c r="K777" s="37" t="str">
        <f aca="false">IF(AND(ISNUMBER($G777),$G777&gt;=MA_LONG2),AVERAGE(INDEX($C$377:$C777,402-MA_LONG2):$C777),"")</f>
        <v/>
      </c>
      <c r="L777" s="38" t="str">
        <f aca="false">IF(AND(ISNUMBER($G777),$G777&gt;=21),STDEV(INDEX($H$717:$H777,62-20):$H777)*SQRT(245),"")</f>
        <v/>
      </c>
      <c r="M777" s="37" t="str">
        <f aca="false">IF(AND(ISNUMBER($G777),$G777&gt;=60),MAX(INDEX($D$577:$D777,202-60):$D777),"")</f>
        <v/>
      </c>
      <c r="N777" s="37" t="str">
        <f aca="false">IF(AND(ISNUMBER($G777),$G777&gt;=60),MIN(INDEX($E$577:$E777,202-60):$E777),"")</f>
        <v/>
      </c>
      <c r="O777" s="38" t="str">
        <f aca="false">IF(OR(NOT(ISNUMBER($C777)),NOT(ISNUMBER($M777)),$M777=0),"",$C777/$M777-1)</f>
        <v/>
      </c>
    </row>
    <row r="778" customFormat="false" ht="15" hidden="false" customHeight="true" outlineLevel="0" collapsed="false">
      <c r="A778" s="39"/>
      <c r="B778" s="40"/>
      <c r="C778" s="41"/>
      <c r="D778" s="40"/>
      <c r="E778" s="40"/>
      <c r="F778" s="40"/>
      <c r="G778" s="35" t="str">
        <f aca="false">IF($A778="","",IF(ISNUMBER($G777),$G777+1,1))</f>
        <v/>
      </c>
      <c r="H778" s="36" t="str">
        <f aca="false">IF(OR(NOT(ISNUMBER($G778)),$G778&lt;2,NOT(ISNUMBER($C777)),$C777=0),"",$C778/$C777-1)</f>
        <v/>
      </c>
      <c r="I778" s="37" t="str">
        <f aca="false">IF(AND(ISNUMBER($G778),$G778&gt;=MA_SHORT),AVERAGE(INDEX($C$378:$C778,402-MA_SHORT):$C778),"")</f>
        <v/>
      </c>
      <c r="J778" s="37" t="str">
        <f aca="false">IF(AND(ISNUMBER($G778),$G778&gt;=MA_MED),AVERAGE(INDEX($C$378:$C778,402-MA_MED):$C778),"")</f>
        <v/>
      </c>
      <c r="K778" s="37" t="str">
        <f aca="false">IF(AND(ISNUMBER($G778),$G778&gt;=MA_LONG2),AVERAGE(INDEX($C$378:$C778,402-MA_LONG2):$C778),"")</f>
        <v/>
      </c>
      <c r="L778" s="38" t="str">
        <f aca="false">IF(AND(ISNUMBER($G778),$G778&gt;=21),STDEV(INDEX($H$718:$H778,62-20):$H778)*SQRT(245),"")</f>
        <v/>
      </c>
      <c r="M778" s="37" t="str">
        <f aca="false">IF(AND(ISNUMBER($G778),$G778&gt;=60),MAX(INDEX($D$578:$D778,202-60):$D778),"")</f>
        <v/>
      </c>
      <c r="N778" s="37" t="str">
        <f aca="false">IF(AND(ISNUMBER($G778),$G778&gt;=60),MIN(INDEX($E$578:$E778,202-60):$E778),"")</f>
        <v/>
      </c>
      <c r="O778" s="38" t="str">
        <f aca="false">IF(OR(NOT(ISNUMBER($C778)),NOT(ISNUMBER($M778)),$M778=0),"",$C778/$M778-1)</f>
        <v/>
      </c>
    </row>
    <row r="779" customFormat="false" ht="15" hidden="false" customHeight="true" outlineLevel="0" collapsed="false">
      <c r="A779" s="39"/>
      <c r="B779" s="40"/>
      <c r="C779" s="41"/>
      <c r="D779" s="40"/>
      <c r="E779" s="40"/>
      <c r="F779" s="40"/>
      <c r="G779" s="35" t="str">
        <f aca="false">IF($A779="","",IF(ISNUMBER($G778),$G778+1,1))</f>
        <v/>
      </c>
      <c r="H779" s="36" t="str">
        <f aca="false">IF(OR(NOT(ISNUMBER($G779)),$G779&lt;2,NOT(ISNUMBER($C778)),$C778=0),"",$C779/$C778-1)</f>
        <v/>
      </c>
      <c r="I779" s="37" t="str">
        <f aca="false">IF(AND(ISNUMBER($G779),$G779&gt;=MA_SHORT),AVERAGE(INDEX($C$379:$C779,402-MA_SHORT):$C779),"")</f>
        <v/>
      </c>
      <c r="J779" s="37" t="str">
        <f aca="false">IF(AND(ISNUMBER($G779),$G779&gt;=MA_MED),AVERAGE(INDEX($C$379:$C779,402-MA_MED):$C779),"")</f>
        <v/>
      </c>
      <c r="K779" s="37" t="str">
        <f aca="false">IF(AND(ISNUMBER($G779),$G779&gt;=MA_LONG2),AVERAGE(INDEX($C$379:$C779,402-MA_LONG2):$C779),"")</f>
        <v/>
      </c>
      <c r="L779" s="38" t="str">
        <f aca="false">IF(AND(ISNUMBER($G779),$G779&gt;=21),STDEV(INDEX($H$719:$H779,62-20):$H779)*SQRT(245),"")</f>
        <v/>
      </c>
      <c r="M779" s="37" t="str">
        <f aca="false">IF(AND(ISNUMBER($G779),$G779&gt;=60),MAX(INDEX($D$579:$D779,202-60):$D779),"")</f>
        <v/>
      </c>
      <c r="N779" s="37" t="str">
        <f aca="false">IF(AND(ISNUMBER($G779),$G779&gt;=60),MIN(INDEX($E$579:$E779,202-60):$E779),"")</f>
        <v/>
      </c>
      <c r="O779" s="38" t="str">
        <f aca="false">IF(OR(NOT(ISNUMBER($C779)),NOT(ISNUMBER($M779)),$M779=0),"",$C779/$M779-1)</f>
        <v/>
      </c>
    </row>
    <row r="780" customFormat="false" ht="15" hidden="false" customHeight="true" outlineLevel="0" collapsed="false">
      <c r="A780" s="39"/>
      <c r="B780" s="40"/>
      <c r="C780" s="41"/>
      <c r="D780" s="40"/>
      <c r="E780" s="40"/>
      <c r="F780" s="40"/>
      <c r="G780" s="35" t="str">
        <f aca="false">IF($A780="","",IF(ISNUMBER($G779),$G779+1,1))</f>
        <v/>
      </c>
      <c r="H780" s="36" t="str">
        <f aca="false">IF(OR(NOT(ISNUMBER($G780)),$G780&lt;2,NOT(ISNUMBER($C779)),$C779=0),"",$C780/$C779-1)</f>
        <v/>
      </c>
      <c r="I780" s="37" t="str">
        <f aca="false">IF(AND(ISNUMBER($G780),$G780&gt;=MA_SHORT),AVERAGE(INDEX($C$380:$C780,402-MA_SHORT):$C780),"")</f>
        <v/>
      </c>
      <c r="J780" s="37" t="str">
        <f aca="false">IF(AND(ISNUMBER($G780),$G780&gt;=MA_MED),AVERAGE(INDEX($C$380:$C780,402-MA_MED):$C780),"")</f>
        <v/>
      </c>
      <c r="K780" s="37" t="str">
        <f aca="false">IF(AND(ISNUMBER($G780),$G780&gt;=MA_LONG2),AVERAGE(INDEX($C$380:$C780,402-MA_LONG2):$C780),"")</f>
        <v/>
      </c>
      <c r="L780" s="38" t="str">
        <f aca="false">IF(AND(ISNUMBER($G780),$G780&gt;=21),STDEV(INDEX($H$720:$H780,62-20):$H780)*SQRT(245),"")</f>
        <v/>
      </c>
      <c r="M780" s="37" t="str">
        <f aca="false">IF(AND(ISNUMBER($G780),$G780&gt;=60),MAX(INDEX($D$580:$D780,202-60):$D780),"")</f>
        <v/>
      </c>
      <c r="N780" s="37" t="str">
        <f aca="false">IF(AND(ISNUMBER($G780),$G780&gt;=60),MIN(INDEX($E$580:$E780,202-60):$E780),"")</f>
        <v/>
      </c>
      <c r="O780" s="38" t="str">
        <f aca="false">IF(OR(NOT(ISNUMBER($C780)),NOT(ISNUMBER($M780)),$M780=0),"",$C780/$M780-1)</f>
        <v/>
      </c>
    </row>
    <row r="781" customFormat="false" ht="15" hidden="false" customHeight="true" outlineLevel="0" collapsed="false">
      <c r="A781" s="39"/>
      <c r="B781" s="40"/>
      <c r="C781" s="41"/>
      <c r="D781" s="40"/>
      <c r="E781" s="40"/>
      <c r="F781" s="40"/>
      <c r="G781" s="35" t="str">
        <f aca="false">IF($A781="","",IF(ISNUMBER($G780),$G780+1,1))</f>
        <v/>
      </c>
      <c r="H781" s="36" t="str">
        <f aca="false">IF(OR(NOT(ISNUMBER($G781)),$G781&lt;2,NOT(ISNUMBER($C780)),$C780=0),"",$C781/$C780-1)</f>
        <v/>
      </c>
      <c r="I781" s="37" t="str">
        <f aca="false">IF(AND(ISNUMBER($G781),$G781&gt;=MA_SHORT),AVERAGE(INDEX($C$381:$C781,402-MA_SHORT):$C781),"")</f>
        <v/>
      </c>
      <c r="J781" s="37" t="str">
        <f aca="false">IF(AND(ISNUMBER($G781),$G781&gt;=MA_MED),AVERAGE(INDEX($C$381:$C781,402-MA_MED):$C781),"")</f>
        <v/>
      </c>
      <c r="K781" s="37" t="str">
        <f aca="false">IF(AND(ISNUMBER($G781),$G781&gt;=MA_LONG2),AVERAGE(INDEX($C$381:$C781,402-MA_LONG2):$C781),"")</f>
        <v/>
      </c>
      <c r="L781" s="38" t="str">
        <f aca="false">IF(AND(ISNUMBER($G781),$G781&gt;=21),STDEV(INDEX($H$721:$H781,62-20):$H781)*SQRT(245),"")</f>
        <v/>
      </c>
      <c r="M781" s="37" t="str">
        <f aca="false">IF(AND(ISNUMBER($G781),$G781&gt;=60),MAX(INDEX($D$581:$D781,202-60):$D781),"")</f>
        <v/>
      </c>
      <c r="N781" s="37" t="str">
        <f aca="false">IF(AND(ISNUMBER($G781),$G781&gt;=60),MIN(INDEX($E$581:$E781,202-60):$E781),"")</f>
        <v/>
      </c>
      <c r="O781" s="38" t="str">
        <f aca="false">IF(OR(NOT(ISNUMBER($C781)),NOT(ISNUMBER($M781)),$M781=0),"",$C781/$M781-1)</f>
        <v/>
      </c>
    </row>
    <row r="782" customFormat="false" ht="15" hidden="false" customHeight="true" outlineLevel="0" collapsed="false">
      <c r="A782" s="39"/>
      <c r="B782" s="40"/>
      <c r="C782" s="41"/>
      <c r="D782" s="40"/>
      <c r="E782" s="40"/>
      <c r="F782" s="40"/>
      <c r="G782" s="35" t="str">
        <f aca="false">IF($A782="","",IF(ISNUMBER($G781),$G781+1,1))</f>
        <v/>
      </c>
      <c r="H782" s="36" t="str">
        <f aca="false">IF(OR(NOT(ISNUMBER($G782)),$G782&lt;2,NOT(ISNUMBER($C781)),$C781=0),"",$C782/$C781-1)</f>
        <v/>
      </c>
      <c r="I782" s="37" t="str">
        <f aca="false">IF(AND(ISNUMBER($G782),$G782&gt;=MA_SHORT),AVERAGE(INDEX($C$382:$C782,402-MA_SHORT):$C782),"")</f>
        <v/>
      </c>
      <c r="J782" s="37" t="str">
        <f aca="false">IF(AND(ISNUMBER($G782),$G782&gt;=MA_MED),AVERAGE(INDEX($C$382:$C782,402-MA_MED):$C782),"")</f>
        <v/>
      </c>
      <c r="K782" s="37" t="str">
        <f aca="false">IF(AND(ISNUMBER($G782),$G782&gt;=MA_LONG2),AVERAGE(INDEX($C$382:$C782,402-MA_LONG2):$C782),"")</f>
        <v/>
      </c>
      <c r="L782" s="38" t="str">
        <f aca="false">IF(AND(ISNUMBER($G782),$G782&gt;=21),STDEV(INDEX($H$722:$H782,62-20):$H782)*SQRT(245),"")</f>
        <v/>
      </c>
      <c r="M782" s="37" t="str">
        <f aca="false">IF(AND(ISNUMBER($G782),$G782&gt;=60),MAX(INDEX($D$582:$D782,202-60):$D782),"")</f>
        <v/>
      </c>
      <c r="N782" s="37" t="str">
        <f aca="false">IF(AND(ISNUMBER($G782),$G782&gt;=60),MIN(INDEX($E$582:$E782,202-60):$E782),"")</f>
        <v/>
      </c>
      <c r="O782" s="38" t="str">
        <f aca="false">IF(OR(NOT(ISNUMBER($C782)),NOT(ISNUMBER($M782)),$M782=0),"",$C782/$M782-1)</f>
        <v/>
      </c>
    </row>
    <row r="783" customFormat="false" ht="15" hidden="false" customHeight="true" outlineLevel="0" collapsed="false">
      <c r="A783" s="39"/>
      <c r="B783" s="40"/>
      <c r="C783" s="41"/>
      <c r="D783" s="40"/>
      <c r="E783" s="40"/>
      <c r="F783" s="40"/>
      <c r="G783" s="35" t="str">
        <f aca="false">IF($A783="","",IF(ISNUMBER($G782),$G782+1,1))</f>
        <v/>
      </c>
      <c r="H783" s="36" t="str">
        <f aca="false">IF(OR(NOT(ISNUMBER($G783)),$G783&lt;2,NOT(ISNUMBER($C782)),$C782=0),"",$C783/$C782-1)</f>
        <v/>
      </c>
      <c r="I783" s="37" t="str">
        <f aca="false">IF(AND(ISNUMBER($G783),$G783&gt;=MA_SHORT),AVERAGE(INDEX($C$383:$C783,402-MA_SHORT):$C783),"")</f>
        <v/>
      </c>
      <c r="J783" s="37" t="str">
        <f aca="false">IF(AND(ISNUMBER($G783),$G783&gt;=MA_MED),AVERAGE(INDEX($C$383:$C783,402-MA_MED):$C783),"")</f>
        <v/>
      </c>
      <c r="K783" s="37" t="str">
        <f aca="false">IF(AND(ISNUMBER($G783),$G783&gt;=MA_LONG2),AVERAGE(INDEX($C$383:$C783,402-MA_LONG2):$C783),"")</f>
        <v/>
      </c>
      <c r="L783" s="38" t="str">
        <f aca="false">IF(AND(ISNUMBER($G783),$G783&gt;=21),STDEV(INDEX($H$723:$H783,62-20):$H783)*SQRT(245),"")</f>
        <v/>
      </c>
      <c r="M783" s="37" t="str">
        <f aca="false">IF(AND(ISNUMBER($G783),$G783&gt;=60),MAX(INDEX($D$583:$D783,202-60):$D783),"")</f>
        <v/>
      </c>
      <c r="N783" s="37" t="str">
        <f aca="false">IF(AND(ISNUMBER($G783),$G783&gt;=60),MIN(INDEX($E$583:$E783,202-60):$E783),"")</f>
        <v/>
      </c>
      <c r="O783" s="38" t="str">
        <f aca="false">IF(OR(NOT(ISNUMBER($C783)),NOT(ISNUMBER($M783)),$M783=0),"",$C783/$M783-1)</f>
        <v/>
      </c>
    </row>
    <row r="784" customFormat="false" ht="15" hidden="false" customHeight="true" outlineLevel="0" collapsed="false">
      <c r="A784" s="39"/>
      <c r="B784" s="40"/>
      <c r="C784" s="41"/>
      <c r="D784" s="40"/>
      <c r="E784" s="40"/>
      <c r="F784" s="40"/>
      <c r="G784" s="35" t="str">
        <f aca="false">IF($A784="","",IF(ISNUMBER($G783),$G783+1,1))</f>
        <v/>
      </c>
      <c r="H784" s="36" t="str">
        <f aca="false">IF(OR(NOT(ISNUMBER($G784)),$G784&lt;2,NOT(ISNUMBER($C783)),$C783=0),"",$C784/$C783-1)</f>
        <v/>
      </c>
      <c r="I784" s="37" t="str">
        <f aca="false">IF(AND(ISNUMBER($G784),$G784&gt;=MA_SHORT),AVERAGE(INDEX($C$384:$C784,402-MA_SHORT):$C784),"")</f>
        <v/>
      </c>
      <c r="J784" s="37" t="str">
        <f aca="false">IF(AND(ISNUMBER($G784),$G784&gt;=MA_MED),AVERAGE(INDEX($C$384:$C784,402-MA_MED):$C784),"")</f>
        <v/>
      </c>
      <c r="K784" s="37" t="str">
        <f aca="false">IF(AND(ISNUMBER($G784),$G784&gt;=MA_LONG2),AVERAGE(INDEX($C$384:$C784,402-MA_LONG2):$C784),"")</f>
        <v/>
      </c>
      <c r="L784" s="38" t="str">
        <f aca="false">IF(AND(ISNUMBER($G784),$G784&gt;=21),STDEV(INDEX($H$724:$H784,62-20):$H784)*SQRT(245),"")</f>
        <v/>
      </c>
      <c r="M784" s="37" t="str">
        <f aca="false">IF(AND(ISNUMBER($G784),$G784&gt;=60),MAX(INDEX($D$584:$D784,202-60):$D784),"")</f>
        <v/>
      </c>
      <c r="N784" s="37" t="str">
        <f aca="false">IF(AND(ISNUMBER($G784),$G784&gt;=60),MIN(INDEX($E$584:$E784,202-60):$E784),"")</f>
        <v/>
      </c>
      <c r="O784" s="38" t="str">
        <f aca="false">IF(OR(NOT(ISNUMBER($C784)),NOT(ISNUMBER($M784)),$M784=0),"",$C784/$M784-1)</f>
        <v/>
      </c>
    </row>
    <row r="785" customFormat="false" ht="15" hidden="false" customHeight="true" outlineLevel="0" collapsed="false">
      <c r="A785" s="39"/>
      <c r="B785" s="40"/>
      <c r="C785" s="41"/>
      <c r="D785" s="40"/>
      <c r="E785" s="40"/>
      <c r="F785" s="40"/>
      <c r="G785" s="35" t="str">
        <f aca="false">IF($A785="","",IF(ISNUMBER($G784),$G784+1,1))</f>
        <v/>
      </c>
      <c r="H785" s="36" t="str">
        <f aca="false">IF(OR(NOT(ISNUMBER($G785)),$G785&lt;2,NOT(ISNUMBER($C784)),$C784=0),"",$C785/$C784-1)</f>
        <v/>
      </c>
      <c r="I785" s="37" t="str">
        <f aca="false">IF(AND(ISNUMBER($G785),$G785&gt;=MA_SHORT),AVERAGE(INDEX($C$385:$C785,402-MA_SHORT):$C785),"")</f>
        <v/>
      </c>
      <c r="J785" s="37" t="str">
        <f aca="false">IF(AND(ISNUMBER($G785),$G785&gt;=MA_MED),AVERAGE(INDEX($C$385:$C785,402-MA_MED):$C785),"")</f>
        <v/>
      </c>
      <c r="K785" s="37" t="str">
        <f aca="false">IF(AND(ISNUMBER($G785),$G785&gt;=MA_LONG2),AVERAGE(INDEX($C$385:$C785,402-MA_LONG2):$C785),"")</f>
        <v/>
      </c>
      <c r="L785" s="38" t="str">
        <f aca="false">IF(AND(ISNUMBER($G785),$G785&gt;=21),STDEV(INDEX($H$725:$H785,62-20):$H785)*SQRT(245),"")</f>
        <v/>
      </c>
      <c r="M785" s="37" t="str">
        <f aca="false">IF(AND(ISNUMBER($G785),$G785&gt;=60),MAX(INDEX($D$585:$D785,202-60):$D785),"")</f>
        <v/>
      </c>
      <c r="N785" s="37" t="str">
        <f aca="false">IF(AND(ISNUMBER($G785),$G785&gt;=60),MIN(INDEX($E$585:$E785,202-60):$E785),"")</f>
        <v/>
      </c>
      <c r="O785" s="38" t="str">
        <f aca="false">IF(OR(NOT(ISNUMBER($C785)),NOT(ISNUMBER($M785)),$M785=0),"",$C785/$M785-1)</f>
        <v/>
      </c>
    </row>
    <row r="786" customFormat="false" ht="15" hidden="false" customHeight="true" outlineLevel="0" collapsed="false">
      <c r="A786" s="39"/>
      <c r="B786" s="40"/>
      <c r="C786" s="41"/>
      <c r="D786" s="40"/>
      <c r="E786" s="40"/>
      <c r="F786" s="40"/>
      <c r="G786" s="35" t="str">
        <f aca="false">IF($A786="","",IF(ISNUMBER($G785),$G785+1,1))</f>
        <v/>
      </c>
      <c r="H786" s="36" t="str">
        <f aca="false">IF(OR(NOT(ISNUMBER($G786)),$G786&lt;2,NOT(ISNUMBER($C785)),$C785=0),"",$C786/$C785-1)</f>
        <v/>
      </c>
      <c r="I786" s="37" t="str">
        <f aca="false">IF(AND(ISNUMBER($G786),$G786&gt;=MA_SHORT),AVERAGE(INDEX($C$386:$C786,402-MA_SHORT):$C786),"")</f>
        <v/>
      </c>
      <c r="J786" s="37" t="str">
        <f aca="false">IF(AND(ISNUMBER($G786),$G786&gt;=MA_MED),AVERAGE(INDEX($C$386:$C786,402-MA_MED):$C786),"")</f>
        <v/>
      </c>
      <c r="K786" s="37" t="str">
        <f aca="false">IF(AND(ISNUMBER($G786),$G786&gt;=MA_LONG2),AVERAGE(INDEX($C$386:$C786,402-MA_LONG2):$C786),"")</f>
        <v/>
      </c>
      <c r="L786" s="38" t="str">
        <f aca="false">IF(AND(ISNUMBER($G786),$G786&gt;=21),STDEV(INDEX($H$726:$H786,62-20):$H786)*SQRT(245),"")</f>
        <v/>
      </c>
      <c r="M786" s="37" t="str">
        <f aca="false">IF(AND(ISNUMBER($G786),$G786&gt;=60),MAX(INDEX($D$586:$D786,202-60):$D786),"")</f>
        <v/>
      </c>
      <c r="N786" s="37" t="str">
        <f aca="false">IF(AND(ISNUMBER($G786),$G786&gt;=60),MIN(INDEX($E$586:$E786,202-60):$E786),"")</f>
        <v/>
      </c>
      <c r="O786" s="38" t="str">
        <f aca="false">IF(OR(NOT(ISNUMBER($C786)),NOT(ISNUMBER($M786)),$M786=0),"",$C786/$M786-1)</f>
        <v/>
      </c>
    </row>
    <row r="787" customFormat="false" ht="15" hidden="false" customHeight="true" outlineLevel="0" collapsed="false">
      <c r="A787" s="39"/>
      <c r="B787" s="40"/>
      <c r="C787" s="41"/>
      <c r="D787" s="40"/>
      <c r="E787" s="40"/>
      <c r="F787" s="40"/>
      <c r="G787" s="35" t="str">
        <f aca="false">IF($A787="","",IF(ISNUMBER($G786),$G786+1,1))</f>
        <v/>
      </c>
      <c r="H787" s="36" t="str">
        <f aca="false">IF(OR(NOT(ISNUMBER($G787)),$G787&lt;2,NOT(ISNUMBER($C786)),$C786=0),"",$C787/$C786-1)</f>
        <v/>
      </c>
      <c r="I787" s="37" t="str">
        <f aca="false">IF(AND(ISNUMBER($G787),$G787&gt;=MA_SHORT),AVERAGE(INDEX($C$387:$C787,402-MA_SHORT):$C787),"")</f>
        <v/>
      </c>
      <c r="J787" s="37" t="str">
        <f aca="false">IF(AND(ISNUMBER($G787),$G787&gt;=MA_MED),AVERAGE(INDEX($C$387:$C787,402-MA_MED):$C787),"")</f>
        <v/>
      </c>
      <c r="K787" s="37" t="str">
        <f aca="false">IF(AND(ISNUMBER($G787),$G787&gt;=MA_LONG2),AVERAGE(INDEX($C$387:$C787,402-MA_LONG2):$C787),"")</f>
        <v/>
      </c>
      <c r="L787" s="38" t="str">
        <f aca="false">IF(AND(ISNUMBER($G787),$G787&gt;=21),STDEV(INDEX($H$727:$H787,62-20):$H787)*SQRT(245),"")</f>
        <v/>
      </c>
      <c r="M787" s="37" t="str">
        <f aca="false">IF(AND(ISNUMBER($G787),$G787&gt;=60),MAX(INDEX($D$587:$D787,202-60):$D787),"")</f>
        <v/>
      </c>
      <c r="N787" s="37" t="str">
        <f aca="false">IF(AND(ISNUMBER($G787),$G787&gt;=60),MIN(INDEX($E$587:$E787,202-60):$E787),"")</f>
        <v/>
      </c>
      <c r="O787" s="38" t="str">
        <f aca="false">IF(OR(NOT(ISNUMBER($C787)),NOT(ISNUMBER($M787)),$M787=0),"",$C787/$M787-1)</f>
        <v/>
      </c>
    </row>
    <row r="788" customFormat="false" ht="15" hidden="false" customHeight="true" outlineLevel="0" collapsed="false">
      <c r="A788" s="39"/>
      <c r="B788" s="40"/>
      <c r="C788" s="41"/>
      <c r="D788" s="40"/>
      <c r="E788" s="40"/>
      <c r="F788" s="40"/>
      <c r="G788" s="35" t="str">
        <f aca="false">IF($A788="","",IF(ISNUMBER($G787),$G787+1,1))</f>
        <v/>
      </c>
      <c r="H788" s="36" t="str">
        <f aca="false">IF(OR(NOT(ISNUMBER($G788)),$G788&lt;2,NOT(ISNUMBER($C787)),$C787=0),"",$C788/$C787-1)</f>
        <v/>
      </c>
      <c r="I788" s="37" t="str">
        <f aca="false">IF(AND(ISNUMBER($G788),$G788&gt;=MA_SHORT),AVERAGE(INDEX($C$388:$C788,402-MA_SHORT):$C788),"")</f>
        <v/>
      </c>
      <c r="J788" s="37" t="str">
        <f aca="false">IF(AND(ISNUMBER($G788),$G788&gt;=MA_MED),AVERAGE(INDEX($C$388:$C788,402-MA_MED):$C788),"")</f>
        <v/>
      </c>
      <c r="K788" s="37" t="str">
        <f aca="false">IF(AND(ISNUMBER($G788),$G788&gt;=MA_LONG2),AVERAGE(INDEX($C$388:$C788,402-MA_LONG2):$C788),"")</f>
        <v/>
      </c>
      <c r="L788" s="38" t="str">
        <f aca="false">IF(AND(ISNUMBER($G788),$G788&gt;=21),STDEV(INDEX($H$728:$H788,62-20):$H788)*SQRT(245),"")</f>
        <v/>
      </c>
      <c r="M788" s="37" t="str">
        <f aca="false">IF(AND(ISNUMBER($G788),$G788&gt;=60),MAX(INDEX($D$588:$D788,202-60):$D788),"")</f>
        <v/>
      </c>
      <c r="N788" s="37" t="str">
        <f aca="false">IF(AND(ISNUMBER($G788),$G788&gt;=60),MIN(INDEX($E$588:$E788,202-60):$E788),"")</f>
        <v/>
      </c>
      <c r="O788" s="38" t="str">
        <f aca="false">IF(OR(NOT(ISNUMBER($C788)),NOT(ISNUMBER($M788)),$M788=0),"",$C788/$M788-1)</f>
        <v/>
      </c>
    </row>
    <row r="789" customFormat="false" ht="15" hidden="false" customHeight="true" outlineLevel="0" collapsed="false">
      <c r="A789" s="39"/>
      <c r="B789" s="40"/>
      <c r="C789" s="41"/>
      <c r="D789" s="40"/>
      <c r="E789" s="40"/>
      <c r="F789" s="40"/>
      <c r="G789" s="35" t="str">
        <f aca="false">IF($A789="","",IF(ISNUMBER($G788),$G788+1,1))</f>
        <v/>
      </c>
      <c r="H789" s="36" t="str">
        <f aca="false">IF(OR(NOT(ISNUMBER($G789)),$G789&lt;2,NOT(ISNUMBER($C788)),$C788=0),"",$C789/$C788-1)</f>
        <v/>
      </c>
      <c r="I789" s="37" t="str">
        <f aca="false">IF(AND(ISNUMBER($G789),$G789&gt;=MA_SHORT),AVERAGE(INDEX($C$389:$C789,402-MA_SHORT):$C789),"")</f>
        <v/>
      </c>
      <c r="J789" s="37" t="str">
        <f aca="false">IF(AND(ISNUMBER($G789),$G789&gt;=MA_MED),AVERAGE(INDEX($C$389:$C789,402-MA_MED):$C789),"")</f>
        <v/>
      </c>
      <c r="K789" s="37" t="str">
        <f aca="false">IF(AND(ISNUMBER($G789),$G789&gt;=MA_LONG2),AVERAGE(INDEX($C$389:$C789,402-MA_LONG2):$C789),"")</f>
        <v/>
      </c>
      <c r="L789" s="38" t="str">
        <f aca="false">IF(AND(ISNUMBER($G789),$G789&gt;=21),STDEV(INDEX($H$729:$H789,62-20):$H789)*SQRT(245),"")</f>
        <v/>
      </c>
      <c r="M789" s="37" t="str">
        <f aca="false">IF(AND(ISNUMBER($G789),$G789&gt;=60),MAX(INDEX($D$589:$D789,202-60):$D789),"")</f>
        <v/>
      </c>
      <c r="N789" s="37" t="str">
        <f aca="false">IF(AND(ISNUMBER($G789),$G789&gt;=60),MIN(INDEX($E$589:$E789,202-60):$E789),"")</f>
        <v/>
      </c>
      <c r="O789" s="38" t="str">
        <f aca="false">IF(OR(NOT(ISNUMBER($C789)),NOT(ISNUMBER($M789)),$M789=0),"",$C789/$M789-1)</f>
        <v/>
      </c>
    </row>
    <row r="790" customFormat="false" ht="15" hidden="false" customHeight="true" outlineLevel="0" collapsed="false">
      <c r="A790" s="39"/>
      <c r="B790" s="40"/>
      <c r="C790" s="41"/>
      <c r="D790" s="40"/>
      <c r="E790" s="40"/>
      <c r="F790" s="40"/>
      <c r="G790" s="35" t="str">
        <f aca="false">IF($A790="","",IF(ISNUMBER($G789),$G789+1,1))</f>
        <v/>
      </c>
      <c r="H790" s="36" t="str">
        <f aca="false">IF(OR(NOT(ISNUMBER($G790)),$G790&lt;2,NOT(ISNUMBER($C789)),$C789=0),"",$C790/$C789-1)</f>
        <v/>
      </c>
      <c r="I790" s="37" t="str">
        <f aca="false">IF(AND(ISNUMBER($G790),$G790&gt;=MA_SHORT),AVERAGE(INDEX($C$390:$C790,402-MA_SHORT):$C790),"")</f>
        <v/>
      </c>
      <c r="J790" s="37" t="str">
        <f aca="false">IF(AND(ISNUMBER($G790),$G790&gt;=MA_MED),AVERAGE(INDEX($C$390:$C790,402-MA_MED):$C790),"")</f>
        <v/>
      </c>
      <c r="K790" s="37" t="str">
        <f aca="false">IF(AND(ISNUMBER($G790),$G790&gt;=MA_LONG2),AVERAGE(INDEX($C$390:$C790,402-MA_LONG2):$C790),"")</f>
        <v/>
      </c>
      <c r="L790" s="38" t="str">
        <f aca="false">IF(AND(ISNUMBER($G790),$G790&gt;=21),STDEV(INDEX($H$730:$H790,62-20):$H790)*SQRT(245),"")</f>
        <v/>
      </c>
      <c r="M790" s="37" t="str">
        <f aca="false">IF(AND(ISNUMBER($G790),$G790&gt;=60),MAX(INDEX($D$590:$D790,202-60):$D790),"")</f>
        <v/>
      </c>
      <c r="N790" s="37" t="str">
        <f aca="false">IF(AND(ISNUMBER($G790),$G790&gt;=60),MIN(INDEX($E$590:$E790,202-60):$E790),"")</f>
        <v/>
      </c>
      <c r="O790" s="38" t="str">
        <f aca="false">IF(OR(NOT(ISNUMBER($C790)),NOT(ISNUMBER($M790)),$M790=0),"",$C790/$M790-1)</f>
        <v/>
      </c>
    </row>
    <row r="791" customFormat="false" ht="15" hidden="false" customHeight="true" outlineLevel="0" collapsed="false">
      <c r="A791" s="39"/>
      <c r="B791" s="40"/>
      <c r="C791" s="41"/>
      <c r="D791" s="40"/>
      <c r="E791" s="40"/>
      <c r="F791" s="40"/>
      <c r="G791" s="35" t="str">
        <f aca="false">IF($A791="","",IF(ISNUMBER($G790),$G790+1,1))</f>
        <v/>
      </c>
      <c r="H791" s="36" t="str">
        <f aca="false">IF(OR(NOT(ISNUMBER($G791)),$G791&lt;2,NOT(ISNUMBER($C790)),$C790=0),"",$C791/$C790-1)</f>
        <v/>
      </c>
      <c r="I791" s="37" t="str">
        <f aca="false">IF(AND(ISNUMBER($G791),$G791&gt;=MA_SHORT),AVERAGE(INDEX($C$391:$C791,402-MA_SHORT):$C791),"")</f>
        <v/>
      </c>
      <c r="J791" s="37" t="str">
        <f aca="false">IF(AND(ISNUMBER($G791),$G791&gt;=MA_MED),AVERAGE(INDEX($C$391:$C791,402-MA_MED):$C791),"")</f>
        <v/>
      </c>
      <c r="K791" s="37" t="str">
        <f aca="false">IF(AND(ISNUMBER($G791),$G791&gt;=MA_LONG2),AVERAGE(INDEX($C$391:$C791,402-MA_LONG2):$C791),"")</f>
        <v/>
      </c>
      <c r="L791" s="38" t="str">
        <f aca="false">IF(AND(ISNUMBER($G791),$G791&gt;=21),STDEV(INDEX($H$731:$H791,62-20):$H791)*SQRT(245),"")</f>
        <v/>
      </c>
      <c r="M791" s="37" t="str">
        <f aca="false">IF(AND(ISNUMBER($G791),$G791&gt;=60),MAX(INDEX($D$591:$D791,202-60):$D791),"")</f>
        <v/>
      </c>
      <c r="N791" s="37" t="str">
        <f aca="false">IF(AND(ISNUMBER($G791),$G791&gt;=60),MIN(INDEX($E$591:$E791,202-60):$E791),"")</f>
        <v/>
      </c>
      <c r="O791" s="38" t="str">
        <f aca="false">IF(OR(NOT(ISNUMBER($C791)),NOT(ISNUMBER($M791)),$M791=0),"",$C791/$M791-1)</f>
        <v/>
      </c>
    </row>
    <row r="792" customFormat="false" ht="15" hidden="false" customHeight="true" outlineLevel="0" collapsed="false">
      <c r="A792" s="39"/>
      <c r="B792" s="40"/>
      <c r="C792" s="41"/>
      <c r="D792" s="40"/>
      <c r="E792" s="40"/>
      <c r="F792" s="40"/>
      <c r="G792" s="35" t="str">
        <f aca="false">IF($A792="","",IF(ISNUMBER($G791),$G791+1,1))</f>
        <v/>
      </c>
      <c r="H792" s="36" t="str">
        <f aca="false">IF(OR(NOT(ISNUMBER($G792)),$G792&lt;2,NOT(ISNUMBER($C791)),$C791=0),"",$C792/$C791-1)</f>
        <v/>
      </c>
      <c r="I792" s="37" t="str">
        <f aca="false">IF(AND(ISNUMBER($G792),$G792&gt;=MA_SHORT),AVERAGE(INDEX($C$392:$C792,402-MA_SHORT):$C792),"")</f>
        <v/>
      </c>
      <c r="J792" s="37" t="str">
        <f aca="false">IF(AND(ISNUMBER($G792),$G792&gt;=MA_MED),AVERAGE(INDEX($C$392:$C792,402-MA_MED):$C792),"")</f>
        <v/>
      </c>
      <c r="K792" s="37" t="str">
        <f aca="false">IF(AND(ISNUMBER($G792),$G792&gt;=MA_LONG2),AVERAGE(INDEX($C$392:$C792,402-MA_LONG2):$C792),"")</f>
        <v/>
      </c>
      <c r="L792" s="38" t="str">
        <f aca="false">IF(AND(ISNUMBER($G792),$G792&gt;=21),STDEV(INDEX($H$732:$H792,62-20):$H792)*SQRT(245),"")</f>
        <v/>
      </c>
      <c r="M792" s="37" t="str">
        <f aca="false">IF(AND(ISNUMBER($G792),$G792&gt;=60),MAX(INDEX($D$592:$D792,202-60):$D792),"")</f>
        <v/>
      </c>
      <c r="N792" s="37" t="str">
        <f aca="false">IF(AND(ISNUMBER($G792),$G792&gt;=60),MIN(INDEX($E$592:$E792,202-60):$E792),"")</f>
        <v/>
      </c>
      <c r="O792" s="38" t="str">
        <f aca="false">IF(OR(NOT(ISNUMBER($C792)),NOT(ISNUMBER($M792)),$M792=0),"",$C792/$M792-1)</f>
        <v/>
      </c>
    </row>
    <row r="793" customFormat="false" ht="15" hidden="false" customHeight="true" outlineLevel="0" collapsed="false">
      <c r="A793" s="39"/>
      <c r="B793" s="40"/>
      <c r="C793" s="41"/>
      <c r="D793" s="40"/>
      <c r="E793" s="40"/>
      <c r="F793" s="40"/>
      <c r="G793" s="35" t="str">
        <f aca="false">IF($A793="","",IF(ISNUMBER($G792),$G792+1,1))</f>
        <v/>
      </c>
      <c r="H793" s="36" t="str">
        <f aca="false">IF(OR(NOT(ISNUMBER($G793)),$G793&lt;2,NOT(ISNUMBER($C792)),$C792=0),"",$C793/$C792-1)</f>
        <v/>
      </c>
      <c r="I793" s="37" t="str">
        <f aca="false">IF(AND(ISNUMBER($G793),$G793&gt;=MA_SHORT),AVERAGE(INDEX($C$393:$C793,402-MA_SHORT):$C793),"")</f>
        <v/>
      </c>
      <c r="J793" s="37" t="str">
        <f aca="false">IF(AND(ISNUMBER($G793),$G793&gt;=MA_MED),AVERAGE(INDEX($C$393:$C793,402-MA_MED):$C793),"")</f>
        <v/>
      </c>
      <c r="K793" s="37" t="str">
        <f aca="false">IF(AND(ISNUMBER($G793),$G793&gt;=MA_LONG2),AVERAGE(INDEX($C$393:$C793,402-MA_LONG2):$C793),"")</f>
        <v/>
      </c>
      <c r="L793" s="38" t="str">
        <f aca="false">IF(AND(ISNUMBER($G793),$G793&gt;=21),STDEV(INDEX($H$733:$H793,62-20):$H793)*SQRT(245),"")</f>
        <v/>
      </c>
      <c r="M793" s="37" t="str">
        <f aca="false">IF(AND(ISNUMBER($G793),$G793&gt;=60),MAX(INDEX($D$593:$D793,202-60):$D793),"")</f>
        <v/>
      </c>
      <c r="N793" s="37" t="str">
        <f aca="false">IF(AND(ISNUMBER($G793),$G793&gt;=60),MIN(INDEX($E$593:$E793,202-60):$E793),"")</f>
        <v/>
      </c>
      <c r="O793" s="38" t="str">
        <f aca="false">IF(OR(NOT(ISNUMBER($C793)),NOT(ISNUMBER($M793)),$M793=0),"",$C793/$M793-1)</f>
        <v/>
      </c>
    </row>
    <row r="794" customFormat="false" ht="15" hidden="false" customHeight="true" outlineLevel="0" collapsed="false">
      <c r="A794" s="39"/>
      <c r="B794" s="40"/>
      <c r="C794" s="41"/>
      <c r="D794" s="40"/>
      <c r="E794" s="40"/>
      <c r="F794" s="40"/>
      <c r="G794" s="35" t="str">
        <f aca="false">IF($A794="","",IF(ISNUMBER($G793),$G793+1,1))</f>
        <v/>
      </c>
      <c r="H794" s="36" t="str">
        <f aca="false">IF(OR(NOT(ISNUMBER($G794)),$G794&lt;2,NOT(ISNUMBER($C793)),$C793=0),"",$C794/$C793-1)</f>
        <v/>
      </c>
      <c r="I794" s="37" t="str">
        <f aca="false">IF(AND(ISNUMBER($G794),$G794&gt;=MA_SHORT),AVERAGE(INDEX($C$394:$C794,402-MA_SHORT):$C794),"")</f>
        <v/>
      </c>
      <c r="J794" s="37" t="str">
        <f aca="false">IF(AND(ISNUMBER($G794),$G794&gt;=MA_MED),AVERAGE(INDEX($C$394:$C794,402-MA_MED):$C794),"")</f>
        <v/>
      </c>
      <c r="K794" s="37" t="str">
        <f aca="false">IF(AND(ISNUMBER($G794),$G794&gt;=MA_LONG2),AVERAGE(INDEX($C$394:$C794,402-MA_LONG2):$C794),"")</f>
        <v/>
      </c>
      <c r="L794" s="38" t="str">
        <f aca="false">IF(AND(ISNUMBER($G794),$G794&gt;=21),STDEV(INDEX($H$734:$H794,62-20):$H794)*SQRT(245),"")</f>
        <v/>
      </c>
      <c r="M794" s="37" t="str">
        <f aca="false">IF(AND(ISNUMBER($G794),$G794&gt;=60),MAX(INDEX($D$594:$D794,202-60):$D794),"")</f>
        <v/>
      </c>
      <c r="N794" s="37" t="str">
        <f aca="false">IF(AND(ISNUMBER($G794),$G794&gt;=60),MIN(INDEX($E$594:$E794,202-60):$E794),"")</f>
        <v/>
      </c>
      <c r="O794" s="38" t="str">
        <f aca="false">IF(OR(NOT(ISNUMBER($C794)),NOT(ISNUMBER($M794)),$M794=0),"",$C794/$M794-1)</f>
        <v/>
      </c>
    </row>
    <row r="795" customFormat="false" ht="15" hidden="false" customHeight="true" outlineLevel="0" collapsed="false">
      <c r="A795" s="39"/>
      <c r="B795" s="40"/>
      <c r="C795" s="41"/>
      <c r="D795" s="40"/>
      <c r="E795" s="40"/>
      <c r="F795" s="40"/>
      <c r="G795" s="35" t="str">
        <f aca="false">IF($A795="","",IF(ISNUMBER($G794),$G794+1,1))</f>
        <v/>
      </c>
      <c r="H795" s="36" t="str">
        <f aca="false">IF(OR(NOT(ISNUMBER($G795)),$G795&lt;2,NOT(ISNUMBER($C794)),$C794=0),"",$C795/$C794-1)</f>
        <v/>
      </c>
      <c r="I795" s="37" t="str">
        <f aca="false">IF(AND(ISNUMBER($G795),$G795&gt;=MA_SHORT),AVERAGE(INDEX($C$395:$C795,402-MA_SHORT):$C795),"")</f>
        <v/>
      </c>
      <c r="J795" s="37" t="str">
        <f aca="false">IF(AND(ISNUMBER($G795),$G795&gt;=MA_MED),AVERAGE(INDEX($C$395:$C795,402-MA_MED):$C795),"")</f>
        <v/>
      </c>
      <c r="K795" s="37" t="str">
        <f aca="false">IF(AND(ISNUMBER($G795),$G795&gt;=MA_LONG2),AVERAGE(INDEX($C$395:$C795,402-MA_LONG2):$C795),"")</f>
        <v/>
      </c>
      <c r="L795" s="38" t="str">
        <f aca="false">IF(AND(ISNUMBER($G795),$G795&gt;=21),STDEV(INDEX($H$735:$H795,62-20):$H795)*SQRT(245),"")</f>
        <v/>
      </c>
      <c r="M795" s="37" t="str">
        <f aca="false">IF(AND(ISNUMBER($G795),$G795&gt;=60),MAX(INDEX($D$595:$D795,202-60):$D795),"")</f>
        <v/>
      </c>
      <c r="N795" s="37" t="str">
        <f aca="false">IF(AND(ISNUMBER($G795),$G795&gt;=60),MIN(INDEX($E$595:$E795,202-60):$E795),"")</f>
        <v/>
      </c>
      <c r="O795" s="38" t="str">
        <f aca="false">IF(OR(NOT(ISNUMBER($C795)),NOT(ISNUMBER($M795)),$M795=0),"",$C795/$M795-1)</f>
        <v/>
      </c>
    </row>
    <row r="796" customFormat="false" ht="15" hidden="false" customHeight="true" outlineLevel="0" collapsed="false">
      <c r="A796" s="39"/>
      <c r="B796" s="40"/>
      <c r="C796" s="41"/>
      <c r="D796" s="40"/>
      <c r="E796" s="40"/>
      <c r="F796" s="40"/>
      <c r="G796" s="35" t="str">
        <f aca="false">IF($A796="","",IF(ISNUMBER($G795),$G795+1,1))</f>
        <v/>
      </c>
      <c r="H796" s="36" t="str">
        <f aca="false">IF(OR(NOT(ISNUMBER($G796)),$G796&lt;2,NOT(ISNUMBER($C795)),$C795=0),"",$C796/$C795-1)</f>
        <v/>
      </c>
      <c r="I796" s="37" t="str">
        <f aca="false">IF(AND(ISNUMBER($G796),$G796&gt;=MA_SHORT),AVERAGE(INDEX($C$396:$C796,402-MA_SHORT):$C796),"")</f>
        <v/>
      </c>
      <c r="J796" s="37" t="str">
        <f aca="false">IF(AND(ISNUMBER($G796),$G796&gt;=MA_MED),AVERAGE(INDEX($C$396:$C796,402-MA_MED):$C796),"")</f>
        <v/>
      </c>
      <c r="K796" s="37" t="str">
        <f aca="false">IF(AND(ISNUMBER($G796),$G796&gt;=MA_LONG2),AVERAGE(INDEX($C$396:$C796,402-MA_LONG2):$C796),"")</f>
        <v/>
      </c>
      <c r="L796" s="38" t="str">
        <f aca="false">IF(AND(ISNUMBER($G796),$G796&gt;=21),STDEV(INDEX($H$736:$H796,62-20):$H796)*SQRT(245),"")</f>
        <v/>
      </c>
      <c r="M796" s="37" t="str">
        <f aca="false">IF(AND(ISNUMBER($G796),$G796&gt;=60),MAX(INDEX($D$596:$D796,202-60):$D796),"")</f>
        <v/>
      </c>
      <c r="N796" s="37" t="str">
        <f aca="false">IF(AND(ISNUMBER($G796),$G796&gt;=60),MIN(INDEX($E$596:$E796,202-60):$E796),"")</f>
        <v/>
      </c>
      <c r="O796" s="38" t="str">
        <f aca="false">IF(OR(NOT(ISNUMBER($C796)),NOT(ISNUMBER($M796)),$M796=0),"",$C796/$M796-1)</f>
        <v/>
      </c>
    </row>
    <row r="797" customFormat="false" ht="15" hidden="false" customHeight="true" outlineLevel="0" collapsed="false">
      <c r="A797" s="39"/>
      <c r="B797" s="40"/>
      <c r="C797" s="41"/>
      <c r="D797" s="40"/>
      <c r="E797" s="40"/>
      <c r="F797" s="40"/>
      <c r="G797" s="35" t="str">
        <f aca="false">IF($A797="","",IF(ISNUMBER($G796),$G796+1,1))</f>
        <v/>
      </c>
      <c r="H797" s="36" t="str">
        <f aca="false">IF(OR(NOT(ISNUMBER($G797)),$G797&lt;2,NOT(ISNUMBER($C796)),$C796=0),"",$C797/$C796-1)</f>
        <v/>
      </c>
      <c r="I797" s="37" t="str">
        <f aca="false">IF(AND(ISNUMBER($G797),$G797&gt;=MA_SHORT),AVERAGE(INDEX($C$397:$C797,402-MA_SHORT):$C797),"")</f>
        <v/>
      </c>
      <c r="J797" s="37" t="str">
        <f aca="false">IF(AND(ISNUMBER($G797),$G797&gt;=MA_MED),AVERAGE(INDEX($C$397:$C797,402-MA_MED):$C797),"")</f>
        <v/>
      </c>
      <c r="K797" s="37" t="str">
        <f aca="false">IF(AND(ISNUMBER($G797),$G797&gt;=MA_LONG2),AVERAGE(INDEX($C$397:$C797,402-MA_LONG2):$C797),"")</f>
        <v/>
      </c>
      <c r="L797" s="38" t="str">
        <f aca="false">IF(AND(ISNUMBER($G797),$G797&gt;=21),STDEV(INDEX($H$737:$H797,62-20):$H797)*SQRT(245),"")</f>
        <v/>
      </c>
      <c r="M797" s="37" t="str">
        <f aca="false">IF(AND(ISNUMBER($G797),$G797&gt;=60),MAX(INDEX($D$597:$D797,202-60):$D797),"")</f>
        <v/>
      </c>
      <c r="N797" s="37" t="str">
        <f aca="false">IF(AND(ISNUMBER($G797),$G797&gt;=60),MIN(INDEX($E$597:$E797,202-60):$E797),"")</f>
        <v/>
      </c>
      <c r="O797" s="38" t="str">
        <f aca="false">IF(OR(NOT(ISNUMBER($C797)),NOT(ISNUMBER($M797)),$M797=0),"",$C797/$M797-1)</f>
        <v/>
      </c>
    </row>
    <row r="798" customFormat="false" ht="15" hidden="false" customHeight="true" outlineLevel="0" collapsed="false">
      <c r="A798" s="39"/>
      <c r="B798" s="40"/>
      <c r="C798" s="41"/>
      <c r="D798" s="40"/>
      <c r="E798" s="40"/>
      <c r="F798" s="40"/>
      <c r="G798" s="35" t="str">
        <f aca="false">IF($A798="","",IF(ISNUMBER($G797),$G797+1,1))</f>
        <v/>
      </c>
      <c r="H798" s="36" t="str">
        <f aca="false">IF(OR(NOT(ISNUMBER($G798)),$G798&lt;2,NOT(ISNUMBER($C797)),$C797=0),"",$C798/$C797-1)</f>
        <v/>
      </c>
      <c r="I798" s="37" t="str">
        <f aca="false">IF(AND(ISNUMBER($G798),$G798&gt;=MA_SHORT),AVERAGE(INDEX($C$398:$C798,402-MA_SHORT):$C798),"")</f>
        <v/>
      </c>
      <c r="J798" s="37" t="str">
        <f aca="false">IF(AND(ISNUMBER($G798),$G798&gt;=MA_MED),AVERAGE(INDEX($C$398:$C798,402-MA_MED):$C798),"")</f>
        <v/>
      </c>
      <c r="K798" s="37" t="str">
        <f aca="false">IF(AND(ISNUMBER($G798),$G798&gt;=MA_LONG2),AVERAGE(INDEX($C$398:$C798,402-MA_LONG2):$C798),"")</f>
        <v/>
      </c>
      <c r="L798" s="38" t="str">
        <f aca="false">IF(AND(ISNUMBER($G798),$G798&gt;=21),STDEV(INDEX($H$738:$H798,62-20):$H798)*SQRT(245),"")</f>
        <v/>
      </c>
      <c r="M798" s="37" t="str">
        <f aca="false">IF(AND(ISNUMBER($G798),$G798&gt;=60),MAX(INDEX($D$598:$D798,202-60):$D798),"")</f>
        <v/>
      </c>
      <c r="N798" s="37" t="str">
        <f aca="false">IF(AND(ISNUMBER($G798),$G798&gt;=60),MIN(INDEX($E$598:$E798,202-60):$E798),"")</f>
        <v/>
      </c>
      <c r="O798" s="38" t="str">
        <f aca="false">IF(OR(NOT(ISNUMBER($C798)),NOT(ISNUMBER($M798)),$M798=0),"",$C798/$M798-1)</f>
        <v/>
      </c>
    </row>
    <row r="799" customFormat="false" ht="15" hidden="false" customHeight="true" outlineLevel="0" collapsed="false">
      <c r="A799" s="39"/>
      <c r="B799" s="40"/>
      <c r="C799" s="41"/>
      <c r="D799" s="40"/>
      <c r="E799" s="40"/>
      <c r="F799" s="40"/>
      <c r="G799" s="35" t="str">
        <f aca="false">IF($A799="","",IF(ISNUMBER($G798),$G798+1,1))</f>
        <v/>
      </c>
      <c r="H799" s="36" t="str">
        <f aca="false">IF(OR(NOT(ISNUMBER($G799)),$G799&lt;2,NOT(ISNUMBER($C798)),$C798=0),"",$C799/$C798-1)</f>
        <v/>
      </c>
      <c r="I799" s="37" t="str">
        <f aca="false">IF(AND(ISNUMBER($G799),$G799&gt;=MA_SHORT),AVERAGE(INDEX($C$399:$C799,402-MA_SHORT):$C799),"")</f>
        <v/>
      </c>
      <c r="J799" s="37" t="str">
        <f aca="false">IF(AND(ISNUMBER($G799),$G799&gt;=MA_MED),AVERAGE(INDEX($C$399:$C799,402-MA_MED):$C799),"")</f>
        <v/>
      </c>
      <c r="K799" s="37" t="str">
        <f aca="false">IF(AND(ISNUMBER($G799),$G799&gt;=MA_LONG2),AVERAGE(INDEX($C$399:$C799,402-MA_LONG2):$C799),"")</f>
        <v/>
      </c>
      <c r="L799" s="38" t="str">
        <f aca="false">IF(AND(ISNUMBER($G799),$G799&gt;=21),STDEV(INDEX($H$739:$H799,62-20):$H799)*SQRT(245),"")</f>
        <v/>
      </c>
      <c r="M799" s="37" t="str">
        <f aca="false">IF(AND(ISNUMBER($G799),$G799&gt;=60),MAX(INDEX($D$599:$D799,202-60):$D799),"")</f>
        <v/>
      </c>
      <c r="N799" s="37" t="str">
        <f aca="false">IF(AND(ISNUMBER($G799),$G799&gt;=60),MIN(INDEX($E$599:$E799,202-60):$E799),"")</f>
        <v/>
      </c>
      <c r="O799" s="38" t="str">
        <f aca="false">IF(OR(NOT(ISNUMBER($C799)),NOT(ISNUMBER($M799)),$M799=0),"",$C799/$M799-1)</f>
        <v/>
      </c>
    </row>
    <row r="800" customFormat="false" ht="15" hidden="false" customHeight="true" outlineLevel="0" collapsed="false">
      <c r="A800" s="39"/>
      <c r="B800" s="40"/>
      <c r="C800" s="41"/>
      <c r="D800" s="40"/>
      <c r="E800" s="40"/>
      <c r="F800" s="40"/>
      <c r="G800" s="35" t="str">
        <f aca="false">IF($A800="","",IF(ISNUMBER($G799),$G799+1,1))</f>
        <v/>
      </c>
      <c r="H800" s="36" t="str">
        <f aca="false">IF(OR(NOT(ISNUMBER($G800)),$G800&lt;2,NOT(ISNUMBER($C799)),$C799=0),"",$C800/$C799-1)</f>
        <v/>
      </c>
      <c r="I800" s="37" t="str">
        <f aca="false">IF(AND(ISNUMBER($G800),$G800&gt;=MA_SHORT),AVERAGE(INDEX($C$400:$C800,402-MA_SHORT):$C800),"")</f>
        <v/>
      </c>
      <c r="J800" s="37" t="str">
        <f aca="false">IF(AND(ISNUMBER($G800),$G800&gt;=MA_MED),AVERAGE(INDEX($C$400:$C800,402-MA_MED):$C800),"")</f>
        <v/>
      </c>
      <c r="K800" s="37" t="str">
        <f aca="false">IF(AND(ISNUMBER($G800),$G800&gt;=MA_LONG2),AVERAGE(INDEX($C$400:$C800,402-MA_LONG2):$C800),"")</f>
        <v/>
      </c>
      <c r="L800" s="38" t="str">
        <f aca="false">IF(AND(ISNUMBER($G800),$G800&gt;=21),STDEV(INDEX($H$740:$H800,62-20):$H800)*SQRT(245),"")</f>
        <v/>
      </c>
      <c r="M800" s="37" t="str">
        <f aca="false">IF(AND(ISNUMBER($G800),$G800&gt;=60),MAX(INDEX($D$600:$D800,202-60):$D800),"")</f>
        <v/>
      </c>
      <c r="N800" s="37" t="str">
        <f aca="false">IF(AND(ISNUMBER($G800),$G800&gt;=60),MIN(INDEX($E$600:$E800,202-60):$E800),"")</f>
        <v/>
      </c>
      <c r="O800" s="38" t="str">
        <f aca="false">IF(OR(NOT(ISNUMBER($C800)),NOT(ISNUMBER($M800)),$M800=0),"",$C800/$M800-1)</f>
        <v/>
      </c>
    </row>
    <row r="801" customFormat="false" ht="15" hidden="false" customHeight="true" outlineLevel="0" collapsed="false">
      <c r="A801" s="39"/>
      <c r="B801" s="40"/>
      <c r="C801" s="41"/>
      <c r="D801" s="40"/>
      <c r="E801" s="40"/>
      <c r="F801" s="40"/>
      <c r="G801" s="35" t="str">
        <f aca="false">IF($A801="","",IF(ISNUMBER($G800),$G800+1,1))</f>
        <v/>
      </c>
      <c r="H801" s="36" t="str">
        <f aca="false">IF(OR(NOT(ISNUMBER($G801)),$G801&lt;2,NOT(ISNUMBER($C800)),$C800=0),"",$C801/$C800-1)</f>
        <v/>
      </c>
      <c r="I801" s="37" t="str">
        <f aca="false">IF(AND(ISNUMBER($G801),$G801&gt;=MA_SHORT),AVERAGE(INDEX($C$401:$C801,402-MA_SHORT):$C801),"")</f>
        <v/>
      </c>
      <c r="J801" s="37" t="str">
        <f aca="false">IF(AND(ISNUMBER($G801),$G801&gt;=MA_MED),AVERAGE(INDEX($C$401:$C801,402-MA_MED):$C801),"")</f>
        <v/>
      </c>
      <c r="K801" s="37" t="str">
        <f aca="false">IF(AND(ISNUMBER($G801),$G801&gt;=MA_LONG2),AVERAGE(INDEX($C$401:$C801,402-MA_LONG2):$C801),"")</f>
        <v/>
      </c>
      <c r="L801" s="38" t="str">
        <f aca="false">IF(AND(ISNUMBER($G801),$G801&gt;=21),STDEV(INDEX($H$741:$H801,62-20):$H801)*SQRT(245),"")</f>
        <v/>
      </c>
      <c r="M801" s="37" t="str">
        <f aca="false">IF(AND(ISNUMBER($G801),$G801&gt;=60),MAX(INDEX($D$601:$D801,202-60):$D801),"")</f>
        <v/>
      </c>
      <c r="N801" s="37" t="str">
        <f aca="false">IF(AND(ISNUMBER($G801),$G801&gt;=60),MIN(INDEX($E$601:$E801,202-60):$E801),"")</f>
        <v/>
      </c>
      <c r="O801" s="38" t="str">
        <f aca="false">IF(OR(NOT(ISNUMBER($C801)),NOT(ISNUMBER($M801)),$M801=0),"",$C801/$M801-1)</f>
        <v/>
      </c>
    </row>
    <row r="802" customFormat="false" ht="15" hidden="false" customHeight="true" outlineLevel="0" collapsed="false">
      <c r="A802" s="39"/>
      <c r="B802" s="40"/>
      <c r="C802" s="41"/>
      <c r="D802" s="40"/>
      <c r="E802" s="40"/>
      <c r="F802" s="40"/>
      <c r="G802" s="35" t="str">
        <f aca="false">IF($A802="","",IF(ISNUMBER($G801),$G801+1,1))</f>
        <v/>
      </c>
      <c r="H802" s="36" t="str">
        <f aca="false">IF(OR(NOT(ISNUMBER($G802)),$G802&lt;2,NOT(ISNUMBER($C801)),$C801=0),"",$C802/$C801-1)</f>
        <v/>
      </c>
      <c r="I802" s="37" t="str">
        <f aca="false">IF(AND(ISNUMBER($G802),$G802&gt;=MA_SHORT),AVERAGE(INDEX($C$402:$C802,402-MA_SHORT):$C802),"")</f>
        <v/>
      </c>
      <c r="J802" s="37" t="str">
        <f aca="false">IF(AND(ISNUMBER($G802),$G802&gt;=MA_MED),AVERAGE(INDEX($C$402:$C802,402-MA_MED):$C802),"")</f>
        <v/>
      </c>
      <c r="K802" s="37" t="str">
        <f aca="false">IF(AND(ISNUMBER($G802),$G802&gt;=MA_LONG2),AVERAGE(INDEX($C$402:$C802,402-MA_LONG2):$C802),"")</f>
        <v/>
      </c>
      <c r="L802" s="38" t="str">
        <f aca="false">IF(AND(ISNUMBER($G802),$G802&gt;=21),STDEV(INDEX($H$742:$H802,62-20):$H802)*SQRT(245),"")</f>
        <v/>
      </c>
      <c r="M802" s="37" t="str">
        <f aca="false">IF(AND(ISNUMBER($G802),$G802&gt;=60),MAX(INDEX($D$602:$D802,202-60):$D802),"")</f>
        <v/>
      </c>
      <c r="N802" s="37" t="str">
        <f aca="false">IF(AND(ISNUMBER($G802),$G802&gt;=60),MIN(INDEX($E$602:$E802,202-60):$E802),"")</f>
        <v/>
      </c>
      <c r="O802" s="38" t="str">
        <f aca="false">IF(OR(NOT(ISNUMBER($C802)),NOT(ISNUMBER($M802)),$M802=0),"",$C802/$M802-1)</f>
        <v/>
      </c>
    </row>
    <row r="803" customFormat="false" ht="15" hidden="false" customHeight="true" outlineLevel="0" collapsed="false">
      <c r="A803" s="39"/>
      <c r="B803" s="40"/>
      <c r="C803" s="41"/>
      <c r="D803" s="40"/>
      <c r="E803" s="40"/>
      <c r="F803" s="40"/>
      <c r="G803" s="35" t="str">
        <f aca="false">IF($A803="","",IF(ISNUMBER($G802),$G802+1,1))</f>
        <v/>
      </c>
      <c r="H803" s="36" t="str">
        <f aca="false">IF(OR(NOT(ISNUMBER($G803)),$G803&lt;2,NOT(ISNUMBER($C802)),$C802=0),"",$C803/$C802-1)</f>
        <v/>
      </c>
      <c r="I803" s="37" t="str">
        <f aca="false">IF(AND(ISNUMBER($G803),$G803&gt;=MA_SHORT),AVERAGE(INDEX($C$403:$C803,402-MA_SHORT):$C803),"")</f>
        <v/>
      </c>
      <c r="J803" s="37" t="str">
        <f aca="false">IF(AND(ISNUMBER($G803),$G803&gt;=MA_MED),AVERAGE(INDEX($C$403:$C803,402-MA_MED):$C803),"")</f>
        <v/>
      </c>
      <c r="K803" s="37" t="str">
        <f aca="false">IF(AND(ISNUMBER($G803),$G803&gt;=MA_LONG2),AVERAGE(INDEX($C$403:$C803,402-MA_LONG2):$C803),"")</f>
        <v/>
      </c>
      <c r="L803" s="38" t="str">
        <f aca="false">IF(AND(ISNUMBER($G803),$G803&gt;=21),STDEV(INDEX($H$743:$H803,62-20):$H803)*SQRT(245),"")</f>
        <v/>
      </c>
      <c r="M803" s="37" t="str">
        <f aca="false">IF(AND(ISNUMBER($G803),$G803&gt;=60),MAX(INDEX($D$603:$D803,202-60):$D803),"")</f>
        <v/>
      </c>
      <c r="N803" s="37" t="str">
        <f aca="false">IF(AND(ISNUMBER($G803),$G803&gt;=60),MIN(INDEX($E$603:$E803,202-60):$E803),"")</f>
        <v/>
      </c>
      <c r="O803" s="38" t="str">
        <f aca="false">IF(OR(NOT(ISNUMBER($C803)),NOT(ISNUMBER($M803)),$M803=0),"",$C803/$M803-1)</f>
        <v/>
      </c>
    </row>
    <row r="804" customFormat="false" ht="15" hidden="false" customHeight="true" outlineLevel="0" collapsed="false">
      <c r="A804" s="39"/>
      <c r="B804" s="40"/>
      <c r="C804" s="41"/>
      <c r="D804" s="40"/>
      <c r="E804" s="40"/>
      <c r="F804" s="40"/>
      <c r="G804" s="35" t="str">
        <f aca="false">IF($A804="","",IF(ISNUMBER($G803),$G803+1,1))</f>
        <v/>
      </c>
      <c r="H804" s="36" t="str">
        <f aca="false">IF(OR(NOT(ISNUMBER($G804)),$G804&lt;2,NOT(ISNUMBER($C803)),$C803=0),"",$C804/$C803-1)</f>
        <v/>
      </c>
      <c r="I804" s="37" t="str">
        <f aca="false">IF(AND(ISNUMBER($G804),$G804&gt;=MA_SHORT),AVERAGE(INDEX($C$404:$C804,402-MA_SHORT):$C804),"")</f>
        <v/>
      </c>
      <c r="J804" s="37" t="str">
        <f aca="false">IF(AND(ISNUMBER($G804),$G804&gt;=MA_MED),AVERAGE(INDEX($C$404:$C804,402-MA_MED):$C804),"")</f>
        <v/>
      </c>
      <c r="K804" s="37" t="str">
        <f aca="false">IF(AND(ISNUMBER($G804),$G804&gt;=MA_LONG2),AVERAGE(INDEX($C$404:$C804,402-MA_LONG2):$C804),"")</f>
        <v/>
      </c>
      <c r="L804" s="38" t="str">
        <f aca="false">IF(AND(ISNUMBER($G804),$G804&gt;=21),STDEV(INDEX($H$744:$H804,62-20):$H804)*SQRT(245),"")</f>
        <v/>
      </c>
      <c r="M804" s="37" t="str">
        <f aca="false">IF(AND(ISNUMBER($G804),$G804&gt;=60),MAX(INDEX($D$604:$D804,202-60):$D804),"")</f>
        <v/>
      </c>
      <c r="N804" s="37" t="str">
        <f aca="false">IF(AND(ISNUMBER($G804),$G804&gt;=60),MIN(INDEX($E$604:$E804,202-60):$E804),"")</f>
        <v/>
      </c>
      <c r="O804" s="38" t="str">
        <f aca="false">IF(OR(NOT(ISNUMBER($C804)),NOT(ISNUMBER($M804)),$M804=0),"",$C804/$M804-1)</f>
        <v/>
      </c>
    </row>
    <row r="805" customFormat="false" ht="15" hidden="false" customHeight="true" outlineLevel="0" collapsed="false">
      <c r="A805" s="39"/>
      <c r="B805" s="40"/>
      <c r="C805" s="41"/>
      <c r="D805" s="40"/>
      <c r="E805" s="40"/>
      <c r="F805" s="40"/>
      <c r="G805" s="35" t="str">
        <f aca="false">IF($A805="","",IF(ISNUMBER($G804),$G804+1,1))</f>
        <v/>
      </c>
      <c r="H805" s="36" t="str">
        <f aca="false">IF(OR(NOT(ISNUMBER($G805)),$G805&lt;2,NOT(ISNUMBER($C804)),$C804=0),"",$C805/$C804-1)</f>
        <v/>
      </c>
      <c r="I805" s="37" t="str">
        <f aca="false">IF(AND(ISNUMBER($G805),$G805&gt;=MA_SHORT),AVERAGE(INDEX($C$405:$C805,402-MA_SHORT):$C805),"")</f>
        <v/>
      </c>
      <c r="J805" s="37" t="str">
        <f aca="false">IF(AND(ISNUMBER($G805),$G805&gt;=MA_MED),AVERAGE(INDEX($C$405:$C805,402-MA_MED):$C805),"")</f>
        <v/>
      </c>
      <c r="K805" s="37" t="str">
        <f aca="false">IF(AND(ISNUMBER($G805),$G805&gt;=MA_LONG2),AVERAGE(INDEX($C$405:$C805,402-MA_LONG2):$C805),"")</f>
        <v/>
      </c>
      <c r="L805" s="38" t="str">
        <f aca="false">IF(AND(ISNUMBER($G805),$G805&gt;=21),STDEV(INDEX($H$745:$H805,62-20):$H805)*SQRT(245),"")</f>
        <v/>
      </c>
      <c r="M805" s="37" t="str">
        <f aca="false">IF(AND(ISNUMBER($G805),$G805&gt;=60),MAX(INDEX($D$605:$D805,202-60):$D805),"")</f>
        <v/>
      </c>
      <c r="N805" s="37" t="str">
        <f aca="false">IF(AND(ISNUMBER($G805),$G805&gt;=60),MIN(INDEX($E$605:$E805,202-60):$E805),"")</f>
        <v/>
      </c>
      <c r="O805" s="38" t="str">
        <f aca="false">IF(OR(NOT(ISNUMBER($C805)),NOT(ISNUMBER($M805)),$M805=0),"",$C805/$M805-1)</f>
        <v/>
      </c>
    </row>
    <row r="806" customFormat="false" ht="15" hidden="false" customHeight="true" outlineLevel="0" collapsed="false">
      <c r="A806" s="39"/>
      <c r="B806" s="40"/>
      <c r="C806" s="41"/>
      <c r="D806" s="40"/>
      <c r="E806" s="40"/>
      <c r="F806" s="40"/>
      <c r="G806" s="35" t="str">
        <f aca="false">IF($A806="","",IF(ISNUMBER($G805),$G805+1,1))</f>
        <v/>
      </c>
      <c r="H806" s="36" t="str">
        <f aca="false">IF(OR(NOT(ISNUMBER($G806)),$G806&lt;2,NOT(ISNUMBER($C805)),$C805=0),"",$C806/$C805-1)</f>
        <v/>
      </c>
      <c r="I806" s="37" t="str">
        <f aca="false">IF(AND(ISNUMBER($G806),$G806&gt;=MA_SHORT),AVERAGE(INDEX($C$406:$C806,402-MA_SHORT):$C806),"")</f>
        <v/>
      </c>
      <c r="J806" s="37" t="str">
        <f aca="false">IF(AND(ISNUMBER($G806),$G806&gt;=MA_MED),AVERAGE(INDEX($C$406:$C806,402-MA_MED):$C806),"")</f>
        <v/>
      </c>
      <c r="K806" s="37" t="str">
        <f aca="false">IF(AND(ISNUMBER($G806),$G806&gt;=MA_LONG2),AVERAGE(INDEX($C$406:$C806,402-MA_LONG2):$C806),"")</f>
        <v/>
      </c>
      <c r="L806" s="38" t="str">
        <f aca="false">IF(AND(ISNUMBER($G806),$G806&gt;=21),STDEV(INDEX($H$746:$H806,62-20):$H806)*SQRT(245),"")</f>
        <v/>
      </c>
      <c r="M806" s="37" t="str">
        <f aca="false">IF(AND(ISNUMBER($G806),$G806&gt;=60),MAX(INDEX($D$606:$D806,202-60):$D806),"")</f>
        <v/>
      </c>
      <c r="N806" s="37" t="str">
        <f aca="false">IF(AND(ISNUMBER($G806),$G806&gt;=60),MIN(INDEX($E$606:$E806,202-60):$E806),"")</f>
        <v/>
      </c>
      <c r="O806" s="38" t="str">
        <f aca="false">IF(OR(NOT(ISNUMBER($C806)),NOT(ISNUMBER($M806)),$M806=0),"",$C806/$M806-1)</f>
        <v/>
      </c>
    </row>
    <row r="807" customFormat="false" ht="15" hidden="false" customHeight="true" outlineLevel="0" collapsed="false">
      <c r="A807" s="39"/>
      <c r="B807" s="40"/>
      <c r="C807" s="41"/>
      <c r="D807" s="40"/>
      <c r="E807" s="40"/>
      <c r="F807" s="40"/>
      <c r="G807" s="35" t="str">
        <f aca="false">IF($A807="","",IF(ISNUMBER($G806),$G806+1,1))</f>
        <v/>
      </c>
      <c r="H807" s="36" t="str">
        <f aca="false">IF(OR(NOT(ISNUMBER($G807)),$G807&lt;2,NOT(ISNUMBER($C806)),$C806=0),"",$C807/$C806-1)</f>
        <v/>
      </c>
      <c r="I807" s="37" t="str">
        <f aca="false">IF(AND(ISNUMBER($G807),$G807&gt;=MA_SHORT),AVERAGE(INDEX($C$407:$C807,402-MA_SHORT):$C807),"")</f>
        <v/>
      </c>
      <c r="J807" s="37" t="str">
        <f aca="false">IF(AND(ISNUMBER($G807),$G807&gt;=MA_MED),AVERAGE(INDEX($C$407:$C807,402-MA_MED):$C807),"")</f>
        <v/>
      </c>
      <c r="K807" s="37" t="str">
        <f aca="false">IF(AND(ISNUMBER($G807),$G807&gt;=MA_LONG2),AVERAGE(INDEX($C$407:$C807,402-MA_LONG2):$C807),"")</f>
        <v/>
      </c>
      <c r="L807" s="38" t="str">
        <f aca="false">IF(AND(ISNUMBER($G807),$G807&gt;=21),STDEV(INDEX($H$747:$H807,62-20):$H807)*SQRT(245),"")</f>
        <v/>
      </c>
      <c r="M807" s="37" t="str">
        <f aca="false">IF(AND(ISNUMBER($G807),$G807&gt;=60),MAX(INDEX($D$607:$D807,202-60):$D807),"")</f>
        <v/>
      </c>
      <c r="N807" s="37" t="str">
        <f aca="false">IF(AND(ISNUMBER($G807),$G807&gt;=60),MIN(INDEX($E$607:$E807,202-60):$E807),"")</f>
        <v/>
      </c>
      <c r="O807" s="38" t="str">
        <f aca="false">IF(OR(NOT(ISNUMBER($C807)),NOT(ISNUMBER($M807)),$M807=0),"",$C807/$M807-1)</f>
        <v/>
      </c>
    </row>
    <row r="808" customFormat="false" ht="15" hidden="false" customHeight="true" outlineLevel="0" collapsed="false">
      <c r="A808" s="39"/>
      <c r="B808" s="40"/>
      <c r="C808" s="41"/>
      <c r="D808" s="40"/>
      <c r="E808" s="40"/>
      <c r="F808" s="40"/>
      <c r="G808" s="35" t="str">
        <f aca="false">IF($A808="","",IF(ISNUMBER($G807),$G807+1,1))</f>
        <v/>
      </c>
      <c r="H808" s="36" t="str">
        <f aca="false">IF(OR(NOT(ISNUMBER($G808)),$G808&lt;2,NOT(ISNUMBER($C807)),$C807=0),"",$C808/$C807-1)</f>
        <v/>
      </c>
      <c r="I808" s="37" t="str">
        <f aca="false">IF(AND(ISNUMBER($G808),$G808&gt;=MA_SHORT),AVERAGE(INDEX($C$408:$C808,402-MA_SHORT):$C808),"")</f>
        <v/>
      </c>
      <c r="J808" s="37" t="str">
        <f aca="false">IF(AND(ISNUMBER($G808),$G808&gt;=MA_MED),AVERAGE(INDEX($C$408:$C808,402-MA_MED):$C808),"")</f>
        <v/>
      </c>
      <c r="K808" s="37" t="str">
        <f aca="false">IF(AND(ISNUMBER($G808),$G808&gt;=MA_LONG2),AVERAGE(INDEX($C$408:$C808,402-MA_LONG2):$C808),"")</f>
        <v/>
      </c>
      <c r="L808" s="38" t="str">
        <f aca="false">IF(AND(ISNUMBER($G808),$G808&gt;=21),STDEV(INDEX($H$748:$H808,62-20):$H808)*SQRT(245),"")</f>
        <v/>
      </c>
      <c r="M808" s="37" t="str">
        <f aca="false">IF(AND(ISNUMBER($G808),$G808&gt;=60),MAX(INDEX($D$608:$D808,202-60):$D808),"")</f>
        <v/>
      </c>
      <c r="N808" s="37" t="str">
        <f aca="false">IF(AND(ISNUMBER($G808),$G808&gt;=60),MIN(INDEX($E$608:$E808,202-60):$E808),"")</f>
        <v/>
      </c>
      <c r="O808" s="38" t="str">
        <f aca="false">IF(OR(NOT(ISNUMBER($C808)),NOT(ISNUMBER($M808)),$M808=0),"",$C808/$M808-1)</f>
        <v/>
      </c>
    </row>
    <row r="809" customFormat="false" ht="15" hidden="false" customHeight="true" outlineLevel="0" collapsed="false">
      <c r="A809" s="39"/>
      <c r="B809" s="40"/>
      <c r="C809" s="41"/>
      <c r="D809" s="40"/>
      <c r="E809" s="40"/>
      <c r="F809" s="40"/>
      <c r="G809" s="35" t="str">
        <f aca="false">IF($A809="","",IF(ISNUMBER($G808),$G808+1,1))</f>
        <v/>
      </c>
      <c r="H809" s="36" t="str">
        <f aca="false">IF(OR(NOT(ISNUMBER($G809)),$G809&lt;2,NOT(ISNUMBER($C808)),$C808=0),"",$C809/$C808-1)</f>
        <v/>
      </c>
      <c r="I809" s="37" t="str">
        <f aca="false">IF(AND(ISNUMBER($G809),$G809&gt;=MA_SHORT),AVERAGE(INDEX($C$409:$C809,402-MA_SHORT):$C809),"")</f>
        <v/>
      </c>
      <c r="J809" s="37" t="str">
        <f aca="false">IF(AND(ISNUMBER($G809),$G809&gt;=MA_MED),AVERAGE(INDEX($C$409:$C809,402-MA_MED):$C809),"")</f>
        <v/>
      </c>
      <c r="K809" s="37" t="str">
        <f aca="false">IF(AND(ISNUMBER($G809),$G809&gt;=MA_LONG2),AVERAGE(INDEX($C$409:$C809,402-MA_LONG2):$C809),"")</f>
        <v/>
      </c>
      <c r="L809" s="38" t="str">
        <f aca="false">IF(AND(ISNUMBER($G809),$G809&gt;=21),STDEV(INDEX($H$749:$H809,62-20):$H809)*SQRT(245),"")</f>
        <v/>
      </c>
      <c r="M809" s="37" t="str">
        <f aca="false">IF(AND(ISNUMBER($G809),$G809&gt;=60),MAX(INDEX($D$609:$D809,202-60):$D809),"")</f>
        <v/>
      </c>
      <c r="N809" s="37" t="str">
        <f aca="false">IF(AND(ISNUMBER($G809),$G809&gt;=60),MIN(INDEX($E$609:$E809,202-60):$E809),"")</f>
        <v/>
      </c>
      <c r="O809" s="38" t="str">
        <f aca="false">IF(OR(NOT(ISNUMBER($C809)),NOT(ISNUMBER($M809)),$M809=0),"",$C809/$M809-1)</f>
        <v/>
      </c>
    </row>
    <row r="810" customFormat="false" ht="15" hidden="false" customHeight="true" outlineLevel="0" collapsed="false">
      <c r="A810" s="39"/>
      <c r="B810" s="40"/>
      <c r="C810" s="41"/>
      <c r="D810" s="40"/>
      <c r="E810" s="40"/>
      <c r="F810" s="40"/>
      <c r="G810" s="35" t="str">
        <f aca="false">IF($A810="","",IF(ISNUMBER($G809),$G809+1,1))</f>
        <v/>
      </c>
      <c r="H810" s="36" t="str">
        <f aca="false">IF(OR(NOT(ISNUMBER($G810)),$G810&lt;2,NOT(ISNUMBER($C809)),$C809=0),"",$C810/$C809-1)</f>
        <v/>
      </c>
      <c r="I810" s="37" t="str">
        <f aca="false">IF(AND(ISNUMBER($G810),$G810&gt;=MA_SHORT),AVERAGE(INDEX($C$410:$C810,402-MA_SHORT):$C810),"")</f>
        <v/>
      </c>
      <c r="J810" s="37" t="str">
        <f aca="false">IF(AND(ISNUMBER($G810),$G810&gt;=MA_MED),AVERAGE(INDEX($C$410:$C810,402-MA_MED):$C810),"")</f>
        <v/>
      </c>
      <c r="K810" s="37" t="str">
        <f aca="false">IF(AND(ISNUMBER($G810),$G810&gt;=MA_LONG2),AVERAGE(INDEX($C$410:$C810,402-MA_LONG2):$C810),"")</f>
        <v/>
      </c>
      <c r="L810" s="38" t="str">
        <f aca="false">IF(AND(ISNUMBER($G810),$G810&gt;=21),STDEV(INDEX($H$750:$H810,62-20):$H810)*SQRT(245),"")</f>
        <v/>
      </c>
      <c r="M810" s="37" t="str">
        <f aca="false">IF(AND(ISNUMBER($G810),$G810&gt;=60),MAX(INDEX($D$610:$D810,202-60):$D810),"")</f>
        <v/>
      </c>
      <c r="N810" s="37" t="str">
        <f aca="false">IF(AND(ISNUMBER($G810),$G810&gt;=60),MIN(INDEX($E$610:$E810,202-60):$E810),"")</f>
        <v/>
      </c>
      <c r="O810" s="38" t="str">
        <f aca="false">IF(OR(NOT(ISNUMBER($C810)),NOT(ISNUMBER($M810)),$M810=0),"",$C810/$M810-1)</f>
        <v/>
      </c>
    </row>
    <row r="811" customFormat="false" ht="15" hidden="false" customHeight="true" outlineLevel="0" collapsed="false">
      <c r="A811" s="39"/>
      <c r="B811" s="40"/>
      <c r="C811" s="41"/>
      <c r="D811" s="40"/>
      <c r="E811" s="40"/>
      <c r="F811" s="40"/>
      <c r="G811" s="35" t="str">
        <f aca="false">IF($A811="","",IF(ISNUMBER($G810),$G810+1,1))</f>
        <v/>
      </c>
      <c r="H811" s="36" t="str">
        <f aca="false">IF(OR(NOT(ISNUMBER($G811)),$G811&lt;2,NOT(ISNUMBER($C810)),$C810=0),"",$C811/$C810-1)</f>
        <v/>
      </c>
      <c r="I811" s="37" t="str">
        <f aca="false">IF(AND(ISNUMBER($G811),$G811&gt;=MA_SHORT),AVERAGE(INDEX($C$411:$C811,402-MA_SHORT):$C811),"")</f>
        <v/>
      </c>
      <c r="J811" s="37" t="str">
        <f aca="false">IF(AND(ISNUMBER($G811),$G811&gt;=MA_MED),AVERAGE(INDEX($C$411:$C811,402-MA_MED):$C811),"")</f>
        <v/>
      </c>
      <c r="K811" s="37" t="str">
        <f aca="false">IF(AND(ISNUMBER($G811),$G811&gt;=MA_LONG2),AVERAGE(INDEX($C$411:$C811,402-MA_LONG2):$C811),"")</f>
        <v/>
      </c>
      <c r="L811" s="38" t="str">
        <f aca="false">IF(AND(ISNUMBER($G811),$G811&gt;=21),STDEV(INDEX($H$751:$H811,62-20):$H811)*SQRT(245),"")</f>
        <v/>
      </c>
      <c r="M811" s="37" t="str">
        <f aca="false">IF(AND(ISNUMBER($G811),$G811&gt;=60),MAX(INDEX($D$611:$D811,202-60):$D811),"")</f>
        <v/>
      </c>
      <c r="N811" s="37" t="str">
        <f aca="false">IF(AND(ISNUMBER($G811),$G811&gt;=60),MIN(INDEX($E$611:$E811,202-60):$E811),"")</f>
        <v/>
      </c>
      <c r="O811" s="38" t="str">
        <f aca="false">IF(OR(NOT(ISNUMBER($C811)),NOT(ISNUMBER($M811)),$M811=0),"",$C811/$M811-1)</f>
        <v/>
      </c>
    </row>
    <row r="812" customFormat="false" ht="15" hidden="false" customHeight="true" outlineLevel="0" collapsed="false">
      <c r="A812" s="39"/>
      <c r="B812" s="40"/>
      <c r="C812" s="41"/>
      <c r="D812" s="40"/>
      <c r="E812" s="40"/>
      <c r="F812" s="40"/>
      <c r="G812" s="35" t="str">
        <f aca="false">IF($A812="","",IF(ISNUMBER($G811),$G811+1,1))</f>
        <v/>
      </c>
      <c r="H812" s="36" t="str">
        <f aca="false">IF(OR(NOT(ISNUMBER($G812)),$G812&lt;2,NOT(ISNUMBER($C811)),$C811=0),"",$C812/$C811-1)</f>
        <v/>
      </c>
      <c r="I812" s="37" t="str">
        <f aca="false">IF(AND(ISNUMBER($G812),$G812&gt;=MA_SHORT),AVERAGE(INDEX($C$412:$C812,402-MA_SHORT):$C812),"")</f>
        <v/>
      </c>
      <c r="J812" s="37" t="str">
        <f aca="false">IF(AND(ISNUMBER($G812),$G812&gt;=MA_MED),AVERAGE(INDEX($C$412:$C812,402-MA_MED):$C812),"")</f>
        <v/>
      </c>
      <c r="K812" s="37" t="str">
        <f aca="false">IF(AND(ISNUMBER($G812),$G812&gt;=MA_LONG2),AVERAGE(INDEX($C$412:$C812,402-MA_LONG2):$C812),"")</f>
        <v/>
      </c>
      <c r="L812" s="38" t="str">
        <f aca="false">IF(AND(ISNUMBER($G812),$G812&gt;=21),STDEV(INDEX($H$752:$H812,62-20):$H812)*SQRT(245),"")</f>
        <v/>
      </c>
      <c r="M812" s="37" t="str">
        <f aca="false">IF(AND(ISNUMBER($G812),$G812&gt;=60),MAX(INDEX($D$612:$D812,202-60):$D812),"")</f>
        <v/>
      </c>
      <c r="N812" s="37" t="str">
        <f aca="false">IF(AND(ISNUMBER($G812),$G812&gt;=60),MIN(INDEX($E$612:$E812,202-60):$E812),"")</f>
        <v/>
      </c>
      <c r="O812" s="38" t="str">
        <f aca="false">IF(OR(NOT(ISNUMBER($C812)),NOT(ISNUMBER($M812)),$M812=0),"",$C812/$M812-1)</f>
        <v/>
      </c>
    </row>
    <row r="813" customFormat="false" ht="15" hidden="false" customHeight="true" outlineLevel="0" collapsed="false">
      <c r="A813" s="39"/>
      <c r="B813" s="40"/>
      <c r="C813" s="41"/>
      <c r="D813" s="40"/>
      <c r="E813" s="40"/>
      <c r="F813" s="40"/>
      <c r="G813" s="35" t="str">
        <f aca="false">IF($A813="","",IF(ISNUMBER($G812),$G812+1,1))</f>
        <v/>
      </c>
      <c r="H813" s="36" t="str">
        <f aca="false">IF(OR(NOT(ISNUMBER($G813)),$G813&lt;2,NOT(ISNUMBER($C812)),$C812=0),"",$C813/$C812-1)</f>
        <v/>
      </c>
      <c r="I813" s="37" t="str">
        <f aca="false">IF(AND(ISNUMBER($G813),$G813&gt;=MA_SHORT),AVERAGE(INDEX($C$413:$C813,402-MA_SHORT):$C813),"")</f>
        <v/>
      </c>
      <c r="J813" s="37" t="str">
        <f aca="false">IF(AND(ISNUMBER($G813),$G813&gt;=MA_MED),AVERAGE(INDEX($C$413:$C813,402-MA_MED):$C813),"")</f>
        <v/>
      </c>
      <c r="K813" s="37" t="str">
        <f aca="false">IF(AND(ISNUMBER($G813),$G813&gt;=MA_LONG2),AVERAGE(INDEX($C$413:$C813,402-MA_LONG2):$C813),"")</f>
        <v/>
      </c>
      <c r="L813" s="38" t="str">
        <f aca="false">IF(AND(ISNUMBER($G813),$G813&gt;=21),STDEV(INDEX($H$753:$H813,62-20):$H813)*SQRT(245),"")</f>
        <v/>
      </c>
      <c r="M813" s="37" t="str">
        <f aca="false">IF(AND(ISNUMBER($G813),$G813&gt;=60),MAX(INDEX($D$613:$D813,202-60):$D813),"")</f>
        <v/>
      </c>
      <c r="N813" s="37" t="str">
        <f aca="false">IF(AND(ISNUMBER($G813),$G813&gt;=60),MIN(INDEX($E$613:$E813,202-60):$E813),"")</f>
        <v/>
      </c>
      <c r="O813" s="38" t="str">
        <f aca="false">IF(OR(NOT(ISNUMBER($C813)),NOT(ISNUMBER($M813)),$M813=0),"",$C813/$M813-1)</f>
        <v/>
      </c>
    </row>
    <row r="814" customFormat="false" ht="15" hidden="false" customHeight="true" outlineLevel="0" collapsed="false">
      <c r="A814" s="39"/>
      <c r="B814" s="40"/>
      <c r="C814" s="41"/>
      <c r="D814" s="40"/>
      <c r="E814" s="40"/>
      <c r="F814" s="40"/>
      <c r="G814" s="35" t="str">
        <f aca="false">IF($A814="","",IF(ISNUMBER($G813),$G813+1,1))</f>
        <v/>
      </c>
      <c r="H814" s="36" t="str">
        <f aca="false">IF(OR(NOT(ISNUMBER($G814)),$G814&lt;2,NOT(ISNUMBER($C813)),$C813=0),"",$C814/$C813-1)</f>
        <v/>
      </c>
      <c r="I814" s="37" t="str">
        <f aca="false">IF(AND(ISNUMBER($G814),$G814&gt;=MA_SHORT),AVERAGE(INDEX($C$414:$C814,402-MA_SHORT):$C814),"")</f>
        <v/>
      </c>
      <c r="J814" s="37" t="str">
        <f aca="false">IF(AND(ISNUMBER($G814),$G814&gt;=MA_MED),AVERAGE(INDEX($C$414:$C814,402-MA_MED):$C814),"")</f>
        <v/>
      </c>
      <c r="K814" s="37" t="str">
        <f aca="false">IF(AND(ISNUMBER($G814),$G814&gt;=MA_LONG2),AVERAGE(INDEX($C$414:$C814,402-MA_LONG2):$C814),"")</f>
        <v/>
      </c>
      <c r="L814" s="38" t="str">
        <f aca="false">IF(AND(ISNUMBER($G814),$G814&gt;=21),STDEV(INDEX($H$754:$H814,62-20):$H814)*SQRT(245),"")</f>
        <v/>
      </c>
      <c r="M814" s="37" t="str">
        <f aca="false">IF(AND(ISNUMBER($G814),$G814&gt;=60),MAX(INDEX($D$614:$D814,202-60):$D814),"")</f>
        <v/>
      </c>
      <c r="N814" s="37" t="str">
        <f aca="false">IF(AND(ISNUMBER($G814),$G814&gt;=60),MIN(INDEX($E$614:$E814,202-60):$E814),"")</f>
        <v/>
      </c>
      <c r="O814" s="38" t="str">
        <f aca="false">IF(OR(NOT(ISNUMBER($C814)),NOT(ISNUMBER($M814)),$M814=0),"",$C814/$M814-1)</f>
        <v/>
      </c>
    </row>
    <row r="815" customFormat="false" ht="15" hidden="false" customHeight="true" outlineLevel="0" collapsed="false">
      <c r="A815" s="39"/>
      <c r="B815" s="40"/>
      <c r="C815" s="41"/>
      <c r="D815" s="40"/>
      <c r="E815" s="40"/>
      <c r="F815" s="40"/>
      <c r="G815" s="35" t="str">
        <f aca="false">IF($A815="","",IF(ISNUMBER($G814),$G814+1,1))</f>
        <v/>
      </c>
      <c r="H815" s="36" t="str">
        <f aca="false">IF(OR(NOT(ISNUMBER($G815)),$G815&lt;2,NOT(ISNUMBER($C814)),$C814=0),"",$C815/$C814-1)</f>
        <v/>
      </c>
      <c r="I815" s="37" t="str">
        <f aca="false">IF(AND(ISNUMBER($G815),$G815&gt;=MA_SHORT),AVERAGE(INDEX($C$415:$C815,402-MA_SHORT):$C815),"")</f>
        <v/>
      </c>
      <c r="J815" s="37" t="str">
        <f aca="false">IF(AND(ISNUMBER($G815),$G815&gt;=MA_MED),AVERAGE(INDEX($C$415:$C815,402-MA_MED):$C815),"")</f>
        <v/>
      </c>
      <c r="K815" s="37" t="str">
        <f aca="false">IF(AND(ISNUMBER($G815),$G815&gt;=MA_LONG2),AVERAGE(INDEX($C$415:$C815,402-MA_LONG2):$C815),"")</f>
        <v/>
      </c>
      <c r="L815" s="38" t="str">
        <f aca="false">IF(AND(ISNUMBER($G815),$G815&gt;=21),STDEV(INDEX($H$755:$H815,62-20):$H815)*SQRT(245),"")</f>
        <v/>
      </c>
      <c r="M815" s="37" t="str">
        <f aca="false">IF(AND(ISNUMBER($G815),$G815&gt;=60),MAX(INDEX($D$615:$D815,202-60):$D815),"")</f>
        <v/>
      </c>
      <c r="N815" s="37" t="str">
        <f aca="false">IF(AND(ISNUMBER($G815),$G815&gt;=60),MIN(INDEX($E$615:$E815,202-60):$E815),"")</f>
        <v/>
      </c>
      <c r="O815" s="38" t="str">
        <f aca="false">IF(OR(NOT(ISNUMBER($C815)),NOT(ISNUMBER($M815)),$M815=0),"",$C815/$M815-1)</f>
        <v/>
      </c>
    </row>
    <row r="816" customFormat="false" ht="15" hidden="false" customHeight="true" outlineLevel="0" collapsed="false">
      <c r="A816" s="39"/>
      <c r="B816" s="40"/>
      <c r="C816" s="41"/>
      <c r="D816" s="40"/>
      <c r="E816" s="40"/>
      <c r="F816" s="40"/>
      <c r="G816" s="35" t="str">
        <f aca="false">IF($A816="","",IF(ISNUMBER($G815),$G815+1,1))</f>
        <v/>
      </c>
      <c r="H816" s="36" t="str">
        <f aca="false">IF(OR(NOT(ISNUMBER($G816)),$G816&lt;2,NOT(ISNUMBER($C815)),$C815=0),"",$C816/$C815-1)</f>
        <v/>
      </c>
      <c r="I816" s="37" t="str">
        <f aca="false">IF(AND(ISNUMBER($G816),$G816&gt;=MA_SHORT),AVERAGE(INDEX($C$416:$C816,402-MA_SHORT):$C816),"")</f>
        <v/>
      </c>
      <c r="J816" s="37" t="str">
        <f aca="false">IF(AND(ISNUMBER($G816),$G816&gt;=MA_MED),AVERAGE(INDEX($C$416:$C816,402-MA_MED):$C816),"")</f>
        <v/>
      </c>
      <c r="K816" s="37" t="str">
        <f aca="false">IF(AND(ISNUMBER($G816),$G816&gt;=MA_LONG2),AVERAGE(INDEX($C$416:$C816,402-MA_LONG2):$C816),"")</f>
        <v/>
      </c>
      <c r="L816" s="38" t="str">
        <f aca="false">IF(AND(ISNUMBER($G816),$G816&gt;=21),STDEV(INDEX($H$756:$H816,62-20):$H816)*SQRT(245),"")</f>
        <v/>
      </c>
      <c r="M816" s="37" t="str">
        <f aca="false">IF(AND(ISNUMBER($G816),$G816&gt;=60),MAX(INDEX($D$616:$D816,202-60):$D816),"")</f>
        <v/>
      </c>
      <c r="N816" s="37" t="str">
        <f aca="false">IF(AND(ISNUMBER($G816),$G816&gt;=60),MIN(INDEX($E$616:$E816,202-60):$E816),"")</f>
        <v/>
      </c>
      <c r="O816" s="38" t="str">
        <f aca="false">IF(OR(NOT(ISNUMBER($C816)),NOT(ISNUMBER($M816)),$M816=0),"",$C816/$M816-1)</f>
        <v/>
      </c>
    </row>
    <row r="817" customFormat="false" ht="15" hidden="false" customHeight="true" outlineLevel="0" collapsed="false">
      <c r="A817" s="39"/>
      <c r="B817" s="40"/>
      <c r="C817" s="41"/>
      <c r="D817" s="40"/>
      <c r="E817" s="40"/>
      <c r="F817" s="40"/>
      <c r="G817" s="35" t="str">
        <f aca="false">IF($A817="","",IF(ISNUMBER($G816),$G816+1,1))</f>
        <v/>
      </c>
      <c r="H817" s="36" t="str">
        <f aca="false">IF(OR(NOT(ISNUMBER($G817)),$G817&lt;2,NOT(ISNUMBER($C816)),$C816=0),"",$C817/$C816-1)</f>
        <v/>
      </c>
      <c r="I817" s="37" t="str">
        <f aca="false">IF(AND(ISNUMBER($G817),$G817&gt;=MA_SHORT),AVERAGE(INDEX($C$417:$C817,402-MA_SHORT):$C817),"")</f>
        <v/>
      </c>
      <c r="J817" s="37" t="str">
        <f aca="false">IF(AND(ISNUMBER($G817),$G817&gt;=MA_MED),AVERAGE(INDEX($C$417:$C817,402-MA_MED):$C817),"")</f>
        <v/>
      </c>
      <c r="K817" s="37" t="str">
        <f aca="false">IF(AND(ISNUMBER($G817),$G817&gt;=MA_LONG2),AVERAGE(INDEX($C$417:$C817,402-MA_LONG2):$C817),"")</f>
        <v/>
      </c>
      <c r="L817" s="38" t="str">
        <f aca="false">IF(AND(ISNUMBER($G817),$G817&gt;=21),STDEV(INDEX($H$757:$H817,62-20):$H817)*SQRT(245),"")</f>
        <v/>
      </c>
      <c r="M817" s="37" t="str">
        <f aca="false">IF(AND(ISNUMBER($G817),$G817&gt;=60),MAX(INDEX($D$617:$D817,202-60):$D817),"")</f>
        <v/>
      </c>
      <c r="N817" s="37" t="str">
        <f aca="false">IF(AND(ISNUMBER($G817),$G817&gt;=60),MIN(INDEX($E$617:$E817,202-60):$E817),"")</f>
        <v/>
      </c>
      <c r="O817" s="38" t="str">
        <f aca="false">IF(OR(NOT(ISNUMBER($C817)),NOT(ISNUMBER($M817)),$M817=0),"",$C817/$M817-1)</f>
        <v/>
      </c>
    </row>
    <row r="818" customFormat="false" ht="15" hidden="false" customHeight="true" outlineLevel="0" collapsed="false">
      <c r="A818" s="39"/>
      <c r="B818" s="40"/>
      <c r="C818" s="41"/>
      <c r="D818" s="40"/>
      <c r="E818" s="40"/>
      <c r="F818" s="40"/>
      <c r="G818" s="35" t="str">
        <f aca="false">IF($A818="","",IF(ISNUMBER($G817),$G817+1,1))</f>
        <v/>
      </c>
      <c r="H818" s="36" t="str">
        <f aca="false">IF(OR(NOT(ISNUMBER($G818)),$G818&lt;2,NOT(ISNUMBER($C817)),$C817=0),"",$C818/$C817-1)</f>
        <v/>
      </c>
      <c r="I818" s="37" t="str">
        <f aca="false">IF(AND(ISNUMBER($G818),$G818&gt;=MA_SHORT),AVERAGE(INDEX($C$418:$C818,402-MA_SHORT):$C818),"")</f>
        <v/>
      </c>
      <c r="J818" s="37" t="str">
        <f aca="false">IF(AND(ISNUMBER($G818),$G818&gt;=MA_MED),AVERAGE(INDEX($C$418:$C818,402-MA_MED):$C818),"")</f>
        <v/>
      </c>
      <c r="K818" s="37" t="str">
        <f aca="false">IF(AND(ISNUMBER($G818),$G818&gt;=MA_LONG2),AVERAGE(INDEX($C$418:$C818,402-MA_LONG2):$C818),"")</f>
        <v/>
      </c>
      <c r="L818" s="38" t="str">
        <f aca="false">IF(AND(ISNUMBER($G818),$G818&gt;=21),STDEV(INDEX($H$758:$H818,62-20):$H818)*SQRT(245),"")</f>
        <v/>
      </c>
      <c r="M818" s="37" t="str">
        <f aca="false">IF(AND(ISNUMBER($G818),$G818&gt;=60),MAX(INDEX($D$618:$D818,202-60):$D818),"")</f>
        <v/>
      </c>
      <c r="N818" s="37" t="str">
        <f aca="false">IF(AND(ISNUMBER($G818),$G818&gt;=60),MIN(INDEX($E$618:$E818,202-60):$E818),"")</f>
        <v/>
      </c>
      <c r="O818" s="38" t="str">
        <f aca="false">IF(OR(NOT(ISNUMBER($C818)),NOT(ISNUMBER($M818)),$M818=0),"",$C818/$M818-1)</f>
        <v/>
      </c>
    </row>
    <row r="819" customFormat="false" ht="15" hidden="false" customHeight="true" outlineLevel="0" collapsed="false">
      <c r="A819" s="39"/>
      <c r="B819" s="40"/>
      <c r="C819" s="41"/>
      <c r="D819" s="40"/>
      <c r="E819" s="40"/>
      <c r="F819" s="40"/>
      <c r="G819" s="35" t="str">
        <f aca="false">IF($A819="","",IF(ISNUMBER($G818),$G818+1,1))</f>
        <v/>
      </c>
      <c r="H819" s="36" t="str">
        <f aca="false">IF(OR(NOT(ISNUMBER($G819)),$G819&lt;2,NOT(ISNUMBER($C818)),$C818=0),"",$C819/$C818-1)</f>
        <v/>
      </c>
      <c r="I819" s="37" t="str">
        <f aca="false">IF(AND(ISNUMBER($G819),$G819&gt;=MA_SHORT),AVERAGE(INDEX($C$419:$C819,402-MA_SHORT):$C819),"")</f>
        <v/>
      </c>
      <c r="J819" s="37" t="str">
        <f aca="false">IF(AND(ISNUMBER($G819),$G819&gt;=MA_MED),AVERAGE(INDEX($C$419:$C819,402-MA_MED):$C819),"")</f>
        <v/>
      </c>
      <c r="K819" s="37" t="str">
        <f aca="false">IF(AND(ISNUMBER($G819),$G819&gt;=MA_LONG2),AVERAGE(INDEX($C$419:$C819,402-MA_LONG2):$C819),"")</f>
        <v/>
      </c>
      <c r="L819" s="38" t="str">
        <f aca="false">IF(AND(ISNUMBER($G819),$G819&gt;=21),STDEV(INDEX($H$759:$H819,62-20):$H819)*SQRT(245),"")</f>
        <v/>
      </c>
      <c r="M819" s="37" t="str">
        <f aca="false">IF(AND(ISNUMBER($G819),$G819&gt;=60),MAX(INDEX($D$619:$D819,202-60):$D819),"")</f>
        <v/>
      </c>
      <c r="N819" s="37" t="str">
        <f aca="false">IF(AND(ISNUMBER($G819),$G819&gt;=60),MIN(INDEX($E$619:$E819,202-60):$E819),"")</f>
        <v/>
      </c>
      <c r="O819" s="38" t="str">
        <f aca="false">IF(OR(NOT(ISNUMBER($C819)),NOT(ISNUMBER($M819)),$M819=0),"",$C819/$M819-1)</f>
        <v/>
      </c>
    </row>
    <row r="820" customFormat="false" ht="15" hidden="false" customHeight="true" outlineLevel="0" collapsed="false">
      <c r="A820" s="39"/>
      <c r="B820" s="40"/>
      <c r="C820" s="41"/>
      <c r="D820" s="40"/>
      <c r="E820" s="40"/>
      <c r="F820" s="40"/>
      <c r="G820" s="35" t="str">
        <f aca="false">IF($A820="","",IF(ISNUMBER($G819),$G819+1,1))</f>
        <v/>
      </c>
      <c r="H820" s="36" t="str">
        <f aca="false">IF(OR(NOT(ISNUMBER($G820)),$G820&lt;2,NOT(ISNUMBER($C819)),$C819=0),"",$C820/$C819-1)</f>
        <v/>
      </c>
      <c r="I820" s="37" t="str">
        <f aca="false">IF(AND(ISNUMBER($G820),$G820&gt;=MA_SHORT),AVERAGE(INDEX($C$420:$C820,402-MA_SHORT):$C820),"")</f>
        <v/>
      </c>
      <c r="J820" s="37" t="str">
        <f aca="false">IF(AND(ISNUMBER($G820),$G820&gt;=MA_MED),AVERAGE(INDEX($C$420:$C820,402-MA_MED):$C820),"")</f>
        <v/>
      </c>
      <c r="K820" s="37" t="str">
        <f aca="false">IF(AND(ISNUMBER($G820),$G820&gt;=MA_LONG2),AVERAGE(INDEX($C$420:$C820,402-MA_LONG2):$C820),"")</f>
        <v/>
      </c>
      <c r="L820" s="38" t="str">
        <f aca="false">IF(AND(ISNUMBER($G820),$G820&gt;=21),STDEV(INDEX($H$760:$H820,62-20):$H820)*SQRT(245),"")</f>
        <v/>
      </c>
      <c r="M820" s="37" t="str">
        <f aca="false">IF(AND(ISNUMBER($G820),$G820&gt;=60),MAX(INDEX($D$620:$D820,202-60):$D820),"")</f>
        <v/>
      </c>
      <c r="N820" s="37" t="str">
        <f aca="false">IF(AND(ISNUMBER($G820),$G820&gt;=60),MIN(INDEX($E$620:$E820,202-60):$E820),"")</f>
        <v/>
      </c>
      <c r="O820" s="38" t="str">
        <f aca="false">IF(OR(NOT(ISNUMBER($C820)),NOT(ISNUMBER($M820)),$M820=0),"",$C820/$M820-1)</f>
        <v/>
      </c>
    </row>
    <row r="821" customFormat="false" ht="15" hidden="false" customHeight="true" outlineLevel="0" collapsed="false">
      <c r="A821" s="39"/>
      <c r="B821" s="40"/>
      <c r="C821" s="41"/>
      <c r="D821" s="40"/>
      <c r="E821" s="40"/>
      <c r="F821" s="40"/>
      <c r="G821" s="35" t="str">
        <f aca="false">IF($A821="","",IF(ISNUMBER($G820),$G820+1,1))</f>
        <v/>
      </c>
      <c r="H821" s="36" t="str">
        <f aca="false">IF(OR(NOT(ISNUMBER($G821)),$G821&lt;2,NOT(ISNUMBER($C820)),$C820=0),"",$C821/$C820-1)</f>
        <v/>
      </c>
      <c r="I821" s="37" t="str">
        <f aca="false">IF(AND(ISNUMBER($G821),$G821&gt;=MA_SHORT),AVERAGE(INDEX($C$421:$C821,402-MA_SHORT):$C821),"")</f>
        <v/>
      </c>
      <c r="J821" s="37" t="str">
        <f aca="false">IF(AND(ISNUMBER($G821),$G821&gt;=MA_MED),AVERAGE(INDEX($C$421:$C821,402-MA_MED):$C821),"")</f>
        <v/>
      </c>
      <c r="K821" s="37" t="str">
        <f aca="false">IF(AND(ISNUMBER($G821),$G821&gt;=MA_LONG2),AVERAGE(INDEX($C$421:$C821,402-MA_LONG2):$C821),"")</f>
        <v/>
      </c>
      <c r="L821" s="38" t="str">
        <f aca="false">IF(AND(ISNUMBER($G821),$G821&gt;=21),STDEV(INDEX($H$761:$H821,62-20):$H821)*SQRT(245),"")</f>
        <v/>
      </c>
      <c r="M821" s="37" t="str">
        <f aca="false">IF(AND(ISNUMBER($G821),$G821&gt;=60),MAX(INDEX($D$621:$D821,202-60):$D821),"")</f>
        <v/>
      </c>
      <c r="N821" s="37" t="str">
        <f aca="false">IF(AND(ISNUMBER($G821),$G821&gt;=60),MIN(INDEX($E$621:$E821,202-60):$E821),"")</f>
        <v/>
      </c>
      <c r="O821" s="38" t="str">
        <f aca="false">IF(OR(NOT(ISNUMBER($C821)),NOT(ISNUMBER($M821)),$M821=0),"",$C821/$M821-1)</f>
        <v/>
      </c>
    </row>
    <row r="822" customFormat="false" ht="15" hidden="false" customHeight="true" outlineLevel="0" collapsed="false">
      <c r="A822" s="39"/>
      <c r="B822" s="40"/>
      <c r="C822" s="41"/>
      <c r="D822" s="40"/>
      <c r="E822" s="40"/>
      <c r="F822" s="40"/>
      <c r="G822" s="35" t="str">
        <f aca="false">IF($A822="","",IF(ISNUMBER($G821),$G821+1,1))</f>
        <v/>
      </c>
      <c r="H822" s="36" t="str">
        <f aca="false">IF(OR(NOT(ISNUMBER($G822)),$G822&lt;2,NOT(ISNUMBER($C821)),$C821=0),"",$C822/$C821-1)</f>
        <v/>
      </c>
      <c r="I822" s="37" t="str">
        <f aca="false">IF(AND(ISNUMBER($G822),$G822&gt;=MA_SHORT),AVERAGE(INDEX($C$422:$C822,402-MA_SHORT):$C822),"")</f>
        <v/>
      </c>
      <c r="J822" s="37" t="str">
        <f aca="false">IF(AND(ISNUMBER($G822),$G822&gt;=MA_MED),AVERAGE(INDEX($C$422:$C822,402-MA_MED):$C822),"")</f>
        <v/>
      </c>
      <c r="K822" s="37" t="str">
        <f aca="false">IF(AND(ISNUMBER($G822),$G822&gt;=MA_LONG2),AVERAGE(INDEX($C$422:$C822,402-MA_LONG2):$C822),"")</f>
        <v/>
      </c>
      <c r="L822" s="38" t="str">
        <f aca="false">IF(AND(ISNUMBER($G822),$G822&gt;=21),STDEV(INDEX($H$762:$H822,62-20):$H822)*SQRT(245),"")</f>
        <v/>
      </c>
      <c r="M822" s="37" t="str">
        <f aca="false">IF(AND(ISNUMBER($G822),$G822&gt;=60),MAX(INDEX($D$622:$D822,202-60):$D822),"")</f>
        <v/>
      </c>
      <c r="N822" s="37" t="str">
        <f aca="false">IF(AND(ISNUMBER($G822),$G822&gt;=60),MIN(INDEX($E$622:$E822,202-60):$E822),"")</f>
        <v/>
      </c>
      <c r="O822" s="38" t="str">
        <f aca="false">IF(OR(NOT(ISNUMBER($C822)),NOT(ISNUMBER($M822)),$M822=0),"",$C822/$M822-1)</f>
        <v/>
      </c>
    </row>
    <row r="823" customFormat="false" ht="15" hidden="false" customHeight="true" outlineLevel="0" collapsed="false">
      <c r="A823" s="39"/>
      <c r="B823" s="40"/>
      <c r="C823" s="41"/>
      <c r="D823" s="40"/>
      <c r="E823" s="40"/>
      <c r="F823" s="40"/>
      <c r="G823" s="35" t="str">
        <f aca="false">IF($A823="","",IF(ISNUMBER($G822),$G822+1,1))</f>
        <v/>
      </c>
      <c r="H823" s="36" t="str">
        <f aca="false">IF(OR(NOT(ISNUMBER($G823)),$G823&lt;2,NOT(ISNUMBER($C822)),$C822=0),"",$C823/$C822-1)</f>
        <v/>
      </c>
      <c r="I823" s="37" t="str">
        <f aca="false">IF(AND(ISNUMBER($G823),$G823&gt;=MA_SHORT),AVERAGE(INDEX($C$423:$C823,402-MA_SHORT):$C823),"")</f>
        <v/>
      </c>
      <c r="J823" s="37" t="str">
        <f aca="false">IF(AND(ISNUMBER($G823),$G823&gt;=MA_MED),AVERAGE(INDEX($C$423:$C823,402-MA_MED):$C823),"")</f>
        <v/>
      </c>
      <c r="K823" s="37" t="str">
        <f aca="false">IF(AND(ISNUMBER($G823),$G823&gt;=MA_LONG2),AVERAGE(INDEX($C$423:$C823,402-MA_LONG2):$C823),"")</f>
        <v/>
      </c>
      <c r="L823" s="38" t="str">
        <f aca="false">IF(AND(ISNUMBER($G823),$G823&gt;=21),STDEV(INDEX($H$763:$H823,62-20):$H823)*SQRT(245),"")</f>
        <v/>
      </c>
      <c r="M823" s="37" t="str">
        <f aca="false">IF(AND(ISNUMBER($G823),$G823&gt;=60),MAX(INDEX($D$623:$D823,202-60):$D823),"")</f>
        <v/>
      </c>
      <c r="N823" s="37" t="str">
        <f aca="false">IF(AND(ISNUMBER($G823),$G823&gt;=60),MIN(INDEX($E$623:$E823,202-60):$E823),"")</f>
        <v/>
      </c>
      <c r="O823" s="38" t="str">
        <f aca="false">IF(OR(NOT(ISNUMBER($C823)),NOT(ISNUMBER($M823)),$M823=0),"",$C823/$M823-1)</f>
        <v/>
      </c>
    </row>
    <row r="824" customFormat="false" ht="15" hidden="false" customHeight="true" outlineLevel="0" collapsed="false">
      <c r="A824" s="39"/>
      <c r="B824" s="40"/>
      <c r="C824" s="41"/>
      <c r="D824" s="40"/>
      <c r="E824" s="40"/>
      <c r="F824" s="40"/>
      <c r="G824" s="35" t="str">
        <f aca="false">IF($A824="","",IF(ISNUMBER($G823),$G823+1,1))</f>
        <v/>
      </c>
      <c r="H824" s="36" t="str">
        <f aca="false">IF(OR(NOT(ISNUMBER($G824)),$G824&lt;2,NOT(ISNUMBER($C823)),$C823=0),"",$C824/$C823-1)</f>
        <v/>
      </c>
      <c r="I824" s="37" t="str">
        <f aca="false">IF(AND(ISNUMBER($G824),$G824&gt;=MA_SHORT),AVERAGE(INDEX($C$424:$C824,402-MA_SHORT):$C824),"")</f>
        <v/>
      </c>
      <c r="J824" s="37" t="str">
        <f aca="false">IF(AND(ISNUMBER($G824),$G824&gt;=MA_MED),AVERAGE(INDEX($C$424:$C824,402-MA_MED):$C824),"")</f>
        <v/>
      </c>
      <c r="K824" s="37" t="str">
        <f aca="false">IF(AND(ISNUMBER($G824),$G824&gt;=MA_LONG2),AVERAGE(INDEX($C$424:$C824,402-MA_LONG2):$C824),"")</f>
        <v/>
      </c>
      <c r="L824" s="38" t="str">
        <f aca="false">IF(AND(ISNUMBER($G824),$G824&gt;=21),STDEV(INDEX($H$764:$H824,62-20):$H824)*SQRT(245),"")</f>
        <v/>
      </c>
      <c r="M824" s="37" t="str">
        <f aca="false">IF(AND(ISNUMBER($G824),$G824&gt;=60),MAX(INDEX($D$624:$D824,202-60):$D824),"")</f>
        <v/>
      </c>
      <c r="N824" s="37" t="str">
        <f aca="false">IF(AND(ISNUMBER($G824),$G824&gt;=60),MIN(INDEX($E$624:$E824,202-60):$E824),"")</f>
        <v/>
      </c>
      <c r="O824" s="38" t="str">
        <f aca="false">IF(OR(NOT(ISNUMBER($C824)),NOT(ISNUMBER($M824)),$M824=0),"",$C824/$M824-1)</f>
        <v/>
      </c>
    </row>
    <row r="825" customFormat="false" ht="15" hidden="false" customHeight="true" outlineLevel="0" collapsed="false">
      <c r="A825" s="39"/>
      <c r="B825" s="40"/>
      <c r="C825" s="41"/>
      <c r="D825" s="40"/>
      <c r="E825" s="40"/>
      <c r="F825" s="40"/>
      <c r="G825" s="35" t="str">
        <f aca="false">IF($A825="","",IF(ISNUMBER($G824),$G824+1,1))</f>
        <v/>
      </c>
      <c r="H825" s="36" t="str">
        <f aca="false">IF(OR(NOT(ISNUMBER($G825)),$G825&lt;2,NOT(ISNUMBER($C824)),$C824=0),"",$C825/$C824-1)</f>
        <v/>
      </c>
      <c r="I825" s="37" t="str">
        <f aca="false">IF(AND(ISNUMBER($G825),$G825&gt;=MA_SHORT),AVERAGE(INDEX($C$425:$C825,402-MA_SHORT):$C825),"")</f>
        <v/>
      </c>
      <c r="J825" s="37" t="str">
        <f aca="false">IF(AND(ISNUMBER($G825),$G825&gt;=MA_MED),AVERAGE(INDEX($C$425:$C825,402-MA_MED):$C825),"")</f>
        <v/>
      </c>
      <c r="K825" s="37" t="str">
        <f aca="false">IF(AND(ISNUMBER($G825),$G825&gt;=MA_LONG2),AVERAGE(INDEX($C$425:$C825,402-MA_LONG2):$C825),"")</f>
        <v/>
      </c>
      <c r="L825" s="38" t="str">
        <f aca="false">IF(AND(ISNUMBER($G825),$G825&gt;=21),STDEV(INDEX($H$765:$H825,62-20):$H825)*SQRT(245),"")</f>
        <v/>
      </c>
      <c r="M825" s="37" t="str">
        <f aca="false">IF(AND(ISNUMBER($G825),$G825&gt;=60),MAX(INDEX($D$625:$D825,202-60):$D825),"")</f>
        <v/>
      </c>
      <c r="N825" s="37" t="str">
        <f aca="false">IF(AND(ISNUMBER($G825),$G825&gt;=60),MIN(INDEX($E$625:$E825,202-60):$E825),"")</f>
        <v/>
      </c>
      <c r="O825" s="38" t="str">
        <f aca="false">IF(OR(NOT(ISNUMBER($C825)),NOT(ISNUMBER($M825)),$M825=0),"",$C825/$M825-1)</f>
        <v/>
      </c>
    </row>
    <row r="826" customFormat="false" ht="15" hidden="false" customHeight="true" outlineLevel="0" collapsed="false">
      <c r="A826" s="39"/>
      <c r="B826" s="40"/>
      <c r="C826" s="41"/>
      <c r="D826" s="40"/>
      <c r="E826" s="40"/>
      <c r="F826" s="40"/>
      <c r="G826" s="35" t="str">
        <f aca="false">IF($A826="","",IF(ISNUMBER($G825),$G825+1,1))</f>
        <v/>
      </c>
      <c r="H826" s="36" t="str">
        <f aca="false">IF(OR(NOT(ISNUMBER($G826)),$G826&lt;2,NOT(ISNUMBER($C825)),$C825=0),"",$C826/$C825-1)</f>
        <v/>
      </c>
      <c r="I826" s="37" t="str">
        <f aca="false">IF(AND(ISNUMBER($G826),$G826&gt;=MA_SHORT),AVERAGE(INDEX($C$426:$C826,402-MA_SHORT):$C826),"")</f>
        <v/>
      </c>
      <c r="J826" s="37" t="str">
        <f aca="false">IF(AND(ISNUMBER($G826),$G826&gt;=MA_MED),AVERAGE(INDEX($C$426:$C826,402-MA_MED):$C826),"")</f>
        <v/>
      </c>
      <c r="K826" s="37" t="str">
        <f aca="false">IF(AND(ISNUMBER($G826),$G826&gt;=MA_LONG2),AVERAGE(INDEX($C$426:$C826,402-MA_LONG2):$C826),"")</f>
        <v/>
      </c>
      <c r="L826" s="38" t="str">
        <f aca="false">IF(AND(ISNUMBER($G826),$G826&gt;=21),STDEV(INDEX($H$766:$H826,62-20):$H826)*SQRT(245),"")</f>
        <v/>
      </c>
      <c r="M826" s="37" t="str">
        <f aca="false">IF(AND(ISNUMBER($G826),$G826&gt;=60),MAX(INDEX($D$626:$D826,202-60):$D826),"")</f>
        <v/>
      </c>
      <c r="N826" s="37" t="str">
        <f aca="false">IF(AND(ISNUMBER($G826),$G826&gt;=60),MIN(INDEX($E$626:$E826,202-60):$E826),"")</f>
        <v/>
      </c>
      <c r="O826" s="38" t="str">
        <f aca="false">IF(OR(NOT(ISNUMBER($C826)),NOT(ISNUMBER($M826)),$M826=0),"",$C826/$M826-1)</f>
        <v/>
      </c>
    </row>
    <row r="827" customFormat="false" ht="15" hidden="false" customHeight="true" outlineLevel="0" collapsed="false">
      <c r="A827" s="39"/>
      <c r="B827" s="40"/>
      <c r="C827" s="41"/>
      <c r="D827" s="40"/>
      <c r="E827" s="40"/>
      <c r="F827" s="40"/>
      <c r="G827" s="35" t="str">
        <f aca="false">IF($A827="","",IF(ISNUMBER($G826),$G826+1,1))</f>
        <v/>
      </c>
      <c r="H827" s="36" t="str">
        <f aca="false">IF(OR(NOT(ISNUMBER($G827)),$G827&lt;2,NOT(ISNUMBER($C826)),$C826=0),"",$C827/$C826-1)</f>
        <v/>
      </c>
      <c r="I827" s="37" t="str">
        <f aca="false">IF(AND(ISNUMBER($G827),$G827&gt;=MA_SHORT),AVERAGE(INDEX($C$427:$C827,402-MA_SHORT):$C827),"")</f>
        <v/>
      </c>
      <c r="J827" s="37" t="str">
        <f aca="false">IF(AND(ISNUMBER($G827),$G827&gt;=MA_MED),AVERAGE(INDEX($C$427:$C827,402-MA_MED):$C827),"")</f>
        <v/>
      </c>
      <c r="K827" s="37" t="str">
        <f aca="false">IF(AND(ISNUMBER($G827),$G827&gt;=MA_LONG2),AVERAGE(INDEX($C$427:$C827,402-MA_LONG2):$C827),"")</f>
        <v/>
      </c>
      <c r="L827" s="38" t="str">
        <f aca="false">IF(AND(ISNUMBER($G827),$G827&gt;=21),STDEV(INDEX($H$767:$H827,62-20):$H827)*SQRT(245),"")</f>
        <v/>
      </c>
      <c r="M827" s="37" t="str">
        <f aca="false">IF(AND(ISNUMBER($G827),$G827&gt;=60),MAX(INDEX($D$627:$D827,202-60):$D827),"")</f>
        <v/>
      </c>
      <c r="N827" s="37" t="str">
        <f aca="false">IF(AND(ISNUMBER($G827),$G827&gt;=60),MIN(INDEX($E$627:$E827,202-60):$E827),"")</f>
        <v/>
      </c>
      <c r="O827" s="38" t="str">
        <f aca="false">IF(OR(NOT(ISNUMBER($C827)),NOT(ISNUMBER($M827)),$M827=0),"",$C827/$M827-1)</f>
        <v/>
      </c>
    </row>
    <row r="828" customFormat="false" ht="15" hidden="false" customHeight="true" outlineLevel="0" collapsed="false">
      <c r="A828" s="39"/>
      <c r="B828" s="40"/>
      <c r="C828" s="41"/>
      <c r="D828" s="40"/>
      <c r="E828" s="40"/>
      <c r="F828" s="40"/>
      <c r="G828" s="35" t="str">
        <f aca="false">IF($A828="","",IF(ISNUMBER($G827),$G827+1,1))</f>
        <v/>
      </c>
      <c r="H828" s="36" t="str">
        <f aca="false">IF(OR(NOT(ISNUMBER($G828)),$G828&lt;2,NOT(ISNUMBER($C827)),$C827=0),"",$C828/$C827-1)</f>
        <v/>
      </c>
      <c r="I828" s="37" t="str">
        <f aca="false">IF(AND(ISNUMBER($G828),$G828&gt;=MA_SHORT),AVERAGE(INDEX($C$428:$C828,402-MA_SHORT):$C828),"")</f>
        <v/>
      </c>
      <c r="J828" s="37" t="str">
        <f aca="false">IF(AND(ISNUMBER($G828),$G828&gt;=MA_MED),AVERAGE(INDEX($C$428:$C828,402-MA_MED):$C828),"")</f>
        <v/>
      </c>
      <c r="K828" s="37" t="str">
        <f aca="false">IF(AND(ISNUMBER($G828),$G828&gt;=MA_LONG2),AVERAGE(INDEX($C$428:$C828,402-MA_LONG2):$C828),"")</f>
        <v/>
      </c>
      <c r="L828" s="38" t="str">
        <f aca="false">IF(AND(ISNUMBER($G828),$G828&gt;=21),STDEV(INDEX($H$768:$H828,62-20):$H828)*SQRT(245),"")</f>
        <v/>
      </c>
      <c r="M828" s="37" t="str">
        <f aca="false">IF(AND(ISNUMBER($G828),$G828&gt;=60),MAX(INDEX($D$628:$D828,202-60):$D828),"")</f>
        <v/>
      </c>
      <c r="N828" s="37" t="str">
        <f aca="false">IF(AND(ISNUMBER($G828),$G828&gt;=60),MIN(INDEX($E$628:$E828,202-60):$E828),"")</f>
        <v/>
      </c>
      <c r="O828" s="38" t="str">
        <f aca="false">IF(OR(NOT(ISNUMBER($C828)),NOT(ISNUMBER($M828)),$M828=0),"",$C828/$M828-1)</f>
        <v/>
      </c>
    </row>
    <row r="829" customFormat="false" ht="15" hidden="false" customHeight="true" outlineLevel="0" collapsed="false">
      <c r="A829" s="39"/>
      <c r="B829" s="40"/>
      <c r="C829" s="41"/>
      <c r="D829" s="40"/>
      <c r="E829" s="40"/>
      <c r="F829" s="40"/>
      <c r="G829" s="35" t="str">
        <f aca="false">IF($A829="","",IF(ISNUMBER($G828),$G828+1,1))</f>
        <v/>
      </c>
      <c r="H829" s="36" t="str">
        <f aca="false">IF(OR(NOT(ISNUMBER($G829)),$G829&lt;2,NOT(ISNUMBER($C828)),$C828=0),"",$C829/$C828-1)</f>
        <v/>
      </c>
      <c r="I829" s="37" t="str">
        <f aca="false">IF(AND(ISNUMBER($G829),$G829&gt;=MA_SHORT),AVERAGE(INDEX($C$429:$C829,402-MA_SHORT):$C829),"")</f>
        <v/>
      </c>
      <c r="J829" s="37" t="str">
        <f aca="false">IF(AND(ISNUMBER($G829),$G829&gt;=MA_MED),AVERAGE(INDEX($C$429:$C829,402-MA_MED):$C829),"")</f>
        <v/>
      </c>
      <c r="K829" s="37" t="str">
        <f aca="false">IF(AND(ISNUMBER($G829),$G829&gt;=MA_LONG2),AVERAGE(INDEX($C$429:$C829,402-MA_LONG2):$C829),"")</f>
        <v/>
      </c>
      <c r="L829" s="38" t="str">
        <f aca="false">IF(AND(ISNUMBER($G829),$G829&gt;=21),STDEV(INDEX($H$769:$H829,62-20):$H829)*SQRT(245),"")</f>
        <v/>
      </c>
      <c r="M829" s="37" t="str">
        <f aca="false">IF(AND(ISNUMBER($G829),$G829&gt;=60),MAX(INDEX($D$629:$D829,202-60):$D829),"")</f>
        <v/>
      </c>
      <c r="N829" s="37" t="str">
        <f aca="false">IF(AND(ISNUMBER($G829),$G829&gt;=60),MIN(INDEX($E$629:$E829,202-60):$E829),"")</f>
        <v/>
      </c>
      <c r="O829" s="38" t="str">
        <f aca="false">IF(OR(NOT(ISNUMBER($C829)),NOT(ISNUMBER($M829)),$M829=0),"",$C829/$M829-1)</f>
        <v/>
      </c>
    </row>
    <row r="830" customFormat="false" ht="15" hidden="false" customHeight="true" outlineLevel="0" collapsed="false">
      <c r="A830" s="39"/>
      <c r="B830" s="40"/>
      <c r="C830" s="41"/>
      <c r="D830" s="40"/>
      <c r="E830" s="40"/>
      <c r="F830" s="40"/>
      <c r="G830" s="35" t="str">
        <f aca="false">IF($A830="","",IF(ISNUMBER($G829),$G829+1,1))</f>
        <v/>
      </c>
      <c r="H830" s="36" t="str">
        <f aca="false">IF(OR(NOT(ISNUMBER($G830)),$G830&lt;2,NOT(ISNUMBER($C829)),$C829=0),"",$C830/$C829-1)</f>
        <v/>
      </c>
      <c r="I830" s="37" t="str">
        <f aca="false">IF(AND(ISNUMBER($G830),$G830&gt;=MA_SHORT),AVERAGE(INDEX($C$430:$C830,402-MA_SHORT):$C830),"")</f>
        <v/>
      </c>
      <c r="J830" s="37" t="str">
        <f aca="false">IF(AND(ISNUMBER($G830),$G830&gt;=MA_MED),AVERAGE(INDEX($C$430:$C830,402-MA_MED):$C830),"")</f>
        <v/>
      </c>
      <c r="K830" s="37" t="str">
        <f aca="false">IF(AND(ISNUMBER($G830),$G830&gt;=MA_LONG2),AVERAGE(INDEX($C$430:$C830,402-MA_LONG2):$C830),"")</f>
        <v/>
      </c>
      <c r="L830" s="38" t="str">
        <f aca="false">IF(AND(ISNUMBER($G830),$G830&gt;=21),STDEV(INDEX($H$770:$H830,62-20):$H830)*SQRT(245),"")</f>
        <v/>
      </c>
      <c r="M830" s="37" t="str">
        <f aca="false">IF(AND(ISNUMBER($G830),$G830&gt;=60),MAX(INDEX($D$630:$D830,202-60):$D830),"")</f>
        <v/>
      </c>
      <c r="N830" s="37" t="str">
        <f aca="false">IF(AND(ISNUMBER($G830),$G830&gt;=60),MIN(INDEX($E$630:$E830,202-60):$E830),"")</f>
        <v/>
      </c>
      <c r="O830" s="38" t="str">
        <f aca="false">IF(OR(NOT(ISNUMBER($C830)),NOT(ISNUMBER($M830)),$M830=0),"",$C830/$M830-1)</f>
        <v/>
      </c>
    </row>
    <row r="831" customFormat="false" ht="15" hidden="false" customHeight="true" outlineLevel="0" collapsed="false">
      <c r="A831" s="39"/>
      <c r="B831" s="40"/>
      <c r="C831" s="41"/>
      <c r="D831" s="40"/>
      <c r="E831" s="40"/>
      <c r="F831" s="40"/>
      <c r="G831" s="35" t="str">
        <f aca="false">IF($A831="","",IF(ISNUMBER($G830),$G830+1,1))</f>
        <v/>
      </c>
      <c r="H831" s="36" t="str">
        <f aca="false">IF(OR(NOT(ISNUMBER($G831)),$G831&lt;2,NOT(ISNUMBER($C830)),$C830=0),"",$C831/$C830-1)</f>
        <v/>
      </c>
      <c r="I831" s="37" t="str">
        <f aca="false">IF(AND(ISNUMBER($G831),$G831&gt;=MA_SHORT),AVERAGE(INDEX($C$431:$C831,402-MA_SHORT):$C831),"")</f>
        <v/>
      </c>
      <c r="J831" s="37" t="str">
        <f aca="false">IF(AND(ISNUMBER($G831),$G831&gt;=MA_MED),AVERAGE(INDEX($C$431:$C831,402-MA_MED):$C831),"")</f>
        <v/>
      </c>
      <c r="K831" s="37" t="str">
        <f aca="false">IF(AND(ISNUMBER($G831),$G831&gt;=MA_LONG2),AVERAGE(INDEX($C$431:$C831,402-MA_LONG2):$C831),"")</f>
        <v/>
      </c>
      <c r="L831" s="38" t="str">
        <f aca="false">IF(AND(ISNUMBER($G831),$G831&gt;=21),STDEV(INDEX($H$771:$H831,62-20):$H831)*SQRT(245),"")</f>
        <v/>
      </c>
      <c r="M831" s="37" t="str">
        <f aca="false">IF(AND(ISNUMBER($G831),$G831&gt;=60),MAX(INDEX($D$631:$D831,202-60):$D831),"")</f>
        <v/>
      </c>
      <c r="N831" s="37" t="str">
        <f aca="false">IF(AND(ISNUMBER($G831),$G831&gt;=60),MIN(INDEX($E$631:$E831,202-60):$E831),"")</f>
        <v/>
      </c>
      <c r="O831" s="38" t="str">
        <f aca="false">IF(OR(NOT(ISNUMBER($C831)),NOT(ISNUMBER($M831)),$M831=0),"",$C831/$M831-1)</f>
        <v/>
      </c>
    </row>
    <row r="832" customFormat="false" ht="15" hidden="false" customHeight="true" outlineLevel="0" collapsed="false">
      <c r="A832" s="39"/>
      <c r="B832" s="40"/>
      <c r="C832" s="41"/>
      <c r="D832" s="40"/>
      <c r="E832" s="40"/>
      <c r="F832" s="40"/>
      <c r="G832" s="35" t="str">
        <f aca="false">IF($A832="","",IF(ISNUMBER($G831),$G831+1,1))</f>
        <v/>
      </c>
      <c r="H832" s="36" t="str">
        <f aca="false">IF(OR(NOT(ISNUMBER($G832)),$G832&lt;2,NOT(ISNUMBER($C831)),$C831=0),"",$C832/$C831-1)</f>
        <v/>
      </c>
      <c r="I832" s="37" t="str">
        <f aca="false">IF(AND(ISNUMBER($G832),$G832&gt;=MA_SHORT),AVERAGE(INDEX($C$432:$C832,402-MA_SHORT):$C832),"")</f>
        <v/>
      </c>
      <c r="J832" s="37" t="str">
        <f aca="false">IF(AND(ISNUMBER($G832),$G832&gt;=MA_MED),AVERAGE(INDEX($C$432:$C832,402-MA_MED):$C832),"")</f>
        <v/>
      </c>
      <c r="K832" s="37" t="str">
        <f aca="false">IF(AND(ISNUMBER($G832),$G832&gt;=MA_LONG2),AVERAGE(INDEX($C$432:$C832,402-MA_LONG2):$C832),"")</f>
        <v/>
      </c>
      <c r="L832" s="38" t="str">
        <f aca="false">IF(AND(ISNUMBER($G832),$G832&gt;=21),STDEV(INDEX($H$772:$H832,62-20):$H832)*SQRT(245),"")</f>
        <v/>
      </c>
      <c r="M832" s="37" t="str">
        <f aca="false">IF(AND(ISNUMBER($G832),$G832&gt;=60),MAX(INDEX($D$632:$D832,202-60):$D832),"")</f>
        <v/>
      </c>
      <c r="N832" s="37" t="str">
        <f aca="false">IF(AND(ISNUMBER($G832),$G832&gt;=60),MIN(INDEX($E$632:$E832,202-60):$E832),"")</f>
        <v/>
      </c>
      <c r="O832" s="38" t="str">
        <f aca="false">IF(OR(NOT(ISNUMBER($C832)),NOT(ISNUMBER($M832)),$M832=0),"",$C832/$M832-1)</f>
        <v/>
      </c>
    </row>
    <row r="833" customFormat="false" ht="15" hidden="false" customHeight="true" outlineLevel="0" collapsed="false">
      <c r="A833" s="39"/>
      <c r="B833" s="40"/>
      <c r="C833" s="41"/>
      <c r="D833" s="40"/>
      <c r="E833" s="40"/>
      <c r="F833" s="40"/>
      <c r="G833" s="35" t="str">
        <f aca="false">IF($A833="","",IF(ISNUMBER($G832),$G832+1,1))</f>
        <v/>
      </c>
      <c r="H833" s="36" t="str">
        <f aca="false">IF(OR(NOT(ISNUMBER($G833)),$G833&lt;2,NOT(ISNUMBER($C832)),$C832=0),"",$C833/$C832-1)</f>
        <v/>
      </c>
      <c r="I833" s="37" t="str">
        <f aca="false">IF(AND(ISNUMBER($G833),$G833&gt;=MA_SHORT),AVERAGE(INDEX($C$433:$C833,402-MA_SHORT):$C833),"")</f>
        <v/>
      </c>
      <c r="J833" s="37" t="str">
        <f aca="false">IF(AND(ISNUMBER($G833),$G833&gt;=MA_MED),AVERAGE(INDEX($C$433:$C833,402-MA_MED):$C833),"")</f>
        <v/>
      </c>
      <c r="K833" s="37" t="str">
        <f aca="false">IF(AND(ISNUMBER($G833),$G833&gt;=MA_LONG2),AVERAGE(INDEX($C$433:$C833,402-MA_LONG2):$C833),"")</f>
        <v/>
      </c>
      <c r="L833" s="38" t="str">
        <f aca="false">IF(AND(ISNUMBER($G833),$G833&gt;=21),STDEV(INDEX($H$773:$H833,62-20):$H833)*SQRT(245),"")</f>
        <v/>
      </c>
      <c r="M833" s="37" t="str">
        <f aca="false">IF(AND(ISNUMBER($G833),$G833&gt;=60),MAX(INDEX($D$633:$D833,202-60):$D833),"")</f>
        <v/>
      </c>
      <c r="N833" s="37" t="str">
        <f aca="false">IF(AND(ISNUMBER($G833),$G833&gt;=60),MIN(INDEX($E$633:$E833,202-60):$E833),"")</f>
        <v/>
      </c>
      <c r="O833" s="38" t="str">
        <f aca="false">IF(OR(NOT(ISNUMBER($C833)),NOT(ISNUMBER($M833)),$M833=0),"",$C833/$M833-1)</f>
        <v/>
      </c>
    </row>
    <row r="834" customFormat="false" ht="15" hidden="false" customHeight="true" outlineLevel="0" collapsed="false">
      <c r="A834" s="39"/>
      <c r="B834" s="40"/>
      <c r="C834" s="41"/>
      <c r="D834" s="40"/>
      <c r="E834" s="40"/>
      <c r="F834" s="40"/>
      <c r="G834" s="35" t="str">
        <f aca="false">IF($A834="","",IF(ISNUMBER($G833),$G833+1,1))</f>
        <v/>
      </c>
      <c r="H834" s="36" t="str">
        <f aca="false">IF(OR(NOT(ISNUMBER($G834)),$G834&lt;2,NOT(ISNUMBER($C833)),$C833=0),"",$C834/$C833-1)</f>
        <v/>
      </c>
      <c r="I834" s="37" t="str">
        <f aca="false">IF(AND(ISNUMBER($G834),$G834&gt;=MA_SHORT),AVERAGE(INDEX($C$434:$C834,402-MA_SHORT):$C834),"")</f>
        <v/>
      </c>
      <c r="J834" s="37" t="str">
        <f aca="false">IF(AND(ISNUMBER($G834),$G834&gt;=MA_MED),AVERAGE(INDEX($C$434:$C834,402-MA_MED):$C834),"")</f>
        <v/>
      </c>
      <c r="K834" s="37" t="str">
        <f aca="false">IF(AND(ISNUMBER($G834),$G834&gt;=MA_LONG2),AVERAGE(INDEX($C$434:$C834,402-MA_LONG2):$C834),"")</f>
        <v/>
      </c>
      <c r="L834" s="38" t="str">
        <f aca="false">IF(AND(ISNUMBER($G834),$G834&gt;=21),STDEV(INDEX($H$774:$H834,62-20):$H834)*SQRT(245),"")</f>
        <v/>
      </c>
      <c r="M834" s="37" t="str">
        <f aca="false">IF(AND(ISNUMBER($G834),$G834&gt;=60),MAX(INDEX($D$634:$D834,202-60):$D834),"")</f>
        <v/>
      </c>
      <c r="N834" s="37" t="str">
        <f aca="false">IF(AND(ISNUMBER($G834),$G834&gt;=60),MIN(INDEX($E$634:$E834,202-60):$E834),"")</f>
        <v/>
      </c>
      <c r="O834" s="38" t="str">
        <f aca="false">IF(OR(NOT(ISNUMBER($C834)),NOT(ISNUMBER($M834)),$M834=0),"",$C834/$M834-1)</f>
        <v/>
      </c>
    </row>
    <row r="835" customFormat="false" ht="15" hidden="false" customHeight="true" outlineLevel="0" collapsed="false">
      <c r="A835" s="39"/>
      <c r="B835" s="40"/>
      <c r="C835" s="41"/>
      <c r="D835" s="40"/>
      <c r="E835" s="40"/>
      <c r="F835" s="40"/>
      <c r="G835" s="35" t="str">
        <f aca="false">IF($A835="","",IF(ISNUMBER($G834),$G834+1,1))</f>
        <v/>
      </c>
      <c r="H835" s="36" t="str">
        <f aca="false">IF(OR(NOT(ISNUMBER($G835)),$G835&lt;2,NOT(ISNUMBER($C834)),$C834=0),"",$C835/$C834-1)</f>
        <v/>
      </c>
      <c r="I835" s="37" t="str">
        <f aca="false">IF(AND(ISNUMBER($G835),$G835&gt;=MA_SHORT),AVERAGE(INDEX($C$435:$C835,402-MA_SHORT):$C835),"")</f>
        <v/>
      </c>
      <c r="J835" s="37" t="str">
        <f aca="false">IF(AND(ISNUMBER($G835),$G835&gt;=MA_MED),AVERAGE(INDEX($C$435:$C835,402-MA_MED):$C835),"")</f>
        <v/>
      </c>
      <c r="K835" s="37" t="str">
        <f aca="false">IF(AND(ISNUMBER($G835),$G835&gt;=MA_LONG2),AVERAGE(INDEX($C$435:$C835,402-MA_LONG2):$C835),"")</f>
        <v/>
      </c>
      <c r="L835" s="38" t="str">
        <f aca="false">IF(AND(ISNUMBER($G835),$G835&gt;=21),STDEV(INDEX($H$775:$H835,62-20):$H835)*SQRT(245),"")</f>
        <v/>
      </c>
      <c r="M835" s="37" t="str">
        <f aca="false">IF(AND(ISNUMBER($G835),$G835&gt;=60),MAX(INDEX($D$635:$D835,202-60):$D835),"")</f>
        <v/>
      </c>
      <c r="N835" s="37" t="str">
        <f aca="false">IF(AND(ISNUMBER($G835),$G835&gt;=60),MIN(INDEX($E$635:$E835,202-60):$E835),"")</f>
        <v/>
      </c>
      <c r="O835" s="38" t="str">
        <f aca="false">IF(OR(NOT(ISNUMBER($C835)),NOT(ISNUMBER($M835)),$M835=0),"",$C835/$M835-1)</f>
        <v/>
      </c>
    </row>
    <row r="836" customFormat="false" ht="15" hidden="false" customHeight="true" outlineLevel="0" collapsed="false">
      <c r="A836" s="39"/>
      <c r="B836" s="40"/>
      <c r="C836" s="41"/>
      <c r="D836" s="40"/>
      <c r="E836" s="40"/>
      <c r="F836" s="40"/>
      <c r="G836" s="35" t="str">
        <f aca="false">IF($A836="","",IF(ISNUMBER($G835),$G835+1,1))</f>
        <v/>
      </c>
      <c r="H836" s="36" t="str">
        <f aca="false">IF(OR(NOT(ISNUMBER($G836)),$G836&lt;2,NOT(ISNUMBER($C835)),$C835=0),"",$C836/$C835-1)</f>
        <v/>
      </c>
      <c r="I836" s="37" t="str">
        <f aca="false">IF(AND(ISNUMBER($G836),$G836&gt;=MA_SHORT),AVERAGE(INDEX($C$436:$C836,402-MA_SHORT):$C836),"")</f>
        <v/>
      </c>
      <c r="J836" s="37" t="str">
        <f aca="false">IF(AND(ISNUMBER($G836),$G836&gt;=MA_MED),AVERAGE(INDEX($C$436:$C836,402-MA_MED):$C836),"")</f>
        <v/>
      </c>
      <c r="K836" s="37" t="str">
        <f aca="false">IF(AND(ISNUMBER($G836),$G836&gt;=MA_LONG2),AVERAGE(INDEX($C$436:$C836,402-MA_LONG2):$C836),"")</f>
        <v/>
      </c>
      <c r="L836" s="38" t="str">
        <f aca="false">IF(AND(ISNUMBER($G836),$G836&gt;=21),STDEV(INDEX($H$776:$H836,62-20):$H836)*SQRT(245),"")</f>
        <v/>
      </c>
      <c r="M836" s="37" t="str">
        <f aca="false">IF(AND(ISNUMBER($G836),$G836&gt;=60),MAX(INDEX($D$636:$D836,202-60):$D836),"")</f>
        <v/>
      </c>
      <c r="N836" s="37" t="str">
        <f aca="false">IF(AND(ISNUMBER($G836),$G836&gt;=60),MIN(INDEX($E$636:$E836,202-60):$E836),"")</f>
        <v/>
      </c>
      <c r="O836" s="38" t="str">
        <f aca="false">IF(OR(NOT(ISNUMBER($C836)),NOT(ISNUMBER($M836)),$M836=0),"",$C836/$M836-1)</f>
        <v/>
      </c>
    </row>
    <row r="837" customFormat="false" ht="15" hidden="false" customHeight="true" outlineLevel="0" collapsed="false">
      <c r="A837" s="39"/>
      <c r="B837" s="40"/>
      <c r="C837" s="41"/>
      <c r="D837" s="40"/>
      <c r="E837" s="40"/>
      <c r="F837" s="40"/>
      <c r="G837" s="35" t="str">
        <f aca="false">IF($A837="","",IF(ISNUMBER($G836),$G836+1,1))</f>
        <v/>
      </c>
      <c r="H837" s="36" t="str">
        <f aca="false">IF(OR(NOT(ISNUMBER($G837)),$G837&lt;2,NOT(ISNUMBER($C836)),$C836=0),"",$C837/$C836-1)</f>
        <v/>
      </c>
      <c r="I837" s="37" t="str">
        <f aca="false">IF(AND(ISNUMBER($G837),$G837&gt;=MA_SHORT),AVERAGE(INDEX($C$437:$C837,402-MA_SHORT):$C837),"")</f>
        <v/>
      </c>
      <c r="J837" s="37" t="str">
        <f aca="false">IF(AND(ISNUMBER($G837),$G837&gt;=MA_MED),AVERAGE(INDEX($C$437:$C837,402-MA_MED):$C837),"")</f>
        <v/>
      </c>
      <c r="K837" s="37" t="str">
        <f aca="false">IF(AND(ISNUMBER($G837),$G837&gt;=MA_LONG2),AVERAGE(INDEX($C$437:$C837,402-MA_LONG2):$C837),"")</f>
        <v/>
      </c>
      <c r="L837" s="38" t="str">
        <f aca="false">IF(AND(ISNUMBER($G837),$G837&gt;=21),STDEV(INDEX($H$777:$H837,62-20):$H837)*SQRT(245),"")</f>
        <v/>
      </c>
      <c r="M837" s="37" t="str">
        <f aca="false">IF(AND(ISNUMBER($G837),$G837&gt;=60),MAX(INDEX($D$637:$D837,202-60):$D837),"")</f>
        <v/>
      </c>
      <c r="N837" s="37" t="str">
        <f aca="false">IF(AND(ISNUMBER($G837),$G837&gt;=60),MIN(INDEX($E$637:$E837,202-60):$E837),"")</f>
        <v/>
      </c>
      <c r="O837" s="38" t="str">
        <f aca="false">IF(OR(NOT(ISNUMBER($C837)),NOT(ISNUMBER($M837)),$M837=0),"",$C837/$M837-1)</f>
        <v/>
      </c>
    </row>
    <row r="838" customFormat="false" ht="15" hidden="false" customHeight="true" outlineLevel="0" collapsed="false">
      <c r="A838" s="39"/>
      <c r="B838" s="40"/>
      <c r="C838" s="41"/>
      <c r="D838" s="40"/>
      <c r="E838" s="40"/>
      <c r="F838" s="40"/>
      <c r="G838" s="35" t="str">
        <f aca="false">IF($A838="","",IF(ISNUMBER($G837),$G837+1,1))</f>
        <v/>
      </c>
      <c r="H838" s="36" t="str">
        <f aca="false">IF(OR(NOT(ISNUMBER($G838)),$G838&lt;2,NOT(ISNUMBER($C837)),$C837=0),"",$C838/$C837-1)</f>
        <v/>
      </c>
      <c r="I838" s="37" t="str">
        <f aca="false">IF(AND(ISNUMBER($G838),$G838&gt;=MA_SHORT),AVERAGE(INDEX($C$438:$C838,402-MA_SHORT):$C838),"")</f>
        <v/>
      </c>
      <c r="J838" s="37" t="str">
        <f aca="false">IF(AND(ISNUMBER($G838),$G838&gt;=MA_MED),AVERAGE(INDEX($C$438:$C838,402-MA_MED):$C838),"")</f>
        <v/>
      </c>
      <c r="K838" s="37" t="str">
        <f aca="false">IF(AND(ISNUMBER($G838),$G838&gt;=MA_LONG2),AVERAGE(INDEX($C$438:$C838,402-MA_LONG2):$C838),"")</f>
        <v/>
      </c>
      <c r="L838" s="38" t="str">
        <f aca="false">IF(AND(ISNUMBER($G838),$G838&gt;=21),STDEV(INDEX($H$778:$H838,62-20):$H838)*SQRT(245),"")</f>
        <v/>
      </c>
      <c r="M838" s="37" t="str">
        <f aca="false">IF(AND(ISNUMBER($G838),$G838&gt;=60),MAX(INDEX($D$638:$D838,202-60):$D838),"")</f>
        <v/>
      </c>
      <c r="N838" s="37" t="str">
        <f aca="false">IF(AND(ISNUMBER($G838),$G838&gt;=60),MIN(INDEX($E$638:$E838,202-60):$E838),"")</f>
        <v/>
      </c>
      <c r="O838" s="38" t="str">
        <f aca="false">IF(OR(NOT(ISNUMBER($C838)),NOT(ISNUMBER($M838)),$M838=0),"",$C838/$M838-1)</f>
        <v/>
      </c>
    </row>
    <row r="839" customFormat="false" ht="15" hidden="false" customHeight="true" outlineLevel="0" collapsed="false">
      <c r="A839" s="39"/>
      <c r="B839" s="40"/>
      <c r="C839" s="41"/>
      <c r="D839" s="40"/>
      <c r="E839" s="40"/>
      <c r="F839" s="40"/>
      <c r="G839" s="35" t="str">
        <f aca="false">IF($A839="","",IF(ISNUMBER($G838),$G838+1,1))</f>
        <v/>
      </c>
      <c r="H839" s="36" t="str">
        <f aca="false">IF(OR(NOT(ISNUMBER($G839)),$G839&lt;2,NOT(ISNUMBER($C838)),$C838=0),"",$C839/$C838-1)</f>
        <v/>
      </c>
      <c r="I839" s="37" t="str">
        <f aca="false">IF(AND(ISNUMBER($G839),$G839&gt;=MA_SHORT),AVERAGE(INDEX($C$439:$C839,402-MA_SHORT):$C839),"")</f>
        <v/>
      </c>
      <c r="J839" s="37" t="str">
        <f aca="false">IF(AND(ISNUMBER($G839),$G839&gt;=MA_MED),AVERAGE(INDEX($C$439:$C839,402-MA_MED):$C839),"")</f>
        <v/>
      </c>
      <c r="K839" s="37" t="str">
        <f aca="false">IF(AND(ISNUMBER($G839),$G839&gt;=MA_LONG2),AVERAGE(INDEX($C$439:$C839,402-MA_LONG2):$C839),"")</f>
        <v/>
      </c>
      <c r="L839" s="38" t="str">
        <f aca="false">IF(AND(ISNUMBER($G839),$G839&gt;=21),STDEV(INDEX($H$779:$H839,62-20):$H839)*SQRT(245),"")</f>
        <v/>
      </c>
      <c r="M839" s="37" t="str">
        <f aca="false">IF(AND(ISNUMBER($G839),$G839&gt;=60),MAX(INDEX($D$639:$D839,202-60):$D839),"")</f>
        <v/>
      </c>
      <c r="N839" s="37" t="str">
        <f aca="false">IF(AND(ISNUMBER($G839),$G839&gt;=60),MIN(INDEX($E$639:$E839,202-60):$E839),"")</f>
        <v/>
      </c>
      <c r="O839" s="38" t="str">
        <f aca="false">IF(OR(NOT(ISNUMBER($C839)),NOT(ISNUMBER($M839)),$M839=0),"",$C839/$M839-1)</f>
        <v/>
      </c>
    </row>
    <row r="840" customFormat="false" ht="15" hidden="false" customHeight="true" outlineLevel="0" collapsed="false">
      <c r="A840" s="39"/>
      <c r="B840" s="40"/>
      <c r="C840" s="41"/>
      <c r="D840" s="40"/>
      <c r="E840" s="40"/>
      <c r="F840" s="40"/>
      <c r="G840" s="35" t="str">
        <f aca="false">IF($A840="","",IF(ISNUMBER($G839),$G839+1,1))</f>
        <v/>
      </c>
      <c r="H840" s="36" t="str">
        <f aca="false">IF(OR(NOT(ISNUMBER($G840)),$G840&lt;2,NOT(ISNUMBER($C839)),$C839=0),"",$C840/$C839-1)</f>
        <v/>
      </c>
      <c r="I840" s="37" t="str">
        <f aca="false">IF(AND(ISNUMBER($G840),$G840&gt;=MA_SHORT),AVERAGE(INDEX($C$440:$C840,402-MA_SHORT):$C840),"")</f>
        <v/>
      </c>
      <c r="J840" s="37" t="str">
        <f aca="false">IF(AND(ISNUMBER($G840),$G840&gt;=MA_MED),AVERAGE(INDEX($C$440:$C840,402-MA_MED):$C840),"")</f>
        <v/>
      </c>
      <c r="K840" s="37" t="str">
        <f aca="false">IF(AND(ISNUMBER($G840),$G840&gt;=MA_LONG2),AVERAGE(INDEX($C$440:$C840,402-MA_LONG2):$C840),"")</f>
        <v/>
      </c>
      <c r="L840" s="38" t="str">
        <f aca="false">IF(AND(ISNUMBER($G840),$G840&gt;=21),STDEV(INDEX($H$780:$H840,62-20):$H840)*SQRT(245),"")</f>
        <v/>
      </c>
      <c r="M840" s="37" t="str">
        <f aca="false">IF(AND(ISNUMBER($G840),$G840&gt;=60),MAX(INDEX($D$640:$D840,202-60):$D840),"")</f>
        <v/>
      </c>
      <c r="N840" s="37" t="str">
        <f aca="false">IF(AND(ISNUMBER($G840),$G840&gt;=60),MIN(INDEX($E$640:$E840,202-60):$E840),"")</f>
        <v/>
      </c>
      <c r="O840" s="38" t="str">
        <f aca="false">IF(OR(NOT(ISNUMBER($C840)),NOT(ISNUMBER($M840)),$M840=0),"",$C840/$M840-1)</f>
        <v/>
      </c>
    </row>
    <row r="841" customFormat="false" ht="15" hidden="false" customHeight="true" outlineLevel="0" collapsed="false">
      <c r="A841" s="39"/>
      <c r="B841" s="40"/>
      <c r="C841" s="41"/>
      <c r="D841" s="40"/>
      <c r="E841" s="40"/>
      <c r="F841" s="40"/>
      <c r="G841" s="35" t="str">
        <f aca="false">IF($A841="","",IF(ISNUMBER($G840),$G840+1,1))</f>
        <v/>
      </c>
      <c r="H841" s="36" t="str">
        <f aca="false">IF(OR(NOT(ISNUMBER($G841)),$G841&lt;2,NOT(ISNUMBER($C840)),$C840=0),"",$C841/$C840-1)</f>
        <v/>
      </c>
      <c r="I841" s="37" t="str">
        <f aca="false">IF(AND(ISNUMBER($G841),$G841&gt;=MA_SHORT),AVERAGE(INDEX($C$441:$C841,402-MA_SHORT):$C841),"")</f>
        <v/>
      </c>
      <c r="J841" s="37" t="str">
        <f aca="false">IF(AND(ISNUMBER($G841),$G841&gt;=MA_MED),AVERAGE(INDEX($C$441:$C841,402-MA_MED):$C841),"")</f>
        <v/>
      </c>
      <c r="K841" s="37" t="str">
        <f aca="false">IF(AND(ISNUMBER($G841),$G841&gt;=MA_LONG2),AVERAGE(INDEX($C$441:$C841,402-MA_LONG2):$C841),"")</f>
        <v/>
      </c>
      <c r="L841" s="38" t="str">
        <f aca="false">IF(AND(ISNUMBER($G841),$G841&gt;=21),STDEV(INDEX($H$781:$H841,62-20):$H841)*SQRT(245),"")</f>
        <v/>
      </c>
      <c r="M841" s="37" t="str">
        <f aca="false">IF(AND(ISNUMBER($G841),$G841&gt;=60),MAX(INDEX($D$641:$D841,202-60):$D841),"")</f>
        <v/>
      </c>
      <c r="N841" s="37" t="str">
        <f aca="false">IF(AND(ISNUMBER($G841),$G841&gt;=60),MIN(INDEX($E$641:$E841,202-60):$E841),"")</f>
        <v/>
      </c>
      <c r="O841" s="38" t="str">
        <f aca="false">IF(OR(NOT(ISNUMBER($C841)),NOT(ISNUMBER($M841)),$M841=0),"",$C841/$M841-1)</f>
        <v/>
      </c>
    </row>
    <row r="842" customFormat="false" ht="15" hidden="false" customHeight="true" outlineLevel="0" collapsed="false">
      <c r="A842" s="39"/>
      <c r="B842" s="40"/>
      <c r="C842" s="41"/>
      <c r="D842" s="40"/>
      <c r="E842" s="40"/>
      <c r="F842" s="40"/>
      <c r="G842" s="35" t="str">
        <f aca="false">IF($A842="","",IF(ISNUMBER($G841),$G841+1,1))</f>
        <v/>
      </c>
      <c r="H842" s="36" t="str">
        <f aca="false">IF(OR(NOT(ISNUMBER($G842)),$G842&lt;2,NOT(ISNUMBER($C841)),$C841=0),"",$C842/$C841-1)</f>
        <v/>
      </c>
      <c r="I842" s="37" t="str">
        <f aca="false">IF(AND(ISNUMBER($G842),$G842&gt;=MA_SHORT),AVERAGE(INDEX($C$442:$C842,402-MA_SHORT):$C842),"")</f>
        <v/>
      </c>
      <c r="J842" s="37" t="str">
        <f aca="false">IF(AND(ISNUMBER($G842),$G842&gt;=MA_MED),AVERAGE(INDEX($C$442:$C842,402-MA_MED):$C842),"")</f>
        <v/>
      </c>
      <c r="K842" s="37" t="str">
        <f aca="false">IF(AND(ISNUMBER($G842),$G842&gt;=MA_LONG2),AVERAGE(INDEX($C$442:$C842,402-MA_LONG2):$C842),"")</f>
        <v/>
      </c>
      <c r="L842" s="38" t="str">
        <f aca="false">IF(AND(ISNUMBER($G842),$G842&gt;=21),STDEV(INDEX($H$782:$H842,62-20):$H842)*SQRT(245),"")</f>
        <v/>
      </c>
      <c r="M842" s="37" t="str">
        <f aca="false">IF(AND(ISNUMBER($G842),$G842&gt;=60),MAX(INDEX($D$642:$D842,202-60):$D842),"")</f>
        <v/>
      </c>
      <c r="N842" s="37" t="str">
        <f aca="false">IF(AND(ISNUMBER($G842),$G842&gt;=60),MIN(INDEX($E$642:$E842,202-60):$E842),"")</f>
        <v/>
      </c>
      <c r="O842" s="38" t="str">
        <f aca="false">IF(OR(NOT(ISNUMBER($C842)),NOT(ISNUMBER($M842)),$M842=0),"",$C842/$M842-1)</f>
        <v/>
      </c>
    </row>
    <row r="843" customFormat="false" ht="15" hidden="false" customHeight="true" outlineLevel="0" collapsed="false">
      <c r="A843" s="39"/>
      <c r="B843" s="40"/>
      <c r="C843" s="41"/>
      <c r="D843" s="40"/>
      <c r="E843" s="40"/>
      <c r="F843" s="40"/>
      <c r="G843" s="35" t="str">
        <f aca="false">IF($A843="","",IF(ISNUMBER($G842),$G842+1,1))</f>
        <v/>
      </c>
      <c r="H843" s="36" t="str">
        <f aca="false">IF(OR(NOT(ISNUMBER($G843)),$G843&lt;2,NOT(ISNUMBER($C842)),$C842=0),"",$C843/$C842-1)</f>
        <v/>
      </c>
      <c r="I843" s="37" t="str">
        <f aca="false">IF(AND(ISNUMBER($G843),$G843&gt;=MA_SHORT),AVERAGE(INDEX($C$443:$C843,402-MA_SHORT):$C843),"")</f>
        <v/>
      </c>
      <c r="J843" s="37" t="str">
        <f aca="false">IF(AND(ISNUMBER($G843),$G843&gt;=MA_MED),AVERAGE(INDEX($C$443:$C843,402-MA_MED):$C843),"")</f>
        <v/>
      </c>
      <c r="K843" s="37" t="str">
        <f aca="false">IF(AND(ISNUMBER($G843),$G843&gt;=MA_LONG2),AVERAGE(INDEX($C$443:$C843,402-MA_LONG2):$C843),"")</f>
        <v/>
      </c>
      <c r="L843" s="38" t="str">
        <f aca="false">IF(AND(ISNUMBER($G843),$G843&gt;=21),STDEV(INDEX($H$783:$H843,62-20):$H843)*SQRT(245),"")</f>
        <v/>
      </c>
      <c r="M843" s="37" t="str">
        <f aca="false">IF(AND(ISNUMBER($G843),$G843&gt;=60),MAX(INDEX($D$643:$D843,202-60):$D843),"")</f>
        <v/>
      </c>
      <c r="N843" s="37" t="str">
        <f aca="false">IF(AND(ISNUMBER($G843),$G843&gt;=60),MIN(INDEX($E$643:$E843,202-60):$E843),"")</f>
        <v/>
      </c>
      <c r="O843" s="38" t="str">
        <f aca="false">IF(OR(NOT(ISNUMBER($C843)),NOT(ISNUMBER($M843)),$M843=0),"",$C843/$M843-1)</f>
        <v/>
      </c>
    </row>
    <row r="844" customFormat="false" ht="15" hidden="false" customHeight="true" outlineLevel="0" collapsed="false">
      <c r="A844" s="39"/>
      <c r="B844" s="40"/>
      <c r="C844" s="41"/>
      <c r="D844" s="40"/>
      <c r="E844" s="40"/>
      <c r="F844" s="40"/>
      <c r="G844" s="35" t="str">
        <f aca="false">IF($A844="","",IF(ISNUMBER($G843),$G843+1,1))</f>
        <v/>
      </c>
      <c r="H844" s="36" t="str">
        <f aca="false">IF(OR(NOT(ISNUMBER($G844)),$G844&lt;2,NOT(ISNUMBER($C843)),$C843=0),"",$C844/$C843-1)</f>
        <v/>
      </c>
      <c r="I844" s="37" t="str">
        <f aca="false">IF(AND(ISNUMBER($G844),$G844&gt;=MA_SHORT),AVERAGE(INDEX($C$444:$C844,402-MA_SHORT):$C844),"")</f>
        <v/>
      </c>
      <c r="J844" s="37" t="str">
        <f aca="false">IF(AND(ISNUMBER($G844),$G844&gt;=MA_MED),AVERAGE(INDEX($C$444:$C844,402-MA_MED):$C844),"")</f>
        <v/>
      </c>
      <c r="K844" s="37" t="str">
        <f aca="false">IF(AND(ISNUMBER($G844),$G844&gt;=MA_LONG2),AVERAGE(INDEX($C$444:$C844,402-MA_LONG2):$C844),"")</f>
        <v/>
      </c>
      <c r="L844" s="38" t="str">
        <f aca="false">IF(AND(ISNUMBER($G844),$G844&gt;=21),STDEV(INDEX($H$784:$H844,62-20):$H844)*SQRT(245),"")</f>
        <v/>
      </c>
      <c r="M844" s="37" t="str">
        <f aca="false">IF(AND(ISNUMBER($G844),$G844&gt;=60),MAX(INDEX($D$644:$D844,202-60):$D844),"")</f>
        <v/>
      </c>
      <c r="N844" s="37" t="str">
        <f aca="false">IF(AND(ISNUMBER($G844),$G844&gt;=60),MIN(INDEX($E$644:$E844,202-60):$E844),"")</f>
        <v/>
      </c>
      <c r="O844" s="38" t="str">
        <f aca="false">IF(OR(NOT(ISNUMBER($C844)),NOT(ISNUMBER($M844)),$M844=0),"",$C844/$M844-1)</f>
        <v/>
      </c>
    </row>
    <row r="845" customFormat="false" ht="15" hidden="false" customHeight="true" outlineLevel="0" collapsed="false">
      <c r="A845" s="39"/>
      <c r="B845" s="40"/>
      <c r="C845" s="41"/>
      <c r="D845" s="40"/>
      <c r="E845" s="40"/>
      <c r="F845" s="40"/>
      <c r="G845" s="35" t="str">
        <f aca="false">IF($A845="","",IF(ISNUMBER($G844),$G844+1,1))</f>
        <v/>
      </c>
      <c r="H845" s="36" t="str">
        <f aca="false">IF(OR(NOT(ISNUMBER($G845)),$G845&lt;2,NOT(ISNUMBER($C844)),$C844=0),"",$C845/$C844-1)</f>
        <v/>
      </c>
      <c r="I845" s="37" t="str">
        <f aca="false">IF(AND(ISNUMBER($G845),$G845&gt;=MA_SHORT),AVERAGE(INDEX($C$445:$C845,402-MA_SHORT):$C845),"")</f>
        <v/>
      </c>
      <c r="J845" s="37" t="str">
        <f aca="false">IF(AND(ISNUMBER($G845),$G845&gt;=MA_MED),AVERAGE(INDEX($C$445:$C845,402-MA_MED):$C845),"")</f>
        <v/>
      </c>
      <c r="K845" s="37" t="str">
        <f aca="false">IF(AND(ISNUMBER($G845),$G845&gt;=MA_LONG2),AVERAGE(INDEX($C$445:$C845,402-MA_LONG2):$C845),"")</f>
        <v/>
      </c>
      <c r="L845" s="38" t="str">
        <f aca="false">IF(AND(ISNUMBER($G845),$G845&gt;=21),STDEV(INDEX($H$785:$H845,62-20):$H845)*SQRT(245),"")</f>
        <v/>
      </c>
      <c r="M845" s="37" t="str">
        <f aca="false">IF(AND(ISNUMBER($G845),$G845&gt;=60),MAX(INDEX($D$645:$D845,202-60):$D845),"")</f>
        <v/>
      </c>
      <c r="N845" s="37" t="str">
        <f aca="false">IF(AND(ISNUMBER($G845),$G845&gt;=60),MIN(INDEX($E$645:$E845,202-60):$E845),"")</f>
        <v/>
      </c>
      <c r="O845" s="38" t="str">
        <f aca="false">IF(OR(NOT(ISNUMBER($C845)),NOT(ISNUMBER($M845)),$M845=0),"",$C845/$M845-1)</f>
        <v/>
      </c>
    </row>
    <row r="846" customFormat="false" ht="15" hidden="false" customHeight="true" outlineLevel="0" collapsed="false">
      <c r="A846" s="39"/>
      <c r="B846" s="40"/>
      <c r="C846" s="41"/>
      <c r="D846" s="40"/>
      <c r="E846" s="40"/>
      <c r="F846" s="40"/>
      <c r="G846" s="35" t="str">
        <f aca="false">IF($A846="","",IF(ISNUMBER($G845),$G845+1,1))</f>
        <v/>
      </c>
      <c r="H846" s="36" t="str">
        <f aca="false">IF(OR(NOT(ISNUMBER($G846)),$G846&lt;2,NOT(ISNUMBER($C845)),$C845=0),"",$C846/$C845-1)</f>
        <v/>
      </c>
      <c r="I846" s="37" t="str">
        <f aca="false">IF(AND(ISNUMBER($G846),$G846&gt;=MA_SHORT),AVERAGE(INDEX($C$446:$C846,402-MA_SHORT):$C846),"")</f>
        <v/>
      </c>
      <c r="J846" s="37" t="str">
        <f aca="false">IF(AND(ISNUMBER($G846),$G846&gt;=MA_MED),AVERAGE(INDEX($C$446:$C846,402-MA_MED):$C846),"")</f>
        <v/>
      </c>
      <c r="K846" s="37" t="str">
        <f aca="false">IF(AND(ISNUMBER($G846),$G846&gt;=MA_LONG2),AVERAGE(INDEX($C$446:$C846,402-MA_LONG2):$C846),"")</f>
        <v/>
      </c>
      <c r="L846" s="38" t="str">
        <f aca="false">IF(AND(ISNUMBER($G846),$G846&gt;=21),STDEV(INDEX($H$786:$H846,62-20):$H846)*SQRT(245),"")</f>
        <v/>
      </c>
      <c r="M846" s="37" t="str">
        <f aca="false">IF(AND(ISNUMBER($G846),$G846&gt;=60),MAX(INDEX($D$646:$D846,202-60):$D846),"")</f>
        <v/>
      </c>
      <c r="N846" s="37" t="str">
        <f aca="false">IF(AND(ISNUMBER($G846),$G846&gt;=60),MIN(INDEX($E$646:$E846,202-60):$E846),"")</f>
        <v/>
      </c>
      <c r="O846" s="38" t="str">
        <f aca="false">IF(OR(NOT(ISNUMBER($C846)),NOT(ISNUMBER($M846)),$M846=0),"",$C846/$M846-1)</f>
        <v/>
      </c>
    </row>
    <row r="847" customFormat="false" ht="15" hidden="false" customHeight="true" outlineLevel="0" collapsed="false">
      <c r="A847" s="39"/>
      <c r="B847" s="40"/>
      <c r="C847" s="41"/>
      <c r="D847" s="40"/>
      <c r="E847" s="40"/>
      <c r="F847" s="40"/>
      <c r="G847" s="35" t="str">
        <f aca="false">IF($A847="","",IF(ISNUMBER($G846),$G846+1,1))</f>
        <v/>
      </c>
      <c r="H847" s="36" t="str">
        <f aca="false">IF(OR(NOT(ISNUMBER($G847)),$G847&lt;2,NOT(ISNUMBER($C846)),$C846=0),"",$C847/$C846-1)</f>
        <v/>
      </c>
      <c r="I847" s="37" t="str">
        <f aca="false">IF(AND(ISNUMBER($G847),$G847&gt;=MA_SHORT),AVERAGE(INDEX($C$447:$C847,402-MA_SHORT):$C847),"")</f>
        <v/>
      </c>
      <c r="J847" s="37" t="str">
        <f aca="false">IF(AND(ISNUMBER($G847),$G847&gt;=MA_MED),AVERAGE(INDEX($C$447:$C847,402-MA_MED):$C847),"")</f>
        <v/>
      </c>
      <c r="K847" s="37" t="str">
        <f aca="false">IF(AND(ISNUMBER($G847),$G847&gt;=MA_LONG2),AVERAGE(INDEX($C$447:$C847,402-MA_LONG2):$C847),"")</f>
        <v/>
      </c>
      <c r="L847" s="38" t="str">
        <f aca="false">IF(AND(ISNUMBER($G847),$G847&gt;=21),STDEV(INDEX($H$787:$H847,62-20):$H847)*SQRT(245),"")</f>
        <v/>
      </c>
      <c r="M847" s="37" t="str">
        <f aca="false">IF(AND(ISNUMBER($G847),$G847&gt;=60),MAX(INDEX($D$647:$D847,202-60):$D847),"")</f>
        <v/>
      </c>
      <c r="N847" s="37" t="str">
        <f aca="false">IF(AND(ISNUMBER($G847),$G847&gt;=60),MIN(INDEX($E$647:$E847,202-60):$E847),"")</f>
        <v/>
      </c>
      <c r="O847" s="38" t="str">
        <f aca="false">IF(OR(NOT(ISNUMBER($C847)),NOT(ISNUMBER($M847)),$M847=0),"",$C847/$M847-1)</f>
        <v/>
      </c>
    </row>
    <row r="848" customFormat="false" ht="15" hidden="false" customHeight="true" outlineLevel="0" collapsed="false">
      <c r="A848" s="39"/>
      <c r="B848" s="40"/>
      <c r="C848" s="41"/>
      <c r="D848" s="40"/>
      <c r="E848" s="40"/>
      <c r="F848" s="40"/>
      <c r="G848" s="35" t="str">
        <f aca="false">IF($A848="","",IF(ISNUMBER($G847),$G847+1,1))</f>
        <v/>
      </c>
      <c r="H848" s="36" t="str">
        <f aca="false">IF(OR(NOT(ISNUMBER($G848)),$G848&lt;2,NOT(ISNUMBER($C847)),$C847=0),"",$C848/$C847-1)</f>
        <v/>
      </c>
      <c r="I848" s="37" t="str">
        <f aca="false">IF(AND(ISNUMBER($G848),$G848&gt;=MA_SHORT),AVERAGE(INDEX($C$448:$C848,402-MA_SHORT):$C848),"")</f>
        <v/>
      </c>
      <c r="J848" s="37" t="str">
        <f aca="false">IF(AND(ISNUMBER($G848),$G848&gt;=MA_MED),AVERAGE(INDEX($C$448:$C848,402-MA_MED):$C848),"")</f>
        <v/>
      </c>
      <c r="K848" s="37" t="str">
        <f aca="false">IF(AND(ISNUMBER($G848),$G848&gt;=MA_LONG2),AVERAGE(INDEX($C$448:$C848,402-MA_LONG2):$C848),"")</f>
        <v/>
      </c>
      <c r="L848" s="38" t="str">
        <f aca="false">IF(AND(ISNUMBER($G848),$G848&gt;=21),STDEV(INDEX($H$788:$H848,62-20):$H848)*SQRT(245),"")</f>
        <v/>
      </c>
      <c r="M848" s="37" t="str">
        <f aca="false">IF(AND(ISNUMBER($G848),$G848&gt;=60),MAX(INDEX($D$648:$D848,202-60):$D848),"")</f>
        <v/>
      </c>
      <c r="N848" s="37" t="str">
        <f aca="false">IF(AND(ISNUMBER($G848),$G848&gt;=60),MIN(INDEX($E$648:$E848,202-60):$E848),"")</f>
        <v/>
      </c>
      <c r="O848" s="38" t="str">
        <f aca="false">IF(OR(NOT(ISNUMBER($C848)),NOT(ISNUMBER($M848)),$M848=0),"",$C848/$M848-1)</f>
        <v/>
      </c>
    </row>
    <row r="849" customFormat="false" ht="15" hidden="false" customHeight="true" outlineLevel="0" collapsed="false">
      <c r="A849" s="39"/>
      <c r="B849" s="40"/>
      <c r="C849" s="41"/>
      <c r="D849" s="40"/>
      <c r="E849" s="40"/>
      <c r="F849" s="40"/>
      <c r="G849" s="35" t="str">
        <f aca="false">IF($A849="","",IF(ISNUMBER($G848),$G848+1,1))</f>
        <v/>
      </c>
      <c r="H849" s="36" t="str">
        <f aca="false">IF(OR(NOT(ISNUMBER($G849)),$G849&lt;2,NOT(ISNUMBER($C848)),$C848=0),"",$C849/$C848-1)</f>
        <v/>
      </c>
      <c r="I849" s="37" t="str">
        <f aca="false">IF(AND(ISNUMBER($G849),$G849&gt;=MA_SHORT),AVERAGE(INDEX($C$449:$C849,402-MA_SHORT):$C849),"")</f>
        <v/>
      </c>
      <c r="J849" s="37" t="str">
        <f aca="false">IF(AND(ISNUMBER($G849),$G849&gt;=MA_MED),AVERAGE(INDEX($C$449:$C849,402-MA_MED):$C849),"")</f>
        <v/>
      </c>
      <c r="K849" s="37" t="str">
        <f aca="false">IF(AND(ISNUMBER($G849),$G849&gt;=MA_LONG2),AVERAGE(INDEX($C$449:$C849,402-MA_LONG2):$C849),"")</f>
        <v/>
      </c>
      <c r="L849" s="38" t="str">
        <f aca="false">IF(AND(ISNUMBER($G849),$G849&gt;=21),STDEV(INDEX($H$789:$H849,62-20):$H849)*SQRT(245),"")</f>
        <v/>
      </c>
      <c r="M849" s="37" t="str">
        <f aca="false">IF(AND(ISNUMBER($G849),$G849&gt;=60),MAX(INDEX($D$649:$D849,202-60):$D849),"")</f>
        <v/>
      </c>
      <c r="N849" s="37" t="str">
        <f aca="false">IF(AND(ISNUMBER($G849),$G849&gt;=60),MIN(INDEX($E$649:$E849,202-60):$E849),"")</f>
        <v/>
      </c>
      <c r="O849" s="38" t="str">
        <f aca="false">IF(OR(NOT(ISNUMBER($C849)),NOT(ISNUMBER($M849)),$M849=0),"",$C849/$M849-1)</f>
        <v/>
      </c>
    </row>
    <row r="850" customFormat="false" ht="15" hidden="false" customHeight="true" outlineLevel="0" collapsed="false">
      <c r="A850" s="39"/>
      <c r="B850" s="40"/>
      <c r="C850" s="41"/>
      <c r="D850" s="40"/>
      <c r="E850" s="40"/>
      <c r="F850" s="40"/>
      <c r="G850" s="35" t="str">
        <f aca="false">IF($A850="","",IF(ISNUMBER($G849),$G849+1,1))</f>
        <v/>
      </c>
      <c r="H850" s="36" t="str">
        <f aca="false">IF(OR(NOT(ISNUMBER($G850)),$G850&lt;2,NOT(ISNUMBER($C849)),$C849=0),"",$C850/$C849-1)</f>
        <v/>
      </c>
      <c r="I850" s="37" t="str">
        <f aca="false">IF(AND(ISNUMBER($G850),$G850&gt;=MA_SHORT),AVERAGE(INDEX($C$450:$C850,402-MA_SHORT):$C850),"")</f>
        <v/>
      </c>
      <c r="J850" s="37" t="str">
        <f aca="false">IF(AND(ISNUMBER($G850),$G850&gt;=MA_MED),AVERAGE(INDEX($C$450:$C850,402-MA_MED):$C850),"")</f>
        <v/>
      </c>
      <c r="K850" s="37" t="str">
        <f aca="false">IF(AND(ISNUMBER($G850),$G850&gt;=MA_LONG2),AVERAGE(INDEX($C$450:$C850,402-MA_LONG2):$C850),"")</f>
        <v/>
      </c>
      <c r="L850" s="38" t="str">
        <f aca="false">IF(AND(ISNUMBER($G850),$G850&gt;=21),STDEV(INDEX($H$790:$H850,62-20):$H850)*SQRT(245),"")</f>
        <v/>
      </c>
      <c r="M850" s="37" t="str">
        <f aca="false">IF(AND(ISNUMBER($G850),$G850&gt;=60),MAX(INDEX($D$650:$D850,202-60):$D850),"")</f>
        <v/>
      </c>
      <c r="N850" s="37" t="str">
        <f aca="false">IF(AND(ISNUMBER($G850),$G850&gt;=60),MIN(INDEX($E$650:$E850,202-60):$E850),"")</f>
        <v/>
      </c>
      <c r="O850" s="38" t="str">
        <f aca="false">IF(OR(NOT(ISNUMBER($C850)),NOT(ISNUMBER($M850)),$M850=0),"",$C850/$M850-1)</f>
        <v/>
      </c>
    </row>
    <row r="851" customFormat="false" ht="15" hidden="false" customHeight="true" outlineLevel="0" collapsed="false">
      <c r="A851" s="39"/>
      <c r="B851" s="40"/>
      <c r="C851" s="41"/>
      <c r="D851" s="40"/>
      <c r="E851" s="40"/>
      <c r="F851" s="40"/>
      <c r="G851" s="35" t="str">
        <f aca="false">IF($A851="","",IF(ISNUMBER($G850),$G850+1,1))</f>
        <v/>
      </c>
      <c r="H851" s="36" t="str">
        <f aca="false">IF(OR(NOT(ISNUMBER($G851)),$G851&lt;2,NOT(ISNUMBER($C850)),$C850=0),"",$C851/$C850-1)</f>
        <v/>
      </c>
      <c r="I851" s="37" t="str">
        <f aca="false">IF(AND(ISNUMBER($G851),$G851&gt;=MA_SHORT),AVERAGE(INDEX($C$451:$C851,402-MA_SHORT):$C851),"")</f>
        <v/>
      </c>
      <c r="J851" s="37" t="str">
        <f aca="false">IF(AND(ISNUMBER($G851),$G851&gt;=MA_MED),AVERAGE(INDEX($C$451:$C851,402-MA_MED):$C851),"")</f>
        <v/>
      </c>
      <c r="K851" s="37" t="str">
        <f aca="false">IF(AND(ISNUMBER($G851),$G851&gt;=MA_LONG2),AVERAGE(INDEX($C$451:$C851,402-MA_LONG2):$C851),"")</f>
        <v/>
      </c>
      <c r="L851" s="38" t="str">
        <f aca="false">IF(AND(ISNUMBER($G851),$G851&gt;=21),STDEV(INDEX($H$791:$H851,62-20):$H851)*SQRT(245),"")</f>
        <v/>
      </c>
      <c r="M851" s="37" t="str">
        <f aca="false">IF(AND(ISNUMBER($G851),$G851&gt;=60),MAX(INDEX($D$651:$D851,202-60):$D851),"")</f>
        <v/>
      </c>
      <c r="N851" s="37" t="str">
        <f aca="false">IF(AND(ISNUMBER($G851),$G851&gt;=60),MIN(INDEX($E$651:$E851,202-60):$E851),"")</f>
        <v/>
      </c>
      <c r="O851" s="38" t="str">
        <f aca="false">IF(OR(NOT(ISNUMBER($C851)),NOT(ISNUMBER($M851)),$M851=0),"",$C851/$M851-1)</f>
        <v/>
      </c>
    </row>
    <row r="852" customFormat="false" ht="15" hidden="false" customHeight="true" outlineLevel="0" collapsed="false">
      <c r="A852" s="39"/>
      <c r="B852" s="40"/>
      <c r="C852" s="41"/>
      <c r="D852" s="40"/>
      <c r="E852" s="40"/>
      <c r="F852" s="40"/>
      <c r="G852" s="35" t="str">
        <f aca="false">IF($A852="","",IF(ISNUMBER($G851),$G851+1,1))</f>
        <v/>
      </c>
      <c r="H852" s="36" t="str">
        <f aca="false">IF(OR(NOT(ISNUMBER($G852)),$G852&lt;2,NOT(ISNUMBER($C851)),$C851=0),"",$C852/$C851-1)</f>
        <v/>
      </c>
      <c r="I852" s="37" t="str">
        <f aca="false">IF(AND(ISNUMBER($G852),$G852&gt;=MA_SHORT),AVERAGE(INDEX($C$452:$C852,402-MA_SHORT):$C852),"")</f>
        <v/>
      </c>
      <c r="J852" s="37" t="str">
        <f aca="false">IF(AND(ISNUMBER($G852),$G852&gt;=MA_MED),AVERAGE(INDEX($C$452:$C852,402-MA_MED):$C852),"")</f>
        <v/>
      </c>
      <c r="K852" s="37" t="str">
        <f aca="false">IF(AND(ISNUMBER($G852),$G852&gt;=MA_LONG2),AVERAGE(INDEX($C$452:$C852,402-MA_LONG2):$C852),"")</f>
        <v/>
      </c>
      <c r="L852" s="38" t="str">
        <f aca="false">IF(AND(ISNUMBER($G852),$G852&gt;=21),STDEV(INDEX($H$792:$H852,62-20):$H852)*SQRT(245),"")</f>
        <v/>
      </c>
      <c r="M852" s="37" t="str">
        <f aca="false">IF(AND(ISNUMBER($G852),$G852&gt;=60),MAX(INDEX($D$652:$D852,202-60):$D852),"")</f>
        <v/>
      </c>
      <c r="N852" s="37" t="str">
        <f aca="false">IF(AND(ISNUMBER($G852),$G852&gt;=60),MIN(INDEX($E$652:$E852,202-60):$E852),"")</f>
        <v/>
      </c>
      <c r="O852" s="38" t="str">
        <f aca="false">IF(OR(NOT(ISNUMBER($C852)),NOT(ISNUMBER($M852)),$M852=0),"",$C852/$M852-1)</f>
        <v/>
      </c>
    </row>
    <row r="853" customFormat="false" ht="15" hidden="false" customHeight="true" outlineLevel="0" collapsed="false">
      <c r="A853" s="39"/>
      <c r="B853" s="40"/>
      <c r="C853" s="41"/>
      <c r="D853" s="40"/>
      <c r="E853" s="40"/>
      <c r="F853" s="40"/>
      <c r="G853" s="35" t="str">
        <f aca="false">IF($A853="","",IF(ISNUMBER($G852),$G852+1,1))</f>
        <v/>
      </c>
      <c r="H853" s="36" t="str">
        <f aca="false">IF(OR(NOT(ISNUMBER($G853)),$G853&lt;2,NOT(ISNUMBER($C852)),$C852=0),"",$C853/$C852-1)</f>
        <v/>
      </c>
      <c r="I853" s="37" t="str">
        <f aca="false">IF(AND(ISNUMBER($G853),$G853&gt;=MA_SHORT),AVERAGE(INDEX($C$453:$C853,402-MA_SHORT):$C853),"")</f>
        <v/>
      </c>
      <c r="J853" s="37" t="str">
        <f aca="false">IF(AND(ISNUMBER($G853),$G853&gt;=MA_MED),AVERAGE(INDEX($C$453:$C853,402-MA_MED):$C853),"")</f>
        <v/>
      </c>
      <c r="K853" s="37" t="str">
        <f aca="false">IF(AND(ISNUMBER($G853),$G853&gt;=MA_LONG2),AVERAGE(INDEX($C$453:$C853,402-MA_LONG2):$C853),"")</f>
        <v/>
      </c>
      <c r="L853" s="38" t="str">
        <f aca="false">IF(AND(ISNUMBER($G853),$G853&gt;=21),STDEV(INDEX($H$793:$H853,62-20):$H853)*SQRT(245),"")</f>
        <v/>
      </c>
      <c r="M853" s="37" t="str">
        <f aca="false">IF(AND(ISNUMBER($G853),$G853&gt;=60),MAX(INDEX($D$653:$D853,202-60):$D853),"")</f>
        <v/>
      </c>
      <c r="N853" s="37" t="str">
        <f aca="false">IF(AND(ISNUMBER($G853),$G853&gt;=60),MIN(INDEX($E$653:$E853,202-60):$E853),"")</f>
        <v/>
      </c>
      <c r="O853" s="38" t="str">
        <f aca="false">IF(OR(NOT(ISNUMBER($C853)),NOT(ISNUMBER($M853)),$M853=0),"",$C853/$M853-1)</f>
        <v/>
      </c>
    </row>
    <row r="854" customFormat="false" ht="15" hidden="false" customHeight="true" outlineLevel="0" collapsed="false">
      <c r="A854" s="39"/>
      <c r="B854" s="40"/>
      <c r="C854" s="41"/>
      <c r="D854" s="40"/>
      <c r="E854" s="40"/>
      <c r="F854" s="40"/>
      <c r="G854" s="35" t="str">
        <f aca="false">IF($A854="","",IF(ISNUMBER($G853),$G853+1,1))</f>
        <v/>
      </c>
      <c r="H854" s="36" t="str">
        <f aca="false">IF(OR(NOT(ISNUMBER($G854)),$G854&lt;2,NOT(ISNUMBER($C853)),$C853=0),"",$C854/$C853-1)</f>
        <v/>
      </c>
      <c r="I854" s="37" t="str">
        <f aca="false">IF(AND(ISNUMBER($G854),$G854&gt;=MA_SHORT),AVERAGE(INDEX($C$454:$C854,402-MA_SHORT):$C854),"")</f>
        <v/>
      </c>
      <c r="J854" s="37" t="str">
        <f aca="false">IF(AND(ISNUMBER($G854),$G854&gt;=MA_MED),AVERAGE(INDEX($C$454:$C854,402-MA_MED):$C854),"")</f>
        <v/>
      </c>
      <c r="K854" s="37" t="str">
        <f aca="false">IF(AND(ISNUMBER($G854),$G854&gt;=MA_LONG2),AVERAGE(INDEX($C$454:$C854,402-MA_LONG2):$C854),"")</f>
        <v/>
      </c>
      <c r="L854" s="38" t="str">
        <f aca="false">IF(AND(ISNUMBER($G854),$G854&gt;=21),STDEV(INDEX($H$794:$H854,62-20):$H854)*SQRT(245),"")</f>
        <v/>
      </c>
      <c r="M854" s="37" t="str">
        <f aca="false">IF(AND(ISNUMBER($G854),$G854&gt;=60),MAX(INDEX($D$654:$D854,202-60):$D854),"")</f>
        <v/>
      </c>
      <c r="N854" s="37" t="str">
        <f aca="false">IF(AND(ISNUMBER($G854),$G854&gt;=60),MIN(INDEX($E$654:$E854,202-60):$E854),"")</f>
        <v/>
      </c>
      <c r="O854" s="38" t="str">
        <f aca="false">IF(OR(NOT(ISNUMBER($C854)),NOT(ISNUMBER($M854)),$M854=0),"",$C854/$M854-1)</f>
        <v/>
      </c>
    </row>
    <row r="855" customFormat="false" ht="15" hidden="false" customHeight="true" outlineLevel="0" collapsed="false">
      <c r="A855" s="39"/>
      <c r="B855" s="40"/>
      <c r="C855" s="41"/>
      <c r="D855" s="40"/>
      <c r="E855" s="40"/>
      <c r="F855" s="40"/>
      <c r="G855" s="35" t="str">
        <f aca="false">IF($A855="","",IF(ISNUMBER($G854),$G854+1,1))</f>
        <v/>
      </c>
      <c r="H855" s="36" t="str">
        <f aca="false">IF(OR(NOT(ISNUMBER($G855)),$G855&lt;2,NOT(ISNUMBER($C854)),$C854=0),"",$C855/$C854-1)</f>
        <v/>
      </c>
      <c r="I855" s="37" t="str">
        <f aca="false">IF(AND(ISNUMBER($G855),$G855&gt;=MA_SHORT),AVERAGE(INDEX($C$455:$C855,402-MA_SHORT):$C855),"")</f>
        <v/>
      </c>
      <c r="J855" s="37" t="str">
        <f aca="false">IF(AND(ISNUMBER($G855),$G855&gt;=MA_MED),AVERAGE(INDEX($C$455:$C855,402-MA_MED):$C855),"")</f>
        <v/>
      </c>
      <c r="K855" s="37" t="str">
        <f aca="false">IF(AND(ISNUMBER($G855),$G855&gt;=MA_LONG2),AVERAGE(INDEX($C$455:$C855,402-MA_LONG2):$C855),"")</f>
        <v/>
      </c>
      <c r="L855" s="38" t="str">
        <f aca="false">IF(AND(ISNUMBER($G855),$G855&gt;=21),STDEV(INDEX($H$795:$H855,62-20):$H855)*SQRT(245),"")</f>
        <v/>
      </c>
      <c r="M855" s="37" t="str">
        <f aca="false">IF(AND(ISNUMBER($G855),$G855&gt;=60),MAX(INDEX($D$655:$D855,202-60):$D855),"")</f>
        <v/>
      </c>
      <c r="N855" s="37" t="str">
        <f aca="false">IF(AND(ISNUMBER($G855),$G855&gt;=60),MIN(INDEX($E$655:$E855,202-60):$E855),"")</f>
        <v/>
      </c>
      <c r="O855" s="38" t="str">
        <f aca="false">IF(OR(NOT(ISNUMBER($C855)),NOT(ISNUMBER($M855)),$M855=0),"",$C855/$M855-1)</f>
        <v/>
      </c>
    </row>
    <row r="856" customFormat="false" ht="15" hidden="false" customHeight="true" outlineLevel="0" collapsed="false">
      <c r="A856" s="39"/>
      <c r="B856" s="40"/>
      <c r="C856" s="41"/>
      <c r="D856" s="40"/>
      <c r="E856" s="40"/>
      <c r="F856" s="40"/>
      <c r="G856" s="35" t="str">
        <f aca="false">IF($A856="","",IF(ISNUMBER($G855),$G855+1,1))</f>
        <v/>
      </c>
      <c r="H856" s="36" t="str">
        <f aca="false">IF(OR(NOT(ISNUMBER($G856)),$G856&lt;2,NOT(ISNUMBER($C855)),$C855=0),"",$C856/$C855-1)</f>
        <v/>
      </c>
      <c r="I856" s="37" t="str">
        <f aca="false">IF(AND(ISNUMBER($G856),$G856&gt;=MA_SHORT),AVERAGE(INDEX($C$456:$C856,402-MA_SHORT):$C856),"")</f>
        <v/>
      </c>
      <c r="J856" s="37" t="str">
        <f aca="false">IF(AND(ISNUMBER($G856),$G856&gt;=MA_MED),AVERAGE(INDEX($C$456:$C856,402-MA_MED):$C856),"")</f>
        <v/>
      </c>
      <c r="K856" s="37" t="str">
        <f aca="false">IF(AND(ISNUMBER($G856),$G856&gt;=MA_LONG2),AVERAGE(INDEX($C$456:$C856,402-MA_LONG2):$C856),"")</f>
        <v/>
      </c>
      <c r="L856" s="38" t="str">
        <f aca="false">IF(AND(ISNUMBER($G856),$G856&gt;=21),STDEV(INDEX($H$796:$H856,62-20):$H856)*SQRT(245),"")</f>
        <v/>
      </c>
      <c r="M856" s="37" t="str">
        <f aca="false">IF(AND(ISNUMBER($G856),$G856&gt;=60),MAX(INDEX($D$656:$D856,202-60):$D856),"")</f>
        <v/>
      </c>
      <c r="N856" s="37" t="str">
        <f aca="false">IF(AND(ISNUMBER($G856),$G856&gt;=60),MIN(INDEX($E$656:$E856,202-60):$E856),"")</f>
        <v/>
      </c>
      <c r="O856" s="38" t="str">
        <f aca="false">IF(OR(NOT(ISNUMBER($C856)),NOT(ISNUMBER($M856)),$M856=0),"",$C856/$M856-1)</f>
        <v/>
      </c>
    </row>
    <row r="857" customFormat="false" ht="15" hidden="false" customHeight="true" outlineLevel="0" collapsed="false">
      <c r="A857" s="39"/>
      <c r="B857" s="40"/>
      <c r="C857" s="41"/>
      <c r="D857" s="40"/>
      <c r="E857" s="40"/>
      <c r="F857" s="40"/>
      <c r="G857" s="35" t="str">
        <f aca="false">IF($A857="","",IF(ISNUMBER($G856),$G856+1,1))</f>
        <v/>
      </c>
      <c r="H857" s="36" t="str">
        <f aca="false">IF(OR(NOT(ISNUMBER($G857)),$G857&lt;2,NOT(ISNUMBER($C856)),$C856=0),"",$C857/$C856-1)</f>
        <v/>
      </c>
      <c r="I857" s="37" t="str">
        <f aca="false">IF(AND(ISNUMBER($G857),$G857&gt;=MA_SHORT),AVERAGE(INDEX($C$457:$C857,402-MA_SHORT):$C857),"")</f>
        <v/>
      </c>
      <c r="J857" s="37" t="str">
        <f aca="false">IF(AND(ISNUMBER($G857),$G857&gt;=MA_MED),AVERAGE(INDEX($C$457:$C857,402-MA_MED):$C857),"")</f>
        <v/>
      </c>
      <c r="K857" s="37" t="str">
        <f aca="false">IF(AND(ISNUMBER($G857),$G857&gt;=MA_LONG2),AVERAGE(INDEX($C$457:$C857,402-MA_LONG2):$C857),"")</f>
        <v/>
      </c>
      <c r="L857" s="38" t="str">
        <f aca="false">IF(AND(ISNUMBER($G857),$G857&gt;=21),STDEV(INDEX($H$797:$H857,62-20):$H857)*SQRT(245),"")</f>
        <v/>
      </c>
      <c r="M857" s="37" t="str">
        <f aca="false">IF(AND(ISNUMBER($G857),$G857&gt;=60),MAX(INDEX($D$657:$D857,202-60):$D857),"")</f>
        <v/>
      </c>
      <c r="N857" s="37" t="str">
        <f aca="false">IF(AND(ISNUMBER($G857),$G857&gt;=60),MIN(INDEX($E$657:$E857,202-60):$E857),"")</f>
        <v/>
      </c>
      <c r="O857" s="38" t="str">
        <f aca="false">IF(OR(NOT(ISNUMBER($C857)),NOT(ISNUMBER($M857)),$M857=0),"",$C857/$M857-1)</f>
        <v/>
      </c>
    </row>
    <row r="858" customFormat="false" ht="15" hidden="false" customHeight="true" outlineLevel="0" collapsed="false">
      <c r="A858" s="39"/>
      <c r="B858" s="40"/>
      <c r="C858" s="41"/>
      <c r="D858" s="40"/>
      <c r="E858" s="40"/>
      <c r="F858" s="40"/>
      <c r="G858" s="35" t="str">
        <f aca="false">IF($A858="","",IF(ISNUMBER($G857),$G857+1,1))</f>
        <v/>
      </c>
      <c r="H858" s="36" t="str">
        <f aca="false">IF(OR(NOT(ISNUMBER($G858)),$G858&lt;2,NOT(ISNUMBER($C857)),$C857=0),"",$C858/$C857-1)</f>
        <v/>
      </c>
      <c r="I858" s="37" t="str">
        <f aca="false">IF(AND(ISNUMBER($G858),$G858&gt;=MA_SHORT),AVERAGE(INDEX($C$458:$C858,402-MA_SHORT):$C858),"")</f>
        <v/>
      </c>
      <c r="J858" s="37" t="str">
        <f aca="false">IF(AND(ISNUMBER($G858),$G858&gt;=MA_MED),AVERAGE(INDEX($C$458:$C858,402-MA_MED):$C858),"")</f>
        <v/>
      </c>
      <c r="K858" s="37" t="str">
        <f aca="false">IF(AND(ISNUMBER($G858),$G858&gt;=MA_LONG2),AVERAGE(INDEX($C$458:$C858,402-MA_LONG2):$C858),"")</f>
        <v/>
      </c>
      <c r="L858" s="38" t="str">
        <f aca="false">IF(AND(ISNUMBER($G858),$G858&gt;=21),STDEV(INDEX($H$798:$H858,62-20):$H858)*SQRT(245),"")</f>
        <v/>
      </c>
      <c r="M858" s="37" t="str">
        <f aca="false">IF(AND(ISNUMBER($G858),$G858&gt;=60),MAX(INDEX($D$658:$D858,202-60):$D858),"")</f>
        <v/>
      </c>
      <c r="N858" s="37" t="str">
        <f aca="false">IF(AND(ISNUMBER($G858),$G858&gt;=60),MIN(INDEX($E$658:$E858,202-60):$E858),"")</f>
        <v/>
      </c>
      <c r="O858" s="38" t="str">
        <f aca="false">IF(OR(NOT(ISNUMBER($C858)),NOT(ISNUMBER($M858)),$M858=0),"",$C858/$M858-1)</f>
        <v/>
      </c>
    </row>
    <row r="859" customFormat="false" ht="15" hidden="false" customHeight="true" outlineLevel="0" collapsed="false">
      <c r="A859" s="39"/>
      <c r="B859" s="40"/>
      <c r="C859" s="41"/>
      <c r="D859" s="40"/>
      <c r="E859" s="40"/>
      <c r="F859" s="40"/>
      <c r="G859" s="35" t="str">
        <f aca="false">IF($A859="","",IF(ISNUMBER($G858),$G858+1,1))</f>
        <v/>
      </c>
      <c r="H859" s="36" t="str">
        <f aca="false">IF(OR(NOT(ISNUMBER($G859)),$G859&lt;2,NOT(ISNUMBER($C858)),$C858=0),"",$C859/$C858-1)</f>
        <v/>
      </c>
      <c r="I859" s="37" t="str">
        <f aca="false">IF(AND(ISNUMBER($G859),$G859&gt;=MA_SHORT),AVERAGE(INDEX($C$459:$C859,402-MA_SHORT):$C859),"")</f>
        <v/>
      </c>
      <c r="J859" s="37" t="str">
        <f aca="false">IF(AND(ISNUMBER($G859),$G859&gt;=MA_MED),AVERAGE(INDEX($C$459:$C859,402-MA_MED):$C859),"")</f>
        <v/>
      </c>
      <c r="K859" s="37" t="str">
        <f aca="false">IF(AND(ISNUMBER($G859),$G859&gt;=MA_LONG2),AVERAGE(INDEX($C$459:$C859,402-MA_LONG2):$C859),"")</f>
        <v/>
      </c>
      <c r="L859" s="38" t="str">
        <f aca="false">IF(AND(ISNUMBER($G859),$G859&gt;=21),STDEV(INDEX($H$799:$H859,62-20):$H859)*SQRT(245),"")</f>
        <v/>
      </c>
      <c r="M859" s="37" t="str">
        <f aca="false">IF(AND(ISNUMBER($G859),$G859&gt;=60),MAX(INDEX($D$659:$D859,202-60):$D859),"")</f>
        <v/>
      </c>
      <c r="N859" s="37" t="str">
        <f aca="false">IF(AND(ISNUMBER($G859),$G859&gt;=60),MIN(INDEX($E$659:$E859,202-60):$E859),"")</f>
        <v/>
      </c>
      <c r="O859" s="38" t="str">
        <f aca="false">IF(OR(NOT(ISNUMBER($C859)),NOT(ISNUMBER($M859)),$M859=0),"",$C859/$M859-1)</f>
        <v/>
      </c>
    </row>
    <row r="860" customFormat="false" ht="15" hidden="false" customHeight="true" outlineLevel="0" collapsed="false">
      <c r="A860" s="39"/>
      <c r="B860" s="40"/>
      <c r="C860" s="41"/>
      <c r="D860" s="40"/>
      <c r="E860" s="40"/>
      <c r="F860" s="40"/>
      <c r="G860" s="35" t="str">
        <f aca="false">IF($A860="","",IF(ISNUMBER($G859),$G859+1,1))</f>
        <v/>
      </c>
      <c r="H860" s="36" t="str">
        <f aca="false">IF(OR(NOT(ISNUMBER($G860)),$G860&lt;2,NOT(ISNUMBER($C859)),$C859=0),"",$C860/$C859-1)</f>
        <v/>
      </c>
      <c r="I860" s="37" t="str">
        <f aca="false">IF(AND(ISNUMBER($G860),$G860&gt;=MA_SHORT),AVERAGE(INDEX($C$460:$C860,402-MA_SHORT):$C860),"")</f>
        <v/>
      </c>
      <c r="J860" s="37" t="str">
        <f aca="false">IF(AND(ISNUMBER($G860),$G860&gt;=MA_MED),AVERAGE(INDEX($C$460:$C860,402-MA_MED):$C860),"")</f>
        <v/>
      </c>
      <c r="K860" s="37" t="str">
        <f aca="false">IF(AND(ISNUMBER($G860),$G860&gt;=MA_LONG2),AVERAGE(INDEX($C$460:$C860,402-MA_LONG2):$C860),"")</f>
        <v/>
      </c>
      <c r="L860" s="38" t="str">
        <f aca="false">IF(AND(ISNUMBER($G860),$G860&gt;=21),STDEV(INDEX($H$800:$H860,62-20):$H860)*SQRT(245),"")</f>
        <v/>
      </c>
      <c r="M860" s="37" t="str">
        <f aca="false">IF(AND(ISNUMBER($G860),$G860&gt;=60),MAX(INDEX($D$660:$D860,202-60):$D860),"")</f>
        <v/>
      </c>
      <c r="N860" s="37" t="str">
        <f aca="false">IF(AND(ISNUMBER($G860),$G860&gt;=60),MIN(INDEX($E$660:$E860,202-60):$E860),"")</f>
        <v/>
      </c>
      <c r="O860" s="38" t="str">
        <f aca="false">IF(OR(NOT(ISNUMBER($C860)),NOT(ISNUMBER($M860)),$M860=0),"",$C860/$M860-1)</f>
        <v/>
      </c>
    </row>
    <row r="861" customFormat="false" ht="15" hidden="false" customHeight="true" outlineLevel="0" collapsed="false">
      <c r="A861" s="39"/>
      <c r="B861" s="40"/>
      <c r="C861" s="41"/>
      <c r="D861" s="40"/>
      <c r="E861" s="40"/>
      <c r="F861" s="40"/>
      <c r="G861" s="35" t="str">
        <f aca="false">IF($A861="","",IF(ISNUMBER($G860),$G860+1,1))</f>
        <v/>
      </c>
      <c r="H861" s="36" t="str">
        <f aca="false">IF(OR(NOT(ISNUMBER($G861)),$G861&lt;2,NOT(ISNUMBER($C860)),$C860=0),"",$C861/$C860-1)</f>
        <v/>
      </c>
      <c r="I861" s="37" t="str">
        <f aca="false">IF(AND(ISNUMBER($G861),$G861&gt;=MA_SHORT),AVERAGE(INDEX($C$461:$C861,402-MA_SHORT):$C861),"")</f>
        <v/>
      </c>
      <c r="J861" s="37" t="str">
        <f aca="false">IF(AND(ISNUMBER($G861),$G861&gt;=MA_MED),AVERAGE(INDEX($C$461:$C861,402-MA_MED):$C861),"")</f>
        <v/>
      </c>
      <c r="K861" s="37" t="str">
        <f aca="false">IF(AND(ISNUMBER($G861),$G861&gt;=MA_LONG2),AVERAGE(INDEX($C$461:$C861,402-MA_LONG2):$C861),"")</f>
        <v/>
      </c>
      <c r="L861" s="38" t="str">
        <f aca="false">IF(AND(ISNUMBER($G861),$G861&gt;=21),STDEV(INDEX($H$801:$H861,62-20):$H861)*SQRT(245),"")</f>
        <v/>
      </c>
      <c r="M861" s="37" t="str">
        <f aca="false">IF(AND(ISNUMBER($G861),$G861&gt;=60),MAX(INDEX($D$661:$D861,202-60):$D861),"")</f>
        <v/>
      </c>
      <c r="N861" s="37" t="str">
        <f aca="false">IF(AND(ISNUMBER($G861),$G861&gt;=60),MIN(INDEX($E$661:$E861,202-60):$E861),"")</f>
        <v/>
      </c>
      <c r="O861" s="38" t="str">
        <f aca="false">IF(OR(NOT(ISNUMBER($C861)),NOT(ISNUMBER($M861)),$M861=0),"",$C861/$M861-1)</f>
        <v/>
      </c>
    </row>
    <row r="862" customFormat="false" ht="15" hidden="false" customHeight="true" outlineLevel="0" collapsed="false">
      <c r="A862" s="39"/>
      <c r="B862" s="40"/>
      <c r="C862" s="41"/>
      <c r="D862" s="40"/>
      <c r="E862" s="40"/>
      <c r="F862" s="40"/>
      <c r="G862" s="35" t="str">
        <f aca="false">IF($A862="","",IF(ISNUMBER($G861),$G861+1,1))</f>
        <v/>
      </c>
      <c r="H862" s="36" t="str">
        <f aca="false">IF(OR(NOT(ISNUMBER($G862)),$G862&lt;2,NOT(ISNUMBER($C861)),$C861=0),"",$C862/$C861-1)</f>
        <v/>
      </c>
      <c r="I862" s="37" t="str">
        <f aca="false">IF(AND(ISNUMBER($G862),$G862&gt;=MA_SHORT),AVERAGE(INDEX($C$462:$C862,402-MA_SHORT):$C862),"")</f>
        <v/>
      </c>
      <c r="J862" s="37" t="str">
        <f aca="false">IF(AND(ISNUMBER($G862),$G862&gt;=MA_MED),AVERAGE(INDEX($C$462:$C862,402-MA_MED):$C862),"")</f>
        <v/>
      </c>
      <c r="K862" s="37" t="str">
        <f aca="false">IF(AND(ISNUMBER($G862),$G862&gt;=MA_LONG2),AVERAGE(INDEX($C$462:$C862,402-MA_LONG2):$C862),"")</f>
        <v/>
      </c>
      <c r="L862" s="38" t="str">
        <f aca="false">IF(AND(ISNUMBER($G862),$G862&gt;=21),STDEV(INDEX($H$802:$H862,62-20):$H862)*SQRT(245),"")</f>
        <v/>
      </c>
      <c r="M862" s="37" t="str">
        <f aca="false">IF(AND(ISNUMBER($G862),$G862&gt;=60),MAX(INDEX($D$662:$D862,202-60):$D862),"")</f>
        <v/>
      </c>
      <c r="N862" s="37" t="str">
        <f aca="false">IF(AND(ISNUMBER($G862),$G862&gt;=60),MIN(INDEX($E$662:$E862,202-60):$E862),"")</f>
        <v/>
      </c>
      <c r="O862" s="38" t="str">
        <f aca="false">IF(OR(NOT(ISNUMBER($C862)),NOT(ISNUMBER($M862)),$M862=0),"",$C862/$M862-1)</f>
        <v/>
      </c>
    </row>
    <row r="863" customFormat="false" ht="15" hidden="false" customHeight="true" outlineLevel="0" collapsed="false">
      <c r="A863" s="39"/>
      <c r="B863" s="40"/>
      <c r="C863" s="41"/>
      <c r="D863" s="40"/>
      <c r="E863" s="40"/>
      <c r="F863" s="40"/>
      <c r="G863" s="35" t="str">
        <f aca="false">IF($A863="","",IF(ISNUMBER($G862),$G862+1,1))</f>
        <v/>
      </c>
      <c r="H863" s="36" t="str">
        <f aca="false">IF(OR(NOT(ISNUMBER($G863)),$G863&lt;2,NOT(ISNUMBER($C862)),$C862=0),"",$C863/$C862-1)</f>
        <v/>
      </c>
      <c r="I863" s="37" t="str">
        <f aca="false">IF(AND(ISNUMBER($G863),$G863&gt;=MA_SHORT),AVERAGE(INDEX($C$463:$C863,402-MA_SHORT):$C863),"")</f>
        <v/>
      </c>
      <c r="J863" s="37" t="str">
        <f aca="false">IF(AND(ISNUMBER($G863),$G863&gt;=MA_MED),AVERAGE(INDEX($C$463:$C863,402-MA_MED):$C863),"")</f>
        <v/>
      </c>
      <c r="K863" s="37" t="str">
        <f aca="false">IF(AND(ISNUMBER($G863),$G863&gt;=MA_LONG2),AVERAGE(INDEX($C$463:$C863,402-MA_LONG2):$C863),"")</f>
        <v/>
      </c>
      <c r="L863" s="38" t="str">
        <f aca="false">IF(AND(ISNUMBER($G863),$G863&gt;=21),STDEV(INDEX($H$803:$H863,62-20):$H863)*SQRT(245),"")</f>
        <v/>
      </c>
      <c r="M863" s="37" t="str">
        <f aca="false">IF(AND(ISNUMBER($G863),$G863&gt;=60),MAX(INDEX($D$663:$D863,202-60):$D863),"")</f>
        <v/>
      </c>
      <c r="N863" s="37" t="str">
        <f aca="false">IF(AND(ISNUMBER($G863),$G863&gt;=60),MIN(INDEX($E$663:$E863,202-60):$E863),"")</f>
        <v/>
      </c>
      <c r="O863" s="38" t="str">
        <f aca="false">IF(OR(NOT(ISNUMBER($C863)),NOT(ISNUMBER($M863)),$M863=0),"",$C863/$M863-1)</f>
        <v/>
      </c>
    </row>
    <row r="864" customFormat="false" ht="15" hidden="false" customHeight="true" outlineLevel="0" collapsed="false">
      <c r="A864" s="39"/>
      <c r="B864" s="40"/>
      <c r="C864" s="41"/>
      <c r="D864" s="40"/>
      <c r="E864" s="40"/>
      <c r="F864" s="40"/>
      <c r="G864" s="35" t="str">
        <f aca="false">IF($A864="","",IF(ISNUMBER($G863),$G863+1,1))</f>
        <v/>
      </c>
      <c r="H864" s="36" t="str">
        <f aca="false">IF(OR(NOT(ISNUMBER($G864)),$G864&lt;2,NOT(ISNUMBER($C863)),$C863=0),"",$C864/$C863-1)</f>
        <v/>
      </c>
      <c r="I864" s="37" t="str">
        <f aca="false">IF(AND(ISNUMBER($G864),$G864&gt;=MA_SHORT),AVERAGE(INDEX($C$464:$C864,402-MA_SHORT):$C864),"")</f>
        <v/>
      </c>
      <c r="J864" s="37" t="str">
        <f aca="false">IF(AND(ISNUMBER($G864),$G864&gt;=MA_MED),AVERAGE(INDEX($C$464:$C864,402-MA_MED):$C864),"")</f>
        <v/>
      </c>
      <c r="K864" s="37" t="str">
        <f aca="false">IF(AND(ISNUMBER($G864),$G864&gt;=MA_LONG2),AVERAGE(INDEX($C$464:$C864,402-MA_LONG2):$C864),"")</f>
        <v/>
      </c>
      <c r="L864" s="38" t="str">
        <f aca="false">IF(AND(ISNUMBER($G864),$G864&gt;=21),STDEV(INDEX($H$804:$H864,62-20):$H864)*SQRT(245),"")</f>
        <v/>
      </c>
      <c r="M864" s="37" t="str">
        <f aca="false">IF(AND(ISNUMBER($G864),$G864&gt;=60),MAX(INDEX($D$664:$D864,202-60):$D864),"")</f>
        <v/>
      </c>
      <c r="N864" s="37" t="str">
        <f aca="false">IF(AND(ISNUMBER($G864),$G864&gt;=60),MIN(INDEX($E$664:$E864,202-60):$E864),"")</f>
        <v/>
      </c>
      <c r="O864" s="38" t="str">
        <f aca="false">IF(OR(NOT(ISNUMBER($C864)),NOT(ISNUMBER($M864)),$M864=0),"",$C864/$M864-1)</f>
        <v/>
      </c>
    </row>
    <row r="865" customFormat="false" ht="15" hidden="false" customHeight="true" outlineLevel="0" collapsed="false">
      <c r="A865" s="39"/>
      <c r="B865" s="40"/>
      <c r="C865" s="41"/>
      <c r="D865" s="40"/>
      <c r="E865" s="40"/>
      <c r="F865" s="40"/>
      <c r="G865" s="35" t="str">
        <f aca="false">IF($A865="","",IF(ISNUMBER($G864),$G864+1,1))</f>
        <v/>
      </c>
      <c r="H865" s="36" t="str">
        <f aca="false">IF(OR(NOT(ISNUMBER($G865)),$G865&lt;2,NOT(ISNUMBER($C864)),$C864=0),"",$C865/$C864-1)</f>
        <v/>
      </c>
      <c r="I865" s="37" t="str">
        <f aca="false">IF(AND(ISNUMBER($G865),$G865&gt;=MA_SHORT),AVERAGE(INDEX($C$465:$C865,402-MA_SHORT):$C865),"")</f>
        <v/>
      </c>
      <c r="J865" s="37" t="str">
        <f aca="false">IF(AND(ISNUMBER($G865),$G865&gt;=MA_MED),AVERAGE(INDEX($C$465:$C865,402-MA_MED):$C865),"")</f>
        <v/>
      </c>
      <c r="K865" s="37" t="str">
        <f aca="false">IF(AND(ISNUMBER($G865),$G865&gt;=MA_LONG2),AVERAGE(INDEX($C$465:$C865,402-MA_LONG2):$C865),"")</f>
        <v/>
      </c>
      <c r="L865" s="38" t="str">
        <f aca="false">IF(AND(ISNUMBER($G865),$G865&gt;=21),STDEV(INDEX($H$805:$H865,62-20):$H865)*SQRT(245),"")</f>
        <v/>
      </c>
      <c r="M865" s="37" t="str">
        <f aca="false">IF(AND(ISNUMBER($G865),$G865&gt;=60),MAX(INDEX($D$665:$D865,202-60):$D865),"")</f>
        <v/>
      </c>
      <c r="N865" s="37" t="str">
        <f aca="false">IF(AND(ISNUMBER($G865),$G865&gt;=60),MIN(INDEX($E$665:$E865,202-60):$E865),"")</f>
        <v/>
      </c>
      <c r="O865" s="38" t="str">
        <f aca="false">IF(OR(NOT(ISNUMBER($C865)),NOT(ISNUMBER($M865)),$M865=0),"",$C865/$M865-1)</f>
        <v/>
      </c>
    </row>
    <row r="866" customFormat="false" ht="15" hidden="false" customHeight="true" outlineLevel="0" collapsed="false">
      <c r="A866" s="39"/>
      <c r="B866" s="40"/>
      <c r="C866" s="41"/>
      <c r="D866" s="40"/>
      <c r="E866" s="40"/>
      <c r="F866" s="40"/>
      <c r="G866" s="35" t="str">
        <f aca="false">IF($A866="","",IF(ISNUMBER($G865),$G865+1,1))</f>
        <v/>
      </c>
      <c r="H866" s="36" t="str">
        <f aca="false">IF(OR(NOT(ISNUMBER($G866)),$G866&lt;2,NOT(ISNUMBER($C865)),$C865=0),"",$C866/$C865-1)</f>
        <v/>
      </c>
      <c r="I866" s="37" t="str">
        <f aca="false">IF(AND(ISNUMBER($G866),$G866&gt;=MA_SHORT),AVERAGE(INDEX($C$466:$C866,402-MA_SHORT):$C866),"")</f>
        <v/>
      </c>
      <c r="J866" s="37" t="str">
        <f aca="false">IF(AND(ISNUMBER($G866),$G866&gt;=MA_MED),AVERAGE(INDEX($C$466:$C866,402-MA_MED):$C866),"")</f>
        <v/>
      </c>
      <c r="K866" s="37" t="str">
        <f aca="false">IF(AND(ISNUMBER($G866),$G866&gt;=MA_LONG2),AVERAGE(INDEX($C$466:$C866,402-MA_LONG2):$C866),"")</f>
        <v/>
      </c>
      <c r="L866" s="38" t="str">
        <f aca="false">IF(AND(ISNUMBER($G866),$G866&gt;=21),STDEV(INDEX($H$806:$H866,62-20):$H866)*SQRT(245),"")</f>
        <v/>
      </c>
      <c r="M866" s="37" t="str">
        <f aca="false">IF(AND(ISNUMBER($G866),$G866&gt;=60),MAX(INDEX($D$666:$D866,202-60):$D866),"")</f>
        <v/>
      </c>
      <c r="N866" s="37" t="str">
        <f aca="false">IF(AND(ISNUMBER($G866),$G866&gt;=60),MIN(INDEX($E$666:$E866,202-60):$E866),"")</f>
        <v/>
      </c>
      <c r="O866" s="38" t="str">
        <f aca="false">IF(OR(NOT(ISNUMBER($C866)),NOT(ISNUMBER($M866)),$M866=0),"",$C866/$M866-1)</f>
        <v/>
      </c>
    </row>
    <row r="867" customFormat="false" ht="15" hidden="false" customHeight="true" outlineLevel="0" collapsed="false">
      <c r="A867" s="39"/>
      <c r="B867" s="40"/>
      <c r="C867" s="41"/>
      <c r="D867" s="40"/>
      <c r="E867" s="40"/>
      <c r="F867" s="40"/>
      <c r="G867" s="35" t="str">
        <f aca="false">IF($A867="","",IF(ISNUMBER($G866),$G866+1,1))</f>
        <v/>
      </c>
      <c r="H867" s="36" t="str">
        <f aca="false">IF(OR(NOT(ISNUMBER($G867)),$G867&lt;2,NOT(ISNUMBER($C866)),$C866=0),"",$C867/$C866-1)</f>
        <v/>
      </c>
      <c r="I867" s="37" t="str">
        <f aca="false">IF(AND(ISNUMBER($G867),$G867&gt;=MA_SHORT),AVERAGE(INDEX($C$467:$C867,402-MA_SHORT):$C867),"")</f>
        <v/>
      </c>
      <c r="J867" s="37" t="str">
        <f aca="false">IF(AND(ISNUMBER($G867),$G867&gt;=MA_MED),AVERAGE(INDEX($C$467:$C867,402-MA_MED):$C867),"")</f>
        <v/>
      </c>
      <c r="K867" s="37" t="str">
        <f aca="false">IF(AND(ISNUMBER($G867),$G867&gt;=MA_LONG2),AVERAGE(INDEX($C$467:$C867,402-MA_LONG2):$C867),"")</f>
        <v/>
      </c>
      <c r="L867" s="38" t="str">
        <f aca="false">IF(AND(ISNUMBER($G867),$G867&gt;=21),STDEV(INDEX($H$807:$H867,62-20):$H867)*SQRT(245),"")</f>
        <v/>
      </c>
      <c r="M867" s="37" t="str">
        <f aca="false">IF(AND(ISNUMBER($G867),$G867&gt;=60),MAX(INDEX($D$667:$D867,202-60):$D867),"")</f>
        <v/>
      </c>
      <c r="N867" s="37" t="str">
        <f aca="false">IF(AND(ISNUMBER($G867),$G867&gt;=60),MIN(INDEX($E$667:$E867,202-60):$E867),"")</f>
        <v/>
      </c>
      <c r="O867" s="38" t="str">
        <f aca="false">IF(OR(NOT(ISNUMBER($C867)),NOT(ISNUMBER($M867)),$M867=0),"",$C867/$M867-1)</f>
        <v/>
      </c>
    </row>
    <row r="868" customFormat="false" ht="15" hidden="false" customHeight="true" outlineLevel="0" collapsed="false">
      <c r="A868" s="39"/>
      <c r="B868" s="40"/>
      <c r="C868" s="41"/>
      <c r="D868" s="40"/>
      <c r="E868" s="40"/>
      <c r="F868" s="40"/>
      <c r="G868" s="35" t="str">
        <f aca="false">IF($A868="","",IF(ISNUMBER($G867),$G867+1,1))</f>
        <v/>
      </c>
      <c r="H868" s="36" t="str">
        <f aca="false">IF(OR(NOT(ISNUMBER($G868)),$G868&lt;2,NOT(ISNUMBER($C867)),$C867=0),"",$C868/$C867-1)</f>
        <v/>
      </c>
      <c r="I868" s="37" t="str">
        <f aca="false">IF(AND(ISNUMBER($G868),$G868&gt;=MA_SHORT),AVERAGE(INDEX($C$468:$C868,402-MA_SHORT):$C868),"")</f>
        <v/>
      </c>
      <c r="J868" s="37" t="str">
        <f aca="false">IF(AND(ISNUMBER($G868),$G868&gt;=MA_MED),AVERAGE(INDEX($C$468:$C868,402-MA_MED):$C868),"")</f>
        <v/>
      </c>
      <c r="K868" s="37" t="str">
        <f aca="false">IF(AND(ISNUMBER($G868),$G868&gt;=MA_LONG2),AVERAGE(INDEX($C$468:$C868,402-MA_LONG2):$C868),"")</f>
        <v/>
      </c>
      <c r="L868" s="38" t="str">
        <f aca="false">IF(AND(ISNUMBER($G868),$G868&gt;=21),STDEV(INDEX($H$808:$H868,62-20):$H868)*SQRT(245),"")</f>
        <v/>
      </c>
      <c r="M868" s="37" t="str">
        <f aca="false">IF(AND(ISNUMBER($G868),$G868&gt;=60),MAX(INDEX($D$668:$D868,202-60):$D868),"")</f>
        <v/>
      </c>
      <c r="N868" s="37" t="str">
        <f aca="false">IF(AND(ISNUMBER($G868),$G868&gt;=60),MIN(INDEX($E$668:$E868,202-60):$E868),"")</f>
        <v/>
      </c>
      <c r="O868" s="38" t="str">
        <f aca="false">IF(OR(NOT(ISNUMBER($C868)),NOT(ISNUMBER($M868)),$M868=0),"",$C868/$M868-1)</f>
        <v/>
      </c>
    </row>
    <row r="869" customFormat="false" ht="15" hidden="false" customHeight="true" outlineLevel="0" collapsed="false">
      <c r="A869" s="39"/>
      <c r="B869" s="40"/>
      <c r="C869" s="41"/>
      <c r="D869" s="40"/>
      <c r="E869" s="40"/>
      <c r="F869" s="40"/>
      <c r="G869" s="35" t="str">
        <f aca="false">IF($A869="","",IF(ISNUMBER($G868),$G868+1,1))</f>
        <v/>
      </c>
      <c r="H869" s="36" t="str">
        <f aca="false">IF(OR(NOT(ISNUMBER($G869)),$G869&lt;2,NOT(ISNUMBER($C868)),$C868=0),"",$C869/$C868-1)</f>
        <v/>
      </c>
      <c r="I869" s="37" t="str">
        <f aca="false">IF(AND(ISNUMBER($G869),$G869&gt;=MA_SHORT),AVERAGE(INDEX($C$469:$C869,402-MA_SHORT):$C869),"")</f>
        <v/>
      </c>
      <c r="J869" s="37" t="str">
        <f aca="false">IF(AND(ISNUMBER($G869),$G869&gt;=MA_MED),AVERAGE(INDEX($C$469:$C869,402-MA_MED):$C869),"")</f>
        <v/>
      </c>
      <c r="K869" s="37" t="str">
        <f aca="false">IF(AND(ISNUMBER($G869),$G869&gt;=MA_LONG2),AVERAGE(INDEX($C$469:$C869,402-MA_LONG2):$C869),"")</f>
        <v/>
      </c>
      <c r="L869" s="38" t="str">
        <f aca="false">IF(AND(ISNUMBER($G869),$G869&gt;=21),STDEV(INDEX($H$809:$H869,62-20):$H869)*SQRT(245),"")</f>
        <v/>
      </c>
      <c r="M869" s="37" t="str">
        <f aca="false">IF(AND(ISNUMBER($G869),$G869&gt;=60),MAX(INDEX($D$669:$D869,202-60):$D869),"")</f>
        <v/>
      </c>
      <c r="N869" s="37" t="str">
        <f aca="false">IF(AND(ISNUMBER($G869),$G869&gt;=60),MIN(INDEX($E$669:$E869,202-60):$E869),"")</f>
        <v/>
      </c>
      <c r="O869" s="38" t="str">
        <f aca="false">IF(OR(NOT(ISNUMBER($C869)),NOT(ISNUMBER($M869)),$M869=0),"",$C869/$M869-1)</f>
        <v/>
      </c>
    </row>
    <row r="870" customFormat="false" ht="15" hidden="false" customHeight="true" outlineLevel="0" collapsed="false">
      <c r="A870" s="39"/>
      <c r="B870" s="40"/>
      <c r="C870" s="41"/>
      <c r="D870" s="40"/>
      <c r="E870" s="40"/>
      <c r="F870" s="40"/>
      <c r="G870" s="35" t="str">
        <f aca="false">IF($A870="","",IF(ISNUMBER($G869),$G869+1,1))</f>
        <v/>
      </c>
      <c r="H870" s="36" t="str">
        <f aca="false">IF(OR(NOT(ISNUMBER($G870)),$G870&lt;2,NOT(ISNUMBER($C869)),$C869=0),"",$C870/$C869-1)</f>
        <v/>
      </c>
      <c r="I870" s="37" t="str">
        <f aca="false">IF(AND(ISNUMBER($G870),$G870&gt;=MA_SHORT),AVERAGE(INDEX($C$470:$C870,402-MA_SHORT):$C870),"")</f>
        <v/>
      </c>
      <c r="J870" s="37" t="str">
        <f aca="false">IF(AND(ISNUMBER($G870),$G870&gt;=MA_MED),AVERAGE(INDEX($C$470:$C870,402-MA_MED):$C870),"")</f>
        <v/>
      </c>
      <c r="K870" s="37" t="str">
        <f aca="false">IF(AND(ISNUMBER($G870),$G870&gt;=MA_LONG2),AVERAGE(INDEX($C$470:$C870,402-MA_LONG2):$C870),"")</f>
        <v/>
      </c>
      <c r="L870" s="38" t="str">
        <f aca="false">IF(AND(ISNUMBER($G870),$G870&gt;=21),STDEV(INDEX($H$810:$H870,62-20):$H870)*SQRT(245),"")</f>
        <v/>
      </c>
      <c r="M870" s="37" t="str">
        <f aca="false">IF(AND(ISNUMBER($G870),$G870&gt;=60),MAX(INDEX($D$670:$D870,202-60):$D870),"")</f>
        <v/>
      </c>
      <c r="N870" s="37" t="str">
        <f aca="false">IF(AND(ISNUMBER($G870),$G870&gt;=60),MIN(INDEX($E$670:$E870,202-60):$E870),"")</f>
        <v/>
      </c>
      <c r="O870" s="38" t="str">
        <f aca="false">IF(OR(NOT(ISNUMBER($C870)),NOT(ISNUMBER($M870)),$M870=0),"",$C870/$M870-1)</f>
        <v/>
      </c>
    </row>
    <row r="871" customFormat="false" ht="15" hidden="false" customHeight="true" outlineLevel="0" collapsed="false">
      <c r="A871" s="39"/>
      <c r="B871" s="40"/>
      <c r="C871" s="41"/>
      <c r="D871" s="40"/>
      <c r="E871" s="40"/>
      <c r="F871" s="40"/>
      <c r="G871" s="35" t="str">
        <f aca="false">IF($A871="","",IF(ISNUMBER($G870),$G870+1,1))</f>
        <v/>
      </c>
      <c r="H871" s="36" t="str">
        <f aca="false">IF(OR(NOT(ISNUMBER($G871)),$G871&lt;2,NOT(ISNUMBER($C870)),$C870=0),"",$C871/$C870-1)</f>
        <v/>
      </c>
      <c r="I871" s="37" t="str">
        <f aca="false">IF(AND(ISNUMBER($G871),$G871&gt;=MA_SHORT),AVERAGE(INDEX($C$471:$C871,402-MA_SHORT):$C871),"")</f>
        <v/>
      </c>
      <c r="J871" s="37" t="str">
        <f aca="false">IF(AND(ISNUMBER($G871),$G871&gt;=MA_MED),AVERAGE(INDEX($C$471:$C871,402-MA_MED):$C871),"")</f>
        <v/>
      </c>
      <c r="K871" s="37" t="str">
        <f aca="false">IF(AND(ISNUMBER($G871),$G871&gt;=MA_LONG2),AVERAGE(INDEX($C$471:$C871,402-MA_LONG2):$C871),"")</f>
        <v/>
      </c>
      <c r="L871" s="38" t="str">
        <f aca="false">IF(AND(ISNUMBER($G871),$G871&gt;=21),STDEV(INDEX($H$811:$H871,62-20):$H871)*SQRT(245),"")</f>
        <v/>
      </c>
      <c r="M871" s="37" t="str">
        <f aca="false">IF(AND(ISNUMBER($G871),$G871&gt;=60),MAX(INDEX($D$671:$D871,202-60):$D871),"")</f>
        <v/>
      </c>
      <c r="N871" s="37" t="str">
        <f aca="false">IF(AND(ISNUMBER($G871),$G871&gt;=60),MIN(INDEX($E$671:$E871,202-60):$E871),"")</f>
        <v/>
      </c>
      <c r="O871" s="38" t="str">
        <f aca="false">IF(OR(NOT(ISNUMBER($C871)),NOT(ISNUMBER($M871)),$M871=0),"",$C871/$M871-1)</f>
        <v/>
      </c>
    </row>
    <row r="872" customFormat="false" ht="15" hidden="false" customHeight="true" outlineLevel="0" collapsed="false">
      <c r="A872" s="39"/>
      <c r="B872" s="40"/>
      <c r="C872" s="41"/>
      <c r="D872" s="40"/>
      <c r="E872" s="40"/>
      <c r="F872" s="40"/>
      <c r="G872" s="35" t="str">
        <f aca="false">IF($A872="","",IF(ISNUMBER($G871),$G871+1,1))</f>
        <v/>
      </c>
      <c r="H872" s="36" t="str">
        <f aca="false">IF(OR(NOT(ISNUMBER($G872)),$G872&lt;2,NOT(ISNUMBER($C871)),$C871=0),"",$C872/$C871-1)</f>
        <v/>
      </c>
      <c r="I872" s="37" t="str">
        <f aca="false">IF(AND(ISNUMBER($G872),$G872&gt;=MA_SHORT),AVERAGE(INDEX($C$472:$C872,402-MA_SHORT):$C872),"")</f>
        <v/>
      </c>
      <c r="J872" s="37" t="str">
        <f aca="false">IF(AND(ISNUMBER($G872),$G872&gt;=MA_MED),AVERAGE(INDEX($C$472:$C872,402-MA_MED):$C872),"")</f>
        <v/>
      </c>
      <c r="K872" s="37" t="str">
        <f aca="false">IF(AND(ISNUMBER($G872),$G872&gt;=MA_LONG2),AVERAGE(INDEX($C$472:$C872,402-MA_LONG2):$C872),"")</f>
        <v/>
      </c>
      <c r="L872" s="38" t="str">
        <f aca="false">IF(AND(ISNUMBER($G872),$G872&gt;=21),STDEV(INDEX($H$812:$H872,62-20):$H872)*SQRT(245),"")</f>
        <v/>
      </c>
      <c r="M872" s="37" t="str">
        <f aca="false">IF(AND(ISNUMBER($G872),$G872&gt;=60),MAX(INDEX($D$672:$D872,202-60):$D872),"")</f>
        <v/>
      </c>
      <c r="N872" s="37" t="str">
        <f aca="false">IF(AND(ISNUMBER($G872),$G872&gt;=60),MIN(INDEX($E$672:$E872,202-60):$E872),"")</f>
        <v/>
      </c>
      <c r="O872" s="38" t="str">
        <f aca="false">IF(OR(NOT(ISNUMBER($C872)),NOT(ISNUMBER($M872)),$M872=0),"",$C872/$M872-1)</f>
        <v/>
      </c>
    </row>
    <row r="873" customFormat="false" ht="15" hidden="false" customHeight="true" outlineLevel="0" collapsed="false">
      <c r="A873" s="39"/>
      <c r="B873" s="40"/>
      <c r="C873" s="41"/>
      <c r="D873" s="40"/>
      <c r="E873" s="40"/>
      <c r="F873" s="40"/>
      <c r="G873" s="35" t="str">
        <f aca="false">IF($A873="","",IF(ISNUMBER($G872),$G872+1,1))</f>
        <v/>
      </c>
      <c r="H873" s="36" t="str">
        <f aca="false">IF(OR(NOT(ISNUMBER($G873)),$G873&lt;2,NOT(ISNUMBER($C872)),$C872=0),"",$C873/$C872-1)</f>
        <v/>
      </c>
      <c r="I873" s="37" t="str">
        <f aca="false">IF(AND(ISNUMBER($G873),$G873&gt;=MA_SHORT),AVERAGE(INDEX($C$473:$C873,402-MA_SHORT):$C873),"")</f>
        <v/>
      </c>
      <c r="J873" s="37" t="str">
        <f aca="false">IF(AND(ISNUMBER($G873),$G873&gt;=MA_MED),AVERAGE(INDEX($C$473:$C873,402-MA_MED):$C873),"")</f>
        <v/>
      </c>
      <c r="K873" s="37" t="str">
        <f aca="false">IF(AND(ISNUMBER($G873),$G873&gt;=MA_LONG2),AVERAGE(INDEX($C$473:$C873,402-MA_LONG2):$C873),"")</f>
        <v/>
      </c>
      <c r="L873" s="38" t="str">
        <f aca="false">IF(AND(ISNUMBER($G873),$G873&gt;=21),STDEV(INDEX($H$813:$H873,62-20):$H873)*SQRT(245),"")</f>
        <v/>
      </c>
      <c r="M873" s="37" t="str">
        <f aca="false">IF(AND(ISNUMBER($G873),$G873&gt;=60),MAX(INDEX($D$673:$D873,202-60):$D873),"")</f>
        <v/>
      </c>
      <c r="N873" s="37" t="str">
        <f aca="false">IF(AND(ISNUMBER($G873),$G873&gt;=60),MIN(INDEX($E$673:$E873,202-60):$E873),"")</f>
        <v/>
      </c>
      <c r="O873" s="38" t="str">
        <f aca="false">IF(OR(NOT(ISNUMBER($C873)),NOT(ISNUMBER($M873)),$M873=0),"",$C873/$M873-1)</f>
        <v/>
      </c>
    </row>
    <row r="874" customFormat="false" ht="15" hidden="false" customHeight="true" outlineLevel="0" collapsed="false">
      <c r="A874" s="39"/>
      <c r="B874" s="40"/>
      <c r="C874" s="41"/>
      <c r="D874" s="40"/>
      <c r="E874" s="40"/>
      <c r="F874" s="40"/>
      <c r="G874" s="35" t="str">
        <f aca="false">IF($A874="","",IF(ISNUMBER($G873),$G873+1,1))</f>
        <v/>
      </c>
      <c r="H874" s="36" t="str">
        <f aca="false">IF(OR(NOT(ISNUMBER($G874)),$G874&lt;2,NOT(ISNUMBER($C873)),$C873=0),"",$C874/$C873-1)</f>
        <v/>
      </c>
      <c r="I874" s="37" t="str">
        <f aca="false">IF(AND(ISNUMBER($G874),$G874&gt;=MA_SHORT),AVERAGE(INDEX($C$474:$C874,402-MA_SHORT):$C874),"")</f>
        <v/>
      </c>
      <c r="J874" s="37" t="str">
        <f aca="false">IF(AND(ISNUMBER($G874),$G874&gt;=MA_MED),AVERAGE(INDEX($C$474:$C874,402-MA_MED):$C874),"")</f>
        <v/>
      </c>
      <c r="K874" s="37" t="str">
        <f aca="false">IF(AND(ISNUMBER($G874),$G874&gt;=MA_LONG2),AVERAGE(INDEX($C$474:$C874,402-MA_LONG2):$C874),"")</f>
        <v/>
      </c>
      <c r="L874" s="38" t="str">
        <f aca="false">IF(AND(ISNUMBER($G874),$G874&gt;=21),STDEV(INDEX($H$814:$H874,62-20):$H874)*SQRT(245),"")</f>
        <v/>
      </c>
      <c r="M874" s="37" t="str">
        <f aca="false">IF(AND(ISNUMBER($G874),$G874&gt;=60),MAX(INDEX($D$674:$D874,202-60):$D874),"")</f>
        <v/>
      </c>
      <c r="N874" s="37" t="str">
        <f aca="false">IF(AND(ISNUMBER($G874),$G874&gt;=60),MIN(INDEX($E$674:$E874,202-60):$E874),"")</f>
        <v/>
      </c>
      <c r="O874" s="38" t="str">
        <f aca="false">IF(OR(NOT(ISNUMBER($C874)),NOT(ISNUMBER($M874)),$M874=0),"",$C874/$M874-1)</f>
        <v/>
      </c>
    </row>
    <row r="875" customFormat="false" ht="15" hidden="false" customHeight="true" outlineLevel="0" collapsed="false">
      <c r="A875" s="39"/>
      <c r="B875" s="40"/>
      <c r="C875" s="41"/>
      <c r="D875" s="40"/>
      <c r="E875" s="40"/>
      <c r="F875" s="40"/>
      <c r="G875" s="35" t="str">
        <f aca="false">IF($A875="","",IF(ISNUMBER($G874),$G874+1,1))</f>
        <v/>
      </c>
      <c r="H875" s="36" t="str">
        <f aca="false">IF(OR(NOT(ISNUMBER($G875)),$G875&lt;2,NOT(ISNUMBER($C874)),$C874=0),"",$C875/$C874-1)</f>
        <v/>
      </c>
      <c r="I875" s="37" t="str">
        <f aca="false">IF(AND(ISNUMBER($G875),$G875&gt;=MA_SHORT),AVERAGE(INDEX($C$475:$C875,402-MA_SHORT):$C875),"")</f>
        <v/>
      </c>
      <c r="J875" s="37" t="str">
        <f aca="false">IF(AND(ISNUMBER($G875),$G875&gt;=MA_MED),AVERAGE(INDEX($C$475:$C875,402-MA_MED):$C875),"")</f>
        <v/>
      </c>
      <c r="K875" s="37" t="str">
        <f aca="false">IF(AND(ISNUMBER($G875),$G875&gt;=MA_LONG2),AVERAGE(INDEX($C$475:$C875,402-MA_LONG2):$C875),"")</f>
        <v/>
      </c>
      <c r="L875" s="38" t="str">
        <f aca="false">IF(AND(ISNUMBER($G875),$G875&gt;=21),STDEV(INDEX($H$815:$H875,62-20):$H875)*SQRT(245),"")</f>
        <v/>
      </c>
      <c r="M875" s="37" t="str">
        <f aca="false">IF(AND(ISNUMBER($G875),$G875&gt;=60),MAX(INDEX($D$675:$D875,202-60):$D875),"")</f>
        <v/>
      </c>
      <c r="N875" s="37" t="str">
        <f aca="false">IF(AND(ISNUMBER($G875),$G875&gt;=60),MIN(INDEX($E$675:$E875,202-60):$E875),"")</f>
        <v/>
      </c>
      <c r="O875" s="38" t="str">
        <f aca="false">IF(OR(NOT(ISNUMBER($C875)),NOT(ISNUMBER($M875)),$M875=0),"",$C875/$M875-1)</f>
        <v/>
      </c>
    </row>
    <row r="876" customFormat="false" ht="15" hidden="false" customHeight="true" outlineLevel="0" collapsed="false">
      <c r="A876" s="39"/>
      <c r="B876" s="40"/>
      <c r="C876" s="41"/>
      <c r="D876" s="40"/>
      <c r="E876" s="40"/>
      <c r="F876" s="40"/>
      <c r="G876" s="35" t="str">
        <f aca="false">IF($A876="","",IF(ISNUMBER($G875),$G875+1,1))</f>
        <v/>
      </c>
      <c r="H876" s="36" t="str">
        <f aca="false">IF(OR(NOT(ISNUMBER($G876)),$G876&lt;2,NOT(ISNUMBER($C875)),$C875=0),"",$C876/$C875-1)</f>
        <v/>
      </c>
      <c r="I876" s="37" t="str">
        <f aca="false">IF(AND(ISNUMBER($G876),$G876&gt;=MA_SHORT),AVERAGE(INDEX($C$476:$C876,402-MA_SHORT):$C876),"")</f>
        <v/>
      </c>
      <c r="J876" s="37" t="str">
        <f aca="false">IF(AND(ISNUMBER($G876),$G876&gt;=MA_MED),AVERAGE(INDEX($C$476:$C876,402-MA_MED):$C876),"")</f>
        <v/>
      </c>
      <c r="K876" s="37" t="str">
        <f aca="false">IF(AND(ISNUMBER($G876),$G876&gt;=MA_LONG2),AVERAGE(INDEX($C$476:$C876,402-MA_LONG2):$C876),"")</f>
        <v/>
      </c>
      <c r="L876" s="38" t="str">
        <f aca="false">IF(AND(ISNUMBER($G876),$G876&gt;=21),STDEV(INDEX($H$816:$H876,62-20):$H876)*SQRT(245),"")</f>
        <v/>
      </c>
      <c r="M876" s="37" t="str">
        <f aca="false">IF(AND(ISNUMBER($G876),$G876&gt;=60),MAX(INDEX($D$676:$D876,202-60):$D876),"")</f>
        <v/>
      </c>
      <c r="N876" s="37" t="str">
        <f aca="false">IF(AND(ISNUMBER($G876),$G876&gt;=60),MIN(INDEX($E$676:$E876,202-60):$E876),"")</f>
        <v/>
      </c>
      <c r="O876" s="38" t="str">
        <f aca="false">IF(OR(NOT(ISNUMBER($C876)),NOT(ISNUMBER($M876)),$M876=0),"",$C876/$M876-1)</f>
        <v/>
      </c>
    </row>
    <row r="877" customFormat="false" ht="15" hidden="false" customHeight="true" outlineLevel="0" collapsed="false">
      <c r="A877" s="39"/>
      <c r="B877" s="40"/>
      <c r="C877" s="41"/>
      <c r="D877" s="40"/>
      <c r="E877" s="40"/>
      <c r="F877" s="40"/>
      <c r="G877" s="35" t="str">
        <f aca="false">IF($A877="","",IF(ISNUMBER($G876),$G876+1,1))</f>
        <v/>
      </c>
      <c r="H877" s="36" t="str">
        <f aca="false">IF(OR(NOT(ISNUMBER($G877)),$G877&lt;2,NOT(ISNUMBER($C876)),$C876=0),"",$C877/$C876-1)</f>
        <v/>
      </c>
      <c r="I877" s="37" t="str">
        <f aca="false">IF(AND(ISNUMBER($G877),$G877&gt;=MA_SHORT),AVERAGE(INDEX($C$477:$C877,402-MA_SHORT):$C877),"")</f>
        <v/>
      </c>
      <c r="J877" s="37" t="str">
        <f aca="false">IF(AND(ISNUMBER($G877),$G877&gt;=MA_MED),AVERAGE(INDEX($C$477:$C877,402-MA_MED):$C877),"")</f>
        <v/>
      </c>
      <c r="K877" s="37" t="str">
        <f aca="false">IF(AND(ISNUMBER($G877),$G877&gt;=MA_LONG2),AVERAGE(INDEX($C$477:$C877,402-MA_LONG2):$C877),"")</f>
        <v/>
      </c>
      <c r="L877" s="38" t="str">
        <f aca="false">IF(AND(ISNUMBER($G877),$G877&gt;=21),STDEV(INDEX($H$817:$H877,62-20):$H877)*SQRT(245),"")</f>
        <v/>
      </c>
      <c r="M877" s="37" t="str">
        <f aca="false">IF(AND(ISNUMBER($G877),$G877&gt;=60),MAX(INDEX($D$677:$D877,202-60):$D877),"")</f>
        <v/>
      </c>
      <c r="N877" s="37" t="str">
        <f aca="false">IF(AND(ISNUMBER($G877),$G877&gt;=60),MIN(INDEX($E$677:$E877,202-60):$E877),"")</f>
        <v/>
      </c>
      <c r="O877" s="38" t="str">
        <f aca="false">IF(OR(NOT(ISNUMBER($C877)),NOT(ISNUMBER($M877)),$M877=0),"",$C877/$M877-1)</f>
        <v/>
      </c>
    </row>
    <row r="878" customFormat="false" ht="15" hidden="false" customHeight="true" outlineLevel="0" collapsed="false">
      <c r="A878" s="39"/>
      <c r="B878" s="40"/>
      <c r="C878" s="41"/>
      <c r="D878" s="40"/>
      <c r="E878" s="40"/>
      <c r="F878" s="40"/>
      <c r="G878" s="35" t="str">
        <f aca="false">IF($A878="","",IF(ISNUMBER($G877),$G877+1,1))</f>
        <v/>
      </c>
      <c r="H878" s="36" t="str">
        <f aca="false">IF(OR(NOT(ISNUMBER($G878)),$G878&lt;2,NOT(ISNUMBER($C877)),$C877=0),"",$C878/$C877-1)</f>
        <v/>
      </c>
      <c r="I878" s="37" t="str">
        <f aca="false">IF(AND(ISNUMBER($G878),$G878&gt;=MA_SHORT),AVERAGE(INDEX($C$478:$C878,402-MA_SHORT):$C878),"")</f>
        <v/>
      </c>
      <c r="J878" s="37" t="str">
        <f aca="false">IF(AND(ISNUMBER($G878),$G878&gt;=MA_MED),AVERAGE(INDEX($C$478:$C878,402-MA_MED):$C878),"")</f>
        <v/>
      </c>
      <c r="K878" s="37" t="str">
        <f aca="false">IF(AND(ISNUMBER($G878),$G878&gt;=MA_LONG2),AVERAGE(INDEX($C$478:$C878,402-MA_LONG2):$C878),"")</f>
        <v/>
      </c>
      <c r="L878" s="38" t="str">
        <f aca="false">IF(AND(ISNUMBER($G878),$G878&gt;=21),STDEV(INDEX($H$818:$H878,62-20):$H878)*SQRT(245),"")</f>
        <v/>
      </c>
      <c r="M878" s="37" t="str">
        <f aca="false">IF(AND(ISNUMBER($G878),$G878&gt;=60),MAX(INDEX($D$678:$D878,202-60):$D878),"")</f>
        <v/>
      </c>
      <c r="N878" s="37" t="str">
        <f aca="false">IF(AND(ISNUMBER($G878),$G878&gt;=60),MIN(INDEX($E$678:$E878,202-60):$E878),"")</f>
        <v/>
      </c>
      <c r="O878" s="38" t="str">
        <f aca="false">IF(OR(NOT(ISNUMBER($C878)),NOT(ISNUMBER($M878)),$M878=0),"",$C878/$M878-1)</f>
        <v/>
      </c>
    </row>
    <row r="879" customFormat="false" ht="15" hidden="false" customHeight="true" outlineLevel="0" collapsed="false">
      <c r="A879" s="39"/>
      <c r="B879" s="40"/>
      <c r="C879" s="41"/>
      <c r="D879" s="40"/>
      <c r="E879" s="40"/>
      <c r="F879" s="40"/>
      <c r="G879" s="35" t="str">
        <f aca="false">IF($A879="","",IF(ISNUMBER($G878),$G878+1,1))</f>
        <v/>
      </c>
      <c r="H879" s="36" t="str">
        <f aca="false">IF(OR(NOT(ISNUMBER($G879)),$G879&lt;2,NOT(ISNUMBER($C878)),$C878=0),"",$C879/$C878-1)</f>
        <v/>
      </c>
      <c r="I879" s="37" t="str">
        <f aca="false">IF(AND(ISNUMBER($G879),$G879&gt;=MA_SHORT),AVERAGE(INDEX($C$479:$C879,402-MA_SHORT):$C879),"")</f>
        <v/>
      </c>
      <c r="J879" s="37" t="str">
        <f aca="false">IF(AND(ISNUMBER($G879),$G879&gt;=MA_MED),AVERAGE(INDEX($C$479:$C879,402-MA_MED):$C879),"")</f>
        <v/>
      </c>
      <c r="K879" s="37" t="str">
        <f aca="false">IF(AND(ISNUMBER($G879),$G879&gt;=MA_LONG2),AVERAGE(INDEX($C$479:$C879,402-MA_LONG2):$C879),"")</f>
        <v/>
      </c>
      <c r="L879" s="38" t="str">
        <f aca="false">IF(AND(ISNUMBER($G879),$G879&gt;=21),STDEV(INDEX($H$819:$H879,62-20):$H879)*SQRT(245),"")</f>
        <v/>
      </c>
      <c r="M879" s="37" t="str">
        <f aca="false">IF(AND(ISNUMBER($G879),$G879&gt;=60),MAX(INDEX($D$679:$D879,202-60):$D879),"")</f>
        <v/>
      </c>
      <c r="N879" s="37" t="str">
        <f aca="false">IF(AND(ISNUMBER($G879),$G879&gt;=60),MIN(INDEX($E$679:$E879,202-60):$E879),"")</f>
        <v/>
      </c>
      <c r="O879" s="38" t="str">
        <f aca="false">IF(OR(NOT(ISNUMBER($C879)),NOT(ISNUMBER($M879)),$M879=0),"",$C879/$M879-1)</f>
        <v/>
      </c>
    </row>
    <row r="880" customFormat="false" ht="15" hidden="false" customHeight="true" outlineLevel="0" collapsed="false">
      <c r="A880" s="39"/>
      <c r="B880" s="40"/>
      <c r="C880" s="41"/>
      <c r="D880" s="40"/>
      <c r="E880" s="40"/>
      <c r="F880" s="40"/>
      <c r="G880" s="35" t="str">
        <f aca="false">IF($A880="","",IF(ISNUMBER($G879),$G879+1,1))</f>
        <v/>
      </c>
      <c r="H880" s="36" t="str">
        <f aca="false">IF(OR(NOT(ISNUMBER($G880)),$G880&lt;2,NOT(ISNUMBER($C879)),$C879=0),"",$C880/$C879-1)</f>
        <v/>
      </c>
      <c r="I880" s="37" t="str">
        <f aca="false">IF(AND(ISNUMBER($G880),$G880&gt;=MA_SHORT),AVERAGE(INDEX($C$480:$C880,402-MA_SHORT):$C880),"")</f>
        <v/>
      </c>
      <c r="J880" s="37" t="str">
        <f aca="false">IF(AND(ISNUMBER($G880),$G880&gt;=MA_MED),AVERAGE(INDEX($C$480:$C880,402-MA_MED):$C880),"")</f>
        <v/>
      </c>
      <c r="K880" s="37" t="str">
        <f aca="false">IF(AND(ISNUMBER($G880),$G880&gt;=MA_LONG2),AVERAGE(INDEX($C$480:$C880,402-MA_LONG2):$C880),"")</f>
        <v/>
      </c>
      <c r="L880" s="38" t="str">
        <f aca="false">IF(AND(ISNUMBER($G880),$G880&gt;=21),STDEV(INDEX($H$820:$H880,62-20):$H880)*SQRT(245),"")</f>
        <v/>
      </c>
      <c r="M880" s="37" t="str">
        <f aca="false">IF(AND(ISNUMBER($G880),$G880&gt;=60),MAX(INDEX($D$680:$D880,202-60):$D880),"")</f>
        <v/>
      </c>
      <c r="N880" s="37" t="str">
        <f aca="false">IF(AND(ISNUMBER($G880),$G880&gt;=60),MIN(INDEX($E$680:$E880,202-60):$E880),"")</f>
        <v/>
      </c>
      <c r="O880" s="38" t="str">
        <f aca="false">IF(OR(NOT(ISNUMBER($C880)),NOT(ISNUMBER($M880)),$M880=0),"",$C880/$M880-1)</f>
        <v/>
      </c>
    </row>
    <row r="881" customFormat="false" ht="15" hidden="false" customHeight="true" outlineLevel="0" collapsed="false">
      <c r="A881" s="39"/>
      <c r="B881" s="40"/>
      <c r="C881" s="41"/>
      <c r="D881" s="40"/>
      <c r="E881" s="40"/>
      <c r="F881" s="40"/>
      <c r="G881" s="35" t="str">
        <f aca="false">IF($A881="","",IF(ISNUMBER($G880),$G880+1,1))</f>
        <v/>
      </c>
      <c r="H881" s="36" t="str">
        <f aca="false">IF(OR(NOT(ISNUMBER($G881)),$G881&lt;2,NOT(ISNUMBER($C880)),$C880=0),"",$C881/$C880-1)</f>
        <v/>
      </c>
      <c r="I881" s="37" t="str">
        <f aca="false">IF(AND(ISNUMBER($G881),$G881&gt;=MA_SHORT),AVERAGE(INDEX($C$481:$C881,402-MA_SHORT):$C881),"")</f>
        <v/>
      </c>
      <c r="J881" s="37" t="str">
        <f aca="false">IF(AND(ISNUMBER($G881),$G881&gt;=MA_MED),AVERAGE(INDEX($C$481:$C881,402-MA_MED):$C881),"")</f>
        <v/>
      </c>
      <c r="K881" s="37" t="str">
        <f aca="false">IF(AND(ISNUMBER($G881),$G881&gt;=MA_LONG2),AVERAGE(INDEX($C$481:$C881,402-MA_LONG2):$C881),"")</f>
        <v/>
      </c>
      <c r="L881" s="38" t="str">
        <f aca="false">IF(AND(ISNUMBER($G881),$G881&gt;=21),STDEV(INDEX($H$821:$H881,62-20):$H881)*SQRT(245),"")</f>
        <v/>
      </c>
      <c r="M881" s="37" t="str">
        <f aca="false">IF(AND(ISNUMBER($G881),$G881&gt;=60),MAX(INDEX($D$681:$D881,202-60):$D881),"")</f>
        <v/>
      </c>
      <c r="N881" s="37" t="str">
        <f aca="false">IF(AND(ISNUMBER($G881),$G881&gt;=60),MIN(INDEX($E$681:$E881,202-60):$E881),"")</f>
        <v/>
      </c>
      <c r="O881" s="38" t="str">
        <f aca="false">IF(OR(NOT(ISNUMBER($C881)),NOT(ISNUMBER($M881)),$M881=0),"",$C881/$M881-1)</f>
        <v/>
      </c>
    </row>
    <row r="882" customFormat="false" ht="15" hidden="false" customHeight="true" outlineLevel="0" collapsed="false">
      <c r="A882" s="39"/>
      <c r="B882" s="40"/>
      <c r="C882" s="41"/>
      <c r="D882" s="40"/>
      <c r="E882" s="40"/>
      <c r="F882" s="40"/>
      <c r="G882" s="35" t="str">
        <f aca="false">IF($A882="","",IF(ISNUMBER($G881),$G881+1,1))</f>
        <v/>
      </c>
      <c r="H882" s="36" t="str">
        <f aca="false">IF(OR(NOT(ISNUMBER($G882)),$G882&lt;2,NOT(ISNUMBER($C881)),$C881=0),"",$C882/$C881-1)</f>
        <v/>
      </c>
      <c r="I882" s="37" t="str">
        <f aca="false">IF(AND(ISNUMBER($G882),$G882&gt;=MA_SHORT),AVERAGE(INDEX($C$482:$C882,402-MA_SHORT):$C882),"")</f>
        <v/>
      </c>
      <c r="J882" s="37" t="str">
        <f aca="false">IF(AND(ISNUMBER($G882),$G882&gt;=MA_MED),AVERAGE(INDEX($C$482:$C882,402-MA_MED):$C882),"")</f>
        <v/>
      </c>
      <c r="K882" s="37" t="str">
        <f aca="false">IF(AND(ISNUMBER($G882),$G882&gt;=MA_LONG2),AVERAGE(INDEX($C$482:$C882,402-MA_LONG2):$C882),"")</f>
        <v/>
      </c>
      <c r="L882" s="38" t="str">
        <f aca="false">IF(AND(ISNUMBER($G882),$G882&gt;=21),STDEV(INDEX($H$822:$H882,62-20):$H882)*SQRT(245),"")</f>
        <v/>
      </c>
      <c r="M882" s="37" t="str">
        <f aca="false">IF(AND(ISNUMBER($G882),$G882&gt;=60),MAX(INDEX($D$682:$D882,202-60):$D882),"")</f>
        <v/>
      </c>
      <c r="N882" s="37" t="str">
        <f aca="false">IF(AND(ISNUMBER($G882),$G882&gt;=60),MIN(INDEX($E$682:$E882,202-60):$E882),"")</f>
        <v/>
      </c>
      <c r="O882" s="38" t="str">
        <f aca="false">IF(OR(NOT(ISNUMBER($C882)),NOT(ISNUMBER($M882)),$M882=0),"",$C882/$M882-1)</f>
        <v/>
      </c>
    </row>
    <row r="883" customFormat="false" ht="15" hidden="false" customHeight="true" outlineLevel="0" collapsed="false">
      <c r="A883" s="39"/>
      <c r="B883" s="40"/>
      <c r="C883" s="41"/>
      <c r="D883" s="40"/>
      <c r="E883" s="40"/>
      <c r="F883" s="40"/>
      <c r="G883" s="35" t="str">
        <f aca="false">IF($A883="","",IF(ISNUMBER($G882),$G882+1,1))</f>
        <v/>
      </c>
      <c r="H883" s="36" t="str">
        <f aca="false">IF(OR(NOT(ISNUMBER($G883)),$G883&lt;2,NOT(ISNUMBER($C882)),$C882=0),"",$C883/$C882-1)</f>
        <v/>
      </c>
      <c r="I883" s="37" t="str">
        <f aca="false">IF(AND(ISNUMBER($G883),$G883&gt;=MA_SHORT),AVERAGE(INDEX($C$483:$C883,402-MA_SHORT):$C883),"")</f>
        <v/>
      </c>
      <c r="J883" s="37" t="str">
        <f aca="false">IF(AND(ISNUMBER($G883),$G883&gt;=MA_MED),AVERAGE(INDEX($C$483:$C883,402-MA_MED):$C883),"")</f>
        <v/>
      </c>
      <c r="K883" s="37" t="str">
        <f aca="false">IF(AND(ISNUMBER($G883),$G883&gt;=MA_LONG2),AVERAGE(INDEX($C$483:$C883,402-MA_LONG2):$C883),"")</f>
        <v/>
      </c>
      <c r="L883" s="38" t="str">
        <f aca="false">IF(AND(ISNUMBER($G883),$G883&gt;=21),STDEV(INDEX($H$823:$H883,62-20):$H883)*SQRT(245),"")</f>
        <v/>
      </c>
      <c r="M883" s="37" t="str">
        <f aca="false">IF(AND(ISNUMBER($G883),$G883&gt;=60),MAX(INDEX($D$683:$D883,202-60):$D883),"")</f>
        <v/>
      </c>
      <c r="N883" s="37" t="str">
        <f aca="false">IF(AND(ISNUMBER($G883),$G883&gt;=60),MIN(INDEX($E$683:$E883,202-60):$E883),"")</f>
        <v/>
      </c>
      <c r="O883" s="38" t="str">
        <f aca="false">IF(OR(NOT(ISNUMBER($C883)),NOT(ISNUMBER($M883)),$M883=0),"",$C883/$M883-1)</f>
        <v/>
      </c>
    </row>
    <row r="884" customFormat="false" ht="15" hidden="false" customHeight="true" outlineLevel="0" collapsed="false">
      <c r="A884" s="39"/>
      <c r="B884" s="40"/>
      <c r="C884" s="41"/>
      <c r="D884" s="40"/>
      <c r="E884" s="40"/>
      <c r="F884" s="40"/>
      <c r="G884" s="35" t="str">
        <f aca="false">IF($A884="","",IF(ISNUMBER($G883),$G883+1,1))</f>
        <v/>
      </c>
      <c r="H884" s="36" t="str">
        <f aca="false">IF(OR(NOT(ISNUMBER($G884)),$G884&lt;2,NOT(ISNUMBER($C883)),$C883=0),"",$C884/$C883-1)</f>
        <v/>
      </c>
      <c r="I884" s="37" t="str">
        <f aca="false">IF(AND(ISNUMBER($G884),$G884&gt;=MA_SHORT),AVERAGE(INDEX($C$484:$C884,402-MA_SHORT):$C884),"")</f>
        <v/>
      </c>
      <c r="J884" s="37" t="str">
        <f aca="false">IF(AND(ISNUMBER($G884),$G884&gt;=MA_MED),AVERAGE(INDEX($C$484:$C884,402-MA_MED):$C884),"")</f>
        <v/>
      </c>
      <c r="K884" s="37" t="str">
        <f aca="false">IF(AND(ISNUMBER($G884),$G884&gt;=MA_LONG2),AVERAGE(INDEX($C$484:$C884,402-MA_LONG2):$C884),"")</f>
        <v/>
      </c>
      <c r="L884" s="38" t="str">
        <f aca="false">IF(AND(ISNUMBER($G884),$G884&gt;=21),STDEV(INDEX($H$824:$H884,62-20):$H884)*SQRT(245),"")</f>
        <v/>
      </c>
      <c r="M884" s="37" t="str">
        <f aca="false">IF(AND(ISNUMBER($G884),$G884&gt;=60),MAX(INDEX($D$684:$D884,202-60):$D884),"")</f>
        <v/>
      </c>
      <c r="N884" s="37" t="str">
        <f aca="false">IF(AND(ISNUMBER($G884),$G884&gt;=60),MIN(INDEX($E$684:$E884,202-60):$E884),"")</f>
        <v/>
      </c>
      <c r="O884" s="38" t="str">
        <f aca="false">IF(OR(NOT(ISNUMBER($C884)),NOT(ISNUMBER($M884)),$M884=0),"",$C884/$M884-1)</f>
        <v/>
      </c>
    </row>
    <row r="885" customFormat="false" ht="15" hidden="false" customHeight="true" outlineLevel="0" collapsed="false">
      <c r="A885" s="39"/>
      <c r="B885" s="40"/>
      <c r="C885" s="41"/>
      <c r="D885" s="40"/>
      <c r="E885" s="40"/>
      <c r="F885" s="40"/>
      <c r="G885" s="35" t="str">
        <f aca="false">IF($A885="","",IF(ISNUMBER($G884),$G884+1,1))</f>
        <v/>
      </c>
      <c r="H885" s="36" t="str">
        <f aca="false">IF(OR(NOT(ISNUMBER($G885)),$G885&lt;2,NOT(ISNUMBER($C884)),$C884=0),"",$C885/$C884-1)</f>
        <v/>
      </c>
      <c r="I885" s="37" t="str">
        <f aca="false">IF(AND(ISNUMBER($G885),$G885&gt;=MA_SHORT),AVERAGE(INDEX($C$485:$C885,402-MA_SHORT):$C885),"")</f>
        <v/>
      </c>
      <c r="J885" s="37" t="str">
        <f aca="false">IF(AND(ISNUMBER($G885),$G885&gt;=MA_MED),AVERAGE(INDEX($C$485:$C885,402-MA_MED):$C885),"")</f>
        <v/>
      </c>
      <c r="K885" s="37" t="str">
        <f aca="false">IF(AND(ISNUMBER($G885),$G885&gt;=MA_LONG2),AVERAGE(INDEX($C$485:$C885,402-MA_LONG2):$C885),"")</f>
        <v/>
      </c>
      <c r="L885" s="38" t="str">
        <f aca="false">IF(AND(ISNUMBER($G885),$G885&gt;=21),STDEV(INDEX($H$825:$H885,62-20):$H885)*SQRT(245),"")</f>
        <v/>
      </c>
      <c r="M885" s="37" t="str">
        <f aca="false">IF(AND(ISNUMBER($G885),$G885&gt;=60),MAX(INDEX($D$685:$D885,202-60):$D885),"")</f>
        <v/>
      </c>
      <c r="N885" s="37" t="str">
        <f aca="false">IF(AND(ISNUMBER($G885),$G885&gt;=60),MIN(INDEX($E$685:$E885,202-60):$E885),"")</f>
        <v/>
      </c>
      <c r="O885" s="38" t="str">
        <f aca="false">IF(OR(NOT(ISNUMBER($C885)),NOT(ISNUMBER($M885)),$M885=0),"",$C885/$M885-1)</f>
        <v/>
      </c>
    </row>
    <row r="886" customFormat="false" ht="15" hidden="false" customHeight="true" outlineLevel="0" collapsed="false">
      <c r="A886" s="39"/>
      <c r="B886" s="40"/>
      <c r="C886" s="41"/>
      <c r="D886" s="40"/>
      <c r="E886" s="40"/>
      <c r="F886" s="40"/>
      <c r="G886" s="35" t="str">
        <f aca="false">IF($A886="","",IF(ISNUMBER($G885),$G885+1,1))</f>
        <v/>
      </c>
      <c r="H886" s="36" t="str">
        <f aca="false">IF(OR(NOT(ISNUMBER($G886)),$G886&lt;2,NOT(ISNUMBER($C885)),$C885=0),"",$C886/$C885-1)</f>
        <v/>
      </c>
      <c r="I886" s="37" t="str">
        <f aca="false">IF(AND(ISNUMBER($G886),$G886&gt;=MA_SHORT),AVERAGE(INDEX($C$486:$C886,402-MA_SHORT):$C886),"")</f>
        <v/>
      </c>
      <c r="J886" s="37" t="str">
        <f aca="false">IF(AND(ISNUMBER($G886),$G886&gt;=MA_MED),AVERAGE(INDEX($C$486:$C886,402-MA_MED):$C886),"")</f>
        <v/>
      </c>
      <c r="K886" s="37" t="str">
        <f aca="false">IF(AND(ISNUMBER($G886),$G886&gt;=MA_LONG2),AVERAGE(INDEX($C$486:$C886,402-MA_LONG2):$C886),"")</f>
        <v/>
      </c>
      <c r="L886" s="38" t="str">
        <f aca="false">IF(AND(ISNUMBER($G886),$G886&gt;=21),STDEV(INDEX($H$826:$H886,62-20):$H886)*SQRT(245),"")</f>
        <v/>
      </c>
      <c r="M886" s="37" t="str">
        <f aca="false">IF(AND(ISNUMBER($G886),$G886&gt;=60),MAX(INDEX($D$686:$D886,202-60):$D886),"")</f>
        <v/>
      </c>
      <c r="N886" s="37" t="str">
        <f aca="false">IF(AND(ISNUMBER($G886),$G886&gt;=60),MIN(INDEX($E$686:$E886,202-60):$E886),"")</f>
        <v/>
      </c>
      <c r="O886" s="38" t="str">
        <f aca="false">IF(OR(NOT(ISNUMBER($C886)),NOT(ISNUMBER($M886)),$M886=0),"",$C886/$M886-1)</f>
        <v/>
      </c>
    </row>
    <row r="887" customFormat="false" ht="15" hidden="false" customHeight="true" outlineLevel="0" collapsed="false">
      <c r="A887" s="39"/>
      <c r="B887" s="40"/>
      <c r="C887" s="41"/>
      <c r="D887" s="40"/>
      <c r="E887" s="40"/>
      <c r="F887" s="40"/>
      <c r="G887" s="35" t="str">
        <f aca="false">IF($A887="","",IF(ISNUMBER($G886),$G886+1,1))</f>
        <v/>
      </c>
      <c r="H887" s="36" t="str">
        <f aca="false">IF(OR(NOT(ISNUMBER($G887)),$G887&lt;2,NOT(ISNUMBER($C886)),$C886=0),"",$C887/$C886-1)</f>
        <v/>
      </c>
      <c r="I887" s="37" t="str">
        <f aca="false">IF(AND(ISNUMBER($G887),$G887&gt;=MA_SHORT),AVERAGE(INDEX($C$487:$C887,402-MA_SHORT):$C887),"")</f>
        <v/>
      </c>
      <c r="J887" s="37" t="str">
        <f aca="false">IF(AND(ISNUMBER($G887),$G887&gt;=MA_MED),AVERAGE(INDEX($C$487:$C887,402-MA_MED):$C887),"")</f>
        <v/>
      </c>
      <c r="K887" s="37" t="str">
        <f aca="false">IF(AND(ISNUMBER($G887),$G887&gt;=MA_LONG2),AVERAGE(INDEX($C$487:$C887,402-MA_LONG2):$C887),"")</f>
        <v/>
      </c>
      <c r="L887" s="38" t="str">
        <f aca="false">IF(AND(ISNUMBER($G887),$G887&gt;=21),STDEV(INDEX($H$827:$H887,62-20):$H887)*SQRT(245),"")</f>
        <v/>
      </c>
      <c r="M887" s="37" t="str">
        <f aca="false">IF(AND(ISNUMBER($G887),$G887&gt;=60),MAX(INDEX($D$687:$D887,202-60):$D887),"")</f>
        <v/>
      </c>
      <c r="N887" s="37" t="str">
        <f aca="false">IF(AND(ISNUMBER($G887),$G887&gt;=60),MIN(INDEX($E$687:$E887,202-60):$E887),"")</f>
        <v/>
      </c>
      <c r="O887" s="38" t="str">
        <f aca="false">IF(OR(NOT(ISNUMBER($C887)),NOT(ISNUMBER($M887)),$M887=0),"",$C887/$M887-1)</f>
        <v/>
      </c>
    </row>
    <row r="888" customFormat="false" ht="15" hidden="false" customHeight="true" outlineLevel="0" collapsed="false">
      <c r="A888" s="39"/>
      <c r="B888" s="40"/>
      <c r="C888" s="41"/>
      <c r="D888" s="40"/>
      <c r="E888" s="40"/>
      <c r="F888" s="40"/>
      <c r="G888" s="35" t="str">
        <f aca="false">IF($A888="","",IF(ISNUMBER($G887),$G887+1,1))</f>
        <v/>
      </c>
      <c r="H888" s="36" t="str">
        <f aca="false">IF(OR(NOT(ISNUMBER($G888)),$G888&lt;2,NOT(ISNUMBER($C887)),$C887=0),"",$C888/$C887-1)</f>
        <v/>
      </c>
      <c r="I888" s="37" t="str">
        <f aca="false">IF(AND(ISNUMBER($G888),$G888&gt;=MA_SHORT),AVERAGE(INDEX($C$488:$C888,402-MA_SHORT):$C888),"")</f>
        <v/>
      </c>
      <c r="J888" s="37" t="str">
        <f aca="false">IF(AND(ISNUMBER($G888),$G888&gt;=MA_MED),AVERAGE(INDEX($C$488:$C888,402-MA_MED):$C888),"")</f>
        <v/>
      </c>
      <c r="K888" s="37" t="str">
        <f aca="false">IF(AND(ISNUMBER($G888),$G888&gt;=MA_LONG2),AVERAGE(INDEX($C$488:$C888,402-MA_LONG2):$C888),"")</f>
        <v/>
      </c>
      <c r="L888" s="38" t="str">
        <f aca="false">IF(AND(ISNUMBER($G888),$G888&gt;=21),STDEV(INDEX($H$828:$H888,62-20):$H888)*SQRT(245),"")</f>
        <v/>
      </c>
      <c r="M888" s="37" t="str">
        <f aca="false">IF(AND(ISNUMBER($G888),$G888&gt;=60),MAX(INDEX($D$688:$D888,202-60):$D888),"")</f>
        <v/>
      </c>
      <c r="N888" s="37" t="str">
        <f aca="false">IF(AND(ISNUMBER($G888),$G888&gt;=60),MIN(INDEX($E$688:$E888,202-60):$E888),"")</f>
        <v/>
      </c>
      <c r="O888" s="38" t="str">
        <f aca="false">IF(OR(NOT(ISNUMBER($C888)),NOT(ISNUMBER($M888)),$M888=0),"",$C888/$M888-1)</f>
        <v/>
      </c>
    </row>
    <row r="889" customFormat="false" ht="15" hidden="false" customHeight="true" outlineLevel="0" collapsed="false">
      <c r="A889" s="39"/>
      <c r="B889" s="40"/>
      <c r="C889" s="41"/>
      <c r="D889" s="40"/>
      <c r="E889" s="40"/>
      <c r="F889" s="40"/>
      <c r="G889" s="35" t="str">
        <f aca="false">IF($A889="","",IF(ISNUMBER($G888),$G888+1,1))</f>
        <v/>
      </c>
      <c r="H889" s="36" t="str">
        <f aca="false">IF(OR(NOT(ISNUMBER($G889)),$G889&lt;2,NOT(ISNUMBER($C888)),$C888=0),"",$C889/$C888-1)</f>
        <v/>
      </c>
      <c r="I889" s="37" t="str">
        <f aca="false">IF(AND(ISNUMBER($G889),$G889&gt;=MA_SHORT),AVERAGE(INDEX($C$489:$C889,402-MA_SHORT):$C889),"")</f>
        <v/>
      </c>
      <c r="J889" s="37" t="str">
        <f aca="false">IF(AND(ISNUMBER($G889),$G889&gt;=MA_MED),AVERAGE(INDEX($C$489:$C889,402-MA_MED):$C889),"")</f>
        <v/>
      </c>
      <c r="K889" s="37" t="str">
        <f aca="false">IF(AND(ISNUMBER($G889),$G889&gt;=MA_LONG2),AVERAGE(INDEX($C$489:$C889,402-MA_LONG2):$C889),"")</f>
        <v/>
      </c>
      <c r="L889" s="38" t="str">
        <f aca="false">IF(AND(ISNUMBER($G889),$G889&gt;=21),STDEV(INDEX($H$829:$H889,62-20):$H889)*SQRT(245),"")</f>
        <v/>
      </c>
      <c r="M889" s="37" t="str">
        <f aca="false">IF(AND(ISNUMBER($G889),$G889&gt;=60),MAX(INDEX($D$689:$D889,202-60):$D889),"")</f>
        <v/>
      </c>
      <c r="N889" s="37" t="str">
        <f aca="false">IF(AND(ISNUMBER($G889),$G889&gt;=60),MIN(INDEX($E$689:$E889,202-60):$E889),"")</f>
        <v/>
      </c>
      <c r="O889" s="38" t="str">
        <f aca="false">IF(OR(NOT(ISNUMBER($C889)),NOT(ISNUMBER($M889)),$M889=0),"",$C889/$M889-1)</f>
        <v/>
      </c>
    </row>
    <row r="890" customFormat="false" ht="15" hidden="false" customHeight="true" outlineLevel="0" collapsed="false">
      <c r="A890" s="39"/>
      <c r="B890" s="40"/>
      <c r="C890" s="41"/>
      <c r="D890" s="40"/>
      <c r="E890" s="40"/>
      <c r="F890" s="40"/>
      <c r="G890" s="35" t="str">
        <f aca="false">IF($A890="","",IF(ISNUMBER($G889),$G889+1,1))</f>
        <v/>
      </c>
      <c r="H890" s="36" t="str">
        <f aca="false">IF(OR(NOT(ISNUMBER($G890)),$G890&lt;2,NOT(ISNUMBER($C889)),$C889=0),"",$C890/$C889-1)</f>
        <v/>
      </c>
      <c r="I890" s="37" t="str">
        <f aca="false">IF(AND(ISNUMBER($G890),$G890&gt;=MA_SHORT),AVERAGE(INDEX($C$490:$C890,402-MA_SHORT):$C890),"")</f>
        <v/>
      </c>
      <c r="J890" s="37" t="str">
        <f aca="false">IF(AND(ISNUMBER($G890),$G890&gt;=MA_MED),AVERAGE(INDEX($C$490:$C890,402-MA_MED):$C890),"")</f>
        <v/>
      </c>
      <c r="K890" s="37" t="str">
        <f aca="false">IF(AND(ISNUMBER($G890),$G890&gt;=MA_LONG2),AVERAGE(INDEX($C$490:$C890,402-MA_LONG2):$C890),"")</f>
        <v/>
      </c>
      <c r="L890" s="38" t="str">
        <f aca="false">IF(AND(ISNUMBER($G890),$G890&gt;=21),STDEV(INDEX($H$830:$H890,62-20):$H890)*SQRT(245),"")</f>
        <v/>
      </c>
      <c r="M890" s="37" t="str">
        <f aca="false">IF(AND(ISNUMBER($G890),$G890&gt;=60),MAX(INDEX($D$690:$D890,202-60):$D890),"")</f>
        <v/>
      </c>
      <c r="N890" s="37" t="str">
        <f aca="false">IF(AND(ISNUMBER($G890),$G890&gt;=60),MIN(INDEX($E$690:$E890,202-60):$E890),"")</f>
        <v/>
      </c>
      <c r="O890" s="38" t="str">
        <f aca="false">IF(OR(NOT(ISNUMBER($C890)),NOT(ISNUMBER($M890)),$M890=0),"",$C890/$M890-1)</f>
        <v/>
      </c>
    </row>
    <row r="891" customFormat="false" ht="15" hidden="false" customHeight="true" outlineLevel="0" collapsed="false">
      <c r="A891" s="39"/>
      <c r="B891" s="40"/>
      <c r="C891" s="41"/>
      <c r="D891" s="40"/>
      <c r="E891" s="40"/>
      <c r="F891" s="40"/>
      <c r="G891" s="35" t="str">
        <f aca="false">IF($A891="","",IF(ISNUMBER($G890),$G890+1,1))</f>
        <v/>
      </c>
      <c r="H891" s="36" t="str">
        <f aca="false">IF(OR(NOT(ISNUMBER($G891)),$G891&lt;2,NOT(ISNUMBER($C890)),$C890=0),"",$C891/$C890-1)</f>
        <v/>
      </c>
      <c r="I891" s="37" t="str">
        <f aca="false">IF(AND(ISNUMBER($G891),$G891&gt;=MA_SHORT),AVERAGE(INDEX($C$491:$C891,402-MA_SHORT):$C891),"")</f>
        <v/>
      </c>
      <c r="J891" s="37" t="str">
        <f aca="false">IF(AND(ISNUMBER($G891),$G891&gt;=MA_MED),AVERAGE(INDEX($C$491:$C891,402-MA_MED):$C891),"")</f>
        <v/>
      </c>
      <c r="K891" s="37" t="str">
        <f aca="false">IF(AND(ISNUMBER($G891),$G891&gt;=MA_LONG2),AVERAGE(INDEX($C$491:$C891,402-MA_LONG2):$C891),"")</f>
        <v/>
      </c>
      <c r="L891" s="38" t="str">
        <f aca="false">IF(AND(ISNUMBER($G891),$G891&gt;=21),STDEV(INDEX($H$831:$H891,62-20):$H891)*SQRT(245),"")</f>
        <v/>
      </c>
      <c r="M891" s="37" t="str">
        <f aca="false">IF(AND(ISNUMBER($G891),$G891&gt;=60),MAX(INDEX($D$691:$D891,202-60):$D891),"")</f>
        <v/>
      </c>
      <c r="N891" s="37" t="str">
        <f aca="false">IF(AND(ISNUMBER($G891),$G891&gt;=60),MIN(INDEX($E$691:$E891,202-60):$E891),"")</f>
        <v/>
      </c>
      <c r="O891" s="38" t="str">
        <f aca="false">IF(OR(NOT(ISNUMBER($C891)),NOT(ISNUMBER($M891)),$M891=0),"",$C891/$M891-1)</f>
        <v/>
      </c>
    </row>
    <row r="892" customFormat="false" ht="15" hidden="false" customHeight="true" outlineLevel="0" collapsed="false">
      <c r="A892" s="39"/>
      <c r="B892" s="40"/>
      <c r="C892" s="41"/>
      <c r="D892" s="40"/>
      <c r="E892" s="40"/>
      <c r="F892" s="40"/>
      <c r="G892" s="35" t="str">
        <f aca="false">IF($A892="","",IF(ISNUMBER($G891),$G891+1,1))</f>
        <v/>
      </c>
      <c r="H892" s="36" t="str">
        <f aca="false">IF(OR(NOT(ISNUMBER($G892)),$G892&lt;2,NOT(ISNUMBER($C891)),$C891=0),"",$C892/$C891-1)</f>
        <v/>
      </c>
      <c r="I892" s="37" t="str">
        <f aca="false">IF(AND(ISNUMBER($G892),$G892&gt;=MA_SHORT),AVERAGE(INDEX($C$492:$C892,402-MA_SHORT):$C892),"")</f>
        <v/>
      </c>
      <c r="J892" s="37" t="str">
        <f aca="false">IF(AND(ISNUMBER($G892),$G892&gt;=MA_MED),AVERAGE(INDEX($C$492:$C892,402-MA_MED):$C892),"")</f>
        <v/>
      </c>
      <c r="K892" s="37" t="str">
        <f aca="false">IF(AND(ISNUMBER($G892),$G892&gt;=MA_LONG2),AVERAGE(INDEX($C$492:$C892,402-MA_LONG2):$C892),"")</f>
        <v/>
      </c>
      <c r="L892" s="38" t="str">
        <f aca="false">IF(AND(ISNUMBER($G892),$G892&gt;=21),STDEV(INDEX($H$832:$H892,62-20):$H892)*SQRT(245),"")</f>
        <v/>
      </c>
      <c r="M892" s="37" t="str">
        <f aca="false">IF(AND(ISNUMBER($G892),$G892&gt;=60),MAX(INDEX($D$692:$D892,202-60):$D892),"")</f>
        <v/>
      </c>
      <c r="N892" s="37" t="str">
        <f aca="false">IF(AND(ISNUMBER($G892),$G892&gt;=60),MIN(INDEX($E$692:$E892,202-60):$E892),"")</f>
        <v/>
      </c>
      <c r="O892" s="38" t="str">
        <f aca="false">IF(OR(NOT(ISNUMBER($C892)),NOT(ISNUMBER($M892)),$M892=0),"",$C892/$M892-1)</f>
        <v/>
      </c>
    </row>
    <row r="893" customFormat="false" ht="15" hidden="false" customHeight="true" outlineLevel="0" collapsed="false">
      <c r="A893" s="39"/>
      <c r="B893" s="40"/>
      <c r="C893" s="41"/>
      <c r="D893" s="40"/>
      <c r="E893" s="40"/>
      <c r="F893" s="40"/>
      <c r="G893" s="35" t="str">
        <f aca="false">IF($A893="","",IF(ISNUMBER($G892),$G892+1,1))</f>
        <v/>
      </c>
      <c r="H893" s="36" t="str">
        <f aca="false">IF(OR(NOT(ISNUMBER($G893)),$G893&lt;2,NOT(ISNUMBER($C892)),$C892=0),"",$C893/$C892-1)</f>
        <v/>
      </c>
      <c r="I893" s="37" t="str">
        <f aca="false">IF(AND(ISNUMBER($G893),$G893&gt;=MA_SHORT),AVERAGE(INDEX($C$493:$C893,402-MA_SHORT):$C893),"")</f>
        <v/>
      </c>
      <c r="J893" s="37" t="str">
        <f aca="false">IF(AND(ISNUMBER($G893),$G893&gt;=MA_MED),AVERAGE(INDEX($C$493:$C893,402-MA_MED):$C893),"")</f>
        <v/>
      </c>
      <c r="K893" s="37" t="str">
        <f aca="false">IF(AND(ISNUMBER($G893),$G893&gt;=MA_LONG2),AVERAGE(INDEX($C$493:$C893,402-MA_LONG2):$C893),"")</f>
        <v/>
      </c>
      <c r="L893" s="38" t="str">
        <f aca="false">IF(AND(ISNUMBER($G893),$G893&gt;=21),STDEV(INDEX($H$833:$H893,62-20):$H893)*SQRT(245),"")</f>
        <v/>
      </c>
      <c r="M893" s="37" t="str">
        <f aca="false">IF(AND(ISNUMBER($G893),$G893&gt;=60),MAX(INDEX($D$693:$D893,202-60):$D893),"")</f>
        <v/>
      </c>
      <c r="N893" s="37" t="str">
        <f aca="false">IF(AND(ISNUMBER($G893),$G893&gt;=60),MIN(INDEX($E$693:$E893,202-60):$E893),"")</f>
        <v/>
      </c>
      <c r="O893" s="38" t="str">
        <f aca="false">IF(OR(NOT(ISNUMBER($C893)),NOT(ISNUMBER($M893)),$M893=0),"",$C893/$M893-1)</f>
        <v/>
      </c>
    </row>
    <row r="894" customFormat="false" ht="15" hidden="false" customHeight="true" outlineLevel="0" collapsed="false">
      <c r="A894" s="39"/>
      <c r="B894" s="40"/>
      <c r="C894" s="41"/>
      <c r="D894" s="40"/>
      <c r="E894" s="40"/>
      <c r="F894" s="40"/>
      <c r="G894" s="35" t="str">
        <f aca="false">IF($A894="","",IF(ISNUMBER($G893),$G893+1,1))</f>
        <v/>
      </c>
      <c r="H894" s="36" t="str">
        <f aca="false">IF(OR(NOT(ISNUMBER($G894)),$G894&lt;2,NOT(ISNUMBER($C893)),$C893=0),"",$C894/$C893-1)</f>
        <v/>
      </c>
      <c r="I894" s="37" t="str">
        <f aca="false">IF(AND(ISNUMBER($G894),$G894&gt;=MA_SHORT),AVERAGE(INDEX($C$494:$C894,402-MA_SHORT):$C894),"")</f>
        <v/>
      </c>
      <c r="J894" s="37" t="str">
        <f aca="false">IF(AND(ISNUMBER($G894),$G894&gt;=MA_MED),AVERAGE(INDEX($C$494:$C894,402-MA_MED):$C894),"")</f>
        <v/>
      </c>
      <c r="K894" s="37" t="str">
        <f aca="false">IF(AND(ISNUMBER($G894),$G894&gt;=MA_LONG2),AVERAGE(INDEX($C$494:$C894,402-MA_LONG2):$C894),"")</f>
        <v/>
      </c>
      <c r="L894" s="38" t="str">
        <f aca="false">IF(AND(ISNUMBER($G894),$G894&gt;=21),STDEV(INDEX($H$834:$H894,62-20):$H894)*SQRT(245),"")</f>
        <v/>
      </c>
      <c r="M894" s="37" t="str">
        <f aca="false">IF(AND(ISNUMBER($G894),$G894&gt;=60),MAX(INDEX($D$694:$D894,202-60):$D894),"")</f>
        <v/>
      </c>
      <c r="N894" s="37" t="str">
        <f aca="false">IF(AND(ISNUMBER($G894),$G894&gt;=60),MIN(INDEX($E$694:$E894,202-60):$E894),"")</f>
        <v/>
      </c>
      <c r="O894" s="38" t="str">
        <f aca="false">IF(OR(NOT(ISNUMBER($C894)),NOT(ISNUMBER($M894)),$M894=0),"",$C894/$M894-1)</f>
        <v/>
      </c>
    </row>
    <row r="895" customFormat="false" ht="15" hidden="false" customHeight="true" outlineLevel="0" collapsed="false">
      <c r="A895" s="39"/>
      <c r="B895" s="40"/>
      <c r="C895" s="41"/>
      <c r="D895" s="40"/>
      <c r="E895" s="40"/>
      <c r="F895" s="40"/>
      <c r="G895" s="35" t="str">
        <f aca="false">IF($A895="","",IF(ISNUMBER($G894),$G894+1,1))</f>
        <v/>
      </c>
      <c r="H895" s="36" t="str">
        <f aca="false">IF(OR(NOT(ISNUMBER($G895)),$G895&lt;2,NOT(ISNUMBER($C894)),$C894=0),"",$C895/$C894-1)</f>
        <v/>
      </c>
      <c r="I895" s="37" t="str">
        <f aca="false">IF(AND(ISNUMBER($G895),$G895&gt;=MA_SHORT),AVERAGE(INDEX($C$495:$C895,402-MA_SHORT):$C895),"")</f>
        <v/>
      </c>
      <c r="J895" s="37" t="str">
        <f aca="false">IF(AND(ISNUMBER($G895),$G895&gt;=MA_MED),AVERAGE(INDEX($C$495:$C895,402-MA_MED):$C895),"")</f>
        <v/>
      </c>
      <c r="K895" s="37" t="str">
        <f aca="false">IF(AND(ISNUMBER($G895),$G895&gt;=MA_LONG2),AVERAGE(INDEX($C$495:$C895,402-MA_LONG2):$C895),"")</f>
        <v/>
      </c>
      <c r="L895" s="38" t="str">
        <f aca="false">IF(AND(ISNUMBER($G895),$G895&gt;=21),STDEV(INDEX($H$835:$H895,62-20):$H895)*SQRT(245),"")</f>
        <v/>
      </c>
      <c r="M895" s="37" t="str">
        <f aca="false">IF(AND(ISNUMBER($G895),$G895&gt;=60),MAX(INDEX($D$695:$D895,202-60):$D895),"")</f>
        <v/>
      </c>
      <c r="N895" s="37" t="str">
        <f aca="false">IF(AND(ISNUMBER($G895),$G895&gt;=60),MIN(INDEX($E$695:$E895,202-60):$E895),"")</f>
        <v/>
      </c>
      <c r="O895" s="38" t="str">
        <f aca="false">IF(OR(NOT(ISNUMBER($C895)),NOT(ISNUMBER($M895)),$M895=0),"",$C895/$M895-1)</f>
        <v/>
      </c>
    </row>
    <row r="896" customFormat="false" ht="15" hidden="false" customHeight="true" outlineLevel="0" collapsed="false">
      <c r="A896" s="39"/>
      <c r="B896" s="40"/>
      <c r="C896" s="41"/>
      <c r="D896" s="40"/>
      <c r="E896" s="40"/>
      <c r="F896" s="40"/>
      <c r="G896" s="35" t="str">
        <f aca="false">IF($A896="","",IF(ISNUMBER($G895),$G895+1,1))</f>
        <v/>
      </c>
      <c r="H896" s="36" t="str">
        <f aca="false">IF(OR(NOT(ISNUMBER($G896)),$G896&lt;2,NOT(ISNUMBER($C895)),$C895=0),"",$C896/$C895-1)</f>
        <v/>
      </c>
      <c r="I896" s="37" t="str">
        <f aca="false">IF(AND(ISNUMBER($G896),$G896&gt;=MA_SHORT),AVERAGE(INDEX($C$496:$C896,402-MA_SHORT):$C896),"")</f>
        <v/>
      </c>
      <c r="J896" s="37" t="str">
        <f aca="false">IF(AND(ISNUMBER($G896),$G896&gt;=MA_MED),AVERAGE(INDEX($C$496:$C896,402-MA_MED):$C896),"")</f>
        <v/>
      </c>
      <c r="K896" s="37" t="str">
        <f aca="false">IF(AND(ISNUMBER($G896),$G896&gt;=MA_LONG2),AVERAGE(INDEX($C$496:$C896,402-MA_LONG2):$C896),"")</f>
        <v/>
      </c>
      <c r="L896" s="38" t="str">
        <f aca="false">IF(AND(ISNUMBER($G896),$G896&gt;=21),STDEV(INDEX($H$836:$H896,62-20):$H896)*SQRT(245),"")</f>
        <v/>
      </c>
      <c r="M896" s="37" t="str">
        <f aca="false">IF(AND(ISNUMBER($G896),$G896&gt;=60),MAX(INDEX($D$696:$D896,202-60):$D896),"")</f>
        <v/>
      </c>
      <c r="N896" s="37" t="str">
        <f aca="false">IF(AND(ISNUMBER($G896),$G896&gt;=60),MIN(INDEX($E$696:$E896,202-60):$E896),"")</f>
        <v/>
      </c>
      <c r="O896" s="38" t="str">
        <f aca="false">IF(OR(NOT(ISNUMBER($C896)),NOT(ISNUMBER($M896)),$M896=0),"",$C896/$M896-1)</f>
        <v/>
      </c>
    </row>
    <row r="897" customFormat="false" ht="15" hidden="false" customHeight="true" outlineLevel="0" collapsed="false">
      <c r="A897" s="39"/>
      <c r="B897" s="40"/>
      <c r="C897" s="41"/>
      <c r="D897" s="40"/>
      <c r="E897" s="40"/>
      <c r="F897" s="40"/>
      <c r="G897" s="35" t="str">
        <f aca="false">IF($A897="","",IF(ISNUMBER($G896),$G896+1,1))</f>
        <v/>
      </c>
      <c r="H897" s="36" t="str">
        <f aca="false">IF(OR(NOT(ISNUMBER($G897)),$G897&lt;2,NOT(ISNUMBER($C896)),$C896=0),"",$C897/$C896-1)</f>
        <v/>
      </c>
      <c r="I897" s="37" t="str">
        <f aca="false">IF(AND(ISNUMBER($G897),$G897&gt;=MA_SHORT),AVERAGE(INDEX($C$497:$C897,402-MA_SHORT):$C897),"")</f>
        <v/>
      </c>
      <c r="J897" s="37" t="str">
        <f aca="false">IF(AND(ISNUMBER($G897),$G897&gt;=MA_MED),AVERAGE(INDEX($C$497:$C897,402-MA_MED):$C897),"")</f>
        <v/>
      </c>
      <c r="K897" s="37" t="str">
        <f aca="false">IF(AND(ISNUMBER($G897),$G897&gt;=MA_LONG2),AVERAGE(INDEX($C$497:$C897,402-MA_LONG2):$C897),"")</f>
        <v/>
      </c>
      <c r="L897" s="38" t="str">
        <f aca="false">IF(AND(ISNUMBER($G897),$G897&gt;=21),STDEV(INDEX($H$837:$H897,62-20):$H897)*SQRT(245),"")</f>
        <v/>
      </c>
      <c r="M897" s="37" t="str">
        <f aca="false">IF(AND(ISNUMBER($G897),$G897&gt;=60),MAX(INDEX($D$697:$D897,202-60):$D897),"")</f>
        <v/>
      </c>
      <c r="N897" s="37" t="str">
        <f aca="false">IF(AND(ISNUMBER($G897),$G897&gt;=60),MIN(INDEX($E$697:$E897,202-60):$E897),"")</f>
        <v/>
      </c>
      <c r="O897" s="38" t="str">
        <f aca="false">IF(OR(NOT(ISNUMBER($C897)),NOT(ISNUMBER($M897)),$M897=0),"",$C897/$M897-1)</f>
        <v/>
      </c>
    </row>
    <row r="898" customFormat="false" ht="15" hidden="false" customHeight="true" outlineLevel="0" collapsed="false">
      <c r="A898" s="39"/>
      <c r="B898" s="40"/>
      <c r="C898" s="41"/>
      <c r="D898" s="40"/>
      <c r="E898" s="40"/>
      <c r="F898" s="40"/>
      <c r="G898" s="35" t="str">
        <f aca="false">IF($A898="","",IF(ISNUMBER($G897),$G897+1,1))</f>
        <v/>
      </c>
      <c r="H898" s="36" t="str">
        <f aca="false">IF(OR(NOT(ISNUMBER($G898)),$G898&lt;2,NOT(ISNUMBER($C897)),$C897=0),"",$C898/$C897-1)</f>
        <v/>
      </c>
      <c r="I898" s="37" t="str">
        <f aca="false">IF(AND(ISNUMBER($G898),$G898&gt;=MA_SHORT),AVERAGE(INDEX($C$498:$C898,402-MA_SHORT):$C898),"")</f>
        <v/>
      </c>
      <c r="J898" s="37" t="str">
        <f aca="false">IF(AND(ISNUMBER($G898),$G898&gt;=MA_MED),AVERAGE(INDEX($C$498:$C898,402-MA_MED):$C898),"")</f>
        <v/>
      </c>
      <c r="K898" s="37" t="str">
        <f aca="false">IF(AND(ISNUMBER($G898),$G898&gt;=MA_LONG2),AVERAGE(INDEX($C$498:$C898,402-MA_LONG2):$C898),"")</f>
        <v/>
      </c>
      <c r="L898" s="38" t="str">
        <f aca="false">IF(AND(ISNUMBER($G898),$G898&gt;=21),STDEV(INDEX($H$838:$H898,62-20):$H898)*SQRT(245),"")</f>
        <v/>
      </c>
      <c r="M898" s="37" t="str">
        <f aca="false">IF(AND(ISNUMBER($G898),$G898&gt;=60),MAX(INDEX($D$698:$D898,202-60):$D898),"")</f>
        <v/>
      </c>
      <c r="N898" s="37" t="str">
        <f aca="false">IF(AND(ISNUMBER($G898),$G898&gt;=60),MIN(INDEX($E$698:$E898,202-60):$E898),"")</f>
        <v/>
      </c>
      <c r="O898" s="38" t="str">
        <f aca="false">IF(OR(NOT(ISNUMBER($C898)),NOT(ISNUMBER($M898)),$M898=0),"",$C898/$M898-1)</f>
        <v/>
      </c>
    </row>
    <row r="899" customFormat="false" ht="15" hidden="false" customHeight="true" outlineLevel="0" collapsed="false">
      <c r="A899" s="39"/>
      <c r="B899" s="40"/>
      <c r="C899" s="41"/>
      <c r="D899" s="40"/>
      <c r="E899" s="40"/>
      <c r="F899" s="40"/>
      <c r="G899" s="35" t="str">
        <f aca="false">IF($A899="","",IF(ISNUMBER($G898),$G898+1,1))</f>
        <v/>
      </c>
      <c r="H899" s="36" t="str">
        <f aca="false">IF(OR(NOT(ISNUMBER($G899)),$G899&lt;2,NOT(ISNUMBER($C898)),$C898=0),"",$C899/$C898-1)</f>
        <v/>
      </c>
      <c r="I899" s="37" t="str">
        <f aca="false">IF(AND(ISNUMBER($G899),$G899&gt;=MA_SHORT),AVERAGE(INDEX($C$499:$C899,402-MA_SHORT):$C899),"")</f>
        <v/>
      </c>
      <c r="J899" s="37" t="str">
        <f aca="false">IF(AND(ISNUMBER($G899),$G899&gt;=MA_MED),AVERAGE(INDEX($C$499:$C899,402-MA_MED):$C899),"")</f>
        <v/>
      </c>
      <c r="K899" s="37" t="str">
        <f aca="false">IF(AND(ISNUMBER($G899),$G899&gt;=MA_LONG2),AVERAGE(INDEX($C$499:$C899,402-MA_LONG2):$C899),"")</f>
        <v/>
      </c>
      <c r="L899" s="38" t="str">
        <f aca="false">IF(AND(ISNUMBER($G899),$G899&gt;=21),STDEV(INDEX($H$839:$H899,62-20):$H899)*SQRT(245),"")</f>
        <v/>
      </c>
      <c r="M899" s="37" t="str">
        <f aca="false">IF(AND(ISNUMBER($G899),$G899&gt;=60),MAX(INDEX($D$699:$D899,202-60):$D899),"")</f>
        <v/>
      </c>
      <c r="N899" s="37" t="str">
        <f aca="false">IF(AND(ISNUMBER($G899),$G899&gt;=60),MIN(INDEX($E$699:$E899,202-60):$E899),"")</f>
        <v/>
      </c>
      <c r="O899" s="38" t="str">
        <f aca="false">IF(OR(NOT(ISNUMBER($C899)),NOT(ISNUMBER($M899)),$M899=0),"",$C899/$M899-1)</f>
        <v/>
      </c>
    </row>
    <row r="900" customFormat="false" ht="15" hidden="false" customHeight="true" outlineLevel="0" collapsed="false">
      <c r="A900" s="39"/>
      <c r="B900" s="40"/>
      <c r="C900" s="41"/>
      <c r="D900" s="40"/>
      <c r="E900" s="40"/>
      <c r="F900" s="40"/>
      <c r="G900" s="35" t="str">
        <f aca="false">IF($A900="","",IF(ISNUMBER($G899),$G899+1,1))</f>
        <v/>
      </c>
      <c r="H900" s="36" t="str">
        <f aca="false">IF(OR(NOT(ISNUMBER($G900)),$G900&lt;2,NOT(ISNUMBER($C899)),$C899=0),"",$C900/$C899-1)</f>
        <v/>
      </c>
      <c r="I900" s="37" t="str">
        <f aca="false">IF(AND(ISNUMBER($G900),$G900&gt;=MA_SHORT),AVERAGE(INDEX($C$500:$C900,402-MA_SHORT):$C900),"")</f>
        <v/>
      </c>
      <c r="J900" s="37" t="str">
        <f aca="false">IF(AND(ISNUMBER($G900),$G900&gt;=MA_MED),AVERAGE(INDEX($C$500:$C900,402-MA_MED):$C900),"")</f>
        <v/>
      </c>
      <c r="K900" s="37" t="str">
        <f aca="false">IF(AND(ISNUMBER($G900),$G900&gt;=MA_LONG2),AVERAGE(INDEX($C$500:$C900,402-MA_LONG2):$C900),"")</f>
        <v/>
      </c>
      <c r="L900" s="38" t="str">
        <f aca="false">IF(AND(ISNUMBER($G900),$G900&gt;=21),STDEV(INDEX($H$840:$H900,62-20):$H900)*SQRT(245),"")</f>
        <v/>
      </c>
      <c r="M900" s="37" t="str">
        <f aca="false">IF(AND(ISNUMBER($G900),$G900&gt;=60),MAX(INDEX($D$700:$D900,202-60):$D900),"")</f>
        <v/>
      </c>
      <c r="N900" s="37" t="str">
        <f aca="false">IF(AND(ISNUMBER($G900),$G900&gt;=60),MIN(INDEX($E$700:$E900,202-60):$E900),"")</f>
        <v/>
      </c>
      <c r="O900" s="38" t="str">
        <f aca="false">IF(OR(NOT(ISNUMBER($C900)),NOT(ISNUMBER($M900)),$M900=0),"",$C900/$M900-1)</f>
        <v/>
      </c>
    </row>
    <row r="901" customFormat="false" ht="15" hidden="false" customHeight="true" outlineLevel="0" collapsed="false">
      <c r="A901" s="39"/>
      <c r="B901" s="40"/>
      <c r="C901" s="41"/>
      <c r="D901" s="40"/>
      <c r="E901" s="40"/>
      <c r="F901" s="40"/>
      <c r="G901" s="35" t="str">
        <f aca="false">IF($A901="","",IF(ISNUMBER($G900),$G900+1,1))</f>
        <v/>
      </c>
      <c r="H901" s="36" t="str">
        <f aca="false">IF(OR(NOT(ISNUMBER($G901)),$G901&lt;2,NOT(ISNUMBER($C900)),$C900=0),"",$C901/$C900-1)</f>
        <v/>
      </c>
      <c r="I901" s="37" t="str">
        <f aca="false">IF(AND(ISNUMBER($G901),$G901&gt;=MA_SHORT),AVERAGE(INDEX($C$501:$C901,402-MA_SHORT):$C901),"")</f>
        <v/>
      </c>
      <c r="J901" s="37" t="str">
        <f aca="false">IF(AND(ISNUMBER($G901),$G901&gt;=MA_MED),AVERAGE(INDEX($C$501:$C901,402-MA_MED):$C901),"")</f>
        <v/>
      </c>
      <c r="K901" s="37" t="str">
        <f aca="false">IF(AND(ISNUMBER($G901),$G901&gt;=MA_LONG2),AVERAGE(INDEX($C$501:$C901,402-MA_LONG2):$C901),"")</f>
        <v/>
      </c>
      <c r="L901" s="38" t="str">
        <f aca="false">IF(AND(ISNUMBER($G901),$G901&gt;=21),STDEV(INDEX($H$841:$H901,62-20):$H901)*SQRT(245),"")</f>
        <v/>
      </c>
      <c r="M901" s="37" t="str">
        <f aca="false">IF(AND(ISNUMBER($G901),$G901&gt;=60),MAX(INDEX($D$701:$D901,202-60):$D901),"")</f>
        <v/>
      </c>
      <c r="N901" s="37" t="str">
        <f aca="false">IF(AND(ISNUMBER($G901),$G901&gt;=60),MIN(INDEX($E$701:$E901,202-60):$E901),"")</f>
        <v/>
      </c>
      <c r="O901" s="38" t="str">
        <f aca="false">IF(OR(NOT(ISNUMBER($C901)),NOT(ISNUMBER($M901)),$M901=0),"",$C901/$M901-1)</f>
        <v/>
      </c>
    </row>
    <row r="902" customFormat="false" ht="15" hidden="false" customHeight="true" outlineLevel="0" collapsed="false">
      <c r="A902" s="39"/>
      <c r="B902" s="40"/>
      <c r="C902" s="41"/>
      <c r="D902" s="40"/>
      <c r="E902" s="40"/>
      <c r="F902" s="40"/>
      <c r="G902" s="35" t="str">
        <f aca="false">IF($A902="","",IF(ISNUMBER($G901),$G901+1,1))</f>
        <v/>
      </c>
      <c r="H902" s="36" t="str">
        <f aca="false">IF(OR(NOT(ISNUMBER($G902)),$G902&lt;2,NOT(ISNUMBER($C901)),$C901=0),"",$C902/$C901-1)</f>
        <v/>
      </c>
      <c r="I902" s="37" t="str">
        <f aca="false">IF(AND(ISNUMBER($G902),$G902&gt;=MA_SHORT),AVERAGE(INDEX($C$502:$C902,402-MA_SHORT):$C902),"")</f>
        <v/>
      </c>
      <c r="J902" s="37" t="str">
        <f aca="false">IF(AND(ISNUMBER($G902),$G902&gt;=MA_MED),AVERAGE(INDEX($C$502:$C902,402-MA_MED):$C902),"")</f>
        <v/>
      </c>
      <c r="K902" s="37" t="str">
        <f aca="false">IF(AND(ISNUMBER($G902),$G902&gt;=MA_LONG2),AVERAGE(INDEX($C$502:$C902,402-MA_LONG2):$C902),"")</f>
        <v/>
      </c>
      <c r="L902" s="38" t="str">
        <f aca="false">IF(AND(ISNUMBER($G902),$G902&gt;=21),STDEV(INDEX($H$842:$H902,62-20):$H902)*SQRT(245),"")</f>
        <v/>
      </c>
      <c r="M902" s="37" t="str">
        <f aca="false">IF(AND(ISNUMBER($G902),$G902&gt;=60),MAX(INDEX($D$702:$D902,202-60):$D902),"")</f>
        <v/>
      </c>
      <c r="N902" s="37" t="str">
        <f aca="false">IF(AND(ISNUMBER($G902),$G902&gt;=60),MIN(INDEX($E$702:$E902,202-60):$E902),"")</f>
        <v/>
      </c>
      <c r="O902" s="38" t="str">
        <f aca="false">IF(OR(NOT(ISNUMBER($C902)),NOT(ISNUMBER($M902)),$M902=0),"",$C902/$M902-1)</f>
        <v/>
      </c>
    </row>
    <row r="903" customFormat="false" ht="15" hidden="false" customHeight="true" outlineLevel="0" collapsed="false">
      <c r="A903" s="39"/>
      <c r="B903" s="40"/>
      <c r="C903" s="41"/>
      <c r="D903" s="40"/>
      <c r="E903" s="40"/>
      <c r="F903" s="40"/>
      <c r="G903" s="35" t="str">
        <f aca="false">IF($A903="","",IF(ISNUMBER($G902),$G902+1,1))</f>
        <v/>
      </c>
      <c r="H903" s="36" t="str">
        <f aca="false">IF(OR(NOT(ISNUMBER($G903)),$G903&lt;2,NOT(ISNUMBER($C902)),$C902=0),"",$C903/$C902-1)</f>
        <v/>
      </c>
      <c r="I903" s="37" t="str">
        <f aca="false">IF(AND(ISNUMBER($G903),$G903&gt;=MA_SHORT),AVERAGE(INDEX($C$503:$C903,402-MA_SHORT):$C903),"")</f>
        <v/>
      </c>
      <c r="J903" s="37" t="str">
        <f aca="false">IF(AND(ISNUMBER($G903),$G903&gt;=MA_MED),AVERAGE(INDEX($C$503:$C903,402-MA_MED):$C903),"")</f>
        <v/>
      </c>
      <c r="K903" s="37" t="str">
        <f aca="false">IF(AND(ISNUMBER($G903),$G903&gt;=MA_LONG2),AVERAGE(INDEX($C$503:$C903,402-MA_LONG2):$C903),"")</f>
        <v/>
      </c>
      <c r="L903" s="38" t="str">
        <f aca="false">IF(AND(ISNUMBER($G903),$G903&gt;=21),STDEV(INDEX($H$843:$H903,62-20):$H903)*SQRT(245),"")</f>
        <v/>
      </c>
      <c r="M903" s="37" t="str">
        <f aca="false">IF(AND(ISNUMBER($G903),$G903&gt;=60),MAX(INDEX($D$703:$D903,202-60):$D903),"")</f>
        <v/>
      </c>
      <c r="N903" s="37" t="str">
        <f aca="false">IF(AND(ISNUMBER($G903),$G903&gt;=60),MIN(INDEX($E$703:$E903,202-60):$E903),"")</f>
        <v/>
      </c>
      <c r="O903" s="38" t="str">
        <f aca="false">IF(OR(NOT(ISNUMBER($C903)),NOT(ISNUMBER($M903)),$M903=0),"",$C903/$M903-1)</f>
        <v/>
      </c>
    </row>
    <row r="904" customFormat="false" ht="15" hidden="false" customHeight="true" outlineLevel="0" collapsed="false">
      <c r="A904" s="39"/>
      <c r="B904" s="40"/>
      <c r="C904" s="41"/>
      <c r="D904" s="40"/>
      <c r="E904" s="40"/>
      <c r="F904" s="40"/>
      <c r="G904" s="35" t="str">
        <f aca="false">IF($A904="","",IF(ISNUMBER($G903),$G903+1,1))</f>
        <v/>
      </c>
      <c r="H904" s="36" t="str">
        <f aca="false">IF(OR(NOT(ISNUMBER($G904)),$G904&lt;2,NOT(ISNUMBER($C903)),$C903=0),"",$C904/$C903-1)</f>
        <v/>
      </c>
      <c r="I904" s="37" t="str">
        <f aca="false">IF(AND(ISNUMBER($G904),$G904&gt;=MA_SHORT),AVERAGE(INDEX($C$504:$C904,402-MA_SHORT):$C904),"")</f>
        <v/>
      </c>
      <c r="J904" s="37" t="str">
        <f aca="false">IF(AND(ISNUMBER($G904),$G904&gt;=MA_MED),AVERAGE(INDEX($C$504:$C904,402-MA_MED):$C904),"")</f>
        <v/>
      </c>
      <c r="K904" s="37" t="str">
        <f aca="false">IF(AND(ISNUMBER($G904),$G904&gt;=MA_LONG2),AVERAGE(INDEX($C$504:$C904,402-MA_LONG2):$C904),"")</f>
        <v/>
      </c>
      <c r="L904" s="38" t="str">
        <f aca="false">IF(AND(ISNUMBER($G904),$G904&gt;=21),STDEV(INDEX($H$844:$H904,62-20):$H904)*SQRT(245),"")</f>
        <v/>
      </c>
      <c r="M904" s="37" t="str">
        <f aca="false">IF(AND(ISNUMBER($G904),$G904&gt;=60),MAX(INDEX($D$704:$D904,202-60):$D904),"")</f>
        <v/>
      </c>
      <c r="N904" s="37" t="str">
        <f aca="false">IF(AND(ISNUMBER($G904),$G904&gt;=60),MIN(INDEX($E$704:$E904,202-60):$E904),"")</f>
        <v/>
      </c>
      <c r="O904" s="38" t="str">
        <f aca="false">IF(OR(NOT(ISNUMBER($C904)),NOT(ISNUMBER($M904)),$M904=0),"",$C904/$M904-1)</f>
        <v/>
      </c>
    </row>
    <row r="905" customFormat="false" ht="15" hidden="false" customHeight="true" outlineLevel="0" collapsed="false">
      <c r="A905" s="39"/>
      <c r="B905" s="40"/>
      <c r="C905" s="41"/>
      <c r="D905" s="40"/>
      <c r="E905" s="40"/>
      <c r="F905" s="40"/>
      <c r="G905" s="35" t="str">
        <f aca="false">IF($A905="","",IF(ISNUMBER($G904),$G904+1,1))</f>
        <v/>
      </c>
      <c r="H905" s="36" t="str">
        <f aca="false">IF(OR(NOT(ISNUMBER($G905)),$G905&lt;2,NOT(ISNUMBER($C904)),$C904=0),"",$C905/$C904-1)</f>
        <v/>
      </c>
      <c r="I905" s="37" t="str">
        <f aca="false">IF(AND(ISNUMBER($G905),$G905&gt;=MA_SHORT),AVERAGE(INDEX($C$505:$C905,402-MA_SHORT):$C905),"")</f>
        <v/>
      </c>
      <c r="J905" s="37" t="str">
        <f aca="false">IF(AND(ISNUMBER($G905),$G905&gt;=MA_MED),AVERAGE(INDEX($C$505:$C905,402-MA_MED):$C905),"")</f>
        <v/>
      </c>
      <c r="K905" s="37" t="str">
        <f aca="false">IF(AND(ISNUMBER($G905),$G905&gt;=MA_LONG2),AVERAGE(INDEX($C$505:$C905,402-MA_LONG2):$C905),"")</f>
        <v/>
      </c>
      <c r="L905" s="38" t="str">
        <f aca="false">IF(AND(ISNUMBER($G905),$G905&gt;=21),STDEV(INDEX($H$845:$H905,62-20):$H905)*SQRT(245),"")</f>
        <v/>
      </c>
      <c r="M905" s="37" t="str">
        <f aca="false">IF(AND(ISNUMBER($G905),$G905&gt;=60),MAX(INDEX($D$705:$D905,202-60):$D905),"")</f>
        <v/>
      </c>
      <c r="N905" s="37" t="str">
        <f aca="false">IF(AND(ISNUMBER($G905),$G905&gt;=60),MIN(INDEX($E$705:$E905,202-60):$E905),"")</f>
        <v/>
      </c>
      <c r="O905" s="38" t="str">
        <f aca="false">IF(OR(NOT(ISNUMBER($C905)),NOT(ISNUMBER($M905)),$M905=0),"",$C905/$M905-1)</f>
        <v/>
      </c>
    </row>
    <row r="906" customFormat="false" ht="15" hidden="false" customHeight="true" outlineLevel="0" collapsed="false">
      <c r="A906" s="39"/>
      <c r="B906" s="40"/>
      <c r="C906" s="41"/>
      <c r="D906" s="40"/>
      <c r="E906" s="40"/>
      <c r="F906" s="40"/>
      <c r="G906" s="35" t="str">
        <f aca="false">IF($A906="","",IF(ISNUMBER($G905),$G905+1,1))</f>
        <v/>
      </c>
      <c r="H906" s="36" t="str">
        <f aca="false">IF(OR(NOT(ISNUMBER($G906)),$G906&lt;2,NOT(ISNUMBER($C905)),$C905=0),"",$C906/$C905-1)</f>
        <v/>
      </c>
      <c r="I906" s="37" t="str">
        <f aca="false">IF(AND(ISNUMBER($G906),$G906&gt;=MA_SHORT),AVERAGE(INDEX($C$506:$C906,402-MA_SHORT):$C906),"")</f>
        <v/>
      </c>
      <c r="J906" s="37" t="str">
        <f aca="false">IF(AND(ISNUMBER($G906),$G906&gt;=MA_MED),AVERAGE(INDEX($C$506:$C906,402-MA_MED):$C906),"")</f>
        <v/>
      </c>
      <c r="K906" s="37" t="str">
        <f aca="false">IF(AND(ISNUMBER($G906),$G906&gt;=MA_LONG2),AVERAGE(INDEX($C$506:$C906,402-MA_LONG2):$C906),"")</f>
        <v/>
      </c>
      <c r="L906" s="38" t="str">
        <f aca="false">IF(AND(ISNUMBER($G906),$G906&gt;=21),STDEV(INDEX($H$846:$H906,62-20):$H906)*SQRT(245),"")</f>
        <v/>
      </c>
      <c r="M906" s="37" t="str">
        <f aca="false">IF(AND(ISNUMBER($G906),$G906&gt;=60),MAX(INDEX($D$706:$D906,202-60):$D906),"")</f>
        <v/>
      </c>
      <c r="N906" s="37" t="str">
        <f aca="false">IF(AND(ISNUMBER($G906),$G906&gt;=60),MIN(INDEX($E$706:$E906,202-60):$E906),"")</f>
        <v/>
      </c>
      <c r="O906" s="38" t="str">
        <f aca="false">IF(OR(NOT(ISNUMBER($C906)),NOT(ISNUMBER($M906)),$M906=0),"",$C906/$M906-1)</f>
        <v/>
      </c>
    </row>
    <row r="907" customFormat="false" ht="15" hidden="false" customHeight="true" outlineLevel="0" collapsed="false">
      <c r="A907" s="39"/>
      <c r="B907" s="40"/>
      <c r="C907" s="41"/>
      <c r="D907" s="40"/>
      <c r="E907" s="40"/>
      <c r="F907" s="40"/>
      <c r="G907" s="35" t="str">
        <f aca="false">IF($A907="","",IF(ISNUMBER($G906),$G906+1,1))</f>
        <v/>
      </c>
      <c r="H907" s="36" t="str">
        <f aca="false">IF(OR(NOT(ISNUMBER($G907)),$G907&lt;2,NOT(ISNUMBER($C906)),$C906=0),"",$C907/$C906-1)</f>
        <v/>
      </c>
      <c r="I907" s="37" t="str">
        <f aca="false">IF(AND(ISNUMBER($G907),$G907&gt;=MA_SHORT),AVERAGE(INDEX($C$507:$C907,402-MA_SHORT):$C907),"")</f>
        <v/>
      </c>
      <c r="J907" s="37" t="str">
        <f aca="false">IF(AND(ISNUMBER($G907),$G907&gt;=MA_MED),AVERAGE(INDEX($C$507:$C907,402-MA_MED):$C907),"")</f>
        <v/>
      </c>
      <c r="K907" s="37" t="str">
        <f aca="false">IF(AND(ISNUMBER($G907),$G907&gt;=MA_LONG2),AVERAGE(INDEX($C$507:$C907,402-MA_LONG2):$C907),"")</f>
        <v/>
      </c>
      <c r="L907" s="38" t="str">
        <f aca="false">IF(AND(ISNUMBER($G907),$G907&gt;=21),STDEV(INDEX($H$847:$H907,62-20):$H907)*SQRT(245),"")</f>
        <v/>
      </c>
      <c r="M907" s="37" t="str">
        <f aca="false">IF(AND(ISNUMBER($G907),$G907&gt;=60),MAX(INDEX($D$707:$D907,202-60):$D907),"")</f>
        <v/>
      </c>
      <c r="N907" s="37" t="str">
        <f aca="false">IF(AND(ISNUMBER($G907),$G907&gt;=60),MIN(INDEX($E$707:$E907,202-60):$E907),"")</f>
        <v/>
      </c>
      <c r="O907" s="38" t="str">
        <f aca="false">IF(OR(NOT(ISNUMBER($C907)),NOT(ISNUMBER($M907)),$M907=0),"",$C907/$M907-1)</f>
        <v/>
      </c>
    </row>
    <row r="908" customFormat="false" ht="15" hidden="false" customHeight="true" outlineLevel="0" collapsed="false">
      <c r="A908" s="39"/>
      <c r="B908" s="40"/>
      <c r="C908" s="41"/>
      <c r="D908" s="40"/>
      <c r="E908" s="40"/>
      <c r="F908" s="40"/>
      <c r="G908" s="35" t="str">
        <f aca="false">IF($A908="","",IF(ISNUMBER($G907),$G907+1,1))</f>
        <v/>
      </c>
      <c r="H908" s="36" t="str">
        <f aca="false">IF(OR(NOT(ISNUMBER($G908)),$G908&lt;2,NOT(ISNUMBER($C907)),$C907=0),"",$C908/$C907-1)</f>
        <v/>
      </c>
      <c r="I908" s="37" t="str">
        <f aca="false">IF(AND(ISNUMBER($G908),$G908&gt;=MA_SHORT),AVERAGE(INDEX($C$508:$C908,402-MA_SHORT):$C908),"")</f>
        <v/>
      </c>
      <c r="J908" s="37" t="str">
        <f aca="false">IF(AND(ISNUMBER($G908),$G908&gt;=MA_MED),AVERAGE(INDEX($C$508:$C908,402-MA_MED):$C908),"")</f>
        <v/>
      </c>
      <c r="K908" s="37" t="str">
        <f aca="false">IF(AND(ISNUMBER($G908),$G908&gt;=MA_LONG2),AVERAGE(INDEX($C$508:$C908,402-MA_LONG2):$C908),"")</f>
        <v/>
      </c>
      <c r="L908" s="38" t="str">
        <f aca="false">IF(AND(ISNUMBER($G908),$G908&gt;=21),STDEV(INDEX($H$848:$H908,62-20):$H908)*SQRT(245),"")</f>
        <v/>
      </c>
      <c r="M908" s="37" t="str">
        <f aca="false">IF(AND(ISNUMBER($G908),$G908&gt;=60),MAX(INDEX($D$708:$D908,202-60):$D908),"")</f>
        <v/>
      </c>
      <c r="N908" s="37" t="str">
        <f aca="false">IF(AND(ISNUMBER($G908),$G908&gt;=60),MIN(INDEX($E$708:$E908,202-60):$E908),"")</f>
        <v/>
      </c>
      <c r="O908" s="38" t="str">
        <f aca="false">IF(OR(NOT(ISNUMBER($C908)),NOT(ISNUMBER($M908)),$M908=0),"",$C908/$M908-1)</f>
        <v/>
      </c>
    </row>
    <row r="909" customFormat="false" ht="15" hidden="false" customHeight="true" outlineLevel="0" collapsed="false">
      <c r="A909" s="39"/>
      <c r="B909" s="40"/>
      <c r="C909" s="41"/>
      <c r="D909" s="40"/>
      <c r="E909" s="40"/>
      <c r="F909" s="40"/>
      <c r="G909" s="35" t="str">
        <f aca="false">IF($A909="","",IF(ISNUMBER($G908),$G908+1,1))</f>
        <v/>
      </c>
      <c r="H909" s="36" t="str">
        <f aca="false">IF(OR(NOT(ISNUMBER($G909)),$G909&lt;2,NOT(ISNUMBER($C908)),$C908=0),"",$C909/$C908-1)</f>
        <v/>
      </c>
      <c r="I909" s="37" t="str">
        <f aca="false">IF(AND(ISNUMBER($G909),$G909&gt;=MA_SHORT),AVERAGE(INDEX($C$509:$C909,402-MA_SHORT):$C909),"")</f>
        <v/>
      </c>
      <c r="J909" s="37" t="str">
        <f aca="false">IF(AND(ISNUMBER($G909),$G909&gt;=MA_MED),AVERAGE(INDEX($C$509:$C909,402-MA_MED):$C909),"")</f>
        <v/>
      </c>
      <c r="K909" s="37" t="str">
        <f aca="false">IF(AND(ISNUMBER($G909),$G909&gt;=MA_LONG2),AVERAGE(INDEX($C$509:$C909,402-MA_LONG2):$C909),"")</f>
        <v/>
      </c>
      <c r="L909" s="38" t="str">
        <f aca="false">IF(AND(ISNUMBER($G909),$G909&gt;=21),STDEV(INDEX($H$849:$H909,62-20):$H909)*SQRT(245),"")</f>
        <v/>
      </c>
      <c r="M909" s="37" t="str">
        <f aca="false">IF(AND(ISNUMBER($G909),$G909&gt;=60),MAX(INDEX($D$709:$D909,202-60):$D909),"")</f>
        <v/>
      </c>
      <c r="N909" s="37" t="str">
        <f aca="false">IF(AND(ISNUMBER($G909),$G909&gt;=60),MIN(INDEX($E$709:$E909,202-60):$E909),"")</f>
        <v/>
      </c>
      <c r="O909" s="38" t="str">
        <f aca="false">IF(OR(NOT(ISNUMBER($C909)),NOT(ISNUMBER($M909)),$M909=0),"",$C909/$M909-1)</f>
        <v/>
      </c>
    </row>
    <row r="910" customFormat="false" ht="15" hidden="false" customHeight="true" outlineLevel="0" collapsed="false">
      <c r="A910" s="39"/>
      <c r="B910" s="40"/>
      <c r="C910" s="41"/>
      <c r="D910" s="40"/>
      <c r="E910" s="40"/>
      <c r="F910" s="40"/>
      <c r="G910" s="35" t="str">
        <f aca="false">IF($A910="","",IF(ISNUMBER($G909),$G909+1,1))</f>
        <v/>
      </c>
      <c r="H910" s="36" t="str">
        <f aca="false">IF(OR(NOT(ISNUMBER($G910)),$G910&lt;2,NOT(ISNUMBER($C909)),$C909=0),"",$C910/$C909-1)</f>
        <v/>
      </c>
      <c r="I910" s="37" t="str">
        <f aca="false">IF(AND(ISNUMBER($G910),$G910&gt;=MA_SHORT),AVERAGE(INDEX($C$510:$C910,402-MA_SHORT):$C910),"")</f>
        <v/>
      </c>
      <c r="J910" s="37" t="str">
        <f aca="false">IF(AND(ISNUMBER($G910),$G910&gt;=MA_MED),AVERAGE(INDEX($C$510:$C910,402-MA_MED):$C910),"")</f>
        <v/>
      </c>
      <c r="K910" s="37" t="str">
        <f aca="false">IF(AND(ISNUMBER($G910),$G910&gt;=MA_LONG2),AVERAGE(INDEX($C$510:$C910,402-MA_LONG2):$C910),"")</f>
        <v/>
      </c>
      <c r="L910" s="38" t="str">
        <f aca="false">IF(AND(ISNUMBER($G910),$G910&gt;=21),STDEV(INDEX($H$850:$H910,62-20):$H910)*SQRT(245),"")</f>
        <v/>
      </c>
      <c r="M910" s="37" t="str">
        <f aca="false">IF(AND(ISNUMBER($G910),$G910&gt;=60),MAX(INDEX($D$710:$D910,202-60):$D910),"")</f>
        <v/>
      </c>
      <c r="N910" s="37" t="str">
        <f aca="false">IF(AND(ISNUMBER($G910),$G910&gt;=60),MIN(INDEX($E$710:$E910,202-60):$E910),"")</f>
        <v/>
      </c>
      <c r="O910" s="38" t="str">
        <f aca="false">IF(OR(NOT(ISNUMBER($C910)),NOT(ISNUMBER($M910)),$M910=0),"",$C910/$M910-1)</f>
        <v/>
      </c>
    </row>
    <row r="911" customFormat="false" ht="15" hidden="false" customHeight="true" outlineLevel="0" collapsed="false">
      <c r="A911" s="39"/>
      <c r="B911" s="40"/>
      <c r="C911" s="41"/>
      <c r="D911" s="40"/>
      <c r="E911" s="40"/>
      <c r="F911" s="40"/>
      <c r="G911" s="35" t="str">
        <f aca="false">IF($A911="","",IF(ISNUMBER($G910),$G910+1,1))</f>
        <v/>
      </c>
      <c r="H911" s="36" t="str">
        <f aca="false">IF(OR(NOT(ISNUMBER($G911)),$G911&lt;2,NOT(ISNUMBER($C910)),$C910=0),"",$C911/$C910-1)</f>
        <v/>
      </c>
      <c r="I911" s="37" t="str">
        <f aca="false">IF(AND(ISNUMBER($G911),$G911&gt;=MA_SHORT),AVERAGE(INDEX($C$511:$C911,402-MA_SHORT):$C911),"")</f>
        <v/>
      </c>
      <c r="J911" s="37" t="str">
        <f aca="false">IF(AND(ISNUMBER($G911),$G911&gt;=MA_MED),AVERAGE(INDEX($C$511:$C911,402-MA_MED):$C911),"")</f>
        <v/>
      </c>
      <c r="K911" s="37" t="str">
        <f aca="false">IF(AND(ISNUMBER($G911),$G911&gt;=MA_LONG2),AVERAGE(INDEX($C$511:$C911,402-MA_LONG2):$C911),"")</f>
        <v/>
      </c>
      <c r="L911" s="38" t="str">
        <f aca="false">IF(AND(ISNUMBER($G911),$G911&gt;=21),STDEV(INDEX($H$851:$H911,62-20):$H911)*SQRT(245),"")</f>
        <v/>
      </c>
      <c r="M911" s="37" t="str">
        <f aca="false">IF(AND(ISNUMBER($G911),$G911&gt;=60),MAX(INDEX($D$711:$D911,202-60):$D911),"")</f>
        <v/>
      </c>
      <c r="N911" s="37" t="str">
        <f aca="false">IF(AND(ISNUMBER($G911),$G911&gt;=60),MIN(INDEX($E$711:$E911,202-60):$E911),"")</f>
        <v/>
      </c>
      <c r="O911" s="38" t="str">
        <f aca="false">IF(OR(NOT(ISNUMBER($C911)),NOT(ISNUMBER($M911)),$M911=0),"",$C911/$M911-1)</f>
        <v/>
      </c>
    </row>
    <row r="912" customFormat="false" ht="15" hidden="false" customHeight="true" outlineLevel="0" collapsed="false">
      <c r="A912" s="39"/>
      <c r="B912" s="40"/>
      <c r="C912" s="41"/>
      <c r="D912" s="40"/>
      <c r="E912" s="40"/>
      <c r="F912" s="40"/>
      <c r="G912" s="35" t="str">
        <f aca="false">IF($A912="","",IF(ISNUMBER($G911),$G911+1,1))</f>
        <v/>
      </c>
      <c r="H912" s="36" t="str">
        <f aca="false">IF(OR(NOT(ISNUMBER($G912)),$G912&lt;2,NOT(ISNUMBER($C911)),$C911=0),"",$C912/$C911-1)</f>
        <v/>
      </c>
      <c r="I912" s="37" t="str">
        <f aca="false">IF(AND(ISNUMBER($G912),$G912&gt;=MA_SHORT),AVERAGE(INDEX($C$512:$C912,402-MA_SHORT):$C912),"")</f>
        <v/>
      </c>
      <c r="J912" s="37" t="str">
        <f aca="false">IF(AND(ISNUMBER($G912),$G912&gt;=MA_MED),AVERAGE(INDEX($C$512:$C912,402-MA_MED):$C912),"")</f>
        <v/>
      </c>
      <c r="K912" s="37" t="str">
        <f aca="false">IF(AND(ISNUMBER($G912),$G912&gt;=MA_LONG2),AVERAGE(INDEX($C$512:$C912,402-MA_LONG2):$C912),"")</f>
        <v/>
      </c>
      <c r="L912" s="38" t="str">
        <f aca="false">IF(AND(ISNUMBER($G912),$G912&gt;=21),STDEV(INDEX($H$852:$H912,62-20):$H912)*SQRT(245),"")</f>
        <v/>
      </c>
      <c r="M912" s="37" t="str">
        <f aca="false">IF(AND(ISNUMBER($G912),$G912&gt;=60),MAX(INDEX($D$712:$D912,202-60):$D912),"")</f>
        <v/>
      </c>
      <c r="N912" s="37" t="str">
        <f aca="false">IF(AND(ISNUMBER($G912),$G912&gt;=60),MIN(INDEX($E$712:$E912,202-60):$E912),"")</f>
        <v/>
      </c>
      <c r="O912" s="38" t="str">
        <f aca="false">IF(OR(NOT(ISNUMBER($C912)),NOT(ISNUMBER($M912)),$M912=0),"",$C912/$M912-1)</f>
        <v/>
      </c>
    </row>
    <row r="913" customFormat="false" ht="15" hidden="false" customHeight="true" outlineLevel="0" collapsed="false">
      <c r="A913" s="39"/>
      <c r="B913" s="40"/>
      <c r="C913" s="41"/>
      <c r="D913" s="40"/>
      <c r="E913" s="40"/>
      <c r="F913" s="40"/>
      <c r="G913" s="35" t="str">
        <f aca="false">IF($A913="","",IF(ISNUMBER($G912),$G912+1,1))</f>
        <v/>
      </c>
      <c r="H913" s="36" t="str">
        <f aca="false">IF(OR(NOT(ISNUMBER($G913)),$G913&lt;2,NOT(ISNUMBER($C912)),$C912=0),"",$C913/$C912-1)</f>
        <v/>
      </c>
      <c r="I913" s="37" t="str">
        <f aca="false">IF(AND(ISNUMBER($G913),$G913&gt;=MA_SHORT),AVERAGE(INDEX($C$513:$C913,402-MA_SHORT):$C913),"")</f>
        <v/>
      </c>
      <c r="J913" s="37" t="str">
        <f aca="false">IF(AND(ISNUMBER($G913),$G913&gt;=MA_MED),AVERAGE(INDEX($C$513:$C913,402-MA_MED):$C913),"")</f>
        <v/>
      </c>
      <c r="K913" s="37" t="str">
        <f aca="false">IF(AND(ISNUMBER($G913),$G913&gt;=MA_LONG2),AVERAGE(INDEX($C$513:$C913,402-MA_LONG2):$C913),"")</f>
        <v/>
      </c>
      <c r="L913" s="38" t="str">
        <f aca="false">IF(AND(ISNUMBER($G913),$G913&gt;=21),STDEV(INDEX($H$853:$H913,62-20):$H913)*SQRT(245),"")</f>
        <v/>
      </c>
      <c r="M913" s="37" t="str">
        <f aca="false">IF(AND(ISNUMBER($G913),$G913&gt;=60),MAX(INDEX($D$713:$D913,202-60):$D913),"")</f>
        <v/>
      </c>
      <c r="N913" s="37" t="str">
        <f aca="false">IF(AND(ISNUMBER($G913),$G913&gt;=60),MIN(INDEX($E$713:$E913,202-60):$E913),"")</f>
        <v/>
      </c>
      <c r="O913" s="38" t="str">
        <f aca="false">IF(OR(NOT(ISNUMBER($C913)),NOT(ISNUMBER($M913)),$M913=0),"",$C913/$M913-1)</f>
        <v/>
      </c>
    </row>
    <row r="914" customFormat="false" ht="15" hidden="false" customHeight="true" outlineLevel="0" collapsed="false">
      <c r="A914" s="39"/>
      <c r="B914" s="40"/>
      <c r="C914" s="41"/>
      <c r="D914" s="40"/>
      <c r="E914" s="40"/>
      <c r="F914" s="40"/>
      <c r="G914" s="35" t="str">
        <f aca="false">IF($A914="","",IF(ISNUMBER($G913),$G913+1,1))</f>
        <v/>
      </c>
      <c r="H914" s="36" t="str">
        <f aca="false">IF(OR(NOT(ISNUMBER($G914)),$G914&lt;2,NOT(ISNUMBER($C913)),$C913=0),"",$C914/$C913-1)</f>
        <v/>
      </c>
      <c r="I914" s="37" t="str">
        <f aca="false">IF(AND(ISNUMBER($G914),$G914&gt;=MA_SHORT),AVERAGE(INDEX($C$514:$C914,402-MA_SHORT):$C914),"")</f>
        <v/>
      </c>
      <c r="J914" s="37" t="str">
        <f aca="false">IF(AND(ISNUMBER($G914),$G914&gt;=MA_MED),AVERAGE(INDEX($C$514:$C914,402-MA_MED):$C914),"")</f>
        <v/>
      </c>
      <c r="K914" s="37" t="str">
        <f aca="false">IF(AND(ISNUMBER($G914),$G914&gt;=MA_LONG2),AVERAGE(INDEX($C$514:$C914,402-MA_LONG2):$C914),"")</f>
        <v/>
      </c>
      <c r="L914" s="38" t="str">
        <f aca="false">IF(AND(ISNUMBER($G914),$G914&gt;=21),STDEV(INDEX($H$854:$H914,62-20):$H914)*SQRT(245),"")</f>
        <v/>
      </c>
      <c r="M914" s="37" t="str">
        <f aca="false">IF(AND(ISNUMBER($G914),$G914&gt;=60),MAX(INDEX($D$714:$D914,202-60):$D914),"")</f>
        <v/>
      </c>
      <c r="N914" s="37" t="str">
        <f aca="false">IF(AND(ISNUMBER($G914),$G914&gt;=60),MIN(INDEX($E$714:$E914,202-60):$E914),"")</f>
        <v/>
      </c>
      <c r="O914" s="38" t="str">
        <f aca="false">IF(OR(NOT(ISNUMBER($C914)),NOT(ISNUMBER($M914)),$M914=0),"",$C914/$M914-1)</f>
        <v/>
      </c>
    </row>
    <row r="915" customFormat="false" ht="15" hidden="false" customHeight="true" outlineLevel="0" collapsed="false">
      <c r="A915" s="39"/>
      <c r="B915" s="40"/>
      <c r="C915" s="41"/>
      <c r="D915" s="40"/>
      <c r="E915" s="40"/>
      <c r="F915" s="40"/>
      <c r="G915" s="35" t="str">
        <f aca="false">IF($A915="","",IF(ISNUMBER($G914),$G914+1,1))</f>
        <v/>
      </c>
      <c r="H915" s="36" t="str">
        <f aca="false">IF(OR(NOT(ISNUMBER($G915)),$G915&lt;2,NOT(ISNUMBER($C914)),$C914=0),"",$C915/$C914-1)</f>
        <v/>
      </c>
      <c r="I915" s="37" t="str">
        <f aca="false">IF(AND(ISNUMBER($G915),$G915&gt;=MA_SHORT),AVERAGE(INDEX($C$515:$C915,402-MA_SHORT):$C915),"")</f>
        <v/>
      </c>
      <c r="J915" s="37" t="str">
        <f aca="false">IF(AND(ISNUMBER($G915),$G915&gt;=MA_MED),AVERAGE(INDEX($C$515:$C915,402-MA_MED):$C915),"")</f>
        <v/>
      </c>
      <c r="K915" s="37" t="str">
        <f aca="false">IF(AND(ISNUMBER($G915),$G915&gt;=MA_LONG2),AVERAGE(INDEX($C$515:$C915,402-MA_LONG2):$C915),"")</f>
        <v/>
      </c>
      <c r="L915" s="38" t="str">
        <f aca="false">IF(AND(ISNUMBER($G915),$G915&gt;=21),STDEV(INDEX($H$855:$H915,62-20):$H915)*SQRT(245),"")</f>
        <v/>
      </c>
      <c r="M915" s="37" t="str">
        <f aca="false">IF(AND(ISNUMBER($G915),$G915&gt;=60),MAX(INDEX($D$715:$D915,202-60):$D915),"")</f>
        <v/>
      </c>
      <c r="N915" s="37" t="str">
        <f aca="false">IF(AND(ISNUMBER($G915),$G915&gt;=60),MIN(INDEX($E$715:$E915,202-60):$E915),"")</f>
        <v/>
      </c>
      <c r="O915" s="38" t="str">
        <f aca="false">IF(OR(NOT(ISNUMBER($C915)),NOT(ISNUMBER($M915)),$M915=0),"",$C915/$M915-1)</f>
        <v/>
      </c>
    </row>
    <row r="916" customFormat="false" ht="15" hidden="false" customHeight="true" outlineLevel="0" collapsed="false">
      <c r="A916" s="39"/>
      <c r="B916" s="40"/>
      <c r="C916" s="41"/>
      <c r="D916" s="40"/>
      <c r="E916" s="40"/>
      <c r="F916" s="40"/>
      <c r="G916" s="35" t="str">
        <f aca="false">IF($A916="","",IF(ISNUMBER($G915),$G915+1,1))</f>
        <v/>
      </c>
      <c r="H916" s="36" t="str">
        <f aca="false">IF(OR(NOT(ISNUMBER($G916)),$G916&lt;2,NOT(ISNUMBER($C915)),$C915=0),"",$C916/$C915-1)</f>
        <v/>
      </c>
      <c r="I916" s="37" t="str">
        <f aca="false">IF(AND(ISNUMBER($G916),$G916&gt;=MA_SHORT),AVERAGE(INDEX($C$516:$C916,402-MA_SHORT):$C916),"")</f>
        <v/>
      </c>
      <c r="J916" s="37" t="str">
        <f aca="false">IF(AND(ISNUMBER($G916),$G916&gt;=MA_MED),AVERAGE(INDEX($C$516:$C916,402-MA_MED):$C916),"")</f>
        <v/>
      </c>
      <c r="K916" s="37" t="str">
        <f aca="false">IF(AND(ISNUMBER($G916),$G916&gt;=MA_LONG2),AVERAGE(INDEX($C$516:$C916,402-MA_LONG2):$C916),"")</f>
        <v/>
      </c>
      <c r="L916" s="38" t="str">
        <f aca="false">IF(AND(ISNUMBER($G916),$G916&gt;=21),STDEV(INDEX($H$856:$H916,62-20):$H916)*SQRT(245),"")</f>
        <v/>
      </c>
      <c r="M916" s="37" t="str">
        <f aca="false">IF(AND(ISNUMBER($G916),$G916&gt;=60),MAX(INDEX($D$716:$D916,202-60):$D916),"")</f>
        <v/>
      </c>
      <c r="N916" s="37" t="str">
        <f aca="false">IF(AND(ISNUMBER($G916),$G916&gt;=60),MIN(INDEX($E$716:$E916,202-60):$E916),"")</f>
        <v/>
      </c>
      <c r="O916" s="38" t="str">
        <f aca="false">IF(OR(NOT(ISNUMBER($C916)),NOT(ISNUMBER($M916)),$M916=0),"",$C916/$M916-1)</f>
        <v/>
      </c>
    </row>
    <row r="917" customFormat="false" ht="15" hidden="false" customHeight="true" outlineLevel="0" collapsed="false">
      <c r="A917" s="39"/>
      <c r="B917" s="40"/>
      <c r="C917" s="41"/>
      <c r="D917" s="40"/>
      <c r="E917" s="40"/>
      <c r="F917" s="40"/>
      <c r="G917" s="35" t="str">
        <f aca="false">IF($A917="","",IF(ISNUMBER($G916),$G916+1,1))</f>
        <v/>
      </c>
      <c r="H917" s="36" t="str">
        <f aca="false">IF(OR(NOT(ISNUMBER($G917)),$G917&lt;2,NOT(ISNUMBER($C916)),$C916=0),"",$C917/$C916-1)</f>
        <v/>
      </c>
      <c r="I917" s="37" t="str">
        <f aca="false">IF(AND(ISNUMBER($G917),$G917&gt;=MA_SHORT),AVERAGE(INDEX($C$517:$C917,402-MA_SHORT):$C917),"")</f>
        <v/>
      </c>
      <c r="J917" s="37" t="str">
        <f aca="false">IF(AND(ISNUMBER($G917),$G917&gt;=MA_MED),AVERAGE(INDEX($C$517:$C917,402-MA_MED):$C917),"")</f>
        <v/>
      </c>
      <c r="K917" s="37" t="str">
        <f aca="false">IF(AND(ISNUMBER($G917),$G917&gt;=MA_LONG2),AVERAGE(INDEX($C$517:$C917,402-MA_LONG2):$C917),"")</f>
        <v/>
      </c>
      <c r="L917" s="38" t="str">
        <f aca="false">IF(AND(ISNUMBER($G917),$G917&gt;=21),STDEV(INDEX($H$857:$H917,62-20):$H917)*SQRT(245),"")</f>
        <v/>
      </c>
      <c r="M917" s="37" t="str">
        <f aca="false">IF(AND(ISNUMBER($G917),$G917&gt;=60),MAX(INDEX($D$717:$D917,202-60):$D917),"")</f>
        <v/>
      </c>
      <c r="N917" s="37" t="str">
        <f aca="false">IF(AND(ISNUMBER($G917),$G917&gt;=60),MIN(INDEX($E$717:$E917,202-60):$E917),"")</f>
        <v/>
      </c>
      <c r="O917" s="38" t="str">
        <f aca="false">IF(OR(NOT(ISNUMBER($C917)),NOT(ISNUMBER($M917)),$M917=0),"",$C917/$M917-1)</f>
        <v/>
      </c>
    </row>
    <row r="918" customFormat="false" ht="15" hidden="false" customHeight="true" outlineLevel="0" collapsed="false">
      <c r="A918" s="39"/>
      <c r="B918" s="40"/>
      <c r="C918" s="41"/>
      <c r="D918" s="40"/>
      <c r="E918" s="40"/>
      <c r="F918" s="40"/>
      <c r="G918" s="35" t="str">
        <f aca="false">IF($A918="","",IF(ISNUMBER($G917),$G917+1,1))</f>
        <v/>
      </c>
      <c r="H918" s="36" t="str">
        <f aca="false">IF(OR(NOT(ISNUMBER($G918)),$G918&lt;2,NOT(ISNUMBER($C917)),$C917=0),"",$C918/$C917-1)</f>
        <v/>
      </c>
      <c r="I918" s="37" t="str">
        <f aca="false">IF(AND(ISNUMBER($G918),$G918&gt;=MA_SHORT),AVERAGE(INDEX($C$518:$C918,402-MA_SHORT):$C918),"")</f>
        <v/>
      </c>
      <c r="J918" s="37" t="str">
        <f aca="false">IF(AND(ISNUMBER($G918),$G918&gt;=MA_MED),AVERAGE(INDEX($C$518:$C918,402-MA_MED):$C918),"")</f>
        <v/>
      </c>
      <c r="K918" s="37" t="str">
        <f aca="false">IF(AND(ISNUMBER($G918),$G918&gt;=MA_LONG2),AVERAGE(INDEX($C$518:$C918,402-MA_LONG2):$C918),"")</f>
        <v/>
      </c>
      <c r="L918" s="38" t="str">
        <f aca="false">IF(AND(ISNUMBER($G918),$G918&gt;=21),STDEV(INDEX($H$858:$H918,62-20):$H918)*SQRT(245),"")</f>
        <v/>
      </c>
      <c r="M918" s="37" t="str">
        <f aca="false">IF(AND(ISNUMBER($G918),$G918&gt;=60),MAX(INDEX($D$718:$D918,202-60):$D918),"")</f>
        <v/>
      </c>
      <c r="N918" s="37" t="str">
        <f aca="false">IF(AND(ISNUMBER($G918),$G918&gt;=60),MIN(INDEX($E$718:$E918,202-60):$E918),"")</f>
        <v/>
      </c>
      <c r="O918" s="38" t="str">
        <f aca="false">IF(OR(NOT(ISNUMBER($C918)),NOT(ISNUMBER($M918)),$M918=0),"",$C918/$M918-1)</f>
        <v/>
      </c>
    </row>
    <row r="919" customFormat="false" ht="15" hidden="false" customHeight="true" outlineLevel="0" collapsed="false">
      <c r="A919" s="39"/>
      <c r="B919" s="40"/>
      <c r="C919" s="41"/>
      <c r="D919" s="40"/>
      <c r="E919" s="40"/>
      <c r="F919" s="40"/>
      <c r="G919" s="35" t="str">
        <f aca="false">IF($A919="","",IF(ISNUMBER($G918),$G918+1,1))</f>
        <v/>
      </c>
      <c r="H919" s="36" t="str">
        <f aca="false">IF(OR(NOT(ISNUMBER($G919)),$G919&lt;2,NOT(ISNUMBER($C918)),$C918=0),"",$C919/$C918-1)</f>
        <v/>
      </c>
      <c r="I919" s="37" t="str">
        <f aca="false">IF(AND(ISNUMBER($G919),$G919&gt;=MA_SHORT),AVERAGE(INDEX($C$519:$C919,402-MA_SHORT):$C919),"")</f>
        <v/>
      </c>
      <c r="J919" s="37" t="str">
        <f aca="false">IF(AND(ISNUMBER($G919),$G919&gt;=MA_MED),AVERAGE(INDEX($C$519:$C919,402-MA_MED):$C919),"")</f>
        <v/>
      </c>
      <c r="K919" s="37" t="str">
        <f aca="false">IF(AND(ISNUMBER($G919),$G919&gt;=MA_LONG2),AVERAGE(INDEX($C$519:$C919,402-MA_LONG2):$C919),"")</f>
        <v/>
      </c>
      <c r="L919" s="38" t="str">
        <f aca="false">IF(AND(ISNUMBER($G919),$G919&gt;=21),STDEV(INDEX($H$859:$H919,62-20):$H919)*SQRT(245),"")</f>
        <v/>
      </c>
      <c r="M919" s="37" t="str">
        <f aca="false">IF(AND(ISNUMBER($G919),$G919&gt;=60),MAX(INDEX($D$719:$D919,202-60):$D919),"")</f>
        <v/>
      </c>
      <c r="N919" s="37" t="str">
        <f aca="false">IF(AND(ISNUMBER($G919),$G919&gt;=60),MIN(INDEX($E$719:$E919,202-60):$E919),"")</f>
        <v/>
      </c>
      <c r="O919" s="38" t="str">
        <f aca="false">IF(OR(NOT(ISNUMBER($C919)),NOT(ISNUMBER($M919)),$M919=0),"",$C919/$M919-1)</f>
        <v/>
      </c>
    </row>
    <row r="920" customFormat="false" ht="15" hidden="false" customHeight="true" outlineLevel="0" collapsed="false">
      <c r="A920" s="39"/>
      <c r="B920" s="40"/>
      <c r="C920" s="41"/>
      <c r="D920" s="40"/>
      <c r="E920" s="40"/>
      <c r="F920" s="40"/>
      <c r="G920" s="35" t="str">
        <f aca="false">IF($A920="","",IF(ISNUMBER($G919),$G919+1,1))</f>
        <v/>
      </c>
      <c r="H920" s="36" t="str">
        <f aca="false">IF(OR(NOT(ISNUMBER($G920)),$G920&lt;2,NOT(ISNUMBER($C919)),$C919=0),"",$C920/$C919-1)</f>
        <v/>
      </c>
      <c r="I920" s="37" t="str">
        <f aca="false">IF(AND(ISNUMBER($G920),$G920&gt;=MA_SHORT),AVERAGE(INDEX($C$520:$C920,402-MA_SHORT):$C920),"")</f>
        <v/>
      </c>
      <c r="J920" s="37" t="str">
        <f aca="false">IF(AND(ISNUMBER($G920),$G920&gt;=MA_MED),AVERAGE(INDEX($C$520:$C920,402-MA_MED):$C920),"")</f>
        <v/>
      </c>
      <c r="K920" s="37" t="str">
        <f aca="false">IF(AND(ISNUMBER($G920),$G920&gt;=MA_LONG2),AVERAGE(INDEX($C$520:$C920,402-MA_LONG2):$C920),"")</f>
        <v/>
      </c>
      <c r="L920" s="38" t="str">
        <f aca="false">IF(AND(ISNUMBER($G920),$G920&gt;=21),STDEV(INDEX($H$860:$H920,62-20):$H920)*SQRT(245),"")</f>
        <v/>
      </c>
      <c r="M920" s="37" t="str">
        <f aca="false">IF(AND(ISNUMBER($G920),$G920&gt;=60),MAX(INDEX($D$720:$D920,202-60):$D920),"")</f>
        <v/>
      </c>
      <c r="N920" s="37" t="str">
        <f aca="false">IF(AND(ISNUMBER($G920),$G920&gt;=60),MIN(INDEX($E$720:$E920,202-60):$E920),"")</f>
        <v/>
      </c>
      <c r="O920" s="38" t="str">
        <f aca="false">IF(OR(NOT(ISNUMBER($C920)),NOT(ISNUMBER($M920)),$M920=0),"",$C920/$M920-1)</f>
        <v/>
      </c>
    </row>
    <row r="921" customFormat="false" ht="15" hidden="false" customHeight="true" outlineLevel="0" collapsed="false">
      <c r="A921" s="39"/>
      <c r="B921" s="40"/>
      <c r="C921" s="41"/>
      <c r="D921" s="40"/>
      <c r="E921" s="40"/>
      <c r="F921" s="40"/>
      <c r="G921" s="35" t="str">
        <f aca="false">IF($A921="","",IF(ISNUMBER($G920),$G920+1,1))</f>
        <v/>
      </c>
      <c r="H921" s="36" t="str">
        <f aca="false">IF(OR(NOT(ISNUMBER($G921)),$G921&lt;2,NOT(ISNUMBER($C920)),$C920=0),"",$C921/$C920-1)</f>
        <v/>
      </c>
      <c r="I921" s="37" t="str">
        <f aca="false">IF(AND(ISNUMBER($G921),$G921&gt;=MA_SHORT),AVERAGE(INDEX($C$521:$C921,402-MA_SHORT):$C921),"")</f>
        <v/>
      </c>
      <c r="J921" s="37" t="str">
        <f aca="false">IF(AND(ISNUMBER($G921),$G921&gt;=MA_MED),AVERAGE(INDEX($C$521:$C921,402-MA_MED):$C921),"")</f>
        <v/>
      </c>
      <c r="K921" s="37" t="str">
        <f aca="false">IF(AND(ISNUMBER($G921),$G921&gt;=MA_LONG2),AVERAGE(INDEX($C$521:$C921,402-MA_LONG2):$C921),"")</f>
        <v/>
      </c>
      <c r="L921" s="38" t="str">
        <f aca="false">IF(AND(ISNUMBER($G921),$G921&gt;=21),STDEV(INDEX($H$861:$H921,62-20):$H921)*SQRT(245),"")</f>
        <v/>
      </c>
      <c r="M921" s="37" t="str">
        <f aca="false">IF(AND(ISNUMBER($G921),$G921&gt;=60),MAX(INDEX($D$721:$D921,202-60):$D921),"")</f>
        <v/>
      </c>
      <c r="N921" s="37" t="str">
        <f aca="false">IF(AND(ISNUMBER($G921),$G921&gt;=60),MIN(INDEX($E$721:$E921,202-60):$E921),"")</f>
        <v/>
      </c>
      <c r="O921" s="38" t="str">
        <f aca="false">IF(OR(NOT(ISNUMBER($C921)),NOT(ISNUMBER($M921)),$M921=0),"",$C921/$M921-1)</f>
        <v/>
      </c>
    </row>
    <row r="922" customFormat="false" ht="15" hidden="false" customHeight="true" outlineLevel="0" collapsed="false">
      <c r="A922" s="39"/>
      <c r="B922" s="40"/>
      <c r="C922" s="41"/>
      <c r="D922" s="40"/>
      <c r="E922" s="40"/>
      <c r="F922" s="40"/>
      <c r="G922" s="35" t="str">
        <f aca="false">IF($A922="","",IF(ISNUMBER($G921),$G921+1,1))</f>
        <v/>
      </c>
      <c r="H922" s="36" t="str">
        <f aca="false">IF(OR(NOT(ISNUMBER($G922)),$G922&lt;2,NOT(ISNUMBER($C921)),$C921=0),"",$C922/$C921-1)</f>
        <v/>
      </c>
      <c r="I922" s="37" t="str">
        <f aca="false">IF(AND(ISNUMBER($G922),$G922&gt;=MA_SHORT),AVERAGE(INDEX($C$522:$C922,402-MA_SHORT):$C922),"")</f>
        <v/>
      </c>
      <c r="J922" s="37" t="str">
        <f aca="false">IF(AND(ISNUMBER($G922),$G922&gt;=MA_MED),AVERAGE(INDEX($C$522:$C922,402-MA_MED):$C922),"")</f>
        <v/>
      </c>
      <c r="K922" s="37" t="str">
        <f aca="false">IF(AND(ISNUMBER($G922),$G922&gt;=MA_LONG2),AVERAGE(INDEX($C$522:$C922,402-MA_LONG2):$C922),"")</f>
        <v/>
      </c>
      <c r="L922" s="38" t="str">
        <f aca="false">IF(AND(ISNUMBER($G922),$G922&gt;=21),STDEV(INDEX($H$862:$H922,62-20):$H922)*SQRT(245),"")</f>
        <v/>
      </c>
      <c r="M922" s="37" t="str">
        <f aca="false">IF(AND(ISNUMBER($G922),$G922&gt;=60),MAX(INDEX($D$722:$D922,202-60):$D922),"")</f>
        <v/>
      </c>
      <c r="N922" s="37" t="str">
        <f aca="false">IF(AND(ISNUMBER($G922),$G922&gt;=60),MIN(INDEX($E$722:$E922,202-60):$E922),"")</f>
        <v/>
      </c>
      <c r="O922" s="38" t="str">
        <f aca="false">IF(OR(NOT(ISNUMBER($C922)),NOT(ISNUMBER($M922)),$M922=0),"",$C922/$M922-1)</f>
        <v/>
      </c>
    </row>
    <row r="923" customFormat="false" ht="15" hidden="false" customHeight="true" outlineLevel="0" collapsed="false">
      <c r="A923" s="39"/>
      <c r="B923" s="40"/>
      <c r="C923" s="41"/>
      <c r="D923" s="40"/>
      <c r="E923" s="40"/>
      <c r="F923" s="40"/>
      <c r="G923" s="35" t="str">
        <f aca="false">IF($A923="","",IF(ISNUMBER($G922),$G922+1,1))</f>
        <v/>
      </c>
      <c r="H923" s="36" t="str">
        <f aca="false">IF(OR(NOT(ISNUMBER($G923)),$G923&lt;2,NOT(ISNUMBER($C922)),$C922=0),"",$C923/$C922-1)</f>
        <v/>
      </c>
      <c r="I923" s="37" t="str">
        <f aca="false">IF(AND(ISNUMBER($G923),$G923&gt;=MA_SHORT),AVERAGE(INDEX($C$523:$C923,402-MA_SHORT):$C923),"")</f>
        <v/>
      </c>
      <c r="J923" s="37" t="str">
        <f aca="false">IF(AND(ISNUMBER($G923),$G923&gt;=MA_MED),AVERAGE(INDEX($C$523:$C923,402-MA_MED):$C923),"")</f>
        <v/>
      </c>
      <c r="K923" s="37" t="str">
        <f aca="false">IF(AND(ISNUMBER($G923),$G923&gt;=MA_LONG2),AVERAGE(INDEX($C$523:$C923,402-MA_LONG2):$C923),"")</f>
        <v/>
      </c>
      <c r="L923" s="38" t="str">
        <f aca="false">IF(AND(ISNUMBER($G923),$G923&gt;=21),STDEV(INDEX($H$863:$H923,62-20):$H923)*SQRT(245),"")</f>
        <v/>
      </c>
      <c r="M923" s="37" t="str">
        <f aca="false">IF(AND(ISNUMBER($G923),$G923&gt;=60),MAX(INDEX($D$723:$D923,202-60):$D923),"")</f>
        <v/>
      </c>
      <c r="N923" s="37" t="str">
        <f aca="false">IF(AND(ISNUMBER($G923),$G923&gt;=60),MIN(INDEX($E$723:$E923,202-60):$E923),"")</f>
        <v/>
      </c>
      <c r="O923" s="38" t="str">
        <f aca="false">IF(OR(NOT(ISNUMBER($C923)),NOT(ISNUMBER($M923)),$M923=0),"",$C923/$M923-1)</f>
        <v/>
      </c>
    </row>
    <row r="924" customFormat="false" ht="15" hidden="false" customHeight="true" outlineLevel="0" collapsed="false">
      <c r="A924" s="39"/>
      <c r="B924" s="40"/>
      <c r="C924" s="41"/>
      <c r="D924" s="40"/>
      <c r="E924" s="40"/>
      <c r="F924" s="40"/>
      <c r="G924" s="35" t="str">
        <f aca="false">IF($A924="","",IF(ISNUMBER($G923),$G923+1,1))</f>
        <v/>
      </c>
      <c r="H924" s="36" t="str">
        <f aca="false">IF(OR(NOT(ISNUMBER($G924)),$G924&lt;2,NOT(ISNUMBER($C923)),$C923=0),"",$C924/$C923-1)</f>
        <v/>
      </c>
      <c r="I924" s="37" t="str">
        <f aca="false">IF(AND(ISNUMBER($G924),$G924&gt;=MA_SHORT),AVERAGE(INDEX($C$524:$C924,402-MA_SHORT):$C924),"")</f>
        <v/>
      </c>
      <c r="J924" s="37" t="str">
        <f aca="false">IF(AND(ISNUMBER($G924),$G924&gt;=MA_MED),AVERAGE(INDEX($C$524:$C924,402-MA_MED):$C924),"")</f>
        <v/>
      </c>
      <c r="K924" s="37" t="str">
        <f aca="false">IF(AND(ISNUMBER($G924),$G924&gt;=MA_LONG2),AVERAGE(INDEX($C$524:$C924,402-MA_LONG2):$C924),"")</f>
        <v/>
      </c>
      <c r="L924" s="38" t="str">
        <f aca="false">IF(AND(ISNUMBER($G924),$G924&gt;=21),STDEV(INDEX($H$864:$H924,62-20):$H924)*SQRT(245),"")</f>
        <v/>
      </c>
      <c r="M924" s="37" t="str">
        <f aca="false">IF(AND(ISNUMBER($G924),$G924&gt;=60),MAX(INDEX($D$724:$D924,202-60):$D924),"")</f>
        <v/>
      </c>
      <c r="N924" s="37" t="str">
        <f aca="false">IF(AND(ISNUMBER($G924),$G924&gt;=60),MIN(INDEX($E$724:$E924,202-60):$E924),"")</f>
        <v/>
      </c>
      <c r="O924" s="38" t="str">
        <f aca="false">IF(OR(NOT(ISNUMBER($C924)),NOT(ISNUMBER($M924)),$M924=0),"",$C924/$M924-1)</f>
        <v/>
      </c>
    </row>
    <row r="925" customFormat="false" ht="15" hidden="false" customHeight="true" outlineLevel="0" collapsed="false">
      <c r="A925" s="39"/>
      <c r="B925" s="40"/>
      <c r="C925" s="41"/>
      <c r="D925" s="40"/>
      <c r="E925" s="40"/>
      <c r="F925" s="40"/>
      <c r="G925" s="35" t="str">
        <f aca="false">IF($A925="","",IF(ISNUMBER($G924),$G924+1,1))</f>
        <v/>
      </c>
      <c r="H925" s="36" t="str">
        <f aca="false">IF(OR(NOT(ISNUMBER($G925)),$G925&lt;2,NOT(ISNUMBER($C924)),$C924=0),"",$C925/$C924-1)</f>
        <v/>
      </c>
      <c r="I925" s="37" t="str">
        <f aca="false">IF(AND(ISNUMBER($G925),$G925&gt;=MA_SHORT),AVERAGE(INDEX($C$525:$C925,402-MA_SHORT):$C925),"")</f>
        <v/>
      </c>
      <c r="J925" s="37" t="str">
        <f aca="false">IF(AND(ISNUMBER($G925),$G925&gt;=MA_MED),AVERAGE(INDEX($C$525:$C925,402-MA_MED):$C925),"")</f>
        <v/>
      </c>
      <c r="K925" s="37" t="str">
        <f aca="false">IF(AND(ISNUMBER($G925),$G925&gt;=MA_LONG2),AVERAGE(INDEX($C$525:$C925,402-MA_LONG2):$C925),"")</f>
        <v/>
      </c>
      <c r="L925" s="38" t="str">
        <f aca="false">IF(AND(ISNUMBER($G925),$G925&gt;=21),STDEV(INDEX($H$865:$H925,62-20):$H925)*SQRT(245),"")</f>
        <v/>
      </c>
      <c r="M925" s="37" t="str">
        <f aca="false">IF(AND(ISNUMBER($G925),$G925&gt;=60),MAX(INDEX($D$725:$D925,202-60):$D925),"")</f>
        <v/>
      </c>
      <c r="N925" s="37" t="str">
        <f aca="false">IF(AND(ISNUMBER($G925),$G925&gt;=60),MIN(INDEX($E$725:$E925,202-60):$E925),"")</f>
        <v/>
      </c>
      <c r="O925" s="38" t="str">
        <f aca="false">IF(OR(NOT(ISNUMBER($C925)),NOT(ISNUMBER($M925)),$M925=0),"",$C925/$M925-1)</f>
        <v/>
      </c>
    </row>
    <row r="926" customFormat="false" ht="15" hidden="false" customHeight="true" outlineLevel="0" collapsed="false">
      <c r="A926" s="39"/>
      <c r="B926" s="40"/>
      <c r="C926" s="41"/>
      <c r="D926" s="40"/>
      <c r="E926" s="40"/>
      <c r="F926" s="40"/>
      <c r="G926" s="35" t="str">
        <f aca="false">IF($A926="","",IF(ISNUMBER($G925),$G925+1,1))</f>
        <v/>
      </c>
      <c r="H926" s="36" t="str">
        <f aca="false">IF(OR(NOT(ISNUMBER($G926)),$G926&lt;2,NOT(ISNUMBER($C925)),$C925=0),"",$C926/$C925-1)</f>
        <v/>
      </c>
      <c r="I926" s="37" t="str">
        <f aca="false">IF(AND(ISNUMBER($G926),$G926&gt;=MA_SHORT),AVERAGE(INDEX($C$526:$C926,402-MA_SHORT):$C926),"")</f>
        <v/>
      </c>
      <c r="J926" s="37" t="str">
        <f aca="false">IF(AND(ISNUMBER($G926),$G926&gt;=MA_MED),AVERAGE(INDEX($C$526:$C926,402-MA_MED):$C926),"")</f>
        <v/>
      </c>
      <c r="K926" s="37" t="str">
        <f aca="false">IF(AND(ISNUMBER($G926),$G926&gt;=MA_LONG2),AVERAGE(INDEX($C$526:$C926,402-MA_LONG2):$C926),"")</f>
        <v/>
      </c>
      <c r="L926" s="38" t="str">
        <f aca="false">IF(AND(ISNUMBER($G926),$G926&gt;=21),STDEV(INDEX($H$866:$H926,62-20):$H926)*SQRT(245),"")</f>
        <v/>
      </c>
      <c r="M926" s="37" t="str">
        <f aca="false">IF(AND(ISNUMBER($G926),$G926&gt;=60),MAX(INDEX($D$726:$D926,202-60):$D926),"")</f>
        <v/>
      </c>
      <c r="N926" s="37" t="str">
        <f aca="false">IF(AND(ISNUMBER($G926),$G926&gt;=60),MIN(INDEX($E$726:$E926,202-60):$E926),"")</f>
        <v/>
      </c>
      <c r="O926" s="38" t="str">
        <f aca="false">IF(OR(NOT(ISNUMBER($C926)),NOT(ISNUMBER($M926)),$M926=0),"",$C926/$M926-1)</f>
        <v/>
      </c>
    </row>
    <row r="927" customFormat="false" ht="15" hidden="false" customHeight="true" outlineLevel="0" collapsed="false">
      <c r="A927" s="39"/>
      <c r="B927" s="40"/>
      <c r="C927" s="41"/>
      <c r="D927" s="40"/>
      <c r="E927" s="40"/>
      <c r="F927" s="40"/>
      <c r="G927" s="35" t="str">
        <f aca="false">IF($A927="","",IF(ISNUMBER($G926),$G926+1,1))</f>
        <v/>
      </c>
      <c r="H927" s="36" t="str">
        <f aca="false">IF(OR(NOT(ISNUMBER($G927)),$G927&lt;2,NOT(ISNUMBER($C926)),$C926=0),"",$C927/$C926-1)</f>
        <v/>
      </c>
      <c r="I927" s="37" t="str">
        <f aca="false">IF(AND(ISNUMBER($G927),$G927&gt;=MA_SHORT),AVERAGE(INDEX($C$527:$C927,402-MA_SHORT):$C927),"")</f>
        <v/>
      </c>
      <c r="J927" s="37" t="str">
        <f aca="false">IF(AND(ISNUMBER($G927),$G927&gt;=MA_MED),AVERAGE(INDEX($C$527:$C927,402-MA_MED):$C927),"")</f>
        <v/>
      </c>
      <c r="K927" s="37" t="str">
        <f aca="false">IF(AND(ISNUMBER($G927),$G927&gt;=MA_LONG2),AVERAGE(INDEX($C$527:$C927,402-MA_LONG2):$C927),"")</f>
        <v/>
      </c>
      <c r="L927" s="38" t="str">
        <f aca="false">IF(AND(ISNUMBER($G927),$G927&gt;=21),STDEV(INDEX($H$867:$H927,62-20):$H927)*SQRT(245),"")</f>
        <v/>
      </c>
      <c r="M927" s="37" t="str">
        <f aca="false">IF(AND(ISNUMBER($G927),$G927&gt;=60),MAX(INDEX($D$727:$D927,202-60):$D927),"")</f>
        <v/>
      </c>
      <c r="N927" s="37" t="str">
        <f aca="false">IF(AND(ISNUMBER($G927),$G927&gt;=60),MIN(INDEX($E$727:$E927,202-60):$E927),"")</f>
        <v/>
      </c>
      <c r="O927" s="38" t="str">
        <f aca="false">IF(OR(NOT(ISNUMBER($C927)),NOT(ISNUMBER($M927)),$M927=0),"",$C927/$M927-1)</f>
        <v/>
      </c>
    </row>
    <row r="928" customFormat="false" ht="15" hidden="false" customHeight="true" outlineLevel="0" collapsed="false">
      <c r="A928" s="39"/>
      <c r="B928" s="40"/>
      <c r="C928" s="41"/>
      <c r="D928" s="40"/>
      <c r="E928" s="40"/>
      <c r="F928" s="40"/>
      <c r="G928" s="35" t="str">
        <f aca="false">IF($A928="","",IF(ISNUMBER($G927),$G927+1,1))</f>
        <v/>
      </c>
      <c r="H928" s="36" t="str">
        <f aca="false">IF(OR(NOT(ISNUMBER($G928)),$G928&lt;2,NOT(ISNUMBER($C927)),$C927=0),"",$C928/$C927-1)</f>
        <v/>
      </c>
      <c r="I928" s="37" t="str">
        <f aca="false">IF(AND(ISNUMBER($G928),$G928&gt;=MA_SHORT),AVERAGE(INDEX($C$528:$C928,402-MA_SHORT):$C928),"")</f>
        <v/>
      </c>
      <c r="J928" s="37" t="str">
        <f aca="false">IF(AND(ISNUMBER($G928),$G928&gt;=MA_MED),AVERAGE(INDEX($C$528:$C928,402-MA_MED):$C928),"")</f>
        <v/>
      </c>
      <c r="K928" s="37" t="str">
        <f aca="false">IF(AND(ISNUMBER($G928),$G928&gt;=MA_LONG2),AVERAGE(INDEX($C$528:$C928,402-MA_LONG2):$C928),"")</f>
        <v/>
      </c>
      <c r="L928" s="38" t="str">
        <f aca="false">IF(AND(ISNUMBER($G928),$G928&gt;=21),STDEV(INDEX($H$868:$H928,62-20):$H928)*SQRT(245),"")</f>
        <v/>
      </c>
      <c r="M928" s="37" t="str">
        <f aca="false">IF(AND(ISNUMBER($G928),$G928&gt;=60),MAX(INDEX($D$728:$D928,202-60):$D928),"")</f>
        <v/>
      </c>
      <c r="N928" s="37" t="str">
        <f aca="false">IF(AND(ISNUMBER($G928),$G928&gt;=60),MIN(INDEX($E$728:$E928,202-60):$E928),"")</f>
        <v/>
      </c>
      <c r="O928" s="38" t="str">
        <f aca="false">IF(OR(NOT(ISNUMBER($C928)),NOT(ISNUMBER($M928)),$M928=0),"",$C928/$M928-1)</f>
        <v/>
      </c>
    </row>
    <row r="929" customFormat="false" ht="15" hidden="false" customHeight="true" outlineLevel="0" collapsed="false">
      <c r="A929" s="39"/>
      <c r="B929" s="40"/>
      <c r="C929" s="41"/>
      <c r="D929" s="40"/>
      <c r="E929" s="40"/>
      <c r="F929" s="40"/>
      <c r="G929" s="35" t="str">
        <f aca="false">IF($A929="","",IF(ISNUMBER($G928),$G928+1,1))</f>
        <v/>
      </c>
      <c r="H929" s="36" t="str">
        <f aca="false">IF(OR(NOT(ISNUMBER($G929)),$G929&lt;2,NOT(ISNUMBER($C928)),$C928=0),"",$C929/$C928-1)</f>
        <v/>
      </c>
      <c r="I929" s="37" t="str">
        <f aca="false">IF(AND(ISNUMBER($G929),$G929&gt;=MA_SHORT),AVERAGE(INDEX($C$529:$C929,402-MA_SHORT):$C929),"")</f>
        <v/>
      </c>
      <c r="J929" s="37" t="str">
        <f aca="false">IF(AND(ISNUMBER($G929),$G929&gt;=MA_MED),AVERAGE(INDEX($C$529:$C929,402-MA_MED):$C929),"")</f>
        <v/>
      </c>
      <c r="K929" s="37" t="str">
        <f aca="false">IF(AND(ISNUMBER($G929),$G929&gt;=MA_LONG2),AVERAGE(INDEX($C$529:$C929,402-MA_LONG2):$C929),"")</f>
        <v/>
      </c>
      <c r="L929" s="38" t="str">
        <f aca="false">IF(AND(ISNUMBER($G929),$G929&gt;=21),STDEV(INDEX($H$869:$H929,62-20):$H929)*SQRT(245),"")</f>
        <v/>
      </c>
      <c r="M929" s="37" t="str">
        <f aca="false">IF(AND(ISNUMBER($G929),$G929&gt;=60),MAX(INDEX($D$729:$D929,202-60):$D929),"")</f>
        <v/>
      </c>
      <c r="N929" s="37" t="str">
        <f aca="false">IF(AND(ISNUMBER($G929),$G929&gt;=60),MIN(INDEX($E$729:$E929,202-60):$E929),"")</f>
        <v/>
      </c>
      <c r="O929" s="38" t="str">
        <f aca="false">IF(OR(NOT(ISNUMBER($C929)),NOT(ISNUMBER($M929)),$M929=0),"",$C929/$M929-1)</f>
        <v/>
      </c>
    </row>
    <row r="930" customFormat="false" ht="15" hidden="false" customHeight="true" outlineLevel="0" collapsed="false">
      <c r="A930" s="39"/>
      <c r="B930" s="40"/>
      <c r="C930" s="41"/>
      <c r="D930" s="40"/>
      <c r="E930" s="40"/>
      <c r="F930" s="40"/>
      <c r="G930" s="35" t="str">
        <f aca="false">IF($A930="","",IF(ISNUMBER($G929),$G929+1,1))</f>
        <v/>
      </c>
      <c r="H930" s="36" t="str">
        <f aca="false">IF(OR(NOT(ISNUMBER($G930)),$G930&lt;2,NOT(ISNUMBER($C929)),$C929=0),"",$C930/$C929-1)</f>
        <v/>
      </c>
      <c r="I930" s="37" t="str">
        <f aca="false">IF(AND(ISNUMBER($G930),$G930&gt;=MA_SHORT),AVERAGE(INDEX($C$530:$C930,402-MA_SHORT):$C930),"")</f>
        <v/>
      </c>
      <c r="J930" s="37" t="str">
        <f aca="false">IF(AND(ISNUMBER($G930),$G930&gt;=MA_MED),AVERAGE(INDEX($C$530:$C930,402-MA_MED):$C930),"")</f>
        <v/>
      </c>
      <c r="K930" s="37" t="str">
        <f aca="false">IF(AND(ISNUMBER($G930),$G930&gt;=MA_LONG2),AVERAGE(INDEX($C$530:$C930,402-MA_LONG2):$C930),"")</f>
        <v/>
      </c>
      <c r="L930" s="38" t="str">
        <f aca="false">IF(AND(ISNUMBER($G930),$G930&gt;=21),STDEV(INDEX($H$870:$H930,62-20):$H930)*SQRT(245),"")</f>
        <v/>
      </c>
      <c r="M930" s="37" t="str">
        <f aca="false">IF(AND(ISNUMBER($G930),$G930&gt;=60),MAX(INDEX($D$730:$D930,202-60):$D930),"")</f>
        <v/>
      </c>
      <c r="N930" s="37" t="str">
        <f aca="false">IF(AND(ISNUMBER($G930),$G930&gt;=60),MIN(INDEX($E$730:$E930,202-60):$E930),"")</f>
        <v/>
      </c>
      <c r="O930" s="38" t="str">
        <f aca="false">IF(OR(NOT(ISNUMBER($C930)),NOT(ISNUMBER($M930)),$M930=0),"",$C930/$M930-1)</f>
        <v/>
      </c>
    </row>
    <row r="931" customFormat="false" ht="15" hidden="false" customHeight="true" outlineLevel="0" collapsed="false">
      <c r="A931" s="39"/>
      <c r="B931" s="40"/>
      <c r="C931" s="41"/>
      <c r="D931" s="40"/>
      <c r="E931" s="40"/>
      <c r="F931" s="40"/>
      <c r="G931" s="35" t="str">
        <f aca="false">IF($A931="","",IF(ISNUMBER($G930),$G930+1,1))</f>
        <v/>
      </c>
      <c r="H931" s="36" t="str">
        <f aca="false">IF(OR(NOT(ISNUMBER($G931)),$G931&lt;2,NOT(ISNUMBER($C930)),$C930=0),"",$C931/$C930-1)</f>
        <v/>
      </c>
      <c r="I931" s="37" t="str">
        <f aca="false">IF(AND(ISNUMBER($G931),$G931&gt;=MA_SHORT),AVERAGE(INDEX($C$531:$C931,402-MA_SHORT):$C931),"")</f>
        <v/>
      </c>
      <c r="J931" s="37" t="str">
        <f aca="false">IF(AND(ISNUMBER($G931),$G931&gt;=MA_MED),AVERAGE(INDEX($C$531:$C931,402-MA_MED):$C931),"")</f>
        <v/>
      </c>
      <c r="K931" s="37" t="str">
        <f aca="false">IF(AND(ISNUMBER($G931),$G931&gt;=MA_LONG2),AVERAGE(INDEX($C$531:$C931,402-MA_LONG2):$C931),"")</f>
        <v/>
      </c>
      <c r="L931" s="38" t="str">
        <f aca="false">IF(AND(ISNUMBER($G931),$G931&gt;=21),STDEV(INDEX($H$871:$H931,62-20):$H931)*SQRT(245),"")</f>
        <v/>
      </c>
      <c r="M931" s="37" t="str">
        <f aca="false">IF(AND(ISNUMBER($G931),$G931&gt;=60),MAX(INDEX($D$731:$D931,202-60):$D931),"")</f>
        <v/>
      </c>
      <c r="N931" s="37" t="str">
        <f aca="false">IF(AND(ISNUMBER($G931),$G931&gt;=60),MIN(INDEX($E$731:$E931,202-60):$E931),"")</f>
        <v/>
      </c>
      <c r="O931" s="38" t="str">
        <f aca="false">IF(OR(NOT(ISNUMBER($C931)),NOT(ISNUMBER($M931)),$M931=0),"",$C931/$M931-1)</f>
        <v/>
      </c>
    </row>
    <row r="932" customFormat="false" ht="15" hidden="false" customHeight="true" outlineLevel="0" collapsed="false">
      <c r="A932" s="39"/>
      <c r="B932" s="40"/>
      <c r="C932" s="41"/>
      <c r="D932" s="40"/>
      <c r="E932" s="40"/>
      <c r="F932" s="40"/>
      <c r="G932" s="35" t="str">
        <f aca="false">IF($A932="","",IF(ISNUMBER($G931),$G931+1,1))</f>
        <v/>
      </c>
      <c r="H932" s="36" t="str">
        <f aca="false">IF(OR(NOT(ISNUMBER($G932)),$G932&lt;2,NOT(ISNUMBER($C931)),$C931=0),"",$C932/$C931-1)</f>
        <v/>
      </c>
      <c r="I932" s="37" t="str">
        <f aca="false">IF(AND(ISNUMBER($G932),$G932&gt;=MA_SHORT),AVERAGE(INDEX($C$532:$C932,402-MA_SHORT):$C932),"")</f>
        <v/>
      </c>
      <c r="J932" s="37" t="str">
        <f aca="false">IF(AND(ISNUMBER($G932),$G932&gt;=MA_MED),AVERAGE(INDEX($C$532:$C932,402-MA_MED):$C932),"")</f>
        <v/>
      </c>
      <c r="K932" s="37" t="str">
        <f aca="false">IF(AND(ISNUMBER($G932),$G932&gt;=MA_LONG2),AVERAGE(INDEX($C$532:$C932,402-MA_LONG2):$C932),"")</f>
        <v/>
      </c>
      <c r="L932" s="38" t="str">
        <f aca="false">IF(AND(ISNUMBER($G932),$G932&gt;=21),STDEV(INDEX($H$872:$H932,62-20):$H932)*SQRT(245),"")</f>
        <v/>
      </c>
      <c r="M932" s="37" t="str">
        <f aca="false">IF(AND(ISNUMBER($G932),$G932&gt;=60),MAX(INDEX($D$732:$D932,202-60):$D932),"")</f>
        <v/>
      </c>
      <c r="N932" s="37" t="str">
        <f aca="false">IF(AND(ISNUMBER($G932),$G932&gt;=60),MIN(INDEX($E$732:$E932,202-60):$E932),"")</f>
        <v/>
      </c>
      <c r="O932" s="38" t="str">
        <f aca="false">IF(OR(NOT(ISNUMBER($C932)),NOT(ISNUMBER($M932)),$M932=0),"",$C932/$M932-1)</f>
        <v/>
      </c>
    </row>
    <row r="933" customFormat="false" ht="15" hidden="false" customHeight="true" outlineLevel="0" collapsed="false">
      <c r="A933" s="39"/>
      <c r="B933" s="40"/>
      <c r="C933" s="41"/>
      <c r="D933" s="40"/>
      <c r="E933" s="40"/>
      <c r="F933" s="40"/>
      <c r="G933" s="35" t="str">
        <f aca="false">IF($A933="","",IF(ISNUMBER($G932),$G932+1,1))</f>
        <v/>
      </c>
      <c r="H933" s="36" t="str">
        <f aca="false">IF(OR(NOT(ISNUMBER($G933)),$G933&lt;2,NOT(ISNUMBER($C932)),$C932=0),"",$C933/$C932-1)</f>
        <v/>
      </c>
      <c r="I933" s="37" t="str">
        <f aca="false">IF(AND(ISNUMBER($G933),$G933&gt;=MA_SHORT),AVERAGE(INDEX($C$533:$C933,402-MA_SHORT):$C933),"")</f>
        <v/>
      </c>
      <c r="J933" s="37" t="str">
        <f aca="false">IF(AND(ISNUMBER($G933),$G933&gt;=MA_MED),AVERAGE(INDEX($C$533:$C933,402-MA_MED):$C933),"")</f>
        <v/>
      </c>
      <c r="K933" s="37" t="str">
        <f aca="false">IF(AND(ISNUMBER($G933),$G933&gt;=MA_LONG2),AVERAGE(INDEX($C$533:$C933,402-MA_LONG2):$C933),"")</f>
        <v/>
      </c>
      <c r="L933" s="38" t="str">
        <f aca="false">IF(AND(ISNUMBER($G933),$G933&gt;=21),STDEV(INDEX($H$873:$H933,62-20):$H933)*SQRT(245),"")</f>
        <v/>
      </c>
      <c r="M933" s="37" t="str">
        <f aca="false">IF(AND(ISNUMBER($G933),$G933&gt;=60),MAX(INDEX($D$733:$D933,202-60):$D933),"")</f>
        <v/>
      </c>
      <c r="N933" s="37" t="str">
        <f aca="false">IF(AND(ISNUMBER($G933),$G933&gt;=60),MIN(INDEX($E$733:$E933,202-60):$E933),"")</f>
        <v/>
      </c>
      <c r="O933" s="38" t="str">
        <f aca="false">IF(OR(NOT(ISNUMBER($C933)),NOT(ISNUMBER($M933)),$M933=0),"",$C933/$M933-1)</f>
        <v/>
      </c>
    </row>
    <row r="934" customFormat="false" ht="15" hidden="false" customHeight="true" outlineLevel="0" collapsed="false">
      <c r="A934" s="39"/>
      <c r="B934" s="40"/>
      <c r="C934" s="41"/>
      <c r="D934" s="40"/>
      <c r="E934" s="40"/>
      <c r="F934" s="40"/>
      <c r="G934" s="35" t="str">
        <f aca="false">IF($A934="","",IF(ISNUMBER($G933),$G933+1,1))</f>
        <v/>
      </c>
      <c r="H934" s="36" t="str">
        <f aca="false">IF(OR(NOT(ISNUMBER($G934)),$G934&lt;2,NOT(ISNUMBER($C933)),$C933=0),"",$C934/$C933-1)</f>
        <v/>
      </c>
      <c r="I934" s="37" t="str">
        <f aca="false">IF(AND(ISNUMBER($G934),$G934&gt;=MA_SHORT),AVERAGE(INDEX($C$534:$C934,402-MA_SHORT):$C934),"")</f>
        <v/>
      </c>
      <c r="J934" s="37" t="str">
        <f aca="false">IF(AND(ISNUMBER($G934),$G934&gt;=MA_MED),AVERAGE(INDEX($C$534:$C934,402-MA_MED):$C934),"")</f>
        <v/>
      </c>
      <c r="K934" s="37" t="str">
        <f aca="false">IF(AND(ISNUMBER($G934),$G934&gt;=MA_LONG2),AVERAGE(INDEX($C$534:$C934,402-MA_LONG2):$C934),"")</f>
        <v/>
      </c>
      <c r="L934" s="38" t="str">
        <f aca="false">IF(AND(ISNUMBER($G934),$G934&gt;=21),STDEV(INDEX($H$874:$H934,62-20):$H934)*SQRT(245),"")</f>
        <v/>
      </c>
      <c r="M934" s="37" t="str">
        <f aca="false">IF(AND(ISNUMBER($G934),$G934&gt;=60),MAX(INDEX($D$734:$D934,202-60):$D934),"")</f>
        <v/>
      </c>
      <c r="N934" s="37" t="str">
        <f aca="false">IF(AND(ISNUMBER($G934),$G934&gt;=60),MIN(INDEX($E$734:$E934,202-60):$E934),"")</f>
        <v/>
      </c>
      <c r="O934" s="38" t="str">
        <f aca="false">IF(OR(NOT(ISNUMBER($C934)),NOT(ISNUMBER($M934)),$M934=0),"",$C934/$M934-1)</f>
        <v/>
      </c>
    </row>
    <row r="935" customFormat="false" ht="15" hidden="false" customHeight="true" outlineLevel="0" collapsed="false">
      <c r="A935" s="39"/>
      <c r="B935" s="40"/>
      <c r="C935" s="41"/>
      <c r="D935" s="40"/>
      <c r="E935" s="40"/>
      <c r="F935" s="40"/>
      <c r="G935" s="35" t="str">
        <f aca="false">IF($A935="","",IF(ISNUMBER($G934),$G934+1,1))</f>
        <v/>
      </c>
      <c r="H935" s="36" t="str">
        <f aca="false">IF(OR(NOT(ISNUMBER($G935)),$G935&lt;2,NOT(ISNUMBER($C934)),$C934=0),"",$C935/$C934-1)</f>
        <v/>
      </c>
      <c r="I935" s="37" t="str">
        <f aca="false">IF(AND(ISNUMBER($G935),$G935&gt;=MA_SHORT),AVERAGE(INDEX($C$535:$C935,402-MA_SHORT):$C935),"")</f>
        <v/>
      </c>
      <c r="J935" s="37" t="str">
        <f aca="false">IF(AND(ISNUMBER($G935),$G935&gt;=MA_MED),AVERAGE(INDEX($C$535:$C935,402-MA_MED):$C935),"")</f>
        <v/>
      </c>
      <c r="K935" s="37" t="str">
        <f aca="false">IF(AND(ISNUMBER($G935),$G935&gt;=MA_LONG2),AVERAGE(INDEX($C$535:$C935,402-MA_LONG2):$C935),"")</f>
        <v/>
      </c>
      <c r="L935" s="38" t="str">
        <f aca="false">IF(AND(ISNUMBER($G935),$G935&gt;=21),STDEV(INDEX($H$875:$H935,62-20):$H935)*SQRT(245),"")</f>
        <v/>
      </c>
      <c r="M935" s="37" t="str">
        <f aca="false">IF(AND(ISNUMBER($G935),$G935&gt;=60),MAX(INDEX($D$735:$D935,202-60):$D935),"")</f>
        <v/>
      </c>
      <c r="N935" s="37" t="str">
        <f aca="false">IF(AND(ISNUMBER($G935),$G935&gt;=60),MIN(INDEX($E$735:$E935,202-60):$E935),"")</f>
        <v/>
      </c>
      <c r="O935" s="38" t="str">
        <f aca="false">IF(OR(NOT(ISNUMBER($C935)),NOT(ISNUMBER($M935)),$M935=0),"",$C935/$M935-1)</f>
        <v/>
      </c>
    </row>
    <row r="936" customFormat="false" ht="15" hidden="false" customHeight="true" outlineLevel="0" collapsed="false">
      <c r="A936" s="39"/>
      <c r="B936" s="40"/>
      <c r="C936" s="41"/>
      <c r="D936" s="40"/>
      <c r="E936" s="40"/>
      <c r="F936" s="40"/>
      <c r="G936" s="35" t="str">
        <f aca="false">IF($A936="","",IF(ISNUMBER($G935),$G935+1,1))</f>
        <v/>
      </c>
      <c r="H936" s="36" t="str">
        <f aca="false">IF(OR(NOT(ISNUMBER($G936)),$G936&lt;2,NOT(ISNUMBER($C935)),$C935=0),"",$C936/$C935-1)</f>
        <v/>
      </c>
      <c r="I936" s="37" t="str">
        <f aca="false">IF(AND(ISNUMBER($G936),$G936&gt;=MA_SHORT),AVERAGE(INDEX($C$536:$C936,402-MA_SHORT):$C936),"")</f>
        <v/>
      </c>
      <c r="J936" s="37" t="str">
        <f aca="false">IF(AND(ISNUMBER($G936),$G936&gt;=MA_MED),AVERAGE(INDEX($C$536:$C936,402-MA_MED):$C936),"")</f>
        <v/>
      </c>
      <c r="K936" s="37" t="str">
        <f aca="false">IF(AND(ISNUMBER($G936),$G936&gt;=MA_LONG2),AVERAGE(INDEX($C$536:$C936,402-MA_LONG2):$C936),"")</f>
        <v/>
      </c>
      <c r="L936" s="38" t="str">
        <f aca="false">IF(AND(ISNUMBER($G936),$G936&gt;=21),STDEV(INDEX($H$876:$H936,62-20):$H936)*SQRT(245),"")</f>
        <v/>
      </c>
      <c r="M936" s="37" t="str">
        <f aca="false">IF(AND(ISNUMBER($G936),$G936&gt;=60),MAX(INDEX($D$736:$D936,202-60):$D936),"")</f>
        <v/>
      </c>
      <c r="N936" s="37" t="str">
        <f aca="false">IF(AND(ISNUMBER($G936),$G936&gt;=60),MIN(INDEX($E$736:$E936,202-60):$E936),"")</f>
        <v/>
      </c>
      <c r="O936" s="38" t="str">
        <f aca="false">IF(OR(NOT(ISNUMBER($C936)),NOT(ISNUMBER($M936)),$M936=0),"",$C936/$M936-1)</f>
        <v/>
      </c>
    </row>
    <row r="937" customFormat="false" ht="15" hidden="false" customHeight="true" outlineLevel="0" collapsed="false">
      <c r="A937" s="39"/>
      <c r="B937" s="40"/>
      <c r="C937" s="41"/>
      <c r="D937" s="40"/>
      <c r="E937" s="40"/>
      <c r="F937" s="40"/>
      <c r="G937" s="35" t="str">
        <f aca="false">IF($A937="","",IF(ISNUMBER($G936),$G936+1,1))</f>
        <v/>
      </c>
      <c r="H937" s="36" t="str">
        <f aca="false">IF(OR(NOT(ISNUMBER($G937)),$G937&lt;2,NOT(ISNUMBER($C936)),$C936=0),"",$C937/$C936-1)</f>
        <v/>
      </c>
      <c r="I937" s="37" t="str">
        <f aca="false">IF(AND(ISNUMBER($G937),$G937&gt;=MA_SHORT),AVERAGE(INDEX($C$537:$C937,402-MA_SHORT):$C937),"")</f>
        <v/>
      </c>
      <c r="J937" s="37" t="str">
        <f aca="false">IF(AND(ISNUMBER($G937),$G937&gt;=MA_MED),AVERAGE(INDEX($C$537:$C937,402-MA_MED):$C937),"")</f>
        <v/>
      </c>
      <c r="K937" s="37" t="str">
        <f aca="false">IF(AND(ISNUMBER($G937),$G937&gt;=MA_LONG2),AVERAGE(INDEX($C$537:$C937,402-MA_LONG2):$C937),"")</f>
        <v/>
      </c>
      <c r="L937" s="38" t="str">
        <f aca="false">IF(AND(ISNUMBER($G937),$G937&gt;=21),STDEV(INDEX($H$877:$H937,62-20):$H937)*SQRT(245),"")</f>
        <v/>
      </c>
      <c r="M937" s="37" t="str">
        <f aca="false">IF(AND(ISNUMBER($G937),$G937&gt;=60),MAX(INDEX($D$737:$D937,202-60):$D937),"")</f>
        <v/>
      </c>
      <c r="N937" s="37" t="str">
        <f aca="false">IF(AND(ISNUMBER($G937),$G937&gt;=60),MIN(INDEX($E$737:$E937,202-60):$E937),"")</f>
        <v/>
      </c>
      <c r="O937" s="38" t="str">
        <f aca="false">IF(OR(NOT(ISNUMBER($C937)),NOT(ISNUMBER($M937)),$M937=0),"",$C937/$M937-1)</f>
        <v/>
      </c>
    </row>
    <row r="938" customFormat="false" ht="15" hidden="false" customHeight="true" outlineLevel="0" collapsed="false">
      <c r="A938" s="39"/>
      <c r="B938" s="40"/>
      <c r="C938" s="41"/>
      <c r="D938" s="40"/>
      <c r="E938" s="40"/>
      <c r="F938" s="40"/>
      <c r="G938" s="35" t="str">
        <f aca="false">IF($A938="","",IF(ISNUMBER($G937),$G937+1,1))</f>
        <v/>
      </c>
      <c r="H938" s="36" t="str">
        <f aca="false">IF(OR(NOT(ISNUMBER($G938)),$G938&lt;2,NOT(ISNUMBER($C937)),$C937=0),"",$C938/$C937-1)</f>
        <v/>
      </c>
      <c r="I938" s="37" t="str">
        <f aca="false">IF(AND(ISNUMBER($G938),$G938&gt;=MA_SHORT),AVERAGE(INDEX($C$538:$C938,402-MA_SHORT):$C938),"")</f>
        <v/>
      </c>
      <c r="J938" s="37" t="str">
        <f aca="false">IF(AND(ISNUMBER($G938),$G938&gt;=MA_MED),AVERAGE(INDEX($C$538:$C938,402-MA_MED):$C938),"")</f>
        <v/>
      </c>
      <c r="K938" s="37" t="str">
        <f aca="false">IF(AND(ISNUMBER($G938),$G938&gt;=MA_LONG2),AVERAGE(INDEX($C$538:$C938,402-MA_LONG2):$C938),"")</f>
        <v/>
      </c>
      <c r="L938" s="38" t="str">
        <f aca="false">IF(AND(ISNUMBER($G938),$G938&gt;=21),STDEV(INDEX($H$878:$H938,62-20):$H938)*SQRT(245),"")</f>
        <v/>
      </c>
      <c r="M938" s="37" t="str">
        <f aca="false">IF(AND(ISNUMBER($G938),$G938&gt;=60),MAX(INDEX($D$738:$D938,202-60):$D938),"")</f>
        <v/>
      </c>
      <c r="N938" s="37" t="str">
        <f aca="false">IF(AND(ISNUMBER($G938),$G938&gt;=60),MIN(INDEX($E$738:$E938,202-60):$E938),"")</f>
        <v/>
      </c>
      <c r="O938" s="38" t="str">
        <f aca="false">IF(OR(NOT(ISNUMBER($C938)),NOT(ISNUMBER($M938)),$M938=0),"",$C938/$M938-1)</f>
        <v/>
      </c>
    </row>
    <row r="939" customFormat="false" ht="15" hidden="false" customHeight="true" outlineLevel="0" collapsed="false">
      <c r="A939" s="39"/>
      <c r="B939" s="40"/>
      <c r="C939" s="41"/>
      <c r="D939" s="40"/>
      <c r="E939" s="40"/>
      <c r="F939" s="40"/>
      <c r="G939" s="35" t="str">
        <f aca="false">IF($A939="","",IF(ISNUMBER($G938),$G938+1,1))</f>
        <v/>
      </c>
      <c r="H939" s="36" t="str">
        <f aca="false">IF(OR(NOT(ISNUMBER($G939)),$G939&lt;2,NOT(ISNUMBER($C938)),$C938=0),"",$C939/$C938-1)</f>
        <v/>
      </c>
      <c r="I939" s="37" t="str">
        <f aca="false">IF(AND(ISNUMBER($G939),$G939&gt;=MA_SHORT),AVERAGE(INDEX($C$539:$C939,402-MA_SHORT):$C939),"")</f>
        <v/>
      </c>
      <c r="J939" s="37" t="str">
        <f aca="false">IF(AND(ISNUMBER($G939),$G939&gt;=MA_MED),AVERAGE(INDEX($C$539:$C939,402-MA_MED):$C939),"")</f>
        <v/>
      </c>
      <c r="K939" s="37" t="str">
        <f aca="false">IF(AND(ISNUMBER($G939),$G939&gt;=MA_LONG2),AVERAGE(INDEX($C$539:$C939,402-MA_LONG2):$C939),"")</f>
        <v/>
      </c>
      <c r="L939" s="38" t="str">
        <f aca="false">IF(AND(ISNUMBER($G939),$G939&gt;=21),STDEV(INDEX($H$879:$H939,62-20):$H939)*SQRT(245),"")</f>
        <v/>
      </c>
      <c r="M939" s="37" t="str">
        <f aca="false">IF(AND(ISNUMBER($G939),$G939&gt;=60),MAX(INDEX($D$739:$D939,202-60):$D939),"")</f>
        <v/>
      </c>
      <c r="N939" s="37" t="str">
        <f aca="false">IF(AND(ISNUMBER($G939),$G939&gt;=60),MIN(INDEX($E$739:$E939,202-60):$E939),"")</f>
        <v/>
      </c>
      <c r="O939" s="38" t="str">
        <f aca="false">IF(OR(NOT(ISNUMBER($C939)),NOT(ISNUMBER($M939)),$M939=0),"",$C939/$M939-1)</f>
        <v/>
      </c>
    </row>
    <row r="940" customFormat="false" ht="15" hidden="false" customHeight="true" outlineLevel="0" collapsed="false">
      <c r="A940" s="39"/>
      <c r="B940" s="40"/>
      <c r="C940" s="41"/>
      <c r="D940" s="40"/>
      <c r="E940" s="40"/>
      <c r="F940" s="40"/>
      <c r="G940" s="35" t="str">
        <f aca="false">IF($A940="","",IF(ISNUMBER($G939),$G939+1,1))</f>
        <v/>
      </c>
      <c r="H940" s="36" t="str">
        <f aca="false">IF(OR(NOT(ISNUMBER($G940)),$G940&lt;2,NOT(ISNUMBER($C939)),$C939=0),"",$C940/$C939-1)</f>
        <v/>
      </c>
      <c r="I940" s="37" t="str">
        <f aca="false">IF(AND(ISNUMBER($G940),$G940&gt;=MA_SHORT),AVERAGE(INDEX($C$540:$C940,402-MA_SHORT):$C940),"")</f>
        <v/>
      </c>
      <c r="J940" s="37" t="str">
        <f aca="false">IF(AND(ISNUMBER($G940),$G940&gt;=MA_MED),AVERAGE(INDEX($C$540:$C940,402-MA_MED):$C940),"")</f>
        <v/>
      </c>
      <c r="K940" s="37" t="str">
        <f aca="false">IF(AND(ISNUMBER($G940),$G940&gt;=MA_LONG2),AVERAGE(INDEX($C$540:$C940,402-MA_LONG2):$C940),"")</f>
        <v/>
      </c>
      <c r="L940" s="38" t="str">
        <f aca="false">IF(AND(ISNUMBER($G940),$G940&gt;=21),STDEV(INDEX($H$880:$H940,62-20):$H940)*SQRT(245),"")</f>
        <v/>
      </c>
      <c r="M940" s="37" t="str">
        <f aca="false">IF(AND(ISNUMBER($G940),$G940&gt;=60),MAX(INDEX($D$740:$D940,202-60):$D940),"")</f>
        <v/>
      </c>
      <c r="N940" s="37" t="str">
        <f aca="false">IF(AND(ISNUMBER($G940),$G940&gt;=60),MIN(INDEX($E$740:$E940,202-60):$E940),"")</f>
        <v/>
      </c>
      <c r="O940" s="38" t="str">
        <f aca="false">IF(OR(NOT(ISNUMBER($C940)),NOT(ISNUMBER($M940)),$M940=0),"",$C940/$M940-1)</f>
        <v/>
      </c>
    </row>
    <row r="941" customFormat="false" ht="15" hidden="false" customHeight="true" outlineLevel="0" collapsed="false">
      <c r="A941" s="39"/>
      <c r="B941" s="40"/>
      <c r="C941" s="41"/>
      <c r="D941" s="40"/>
      <c r="E941" s="40"/>
      <c r="F941" s="40"/>
      <c r="G941" s="35" t="str">
        <f aca="false">IF($A941="","",IF(ISNUMBER($G940),$G940+1,1))</f>
        <v/>
      </c>
      <c r="H941" s="36" t="str">
        <f aca="false">IF(OR(NOT(ISNUMBER($G941)),$G941&lt;2,NOT(ISNUMBER($C940)),$C940=0),"",$C941/$C940-1)</f>
        <v/>
      </c>
      <c r="I941" s="37" t="str">
        <f aca="false">IF(AND(ISNUMBER($G941),$G941&gt;=MA_SHORT),AVERAGE(INDEX($C$541:$C941,402-MA_SHORT):$C941),"")</f>
        <v/>
      </c>
      <c r="J941" s="37" t="str">
        <f aca="false">IF(AND(ISNUMBER($G941),$G941&gt;=MA_MED),AVERAGE(INDEX($C$541:$C941,402-MA_MED):$C941),"")</f>
        <v/>
      </c>
      <c r="K941" s="37" t="str">
        <f aca="false">IF(AND(ISNUMBER($G941),$G941&gt;=MA_LONG2),AVERAGE(INDEX($C$541:$C941,402-MA_LONG2):$C941),"")</f>
        <v/>
      </c>
      <c r="L941" s="38" t="str">
        <f aca="false">IF(AND(ISNUMBER($G941),$G941&gt;=21),STDEV(INDEX($H$881:$H941,62-20):$H941)*SQRT(245),"")</f>
        <v/>
      </c>
      <c r="M941" s="37" t="str">
        <f aca="false">IF(AND(ISNUMBER($G941),$G941&gt;=60),MAX(INDEX($D$741:$D941,202-60):$D941),"")</f>
        <v/>
      </c>
      <c r="N941" s="37" t="str">
        <f aca="false">IF(AND(ISNUMBER($G941),$G941&gt;=60),MIN(INDEX($E$741:$E941,202-60):$E941),"")</f>
        <v/>
      </c>
      <c r="O941" s="38" t="str">
        <f aca="false">IF(OR(NOT(ISNUMBER($C941)),NOT(ISNUMBER($M941)),$M941=0),"",$C941/$M941-1)</f>
        <v/>
      </c>
    </row>
    <row r="942" customFormat="false" ht="15" hidden="false" customHeight="true" outlineLevel="0" collapsed="false">
      <c r="A942" s="39"/>
      <c r="B942" s="40"/>
      <c r="C942" s="41"/>
      <c r="D942" s="40"/>
      <c r="E942" s="40"/>
      <c r="F942" s="40"/>
      <c r="G942" s="35" t="str">
        <f aca="false">IF($A942="","",IF(ISNUMBER($G941),$G941+1,1))</f>
        <v/>
      </c>
      <c r="H942" s="36" t="str">
        <f aca="false">IF(OR(NOT(ISNUMBER($G942)),$G942&lt;2,NOT(ISNUMBER($C941)),$C941=0),"",$C942/$C941-1)</f>
        <v/>
      </c>
      <c r="I942" s="37" t="str">
        <f aca="false">IF(AND(ISNUMBER($G942),$G942&gt;=MA_SHORT),AVERAGE(INDEX($C$542:$C942,402-MA_SHORT):$C942),"")</f>
        <v/>
      </c>
      <c r="J942" s="37" t="str">
        <f aca="false">IF(AND(ISNUMBER($G942),$G942&gt;=MA_MED),AVERAGE(INDEX($C$542:$C942,402-MA_MED):$C942),"")</f>
        <v/>
      </c>
      <c r="K942" s="37" t="str">
        <f aca="false">IF(AND(ISNUMBER($G942),$G942&gt;=MA_LONG2),AVERAGE(INDEX($C$542:$C942,402-MA_LONG2):$C942),"")</f>
        <v/>
      </c>
      <c r="L942" s="38" t="str">
        <f aca="false">IF(AND(ISNUMBER($G942),$G942&gt;=21),STDEV(INDEX($H$882:$H942,62-20):$H942)*SQRT(245),"")</f>
        <v/>
      </c>
      <c r="M942" s="37" t="str">
        <f aca="false">IF(AND(ISNUMBER($G942),$G942&gt;=60),MAX(INDEX($D$742:$D942,202-60):$D942),"")</f>
        <v/>
      </c>
      <c r="N942" s="37" t="str">
        <f aca="false">IF(AND(ISNUMBER($G942),$G942&gt;=60),MIN(INDEX($E$742:$E942,202-60):$E942),"")</f>
        <v/>
      </c>
      <c r="O942" s="38" t="str">
        <f aca="false">IF(OR(NOT(ISNUMBER($C942)),NOT(ISNUMBER($M942)),$M942=0),"",$C942/$M942-1)</f>
        <v/>
      </c>
    </row>
    <row r="943" customFormat="false" ht="15" hidden="false" customHeight="true" outlineLevel="0" collapsed="false">
      <c r="A943" s="39"/>
      <c r="B943" s="40"/>
      <c r="C943" s="41"/>
      <c r="D943" s="40"/>
      <c r="E943" s="40"/>
      <c r="F943" s="40"/>
      <c r="G943" s="35" t="str">
        <f aca="false">IF($A943="","",IF(ISNUMBER($G942),$G942+1,1))</f>
        <v/>
      </c>
      <c r="H943" s="36" t="str">
        <f aca="false">IF(OR(NOT(ISNUMBER($G943)),$G943&lt;2,NOT(ISNUMBER($C942)),$C942=0),"",$C943/$C942-1)</f>
        <v/>
      </c>
      <c r="I943" s="37" t="str">
        <f aca="false">IF(AND(ISNUMBER($G943),$G943&gt;=MA_SHORT),AVERAGE(INDEX($C$543:$C943,402-MA_SHORT):$C943),"")</f>
        <v/>
      </c>
      <c r="J943" s="37" t="str">
        <f aca="false">IF(AND(ISNUMBER($G943),$G943&gt;=MA_MED),AVERAGE(INDEX($C$543:$C943,402-MA_MED):$C943),"")</f>
        <v/>
      </c>
      <c r="K943" s="37" t="str">
        <f aca="false">IF(AND(ISNUMBER($G943),$G943&gt;=MA_LONG2),AVERAGE(INDEX($C$543:$C943,402-MA_LONG2):$C943),"")</f>
        <v/>
      </c>
      <c r="L943" s="38" t="str">
        <f aca="false">IF(AND(ISNUMBER($G943),$G943&gt;=21),STDEV(INDEX($H$883:$H943,62-20):$H943)*SQRT(245),"")</f>
        <v/>
      </c>
      <c r="M943" s="37" t="str">
        <f aca="false">IF(AND(ISNUMBER($G943),$G943&gt;=60),MAX(INDEX($D$743:$D943,202-60):$D943),"")</f>
        <v/>
      </c>
      <c r="N943" s="37" t="str">
        <f aca="false">IF(AND(ISNUMBER($G943),$G943&gt;=60),MIN(INDEX($E$743:$E943,202-60):$E943),"")</f>
        <v/>
      </c>
      <c r="O943" s="38" t="str">
        <f aca="false">IF(OR(NOT(ISNUMBER($C943)),NOT(ISNUMBER($M943)),$M943=0),"",$C943/$M943-1)</f>
        <v/>
      </c>
    </row>
    <row r="944" customFormat="false" ht="15" hidden="false" customHeight="true" outlineLevel="0" collapsed="false">
      <c r="A944" s="39"/>
      <c r="B944" s="40"/>
      <c r="C944" s="41"/>
      <c r="D944" s="40"/>
      <c r="E944" s="40"/>
      <c r="F944" s="40"/>
      <c r="G944" s="35" t="str">
        <f aca="false">IF($A944="","",IF(ISNUMBER($G943),$G943+1,1))</f>
        <v/>
      </c>
      <c r="H944" s="36" t="str">
        <f aca="false">IF(OR(NOT(ISNUMBER($G944)),$G944&lt;2,NOT(ISNUMBER($C943)),$C943=0),"",$C944/$C943-1)</f>
        <v/>
      </c>
      <c r="I944" s="37" t="str">
        <f aca="false">IF(AND(ISNUMBER($G944),$G944&gt;=MA_SHORT),AVERAGE(INDEX($C$544:$C944,402-MA_SHORT):$C944),"")</f>
        <v/>
      </c>
      <c r="J944" s="37" t="str">
        <f aca="false">IF(AND(ISNUMBER($G944),$G944&gt;=MA_MED),AVERAGE(INDEX($C$544:$C944,402-MA_MED):$C944),"")</f>
        <v/>
      </c>
      <c r="K944" s="37" t="str">
        <f aca="false">IF(AND(ISNUMBER($G944),$G944&gt;=MA_LONG2),AVERAGE(INDEX($C$544:$C944,402-MA_LONG2):$C944),"")</f>
        <v/>
      </c>
      <c r="L944" s="38" t="str">
        <f aca="false">IF(AND(ISNUMBER($G944),$G944&gt;=21),STDEV(INDEX($H$884:$H944,62-20):$H944)*SQRT(245),"")</f>
        <v/>
      </c>
      <c r="M944" s="37" t="str">
        <f aca="false">IF(AND(ISNUMBER($G944),$G944&gt;=60),MAX(INDEX($D$744:$D944,202-60):$D944),"")</f>
        <v/>
      </c>
      <c r="N944" s="37" t="str">
        <f aca="false">IF(AND(ISNUMBER($G944),$G944&gt;=60),MIN(INDEX($E$744:$E944,202-60):$E944),"")</f>
        <v/>
      </c>
      <c r="O944" s="38" t="str">
        <f aca="false">IF(OR(NOT(ISNUMBER($C944)),NOT(ISNUMBER($M944)),$M944=0),"",$C944/$M944-1)</f>
        <v/>
      </c>
    </row>
    <row r="945" customFormat="false" ht="15" hidden="false" customHeight="true" outlineLevel="0" collapsed="false">
      <c r="A945" s="39"/>
      <c r="B945" s="40"/>
      <c r="C945" s="41"/>
      <c r="D945" s="40"/>
      <c r="E945" s="40"/>
      <c r="F945" s="40"/>
      <c r="G945" s="35" t="str">
        <f aca="false">IF($A945="","",IF(ISNUMBER($G944),$G944+1,1))</f>
        <v/>
      </c>
      <c r="H945" s="36" t="str">
        <f aca="false">IF(OR(NOT(ISNUMBER($G945)),$G945&lt;2,NOT(ISNUMBER($C944)),$C944=0),"",$C945/$C944-1)</f>
        <v/>
      </c>
      <c r="I945" s="37" t="str">
        <f aca="false">IF(AND(ISNUMBER($G945),$G945&gt;=MA_SHORT),AVERAGE(INDEX($C$545:$C945,402-MA_SHORT):$C945),"")</f>
        <v/>
      </c>
      <c r="J945" s="37" t="str">
        <f aca="false">IF(AND(ISNUMBER($G945),$G945&gt;=MA_MED),AVERAGE(INDEX($C$545:$C945,402-MA_MED):$C945),"")</f>
        <v/>
      </c>
      <c r="K945" s="37" t="str">
        <f aca="false">IF(AND(ISNUMBER($G945),$G945&gt;=MA_LONG2),AVERAGE(INDEX($C$545:$C945,402-MA_LONG2):$C945),"")</f>
        <v/>
      </c>
      <c r="L945" s="38" t="str">
        <f aca="false">IF(AND(ISNUMBER($G945),$G945&gt;=21),STDEV(INDEX($H$885:$H945,62-20):$H945)*SQRT(245),"")</f>
        <v/>
      </c>
      <c r="M945" s="37" t="str">
        <f aca="false">IF(AND(ISNUMBER($G945),$G945&gt;=60),MAX(INDEX($D$745:$D945,202-60):$D945),"")</f>
        <v/>
      </c>
      <c r="N945" s="37" t="str">
        <f aca="false">IF(AND(ISNUMBER($G945),$G945&gt;=60),MIN(INDEX($E$745:$E945,202-60):$E945),"")</f>
        <v/>
      </c>
      <c r="O945" s="38" t="str">
        <f aca="false">IF(OR(NOT(ISNUMBER($C945)),NOT(ISNUMBER($M945)),$M945=0),"",$C945/$M945-1)</f>
        <v/>
      </c>
    </row>
    <row r="946" customFormat="false" ht="15" hidden="false" customHeight="true" outlineLevel="0" collapsed="false">
      <c r="A946" s="39"/>
      <c r="B946" s="40"/>
      <c r="C946" s="41"/>
      <c r="D946" s="40"/>
      <c r="E946" s="40"/>
      <c r="F946" s="40"/>
      <c r="G946" s="35" t="str">
        <f aca="false">IF($A946="","",IF(ISNUMBER($G945),$G945+1,1))</f>
        <v/>
      </c>
      <c r="H946" s="36" t="str">
        <f aca="false">IF(OR(NOT(ISNUMBER($G946)),$G946&lt;2,NOT(ISNUMBER($C945)),$C945=0),"",$C946/$C945-1)</f>
        <v/>
      </c>
      <c r="I946" s="37" t="str">
        <f aca="false">IF(AND(ISNUMBER($G946),$G946&gt;=MA_SHORT),AVERAGE(INDEX($C$546:$C946,402-MA_SHORT):$C946),"")</f>
        <v/>
      </c>
      <c r="J946" s="37" t="str">
        <f aca="false">IF(AND(ISNUMBER($G946),$G946&gt;=MA_MED),AVERAGE(INDEX($C$546:$C946,402-MA_MED):$C946),"")</f>
        <v/>
      </c>
      <c r="K946" s="37" t="str">
        <f aca="false">IF(AND(ISNUMBER($G946),$G946&gt;=MA_LONG2),AVERAGE(INDEX($C$546:$C946,402-MA_LONG2):$C946),"")</f>
        <v/>
      </c>
      <c r="L946" s="38" t="str">
        <f aca="false">IF(AND(ISNUMBER($G946),$G946&gt;=21),STDEV(INDEX($H$886:$H946,62-20):$H946)*SQRT(245),"")</f>
        <v/>
      </c>
      <c r="M946" s="37" t="str">
        <f aca="false">IF(AND(ISNUMBER($G946),$G946&gt;=60),MAX(INDEX($D$746:$D946,202-60):$D946),"")</f>
        <v/>
      </c>
      <c r="N946" s="37" t="str">
        <f aca="false">IF(AND(ISNUMBER($G946),$G946&gt;=60),MIN(INDEX($E$746:$E946,202-60):$E946),"")</f>
        <v/>
      </c>
      <c r="O946" s="38" t="str">
        <f aca="false">IF(OR(NOT(ISNUMBER($C946)),NOT(ISNUMBER($M946)),$M946=0),"",$C946/$M946-1)</f>
        <v/>
      </c>
    </row>
    <row r="947" customFormat="false" ht="15" hidden="false" customHeight="true" outlineLevel="0" collapsed="false">
      <c r="A947" s="39"/>
      <c r="B947" s="40"/>
      <c r="C947" s="41"/>
      <c r="D947" s="40"/>
      <c r="E947" s="40"/>
      <c r="F947" s="40"/>
      <c r="G947" s="35" t="str">
        <f aca="false">IF($A947="","",IF(ISNUMBER($G946),$G946+1,1))</f>
        <v/>
      </c>
      <c r="H947" s="36" t="str">
        <f aca="false">IF(OR(NOT(ISNUMBER($G947)),$G947&lt;2,NOT(ISNUMBER($C946)),$C946=0),"",$C947/$C946-1)</f>
        <v/>
      </c>
      <c r="I947" s="37" t="str">
        <f aca="false">IF(AND(ISNUMBER($G947),$G947&gt;=MA_SHORT),AVERAGE(INDEX($C$547:$C947,402-MA_SHORT):$C947),"")</f>
        <v/>
      </c>
      <c r="J947" s="37" t="str">
        <f aca="false">IF(AND(ISNUMBER($G947),$G947&gt;=MA_MED),AVERAGE(INDEX($C$547:$C947,402-MA_MED):$C947),"")</f>
        <v/>
      </c>
      <c r="K947" s="37" t="str">
        <f aca="false">IF(AND(ISNUMBER($G947),$G947&gt;=MA_LONG2),AVERAGE(INDEX($C$547:$C947,402-MA_LONG2):$C947),"")</f>
        <v/>
      </c>
      <c r="L947" s="38" t="str">
        <f aca="false">IF(AND(ISNUMBER($G947),$G947&gt;=21),STDEV(INDEX($H$887:$H947,62-20):$H947)*SQRT(245),"")</f>
        <v/>
      </c>
      <c r="M947" s="37" t="str">
        <f aca="false">IF(AND(ISNUMBER($G947),$G947&gt;=60),MAX(INDEX($D$747:$D947,202-60):$D947),"")</f>
        <v/>
      </c>
      <c r="N947" s="37" t="str">
        <f aca="false">IF(AND(ISNUMBER($G947),$G947&gt;=60),MIN(INDEX($E$747:$E947,202-60):$E947),"")</f>
        <v/>
      </c>
      <c r="O947" s="38" t="str">
        <f aca="false">IF(OR(NOT(ISNUMBER($C947)),NOT(ISNUMBER($M947)),$M947=0),"",$C947/$M947-1)</f>
        <v/>
      </c>
    </row>
    <row r="948" customFormat="false" ht="15" hidden="false" customHeight="true" outlineLevel="0" collapsed="false">
      <c r="A948" s="39"/>
      <c r="B948" s="40"/>
      <c r="C948" s="41"/>
      <c r="D948" s="40"/>
      <c r="E948" s="40"/>
      <c r="F948" s="40"/>
      <c r="G948" s="35" t="str">
        <f aca="false">IF($A948="","",IF(ISNUMBER($G947),$G947+1,1))</f>
        <v/>
      </c>
      <c r="H948" s="36" t="str">
        <f aca="false">IF(OR(NOT(ISNUMBER($G948)),$G948&lt;2,NOT(ISNUMBER($C947)),$C947=0),"",$C948/$C947-1)</f>
        <v/>
      </c>
      <c r="I948" s="37" t="str">
        <f aca="false">IF(AND(ISNUMBER($G948),$G948&gt;=MA_SHORT),AVERAGE(INDEX($C$548:$C948,402-MA_SHORT):$C948),"")</f>
        <v/>
      </c>
      <c r="J948" s="37" t="str">
        <f aca="false">IF(AND(ISNUMBER($G948),$G948&gt;=MA_MED),AVERAGE(INDEX($C$548:$C948,402-MA_MED):$C948),"")</f>
        <v/>
      </c>
      <c r="K948" s="37" t="str">
        <f aca="false">IF(AND(ISNUMBER($G948),$G948&gt;=MA_LONG2),AVERAGE(INDEX($C$548:$C948,402-MA_LONG2):$C948),"")</f>
        <v/>
      </c>
      <c r="L948" s="38" t="str">
        <f aca="false">IF(AND(ISNUMBER($G948),$G948&gt;=21),STDEV(INDEX($H$888:$H948,62-20):$H948)*SQRT(245),"")</f>
        <v/>
      </c>
      <c r="M948" s="37" t="str">
        <f aca="false">IF(AND(ISNUMBER($G948),$G948&gt;=60),MAX(INDEX($D$748:$D948,202-60):$D948),"")</f>
        <v/>
      </c>
      <c r="N948" s="37" t="str">
        <f aca="false">IF(AND(ISNUMBER($G948),$G948&gt;=60),MIN(INDEX($E$748:$E948,202-60):$E948),"")</f>
        <v/>
      </c>
      <c r="O948" s="38" t="str">
        <f aca="false">IF(OR(NOT(ISNUMBER($C948)),NOT(ISNUMBER($M948)),$M948=0),"",$C948/$M948-1)</f>
        <v/>
      </c>
    </row>
    <row r="949" customFormat="false" ht="15" hidden="false" customHeight="true" outlineLevel="0" collapsed="false">
      <c r="A949" s="39"/>
      <c r="B949" s="40"/>
      <c r="C949" s="41"/>
      <c r="D949" s="40"/>
      <c r="E949" s="40"/>
      <c r="F949" s="40"/>
      <c r="G949" s="35" t="str">
        <f aca="false">IF($A949="","",IF(ISNUMBER($G948),$G948+1,1))</f>
        <v/>
      </c>
      <c r="H949" s="36" t="str">
        <f aca="false">IF(OR(NOT(ISNUMBER($G949)),$G949&lt;2,NOT(ISNUMBER($C948)),$C948=0),"",$C949/$C948-1)</f>
        <v/>
      </c>
      <c r="I949" s="37" t="str">
        <f aca="false">IF(AND(ISNUMBER($G949),$G949&gt;=MA_SHORT),AVERAGE(INDEX($C$549:$C949,402-MA_SHORT):$C949),"")</f>
        <v/>
      </c>
      <c r="J949" s="37" t="str">
        <f aca="false">IF(AND(ISNUMBER($G949),$G949&gt;=MA_MED),AVERAGE(INDEX($C$549:$C949,402-MA_MED):$C949),"")</f>
        <v/>
      </c>
      <c r="K949" s="37" t="str">
        <f aca="false">IF(AND(ISNUMBER($G949),$G949&gt;=MA_LONG2),AVERAGE(INDEX($C$549:$C949,402-MA_LONG2):$C949),"")</f>
        <v/>
      </c>
      <c r="L949" s="38" t="str">
        <f aca="false">IF(AND(ISNUMBER($G949),$G949&gt;=21),STDEV(INDEX($H$889:$H949,62-20):$H949)*SQRT(245),"")</f>
        <v/>
      </c>
      <c r="M949" s="37" t="str">
        <f aca="false">IF(AND(ISNUMBER($G949),$G949&gt;=60),MAX(INDEX($D$749:$D949,202-60):$D949),"")</f>
        <v/>
      </c>
      <c r="N949" s="37" t="str">
        <f aca="false">IF(AND(ISNUMBER($G949),$G949&gt;=60),MIN(INDEX($E$749:$E949,202-60):$E949),"")</f>
        <v/>
      </c>
      <c r="O949" s="38" t="str">
        <f aca="false">IF(OR(NOT(ISNUMBER($C949)),NOT(ISNUMBER($M949)),$M949=0),"",$C949/$M949-1)</f>
        <v/>
      </c>
    </row>
    <row r="950" customFormat="false" ht="15" hidden="false" customHeight="true" outlineLevel="0" collapsed="false">
      <c r="A950" s="39"/>
      <c r="B950" s="40"/>
      <c r="C950" s="41"/>
      <c r="D950" s="40"/>
      <c r="E950" s="40"/>
      <c r="F950" s="40"/>
      <c r="G950" s="35" t="str">
        <f aca="false">IF($A950="","",IF(ISNUMBER($G949),$G949+1,1))</f>
        <v/>
      </c>
      <c r="H950" s="36" t="str">
        <f aca="false">IF(OR(NOT(ISNUMBER($G950)),$G950&lt;2,NOT(ISNUMBER($C949)),$C949=0),"",$C950/$C949-1)</f>
        <v/>
      </c>
      <c r="I950" s="37" t="str">
        <f aca="false">IF(AND(ISNUMBER($G950),$G950&gt;=MA_SHORT),AVERAGE(INDEX($C$550:$C950,402-MA_SHORT):$C950),"")</f>
        <v/>
      </c>
      <c r="J950" s="37" t="str">
        <f aca="false">IF(AND(ISNUMBER($G950),$G950&gt;=MA_MED),AVERAGE(INDEX($C$550:$C950,402-MA_MED):$C950),"")</f>
        <v/>
      </c>
      <c r="K950" s="37" t="str">
        <f aca="false">IF(AND(ISNUMBER($G950),$G950&gt;=MA_LONG2),AVERAGE(INDEX($C$550:$C950,402-MA_LONG2):$C950),"")</f>
        <v/>
      </c>
      <c r="L950" s="38" t="str">
        <f aca="false">IF(AND(ISNUMBER($G950),$G950&gt;=21),STDEV(INDEX($H$890:$H950,62-20):$H950)*SQRT(245),"")</f>
        <v/>
      </c>
      <c r="M950" s="37" t="str">
        <f aca="false">IF(AND(ISNUMBER($G950),$G950&gt;=60),MAX(INDEX($D$750:$D950,202-60):$D950),"")</f>
        <v/>
      </c>
      <c r="N950" s="37" t="str">
        <f aca="false">IF(AND(ISNUMBER($G950),$G950&gt;=60),MIN(INDEX($E$750:$E950,202-60):$E950),"")</f>
        <v/>
      </c>
      <c r="O950" s="38" t="str">
        <f aca="false">IF(OR(NOT(ISNUMBER($C950)),NOT(ISNUMBER($M950)),$M950=0),"",$C950/$M950-1)</f>
        <v/>
      </c>
    </row>
    <row r="951" customFormat="false" ht="15" hidden="false" customHeight="true" outlineLevel="0" collapsed="false">
      <c r="A951" s="39"/>
      <c r="B951" s="40"/>
      <c r="C951" s="41"/>
      <c r="D951" s="40"/>
      <c r="E951" s="40"/>
      <c r="F951" s="40"/>
      <c r="G951" s="35" t="str">
        <f aca="false">IF($A951="","",IF(ISNUMBER($G950),$G950+1,1))</f>
        <v/>
      </c>
      <c r="H951" s="36" t="str">
        <f aca="false">IF(OR(NOT(ISNUMBER($G951)),$G951&lt;2,NOT(ISNUMBER($C950)),$C950=0),"",$C951/$C950-1)</f>
        <v/>
      </c>
      <c r="I951" s="37" t="str">
        <f aca="false">IF(AND(ISNUMBER($G951),$G951&gt;=MA_SHORT),AVERAGE(INDEX($C$551:$C951,402-MA_SHORT):$C951),"")</f>
        <v/>
      </c>
      <c r="J951" s="37" t="str">
        <f aca="false">IF(AND(ISNUMBER($G951),$G951&gt;=MA_MED),AVERAGE(INDEX($C$551:$C951,402-MA_MED):$C951),"")</f>
        <v/>
      </c>
      <c r="K951" s="37" t="str">
        <f aca="false">IF(AND(ISNUMBER($G951),$G951&gt;=MA_LONG2),AVERAGE(INDEX($C$551:$C951,402-MA_LONG2):$C951),"")</f>
        <v/>
      </c>
      <c r="L951" s="38" t="str">
        <f aca="false">IF(AND(ISNUMBER($G951),$G951&gt;=21),STDEV(INDEX($H$891:$H951,62-20):$H951)*SQRT(245),"")</f>
        <v/>
      </c>
      <c r="M951" s="37" t="str">
        <f aca="false">IF(AND(ISNUMBER($G951),$G951&gt;=60),MAX(INDEX($D$751:$D951,202-60):$D951),"")</f>
        <v/>
      </c>
      <c r="N951" s="37" t="str">
        <f aca="false">IF(AND(ISNUMBER($G951),$G951&gt;=60),MIN(INDEX($E$751:$E951,202-60):$E951),"")</f>
        <v/>
      </c>
      <c r="O951" s="38" t="str">
        <f aca="false">IF(OR(NOT(ISNUMBER($C951)),NOT(ISNUMBER($M951)),$M951=0),"",$C951/$M951-1)</f>
        <v/>
      </c>
    </row>
    <row r="952" customFormat="false" ht="15" hidden="false" customHeight="true" outlineLevel="0" collapsed="false">
      <c r="A952" s="39"/>
      <c r="B952" s="40"/>
      <c r="C952" s="41"/>
      <c r="D952" s="40"/>
      <c r="E952" s="40"/>
      <c r="F952" s="40"/>
      <c r="G952" s="35" t="str">
        <f aca="false">IF($A952="","",IF(ISNUMBER($G951),$G951+1,1))</f>
        <v/>
      </c>
      <c r="H952" s="36" t="str">
        <f aca="false">IF(OR(NOT(ISNUMBER($G952)),$G952&lt;2,NOT(ISNUMBER($C951)),$C951=0),"",$C952/$C951-1)</f>
        <v/>
      </c>
      <c r="I952" s="37" t="str">
        <f aca="false">IF(AND(ISNUMBER($G952),$G952&gt;=MA_SHORT),AVERAGE(INDEX($C$552:$C952,402-MA_SHORT):$C952),"")</f>
        <v/>
      </c>
      <c r="J952" s="37" t="str">
        <f aca="false">IF(AND(ISNUMBER($G952),$G952&gt;=MA_MED),AVERAGE(INDEX($C$552:$C952,402-MA_MED):$C952),"")</f>
        <v/>
      </c>
      <c r="K952" s="37" t="str">
        <f aca="false">IF(AND(ISNUMBER($G952),$G952&gt;=MA_LONG2),AVERAGE(INDEX($C$552:$C952,402-MA_LONG2):$C952),"")</f>
        <v/>
      </c>
      <c r="L952" s="38" t="str">
        <f aca="false">IF(AND(ISNUMBER($G952),$G952&gt;=21),STDEV(INDEX($H$892:$H952,62-20):$H952)*SQRT(245),"")</f>
        <v/>
      </c>
      <c r="M952" s="37" t="str">
        <f aca="false">IF(AND(ISNUMBER($G952),$G952&gt;=60),MAX(INDEX($D$752:$D952,202-60):$D952),"")</f>
        <v/>
      </c>
      <c r="N952" s="37" t="str">
        <f aca="false">IF(AND(ISNUMBER($G952),$G952&gt;=60),MIN(INDEX($E$752:$E952,202-60):$E952),"")</f>
        <v/>
      </c>
      <c r="O952" s="38" t="str">
        <f aca="false">IF(OR(NOT(ISNUMBER($C952)),NOT(ISNUMBER($M952)),$M952=0),"",$C952/$M952-1)</f>
        <v/>
      </c>
    </row>
    <row r="953" customFormat="false" ht="15" hidden="false" customHeight="true" outlineLevel="0" collapsed="false">
      <c r="A953" s="39"/>
      <c r="B953" s="40"/>
      <c r="C953" s="41"/>
      <c r="D953" s="40"/>
      <c r="E953" s="40"/>
      <c r="F953" s="40"/>
      <c r="G953" s="35" t="str">
        <f aca="false">IF($A953="","",IF(ISNUMBER($G952),$G952+1,1))</f>
        <v/>
      </c>
      <c r="H953" s="36" t="str">
        <f aca="false">IF(OR(NOT(ISNUMBER($G953)),$G953&lt;2,NOT(ISNUMBER($C952)),$C952=0),"",$C953/$C952-1)</f>
        <v/>
      </c>
      <c r="I953" s="37" t="str">
        <f aca="false">IF(AND(ISNUMBER($G953),$G953&gt;=MA_SHORT),AVERAGE(INDEX($C$553:$C953,402-MA_SHORT):$C953),"")</f>
        <v/>
      </c>
      <c r="J953" s="37" t="str">
        <f aca="false">IF(AND(ISNUMBER($G953),$G953&gt;=MA_MED),AVERAGE(INDEX($C$553:$C953,402-MA_MED):$C953),"")</f>
        <v/>
      </c>
      <c r="K953" s="37" t="str">
        <f aca="false">IF(AND(ISNUMBER($G953),$G953&gt;=MA_LONG2),AVERAGE(INDEX($C$553:$C953,402-MA_LONG2):$C953),"")</f>
        <v/>
      </c>
      <c r="L953" s="38" t="str">
        <f aca="false">IF(AND(ISNUMBER($G953),$G953&gt;=21),STDEV(INDEX($H$893:$H953,62-20):$H953)*SQRT(245),"")</f>
        <v/>
      </c>
      <c r="M953" s="37" t="str">
        <f aca="false">IF(AND(ISNUMBER($G953),$G953&gt;=60),MAX(INDEX($D$753:$D953,202-60):$D953),"")</f>
        <v/>
      </c>
      <c r="N953" s="37" t="str">
        <f aca="false">IF(AND(ISNUMBER($G953),$G953&gt;=60),MIN(INDEX($E$753:$E953,202-60):$E953),"")</f>
        <v/>
      </c>
      <c r="O953" s="38" t="str">
        <f aca="false">IF(OR(NOT(ISNUMBER($C953)),NOT(ISNUMBER($M953)),$M953=0),"",$C953/$M953-1)</f>
        <v/>
      </c>
    </row>
    <row r="954" customFormat="false" ht="15" hidden="false" customHeight="true" outlineLevel="0" collapsed="false">
      <c r="A954" s="39"/>
      <c r="B954" s="40"/>
      <c r="C954" s="41"/>
      <c r="D954" s="40"/>
      <c r="E954" s="40"/>
      <c r="F954" s="40"/>
      <c r="G954" s="35" t="str">
        <f aca="false">IF($A954="","",IF(ISNUMBER($G953),$G953+1,1))</f>
        <v/>
      </c>
      <c r="H954" s="36" t="str">
        <f aca="false">IF(OR(NOT(ISNUMBER($G954)),$G954&lt;2,NOT(ISNUMBER($C953)),$C953=0),"",$C954/$C953-1)</f>
        <v/>
      </c>
      <c r="I954" s="37" t="str">
        <f aca="false">IF(AND(ISNUMBER($G954),$G954&gt;=MA_SHORT),AVERAGE(INDEX($C$554:$C954,402-MA_SHORT):$C954),"")</f>
        <v/>
      </c>
      <c r="J954" s="37" t="str">
        <f aca="false">IF(AND(ISNUMBER($G954),$G954&gt;=MA_MED),AVERAGE(INDEX($C$554:$C954,402-MA_MED):$C954),"")</f>
        <v/>
      </c>
      <c r="K954" s="37" t="str">
        <f aca="false">IF(AND(ISNUMBER($G954),$G954&gt;=MA_LONG2),AVERAGE(INDEX($C$554:$C954,402-MA_LONG2):$C954),"")</f>
        <v/>
      </c>
      <c r="L954" s="38" t="str">
        <f aca="false">IF(AND(ISNUMBER($G954),$G954&gt;=21),STDEV(INDEX($H$894:$H954,62-20):$H954)*SQRT(245),"")</f>
        <v/>
      </c>
      <c r="M954" s="37" t="str">
        <f aca="false">IF(AND(ISNUMBER($G954),$G954&gt;=60),MAX(INDEX($D$754:$D954,202-60):$D954),"")</f>
        <v/>
      </c>
      <c r="N954" s="37" t="str">
        <f aca="false">IF(AND(ISNUMBER($G954),$G954&gt;=60),MIN(INDEX($E$754:$E954,202-60):$E954),"")</f>
        <v/>
      </c>
      <c r="O954" s="38" t="str">
        <f aca="false">IF(OR(NOT(ISNUMBER($C954)),NOT(ISNUMBER($M954)),$M954=0),"",$C954/$M954-1)</f>
        <v/>
      </c>
    </row>
    <row r="955" customFormat="false" ht="15" hidden="false" customHeight="true" outlineLevel="0" collapsed="false">
      <c r="A955" s="39"/>
      <c r="B955" s="40"/>
      <c r="C955" s="41"/>
      <c r="D955" s="40"/>
      <c r="E955" s="40"/>
      <c r="F955" s="40"/>
      <c r="G955" s="35" t="str">
        <f aca="false">IF($A955="","",IF(ISNUMBER($G954),$G954+1,1))</f>
        <v/>
      </c>
      <c r="H955" s="36" t="str">
        <f aca="false">IF(OR(NOT(ISNUMBER($G955)),$G955&lt;2,NOT(ISNUMBER($C954)),$C954=0),"",$C955/$C954-1)</f>
        <v/>
      </c>
      <c r="I955" s="37" t="str">
        <f aca="false">IF(AND(ISNUMBER($G955),$G955&gt;=MA_SHORT),AVERAGE(INDEX($C$555:$C955,402-MA_SHORT):$C955),"")</f>
        <v/>
      </c>
      <c r="J955" s="37" t="str">
        <f aca="false">IF(AND(ISNUMBER($G955),$G955&gt;=MA_MED),AVERAGE(INDEX($C$555:$C955,402-MA_MED):$C955),"")</f>
        <v/>
      </c>
      <c r="K955" s="37" t="str">
        <f aca="false">IF(AND(ISNUMBER($G955),$G955&gt;=MA_LONG2),AVERAGE(INDEX($C$555:$C955,402-MA_LONG2):$C955),"")</f>
        <v/>
      </c>
      <c r="L955" s="38" t="str">
        <f aca="false">IF(AND(ISNUMBER($G955),$G955&gt;=21),STDEV(INDEX($H$895:$H955,62-20):$H955)*SQRT(245),"")</f>
        <v/>
      </c>
      <c r="M955" s="37" t="str">
        <f aca="false">IF(AND(ISNUMBER($G955),$G955&gt;=60),MAX(INDEX($D$755:$D955,202-60):$D955),"")</f>
        <v/>
      </c>
      <c r="N955" s="37" t="str">
        <f aca="false">IF(AND(ISNUMBER($G955),$G955&gt;=60),MIN(INDEX($E$755:$E955,202-60):$E955),"")</f>
        <v/>
      </c>
      <c r="O955" s="38" t="str">
        <f aca="false">IF(OR(NOT(ISNUMBER($C955)),NOT(ISNUMBER($M955)),$M955=0),"",$C955/$M955-1)</f>
        <v/>
      </c>
    </row>
    <row r="956" customFormat="false" ht="15" hidden="false" customHeight="true" outlineLevel="0" collapsed="false">
      <c r="A956" s="39"/>
      <c r="B956" s="40"/>
      <c r="C956" s="41"/>
      <c r="D956" s="40"/>
      <c r="E956" s="40"/>
      <c r="F956" s="40"/>
      <c r="G956" s="35" t="str">
        <f aca="false">IF($A956="","",IF(ISNUMBER($G955),$G955+1,1))</f>
        <v/>
      </c>
      <c r="H956" s="36" t="str">
        <f aca="false">IF(OR(NOT(ISNUMBER($G956)),$G956&lt;2,NOT(ISNUMBER($C955)),$C955=0),"",$C956/$C955-1)</f>
        <v/>
      </c>
      <c r="I956" s="37" t="str">
        <f aca="false">IF(AND(ISNUMBER($G956),$G956&gt;=MA_SHORT),AVERAGE(INDEX($C$556:$C956,402-MA_SHORT):$C956),"")</f>
        <v/>
      </c>
      <c r="J956" s="37" t="str">
        <f aca="false">IF(AND(ISNUMBER($G956),$G956&gt;=MA_MED),AVERAGE(INDEX($C$556:$C956,402-MA_MED):$C956),"")</f>
        <v/>
      </c>
      <c r="K956" s="37" t="str">
        <f aca="false">IF(AND(ISNUMBER($G956),$G956&gt;=MA_LONG2),AVERAGE(INDEX($C$556:$C956,402-MA_LONG2):$C956),"")</f>
        <v/>
      </c>
      <c r="L956" s="38" t="str">
        <f aca="false">IF(AND(ISNUMBER($G956),$G956&gt;=21),STDEV(INDEX($H$896:$H956,62-20):$H956)*SQRT(245),"")</f>
        <v/>
      </c>
      <c r="M956" s="37" t="str">
        <f aca="false">IF(AND(ISNUMBER($G956),$G956&gt;=60),MAX(INDEX($D$756:$D956,202-60):$D956),"")</f>
        <v/>
      </c>
      <c r="N956" s="37" t="str">
        <f aca="false">IF(AND(ISNUMBER($G956),$G956&gt;=60),MIN(INDEX($E$756:$E956,202-60):$E956),"")</f>
        <v/>
      </c>
      <c r="O956" s="38" t="str">
        <f aca="false">IF(OR(NOT(ISNUMBER($C956)),NOT(ISNUMBER($M956)),$M956=0),"",$C956/$M956-1)</f>
        <v/>
      </c>
    </row>
    <row r="957" customFormat="false" ht="15" hidden="false" customHeight="true" outlineLevel="0" collapsed="false">
      <c r="A957" s="39"/>
      <c r="B957" s="40"/>
      <c r="C957" s="41"/>
      <c r="D957" s="40"/>
      <c r="E957" s="40"/>
      <c r="F957" s="40"/>
      <c r="G957" s="35" t="str">
        <f aca="false">IF($A957="","",IF(ISNUMBER($G956),$G956+1,1))</f>
        <v/>
      </c>
      <c r="H957" s="36" t="str">
        <f aca="false">IF(OR(NOT(ISNUMBER($G957)),$G957&lt;2,NOT(ISNUMBER($C956)),$C956=0),"",$C957/$C956-1)</f>
        <v/>
      </c>
      <c r="I957" s="37" t="str">
        <f aca="false">IF(AND(ISNUMBER($G957),$G957&gt;=MA_SHORT),AVERAGE(INDEX($C$557:$C957,402-MA_SHORT):$C957),"")</f>
        <v/>
      </c>
      <c r="J957" s="37" t="str">
        <f aca="false">IF(AND(ISNUMBER($G957),$G957&gt;=MA_MED),AVERAGE(INDEX($C$557:$C957,402-MA_MED):$C957),"")</f>
        <v/>
      </c>
      <c r="K957" s="37" t="str">
        <f aca="false">IF(AND(ISNUMBER($G957),$G957&gt;=MA_LONG2),AVERAGE(INDEX($C$557:$C957,402-MA_LONG2):$C957),"")</f>
        <v/>
      </c>
      <c r="L957" s="38" t="str">
        <f aca="false">IF(AND(ISNUMBER($G957),$G957&gt;=21),STDEV(INDEX($H$897:$H957,62-20):$H957)*SQRT(245),"")</f>
        <v/>
      </c>
      <c r="M957" s="37" t="str">
        <f aca="false">IF(AND(ISNUMBER($G957),$G957&gt;=60),MAX(INDEX($D$757:$D957,202-60):$D957),"")</f>
        <v/>
      </c>
      <c r="N957" s="37" t="str">
        <f aca="false">IF(AND(ISNUMBER($G957),$G957&gt;=60),MIN(INDEX($E$757:$E957,202-60):$E957),"")</f>
        <v/>
      </c>
      <c r="O957" s="38" t="str">
        <f aca="false">IF(OR(NOT(ISNUMBER($C957)),NOT(ISNUMBER($M957)),$M957=0),"",$C957/$M957-1)</f>
        <v/>
      </c>
    </row>
    <row r="958" customFormat="false" ht="15" hidden="false" customHeight="true" outlineLevel="0" collapsed="false">
      <c r="A958" s="39"/>
      <c r="B958" s="40"/>
      <c r="C958" s="41"/>
      <c r="D958" s="40"/>
      <c r="E958" s="40"/>
      <c r="F958" s="40"/>
      <c r="G958" s="35" t="str">
        <f aca="false">IF($A958="","",IF(ISNUMBER($G957),$G957+1,1))</f>
        <v/>
      </c>
      <c r="H958" s="36" t="str">
        <f aca="false">IF(OR(NOT(ISNUMBER($G958)),$G958&lt;2,NOT(ISNUMBER($C957)),$C957=0),"",$C958/$C957-1)</f>
        <v/>
      </c>
      <c r="I958" s="37" t="str">
        <f aca="false">IF(AND(ISNUMBER($G958),$G958&gt;=MA_SHORT),AVERAGE(INDEX($C$558:$C958,402-MA_SHORT):$C958),"")</f>
        <v/>
      </c>
      <c r="J958" s="37" t="str">
        <f aca="false">IF(AND(ISNUMBER($G958),$G958&gt;=MA_MED),AVERAGE(INDEX($C$558:$C958,402-MA_MED):$C958),"")</f>
        <v/>
      </c>
      <c r="K958" s="37" t="str">
        <f aca="false">IF(AND(ISNUMBER($G958),$G958&gt;=MA_LONG2),AVERAGE(INDEX($C$558:$C958,402-MA_LONG2):$C958),"")</f>
        <v/>
      </c>
      <c r="L958" s="38" t="str">
        <f aca="false">IF(AND(ISNUMBER($G958),$G958&gt;=21),STDEV(INDEX($H$898:$H958,62-20):$H958)*SQRT(245),"")</f>
        <v/>
      </c>
      <c r="M958" s="37" t="str">
        <f aca="false">IF(AND(ISNUMBER($G958),$G958&gt;=60),MAX(INDEX($D$758:$D958,202-60):$D958),"")</f>
        <v/>
      </c>
      <c r="N958" s="37" t="str">
        <f aca="false">IF(AND(ISNUMBER($G958),$G958&gt;=60),MIN(INDEX($E$758:$E958,202-60):$E958),"")</f>
        <v/>
      </c>
      <c r="O958" s="38" t="str">
        <f aca="false">IF(OR(NOT(ISNUMBER($C958)),NOT(ISNUMBER($M958)),$M958=0),"",$C958/$M958-1)</f>
        <v/>
      </c>
    </row>
    <row r="959" customFormat="false" ht="15" hidden="false" customHeight="true" outlineLevel="0" collapsed="false">
      <c r="A959" s="39"/>
      <c r="B959" s="40"/>
      <c r="C959" s="41"/>
      <c r="D959" s="40"/>
      <c r="E959" s="40"/>
      <c r="F959" s="40"/>
      <c r="G959" s="35" t="str">
        <f aca="false">IF($A959="","",IF(ISNUMBER($G958),$G958+1,1))</f>
        <v/>
      </c>
      <c r="H959" s="36" t="str">
        <f aca="false">IF(OR(NOT(ISNUMBER($G959)),$G959&lt;2,NOT(ISNUMBER($C958)),$C958=0),"",$C959/$C958-1)</f>
        <v/>
      </c>
      <c r="I959" s="37" t="str">
        <f aca="false">IF(AND(ISNUMBER($G959),$G959&gt;=MA_SHORT),AVERAGE(INDEX($C$559:$C959,402-MA_SHORT):$C959),"")</f>
        <v/>
      </c>
      <c r="J959" s="37" t="str">
        <f aca="false">IF(AND(ISNUMBER($G959),$G959&gt;=MA_MED),AVERAGE(INDEX($C$559:$C959,402-MA_MED):$C959),"")</f>
        <v/>
      </c>
      <c r="K959" s="37" t="str">
        <f aca="false">IF(AND(ISNUMBER($G959),$G959&gt;=MA_LONG2),AVERAGE(INDEX($C$559:$C959,402-MA_LONG2):$C959),"")</f>
        <v/>
      </c>
      <c r="L959" s="38" t="str">
        <f aca="false">IF(AND(ISNUMBER($G959),$G959&gt;=21),STDEV(INDEX($H$899:$H959,62-20):$H959)*SQRT(245),"")</f>
        <v/>
      </c>
      <c r="M959" s="37" t="str">
        <f aca="false">IF(AND(ISNUMBER($G959),$G959&gt;=60),MAX(INDEX($D$759:$D959,202-60):$D959),"")</f>
        <v/>
      </c>
      <c r="N959" s="37" t="str">
        <f aca="false">IF(AND(ISNUMBER($G959),$G959&gt;=60),MIN(INDEX($E$759:$E959,202-60):$E959),"")</f>
        <v/>
      </c>
      <c r="O959" s="38" t="str">
        <f aca="false">IF(OR(NOT(ISNUMBER($C959)),NOT(ISNUMBER($M959)),$M959=0),"",$C959/$M959-1)</f>
        <v/>
      </c>
    </row>
    <row r="960" customFormat="false" ht="15" hidden="false" customHeight="true" outlineLevel="0" collapsed="false">
      <c r="A960" s="39"/>
      <c r="B960" s="40"/>
      <c r="C960" s="41"/>
      <c r="D960" s="40"/>
      <c r="E960" s="40"/>
      <c r="F960" s="40"/>
      <c r="G960" s="35" t="str">
        <f aca="false">IF($A960="","",IF(ISNUMBER($G959),$G959+1,1))</f>
        <v/>
      </c>
      <c r="H960" s="36" t="str">
        <f aca="false">IF(OR(NOT(ISNUMBER($G960)),$G960&lt;2,NOT(ISNUMBER($C959)),$C959=0),"",$C960/$C959-1)</f>
        <v/>
      </c>
      <c r="I960" s="37" t="str">
        <f aca="false">IF(AND(ISNUMBER($G960),$G960&gt;=MA_SHORT),AVERAGE(INDEX($C$560:$C960,402-MA_SHORT):$C960),"")</f>
        <v/>
      </c>
      <c r="J960" s="37" t="str">
        <f aca="false">IF(AND(ISNUMBER($G960),$G960&gt;=MA_MED),AVERAGE(INDEX($C$560:$C960,402-MA_MED):$C960),"")</f>
        <v/>
      </c>
      <c r="K960" s="37" t="str">
        <f aca="false">IF(AND(ISNUMBER($G960),$G960&gt;=MA_LONG2),AVERAGE(INDEX($C$560:$C960,402-MA_LONG2):$C960),"")</f>
        <v/>
      </c>
      <c r="L960" s="38" t="str">
        <f aca="false">IF(AND(ISNUMBER($G960),$G960&gt;=21),STDEV(INDEX($H$900:$H960,62-20):$H960)*SQRT(245),"")</f>
        <v/>
      </c>
      <c r="M960" s="37" t="str">
        <f aca="false">IF(AND(ISNUMBER($G960),$G960&gt;=60),MAX(INDEX($D$760:$D960,202-60):$D960),"")</f>
        <v/>
      </c>
      <c r="N960" s="37" t="str">
        <f aca="false">IF(AND(ISNUMBER($G960),$G960&gt;=60),MIN(INDEX($E$760:$E960,202-60):$E960),"")</f>
        <v/>
      </c>
      <c r="O960" s="38" t="str">
        <f aca="false">IF(OR(NOT(ISNUMBER($C960)),NOT(ISNUMBER($M960)),$M960=0),"",$C960/$M960-1)</f>
        <v/>
      </c>
    </row>
    <row r="961" customFormat="false" ht="15" hidden="false" customHeight="true" outlineLevel="0" collapsed="false">
      <c r="A961" s="39"/>
      <c r="B961" s="40"/>
      <c r="C961" s="41"/>
      <c r="D961" s="40"/>
      <c r="E961" s="40"/>
      <c r="F961" s="40"/>
      <c r="G961" s="35" t="str">
        <f aca="false">IF($A961="","",IF(ISNUMBER($G960),$G960+1,1))</f>
        <v/>
      </c>
      <c r="H961" s="36" t="str">
        <f aca="false">IF(OR(NOT(ISNUMBER($G961)),$G961&lt;2,NOT(ISNUMBER($C960)),$C960=0),"",$C961/$C960-1)</f>
        <v/>
      </c>
      <c r="I961" s="37" t="str">
        <f aca="false">IF(AND(ISNUMBER($G961),$G961&gt;=MA_SHORT),AVERAGE(INDEX($C$561:$C961,402-MA_SHORT):$C961),"")</f>
        <v/>
      </c>
      <c r="J961" s="37" t="str">
        <f aca="false">IF(AND(ISNUMBER($G961),$G961&gt;=MA_MED),AVERAGE(INDEX($C$561:$C961,402-MA_MED):$C961),"")</f>
        <v/>
      </c>
      <c r="K961" s="37" t="str">
        <f aca="false">IF(AND(ISNUMBER($G961),$G961&gt;=MA_LONG2),AVERAGE(INDEX($C$561:$C961,402-MA_LONG2):$C961),"")</f>
        <v/>
      </c>
      <c r="L961" s="38" t="str">
        <f aca="false">IF(AND(ISNUMBER($G961),$G961&gt;=21),STDEV(INDEX($H$901:$H961,62-20):$H961)*SQRT(245),"")</f>
        <v/>
      </c>
      <c r="M961" s="37" t="str">
        <f aca="false">IF(AND(ISNUMBER($G961),$G961&gt;=60),MAX(INDEX($D$761:$D961,202-60):$D961),"")</f>
        <v/>
      </c>
      <c r="N961" s="37" t="str">
        <f aca="false">IF(AND(ISNUMBER($G961),$G961&gt;=60),MIN(INDEX($E$761:$E961,202-60):$E961),"")</f>
        <v/>
      </c>
      <c r="O961" s="38" t="str">
        <f aca="false">IF(OR(NOT(ISNUMBER($C961)),NOT(ISNUMBER($M961)),$M961=0),"",$C961/$M961-1)</f>
        <v/>
      </c>
    </row>
    <row r="962" customFormat="false" ht="15" hidden="false" customHeight="true" outlineLevel="0" collapsed="false">
      <c r="A962" s="39"/>
      <c r="B962" s="40"/>
      <c r="C962" s="41"/>
      <c r="D962" s="40"/>
      <c r="E962" s="40"/>
      <c r="F962" s="40"/>
      <c r="G962" s="35" t="str">
        <f aca="false">IF($A962="","",IF(ISNUMBER($G961),$G961+1,1))</f>
        <v/>
      </c>
      <c r="H962" s="36" t="str">
        <f aca="false">IF(OR(NOT(ISNUMBER($G962)),$G962&lt;2,NOT(ISNUMBER($C961)),$C961=0),"",$C962/$C961-1)</f>
        <v/>
      </c>
      <c r="I962" s="37" t="str">
        <f aca="false">IF(AND(ISNUMBER($G962),$G962&gt;=MA_SHORT),AVERAGE(INDEX($C$562:$C962,402-MA_SHORT):$C962),"")</f>
        <v/>
      </c>
      <c r="J962" s="37" t="str">
        <f aca="false">IF(AND(ISNUMBER($G962),$G962&gt;=MA_MED),AVERAGE(INDEX($C$562:$C962,402-MA_MED):$C962),"")</f>
        <v/>
      </c>
      <c r="K962" s="37" t="str">
        <f aca="false">IF(AND(ISNUMBER($G962),$G962&gt;=MA_LONG2),AVERAGE(INDEX($C$562:$C962,402-MA_LONG2):$C962),"")</f>
        <v/>
      </c>
      <c r="L962" s="38" t="str">
        <f aca="false">IF(AND(ISNUMBER($G962),$G962&gt;=21),STDEV(INDEX($H$902:$H962,62-20):$H962)*SQRT(245),"")</f>
        <v/>
      </c>
      <c r="M962" s="37" t="str">
        <f aca="false">IF(AND(ISNUMBER($G962),$G962&gt;=60),MAX(INDEX($D$762:$D962,202-60):$D962),"")</f>
        <v/>
      </c>
      <c r="N962" s="37" t="str">
        <f aca="false">IF(AND(ISNUMBER($G962),$G962&gt;=60),MIN(INDEX($E$762:$E962,202-60):$E962),"")</f>
        <v/>
      </c>
      <c r="O962" s="38" t="str">
        <f aca="false">IF(OR(NOT(ISNUMBER($C962)),NOT(ISNUMBER($M962)),$M962=0),"",$C962/$M962-1)</f>
        <v/>
      </c>
    </row>
    <row r="963" customFormat="false" ht="15" hidden="false" customHeight="true" outlineLevel="0" collapsed="false">
      <c r="A963" s="39"/>
      <c r="B963" s="40"/>
      <c r="C963" s="41"/>
      <c r="D963" s="40"/>
      <c r="E963" s="40"/>
      <c r="F963" s="40"/>
      <c r="G963" s="35" t="str">
        <f aca="false">IF($A963="","",IF(ISNUMBER($G962),$G962+1,1))</f>
        <v/>
      </c>
      <c r="H963" s="36" t="str">
        <f aca="false">IF(OR(NOT(ISNUMBER($G963)),$G963&lt;2,NOT(ISNUMBER($C962)),$C962=0),"",$C963/$C962-1)</f>
        <v/>
      </c>
      <c r="I963" s="37" t="str">
        <f aca="false">IF(AND(ISNUMBER($G963),$G963&gt;=MA_SHORT),AVERAGE(INDEX($C$563:$C963,402-MA_SHORT):$C963),"")</f>
        <v/>
      </c>
      <c r="J963" s="37" t="str">
        <f aca="false">IF(AND(ISNUMBER($G963),$G963&gt;=MA_MED),AVERAGE(INDEX($C$563:$C963,402-MA_MED):$C963),"")</f>
        <v/>
      </c>
      <c r="K963" s="37" t="str">
        <f aca="false">IF(AND(ISNUMBER($G963),$G963&gt;=MA_LONG2),AVERAGE(INDEX($C$563:$C963,402-MA_LONG2):$C963),"")</f>
        <v/>
      </c>
      <c r="L963" s="38" t="str">
        <f aca="false">IF(AND(ISNUMBER($G963),$G963&gt;=21),STDEV(INDEX($H$903:$H963,62-20):$H963)*SQRT(245),"")</f>
        <v/>
      </c>
      <c r="M963" s="37" t="str">
        <f aca="false">IF(AND(ISNUMBER($G963),$G963&gt;=60),MAX(INDEX($D$763:$D963,202-60):$D963),"")</f>
        <v/>
      </c>
      <c r="N963" s="37" t="str">
        <f aca="false">IF(AND(ISNUMBER($G963),$G963&gt;=60),MIN(INDEX($E$763:$E963,202-60):$E963),"")</f>
        <v/>
      </c>
      <c r="O963" s="38" t="str">
        <f aca="false">IF(OR(NOT(ISNUMBER($C963)),NOT(ISNUMBER($M963)),$M963=0),"",$C963/$M963-1)</f>
        <v/>
      </c>
    </row>
    <row r="964" customFormat="false" ht="15" hidden="false" customHeight="true" outlineLevel="0" collapsed="false">
      <c r="A964" s="39"/>
      <c r="B964" s="40"/>
      <c r="C964" s="41"/>
      <c r="D964" s="40"/>
      <c r="E964" s="40"/>
      <c r="F964" s="40"/>
      <c r="G964" s="35" t="str">
        <f aca="false">IF($A964="","",IF(ISNUMBER($G963),$G963+1,1))</f>
        <v/>
      </c>
      <c r="H964" s="36" t="str">
        <f aca="false">IF(OR(NOT(ISNUMBER($G964)),$G964&lt;2,NOT(ISNUMBER($C963)),$C963=0),"",$C964/$C963-1)</f>
        <v/>
      </c>
      <c r="I964" s="37" t="str">
        <f aca="false">IF(AND(ISNUMBER($G964),$G964&gt;=MA_SHORT),AVERAGE(INDEX($C$564:$C964,402-MA_SHORT):$C964),"")</f>
        <v/>
      </c>
      <c r="J964" s="37" t="str">
        <f aca="false">IF(AND(ISNUMBER($G964),$G964&gt;=MA_MED),AVERAGE(INDEX($C$564:$C964,402-MA_MED):$C964),"")</f>
        <v/>
      </c>
      <c r="K964" s="37" t="str">
        <f aca="false">IF(AND(ISNUMBER($G964),$G964&gt;=MA_LONG2),AVERAGE(INDEX($C$564:$C964,402-MA_LONG2):$C964),"")</f>
        <v/>
      </c>
      <c r="L964" s="38" t="str">
        <f aca="false">IF(AND(ISNUMBER($G964),$G964&gt;=21),STDEV(INDEX($H$904:$H964,62-20):$H964)*SQRT(245),"")</f>
        <v/>
      </c>
      <c r="M964" s="37" t="str">
        <f aca="false">IF(AND(ISNUMBER($G964),$G964&gt;=60),MAX(INDEX($D$764:$D964,202-60):$D964),"")</f>
        <v/>
      </c>
      <c r="N964" s="37" t="str">
        <f aca="false">IF(AND(ISNUMBER($G964),$G964&gt;=60),MIN(INDEX($E$764:$E964,202-60):$E964),"")</f>
        <v/>
      </c>
      <c r="O964" s="38" t="str">
        <f aca="false">IF(OR(NOT(ISNUMBER($C964)),NOT(ISNUMBER($M964)),$M964=0),"",$C964/$M964-1)</f>
        <v/>
      </c>
    </row>
    <row r="965" customFormat="false" ht="15" hidden="false" customHeight="true" outlineLevel="0" collapsed="false">
      <c r="A965" s="39"/>
      <c r="B965" s="40"/>
      <c r="C965" s="41"/>
      <c r="D965" s="40"/>
      <c r="E965" s="40"/>
      <c r="F965" s="40"/>
      <c r="G965" s="35" t="str">
        <f aca="false">IF($A965="","",IF(ISNUMBER($G964),$G964+1,1))</f>
        <v/>
      </c>
      <c r="H965" s="36" t="str">
        <f aca="false">IF(OR(NOT(ISNUMBER($G965)),$G965&lt;2,NOT(ISNUMBER($C964)),$C964=0),"",$C965/$C964-1)</f>
        <v/>
      </c>
      <c r="I965" s="37" t="str">
        <f aca="false">IF(AND(ISNUMBER($G965),$G965&gt;=MA_SHORT),AVERAGE(INDEX($C$565:$C965,402-MA_SHORT):$C965),"")</f>
        <v/>
      </c>
      <c r="J965" s="37" t="str">
        <f aca="false">IF(AND(ISNUMBER($G965),$G965&gt;=MA_MED),AVERAGE(INDEX($C$565:$C965,402-MA_MED):$C965),"")</f>
        <v/>
      </c>
      <c r="K965" s="37" t="str">
        <f aca="false">IF(AND(ISNUMBER($G965),$G965&gt;=MA_LONG2),AVERAGE(INDEX($C$565:$C965,402-MA_LONG2):$C965),"")</f>
        <v/>
      </c>
      <c r="L965" s="38" t="str">
        <f aca="false">IF(AND(ISNUMBER($G965),$G965&gt;=21),STDEV(INDEX($H$905:$H965,62-20):$H965)*SQRT(245),"")</f>
        <v/>
      </c>
      <c r="M965" s="37" t="str">
        <f aca="false">IF(AND(ISNUMBER($G965),$G965&gt;=60),MAX(INDEX($D$765:$D965,202-60):$D965),"")</f>
        <v/>
      </c>
      <c r="N965" s="37" t="str">
        <f aca="false">IF(AND(ISNUMBER($G965),$G965&gt;=60),MIN(INDEX($E$765:$E965,202-60):$E965),"")</f>
        <v/>
      </c>
      <c r="O965" s="38" t="str">
        <f aca="false">IF(OR(NOT(ISNUMBER($C965)),NOT(ISNUMBER($M965)),$M965=0),"",$C965/$M965-1)</f>
        <v/>
      </c>
    </row>
    <row r="966" customFormat="false" ht="15" hidden="false" customHeight="true" outlineLevel="0" collapsed="false">
      <c r="A966" s="39"/>
      <c r="B966" s="40"/>
      <c r="C966" s="41"/>
      <c r="D966" s="40"/>
      <c r="E966" s="40"/>
      <c r="F966" s="40"/>
      <c r="G966" s="35" t="str">
        <f aca="false">IF($A966="","",IF(ISNUMBER($G965),$G965+1,1))</f>
        <v/>
      </c>
      <c r="H966" s="36" t="str">
        <f aca="false">IF(OR(NOT(ISNUMBER($G966)),$G966&lt;2,NOT(ISNUMBER($C965)),$C965=0),"",$C966/$C965-1)</f>
        <v/>
      </c>
      <c r="I966" s="37" t="str">
        <f aca="false">IF(AND(ISNUMBER($G966),$G966&gt;=MA_SHORT),AVERAGE(INDEX($C$566:$C966,402-MA_SHORT):$C966),"")</f>
        <v/>
      </c>
      <c r="J966" s="37" t="str">
        <f aca="false">IF(AND(ISNUMBER($G966),$G966&gt;=MA_MED),AVERAGE(INDEX($C$566:$C966,402-MA_MED):$C966),"")</f>
        <v/>
      </c>
      <c r="K966" s="37" t="str">
        <f aca="false">IF(AND(ISNUMBER($G966),$G966&gt;=MA_LONG2),AVERAGE(INDEX($C$566:$C966,402-MA_LONG2):$C966),"")</f>
        <v/>
      </c>
      <c r="L966" s="38" t="str">
        <f aca="false">IF(AND(ISNUMBER($G966),$G966&gt;=21),STDEV(INDEX($H$906:$H966,62-20):$H966)*SQRT(245),"")</f>
        <v/>
      </c>
      <c r="M966" s="37" t="str">
        <f aca="false">IF(AND(ISNUMBER($G966),$G966&gt;=60),MAX(INDEX($D$766:$D966,202-60):$D966),"")</f>
        <v/>
      </c>
      <c r="N966" s="37" t="str">
        <f aca="false">IF(AND(ISNUMBER($G966),$G966&gt;=60),MIN(INDEX($E$766:$E966,202-60):$E966),"")</f>
        <v/>
      </c>
      <c r="O966" s="38" t="str">
        <f aca="false">IF(OR(NOT(ISNUMBER($C966)),NOT(ISNUMBER($M966)),$M966=0),"",$C966/$M966-1)</f>
        <v/>
      </c>
    </row>
    <row r="967" customFormat="false" ht="15" hidden="false" customHeight="true" outlineLevel="0" collapsed="false">
      <c r="A967" s="39"/>
      <c r="B967" s="40"/>
      <c r="C967" s="41"/>
      <c r="D967" s="40"/>
      <c r="E967" s="40"/>
      <c r="F967" s="40"/>
      <c r="G967" s="35" t="str">
        <f aca="false">IF($A967="","",IF(ISNUMBER($G966),$G966+1,1))</f>
        <v/>
      </c>
      <c r="H967" s="36" t="str">
        <f aca="false">IF(OR(NOT(ISNUMBER($G967)),$G967&lt;2,NOT(ISNUMBER($C966)),$C966=0),"",$C967/$C966-1)</f>
        <v/>
      </c>
      <c r="I967" s="37" t="str">
        <f aca="false">IF(AND(ISNUMBER($G967),$G967&gt;=MA_SHORT),AVERAGE(INDEX($C$567:$C967,402-MA_SHORT):$C967),"")</f>
        <v/>
      </c>
      <c r="J967" s="37" t="str">
        <f aca="false">IF(AND(ISNUMBER($G967),$G967&gt;=MA_MED),AVERAGE(INDEX($C$567:$C967,402-MA_MED):$C967),"")</f>
        <v/>
      </c>
      <c r="K967" s="37" t="str">
        <f aca="false">IF(AND(ISNUMBER($G967),$G967&gt;=MA_LONG2),AVERAGE(INDEX($C$567:$C967,402-MA_LONG2):$C967),"")</f>
        <v/>
      </c>
      <c r="L967" s="38" t="str">
        <f aca="false">IF(AND(ISNUMBER($G967),$G967&gt;=21),STDEV(INDEX($H$907:$H967,62-20):$H967)*SQRT(245),"")</f>
        <v/>
      </c>
      <c r="M967" s="37" t="str">
        <f aca="false">IF(AND(ISNUMBER($G967),$G967&gt;=60),MAX(INDEX($D$767:$D967,202-60):$D967),"")</f>
        <v/>
      </c>
      <c r="N967" s="37" t="str">
        <f aca="false">IF(AND(ISNUMBER($G967),$G967&gt;=60),MIN(INDEX($E$767:$E967,202-60):$E967),"")</f>
        <v/>
      </c>
      <c r="O967" s="38" t="str">
        <f aca="false">IF(OR(NOT(ISNUMBER($C967)),NOT(ISNUMBER($M967)),$M967=0),"",$C967/$M967-1)</f>
        <v/>
      </c>
    </row>
    <row r="968" customFormat="false" ht="15" hidden="false" customHeight="true" outlineLevel="0" collapsed="false">
      <c r="A968" s="39"/>
      <c r="B968" s="40"/>
      <c r="C968" s="41"/>
      <c r="D968" s="40"/>
      <c r="E968" s="40"/>
      <c r="F968" s="40"/>
      <c r="G968" s="35" t="str">
        <f aca="false">IF($A968="","",IF(ISNUMBER($G967),$G967+1,1))</f>
        <v/>
      </c>
      <c r="H968" s="36" t="str">
        <f aca="false">IF(OR(NOT(ISNUMBER($G968)),$G968&lt;2,NOT(ISNUMBER($C967)),$C967=0),"",$C968/$C967-1)</f>
        <v/>
      </c>
      <c r="I968" s="37" t="str">
        <f aca="false">IF(AND(ISNUMBER($G968),$G968&gt;=MA_SHORT),AVERAGE(INDEX($C$568:$C968,402-MA_SHORT):$C968),"")</f>
        <v/>
      </c>
      <c r="J968" s="37" t="str">
        <f aca="false">IF(AND(ISNUMBER($G968),$G968&gt;=MA_MED),AVERAGE(INDEX($C$568:$C968,402-MA_MED):$C968),"")</f>
        <v/>
      </c>
      <c r="K968" s="37" t="str">
        <f aca="false">IF(AND(ISNUMBER($G968),$G968&gt;=MA_LONG2),AVERAGE(INDEX($C$568:$C968,402-MA_LONG2):$C968),"")</f>
        <v/>
      </c>
      <c r="L968" s="38" t="str">
        <f aca="false">IF(AND(ISNUMBER($G968),$G968&gt;=21),STDEV(INDEX($H$908:$H968,62-20):$H968)*SQRT(245),"")</f>
        <v/>
      </c>
      <c r="M968" s="37" t="str">
        <f aca="false">IF(AND(ISNUMBER($G968),$G968&gt;=60),MAX(INDEX($D$768:$D968,202-60):$D968),"")</f>
        <v/>
      </c>
      <c r="N968" s="37" t="str">
        <f aca="false">IF(AND(ISNUMBER($G968),$G968&gt;=60),MIN(INDEX($E$768:$E968,202-60):$E968),"")</f>
        <v/>
      </c>
      <c r="O968" s="38" t="str">
        <f aca="false">IF(OR(NOT(ISNUMBER($C968)),NOT(ISNUMBER($M968)),$M968=0),"",$C968/$M968-1)</f>
        <v/>
      </c>
    </row>
    <row r="969" customFormat="false" ht="15" hidden="false" customHeight="true" outlineLevel="0" collapsed="false">
      <c r="A969" s="39"/>
      <c r="B969" s="40"/>
      <c r="C969" s="41"/>
      <c r="D969" s="40"/>
      <c r="E969" s="40"/>
      <c r="F969" s="40"/>
      <c r="G969" s="35" t="str">
        <f aca="false">IF($A969="","",IF(ISNUMBER($G968),$G968+1,1))</f>
        <v/>
      </c>
      <c r="H969" s="36" t="str">
        <f aca="false">IF(OR(NOT(ISNUMBER($G969)),$G969&lt;2,NOT(ISNUMBER($C968)),$C968=0),"",$C969/$C968-1)</f>
        <v/>
      </c>
      <c r="I969" s="37" t="str">
        <f aca="false">IF(AND(ISNUMBER($G969),$G969&gt;=MA_SHORT),AVERAGE(INDEX($C$569:$C969,402-MA_SHORT):$C969),"")</f>
        <v/>
      </c>
      <c r="J969" s="37" t="str">
        <f aca="false">IF(AND(ISNUMBER($G969),$G969&gt;=MA_MED),AVERAGE(INDEX($C$569:$C969,402-MA_MED):$C969),"")</f>
        <v/>
      </c>
      <c r="K969" s="37" t="str">
        <f aca="false">IF(AND(ISNUMBER($G969),$G969&gt;=MA_LONG2),AVERAGE(INDEX($C$569:$C969,402-MA_LONG2):$C969),"")</f>
        <v/>
      </c>
      <c r="L969" s="38" t="str">
        <f aca="false">IF(AND(ISNUMBER($G969),$G969&gt;=21),STDEV(INDEX($H$909:$H969,62-20):$H969)*SQRT(245),"")</f>
        <v/>
      </c>
      <c r="M969" s="37" t="str">
        <f aca="false">IF(AND(ISNUMBER($G969),$G969&gt;=60),MAX(INDEX($D$769:$D969,202-60):$D969),"")</f>
        <v/>
      </c>
      <c r="N969" s="37" t="str">
        <f aca="false">IF(AND(ISNUMBER($G969),$G969&gt;=60),MIN(INDEX($E$769:$E969,202-60):$E969),"")</f>
        <v/>
      </c>
      <c r="O969" s="38" t="str">
        <f aca="false">IF(OR(NOT(ISNUMBER($C969)),NOT(ISNUMBER($M969)),$M969=0),"",$C969/$M969-1)</f>
        <v/>
      </c>
    </row>
    <row r="970" customFormat="false" ht="15" hidden="false" customHeight="true" outlineLevel="0" collapsed="false">
      <c r="A970" s="39"/>
      <c r="B970" s="40"/>
      <c r="C970" s="41"/>
      <c r="D970" s="40"/>
      <c r="E970" s="40"/>
      <c r="F970" s="40"/>
      <c r="G970" s="35" t="str">
        <f aca="false">IF($A970="","",IF(ISNUMBER($G969),$G969+1,1))</f>
        <v/>
      </c>
      <c r="H970" s="36" t="str">
        <f aca="false">IF(OR(NOT(ISNUMBER($G970)),$G970&lt;2,NOT(ISNUMBER($C969)),$C969=0),"",$C970/$C969-1)</f>
        <v/>
      </c>
      <c r="I970" s="37" t="str">
        <f aca="false">IF(AND(ISNUMBER($G970),$G970&gt;=MA_SHORT),AVERAGE(INDEX($C$570:$C970,402-MA_SHORT):$C970),"")</f>
        <v/>
      </c>
      <c r="J970" s="37" t="str">
        <f aca="false">IF(AND(ISNUMBER($G970),$G970&gt;=MA_MED),AVERAGE(INDEX($C$570:$C970,402-MA_MED):$C970),"")</f>
        <v/>
      </c>
      <c r="K970" s="37" t="str">
        <f aca="false">IF(AND(ISNUMBER($G970),$G970&gt;=MA_LONG2),AVERAGE(INDEX($C$570:$C970,402-MA_LONG2):$C970),"")</f>
        <v/>
      </c>
      <c r="L970" s="38" t="str">
        <f aca="false">IF(AND(ISNUMBER($G970),$G970&gt;=21),STDEV(INDEX($H$910:$H970,62-20):$H970)*SQRT(245),"")</f>
        <v/>
      </c>
      <c r="M970" s="37" t="str">
        <f aca="false">IF(AND(ISNUMBER($G970),$G970&gt;=60),MAX(INDEX($D$770:$D970,202-60):$D970),"")</f>
        <v/>
      </c>
      <c r="N970" s="37" t="str">
        <f aca="false">IF(AND(ISNUMBER($G970),$G970&gt;=60),MIN(INDEX($E$770:$E970,202-60):$E970),"")</f>
        <v/>
      </c>
      <c r="O970" s="38" t="str">
        <f aca="false">IF(OR(NOT(ISNUMBER($C970)),NOT(ISNUMBER($M970)),$M970=0),"",$C970/$M970-1)</f>
        <v/>
      </c>
    </row>
    <row r="971" customFormat="false" ht="15" hidden="false" customHeight="true" outlineLevel="0" collapsed="false">
      <c r="A971" s="39"/>
      <c r="B971" s="40"/>
      <c r="C971" s="41"/>
      <c r="D971" s="40"/>
      <c r="E971" s="40"/>
      <c r="F971" s="40"/>
      <c r="G971" s="35" t="str">
        <f aca="false">IF($A971="","",IF(ISNUMBER($G970),$G970+1,1))</f>
        <v/>
      </c>
      <c r="H971" s="36" t="str">
        <f aca="false">IF(OR(NOT(ISNUMBER($G971)),$G971&lt;2,NOT(ISNUMBER($C970)),$C970=0),"",$C971/$C970-1)</f>
        <v/>
      </c>
      <c r="I971" s="37" t="str">
        <f aca="false">IF(AND(ISNUMBER($G971),$G971&gt;=MA_SHORT),AVERAGE(INDEX($C$571:$C971,402-MA_SHORT):$C971),"")</f>
        <v/>
      </c>
      <c r="J971" s="37" t="str">
        <f aca="false">IF(AND(ISNUMBER($G971),$G971&gt;=MA_MED),AVERAGE(INDEX($C$571:$C971,402-MA_MED):$C971),"")</f>
        <v/>
      </c>
      <c r="K971" s="37" t="str">
        <f aca="false">IF(AND(ISNUMBER($G971),$G971&gt;=MA_LONG2),AVERAGE(INDEX($C$571:$C971,402-MA_LONG2):$C971),"")</f>
        <v/>
      </c>
      <c r="L971" s="38" t="str">
        <f aca="false">IF(AND(ISNUMBER($G971),$G971&gt;=21),STDEV(INDEX($H$911:$H971,62-20):$H971)*SQRT(245),"")</f>
        <v/>
      </c>
      <c r="M971" s="37" t="str">
        <f aca="false">IF(AND(ISNUMBER($G971),$G971&gt;=60),MAX(INDEX($D$771:$D971,202-60):$D971),"")</f>
        <v/>
      </c>
      <c r="N971" s="37" t="str">
        <f aca="false">IF(AND(ISNUMBER($G971),$G971&gt;=60),MIN(INDEX($E$771:$E971,202-60):$E971),"")</f>
        <v/>
      </c>
      <c r="O971" s="38" t="str">
        <f aca="false">IF(OR(NOT(ISNUMBER($C971)),NOT(ISNUMBER($M971)),$M971=0),"",$C971/$M971-1)</f>
        <v/>
      </c>
    </row>
    <row r="972" customFormat="false" ht="15" hidden="false" customHeight="true" outlineLevel="0" collapsed="false">
      <c r="A972" s="39"/>
      <c r="B972" s="40"/>
      <c r="C972" s="41"/>
      <c r="D972" s="40"/>
      <c r="E972" s="40"/>
      <c r="F972" s="40"/>
      <c r="G972" s="35" t="str">
        <f aca="false">IF($A972="","",IF(ISNUMBER($G971),$G971+1,1))</f>
        <v/>
      </c>
      <c r="H972" s="36" t="str">
        <f aca="false">IF(OR(NOT(ISNUMBER($G972)),$G972&lt;2,NOT(ISNUMBER($C971)),$C971=0),"",$C972/$C971-1)</f>
        <v/>
      </c>
      <c r="I972" s="37" t="str">
        <f aca="false">IF(AND(ISNUMBER($G972),$G972&gt;=MA_SHORT),AVERAGE(INDEX($C$572:$C972,402-MA_SHORT):$C972),"")</f>
        <v/>
      </c>
      <c r="J972" s="37" t="str">
        <f aca="false">IF(AND(ISNUMBER($G972),$G972&gt;=MA_MED),AVERAGE(INDEX($C$572:$C972,402-MA_MED):$C972),"")</f>
        <v/>
      </c>
      <c r="K972" s="37" t="str">
        <f aca="false">IF(AND(ISNUMBER($G972),$G972&gt;=MA_LONG2),AVERAGE(INDEX($C$572:$C972,402-MA_LONG2):$C972),"")</f>
        <v/>
      </c>
      <c r="L972" s="38" t="str">
        <f aca="false">IF(AND(ISNUMBER($G972),$G972&gt;=21),STDEV(INDEX($H$912:$H972,62-20):$H972)*SQRT(245),"")</f>
        <v/>
      </c>
      <c r="M972" s="37" t="str">
        <f aca="false">IF(AND(ISNUMBER($G972),$G972&gt;=60),MAX(INDEX($D$772:$D972,202-60):$D972),"")</f>
        <v/>
      </c>
      <c r="N972" s="37" t="str">
        <f aca="false">IF(AND(ISNUMBER($G972),$G972&gt;=60),MIN(INDEX($E$772:$E972,202-60):$E972),"")</f>
        <v/>
      </c>
      <c r="O972" s="38" t="str">
        <f aca="false">IF(OR(NOT(ISNUMBER($C972)),NOT(ISNUMBER($M972)),$M972=0),"",$C972/$M972-1)</f>
        <v/>
      </c>
    </row>
    <row r="973" customFormat="false" ht="15" hidden="false" customHeight="true" outlineLevel="0" collapsed="false">
      <c r="A973" s="39"/>
      <c r="B973" s="40"/>
      <c r="C973" s="41"/>
      <c r="D973" s="40"/>
      <c r="E973" s="40"/>
      <c r="F973" s="40"/>
      <c r="G973" s="35" t="str">
        <f aca="false">IF($A973="","",IF(ISNUMBER($G972),$G972+1,1))</f>
        <v/>
      </c>
      <c r="H973" s="36" t="str">
        <f aca="false">IF(OR(NOT(ISNUMBER($G973)),$G973&lt;2,NOT(ISNUMBER($C972)),$C972=0),"",$C973/$C972-1)</f>
        <v/>
      </c>
      <c r="I973" s="37" t="str">
        <f aca="false">IF(AND(ISNUMBER($G973),$G973&gt;=MA_SHORT),AVERAGE(INDEX($C$573:$C973,402-MA_SHORT):$C973),"")</f>
        <v/>
      </c>
      <c r="J973" s="37" t="str">
        <f aca="false">IF(AND(ISNUMBER($G973),$G973&gt;=MA_MED),AVERAGE(INDEX($C$573:$C973,402-MA_MED):$C973),"")</f>
        <v/>
      </c>
      <c r="K973" s="37" t="str">
        <f aca="false">IF(AND(ISNUMBER($G973),$G973&gt;=MA_LONG2),AVERAGE(INDEX($C$573:$C973,402-MA_LONG2):$C973),"")</f>
        <v/>
      </c>
      <c r="L973" s="38" t="str">
        <f aca="false">IF(AND(ISNUMBER($G973),$G973&gt;=21),STDEV(INDEX($H$913:$H973,62-20):$H973)*SQRT(245),"")</f>
        <v/>
      </c>
      <c r="M973" s="37" t="str">
        <f aca="false">IF(AND(ISNUMBER($G973),$G973&gt;=60),MAX(INDEX($D$773:$D973,202-60):$D973),"")</f>
        <v/>
      </c>
      <c r="N973" s="37" t="str">
        <f aca="false">IF(AND(ISNUMBER($G973),$G973&gt;=60),MIN(INDEX($E$773:$E973,202-60):$E973),"")</f>
        <v/>
      </c>
      <c r="O973" s="38" t="str">
        <f aca="false">IF(OR(NOT(ISNUMBER($C973)),NOT(ISNUMBER($M973)),$M973=0),"",$C973/$M973-1)</f>
        <v/>
      </c>
    </row>
    <row r="974" customFormat="false" ht="15" hidden="false" customHeight="true" outlineLevel="0" collapsed="false">
      <c r="A974" s="39"/>
      <c r="B974" s="40"/>
      <c r="C974" s="41"/>
      <c r="D974" s="40"/>
      <c r="E974" s="40"/>
      <c r="F974" s="40"/>
      <c r="G974" s="35" t="str">
        <f aca="false">IF($A974="","",IF(ISNUMBER($G973),$G973+1,1))</f>
        <v/>
      </c>
      <c r="H974" s="36" t="str">
        <f aca="false">IF(OR(NOT(ISNUMBER($G974)),$G974&lt;2,NOT(ISNUMBER($C973)),$C973=0),"",$C974/$C973-1)</f>
        <v/>
      </c>
      <c r="I974" s="37" t="str">
        <f aca="false">IF(AND(ISNUMBER($G974),$G974&gt;=MA_SHORT),AVERAGE(INDEX($C$574:$C974,402-MA_SHORT):$C974),"")</f>
        <v/>
      </c>
      <c r="J974" s="37" t="str">
        <f aca="false">IF(AND(ISNUMBER($G974),$G974&gt;=MA_MED),AVERAGE(INDEX($C$574:$C974,402-MA_MED):$C974),"")</f>
        <v/>
      </c>
      <c r="K974" s="37" t="str">
        <f aca="false">IF(AND(ISNUMBER($G974),$G974&gt;=MA_LONG2),AVERAGE(INDEX($C$574:$C974,402-MA_LONG2):$C974),"")</f>
        <v/>
      </c>
      <c r="L974" s="38" t="str">
        <f aca="false">IF(AND(ISNUMBER($G974),$G974&gt;=21),STDEV(INDEX($H$914:$H974,62-20):$H974)*SQRT(245),"")</f>
        <v/>
      </c>
      <c r="M974" s="37" t="str">
        <f aca="false">IF(AND(ISNUMBER($G974),$G974&gt;=60),MAX(INDEX($D$774:$D974,202-60):$D974),"")</f>
        <v/>
      </c>
      <c r="N974" s="37" t="str">
        <f aca="false">IF(AND(ISNUMBER($G974),$G974&gt;=60),MIN(INDEX($E$774:$E974,202-60):$E974),"")</f>
        <v/>
      </c>
      <c r="O974" s="38" t="str">
        <f aca="false">IF(OR(NOT(ISNUMBER($C974)),NOT(ISNUMBER($M974)),$M974=0),"",$C974/$M974-1)</f>
        <v/>
      </c>
    </row>
    <row r="975" customFormat="false" ht="15" hidden="false" customHeight="true" outlineLevel="0" collapsed="false">
      <c r="A975" s="39"/>
      <c r="B975" s="40"/>
      <c r="C975" s="41"/>
      <c r="D975" s="40"/>
      <c r="E975" s="40"/>
      <c r="F975" s="40"/>
      <c r="G975" s="35" t="str">
        <f aca="false">IF($A975="","",IF(ISNUMBER($G974),$G974+1,1))</f>
        <v/>
      </c>
      <c r="H975" s="36" t="str">
        <f aca="false">IF(OR(NOT(ISNUMBER($G975)),$G975&lt;2,NOT(ISNUMBER($C974)),$C974=0),"",$C975/$C974-1)</f>
        <v/>
      </c>
      <c r="I975" s="37" t="str">
        <f aca="false">IF(AND(ISNUMBER($G975),$G975&gt;=MA_SHORT),AVERAGE(INDEX($C$575:$C975,402-MA_SHORT):$C975),"")</f>
        <v/>
      </c>
      <c r="J975" s="37" t="str">
        <f aca="false">IF(AND(ISNUMBER($G975),$G975&gt;=MA_MED),AVERAGE(INDEX($C$575:$C975,402-MA_MED):$C975),"")</f>
        <v/>
      </c>
      <c r="K975" s="37" t="str">
        <f aca="false">IF(AND(ISNUMBER($G975),$G975&gt;=MA_LONG2),AVERAGE(INDEX($C$575:$C975,402-MA_LONG2):$C975),"")</f>
        <v/>
      </c>
      <c r="L975" s="38" t="str">
        <f aca="false">IF(AND(ISNUMBER($G975),$G975&gt;=21),STDEV(INDEX($H$915:$H975,62-20):$H975)*SQRT(245),"")</f>
        <v/>
      </c>
      <c r="M975" s="37" t="str">
        <f aca="false">IF(AND(ISNUMBER($G975),$G975&gt;=60),MAX(INDEX($D$775:$D975,202-60):$D975),"")</f>
        <v/>
      </c>
      <c r="N975" s="37" t="str">
        <f aca="false">IF(AND(ISNUMBER($G975),$G975&gt;=60),MIN(INDEX($E$775:$E975,202-60):$E975),"")</f>
        <v/>
      </c>
      <c r="O975" s="38" t="str">
        <f aca="false">IF(OR(NOT(ISNUMBER($C975)),NOT(ISNUMBER($M975)),$M975=0),"",$C975/$M975-1)</f>
        <v/>
      </c>
    </row>
    <row r="976" customFormat="false" ht="15" hidden="false" customHeight="true" outlineLevel="0" collapsed="false">
      <c r="A976" s="39"/>
      <c r="B976" s="40"/>
      <c r="C976" s="41"/>
      <c r="D976" s="40"/>
      <c r="E976" s="40"/>
      <c r="F976" s="40"/>
      <c r="G976" s="35" t="str">
        <f aca="false">IF($A976="","",IF(ISNUMBER($G975),$G975+1,1))</f>
        <v/>
      </c>
      <c r="H976" s="36" t="str">
        <f aca="false">IF(OR(NOT(ISNUMBER($G976)),$G976&lt;2,NOT(ISNUMBER($C975)),$C975=0),"",$C976/$C975-1)</f>
        <v/>
      </c>
      <c r="I976" s="37" t="str">
        <f aca="false">IF(AND(ISNUMBER($G976),$G976&gt;=MA_SHORT),AVERAGE(INDEX($C$576:$C976,402-MA_SHORT):$C976),"")</f>
        <v/>
      </c>
      <c r="J976" s="37" t="str">
        <f aca="false">IF(AND(ISNUMBER($G976),$G976&gt;=MA_MED),AVERAGE(INDEX($C$576:$C976,402-MA_MED):$C976),"")</f>
        <v/>
      </c>
      <c r="K976" s="37" t="str">
        <f aca="false">IF(AND(ISNUMBER($G976),$G976&gt;=MA_LONG2),AVERAGE(INDEX($C$576:$C976,402-MA_LONG2):$C976),"")</f>
        <v/>
      </c>
      <c r="L976" s="38" t="str">
        <f aca="false">IF(AND(ISNUMBER($G976),$G976&gt;=21),STDEV(INDEX($H$916:$H976,62-20):$H976)*SQRT(245),"")</f>
        <v/>
      </c>
      <c r="M976" s="37" t="str">
        <f aca="false">IF(AND(ISNUMBER($G976),$G976&gt;=60),MAX(INDEX($D$776:$D976,202-60):$D976),"")</f>
        <v/>
      </c>
      <c r="N976" s="37" t="str">
        <f aca="false">IF(AND(ISNUMBER($G976),$G976&gt;=60),MIN(INDEX($E$776:$E976,202-60):$E976),"")</f>
        <v/>
      </c>
      <c r="O976" s="38" t="str">
        <f aca="false">IF(OR(NOT(ISNUMBER($C976)),NOT(ISNUMBER($M976)),$M976=0),"",$C976/$M976-1)</f>
        <v/>
      </c>
    </row>
    <row r="977" customFormat="false" ht="15" hidden="false" customHeight="true" outlineLevel="0" collapsed="false">
      <c r="A977" s="39"/>
      <c r="B977" s="40"/>
      <c r="C977" s="41"/>
      <c r="D977" s="40"/>
      <c r="E977" s="40"/>
      <c r="F977" s="40"/>
      <c r="G977" s="35" t="str">
        <f aca="false">IF($A977="","",IF(ISNUMBER($G976),$G976+1,1))</f>
        <v/>
      </c>
      <c r="H977" s="36" t="str">
        <f aca="false">IF(OR(NOT(ISNUMBER($G977)),$G977&lt;2,NOT(ISNUMBER($C976)),$C976=0),"",$C977/$C976-1)</f>
        <v/>
      </c>
      <c r="I977" s="37" t="str">
        <f aca="false">IF(AND(ISNUMBER($G977),$G977&gt;=MA_SHORT),AVERAGE(INDEX($C$577:$C977,402-MA_SHORT):$C977),"")</f>
        <v/>
      </c>
      <c r="J977" s="37" t="str">
        <f aca="false">IF(AND(ISNUMBER($G977),$G977&gt;=MA_MED),AVERAGE(INDEX($C$577:$C977,402-MA_MED):$C977),"")</f>
        <v/>
      </c>
      <c r="K977" s="37" t="str">
        <f aca="false">IF(AND(ISNUMBER($G977),$G977&gt;=MA_LONG2),AVERAGE(INDEX($C$577:$C977,402-MA_LONG2):$C977),"")</f>
        <v/>
      </c>
      <c r="L977" s="38" t="str">
        <f aca="false">IF(AND(ISNUMBER($G977),$G977&gt;=21),STDEV(INDEX($H$917:$H977,62-20):$H977)*SQRT(245),"")</f>
        <v/>
      </c>
      <c r="M977" s="37" t="str">
        <f aca="false">IF(AND(ISNUMBER($G977),$G977&gt;=60),MAX(INDEX($D$777:$D977,202-60):$D977),"")</f>
        <v/>
      </c>
      <c r="N977" s="37" t="str">
        <f aca="false">IF(AND(ISNUMBER($G977),$G977&gt;=60),MIN(INDEX($E$777:$E977,202-60):$E977),"")</f>
        <v/>
      </c>
      <c r="O977" s="38" t="str">
        <f aca="false">IF(OR(NOT(ISNUMBER($C977)),NOT(ISNUMBER($M977)),$M977=0),"",$C977/$M977-1)</f>
        <v/>
      </c>
    </row>
    <row r="978" customFormat="false" ht="15" hidden="false" customHeight="true" outlineLevel="0" collapsed="false">
      <c r="A978" s="39"/>
      <c r="B978" s="40"/>
      <c r="C978" s="41"/>
      <c r="D978" s="40"/>
      <c r="E978" s="40"/>
      <c r="F978" s="40"/>
      <c r="G978" s="35" t="str">
        <f aca="false">IF($A978="","",IF(ISNUMBER($G977),$G977+1,1))</f>
        <v/>
      </c>
      <c r="H978" s="36" t="str">
        <f aca="false">IF(OR(NOT(ISNUMBER($G978)),$G978&lt;2,NOT(ISNUMBER($C977)),$C977=0),"",$C978/$C977-1)</f>
        <v/>
      </c>
      <c r="I978" s="37" t="str">
        <f aca="false">IF(AND(ISNUMBER($G978),$G978&gt;=MA_SHORT),AVERAGE(INDEX($C$578:$C978,402-MA_SHORT):$C978),"")</f>
        <v/>
      </c>
      <c r="J978" s="37" t="str">
        <f aca="false">IF(AND(ISNUMBER($G978),$G978&gt;=MA_MED),AVERAGE(INDEX($C$578:$C978,402-MA_MED):$C978),"")</f>
        <v/>
      </c>
      <c r="K978" s="37" t="str">
        <f aca="false">IF(AND(ISNUMBER($G978),$G978&gt;=MA_LONG2),AVERAGE(INDEX($C$578:$C978,402-MA_LONG2):$C978),"")</f>
        <v/>
      </c>
      <c r="L978" s="38" t="str">
        <f aca="false">IF(AND(ISNUMBER($G978),$G978&gt;=21),STDEV(INDEX($H$918:$H978,62-20):$H978)*SQRT(245),"")</f>
        <v/>
      </c>
      <c r="M978" s="37" t="str">
        <f aca="false">IF(AND(ISNUMBER($G978),$G978&gt;=60),MAX(INDEX($D$778:$D978,202-60):$D978),"")</f>
        <v/>
      </c>
      <c r="N978" s="37" t="str">
        <f aca="false">IF(AND(ISNUMBER($G978),$G978&gt;=60),MIN(INDEX($E$778:$E978,202-60):$E978),"")</f>
        <v/>
      </c>
      <c r="O978" s="38" t="str">
        <f aca="false">IF(OR(NOT(ISNUMBER($C978)),NOT(ISNUMBER($M978)),$M978=0),"",$C978/$M978-1)</f>
        <v/>
      </c>
    </row>
    <row r="979" customFormat="false" ht="15" hidden="false" customHeight="true" outlineLevel="0" collapsed="false">
      <c r="A979" s="39"/>
      <c r="B979" s="40"/>
      <c r="C979" s="41"/>
      <c r="D979" s="40"/>
      <c r="E979" s="40"/>
      <c r="F979" s="40"/>
      <c r="G979" s="35" t="str">
        <f aca="false">IF($A979="","",IF(ISNUMBER($G978),$G978+1,1))</f>
        <v/>
      </c>
      <c r="H979" s="36" t="str">
        <f aca="false">IF(OR(NOT(ISNUMBER($G979)),$G979&lt;2,NOT(ISNUMBER($C978)),$C978=0),"",$C979/$C978-1)</f>
        <v/>
      </c>
      <c r="I979" s="37" t="str">
        <f aca="false">IF(AND(ISNUMBER($G979),$G979&gt;=MA_SHORT),AVERAGE(INDEX($C$579:$C979,402-MA_SHORT):$C979),"")</f>
        <v/>
      </c>
      <c r="J979" s="37" t="str">
        <f aca="false">IF(AND(ISNUMBER($G979),$G979&gt;=MA_MED),AVERAGE(INDEX($C$579:$C979,402-MA_MED):$C979),"")</f>
        <v/>
      </c>
      <c r="K979" s="37" t="str">
        <f aca="false">IF(AND(ISNUMBER($G979),$G979&gt;=MA_LONG2),AVERAGE(INDEX($C$579:$C979,402-MA_LONG2):$C979),"")</f>
        <v/>
      </c>
      <c r="L979" s="38" t="str">
        <f aca="false">IF(AND(ISNUMBER($G979),$G979&gt;=21),STDEV(INDEX($H$919:$H979,62-20):$H979)*SQRT(245),"")</f>
        <v/>
      </c>
      <c r="M979" s="37" t="str">
        <f aca="false">IF(AND(ISNUMBER($G979),$G979&gt;=60),MAX(INDEX($D$779:$D979,202-60):$D979),"")</f>
        <v/>
      </c>
      <c r="N979" s="37" t="str">
        <f aca="false">IF(AND(ISNUMBER($G979),$G979&gt;=60),MIN(INDEX($E$779:$E979,202-60):$E979),"")</f>
        <v/>
      </c>
      <c r="O979" s="38" t="str">
        <f aca="false">IF(OR(NOT(ISNUMBER($C979)),NOT(ISNUMBER($M979)),$M979=0),"",$C979/$M979-1)</f>
        <v/>
      </c>
    </row>
    <row r="980" customFormat="false" ht="15" hidden="false" customHeight="true" outlineLevel="0" collapsed="false">
      <c r="A980" s="39"/>
      <c r="B980" s="40"/>
      <c r="C980" s="41"/>
      <c r="D980" s="40"/>
      <c r="E980" s="40"/>
      <c r="F980" s="40"/>
      <c r="G980" s="35" t="str">
        <f aca="false">IF($A980="","",IF(ISNUMBER($G979),$G979+1,1))</f>
        <v/>
      </c>
      <c r="H980" s="36" t="str">
        <f aca="false">IF(OR(NOT(ISNUMBER($G980)),$G980&lt;2,NOT(ISNUMBER($C979)),$C979=0),"",$C980/$C979-1)</f>
        <v/>
      </c>
      <c r="I980" s="37" t="str">
        <f aca="false">IF(AND(ISNUMBER($G980),$G980&gt;=MA_SHORT),AVERAGE(INDEX($C$580:$C980,402-MA_SHORT):$C980),"")</f>
        <v/>
      </c>
      <c r="J980" s="37" t="str">
        <f aca="false">IF(AND(ISNUMBER($G980),$G980&gt;=MA_MED),AVERAGE(INDEX($C$580:$C980,402-MA_MED):$C980),"")</f>
        <v/>
      </c>
      <c r="K980" s="37" t="str">
        <f aca="false">IF(AND(ISNUMBER($G980),$G980&gt;=MA_LONG2),AVERAGE(INDEX($C$580:$C980,402-MA_LONG2):$C980),"")</f>
        <v/>
      </c>
      <c r="L980" s="38" t="str">
        <f aca="false">IF(AND(ISNUMBER($G980),$G980&gt;=21),STDEV(INDEX($H$920:$H980,62-20):$H980)*SQRT(245),"")</f>
        <v/>
      </c>
      <c r="M980" s="37" t="str">
        <f aca="false">IF(AND(ISNUMBER($G980),$G980&gt;=60),MAX(INDEX($D$780:$D980,202-60):$D980),"")</f>
        <v/>
      </c>
      <c r="N980" s="37" t="str">
        <f aca="false">IF(AND(ISNUMBER($G980),$G980&gt;=60),MIN(INDEX($E$780:$E980,202-60):$E980),"")</f>
        <v/>
      </c>
      <c r="O980" s="38" t="str">
        <f aca="false">IF(OR(NOT(ISNUMBER($C980)),NOT(ISNUMBER($M980)),$M980=0),"",$C980/$M980-1)</f>
        <v/>
      </c>
    </row>
    <row r="981" customFormat="false" ht="15" hidden="false" customHeight="true" outlineLevel="0" collapsed="false">
      <c r="A981" s="39"/>
      <c r="B981" s="40"/>
      <c r="C981" s="41"/>
      <c r="D981" s="40"/>
      <c r="E981" s="40"/>
      <c r="F981" s="40"/>
      <c r="G981" s="35" t="str">
        <f aca="false">IF($A981="","",IF(ISNUMBER($G980),$G980+1,1))</f>
        <v/>
      </c>
      <c r="H981" s="36" t="str">
        <f aca="false">IF(OR(NOT(ISNUMBER($G981)),$G981&lt;2,NOT(ISNUMBER($C980)),$C980=0),"",$C981/$C980-1)</f>
        <v/>
      </c>
      <c r="I981" s="37" t="str">
        <f aca="false">IF(AND(ISNUMBER($G981),$G981&gt;=MA_SHORT),AVERAGE(INDEX($C$581:$C981,402-MA_SHORT):$C981),"")</f>
        <v/>
      </c>
      <c r="J981" s="37" t="str">
        <f aca="false">IF(AND(ISNUMBER($G981),$G981&gt;=MA_MED),AVERAGE(INDEX($C$581:$C981,402-MA_MED):$C981),"")</f>
        <v/>
      </c>
      <c r="K981" s="37" t="str">
        <f aca="false">IF(AND(ISNUMBER($G981),$G981&gt;=MA_LONG2),AVERAGE(INDEX($C$581:$C981,402-MA_LONG2):$C981),"")</f>
        <v/>
      </c>
      <c r="L981" s="38" t="str">
        <f aca="false">IF(AND(ISNUMBER($G981),$G981&gt;=21),STDEV(INDEX($H$921:$H981,62-20):$H981)*SQRT(245),"")</f>
        <v/>
      </c>
      <c r="M981" s="37" t="str">
        <f aca="false">IF(AND(ISNUMBER($G981),$G981&gt;=60),MAX(INDEX($D$781:$D981,202-60):$D981),"")</f>
        <v/>
      </c>
      <c r="N981" s="37" t="str">
        <f aca="false">IF(AND(ISNUMBER($G981),$G981&gt;=60),MIN(INDEX($E$781:$E981,202-60):$E981),"")</f>
        <v/>
      </c>
      <c r="O981" s="38" t="str">
        <f aca="false">IF(OR(NOT(ISNUMBER($C981)),NOT(ISNUMBER($M981)),$M981=0),"",$C981/$M981-1)</f>
        <v/>
      </c>
    </row>
    <row r="982" customFormat="false" ht="15" hidden="false" customHeight="true" outlineLevel="0" collapsed="false">
      <c r="A982" s="39"/>
      <c r="B982" s="40"/>
      <c r="C982" s="41"/>
      <c r="D982" s="40"/>
      <c r="E982" s="40"/>
      <c r="F982" s="40"/>
      <c r="G982" s="35" t="str">
        <f aca="false">IF($A982="","",IF(ISNUMBER($G981),$G981+1,1))</f>
        <v/>
      </c>
      <c r="H982" s="36" t="str">
        <f aca="false">IF(OR(NOT(ISNUMBER($G982)),$G982&lt;2,NOT(ISNUMBER($C981)),$C981=0),"",$C982/$C981-1)</f>
        <v/>
      </c>
      <c r="I982" s="37" t="str">
        <f aca="false">IF(AND(ISNUMBER($G982),$G982&gt;=MA_SHORT),AVERAGE(INDEX($C$582:$C982,402-MA_SHORT):$C982),"")</f>
        <v/>
      </c>
      <c r="J982" s="37" t="str">
        <f aca="false">IF(AND(ISNUMBER($G982),$G982&gt;=MA_MED),AVERAGE(INDEX($C$582:$C982,402-MA_MED):$C982),"")</f>
        <v/>
      </c>
      <c r="K982" s="37" t="str">
        <f aca="false">IF(AND(ISNUMBER($G982),$G982&gt;=MA_LONG2),AVERAGE(INDEX($C$582:$C982,402-MA_LONG2):$C982),"")</f>
        <v/>
      </c>
      <c r="L982" s="38" t="str">
        <f aca="false">IF(AND(ISNUMBER($G982),$G982&gt;=21),STDEV(INDEX($H$922:$H982,62-20):$H982)*SQRT(245),"")</f>
        <v/>
      </c>
      <c r="M982" s="37" t="str">
        <f aca="false">IF(AND(ISNUMBER($G982),$G982&gt;=60),MAX(INDEX($D$782:$D982,202-60):$D982),"")</f>
        <v/>
      </c>
      <c r="N982" s="37" t="str">
        <f aca="false">IF(AND(ISNUMBER($G982),$G982&gt;=60),MIN(INDEX($E$782:$E982,202-60):$E982),"")</f>
        <v/>
      </c>
      <c r="O982" s="38" t="str">
        <f aca="false">IF(OR(NOT(ISNUMBER($C982)),NOT(ISNUMBER($M982)),$M982=0),"",$C982/$M982-1)</f>
        <v/>
      </c>
    </row>
    <row r="983" customFormat="false" ht="15" hidden="false" customHeight="true" outlineLevel="0" collapsed="false">
      <c r="A983" s="39"/>
      <c r="B983" s="40"/>
      <c r="C983" s="41"/>
      <c r="D983" s="40"/>
      <c r="E983" s="40"/>
      <c r="F983" s="40"/>
      <c r="G983" s="35" t="str">
        <f aca="false">IF($A983="","",IF(ISNUMBER($G982),$G982+1,1))</f>
        <v/>
      </c>
      <c r="H983" s="36" t="str">
        <f aca="false">IF(OR(NOT(ISNUMBER($G983)),$G983&lt;2,NOT(ISNUMBER($C982)),$C982=0),"",$C983/$C982-1)</f>
        <v/>
      </c>
      <c r="I983" s="37" t="str">
        <f aca="false">IF(AND(ISNUMBER($G983),$G983&gt;=MA_SHORT),AVERAGE(INDEX($C$583:$C983,402-MA_SHORT):$C983),"")</f>
        <v/>
      </c>
      <c r="J983" s="37" t="str">
        <f aca="false">IF(AND(ISNUMBER($G983),$G983&gt;=MA_MED),AVERAGE(INDEX($C$583:$C983,402-MA_MED):$C983),"")</f>
        <v/>
      </c>
      <c r="K983" s="37" t="str">
        <f aca="false">IF(AND(ISNUMBER($G983),$G983&gt;=MA_LONG2),AVERAGE(INDEX($C$583:$C983,402-MA_LONG2):$C983),"")</f>
        <v/>
      </c>
      <c r="L983" s="38" t="str">
        <f aca="false">IF(AND(ISNUMBER($G983),$G983&gt;=21),STDEV(INDEX($H$923:$H983,62-20):$H983)*SQRT(245),"")</f>
        <v/>
      </c>
      <c r="M983" s="37" t="str">
        <f aca="false">IF(AND(ISNUMBER($G983),$G983&gt;=60),MAX(INDEX($D$783:$D983,202-60):$D983),"")</f>
        <v/>
      </c>
      <c r="N983" s="37" t="str">
        <f aca="false">IF(AND(ISNUMBER($G983),$G983&gt;=60),MIN(INDEX($E$783:$E983,202-60):$E983),"")</f>
        <v/>
      </c>
      <c r="O983" s="38" t="str">
        <f aca="false">IF(OR(NOT(ISNUMBER($C983)),NOT(ISNUMBER($M983)),$M983=0),"",$C983/$M983-1)</f>
        <v/>
      </c>
    </row>
    <row r="984" customFormat="false" ht="15" hidden="false" customHeight="true" outlineLevel="0" collapsed="false">
      <c r="A984" s="39"/>
      <c r="B984" s="40"/>
      <c r="C984" s="41"/>
      <c r="D984" s="40"/>
      <c r="E984" s="40"/>
      <c r="F984" s="40"/>
      <c r="G984" s="35" t="str">
        <f aca="false">IF($A984="","",IF(ISNUMBER($G983),$G983+1,1))</f>
        <v/>
      </c>
      <c r="H984" s="36" t="str">
        <f aca="false">IF(OR(NOT(ISNUMBER($G984)),$G984&lt;2,NOT(ISNUMBER($C983)),$C983=0),"",$C984/$C983-1)</f>
        <v/>
      </c>
      <c r="I984" s="37" t="str">
        <f aca="false">IF(AND(ISNUMBER($G984),$G984&gt;=MA_SHORT),AVERAGE(INDEX($C$584:$C984,402-MA_SHORT):$C984),"")</f>
        <v/>
      </c>
      <c r="J984" s="37" t="str">
        <f aca="false">IF(AND(ISNUMBER($G984),$G984&gt;=MA_MED),AVERAGE(INDEX($C$584:$C984,402-MA_MED):$C984),"")</f>
        <v/>
      </c>
      <c r="K984" s="37" t="str">
        <f aca="false">IF(AND(ISNUMBER($G984),$G984&gt;=MA_LONG2),AVERAGE(INDEX($C$584:$C984,402-MA_LONG2):$C984),"")</f>
        <v/>
      </c>
      <c r="L984" s="38" t="str">
        <f aca="false">IF(AND(ISNUMBER($G984),$G984&gt;=21),STDEV(INDEX($H$924:$H984,62-20):$H984)*SQRT(245),"")</f>
        <v/>
      </c>
      <c r="M984" s="37" t="str">
        <f aca="false">IF(AND(ISNUMBER($G984),$G984&gt;=60),MAX(INDEX($D$784:$D984,202-60):$D984),"")</f>
        <v/>
      </c>
      <c r="N984" s="37" t="str">
        <f aca="false">IF(AND(ISNUMBER($G984),$G984&gt;=60),MIN(INDEX($E$784:$E984,202-60):$E984),"")</f>
        <v/>
      </c>
      <c r="O984" s="38" t="str">
        <f aca="false">IF(OR(NOT(ISNUMBER($C984)),NOT(ISNUMBER($M984)),$M984=0),"",$C984/$M984-1)</f>
        <v/>
      </c>
    </row>
    <row r="985" customFormat="false" ht="15" hidden="false" customHeight="true" outlineLevel="0" collapsed="false">
      <c r="A985" s="39"/>
      <c r="B985" s="40"/>
      <c r="C985" s="41"/>
      <c r="D985" s="40"/>
      <c r="E985" s="40"/>
      <c r="F985" s="40"/>
      <c r="G985" s="35" t="str">
        <f aca="false">IF($A985="","",IF(ISNUMBER($G984),$G984+1,1))</f>
        <v/>
      </c>
      <c r="H985" s="36" t="str">
        <f aca="false">IF(OR(NOT(ISNUMBER($G985)),$G985&lt;2,NOT(ISNUMBER($C984)),$C984=0),"",$C985/$C984-1)</f>
        <v/>
      </c>
      <c r="I985" s="37" t="str">
        <f aca="false">IF(AND(ISNUMBER($G985),$G985&gt;=MA_SHORT),AVERAGE(INDEX($C$585:$C985,402-MA_SHORT):$C985),"")</f>
        <v/>
      </c>
      <c r="J985" s="37" t="str">
        <f aca="false">IF(AND(ISNUMBER($G985),$G985&gt;=MA_MED),AVERAGE(INDEX($C$585:$C985,402-MA_MED):$C985),"")</f>
        <v/>
      </c>
      <c r="K985" s="37" t="str">
        <f aca="false">IF(AND(ISNUMBER($G985),$G985&gt;=MA_LONG2),AVERAGE(INDEX($C$585:$C985,402-MA_LONG2):$C985),"")</f>
        <v/>
      </c>
      <c r="L985" s="38" t="str">
        <f aca="false">IF(AND(ISNUMBER($G985),$G985&gt;=21),STDEV(INDEX($H$925:$H985,62-20):$H985)*SQRT(245),"")</f>
        <v/>
      </c>
      <c r="M985" s="37" t="str">
        <f aca="false">IF(AND(ISNUMBER($G985),$G985&gt;=60),MAX(INDEX($D$785:$D985,202-60):$D985),"")</f>
        <v/>
      </c>
      <c r="N985" s="37" t="str">
        <f aca="false">IF(AND(ISNUMBER($G985),$G985&gt;=60),MIN(INDEX($E$785:$E985,202-60):$E985),"")</f>
        <v/>
      </c>
      <c r="O985" s="38" t="str">
        <f aca="false">IF(OR(NOT(ISNUMBER($C985)),NOT(ISNUMBER($M985)),$M985=0),"",$C985/$M985-1)</f>
        <v/>
      </c>
    </row>
    <row r="986" customFormat="false" ht="15" hidden="false" customHeight="true" outlineLevel="0" collapsed="false">
      <c r="A986" s="39"/>
      <c r="B986" s="40"/>
      <c r="C986" s="41"/>
      <c r="D986" s="40"/>
      <c r="E986" s="40"/>
      <c r="F986" s="40"/>
      <c r="G986" s="35" t="str">
        <f aca="false">IF($A986="","",IF(ISNUMBER($G985),$G985+1,1))</f>
        <v/>
      </c>
      <c r="H986" s="36" t="str">
        <f aca="false">IF(OR(NOT(ISNUMBER($G986)),$G986&lt;2,NOT(ISNUMBER($C985)),$C985=0),"",$C986/$C985-1)</f>
        <v/>
      </c>
      <c r="I986" s="37" t="str">
        <f aca="false">IF(AND(ISNUMBER($G986),$G986&gt;=MA_SHORT),AVERAGE(INDEX($C$586:$C986,402-MA_SHORT):$C986),"")</f>
        <v/>
      </c>
      <c r="J986" s="37" t="str">
        <f aca="false">IF(AND(ISNUMBER($G986),$G986&gt;=MA_MED),AVERAGE(INDEX($C$586:$C986,402-MA_MED):$C986),"")</f>
        <v/>
      </c>
      <c r="K986" s="37" t="str">
        <f aca="false">IF(AND(ISNUMBER($G986),$G986&gt;=MA_LONG2),AVERAGE(INDEX($C$586:$C986,402-MA_LONG2):$C986),"")</f>
        <v/>
      </c>
      <c r="L986" s="38" t="str">
        <f aca="false">IF(AND(ISNUMBER($G986),$G986&gt;=21),STDEV(INDEX($H$926:$H986,62-20):$H986)*SQRT(245),"")</f>
        <v/>
      </c>
      <c r="M986" s="37" t="str">
        <f aca="false">IF(AND(ISNUMBER($G986),$G986&gt;=60),MAX(INDEX($D$786:$D986,202-60):$D986),"")</f>
        <v/>
      </c>
      <c r="N986" s="37" t="str">
        <f aca="false">IF(AND(ISNUMBER($G986),$G986&gt;=60),MIN(INDEX($E$786:$E986,202-60):$E986),"")</f>
        <v/>
      </c>
      <c r="O986" s="38" t="str">
        <f aca="false">IF(OR(NOT(ISNUMBER($C986)),NOT(ISNUMBER($M986)),$M986=0),"",$C986/$M986-1)</f>
        <v/>
      </c>
    </row>
    <row r="987" customFormat="false" ht="15" hidden="false" customHeight="true" outlineLevel="0" collapsed="false">
      <c r="A987" s="39"/>
      <c r="B987" s="40"/>
      <c r="C987" s="41"/>
      <c r="D987" s="40"/>
      <c r="E987" s="40"/>
      <c r="F987" s="40"/>
      <c r="G987" s="35" t="str">
        <f aca="false">IF($A987="","",IF(ISNUMBER($G986),$G986+1,1))</f>
        <v/>
      </c>
      <c r="H987" s="36" t="str">
        <f aca="false">IF(OR(NOT(ISNUMBER($G987)),$G987&lt;2,NOT(ISNUMBER($C986)),$C986=0),"",$C987/$C986-1)</f>
        <v/>
      </c>
      <c r="I987" s="37" t="str">
        <f aca="false">IF(AND(ISNUMBER($G987),$G987&gt;=MA_SHORT),AVERAGE(INDEX($C$587:$C987,402-MA_SHORT):$C987),"")</f>
        <v/>
      </c>
      <c r="J987" s="37" t="str">
        <f aca="false">IF(AND(ISNUMBER($G987),$G987&gt;=MA_MED),AVERAGE(INDEX($C$587:$C987,402-MA_MED):$C987),"")</f>
        <v/>
      </c>
      <c r="K987" s="37" t="str">
        <f aca="false">IF(AND(ISNUMBER($G987),$G987&gt;=MA_LONG2),AVERAGE(INDEX($C$587:$C987,402-MA_LONG2):$C987),"")</f>
        <v/>
      </c>
      <c r="L987" s="38" t="str">
        <f aca="false">IF(AND(ISNUMBER($G987),$G987&gt;=21),STDEV(INDEX($H$927:$H987,62-20):$H987)*SQRT(245),"")</f>
        <v/>
      </c>
      <c r="M987" s="37" t="str">
        <f aca="false">IF(AND(ISNUMBER($G987),$G987&gt;=60),MAX(INDEX($D$787:$D987,202-60):$D987),"")</f>
        <v/>
      </c>
      <c r="N987" s="37" t="str">
        <f aca="false">IF(AND(ISNUMBER($G987),$G987&gt;=60),MIN(INDEX($E$787:$E987,202-60):$E987),"")</f>
        <v/>
      </c>
      <c r="O987" s="38" t="str">
        <f aca="false">IF(OR(NOT(ISNUMBER($C987)),NOT(ISNUMBER($M987)),$M987=0),"",$C987/$M987-1)</f>
        <v/>
      </c>
    </row>
    <row r="988" customFormat="false" ht="15" hidden="false" customHeight="true" outlineLevel="0" collapsed="false">
      <c r="A988" s="39"/>
      <c r="B988" s="40"/>
      <c r="C988" s="41"/>
      <c r="D988" s="40"/>
      <c r="E988" s="40"/>
      <c r="F988" s="40"/>
      <c r="G988" s="35" t="str">
        <f aca="false">IF($A988="","",IF(ISNUMBER($G987),$G987+1,1))</f>
        <v/>
      </c>
      <c r="H988" s="36" t="str">
        <f aca="false">IF(OR(NOT(ISNUMBER($G988)),$G988&lt;2,NOT(ISNUMBER($C987)),$C987=0),"",$C988/$C987-1)</f>
        <v/>
      </c>
      <c r="I988" s="37" t="str">
        <f aca="false">IF(AND(ISNUMBER($G988),$G988&gt;=MA_SHORT),AVERAGE(INDEX($C$588:$C988,402-MA_SHORT):$C988),"")</f>
        <v/>
      </c>
      <c r="J988" s="37" t="str">
        <f aca="false">IF(AND(ISNUMBER($G988),$G988&gt;=MA_MED),AVERAGE(INDEX($C$588:$C988,402-MA_MED):$C988),"")</f>
        <v/>
      </c>
      <c r="K988" s="37" t="str">
        <f aca="false">IF(AND(ISNUMBER($G988),$G988&gt;=MA_LONG2),AVERAGE(INDEX($C$588:$C988,402-MA_LONG2):$C988),"")</f>
        <v/>
      </c>
      <c r="L988" s="38" t="str">
        <f aca="false">IF(AND(ISNUMBER($G988),$G988&gt;=21),STDEV(INDEX($H$928:$H988,62-20):$H988)*SQRT(245),"")</f>
        <v/>
      </c>
      <c r="M988" s="37" t="str">
        <f aca="false">IF(AND(ISNUMBER($G988),$G988&gt;=60),MAX(INDEX($D$788:$D988,202-60):$D988),"")</f>
        <v/>
      </c>
      <c r="N988" s="37" t="str">
        <f aca="false">IF(AND(ISNUMBER($G988),$G988&gt;=60),MIN(INDEX($E$788:$E988,202-60):$E988),"")</f>
        <v/>
      </c>
      <c r="O988" s="38" t="str">
        <f aca="false">IF(OR(NOT(ISNUMBER($C988)),NOT(ISNUMBER($M988)),$M988=0),"",$C988/$M988-1)</f>
        <v/>
      </c>
    </row>
    <row r="989" customFormat="false" ht="15" hidden="false" customHeight="true" outlineLevel="0" collapsed="false">
      <c r="A989" s="39"/>
      <c r="B989" s="40"/>
      <c r="C989" s="41"/>
      <c r="D989" s="40"/>
      <c r="E989" s="40"/>
      <c r="F989" s="40"/>
      <c r="G989" s="35" t="str">
        <f aca="false">IF($A989="","",IF(ISNUMBER($G988),$G988+1,1))</f>
        <v/>
      </c>
      <c r="H989" s="36" t="str">
        <f aca="false">IF(OR(NOT(ISNUMBER($G989)),$G989&lt;2,NOT(ISNUMBER($C988)),$C988=0),"",$C989/$C988-1)</f>
        <v/>
      </c>
      <c r="I989" s="37" t="str">
        <f aca="false">IF(AND(ISNUMBER($G989),$G989&gt;=MA_SHORT),AVERAGE(INDEX($C$589:$C989,402-MA_SHORT):$C989),"")</f>
        <v/>
      </c>
      <c r="J989" s="37" t="str">
        <f aca="false">IF(AND(ISNUMBER($G989),$G989&gt;=MA_MED),AVERAGE(INDEX($C$589:$C989,402-MA_MED):$C989),"")</f>
        <v/>
      </c>
      <c r="K989" s="37" t="str">
        <f aca="false">IF(AND(ISNUMBER($G989),$G989&gt;=MA_LONG2),AVERAGE(INDEX($C$589:$C989,402-MA_LONG2):$C989),"")</f>
        <v/>
      </c>
      <c r="L989" s="38" t="str">
        <f aca="false">IF(AND(ISNUMBER($G989),$G989&gt;=21),STDEV(INDEX($H$929:$H989,62-20):$H989)*SQRT(245),"")</f>
        <v/>
      </c>
      <c r="M989" s="37" t="str">
        <f aca="false">IF(AND(ISNUMBER($G989),$G989&gt;=60),MAX(INDEX($D$789:$D989,202-60):$D989),"")</f>
        <v/>
      </c>
      <c r="N989" s="37" t="str">
        <f aca="false">IF(AND(ISNUMBER($G989),$G989&gt;=60),MIN(INDEX($E$789:$E989,202-60):$E989),"")</f>
        <v/>
      </c>
      <c r="O989" s="38" t="str">
        <f aca="false">IF(OR(NOT(ISNUMBER($C989)),NOT(ISNUMBER($M989)),$M989=0),"",$C989/$M989-1)</f>
        <v/>
      </c>
    </row>
    <row r="990" customFormat="false" ht="15" hidden="false" customHeight="true" outlineLevel="0" collapsed="false">
      <c r="A990" s="39"/>
      <c r="B990" s="40"/>
      <c r="C990" s="41"/>
      <c r="D990" s="40"/>
      <c r="E990" s="40"/>
      <c r="F990" s="40"/>
      <c r="G990" s="35" t="str">
        <f aca="false">IF($A990="","",IF(ISNUMBER($G989),$G989+1,1))</f>
        <v/>
      </c>
      <c r="H990" s="36" t="str">
        <f aca="false">IF(OR(NOT(ISNUMBER($G990)),$G990&lt;2,NOT(ISNUMBER($C989)),$C989=0),"",$C990/$C989-1)</f>
        <v/>
      </c>
      <c r="I990" s="37" t="str">
        <f aca="false">IF(AND(ISNUMBER($G990),$G990&gt;=MA_SHORT),AVERAGE(INDEX($C$590:$C990,402-MA_SHORT):$C990),"")</f>
        <v/>
      </c>
      <c r="J990" s="37" t="str">
        <f aca="false">IF(AND(ISNUMBER($G990),$G990&gt;=MA_MED),AVERAGE(INDEX($C$590:$C990,402-MA_MED):$C990),"")</f>
        <v/>
      </c>
      <c r="K990" s="37" t="str">
        <f aca="false">IF(AND(ISNUMBER($G990),$G990&gt;=MA_LONG2),AVERAGE(INDEX($C$590:$C990,402-MA_LONG2):$C990),"")</f>
        <v/>
      </c>
      <c r="L990" s="38" t="str">
        <f aca="false">IF(AND(ISNUMBER($G990),$G990&gt;=21),STDEV(INDEX($H$930:$H990,62-20):$H990)*SQRT(245),"")</f>
        <v/>
      </c>
      <c r="M990" s="37" t="str">
        <f aca="false">IF(AND(ISNUMBER($G990),$G990&gt;=60),MAX(INDEX($D$790:$D990,202-60):$D990),"")</f>
        <v/>
      </c>
      <c r="N990" s="37" t="str">
        <f aca="false">IF(AND(ISNUMBER($G990),$G990&gt;=60),MIN(INDEX($E$790:$E990,202-60):$E990),"")</f>
        <v/>
      </c>
      <c r="O990" s="38" t="str">
        <f aca="false">IF(OR(NOT(ISNUMBER($C990)),NOT(ISNUMBER($M990)),$M990=0),"",$C990/$M990-1)</f>
        <v/>
      </c>
    </row>
    <row r="991" customFormat="false" ht="15" hidden="false" customHeight="true" outlineLevel="0" collapsed="false">
      <c r="A991" s="39"/>
      <c r="B991" s="40"/>
      <c r="C991" s="41"/>
      <c r="D991" s="40"/>
      <c r="E991" s="40"/>
      <c r="F991" s="40"/>
      <c r="G991" s="35" t="str">
        <f aca="false">IF($A991="","",IF(ISNUMBER($G990),$G990+1,1))</f>
        <v/>
      </c>
      <c r="H991" s="36" t="str">
        <f aca="false">IF(OR(NOT(ISNUMBER($G991)),$G991&lt;2,NOT(ISNUMBER($C990)),$C990=0),"",$C991/$C990-1)</f>
        <v/>
      </c>
      <c r="I991" s="37" t="str">
        <f aca="false">IF(AND(ISNUMBER($G991),$G991&gt;=MA_SHORT),AVERAGE(INDEX($C$591:$C991,402-MA_SHORT):$C991),"")</f>
        <v/>
      </c>
      <c r="J991" s="37" t="str">
        <f aca="false">IF(AND(ISNUMBER($G991),$G991&gt;=MA_MED),AVERAGE(INDEX($C$591:$C991,402-MA_MED):$C991),"")</f>
        <v/>
      </c>
      <c r="K991" s="37" t="str">
        <f aca="false">IF(AND(ISNUMBER($G991),$G991&gt;=MA_LONG2),AVERAGE(INDEX($C$591:$C991,402-MA_LONG2):$C991),"")</f>
        <v/>
      </c>
      <c r="L991" s="38" t="str">
        <f aca="false">IF(AND(ISNUMBER($G991),$G991&gt;=21),STDEV(INDEX($H$931:$H991,62-20):$H991)*SQRT(245),"")</f>
        <v/>
      </c>
      <c r="M991" s="37" t="str">
        <f aca="false">IF(AND(ISNUMBER($G991),$G991&gt;=60),MAX(INDEX($D$791:$D991,202-60):$D991),"")</f>
        <v/>
      </c>
      <c r="N991" s="37" t="str">
        <f aca="false">IF(AND(ISNUMBER($G991),$G991&gt;=60),MIN(INDEX($E$791:$E991,202-60):$E991),"")</f>
        <v/>
      </c>
      <c r="O991" s="38" t="str">
        <f aca="false">IF(OR(NOT(ISNUMBER($C991)),NOT(ISNUMBER($M991)),$M991=0),"",$C991/$M991-1)</f>
        <v/>
      </c>
    </row>
    <row r="992" customFormat="false" ht="15" hidden="false" customHeight="true" outlineLevel="0" collapsed="false">
      <c r="A992" s="39"/>
      <c r="B992" s="40"/>
      <c r="C992" s="41"/>
      <c r="D992" s="40"/>
      <c r="E992" s="40"/>
      <c r="F992" s="40"/>
      <c r="G992" s="35" t="str">
        <f aca="false">IF($A992="","",IF(ISNUMBER($G991),$G991+1,1))</f>
        <v/>
      </c>
      <c r="H992" s="36" t="str">
        <f aca="false">IF(OR(NOT(ISNUMBER($G992)),$G992&lt;2,NOT(ISNUMBER($C991)),$C991=0),"",$C992/$C991-1)</f>
        <v/>
      </c>
      <c r="I992" s="37" t="str">
        <f aca="false">IF(AND(ISNUMBER($G992),$G992&gt;=MA_SHORT),AVERAGE(INDEX($C$592:$C992,402-MA_SHORT):$C992),"")</f>
        <v/>
      </c>
      <c r="J992" s="37" t="str">
        <f aca="false">IF(AND(ISNUMBER($G992),$G992&gt;=MA_MED),AVERAGE(INDEX($C$592:$C992,402-MA_MED):$C992),"")</f>
        <v/>
      </c>
      <c r="K992" s="37" t="str">
        <f aca="false">IF(AND(ISNUMBER($G992),$G992&gt;=MA_LONG2),AVERAGE(INDEX($C$592:$C992,402-MA_LONG2):$C992),"")</f>
        <v/>
      </c>
      <c r="L992" s="38" t="str">
        <f aca="false">IF(AND(ISNUMBER($G992),$G992&gt;=21),STDEV(INDEX($H$932:$H992,62-20):$H992)*SQRT(245),"")</f>
        <v/>
      </c>
      <c r="M992" s="37" t="str">
        <f aca="false">IF(AND(ISNUMBER($G992),$G992&gt;=60),MAX(INDEX($D$792:$D992,202-60):$D992),"")</f>
        <v/>
      </c>
      <c r="N992" s="37" t="str">
        <f aca="false">IF(AND(ISNUMBER($G992),$G992&gt;=60),MIN(INDEX($E$792:$E992,202-60):$E992),"")</f>
        <v/>
      </c>
      <c r="O992" s="38" t="str">
        <f aca="false">IF(OR(NOT(ISNUMBER($C992)),NOT(ISNUMBER($M992)),$M992=0),"",$C992/$M992-1)</f>
        <v/>
      </c>
    </row>
    <row r="993" customFormat="false" ht="15" hidden="false" customHeight="true" outlineLevel="0" collapsed="false">
      <c r="A993" s="39"/>
      <c r="B993" s="40"/>
      <c r="C993" s="41"/>
      <c r="D993" s="40"/>
      <c r="E993" s="40"/>
      <c r="F993" s="40"/>
      <c r="G993" s="35" t="str">
        <f aca="false">IF($A993="","",IF(ISNUMBER($G992),$G992+1,1))</f>
        <v/>
      </c>
      <c r="H993" s="36" t="str">
        <f aca="false">IF(OR(NOT(ISNUMBER($G993)),$G993&lt;2,NOT(ISNUMBER($C992)),$C992=0),"",$C993/$C992-1)</f>
        <v/>
      </c>
      <c r="I993" s="37" t="str">
        <f aca="false">IF(AND(ISNUMBER($G993),$G993&gt;=MA_SHORT),AVERAGE(INDEX($C$593:$C993,402-MA_SHORT):$C993),"")</f>
        <v/>
      </c>
      <c r="J993" s="37" t="str">
        <f aca="false">IF(AND(ISNUMBER($G993),$G993&gt;=MA_MED),AVERAGE(INDEX($C$593:$C993,402-MA_MED):$C993),"")</f>
        <v/>
      </c>
      <c r="K993" s="37" t="str">
        <f aca="false">IF(AND(ISNUMBER($G993),$G993&gt;=MA_LONG2),AVERAGE(INDEX($C$593:$C993,402-MA_LONG2):$C993),"")</f>
        <v/>
      </c>
      <c r="L993" s="38" t="str">
        <f aca="false">IF(AND(ISNUMBER($G993),$G993&gt;=21),STDEV(INDEX($H$933:$H993,62-20):$H993)*SQRT(245),"")</f>
        <v/>
      </c>
      <c r="M993" s="37" t="str">
        <f aca="false">IF(AND(ISNUMBER($G993),$G993&gt;=60),MAX(INDEX($D$793:$D993,202-60):$D993),"")</f>
        <v/>
      </c>
      <c r="N993" s="37" t="str">
        <f aca="false">IF(AND(ISNUMBER($G993),$G993&gt;=60),MIN(INDEX($E$793:$E993,202-60):$E993),"")</f>
        <v/>
      </c>
      <c r="O993" s="38" t="str">
        <f aca="false">IF(OR(NOT(ISNUMBER($C993)),NOT(ISNUMBER($M993)),$M993=0),"",$C993/$M993-1)</f>
        <v/>
      </c>
    </row>
    <row r="994" customFormat="false" ht="15" hidden="false" customHeight="true" outlineLevel="0" collapsed="false">
      <c r="A994" s="39"/>
      <c r="B994" s="40"/>
      <c r="C994" s="41"/>
      <c r="D994" s="40"/>
      <c r="E994" s="40"/>
      <c r="F994" s="40"/>
      <c r="G994" s="35" t="str">
        <f aca="false">IF($A994="","",IF(ISNUMBER($G993),$G993+1,1))</f>
        <v/>
      </c>
      <c r="H994" s="36" t="str">
        <f aca="false">IF(OR(NOT(ISNUMBER($G994)),$G994&lt;2,NOT(ISNUMBER($C993)),$C993=0),"",$C994/$C993-1)</f>
        <v/>
      </c>
      <c r="I994" s="37" t="str">
        <f aca="false">IF(AND(ISNUMBER($G994),$G994&gt;=MA_SHORT),AVERAGE(INDEX($C$594:$C994,402-MA_SHORT):$C994),"")</f>
        <v/>
      </c>
      <c r="J994" s="37" t="str">
        <f aca="false">IF(AND(ISNUMBER($G994),$G994&gt;=MA_MED),AVERAGE(INDEX($C$594:$C994,402-MA_MED):$C994),"")</f>
        <v/>
      </c>
      <c r="K994" s="37" t="str">
        <f aca="false">IF(AND(ISNUMBER($G994),$G994&gt;=MA_LONG2),AVERAGE(INDEX($C$594:$C994,402-MA_LONG2):$C994),"")</f>
        <v/>
      </c>
      <c r="L994" s="38" t="str">
        <f aca="false">IF(AND(ISNUMBER($G994),$G994&gt;=21),STDEV(INDEX($H$934:$H994,62-20):$H994)*SQRT(245),"")</f>
        <v/>
      </c>
      <c r="M994" s="37" t="str">
        <f aca="false">IF(AND(ISNUMBER($G994),$G994&gt;=60),MAX(INDEX($D$794:$D994,202-60):$D994),"")</f>
        <v/>
      </c>
      <c r="N994" s="37" t="str">
        <f aca="false">IF(AND(ISNUMBER($G994),$G994&gt;=60),MIN(INDEX($E$794:$E994,202-60):$E994),"")</f>
        <v/>
      </c>
      <c r="O994" s="38" t="str">
        <f aca="false">IF(OR(NOT(ISNUMBER($C994)),NOT(ISNUMBER($M994)),$M994=0),"",$C994/$M994-1)</f>
        <v/>
      </c>
    </row>
    <row r="995" customFormat="false" ht="15" hidden="false" customHeight="true" outlineLevel="0" collapsed="false">
      <c r="A995" s="39"/>
      <c r="B995" s="40"/>
      <c r="C995" s="41"/>
      <c r="D995" s="40"/>
      <c r="E995" s="40"/>
      <c r="F995" s="40"/>
      <c r="G995" s="35" t="str">
        <f aca="false">IF($A995="","",IF(ISNUMBER($G994),$G994+1,1))</f>
        <v/>
      </c>
      <c r="H995" s="36" t="str">
        <f aca="false">IF(OR(NOT(ISNUMBER($G995)),$G995&lt;2,NOT(ISNUMBER($C994)),$C994=0),"",$C995/$C994-1)</f>
        <v/>
      </c>
      <c r="I995" s="37" t="str">
        <f aca="false">IF(AND(ISNUMBER($G995),$G995&gt;=MA_SHORT),AVERAGE(INDEX($C$595:$C995,402-MA_SHORT):$C995),"")</f>
        <v/>
      </c>
      <c r="J995" s="37" t="str">
        <f aca="false">IF(AND(ISNUMBER($G995),$G995&gt;=MA_MED),AVERAGE(INDEX($C$595:$C995,402-MA_MED):$C995),"")</f>
        <v/>
      </c>
      <c r="K995" s="37" t="str">
        <f aca="false">IF(AND(ISNUMBER($G995),$G995&gt;=MA_LONG2),AVERAGE(INDEX($C$595:$C995,402-MA_LONG2):$C995),"")</f>
        <v/>
      </c>
      <c r="L995" s="38" t="str">
        <f aca="false">IF(AND(ISNUMBER($G995),$G995&gt;=21),STDEV(INDEX($H$935:$H995,62-20):$H995)*SQRT(245),"")</f>
        <v/>
      </c>
      <c r="M995" s="37" t="str">
        <f aca="false">IF(AND(ISNUMBER($G995),$G995&gt;=60),MAX(INDEX($D$795:$D995,202-60):$D995),"")</f>
        <v/>
      </c>
      <c r="N995" s="37" t="str">
        <f aca="false">IF(AND(ISNUMBER($G995),$G995&gt;=60),MIN(INDEX($E$795:$E995,202-60):$E995),"")</f>
        <v/>
      </c>
      <c r="O995" s="38" t="str">
        <f aca="false">IF(OR(NOT(ISNUMBER($C995)),NOT(ISNUMBER($M995)),$M995=0),"",$C995/$M995-1)</f>
        <v/>
      </c>
    </row>
    <row r="996" customFormat="false" ht="15" hidden="false" customHeight="true" outlineLevel="0" collapsed="false">
      <c r="A996" s="39"/>
      <c r="B996" s="40"/>
      <c r="C996" s="41"/>
      <c r="D996" s="40"/>
      <c r="E996" s="40"/>
      <c r="F996" s="40"/>
      <c r="G996" s="35" t="str">
        <f aca="false">IF($A996="","",IF(ISNUMBER($G995),$G995+1,1))</f>
        <v/>
      </c>
      <c r="H996" s="36" t="str">
        <f aca="false">IF(OR(NOT(ISNUMBER($G996)),$G996&lt;2,NOT(ISNUMBER($C995)),$C995=0),"",$C996/$C995-1)</f>
        <v/>
      </c>
      <c r="I996" s="37" t="str">
        <f aca="false">IF(AND(ISNUMBER($G996),$G996&gt;=MA_SHORT),AVERAGE(INDEX($C$596:$C996,402-MA_SHORT):$C996),"")</f>
        <v/>
      </c>
      <c r="J996" s="37" t="str">
        <f aca="false">IF(AND(ISNUMBER($G996),$G996&gt;=MA_MED),AVERAGE(INDEX($C$596:$C996,402-MA_MED):$C996),"")</f>
        <v/>
      </c>
      <c r="K996" s="37" t="str">
        <f aca="false">IF(AND(ISNUMBER($G996),$G996&gt;=MA_LONG2),AVERAGE(INDEX($C$596:$C996,402-MA_LONG2):$C996),"")</f>
        <v/>
      </c>
      <c r="L996" s="38" t="str">
        <f aca="false">IF(AND(ISNUMBER($G996),$G996&gt;=21),STDEV(INDEX($H$936:$H996,62-20):$H996)*SQRT(245),"")</f>
        <v/>
      </c>
      <c r="M996" s="37" t="str">
        <f aca="false">IF(AND(ISNUMBER($G996),$G996&gt;=60),MAX(INDEX($D$796:$D996,202-60):$D996),"")</f>
        <v/>
      </c>
      <c r="N996" s="37" t="str">
        <f aca="false">IF(AND(ISNUMBER($G996),$G996&gt;=60),MIN(INDEX($E$796:$E996,202-60):$E996),"")</f>
        <v/>
      </c>
      <c r="O996" s="38" t="str">
        <f aca="false">IF(OR(NOT(ISNUMBER($C996)),NOT(ISNUMBER($M996)),$M996=0),"",$C996/$M996-1)</f>
        <v/>
      </c>
    </row>
    <row r="997" customFormat="false" ht="15" hidden="false" customHeight="true" outlineLevel="0" collapsed="false">
      <c r="A997" s="39"/>
      <c r="B997" s="40"/>
      <c r="C997" s="41"/>
      <c r="D997" s="40"/>
      <c r="E997" s="40"/>
      <c r="F997" s="40"/>
      <c r="G997" s="35" t="str">
        <f aca="false">IF($A997="","",IF(ISNUMBER($G996),$G996+1,1))</f>
        <v/>
      </c>
      <c r="H997" s="36" t="str">
        <f aca="false">IF(OR(NOT(ISNUMBER($G997)),$G997&lt;2,NOT(ISNUMBER($C996)),$C996=0),"",$C997/$C996-1)</f>
        <v/>
      </c>
      <c r="I997" s="37" t="str">
        <f aca="false">IF(AND(ISNUMBER($G997),$G997&gt;=MA_SHORT),AVERAGE(INDEX($C$597:$C997,402-MA_SHORT):$C997),"")</f>
        <v/>
      </c>
      <c r="J997" s="37" t="str">
        <f aca="false">IF(AND(ISNUMBER($G997),$G997&gt;=MA_MED),AVERAGE(INDEX($C$597:$C997,402-MA_MED):$C997),"")</f>
        <v/>
      </c>
      <c r="K997" s="37" t="str">
        <f aca="false">IF(AND(ISNUMBER($G997),$G997&gt;=MA_LONG2),AVERAGE(INDEX($C$597:$C997,402-MA_LONG2):$C997),"")</f>
        <v/>
      </c>
      <c r="L997" s="38" t="str">
        <f aca="false">IF(AND(ISNUMBER($G997),$G997&gt;=21),STDEV(INDEX($H$937:$H997,62-20):$H997)*SQRT(245),"")</f>
        <v/>
      </c>
      <c r="M997" s="37" t="str">
        <f aca="false">IF(AND(ISNUMBER($G997),$G997&gt;=60),MAX(INDEX($D$797:$D997,202-60):$D997),"")</f>
        <v/>
      </c>
      <c r="N997" s="37" t="str">
        <f aca="false">IF(AND(ISNUMBER($G997),$G997&gt;=60),MIN(INDEX($E$797:$E997,202-60):$E997),"")</f>
        <v/>
      </c>
      <c r="O997" s="38" t="str">
        <f aca="false">IF(OR(NOT(ISNUMBER($C997)),NOT(ISNUMBER($M997)),$M997=0),"",$C997/$M997-1)</f>
        <v/>
      </c>
    </row>
    <row r="998" customFormat="false" ht="15" hidden="false" customHeight="true" outlineLevel="0" collapsed="false">
      <c r="A998" s="39"/>
      <c r="B998" s="40"/>
      <c r="C998" s="41"/>
      <c r="D998" s="40"/>
      <c r="E998" s="40"/>
      <c r="F998" s="40"/>
      <c r="G998" s="35" t="str">
        <f aca="false">IF($A998="","",IF(ISNUMBER($G997),$G997+1,1))</f>
        <v/>
      </c>
      <c r="H998" s="36" t="str">
        <f aca="false">IF(OR(NOT(ISNUMBER($G998)),$G998&lt;2,NOT(ISNUMBER($C997)),$C997=0),"",$C998/$C997-1)</f>
        <v/>
      </c>
      <c r="I998" s="37" t="str">
        <f aca="false">IF(AND(ISNUMBER($G998),$G998&gt;=MA_SHORT),AVERAGE(INDEX($C$598:$C998,402-MA_SHORT):$C998),"")</f>
        <v/>
      </c>
      <c r="J998" s="37" t="str">
        <f aca="false">IF(AND(ISNUMBER($G998),$G998&gt;=MA_MED),AVERAGE(INDEX($C$598:$C998,402-MA_MED):$C998),"")</f>
        <v/>
      </c>
      <c r="K998" s="37" t="str">
        <f aca="false">IF(AND(ISNUMBER($G998),$G998&gt;=MA_LONG2),AVERAGE(INDEX($C$598:$C998,402-MA_LONG2):$C998),"")</f>
        <v/>
      </c>
      <c r="L998" s="38" t="str">
        <f aca="false">IF(AND(ISNUMBER($G998),$G998&gt;=21),STDEV(INDEX($H$938:$H998,62-20):$H998)*SQRT(245),"")</f>
        <v/>
      </c>
      <c r="M998" s="37" t="str">
        <f aca="false">IF(AND(ISNUMBER($G998),$G998&gt;=60),MAX(INDEX($D$798:$D998,202-60):$D998),"")</f>
        <v/>
      </c>
      <c r="N998" s="37" t="str">
        <f aca="false">IF(AND(ISNUMBER($G998),$G998&gt;=60),MIN(INDEX($E$798:$E998,202-60):$E998),"")</f>
        <v/>
      </c>
      <c r="O998" s="38" t="str">
        <f aca="false">IF(OR(NOT(ISNUMBER($C998)),NOT(ISNUMBER($M998)),$M998=0),"",$C998/$M998-1)</f>
        <v/>
      </c>
    </row>
    <row r="999" customFormat="false" ht="15" hidden="false" customHeight="true" outlineLevel="0" collapsed="false">
      <c r="A999" s="39"/>
      <c r="B999" s="40"/>
      <c r="C999" s="41"/>
      <c r="D999" s="40"/>
      <c r="E999" s="40"/>
      <c r="F999" s="40"/>
      <c r="G999" s="35" t="str">
        <f aca="false">IF($A999="","",IF(ISNUMBER($G998),$G998+1,1))</f>
        <v/>
      </c>
      <c r="H999" s="36" t="str">
        <f aca="false">IF(OR(NOT(ISNUMBER($G999)),$G999&lt;2,NOT(ISNUMBER($C998)),$C998=0),"",$C999/$C998-1)</f>
        <v/>
      </c>
      <c r="I999" s="37" t="str">
        <f aca="false">IF(AND(ISNUMBER($G999),$G999&gt;=MA_SHORT),AVERAGE(INDEX($C$599:$C999,402-MA_SHORT):$C999),"")</f>
        <v/>
      </c>
      <c r="J999" s="37" t="str">
        <f aca="false">IF(AND(ISNUMBER($G999),$G999&gt;=MA_MED),AVERAGE(INDEX($C$599:$C999,402-MA_MED):$C999),"")</f>
        <v/>
      </c>
      <c r="K999" s="37" t="str">
        <f aca="false">IF(AND(ISNUMBER($G999),$G999&gt;=MA_LONG2),AVERAGE(INDEX($C$599:$C999,402-MA_LONG2):$C999),"")</f>
        <v/>
      </c>
      <c r="L999" s="38" t="str">
        <f aca="false">IF(AND(ISNUMBER($G999),$G999&gt;=21),STDEV(INDEX($H$939:$H999,62-20):$H999)*SQRT(245),"")</f>
        <v/>
      </c>
      <c r="M999" s="37" t="str">
        <f aca="false">IF(AND(ISNUMBER($G999),$G999&gt;=60),MAX(INDEX($D$799:$D999,202-60):$D999),"")</f>
        <v/>
      </c>
      <c r="N999" s="37" t="str">
        <f aca="false">IF(AND(ISNUMBER($G999),$G999&gt;=60),MIN(INDEX($E$799:$E999,202-60):$E999),"")</f>
        <v/>
      </c>
      <c r="O999" s="38" t="str">
        <f aca="false">IF(OR(NOT(ISNUMBER($C999)),NOT(ISNUMBER($M999)),$M999=0),"",$C999/$M999-1)</f>
        <v/>
      </c>
    </row>
    <row r="1000" customFormat="false" ht="15" hidden="false" customHeight="true" outlineLevel="0" collapsed="false">
      <c r="A1000" s="39"/>
      <c r="B1000" s="40"/>
      <c r="C1000" s="41"/>
      <c r="D1000" s="40"/>
      <c r="E1000" s="40"/>
      <c r="F1000" s="40"/>
      <c r="G1000" s="35" t="str">
        <f aca="false">IF($A1000="","",IF(ISNUMBER($G999),$G999+1,1))</f>
        <v/>
      </c>
      <c r="H1000" s="36" t="str">
        <f aca="false">IF(OR(NOT(ISNUMBER($G1000)),$G1000&lt;2,NOT(ISNUMBER($C999)),$C999=0),"",$C1000/$C999-1)</f>
        <v/>
      </c>
      <c r="I1000" s="37" t="str">
        <f aca="false">IF(AND(ISNUMBER($G1000),$G1000&gt;=MA_SHORT),AVERAGE(INDEX($C$600:$C1000,402-MA_SHORT):$C1000),"")</f>
        <v/>
      </c>
      <c r="J1000" s="37" t="str">
        <f aca="false">IF(AND(ISNUMBER($G1000),$G1000&gt;=MA_MED),AVERAGE(INDEX($C$600:$C1000,402-MA_MED):$C1000),"")</f>
        <v/>
      </c>
      <c r="K1000" s="37" t="str">
        <f aca="false">IF(AND(ISNUMBER($G1000),$G1000&gt;=MA_LONG2),AVERAGE(INDEX($C$600:$C1000,402-MA_LONG2):$C1000),"")</f>
        <v/>
      </c>
      <c r="L1000" s="38" t="str">
        <f aca="false">IF(AND(ISNUMBER($G1000),$G1000&gt;=21),STDEV(INDEX($H$940:$H1000,62-20):$H1000)*SQRT(245),"")</f>
        <v/>
      </c>
      <c r="M1000" s="37" t="str">
        <f aca="false">IF(AND(ISNUMBER($G1000),$G1000&gt;=60),MAX(INDEX($D$800:$D1000,202-60):$D1000),"")</f>
        <v/>
      </c>
      <c r="N1000" s="37" t="str">
        <f aca="false">IF(AND(ISNUMBER($G1000),$G1000&gt;=60),MIN(INDEX($E$800:$E1000,202-60):$E1000),"")</f>
        <v/>
      </c>
      <c r="O1000" s="38" t="str">
        <f aca="false">IF(OR(NOT(ISNUMBER($C1000)),NOT(ISNUMBER($M1000)),$M1000=0),"",$C1000/$M1000-1)</f>
        <v/>
      </c>
    </row>
    <row r="1001" customFormat="false" ht="15" hidden="false" customHeight="true" outlineLevel="0" collapsed="false">
      <c r="A1001" s="39"/>
      <c r="B1001" s="40"/>
      <c r="C1001" s="41"/>
      <c r="D1001" s="40"/>
      <c r="E1001" s="40"/>
      <c r="F1001" s="40"/>
      <c r="G1001" s="35" t="str">
        <f aca="false">IF($A1001="","",IF(ISNUMBER($G1000),$G1000+1,1))</f>
        <v/>
      </c>
      <c r="H1001" s="36" t="str">
        <f aca="false">IF(OR(NOT(ISNUMBER($G1001)),$G1001&lt;2,NOT(ISNUMBER($C1000)),$C1000=0),"",$C1001/$C1000-1)</f>
        <v/>
      </c>
      <c r="I1001" s="37" t="str">
        <f aca="false">IF(AND(ISNUMBER($G1001),$G1001&gt;=MA_SHORT),AVERAGE(INDEX($C$601:$C1001,402-MA_SHORT):$C1001),"")</f>
        <v/>
      </c>
      <c r="J1001" s="37" t="str">
        <f aca="false">IF(AND(ISNUMBER($G1001),$G1001&gt;=MA_MED),AVERAGE(INDEX($C$601:$C1001,402-MA_MED):$C1001),"")</f>
        <v/>
      </c>
      <c r="K1001" s="37" t="str">
        <f aca="false">IF(AND(ISNUMBER($G1001),$G1001&gt;=MA_LONG2),AVERAGE(INDEX($C$601:$C1001,402-MA_LONG2):$C1001),"")</f>
        <v/>
      </c>
      <c r="L1001" s="38" t="str">
        <f aca="false">IF(AND(ISNUMBER($G1001),$G1001&gt;=21),STDEV(INDEX($H$941:$H1001,62-20):$H1001)*SQRT(245),"")</f>
        <v/>
      </c>
      <c r="M1001" s="37" t="str">
        <f aca="false">IF(AND(ISNUMBER($G1001),$G1001&gt;=60),MAX(INDEX($D$801:$D1001,202-60):$D1001),"")</f>
        <v/>
      </c>
      <c r="N1001" s="37" t="str">
        <f aca="false">IF(AND(ISNUMBER($G1001),$G1001&gt;=60),MIN(INDEX($E$801:$E1001,202-60):$E1001),"")</f>
        <v/>
      </c>
      <c r="O1001" s="38" t="str">
        <f aca="false">IF(OR(NOT(ISNUMBER($C1001)),NOT(ISNUMBER($M1001)),$M1001=0),"",$C1001/$M1001-1)</f>
        <v/>
      </c>
    </row>
    <row r="1002" customFormat="false" ht="15" hidden="false" customHeight="true" outlineLevel="0" collapsed="false">
      <c r="A1002" s="39"/>
      <c r="B1002" s="40"/>
      <c r="C1002" s="41"/>
      <c r="D1002" s="40"/>
      <c r="E1002" s="40"/>
      <c r="F1002" s="40"/>
      <c r="G1002" s="35" t="str">
        <f aca="false">IF($A1002="","",IF(ISNUMBER($G1001),$G1001+1,1))</f>
        <v/>
      </c>
      <c r="H1002" s="36" t="str">
        <f aca="false">IF(OR(NOT(ISNUMBER($G1002)),$G1002&lt;2,NOT(ISNUMBER($C1001)),$C1001=0),"",$C1002/$C1001-1)</f>
        <v/>
      </c>
      <c r="I1002" s="37" t="str">
        <f aca="false">IF(AND(ISNUMBER($G1002),$G1002&gt;=MA_SHORT),AVERAGE(INDEX($C$602:$C1002,402-MA_SHORT):$C1002),"")</f>
        <v/>
      </c>
      <c r="J1002" s="37" t="str">
        <f aca="false">IF(AND(ISNUMBER($G1002),$G1002&gt;=MA_MED),AVERAGE(INDEX($C$602:$C1002,402-MA_MED):$C1002),"")</f>
        <v/>
      </c>
      <c r="K1002" s="37" t="str">
        <f aca="false">IF(AND(ISNUMBER($G1002),$G1002&gt;=MA_LONG2),AVERAGE(INDEX($C$602:$C1002,402-MA_LONG2):$C1002),"")</f>
        <v/>
      </c>
      <c r="L1002" s="38" t="str">
        <f aca="false">IF(AND(ISNUMBER($G1002),$G1002&gt;=21),STDEV(INDEX($H$942:$H1002,62-20):$H1002)*SQRT(245),"")</f>
        <v/>
      </c>
      <c r="M1002" s="37" t="str">
        <f aca="false">IF(AND(ISNUMBER($G1002),$G1002&gt;=60),MAX(INDEX($D$802:$D1002,202-60):$D1002),"")</f>
        <v/>
      </c>
      <c r="N1002" s="37" t="str">
        <f aca="false">IF(AND(ISNUMBER($G1002),$G1002&gt;=60),MIN(INDEX($E$802:$E1002,202-60):$E1002),"")</f>
        <v/>
      </c>
      <c r="O1002" s="38" t="str">
        <f aca="false">IF(OR(NOT(ISNUMBER($C1002)),NOT(ISNUMBER($M1002)),$M1002=0),"",$C1002/$M1002-1)</f>
        <v/>
      </c>
    </row>
    <row r="1003" customFormat="false" ht="15" hidden="false" customHeight="true" outlineLevel="0" collapsed="false">
      <c r="A1003" s="39"/>
      <c r="B1003" s="40"/>
      <c r="C1003" s="41"/>
      <c r="D1003" s="40"/>
      <c r="E1003" s="40"/>
      <c r="F1003" s="40"/>
      <c r="G1003" s="35" t="str">
        <f aca="false">IF($A1003="","",IF(ISNUMBER($G1002),$G1002+1,1))</f>
        <v/>
      </c>
      <c r="H1003" s="36" t="str">
        <f aca="false">IF(OR(NOT(ISNUMBER($G1003)),$G1003&lt;2,NOT(ISNUMBER($C1002)),$C1002=0),"",$C1003/$C1002-1)</f>
        <v/>
      </c>
      <c r="I1003" s="37" t="str">
        <f aca="false">IF(AND(ISNUMBER($G1003),$G1003&gt;=MA_SHORT),AVERAGE(INDEX($C$603:$C1003,402-MA_SHORT):$C1003),"")</f>
        <v/>
      </c>
      <c r="J1003" s="37" t="str">
        <f aca="false">IF(AND(ISNUMBER($G1003),$G1003&gt;=MA_MED),AVERAGE(INDEX($C$603:$C1003,402-MA_MED):$C1003),"")</f>
        <v/>
      </c>
      <c r="K1003" s="37" t="str">
        <f aca="false">IF(AND(ISNUMBER($G1003),$G1003&gt;=MA_LONG2),AVERAGE(INDEX($C$603:$C1003,402-MA_LONG2):$C1003),"")</f>
        <v/>
      </c>
      <c r="L1003" s="38" t="str">
        <f aca="false">IF(AND(ISNUMBER($G1003),$G1003&gt;=21),STDEV(INDEX($H$943:$H1003,62-20):$H1003)*SQRT(245),"")</f>
        <v/>
      </c>
      <c r="M1003" s="37" t="str">
        <f aca="false">IF(AND(ISNUMBER($G1003),$G1003&gt;=60),MAX(INDEX($D$803:$D1003,202-60):$D1003),"")</f>
        <v/>
      </c>
      <c r="N1003" s="37" t="str">
        <f aca="false">IF(AND(ISNUMBER($G1003),$G1003&gt;=60),MIN(INDEX($E$803:$E1003,202-60):$E1003),"")</f>
        <v/>
      </c>
      <c r="O1003" s="38" t="str">
        <f aca="false">IF(OR(NOT(ISNUMBER($C1003)),NOT(ISNUMBER($M1003)),$M1003=0),"",$C1003/$M1003-1)</f>
        <v/>
      </c>
    </row>
    <row r="1004" customFormat="false" ht="15" hidden="false" customHeight="true" outlineLevel="0" collapsed="false">
      <c r="A1004" s="39"/>
      <c r="B1004" s="40"/>
      <c r="C1004" s="41"/>
      <c r="D1004" s="40"/>
      <c r="E1004" s="40"/>
      <c r="F1004" s="40"/>
      <c r="G1004" s="35" t="str">
        <f aca="false">IF($A1004="","",IF(ISNUMBER($G1003),$G1003+1,1))</f>
        <v/>
      </c>
      <c r="H1004" s="36" t="str">
        <f aca="false">IF(OR(NOT(ISNUMBER($G1004)),$G1004&lt;2,NOT(ISNUMBER($C1003)),$C1003=0),"",$C1004/$C1003-1)</f>
        <v/>
      </c>
      <c r="I1004" s="37" t="str">
        <f aca="false">IF(AND(ISNUMBER($G1004),$G1004&gt;=MA_SHORT),AVERAGE(INDEX($C$604:$C1004,402-MA_SHORT):$C1004),"")</f>
        <v/>
      </c>
      <c r="J1004" s="37" t="str">
        <f aca="false">IF(AND(ISNUMBER($G1004),$G1004&gt;=MA_MED),AVERAGE(INDEX($C$604:$C1004,402-MA_MED):$C1004),"")</f>
        <v/>
      </c>
      <c r="K1004" s="37" t="str">
        <f aca="false">IF(AND(ISNUMBER($G1004),$G1004&gt;=MA_LONG2),AVERAGE(INDEX($C$604:$C1004,402-MA_LONG2):$C1004),"")</f>
        <v/>
      </c>
      <c r="L1004" s="38" t="str">
        <f aca="false">IF(AND(ISNUMBER($G1004),$G1004&gt;=21),STDEV(INDEX($H$944:$H1004,62-20):$H1004)*SQRT(245),"")</f>
        <v/>
      </c>
      <c r="M1004" s="37" t="str">
        <f aca="false">IF(AND(ISNUMBER($G1004),$G1004&gt;=60),MAX(INDEX($D$804:$D1004,202-60):$D1004),"")</f>
        <v/>
      </c>
      <c r="N1004" s="37" t="str">
        <f aca="false">IF(AND(ISNUMBER($G1004),$G1004&gt;=60),MIN(INDEX($E$804:$E1004,202-60):$E1004),"")</f>
        <v/>
      </c>
      <c r="O1004" s="38" t="str">
        <f aca="false">IF(OR(NOT(ISNUMBER($C1004)),NOT(ISNUMBER($M1004)),$M1004=0),"",$C1004/$M1004-1)</f>
        <v/>
      </c>
    </row>
    <row r="1005" customFormat="false" ht="15" hidden="false" customHeight="true" outlineLevel="0" collapsed="false">
      <c r="A1005" s="39"/>
      <c r="B1005" s="40"/>
      <c r="C1005" s="41"/>
      <c r="D1005" s="40"/>
      <c r="E1005" s="40"/>
      <c r="F1005" s="40"/>
      <c r="G1005" s="35" t="str">
        <f aca="false">IF($A1005="","",IF(ISNUMBER($G1004),$G1004+1,1))</f>
        <v/>
      </c>
      <c r="H1005" s="36" t="str">
        <f aca="false">IF(OR(NOT(ISNUMBER($G1005)),$G1005&lt;2,NOT(ISNUMBER($C1004)),$C1004=0),"",$C1005/$C1004-1)</f>
        <v/>
      </c>
      <c r="I1005" s="37" t="str">
        <f aca="false">IF(AND(ISNUMBER($G1005),$G1005&gt;=MA_SHORT),AVERAGE(INDEX($C$605:$C1005,402-MA_SHORT):$C1005),"")</f>
        <v/>
      </c>
      <c r="J1005" s="37" t="str">
        <f aca="false">IF(AND(ISNUMBER($G1005),$G1005&gt;=MA_MED),AVERAGE(INDEX($C$605:$C1005,402-MA_MED):$C1005),"")</f>
        <v/>
      </c>
      <c r="K1005" s="37" t="str">
        <f aca="false">IF(AND(ISNUMBER($G1005),$G1005&gt;=MA_LONG2),AVERAGE(INDEX($C$605:$C1005,402-MA_LONG2):$C1005),"")</f>
        <v/>
      </c>
      <c r="L1005" s="38" t="str">
        <f aca="false">IF(AND(ISNUMBER($G1005),$G1005&gt;=21),STDEV(INDEX($H$945:$H1005,62-20):$H1005)*SQRT(245),"")</f>
        <v/>
      </c>
      <c r="M1005" s="37" t="str">
        <f aca="false">IF(AND(ISNUMBER($G1005),$G1005&gt;=60),MAX(INDEX($D$805:$D1005,202-60):$D1005),"")</f>
        <v/>
      </c>
      <c r="N1005" s="37" t="str">
        <f aca="false">IF(AND(ISNUMBER($G1005),$G1005&gt;=60),MIN(INDEX($E$805:$E1005,202-60):$E1005),"")</f>
        <v/>
      </c>
      <c r="O1005" s="38" t="str">
        <f aca="false">IF(OR(NOT(ISNUMBER($C1005)),NOT(ISNUMBER($M1005)),$M1005=0),"",$C1005/$M1005-1)</f>
        <v/>
      </c>
    </row>
    <row r="1006" customFormat="false" ht="15" hidden="false" customHeight="true" outlineLevel="0" collapsed="false">
      <c r="A1006" s="39"/>
      <c r="B1006" s="40"/>
      <c r="C1006" s="41"/>
      <c r="D1006" s="40"/>
      <c r="E1006" s="40"/>
      <c r="F1006" s="40"/>
      <c r="G1006" s="35" t="str">
        <f aca="false">IF($A1006="","",IF(ISNUMBER($G1005),$G1005+1,1))</f>
        <v/>
      </c>
      <c r="H1006" s="36" t="str">
        <f aca="false">IF(OR(NOT(ISNUMBER($G1006)),$G1006&lt;2,NOT(ISNUMBER($C1005)),$C1005=0),"",$C1006/$C1005-1)</f>
        <v/>
      </c>
      <c r="I1006" s="37" t="str">
        <f aca="false">IF(AND(ISNUMBER($G1006),$G1006&gt;=MA_SHORT),AVERAGE(INDEX($C$606:$C1006,402-MA_SHORT):$C1006),"")</f>
        <v/>
      </c>
      <c r="J1006" s="37" t="str">
        <f aca="false">IF(AND(ISNUMBER($G1006),$G1006&gt;=MA_MED),AVERAGE(INDEX($C$606:$C1006,402-MA_MED):$C1006),"")</f>
        <v/>
      </c>
      <c r="K1006" s="37" t="str">
        <f aca="false">IF(AND(ISNUMBER($G1006),$G1006&gt;=MA_LONG2),AVERAGE(INDEX($C$606:$C1006,402-MA_LONG2):$C1006),"")</f>
        <v/>
      </c>
      <c r="L1006" s="38" t="str">
        <f aca="false">IF(AND(ISNUMBER($G1006),$G1006&gt;=21),STDEV(INDEX($H$946:$H1006,62-20):$H1006)*SQRT(245),"")</f>
        <v/>
      </c>
      <c r="M1006" s="37" t="str">
        <f aca="false">IF(AND(ISNUMBER($G1006),$G1006&gt;=60),MAX(INDEX($D$806:$D1006,202-60):$D1006),"")</f>
        <v/>
      </c>
      <c r="N1006" s="37" t="str">
        <f aca="false">IF(AND(ISNUMBER($G1006),$G1006&gt;=60),MIN(INDEX($E$806:$E1006,202-60):$E1006),"")</f>
        <v/>
      </c>
      <c r="O1006" s="38" t="str">
        <f aca="false">IF(OR(NOT(ISNUMBER($C1006)),NOT(ISNUMBER($M1006)),$M1006=0),"",$C1006/$M1006-1)</f>
        <v/>
      </c>
    </row>
    <row r="1007" customFormat="false" ht="15" hidden="false" customHeight="true" outlineLevel="0" collapsed="false">
      <c r="A1007" s="39"/>
      <c r="B1007" s="40"/>
      <c r="C1007" s="41"/>
      <c r="D1007" s="40"/>
      <c r="E1007" s="40"/>
      <c r="F1007" s="40"/>
      <c r="G1007" s="35" t="str">
        <f aca="false">IF($A1007="","",IF(ISNUMBER($G1006),$G1006+1,1))</f>
        <v/>
      </c>
      <c r="H1007" s="36" t="str">
        <f aca="false">IF(OR(NOT(ISNUMBER($G1007)),$G1007&lt;2,NOT(ISNUMBER($C1006)),$C1006=0),"",$C1007/$C1006-1)</f>
        <v/>
      </c>
      <c r="I1007" s="37" t="str">
        <f aca="false">IF(AND(ISNUMBER($G1007),$G1007&gt;=MA_SHORT),AVERAGE(INDEX($C$607:$C1007,402-MA_SHORT):$C1007),"")</f>
        <v/>
      </c>
      <c r="J1007" s="37" t="str">
        <f aca="false">IF(AND(ISNUMBER($G1007),$G1007&gt;=MA_MED),AVERAGE(INDEX($C$607:$C1007,402-MA_MED):$C1007),"")</f>
        <v/>
      </c>
      <c r="K1007" s="37" t="str">
        <f aca="false">IF(AND(ISNUMBER($G1007),$G1007&gt;=MA_LONG2),AVERAGE(INDEX($C$607:$C1007,402-MA_LONG2):$C1007),"")</f>
        <v/>
      </c>
      <c r="L1007" s="38" t="str">
        <f aca="false">IF(AND(ISNUMBER($G1007),$G1007&gt;=21),STDEV(INDEX($H$947:$H1007,62-20):$H1007)*SQRT(245),"")</f>
        <v/>
      </c>
      <c r="M1007" s="37" t="str">
        <f aca="false">IF(AND(ISNUMBER($G1007),$G1007&gt;=60),MAX(INDEX($D$807:$D1007,202-60):$D1007),"")</f>
        <v/>
      </c>
      <c r="N1007" s="37" t="str">
        <f aca="false">IF(AND(ISNUMBER($G1007),$G1007&gt;=60),MIN(INDEX($E$807:$E1007,202-60):$E1007),"")</f>
        <v/>
      </c>
      <c r="O1007" s="38" t="str">
        <f aca="false">IF(OR(NOT(ISNUMBER($C1007)),NOT(ISNUMBER($M1007)),$M1007=0),"",$C1007/$M1007-1)</f>
        <v/>
      </c>
    </row>
    <row r="1008" customFormat="false" ht="15" hidden="false" customHeight="true" outlineLevel="0" collapsed="false">
      <c r="A1008" s="39"/>
      <c r="B1008" s="40"/>
      <c r="C1008" s="41"/>
      <c r="D1008" s="40"/>
      <c r="E1008" s="40"/>
      <c r="F1008" s="40"/>
      <c r="G1008" s="35" t="str">
        <f aca="false">IF($A1008="","",IF(ISNUMBER($G1007),$G1007+1,1))</f>
        <v/>
      </c>
      <c r="H1008" s="36" t="str">
        <f aca="false">IF(OR(NOT(ISNUMBER($G1008)),$G1008&lt;2,NOT(ISNUMBER($C1007)),$C1007=0),"",$C1008/$C1007-1)</f>
        <v/>
      </c>
      <c r="I1008" s="37" t="str">
        <f aca="false">IF(AND(ISNUMBER($G1008),$G1008&gt;=MA_SHORT),AVERAGE(INDEX($C$608:$C1008,402-MA_SHORT):$C1008),"")</f>
        <v/>
      </c>
      <c r="J1008" s="37" t="str">
        <f aca="false">IF(AND(ISNUMBER($G1008),$G1008&gt;=MA_MED),AVERAGE(INDEX($C$608:$C1008,402-MA_MED):$C1008),"")</f>
        <v/>
      </c>
      <c r="K1008" s="37" t="str">
        <f aca="false">IF(AND(ISNUMBER($G1008),$G1008&gt;=MA_LONG2),AVERAGE(INDEX($C$608:$C1008,402-MA_LONG2):$C1008),"")</f>
        <v/>
      </c>
      <c r="L1008" s="38" t="str">
        <f aca="false">IF(AND(ISNUMBER($G1008),$G1008&gt;=21),STDEV(INDEX($H$948:$H1008,62-20):$H1008)*SQRT(245),"")</f>
        <v/>
      </c>
      <c r="M1008" s="37" t="str">
        <f aca="false">IF(AND(ISNUMBER($G1008),$G1008&gt;=60),MAX(INDEX($D$808:$D1008,202-60):$D1008),"")</f>
        <v/>
      </c>
      <c r="N1008" s="37" t="str">
        <f aca="false">IF(AND(ISNUMBER($G1008),$G1008&gt;=60),MIN(INDEX($E$808:$E1008,202-60):$E1008),"")</f>
        <v/>
      </c>
      <c r="O1008" s="38" t="str">
        <f aca="false">IF(OR(NOT(ISNUMBER($C1008)),NOT(ISNUMBER($M1008)),$M1008=0),"",$C1008/$M1008-1)</f>
        <v/>
      </c>
    </row>
    <row r="1009" customFormat="false" ht="15" hidden="false" customHeight="true" outlineLevel="0" collapsed="false">
      <c r="A1009" s="39"/>
      <c r="B1009" s="40"/>
      <c r="C1009" s="41"/>
      <c r="D1009" s="40"/>
      <c r="E1009" s="40"/>
      <c r="F1009" s="40"/>
      <c r="G1009" s="35" t="str">
        <f aca="false">IF($A1009="","",IF(ISNUMBER($G1008),$G1008+1,1))</f>
        <v/>
      </c>
      <c r="H1009" s="36" t="str">
        <f aca="false">IF(OR(NOT(ISNUMBER($G1009)),$G1009&lt;2,NOT(ISNUMBER($C1008)),$C1008=0),"",$C1009/$C1008-1)</f>
        <v/>
      </c>
      <c r="I1009" s="37" t="str">
        <f aca="false">IF(AND(ISNUMBER($G1009),$G1009&gt;=MA_SHORT),AVERAGE(INDEX($C$609:$C1009,402-MA_SHORT):$C1009),"")</f>
        <v/>
      </c>
      <c r="J1009" s="37" t="str">
        <f aca="false">IF(AND(ISNUMBER($G1009),$G1009&gt;=MA_MED),AVERAGE(INDEX($C$609:$C1009,402-MA_MED):$C1009),"")</f>
        <v/>
      </c>
      <c r="K1009" s="37" t="str">
        <f aca="false">IF(AND(ISNUMBER($G1009),$G1009&gt;=MA_LONG2),AVERAGE(INDEX($C$609:$C1009,402-MA_LONG2):$C1009),"")</f>
        <v/>
      </c>
      <c r="L1009" s="38" t="str">
        <f aca="false">IF(AND(ISNUMBER($G1009),$G1009&gt;=21),STDEV(INDEX($H$949:$H1009,62-20):$H1009)*SQRT(245),"")</f>
        <v/>
      </c>
      <c r="M1009" s="37" t="str">
        <f aca="false">IF(AND(ISNUMBER($G1009),$G1009&gt;=60),MAX(INDEX($D$809:$D1009,202-60):$D1009),"")</f>
        <v/>
      </c>
      <c r="N1009" s="37" t="str">
        <f aca="false">IF(AND(ISNUMBER($G1009),$G1009&gt;=60),MIN(INDEX($E$809:$E1009,202-60):$E1009),"")</f>
        <v/>
      </c>
      <c r="O1009" s="38" t="str">
        <f aca="false">IF(OR(NOT(ISNUMBER($C1009)),NOT(ISNUMBER($M1009)),$M1009=0),"",$C1009/$M1009-1)</f>
        <v/>
      </c>
    </row>
    <row r="1010" customFormat="false" ht="15" hidden="false" customHeight="true" outlineLevel="0" collapsed="false">
      <c r="A1010" s="39"/>
      <c r="B1010" s="40"/>
      <c r="C1010" s="41"/>
      <c r="D1010" s="40"/>
      <c r="E1010" s="40"/>
      <c r="F1010" s="40"/>
      <c r="G1010" s="35" t="str">
        <f aca="false">IF($A1010="","",IF(ISNUMBER($G1009),$G1009+1,1))</f>
        <v/>
      </c>
      <c r="H1010" s="36" t="str">
        <f aca="false">IF(OR(NOT(ISNUMBER($G1010)),$G1010&lt;2,NOT(ISNUMBER($C1009)),$C1009=0),"",$C1010/$C1009-1)</f>
        <v/>
      </c>
      <c r="I1010" s="37" t="str">
        <f aca="false">IF(AND(ISNUMBER($G1010),$G1010&gt;=MA_SHORT),AVERAGE(INDEX($C$610:$C1010,402-MA_SHORT):$C1010),"")</f>
        <v/>
      </c>
      <c r="J1010" s="37" t="str">
        <f aca="false">IF(AND(ISNUMBER($G1010),$G1010&gt;=MA_MED),AVERAGE(INDEX($C$610:$C1010,402-MA_MED):$C1010),"")</f>
        <v/>
      </c>
      <c r="K1010" s="37" t="str">
        <f aca="false">IF(AND(ISNUMBER($G1010),$G1010&gt;=MA_LONG2),AVERAGE(INDEX($C$610:$C1010,402-MA_LONG2):$C1010),"")</f>
        <v/>
      </c>
      <c r="L1010" s="38" t="str">
        <f aca="false">IF(AND(ISNUMBER($G1010),$G1010&gt;=21),STDEV(INDEX($H$950:$H1010,62-20):$H1010)*SQRT(245),"")</f>
        <v/>
      </c>
      <c r="M1010" s="37" t="str">
        <f aca="false">IF(AND(ISNUMBER($G1010),$G1010&gt;=60),MAX(INDEX($D$810:$D1010,202-60):$D1010),"")</f>
        <v/>
      </c>
      <c r="N1010" s="37" t="str">
        <f aca="false">IF(AND(ISNUMBER($G1010),$G1010&gt;=60),MIN(INDEX($E$810:$E1010,202-60):$E1010),"")</f>
        <v/>
      </c>
      <c r="O1010" s="38" t="str">
        <f aca="false">IF(OR(NOT(ISNUMBER($C1010)),NOT(ISNUMBER($M1010)),$M1010=0),"",$C1010/$M1010-1)</f>
        <v/>
      </c>
    </row>
    <row r="1011" customFormat="false" ht="15" hidden="false" customHeight="true" outlineLevel="0" collapsed="false">
      <c r="A1011" s="39"/>
      <c r="B1011" s="40"/>
      <c r="C1011" s="41"/>
      <c r="D1011" s="40"/>
      <c r="E1011" s="40"/>
      <c r="F1011" s="40"/>
      <c r="G1011" s="35" t="str">
        <f aca="false">IF($A1011="","",IF(ISNUMBER($G1010),$G1010+1,1))</f>
        <v/>
      </c>
      <c r="H1011" s="36" t="str">
        <f aca="false">IF(OR(NOT(ISNUMBER($G1011)),$G1011&lt;2,NOT(ISNUMBER($C1010)),$C1010=0),"",$C1011/$C1010-1)</f>
        <v/>
      </c>
      <c r="I1011" s="37" t="str">
        <f aca="false">IF(AND(ISNUMBER($G1011),$G1011&gt;=MA_SHORT),AVERAGE(INDEX($C$611:$C1011,402-MA_SHORT):$C1011),"")</f>
        <v/>
      </c>
      <c r="J1011" s="37" t="str">
        <f aca="false">IF(AND(ISNUMBER($G1011),$G1011&gt;=MA_MED),AVERAGE(INDEX($C$611:$C1011,402-MA_MED):$C1011),"")</f>
        <v/>
      </c>
      <c r="K1011" s="37" t="str">
        <f aca="false">IF(AND(ISNUMBER($G1011),$G1011&gt;=MA_LONG2),AVERAGE(INDEX($C$611:$C1011,402-MA_LONG2):$C1011),"")</f>
        <v/>
      </c>
      <c r="L1011" s="38" t="str">
        <f aca="false">IF(AND(ISNUMBER($G1011),$G1011&gt;=21),STDEV(INDEX($H$951:$H1011,62-20):$H1011)*SQRT(245),"")</f>
        <v/>
      </c>
      <c r="M1011" s="37" t="str">
        <f aca="false">IF(AND(ISNUMBER($G1011),$G1011&gt;=60),MAX(INDEX($D$811:$D1011,202-60):$D1011),"")</f>
        <v/>
      </c>
      <c r="N1011" s="37" t="str">
        <f aca="false">IF(AND(ISNUMBER($G1011),$G1011&gt;=60),MIN(INDEX($E$811:$E1011,202-60):$E1011),"")</f>
        <v/>
      </c>
      <c r="O1011" s="38" t="str">
        <f aca="false">IF(OR(NOT(ISNUMBER($C1011)),NOT(ISNUMBER($M1011)),$M1011=0),"",$C1011/$M1011-1)</f>
        <v/>
      </c>
    </row>
    <row r="1012" customFormat="false" ht="15" hidden="false" customHeight="true" outlineLevel="0" collapsed="false">
      <c r="A1012" s="39"/>
      <c r="B1012" s="40"/>
      <c r="C1012" s="41"/>
      <c r="D1012" s="40"/>
      <c r="E1012" s="40"/>
      <c r="F1012" s="40"/>
      <c r="G1012" s="35" t="str">
        <f aca="false">IF($A1012="","",IF(ISNUMBER($G1011),$G1011+1,1))</f>
        <v/>
      </c>
      <c r="H1012" s="36" t="str">
        <f aca="false">IF(OR(NOT(ISNUMBER($G1012)),$G1012&lt;2,NOT(ISNUMBER($C1011)),$C1011=0),"",$C1012/$C1011-1)</f>
        <v/>
      </c>
      <c r="I1012" s="37" t="str">
        <f aca="false">IF(AND(ISNUMBER($G1012),$G1012&gt;=MA_SHORT),AVERAGE(INDEX($C$612:$C1012,402-MA_SHORT):$C1012),"")</f>
        <v/>
      </c>
      <c r="J1012" s="37" t="str">
        <f aca="false">IF(AND(ISNUMBER($G1012),$G1012&gt;=MA_MED),AVERAGE(INDEX($C$612:$C1012,402-MA_MED):$C1012),"")</f>
        <v/>
      </c>
      <c r="K1012" s="37" t="str">
        <f aca="false">IF(AND(ISNUMBER($G1012),$G1012&gt;=MA_LONG2),AVERAGE(INDEX($C$612:$C1012,402-MA_LONG2):$C1012),"")</f>
        <v/>
      </c>
      <c r="L1012" s="38" t="str">
        <f aca="false">IF(AND(ISNUMBER($G1012),$G1012&gt;=21),STDEV(INDEX($H$952:$H1012,62-20):$H1012)*SQRT(245),"")</f>
        <v/>
      </c>
      <c r="M1012" s="37" t="str">
        <f aca="false">IF(AND(ISNUMBER($G1012),$G1012&gt;=60),MAX(INDEX($D$812:$D1012,202-60):$D1012),"")</f>
        <v/>
      </c>
      <c r="N1012" s="37" t="str">
        <f aca="false">IF(AND(ISNUMBER($G1012),$G1012&gt;=60),MIN(INDEX($E$812:$E1012,202-60):$E1012),"")</f>
        <v/>
      </c>
      <c r="O1012" s="38" t="str">
        <f aca="false">IF(OR(NOT(ISNUMBER($C1012)),NOT(ISNUMBER($M1012)),$M1012=0),"",$C1012/$M1012-1)</f>
        <v/>
      </c>
    </row>
    <row r="1013" customFormat="false" ht="15" hidden="false" customHeight="true" outlineLevel="0" collapsed="false">
      <c r="A1013" s="39"/>
      <c r="B1013" s="40"/>
      <c r="C1013" s="41"/>
      <c r="D1013" s="40"/>
      <c r="E1013" s="40"/>
      <c r="F1013" s="40"/>
      <c r="G1013" s="35" t="str">
        <f aca="false">IF($A1013="","",IF(ISNUMBER($G1012),$G1012+1,1))</f>
        <v/>
      </c>
      <c r="H1013" s="36" t="str">
        <f aca="false">IF(OR(NOT(ISNUMBER($G1013)),$G1013&lt;2,NOT(ISNUMBER($C1012)),$C1012=0),"",$C1013/$C1012-1)</f>
        <v/>
      </c>
      <c r="I1013" s="37" t="str">
        <f aca="false">IF(AND(ISNUMBER($G1013),$G1013&gt;=MA_SHORT),AVERAGE(INDEX($C$613:$C1013,402-MA_SHORT):$C1013),"")</f>
        <v/>
      </c>
      <c r="J1013" s="37" t="str">
        <f aca="false">IF(AND(ISNUMBER($G1013),$G1013&gt;=MA_MED),AVERAGE(INDEX($C$613:$C1013,402-MA_MED):$C1013),"")</f>
        <v/>
      </c>
      <c r="K1013" s="37" t="str">
        <f aca="false">IF(AND(ISNUMBER($G1013),$G1013&gt;=MA_LONG2),AVERAGE(INDEX($C$613:$C1013,402-MA_LONG2):$C1013),"")</f>
        <v/>
      </c>
      <c r="L1013" s="38" t="str">
        <f aca="false">IF(AND(ISNUMBER($G1013),$G1013&gt;=21),STDEV(INDEX($H$953:$H1013,62-20):$H1013)*SQRT(245),"")</f>
        <v/>
      </c>
      <c r="M1013" s="37" t="str">
        <f aca="false">IF(AND(ISNUMBER($G1013),$G1013&gt;=60),MAX(INDEX($D$813:$D1013,202-60):$D1013),"")</f>
        <v/>
      </c>
      <c r="N1013" s="37" t="str">
        <f aca="false">IF(AND(ISNUMBER($G1013),$G1013&gt;=60),MIN(INDEX($E$813:$E1013,202-60):$E1013),"")</f>
        <v/>
      </c>
      <c r="O1013" s="38" t="str">
        <f aca="false">IF(OR(NOT(ISNUMBER($C1013)),NOT(ISNUMBER($M1013)),$M1013=0),"",$C1013/$M1013-1)</f>
        <v/>
      </c>
    </row>
    <row r="1014" customFormat="false" ht="15" hidden="false" customHeight="true" outlineLevel="0" collapsed="false">
      <c r="A1014" s="39"/>
      <c r="B1014" s="40"/>
      <c r="C1014" s="41"/>
      <c r="D1014" s="40"/>
      <c r="E1014" s="40"/>
      <c r="F1014" s="40"/>
      <c r="G1014" s="35" t="str">
        <f aca="false">IF($A1014="","",IF(ISNUMBER($G1013),$G1013+1,1))</f>
        <v/>
      </c>
      <c r="H1014" s="36" t="str">
        <f aca="false">IF(OR(NOT(ISNUMBER($G1014)),$G1014&lt;2,NOT(ISNUMBER($C1013)),$C1013=0),"",$C1014/$C1013-1)</f>
        <v/>
      </c>
      <c r="I1014" s="37" t="str">
        <f aca="false">IF(AND(ISNUMBER($G1014),$G1014&gt;=MA_SHORT),AVERAGE(INDEX($C$614:$C1014,402-MA_SHORT):$C1014),"")</f>
        <v/>
      </c>
      <c r="J1014" s="37" t="str">
        <f aca="false">IF(AND(ISNUMBER($G1014),$G1014&gt;=MA_MED),AVERAGE(INDEX($C$614:$C1014,402-MA_MED):$C1014),"")</f>
        <v/>
      </c>
      <c r="K1014" s="37" t="str">
        <f aca="false">IF(AND(ISNUMBER($G1014),$G1014&gt;=MA_LONG2),AVERAGE(INDEX($C$614:$C1014,402-MA_LONG2):$C1014),"")</f>
        <v/>
      </c>
      <c r="L1014" s="38" t="str">
        <f aca="false">IF(AND(ISNUMBER($G1014),$G1014&gt;=21),STDEV(INDEX($H$954:$H1014,62-20):$H1014)*SQRT(245),"")</f>
        <v/>
      </c>
      <c r="M1014" s="37" t="str">
        <f aca="false">IF(AND(ISNUMBER($G1014),$G1014&gt;=60),MAX(INDEX($D$814:$D1014,202-60):$D1014),"")</f>
        <v/>
      </c>
      <c r="N1014" s="37" t="str">
        <f aca="false">IF(AND(ISNUMBER($G1014),$G1014&gt;=60),MIN(INDEX($E$814:$E1014,202-60):$E1014),"")</f>
        <v/>
      </c>
      <c r="O1014" s="38" t="str">
        <f aca="false">IF(OR(NOT(ISNUMBER($C1014)),NOT(ISNUMBER($M1014)),$M1014=0),"",$C1014/$M1014-1)</f>
        <v/>
      </c>
    </row>
    <row r="1015" customFormat="false" ht="15" hidden="false" customHeight="true" outlineLevel="0" collapsed="false">
      <c r="A1015" s="39"/>
      <c r="B1015" s="40"/>
      <c r="C1015" s="41"/>
      <c r="D1015" s="40"/>
      <c r="E1015" s="40"/>
      <c r="F1015" s="40"/>
      <c r="G1015" s="35" t="str">
        <f aca="false">IF($A1015="","",IF(ISNUMBER($G1014),$G1014+1,1))</f>
        <v/>
      </c>
      <c r="H1015" s="36" t="str">
        <f aca="false">IF(OR(NOT(ISNUMBER($G1015)),$G1015&lt;2,NOT(ISNUMBER($C1014)),$C1014=0),"",$C1015/$C1014-1)</f>
        <v/>
      </c>
      <c r="I1015" s="37" t="str">
        <f aca="false">IF(AND(ISNUMBER($G1015),$G1015&gt;=MA_SHORT),AVERAGE(INDEX($C$615:$C1015,402-MA_SHORT):$C1015),"")</f>
        <v/>
      </c>
      <c r="J1015" s="37" t="str">
        <f aca="false">IF(AND(ISNUMBER($G1015),$G1015&gt;=MA_MED),AVERAGE(INDEX($C$615:$C1015,402-MA_MED):$C1015),"")</f>
        <v/>
      </c>
      <c r="K1015" s="37" t="str">
        <f aca="false">IF(AND(ISNUMBER($G1015),$G1015&gt;=MA_LONG2),AVERAGE(INDEX($C$615:$C1015,402-MA_LONG2):$C1015),"")</f>
        <v/>
      </c>
      <c r="L1015" s="38" t="str">
        <f aca="false">IF(AND(ISNUMBER($G1015),$G1015&gt;=21),STDEV(INDEX($H$955:$H1015,62-20):$H1015)*SQRT(245),"")</f>
        <v/>
      </c>
      <c r="M1015" s="37" t="str">
        <f aca="false">IF(AND(ISNUMBER($G1015),$G1015&gt;=60),MAX(INDEX($D$815:$D1015,202-60):$D1015),"")</f>
        <v/>
      </c>
      <c r="N1015" s="37" t="str">
        <f aca="false">IF(AND(ISNUMBER($G1015),$G1015&gt;=60),MIN(INDEX($E$815:$E1015,202-60):$E1015),"")</f>
        <v/>
      </c>
      <c r="O1015" s="38" t="str">
        <f aca="false">IF(OR(NOT(ISNUMBER($C1015)),NOT(ISNUMBER($M1015)),$M1015=0),"",$C1015/$M1015-1)</f>
        <v/>
      </c>
    </row>
    <row r="1016" customFormat="false" ht="15" hidden="false" customHeight="true" outlineLevel="0" collapsed="false">
      <c r="A1016" s="39"/>
      <c r="B1016" s="40"/>
      <c r="C1016" s="41"/>
      <c r="D1016" s="40"/>
      <c r="E1016" s="40"/>
      <c r="F1016" s="40"/>
      <c r="G1016" s="35" t="str">
        <f aca="false">IF($A1016="","",IF(ISNUMBER($G1015),$G1015+1,1))</f>
        <v/>
      </c>
      <c r="H1016" s="36" t="str">
        <f aca="false">IF(OR(NOT(ISNUMBER($G1016)),$G1016&lt;2,NOT(ISNUMBER($C1015)),$C1015=0),"",$C1016/$C1015-1)</f>
        <v/>
      </c>
      <c r="I1016" s="37" t="str">
        <f aca="false">IF(AND(ISNUMBER($G1016),$G1016&gt;=MA_SHORT),AVERAGE(INDEX($C$616:$C1016,402-MA_SHORT):$C1016),"")</f>
        <v/>
      </c>
      <c r="J1016" s="37" t="str">
        <f aca="false">IF(AND(ISNUMBER($G1016),$G1016&gt;=MA_MED),AVERAGE(INDEX($C$616:$C1016,402-MA_MED):$C1016),"")</f>
        <v/>
      </c>
      <c r="K1016" s="37" t="str">
        <f aca="false">IF(AND(ISNUMBER($G1016),$G1016&gt;=MA_LONG2),AVERAGE(INDEX($C$616:$C1016,402-MA_LONG2):$C1016),"")</f>
        <v/>
      </c>
      <c r="L1016" s="38" t="str">
        <f aca="false">IF(AND(ISNUMBER($G1016),$G1016&gt;=21),STDEV(INDEX($H$956:$H1016,62-20):$H1016)*SQRT(245),"")</f>
        <v/>
      </c>
      <c r="M1016" s="37" t="str">
        <f aca="false">IF(AND(ISNUMBER($G1016),$G1016&gt;=60),MAX(INDEX($D$816:$D1016,202-60):$D1016),"")</f>
        <v/>
      </c>
      <c r="N1016" s="37" t="str">
        <f aca="false">IF(AND(ISNUMBER($G1016),$G1016&gt;=60),MIN(INDEX($E$816:$E1016,202-60):$E1016),"")</f>
        <v/>
      </c>
      <c r="O1016" s="38" t="str">
        <f aca="false">IF(OR(NOT(ISNUMBER($C1016)),NOT(ISNUMBER($M1016)),$M1016=0),"",$C1016/$M1016-1)</f>
        <v/>
      </c>
    </row>
    <row r="1017" customFormat="false" ht="15" hidden="false" customHeight="true" outlineLevel="0" collapsed="false">
      <c r="A1017" s="39"/>
      <c r="B1017" s="40"/>
      <c r="C1017" s="41"/>
      <c r="D1017" s="40"/>
      <c r="E1017" s="40"/>
      <c r="F1017" s="40"/>
      <c r="G1017" s="35" t="str">
        <f aca="false">IF($A1017="","",IF(ISNUMBER($G1016),$G1016+1,1))</f>
        <v/>
      </c>
      <c r="H1017" s="36" t="str">
        <f aca="false">IF(OR(NOT(ISNUMBER($G1017)),$G1017&lt;2,NOT(ISNUMBER($C1016)),$C1016=0),"",$C1017/$C1016-1)</f>
        <v/>
      </c>
      <c r="I1017" s="37" t="str">
        <f aca="false">IF(AND(ISNUMBER($G1017),$G1017&gt;=MA_SHORT),AVERAGE(INDEX($C$617:$C1017,402-MA_SHORT):$C1017),"")</f>
        <v/>
      </c>
      <c r="J1017" s="37" t="str">
        <f aca="false">IF(AND(ISNUMBER($G1017),$G1017&gt;=MA_MED),AVERAGE(INDEX($C$617:$C1017,402-MA_MED):$C1017),"")</f>
        <v/>
      </c>
      <c r="K1017" s="37" t="str">
        <f aca="false">IF(AND(ISNUMBER($G1017),$G1017&gt;=MA_LONG2),AVERAGE(INDEX($C$617:$C1017,402-MA_LONG2):$C1017),"")</f>
        <v/>
      </c>
      <c r="L1017" s="38" t="str">
        <f aca="false">IF(AND(ISNUMBER($G1017),$G1017&gt;=21),STDEV(INDEX($H$957:$H1017,62-20):$H1017)*SQRT(245),"")</f>
        <v/>
      </c>
      <c r="M1017" s="37" t="str">
        <f aca="false">IF(AND(ISNUMBER($G1017),$G1017&gt;=60),MAX(INDEX($D$817:$D1017,202-60):$D1017),"")</f>
        <v/>
      </c>
      <c r="N1017" s="37" t="str">
        <f aca="false">IF(AND(ISNUMBER($G1017),$G1017&gt;=60),MIN(INDEX($E$817:$E1017,202-60):$E1017),"")</f>
        <v/>
      </c>
      <c r="O1017" s="38" t="str">
        <f aca="false">IF(OR(NOT(ISNUMBER($C1017)),NOT(ISNUMBER($M1017)),$M1017=0),"",$C1017/$M1017-1)</f>
        <v/>
      </c>
    </row>
    <row r="1018" customFormat="false" ht="15" hidden="false" customHeight="true" outlineLevel="0" collapsed="false">
      <c r="A1018" s="39"/>
      <c r="B1018" s="40"/>
      <c r="C1018" s="41"/>
      <c r="D1018" s="40"/>
      <c r="E1018" s="40"/>
      <c r="F1018" s="40"/>
      <c r="G1018" s="35" t="str">
        <f aca="false">IF($A1018="","",IF(ISNUMBER($G1017),$G1017+1,1))</f>
        <v/>
      </c>
      <c r="H1018" s="36" t="str">
        <f aca="false">IF(OR(NOT(ISNUMBER($G1018)),$G1018&lt;2,NOT(ISNUMBER($C1017)),$C1017=0),"",$C1018/$C1017-1)</f>
        <v/>
      </c>
      <c r="I1018" s="37" t="str">
        <f aca="false">IF(AND(ISNUMBER($G1018),$G1018&gt;=MA_SHORT),AVERAGE(INDEX($C$618:$C1018,402-MA_SHORT):$C1018),"")</f>
        <v/>
      </c>
      <c r="J1018" s="37" t="str">
        <f aca="false">IF(AND(ISNUMBER($G1018),$G1018&gt;=MA_MED),AVERAGE(INDEX($C$618:$C1018,402-MA_MED):$C1018),"")</f>
        <v/>
      </c>
      <c r="K1018" s="37" t="str">
        <f aca="false">IF(AND(ISNUMBER($G1018),$G1018&gt;=MA_LONG2),AVERAGE(INDEX($C$618:$C1018,402-MA_LONG2):$C1018),"")</f>
        <v/>
      </c>
      <c r="L1018" s="38" t="str">
        <f aca="false">IF(AND(ISNUMBER($G1018),$G1018&gt;=21),STDEV(INDEX($H$958:$H1018,62-20):$H1018)*SQRT(245),"")</f>
        <v/>
      </c>
      <c r="M1018" s="37" t="str">
        <f aca="false">IF(AND(ISNUMBER($G1018),$G1018&gt;=60),MAX(INDEX($D$818:$D1018,202-60):$D1018),"")</f>
        <v/>
      </c>
      <c r="N1018" s="37" t="str">
        <f aca="false">IF(AND(ISNUMBER($G1018),$G1018&gt;=60),MIN(INDEX($E$818:$E1018,202-60):$E1018),"")</f>
        <v/>
      </c>
      <c r="O1018" s="38" t="str">
        <f aca="false">IF(OR(NOT(ISNUMBER($C1018)),NOT(ISNUMBER($M1018)),$M1018=0),"",$C1018/$M1018-1)</f>
        <v/>
      </c>
    </row>
    <row r="1019" customFormat="false" ht="15" hidden="false" customHeight="true" outlineLevel="0" collapsed="false">
      <c r="A1019" s="39"/>
      <c r="B1019" s="40"/>
      <c r="C1019" s="41"/>
      <c r="D1019" s="40"/>
      <c r="E1019" s="40"/>
      <c r="F1019" s="40"/>
      <c r="G1019" s="35" t="str">
        <f aca="false">IF($A1019="","",IF(ISNUMBER($G1018),$G1018+1,1))</f>
        <v/>
      </c>
      <c r="H1019" s="36" t="str">
        <f aca="false">IF(OR(NOT(ISNUMBER($G1019)),$G1019&lt;2,NOT(ISNUMBER($C1018)),$C1018=0),"",$C1019/$C1018-1)</f>
        <v/>
      </c>
      <c r="I1019" s="37" t="str">
        <f aca="false">IF(AND(ISNUMBER($G1019),$G1019&gt;=MA_SHORT),AVERAGE(INDEX($C$619:$C1019,402-MA_SHORT):$C1019),"")</f>
        <v/>
      </c>
      <c r="J1019" s="37" t="str">
        <f aca="false">IF(AND(ISNUMBER($G1019),$G1019&gt;=MA_MED),AVERAGE(INDEX($C$619:$C1019,402-MA_MED):$C1019),"")</f>
        <v/>
      </c>
      <c r="K1019" s="37" t="str">
        <f aca="false">IF(AND(ISNUMBER($G1019),$G1019&gt;=MA_LONG2),AVERAGE(INDEX($C$619:$C1019,402-MA_LONG2):$C1019),"")</f>
        <v/>
      </c>
      <c r="L1019" s="38" t="str">
        <f aca="false">IF(AND(ISNUMBER($G1019),$G1019&gt;=21),STDEV(INDEX($H$959:$H1019,62-20):$H1019)*SQRT(245),"")</f>
        <v/>
      </c>
      <c r="M1019" s="37" t="str">
        <f aca="false">IF(AND(ISNUMBER($G1019),$G1019&gt;=60),MAX(INDEX($D$819:$D1019,202-60):$D1019),"")</f>
        <v/>
      </c>
      <c r="N1019" s="37" t="str">
        <f aca="false">IF(AND(ISNUMBER($G1019),$G1019&gt;=60),MIN(INDEX($E$819:$E1019,202-60):$E1019),"")</f>
        <v/>
      </c>
      <c r="O1019" s="38" t="str">
        <f aca="false">IF(OR(NOT(ISNUMBER($C1019)),NOT(ISNUMBER($M1019)),$M1019=0),"",$C1019/$M1019-1)</f>
        <v/>
      </c>
    </row>
    <row r="1020" customFormat="false" ht="15" hidden="false" customHeight="true" outlineLevel="0" collapsed="false">
      <c r="A1020" s="39"/>
      <c r="B1020" s="40"/>
      <c r="C1020" s="41"/>
      <c r="D1020" s="40"/>
      <c r="E1020" s="40"/>
      <c r="F1020" s="40"/>
      <c r="G1020" s="35" t="str">
        <f aca="false">IF($A1020="","",IF(ISNUMBER($G1019),$G1019+1,1))</f>
        <v/>
      </c>
      <c r="H1020" s="36" t="str">
        <f aca="false">IF(OR(NOT(ISNUMBER($G1020)),$G1020&lt;2,NOT(ISNUMBER($C1019)),$C1019=0),"",$C1020/$C1019-1)</f>
        <v/>
      </c>
      <c r="I1020" s="37" t="str">
        <f aca="false">IF(AND(ISNUMBER($G1020),$G1020&gt;=MA_SHORT),AVERAGE(INDEX($C$620:$C1020,402-MA_SHORT):$C1020),"")</f>
        <v/>
      </c>
      <c r="J1020" s="37" t="str">
        <f aca="false">IF(AND(ISNUMBER($G1020),$G1020&gt;=MA_MED),AVERAGE(INDEX($C$620:$C1020,402-MA_MED):$C1020),"")</f>
        <v/>
      </c>
      <c r="K1020" s="37" t="str">
        <f aca="false">IF(AND(ISNUMBER($G1020),$G1020&gt;=MA_LONG2),AVERAGE(INDEX($C$620:$C1020,402-MA_LONG2):$C1020),"")</f>
        <v/>
      </c>
      <c r="L1020" s="38" t="str">
        <f aca="false">IF(AND(ISNUMBER($G1020),$G1020&gt;=21),STDEV(INDEX($H$960:$H1020,62-20):$H1020)*SQRT(245),"")</f>
        <v/>
      </c>
      <c r="M1020" s="37" t="str">
        <f aca="false">IF(AND(ISNUMBER($G1020),$G1020&gt;=60),MAX(INDEX($D$820:$D1020,202-60):$D1020),"")</f>
        <v/>
      </c>
      <c r="N1020" s="37" t="str">
        <f aca="false">IF(AND(ISNUMBER($G1020),$G1020&gt;=60),MIN(INDEX($E$820:$E1020,202-60):$E1020),"")</f>
        <v/>
      </c>
      <c r="O1020" s="38" t="str">
        <f aca="false">IF(OR(NOT(ISNUMBER($C1020)),NOT(ISNUMBER($M1020)),$M1020=0),"",$C1020/$M1020-1)</f>
        <v/>
      </c>
    </row>
    <row r="1021" customFormat="false" ht="15" hidden="false" customHeight="true" outlineLevel="0" collapsed="false">
      <c r="A1021" s="39"/>
      <c r="B1021" s="40"/>
      <c r="C1021" s="41"/>
      <c r="D1021" s="40"/>
      <c r="E1021" s="40"/>
      <c r="F1021" s="40"/>
      <c r="G1021" s="35" t="str">
        <f aca="false">IF($A1021="","",IF(ISNUMBER($G1020),$G1020+1,1))</f>
        <v/>
      </c>
      <c r="H1021" s="36" t="str">
        <f aca="false">IF(OR(NOT(ISNUMBER($G1021)),$G1021&lt;2,NOT(ISNUMBER($C1020)),$C1020=0),"",$C1021/$C1020-1)</f>
        <v/>
      </c>
      <c r="I1021" s="37" t="str">
        <f aca="false">IF(AND(ISNUMBER($G1021),$G1021&gt;=MA_SHORT),AVERAGE(INDEX($C$621:$C1021,402-MA_SHORT):$C1021),"")</f>
        <v/>
      </c>
      <c r="J1021" s="37" t="str">
        <f aca="false">IF(AND(ISNUMBER($G1021),$G1021&gt;=MA_MED),AVERAGE(INDEX($C$621:$C1021,402-MA_MED):$C1021),"")</f>
        <v/>
      </c>
      <c r="K1021" s="37" t="str">
        <f aca="false">IF(AND(ISNUMBER($G1021),$G1021&gt;=MA_LONG2),AVERAGE(INDEX($C$621:$C1021,402-MA_LONG2):$C1021),"")</f>
        <v/>
      </c>
      <c r="L1021" s="38" t="str">
        <f aca="false">IF(AND(ISNUMBER($G1021),$G1021&gt;=21),STDEV(INDEX($H$961:$H1021,62-20):$H1021)*SQRT(245),"")</f>
        <v/>
      </c>
      <c r="M1021" s="37" t="str">
        <f aca="false">IF(AND(ISNUMBER($G1021),$G1021&gt;=60),MAX(INDEX($D$821:$D1021,202-60):$D1021),"")</f>
        <v/>
      </c>
      <c r="N1021" s="37" t="str">
        <f aca="false">IF(AND(ISNUMBER($G1021),$G1021&gt;=60),MIN(INDEX($E$821:$E1021,202-60):$E1021),"")</f>
        <v/>
      </c>
      <c r="O1021" s="38" t="str">
        <f aca="false">IF(OR(NOT(ISNUMBER($C1021)),NOT(ISNUMBER($M1021)),$M1021=0),"",$C1021/$M1021-1)</f>
        <v/>
      </c>
    </row>
    <row r="1022" customFormat="false" ht="15" hidden="false" customHeight="true" outlineLevel="0" collapsed="false">
      <c r="A1022" s="39"/>
      <c r="B1022" s="40"/>
      <c r="C1022" s="41"/>
      <c r="D1022" s="40"/>
      <c r="E1022" s="40"/>
      <c r="F1022" s="40"/>
      <c r="G1022" s="35" t="str">
        <f aca="false">IF($A1022="","",IF(ISNUMBER($G1021),$G1021+1,1))</f>
        <v/>
      </c>
      <c r="H1022" s="36" t="str">
        <f aca="false">IF(OR(NOT(ISNUMBER($G1022)),$G1022&lt;2,NOT(ISNUMBER($C1021)),$C1021=0),"",$C1022/$C1021-1)</f>
        <v/>
      </c>
      <c r="I1022" s="37" t="str">
        <f aca="false">IF(AND(ISNUMBER($G1022),$G1022&gt;=MA_SHORT),AVERAGE(INDEX($C$622:$C1022,402-MA_SHORT):$C1022),"")</f>
        <v/>
      </c>
      <c r="J1022" s="37" t="str">
        <f aca="false">IF(AND(ISNUMBER($G1022),$G1022&gt;=MA_MED),AVERAGE(INDEX($C$622:$C1022,402-MA_MED):$C1022),"")</f>
        <v/>
      </c>
      <c r="K1022" s="37" t="str">
        <f aca="false">IF(AND(ISNUMBER($G1022),$G1022&gt;=MA_LONG2),AVERAGE(INDEX($C$622:$C1022,402-MA_LONG2):$C1022),"")</f>
        <v/>
      </c>
      <c r="L1022" s="38" t="str">
        <f aca="false">IF(AND(ISNUMBER($G1022),$G1022&gt;=21),STDEV(INDEX($H$962:$H1022,62-20):$H1022)*SQRT(245),"")</f>
        <v/>
      </c>
      <c r="M1022" s="37" t="str">
        <f aca="false">IF(AND(ISNUMBER($G1022),$G1022&gt;=60),MAX(INDEX($D$822:$D1022,202-60):$D1022),"")</f>
        <v/>
      </c>
      <c r="N1022" s="37" t="str">
        <f aca="false">IF(AND(ISNUMBER($G1022),$G1022&gt;=60),MIN(INDEX($E$822:$E1022,202-60):$E1022),"")</f>
        <v/>
      </c>
      <c r="O1022" s="38" t="str">
        <f aca="false">IF(OR(NOT(ISNUMBER($C1022)),NOT(ISNUMBER($M1022)),$M1022=0),"",$C1022/$M1022-1)</f>
        <v/>
      </c>
    </row>
    <row r="1023" customFormat="false" ht="15" hidden="false" customHeight="true" outlineLevel="0" collapsed="false">
      <c r="A1023" s="39"/>
      <c r="B1023" s="40"/>
      <c r="C1023" s="41"/>
      <c r="D1023" s="40"/>
      <c r="E1023" s="40"/>
      <c r="F1023" s="40"/>
      <c r="G1023" s="35" t="str">
        <f aca="false">IF($A1023="","",IF(ISNUMBER($G1022),$G1022+1,1))</f>
        <v/>
      </c>
      <c r="H1023" s="36" t="str">
        <f aca="false">IF(OR(NOT(ISNUMBER($G1023)),$G1023&lt;2,NOT(ISNUMBER($C1022)),$C1022=0),"",$C1023/$C1022-1)</f>
        <v/>
      </c>
      <c r="I1023" s="37" t="str">
        <f aca="false">IF(AND(ISNUMBER($G1023),$G1023&gt;=MA_SHORT),AVERAGE(INDEX($C$623:$C1023,402-MA_SHORT):$C1023),"")</f>
        <v/>
      </c>
      <c r="J1023" s="37" t="str">
        <f aca="false">IF(AND(ISNUMBER($G1023),$G1023&gt;=MA_MED),AVERAGE(INDEX($C$623:$C1023,402-MA_MED):$C1023),"")</f>
        <v/>
      </c>
      <c r="K1023" s="37" t="str">
        <f aca="false">IF(AND(ISNUMBER($G1023),$G1023&gt;=MA_LONG2),AVERAGE(INDEX($C$623:$C1023,402-MA_LONG2):$C1023),"")</f>
        <v/>
      </c>
      <c r="L1023" s="38" t="str">
        <f aca="false">IF(AND(ISNUMBER($G1023),$G1023&gt;=21),STDEV(INDEX($H$963:$H1023,62-20):$H1023)*SQRT(245),"")</f>
        <v/>
      </c>
      <c r="M1023" s="37" t="str">
        <f aca="false">IF(AND(ISNUMBER($G1023),$G1023&gt;=60),MAX(INDEX($D$823:$D1023,202-60):$D1023),"")</f>
        <v/>
      </c>
      <c r="N1023" s="37" t="str">
        <f aca="false">IF(AND(ISNUMBER($G1023),$G1023&gt;=60),MIN(INDEX($E$823:$E1023,202-60):$E1023),"")</f>
        <v/>
      </c>
      <c r="O1023" s="38" t="str">
        <f aca="false">IF(OR(NOT(ISNUMBER($C1023)),NOT(ISNUMBER($M1023)),$M1023=0),"",$C1023/$M1023-1)</f>
        <v/>
      </c>
    </row>
    <row r="1024" customFormat="false" ht="15" hidden="false" customHeight="true" outlineLevel="0" collapsed="false">
      <c r="A1024" s="39"/>
      <c r="B1024" s="40"/>
      <c r="C1024" s="41"/>
      <c r="D1024" s="40"/>
      <c r="E1024" s="40"/>
      <c r="F1024" s="40"/>
      <c r="G1024" s="35" t="str">
        <f aca="false">IF($A1024="","",IF(ISNUMBER($G1023),$G1023+1,1))</f>
        <v/>
      </c>
      <c r="H1024" s="36" t="str">
        <f aca="false">IF(OR(NOT(ISNUMBER($G1024)),$G1024&lt;2,NOT(ISNUMBER($C1023)),$C1023=0),"",$C1024/$C1023-1)</f>
        <v/>
      </c>
      <c r="I1024" s="37" t="str">
        <f aca="false">IF(AND(ISNUMBER($G1024),$G1024&gt;=MA_SHORT),AVERAGE(INDEX($C$624:$C1024,402-MA_SHORT):$C1024),"")</f>
        <v/>
      </c>
      <c r="J1024" s="37" t="str">
        <f aca="false">IF(AND(ISNUMBER($G1024),$G1024&gt;=MA_MED),AVERAGE(INDEX($C$624:$C1024,402-MA_MED):$C1024),"")</f>
        <v/>
      </c>
      <c r="K1024" s="37" t="str">
        <f aca="false">IF(AND(ISNUMBER($G1024),$G1024&gt;=MA_LONG2),AVERAGE(INDEX($C$624:$C1024,402-MA_LONG2):$C1024),"")</f>
        <v/>
      </c>
      <c r="L1024" s="38" t="str">
        <f aca="false">IF(AND(ISNUMBER($G1024),$G1024&gt;=21),STDEV(INDEX($H$964:$H1024,62-20):$H1024)*SQRT(245),"")</f>
        <v/>
      </c>
      <c r="M1024" s="37" t="str">
        <f aca="false">IF(AND(ISNUMBER($G1024),$G1024&gt;=60),MAX(INDEX($D$824:$D1024,202-60):$D1024),"")</f>
        <v/>
      </c>
      <c r="N1024" s="37" t="str">
        <f aca="false">IF(AND(ISNUMBER($G1024),$G1024&gt;=60),MIN(INDEX($E$824:$E1024,202-60):$E1024),"")</f>
        <v/>
      </c>
      <c r="O1024" s="38" t="str">
        <f aca="false">IF(OR(NOT(ISNUMBER($C1024)),NOT(ISNUMBER($M1024)),$M1024=0),"",$C1024/$M1024-1)</f>
        <v/>
      </c>
    </row>
    <row r="1025" customFormat="false" ht="15" hidden="false" customHeight="true" outlineLevel="0" collapsed="false">
      <c r="A1025" s="39"/>
      <c r="B1025" s="40"/>
      <c r="C1025" s="41"/>
      <c r="D1025" s="40"/>
      <c r="E1025" s="40"/>
      <c r="F1025" s="40"/>
      <c r="G1025" s="35" t="str">
        <f aca="false">IF($A1025="","",IF(ISNUMBER($G1024),$G1024+1,1))</f>
        <v/>
      </c>
      <c r="H1025" s="36" t="str">
        <f aca="false">IF(OR(NOT(ISNUMBER($G1025)),$G1025&lt;2,NOT(ISNUMBER($C1024)),$C1024=0),"",$C1025/$C1024-1)</f>
        <v/>
      </c>
      <c r="I1025" s="37" t="str">
        <f aca="false">IF(AND(ISNUMBER($G1025),$G1025&gt;=MA_SHORT),AVERAGE(INDEX($C$625:$C1025,402-MA_SHORT):$C1025),"")</f>
        <v/>
      </c>
      <c r="J1025" s="37" t="str">
        <f aca="false">IF(AND(ISNUMBER($G1025),$G1025&gt;=MA_MED),AVERAGE(INDEX($C$625:$C1025,402-MA_MED):$C1025),"")</f>
        <v/>
      </c>
      <c r="K1025" s="37" t="str">
        <f aca="false">IF(AND(ISNUMBER($G1025),$G1025&gt;=MA_LONG2),AVERAGE(INDEX($C$625:$C1025,402-MA_LONG2):$C1025),"")</f>
        <v/>
      </c>
      <c r="L1025" s="38" t="str">
        <f aca="false">IF(AND(ISNUMBER($G1025),$G1025&gt;=21),STDEV(INDEX($H$965:$H1025,62-20):$H1025)*SQRT(245),"")</f>
        <v/>
      </c>
      <c r="M1025" s="37" t="str">
        <f aca="false">IF(AND(ISNUMBER($G1025),$G1025&gt;=60),MAX(INDEX($D$825:$D1025,202-60):$D1025),"")</f>
        <v/>
      </c>
      <c r="N1025" s="37" t="str">
        <f aca="false">IF(AND(ISNUMBER($G1025),$G1025&gt;=60),MIN(INDEX($E$825:$E1025,202-60):$E1025),"")</f>
        <v/>
      </c>
      <c r="O1025" s="38" t="str">
        <f aca="false">IF(OR(NOT(ISNUMBER($C1025)),NOT(ISNUMBER($M1025)),$M1025=0),"",$C1025/$M1025-1)</f>
        <v/>
      </c>
    </row>
    <row r="1026" customFormat="false" ht="15" hidden="false" customHeight="true" outlineLevel="0" collapsed="false">
      <c r="A1026" s="39"/>
      <c r="B1026" s="40"/>
      <c r="C1026" s="41"/>
      <c r="D1026" s="40"/>
      <c r="E1026" s="40"/>
      <c r="F1026" s="40"/>
      <c r="G1026" s="35" t="str">
        <f aca="false">IF($A1026="","",IF(ISNUMBER($G1025),$G1025+1,1))</f>
        <v/>
      </c>
      <c r="H1026" s="36" t="str">
        <f aca="false">IF(OR(NOT(ISNUMBER($G1026)),$G1026&lt;2,NOT(ISNUMBER($C1025)),$C1025=0),"",$C1026/$C1025-1)</f>
        <v/>
      </c>
      <c r="I1026" s="37" t="str">
        <f aca="false">IF(AND(ISNUMBER($G1026),$G1026&gt;=MA_SHORT),AVERAGE(INDEX($C$626:$C1026,402-MA_SHORT):$C1026),"")</f>
        <v/>
      </c>
      <c r="J1026" s="37" t="str">
        <f aca="false">IF(AND(ISNUMBER($G1026),$G1026&gt;=MA_MED),AVERAGE(INDEX($C$626:$C1026,402-MA_MED):$C1026),"")</f>
        <v/>
      </c>
      <c r="K1026" s="37" t="str">
        <f aca="false">IF(AND(ISNUMBER($G1026),$G1026&gt;=MA_LONG2),AVERAGE(INDEX($C$626:$C1026,402-MA_LONG2):$C1026),"")</f>
        <v/>
      </c>
      <c r="L1026" s="38" t="str">
        <f aca="false">IF(AND(ISNUMBER($G1026),$G1026&gt;=21),STDEV(INDEX($H$966:$H1026,62-20):$H1026)*SQRT(245),"")</f>
        <v/>
      </c>
      <c r="M1026" s="37" t="str">
        <f aca="false">IF(AND(ISNUMBER($G1026),$G1026&gt;=60),MAX(INDEX($D$826:$D1026,202-60):$D1026),"")</f>
        <v/>
      </c>
      <c r="N1026" s="37" t="str">
        <f aca="false">IF(AND(ISNUMBER($G1026),$G1026&gt;=60),MIN(INDEX($E$826:$E1026,202-60):$E1026),"")</f>
        <v/>
      </c>
      <c r="O1026" s="38" t="str">
        <f aca="false">IF(OR(NOT(ISNUMBER($C1026)),NOT(ISNUMBER($M1026)),$M1026=0),"",$C1026/$M1026-1)</f>
        <v/>
      </c>
    </row>
    <row r="1027" customFormat="false" ht="15" hidden="false" customHeight="true" outlineLevel="0" collapsed="false">
      <c r="A1027" s="39"/>
      <c r="B1027" s="40"/>
      <c r="C1027" s="41"/>
      <c r="D1027" s="40"/>
      <c r="E1027" s="40"/>
      <c r="F1027" s="40"/>
      <c r="G1027" s="35" t="str">
        <f aca="false">IF($A1027="","",IF(ISNUMBER($G1026),$G1026+1,1))</f>
        <v/>
      </c>
      <c r="H1027" s="36" t="str">
        <f aca="false">IF(OR(NOT(ISNUMBER($G1027)),$G1027&lt;2,NOT(ISNUMBER($C1026)),$C1026=0),"",$C1027/$C1026-1)</f>
        <v/>
      </c>
      <c r="I1027" s="37" t="str">
        <f aca="false">IF(AND(ISNUMBER($G1027),$G1027&gt;=MA_SHORT),AVERAGE(INDEX($C$627:$C1027,402-MA_SHORT):$C1027),"")</f>
        <v/>
      </c>
      <c r="J1027" s="37" t="str">
        <f aca="false">IF(AND(ISNUMBER($G1027),$G1027&gt;=MA_MED),AVERAGE(INDEX($C$627:$C1027,402-MA_MED):$C1027),"")</f>
        <v/>
      </c>
      <c r="K1027" s="37" t="str">
        <f aca="false">IF(AND(ISNUMBER($G1027),$G1027&gt;=MA_LONG2),AVERAGE(INDEX($C$627:$C1027,402-MA_LONG2):$C1027),"")</f>
        <v/>
      </c>
      <c r="L1027" s="38" t="str">
        <f aca="false">IF(AND(ISNUMBER($G1027),$G1027&gt;=21),STDEV(INDEX($H$967:$H1027,62-20):$H1027)*SQRT(245),"")</f>
        <v/>
      </c>
      <c r="M1027" s="37" t="str">
        <f aca="false">IF(AND(ISNUMBER($G1027),$G1027&gt;=60),MAX(INDEX($D$827:$D1027,202-60):$D1027),"")</f>
        <v/>
      </c>
      <c r="N1027" s="37" t="str">
        <f aca="false">IF(AND(ISNUMBER($G1027),$G1027&gt;=60),MIN(INDEX($E$827:$E1027,202-60):$E1027),"")</f>
        <v/>
      </c>
      <c r="O1027" s="38" t="str">
        <f aca="false">IF(OR(NOT(ISNUMBER($C1027)),NOT(ISNUMBER($M1027)),$M1027=0),"",$C1027/$M1027-1)</f>
        <v/>
      </c>
    </row>
    <row r="1028" customFormat="false" ht="15" hidden="false" customHeight="true" outlineLevel="0" collapsed="false">
      <c r="A1028" s="39"/>
      <c r="B1028" s="40"/>
      <c r="C1028" s="41"/>
      <c r="D1028" s="40"/>
      <c r="E1028" s="40"/>
      <c r="F1028" s="40"/>
      <c r="G1028" s="35" t="str">
        <f aca="false">IF($A1028="","",IF(ISNUMBER($G1027),$G1027+1,1))</f>
        <v/>
      </c>
      <c r="H1028" s="36" t="str">
        <f aca="false">IF(OR(NOT(ISNUMBER($G1028)),$G1028&lt;2,NOT(ISNUMBER($C1027)),$C1027=0),"",$C1028/$C1027-1)</f>
        <v/>
      </c>
      <c r="I1028" s="37" t="str">
        <f aca="false">IF(AND(ISNUMBER($G1028),$G1028&gt;=MA_SHORT),AVERAGE(INDEX($C$628:$C1028,402-MA_SHORT):$C1028),"")</f>
        <v/>
      </c>
      <c r="J1028" s="37" t="str">
        <f aca="false">IF(AND(ISNUMBER($G1028),$G1028&gt;=MA_MED),AVERAGE(INDEX($C$628:$C1028,402-MA_MED):$C1028),"")</f>
        <v/>
      </c>
      <c r="K1028" s="37" t="str">
        <f aca="false">IF(AND(ISNUMBER($G1028),$G1028&gt;=MA_LONG2),AVERAGE(INDEX($C$628:$C1028,402-MA_LONG2):$C1028),"")</f>
        <v/>
      </c>
      <c r="L1028" s="38" t="str">
        <f aca="false">IF(AND(ISNUMBER($G1028),$G1028&gt;=21),STDEV(INDEX($H$968:$H1028,62-20):$H1028)*SQRT(245),"")</f>
        <v/>
      </c>
      <c r="M1028" s="37" t="str">
        <f aca="false">IF(AND(ISNUMBER($G1028),$G1028&gt;=60),MAX(INDEX($D$828:$D1028,202-60):$D1028),"")</f>
        <v/>
      </c>
      <c r="N1028" s="37" t="str">
        <f aca="false">IF(AND(ISNUMBER($G1028),$G1028&gt;=60),MIN(INDEX($E$828:$E1028,202-60):$E1028),"")</f>
        <v/>
      </c>
      <c r="O1028" s="38" t="str">
        <f aca="false">IF(OR(NOT(ISNUMBER($C1028)),NOT(ISNUMBER($M1028)),$M1028=0),"",$C1028/$M1028-1)</f>
        <v/>
      </c>
    </row>
    <row r="1029" customFormat="false" ht="15" hidden="false" customHeight="true" outlineLevel="0" collapsed="false">
      <c r="A1029" s="39"/>
      <c r="B1029" s="40"/>
      <c r="C1029" s="41"/>
      <c r="D1029" s="40"/>
      <c r="E1029" s="40"/>
      <c r="F1029" s="40"/>
      <c r="G1029" s="35" t="str">
        <f aca="false">IF($A1029="","",IF(ISNUMBER($G1028),$G1028+1,1))</f>
        <v/>
      </c>
      <c r="H1029" s="36" t="str">
        <f aca="false">IF(OR(NOT(ISNUMBER($G1029)),$G1029&lt;2,NOT(ISNUMBER($C1028)),$C1028=0),"",$C1029/$C1028-1)</f>
        <v/>
      </c>
      <c r="I1029" s="37" t="str">
        <f aca="false">IF(AND(ISNUMBER($G1029),$G1029&gt;=MA_SHORT),AVERAGE(INDEX($C$629:$C1029,402-MA_SHORT):$C1029),"")</f>
        <v/>
      </c>
      <c r="J1029" s="37" t="str">
        <f aca="false">IF(AND(ISNUMBER($G1029),$G1029&gt;=MA_MED),AVERAGE(INDEX($C$629:$C1029,402-MA_MED):$C1029),"")</f>
        <v/>
      </c>
      <c r="K1029" s="37" t="str">
        <f aca="false">IF(AND(ISNUMBER($G1029),$G1029&gt;=MA_LONG2),AVERAGE(INDEX($C$629:$C1029,402-MA_LONG2):$C1029),"")</f>
        <v/>
      </c>
      <c r="L1029" s="38" t="str">
        <f aca="false">IF(AND(ISNUMBER($G1029),$G1029&gt;=21),STDEV(INDEX($H$969:$H1029,62-20):$H1029)*SQRT(245),"")</f>
        <v/>
      </c>
      <c r="M1029" s="37" t="str">
        <f aca="false">IF(AND(ISNUMBER($G1029),$G1029&gt;=60),MAX(INDEX($D$829:$D1029,202-60):$D1029),"")</f>
        <v/>
      </c>
      <c r="N1029" s="37" t="str">
        <f aca="false">IF(AND(ISNUMBER($G1029),$G1029&gt;=60),MIN(INDEX($E$829:$E1029,202-60):$E1029),"")</f>
        <v/>
      </c>
      <c r="O1029" s="38" t="str">
        <f aca="false">IF(OR(NOT(ISNUMBER($C1029)),NOT(ISNUMBER($M1029)),$M1029=0),"",$C1029/$M1029-1)</f>
        <v/>
      </c>
    </row>
    <row r="1030" customFormat="false" ht="15" hidden="false" customHeight="true" outlineLevel="0" collapsed="false">
      <c r="A1030" s="39"/>
      <c r="B1030" s="40"/>
      <c r="C1030" s="41"/>
      <c r="D1030" s="40"/>
      <c r="E1030" s="40"/>
      <c r="F1030" s="40"/>
      <c r="G1030" s="35" t="str">
        <f aca="false">IF($A1030="","",IF(ISNUMBER($G1029),$G1029+1,1))</f>
        <v/>
      </c>
      <c r="H1030" s="36" t="str">
        <f aca="false">IF(OR(NOT(ISNUMBER($G1030)),$G1030&lt;2,NOT(ISNUMBER($C1029)),$C1029=0),"",$C1030/$C1029-1)</f>
        <v/>
      </c>
      <c r="I1030" s="37" t="str">
        <f aca="false">IF(AND(ISNUMBER($G1030),$G1030&gt;=MA_SHORT),AVERAGE(INDEX($C$630:$C1030,402-MA_SHORT):$C1030),"")</f>
        <v/>
      </c>
      <c r="J1030" s="37" t="str">
        <f aca="false">IF(AND(ISNUMBER($G1030),$G1030&gt;=MA_MED),AVERAGE(INDEX($C$630:$C1030,402-MA_MED):$C1030),"")</f>
        <v/>
      </c>
      <c r="K1030" s="37" t="str">
        <f aca="false">IF(AND(ISNUMBER($G1030),$G1030&gt;=MA_LONG2),AVERAGE(INDEX($C$630:$C1030,402-MA_LONG2):$C1030),"")</f>
        <v/>
      </c>
      <c r="L1030" s="38" t="str">
        <f aca="false">IF(AND(ISNUMBER($G1030),$G1030&gt;=21),STDEV(INDEX($H$970:$H1030,62-20):$H1030)*SQRT(245),"")</f>
        <v/>
      </c>
      <c r="M1030" s="37" t="str">
        <f aca="false">IF(AND(ISNUMBER($G1030),$G1030&gt;=60),MAX(INDEX($D$830:$D1030,202-60):$D1030),"")</f>
        <v/>
      </c>
      <c r="N1030" s="37" t="str">
        <f aca="false">IF(AND(ISNUMBER($G1030),$G1030&gt;=60),MIN(INDEX($E$830:$E1030,202-60):$E1030),"")</f>
        <v/>
      </c>
      <c r="O1030" s="38" t="str">
        <f aca="false">IF(OR(NOT(ISNUMBER($C1030)),NOT(ISNUMBER($M1030)),$M1030=0),"",$C1030/$M1030-1)</f>
        <v/>
      </c>
    </row>
    <row r="1031" customFormat="false" ht="15" hidden="false" customHeight="true" outlineLevel="0" collapsed="false">
      <c r="A1031" s="39"/>
      <c r="B1031" s="40"/>
      <c r="C1031" s="41"/>
      <c r="D1031" s="40"/>
      <c r="E1031" s="40"/>
      <c r="F1031" s="40"/>
      <c r="G1031" s="35" t="str">
        <f aca="false">IF($A1031="","",IF(ISNUMBER($G1030),$G1030+1,1))</f>
        <v/>
      </c>
      <c r="H1031" s="36" t="str">
        <f aca="false">IF(OR(NOT(ISNUMBER($G1031)),$G1031&lt;2,NOT(ISNUMBER($C1030)),$C1030=0),"",$C1031/$C1030-1)</f>
        <v/>
      </c>
      <c r="I1031" s="37" t="str">
        <f aca="false">IF(AND(ISNUMBER($G1031),$G1031&gt;=MA_SHORT),AVERAGE(INDEX($C$631:$C1031,402-MA_SHORT):$C1031),"")</f>
        <v/>
      </c>
      <c r="J1031" s="37" t="str">
        <f aca="false">IF(AND(ISNUMBER($G1031),$G1031&gt;=MA_MED),AVERAGE(INDEX($C$631:$C1031,402-MA_MED):$C1031),"")</f>
        <v/>
      </c>
      <c r="K1031" s="37" t="str">
        <f aca="false">IF(AND(ISNUMBER($G1031),$G1031&gt;=MA_LONG2),AVERAGE(INDEX($C$631:$C1031,402-MA_LONG2):$C1031),"")</f>
        <v/>
      </c>
      <c r="L1031" s="38" t="str">
        <f aca="false">IF(AND(ISNUMBER($G1031),$G1031&gt;=21),STDEV(INDEX($H$971:$H1031,62-20):$H1031)*SQRT(245),"")</f>
        <v/>
      </c>
      <c r="M1031" s="37" t="str">
        <f aca="false">IF(AND(ISNUMBER($G1031),$G1031&gt;=60),MAX(INDEX($D$831:$D1031,202-60):$D1031),"")</f>
        <v/>
      </c>
      <c r="N1031" s="37" t="str">
        <f aca="false">IF(AND(ISNUMBER($G1031),$G1031&gt;=60),MIN(INDEX($E$831:$E1031,202-60):$E1031),"")</f>
        <v/>
      </c>
      <c r="O1031" s="38" t="str">
        <f aca="false">IF(OR(NOT(ISNUMBER($C1031)),NOT(ISNUMBER($M1031)),$M1031=0),"",$C1031/$M1031-1)</f>
        <v/>
      </c>
    </row>
    <row r="1032" customFormat="false" ht="15" hidden="false" customHeight="true" outlineLevel="0" collapsed="false">
      <c r="A1032" s="39"/>
      <c r="B1032" s="40"/>
      <c r="C1032" s="41"/>
      <c r="D1032" s="40"/>
      <c r="E1032" s="40"/>
      <c r="F1032" s="40"/>
      <c r="G1032" s="35" t="str">
        <f aca="false">IF($A1032="","",IF(ISNUMBER($G1031),$G1031+1,1))</f>
        <v/>
      </c>
      <c r="H1032" s="36" t="str">
        <f aca="false">IF(OR(NOT(ISNUMBER($G1032)),$G1032&lt;2,NOT(ISNUMBER($C1031)),$C1031=0),"",$C1032/$C1031-1)</f>
        <v/>
      </c>
      <c r="I1032" s="37" t="str">
        <f aca="false">IF(AND(ISNUMBER($G1032),$G1032&gt;=MA_SHORT),AVERAGE(INDEX($C$632:$C1032,402-MA_SHORT):$C1032),"")</f>
        <v/>
      </c>
      <c r="J1032" s="37" t="str">
        <f aca="false">IF(AND(ISNUMBER($G1032),$G1032&gt;=MA_MED),AVERAGE(INDEX($C$632:$C1032,402-MA_MED):$C1032),"")</f>
        <v/>
      </c>
      <c r="K1032" s="37" t="str">
        <f aca="false">IF(AND(ISNUMBER($G1032),$G1032&gt;=MA_LONG2),AVERAGE(INDEX($C$632:$C1032,402-MA_LONG2):$C1032),"")</f>
        <v/>
      </c>
      <c r="L1032" s="38" t="str">
        <f aca="false">IF(AND(ISNUMBER($G1032),$G1032&gt;=21),STDEV(INDEX($H$972:$H1032,62-20):$H1032)*SQRT(245),"")</f>
        <v/>
      </c>
      <c r="M1032" s="37" t="str">
        <f aca="false">IF(AND(ISNUMBER($G1032),$G1032&gt;=60),MAX(INDEX($D$832:$D1032,202-60):$D1032),"")</f>
        <v/>
      </c>
      <c r="N1032" s="37" t="str">
        <f aca="false">IF(AND(ISNUMBER($G1032),$G1032&gt;=60),MIN(INDEX($E$832:$E1032,202-60):$E1032),"")</f>
        <v/>
      </c>
      <c r="O1032" s="38" t="str">
        <f aca="false">IF(OR(NOT(ISNUMBER($C1032)),NOT(ISNUMBER($M1032)),$M1032=0),"",$C1032/$M1032-1)</f>
        <v/>
      </c>
    </row>
    <row r="1033" customFormat="false" ht="15" hidden="false" customHeight="true" outlineLevel="0" collapsed="false">
      <c r="A1033" s="39"/>
      <c r="B1033" s="40"/>
      <c r="C1033" s="41"/>
      <c r="D1033" s="40"/>
      <c r="E1033" s="40"/>
      <c r="F1033" s="40"/>
      <c r="G1033" s="35" t="str">
        <f aca="false">IF($A1033="","",IF(ISNUMBER($G1032),$G1032+1,1))</f>
        <v/>
      </c>
      <c r="H1033" s="36" t="str">
        <f aca="false">IF(OR(NOT(ISNUMBER($G1033)),$G1033&lt;2,NOT(ISNUMBER($C1032)),$C1032=0),"",$C1033/$C1032-1)</f>
        <v/>
      </c>
      <c r="I1033" s="37" t="str">
        <f aca="false">IF(AND(ISNUMBER($G1033),$G1033&gt;=MA_SHORT),AVERAGE(INDEX($C$633:$C1033,402-MA_SHORT):$C1033),"")</f>
        <v/>
      </c>
      <c r="J1033" s="37" t="str">
        <f aca="false">IF(AND(ISNUMBER($G1033),$G1033&gt;=MA_MED),AVERAGE(INDEX($C$633:$C1033,402-MA_MED):$C1033),"")</f>
        <v/>
      </c>
      <c r="K1033" s="37" t="str">
        <f aca="false">IF(AND(ISNUMBER($G1033),$G1033&gt;=MA_LONG2),AVERAGE(INDEX($C$633:$C1033,402-MA_LONG2):$C1033),"")</f>
        <v/>
      </c>
      <c r="L1033" s="38" t="str">
        <f aca="false">IF(AND(ISNUMBER($G1033),$G1033&gt;=21),STDEV(INDEX($H$973:$H1033,62-20):$H1033)*SQRT(245),"")</f>
        <v/>
      </c>
      <c r="M1033" s="37" t="str">
        <f aca="false">IF(AND(ISNUMBER($G1033),$G1033&gt;=60),MAX(INDEX($D$833:$D1033,202-60):$D1033),"")</f>
        <v/>
      </c>
      <c r="N1033" s="37" t="str">
        <f aca="false">IF(AND(ISNUMBER($G1033),$G1033&gt;=60),MIN(INDEX($E$833:$E1033,202-60):$E1033),"")</f>
        <v/>
      </c>
      <c r="O1033" s="38" t="str">
        <f aca="false">IF(OR(NOT(ISNUMBER($C1033)),NOT(ISNUMBER($M1033)),$M1033=0),"",$C1033/$M1033-1)</f>
        <v/>
      </c>
    </row>
    <row r="1034" customFormat="false" ht="15" hidden="false" customHeight="true" outlineLevel="0" collapsed="false">
      <c r="A1034" s="39"/>
      <c r="B1034" s="40"/>
      <c r="C1034" s="41"/>
      <c r="D1034" s="40"/>
      <c r="E1034" s="40"/>
      <c r="F1034" s="40"/>
      <c r="G1034" s="35" t="str">
        <f aca="false">IF($A1034="","",IF(ISNUMBER($G1033),$G1033+1,1))</f>
        <v/>
      </c>
      <c r="H1034" s="36" t="str">
        <f aca="false">IF(OR(NOT(ISNUMBER($G1034)),$G1034&lt;2,NOT(ISNUMBER($C1033)),$C1033=0),"",$C1034/$C1033-1)</f>
        <v/>
      </c>
      <c r="I1034" s="37" t="str">
        <f aca="false">IF(AND(ISNUMBER($G1034),$G1034&gt;=MA_SHORT),AVERAGE(INDEX($C$634:$C1034,402-MA_SHORT):$C1034),"")</f>
        <v/>
      </c>
      <c r="J1034" s="37" t="str">
        <f aca="false">IF(AND(ISNUMBER($G1034),$G1034&gt;=MA_MED),AVERAGE(INDEX($C$634:$C1034,402-MA_MED):$C1034),"")</f>
        <v/>
      </c>
      <c r="K1034" s="37" t="str">
        <f aca="false">IF(AND(ISNUMBER($G1034),$G1034&gt;=MA_LONG2),AVERAGE(INDEX($C$634:$C1034,402-MA_LONG2):$C1034),"")</f>
        <v/>
      </c>
      <c r="L1034" s="38" t="str">
        <f aca="false">IF(AND(ISNUMBER($G1034),$G1034&gt;=21),STDEV(INDEX($H$974:$H1034,62-20):$H1034)*SQRT(245),"")</f>
        <v/>
      </c>
      <c r="M1034" s="37" t="str">
        <f aca="false">IF(AND(ISNUMBER($G1034),$G1034&gt;=60),MAX(INDEX($D$834:$D1034,202-60):$D1034),"")</f>
        <v/>
      </c>
      <c r="N1034" s="37" t="str">
        <f aca="false">IF(AND(ISNUMBER($G1034),$G1034&gt;=60),MIN(INDEX($E$834:$E1034,202-60):$E1034),"")</f>
        <v/>
      </c>
      <c r="O1034" s="38" t="str">
        <f aca="false">IF(OR(NOT(ISNUMBER($C1034)),NOT(ISNUMBER($M1034)),$M1034=0),"",$C1034/$M1034-1)</f>
        <v/>
      </c>
    </row>
    <row r="1035" customFormat="false" ht="15" hidden="false" customHeight="true" outlineLevel="0" collapsed="false">
      <c r="A1035" s="39"/>
      <c r="B1035" s="40"/>
      <c r="C1035" s="41"/>
      <c r="D1035" s="40"/>
      <c r="E1035" s="40"/>
      <c r="F1035" s="40"/>
      <c r="G1035" s="35" t="str">
        <f aca="false">IF($A1035="","",IF(ISNUMBER($G1034),$G1034+1,1))</f>
        <v/>
      </c>
      <c r="H1035" s="36" t="str">
        <f aca="false">IF(OR(NOT(ISNUMBER($G1035)),$G1035&lt;2,NOT(ISNUMBER($C1034)),$C1034=0),"",$C1035/$C1034-1)</f>
        <v/>
      </c>
      <c r="I1035" s="37" t="str">
        <f aca="false">IF(AND(ISNUMBER($G1035),$G1035&gt;=MA_SHORT),AVERAGE(INDEX($C$635:$C1035,402-MA_SHORT):$C1035),"")</f>
        <v/>
      </c>
      <c r="J1035" s="37" t="str">
        <f aca="false">IF(AND(ISNUMBER($G1035),$G1035&gt;=MA_MED),AVERAGE(INDEX($C$635:$C1035,402-MA_MED):$C1035),"")</f>
        <v/>
      </c>
      <c r="K1035" s="37" t="str">
        <f aca="false">IF(AND(ISNUMBER($G1035),$G1035&gt;=MA_LONG2),AVERAGE(INDEX($C$635:$C1035,402-MA_LONG2):$C1035),"")</f>
        <v/>
      </c>
      <c r="L1035" s="38" t="str">
        <f aca="false">IF(AND(ISNUMBER($G1035),$G1035&gt;=21),STDEV(INDEX($H$975:$H1035,62-20):$H1035)*SQRT(245),"")</f>
        <v/>
      </c>
      <c r="M1035" s="37" t="str">
        <f aca="false">IF(AND(ISNUMBER($G1035),$G1035&gt;=60),MAX(INDEX($D$835:$D1035,202-60):$D1035),"")</f>
        <v/>
      </c>
      <c r="N1035" s="37" t="str">
        <f aca="false">IF(AND(ISNUMBER($G1035),$G1035&gt;=60),MIN(INDEX($E$835:$E1035,202-60):$E1035),"")</f>
        <v/>
      </c>
      <c r="O1035" s="38" t="str">
        <f aca="false">IF(OR(NOT(ISNUMBER($C1035)),NOT(ISNUMBER($M1035)),$M1035=0),"",$C1035/$M1035-1)</f>
        <v/>
      </c>
    </row>
    <row r="1036" customFormat="false" ht="15" hidden="false" customHeight="true" outlineLevel="0" collapsed="false">
      <c r="A1036" s="39"/>
      <c r="B1036" s="40"/>
      <c r="C1036" s="41"/>
      <c r="D1036" s="40"/>
      <c r="E1036" s="40"/>
      <c r="F1036" s="40"/>
      <c r="G1036" s="35" t="str">
        <f aca="false">IF($A1036="","",IF(ISNUMBER($G1035),$G1035+1,1))</f>
        <v/>
      </c>
      <c r="H1036" s="36" t="str">
        <f aca="false">IF(OR(NOT(ISNUMBER($G1036)),$G1036&lt;2,NOT(ISNUMBER($C1035)),$C1035=0),"",$C1036/$C1035-1)</f>
        <v/>
      </c>
      <c r="I1036" s="37" t="str">
        <f aca="false">IF(AND(ISNUMBER($G1036),$G1036&gt;=MA_SHORT),AVERAGE(INDEX($C$636:$C1036,402-MA_SHORT):$C1036),"")</f>
        <v/>
      </c>
      <c r="J1036" s="37" t="str">
        <f aca="false">IF(AND(ISNUMBER($G1036),$G1036&gt;=MA_MED),AVERAGE(INDEX($C$636:$C1036,402-MA_MED):$C1036),"")</f>
        <v/>
      </c>
      <c r="K1036" s="37" t="str">
        <f aca="false">IF(AND(ISNUMBER($G1036),$G1036&gt;=MA_LONG2),AVERAGE(INDEX($C$636:$C1036,402-MA_LONG2):$C1036),"")</f>
        <v/>
      </c>
      <c r="L1036" s="38" t="str">
        <f aca="false">IF(AND(ISNUMBER($G1036),$G1036&gt;=21),STDEV(INDEX($H$976:$H1036,62-20):$H1036)*SQRT(245),"")</f>
        <v/>
      </c>
      <c r="M1036" s="37" t="str">
        <f aca="false">IF(AND(ISNUMBER($G1036),$G1036&gt;=60),MAX(INDEX($D$836:$D1036,202-60):$D1036),"")</f>
        <v/>
      </c>
      <c r="N1036" s="37" t="str">
        <f aca="false">IF(AND(ISNUMBER($G1036),$G1036&gt;=60),MIN(INDEX($E$836:$E1036,202-60):$E1036),"")</f>
        <v/>
      </c>
      <c r="O1036" s="38" t="str">
        <f aca="false">IF(OR(NOT(ISNUMBER($C1036)),NOT(ISNUMBER($M1036)),$M1036=0),"",$C1036/$M1036-1)</f>
        <v/>
      </c>
    </row>
    <row r="1037" customFormat="false" ht="15" hidden="false" customHeight="true" outlineLevel="0" collapsed="false">
      <c r="A1037" s="39"/>
      <c r="B1037" s="40"/>
      <c r="C1037" s="41"/>
      <c r="D1037" s="40"/>
      <c r="E1037" s="40"/>
      <c r="F1037" s="40"/>
      <c r="G1037" s="35" t="str">
        <f aca="false">IF($A1037="","",IF(ISNUMBER($G1036),$G1036+1,1))</f>
        <v/>
      </c>
      <c r="H1037" s="36" t="str">
        <f aca="false">IF(OR(NOT(ISNUMBER($G1037)),$G1037&lt;2,NOT(ISNUMBER($C1036)),$C1036=0),"",$C1037/$C1036-1)</f>
        <v/>
      </c>
      <c r="I1037" s="37" t="str">
        <f aca="false">IF(AND(ISNUMBER($G1037),$G1037&gt;=MA_SHORT),AVERAGE(INDEX($C$637:$C1037,402-MA_SHORT):$C1037),"")</f>
        <v/>
      </c>
      <c r="J1037" s="37" t="str">
        <f aca="false">IF(AND(ISNUMBER($G1037),$G1037&gt;=MA_MED),AVERAGE(INDEX($C$637:$C1037,402-MA_MED):$C1037),"")</f>
        <v/>
      </c>
      <c r="K1037" s="37" t="str">
        <f aca="false">IF(AND(ISNUMBER($G1037),$G1037&gt;=MA_LONG2),AVERAGE(INDEX($C$637:$C1037,402-MA_LONG2):$C1037),"")</f>
        <v/>
      </c>
      <c r="L1037" s="38" t="str">
        <f aca="false">IF(AND(ISNUMBER($G1037),$G1037&gt;=21),STDEV(INDEX($H$977:$H1037,62-20):$H1037)*SQRT(245),"")</f>
        <v/>
      </c>
      <c r="M1037" s="37" t="str">
        <f aca="false">IF(AND(ISNUMBER($G1037),$G1037&gt;=60),MAX(INDEX($D$837:$D1037,202-60):$D1037),"")</f>
        <v/>
      </c>
      <c r="N1037" s="37" t="str">
        <f aca="false">IF(AND(ISNUMBER($G1037),$G1037&gt;=60),MIN(INDEX($E$837:$E1037,202-60):$E1037),"")</f>
        <v/>
      </c>
      <c r="O1037" s="38" t="str">
        <f aca="false">IF(OR(NOT(ISNUMBER($C1037)),NOT(ISNUMBER($M1037)),$M1037=0),"",$C1037/$M1037-1)</f>
        <v/>
      </c>
    </row>
    <row r="1038" customFormat="false" ht="15" hidden="false" customHeight="true" outlineLevel="0" collapsed="false">
      <c r="A1038" s="39"/>
      <c r="B1038" s="40"/>
      <c r="C1038" s="41"/>
      <c r="D1038" s="40"/>
      <c r="E1038" s="40"/>
      <c r="F1038" s="40"/>
      <c r="G1038" s="35" t="str">
        <f aca="false">IF($A1038="","",IF(ISNUMBER($G1037),$G1037+1,1))</f>
        <v/>
      </c>
      <c r="H1038" s="36" t="str">
        <f aca="false">IF(OR(NOT(ISNUMBER($G1038)),$G1038&lt;2,NOT(ISNUMBER($C1037)),$C1037=0),"",$C1038/$C1037-1)</f>
        <v/>
      </c>
      <c r="I1038" s="37" t="str">
        <f aca="false">IF(AND(ISNUMBER($G1038),$G1038&gt;=MA_SHORT),AVERAGE(INDEX($C$638:$C1038,402-MA_SHORT):$C1038),"")</f>
        <v/>
      </c>
      <c r="J1038" s="37" t="str">
        <f aca="false">IF(AND(ISNUMBER($G1038),$G1038&gt;=MA_MED),AVERAGE(INDEX($C$638:$C1038,402-MA_MED):$C1038),"")</f>
        <v/>
      </c>
      <c r="K1038" s="37" t="str">
        <f aca="false">IF(AND(ISNUMBER($G1038),$G1038&gt;=MA_LONG2),AVERAGE(INDEX($C$638:$C1038,402-MA_LONG2):$C1038),"")</f>
        <v/>
      </c>
      <c r="L1038" s="38" t="str">
        <f aca="false">IF(AND(ISNUMBER($G1038),$G1038&gt;=21),STDEV(INDEX($H$978:$H1038,62-20):$H1038)*SQRT(245),"")</f>
        <v/>
      </c>
      <c r="M1038" s="37" t="str">
        <f aca="false">IF(AND(ISNUMBER($G1038),$G1038&gt;=60),MAX(INDEX($D$838:$D1038,202-60):$D1038),"")</f>
        <v/>
      </c>
      <c r="N1038" s="37" t="str">
        <f aca="false">IF(AND(ISNUMBER($G1038),$G1038&gt;=60),MIN(INDEX($E$838:$E1038,202-60):$E1038),"")</f>
        <v/>
      </c>
      <c r="O1038" s="38" t="str">
        <f aca="false">IF(OR(NOT(ISNUMBER($C1038)),NOT(ISNUMBER($M1038)),$M1038=0),"",$C1038/$M1038-1)</f>
        <v/>
      </c>
    </row>
    <row r="1039" customFormat="false" ht="15" hidden="false" customHeight="true" outlineLevel="0" collapsed="false">
      <c r="A1039" s="39"/>
      <c r="B1039" s="40"/>
      <c r="C1039" s="41"/>
      <c r="D1039" s="40"/>
      <c r="E1039" s="40"/>
      <c r="F1039" s="40"/>
      <c r="G1039" s="35" t="str">
        <f aca="false">IF($A1039="","",IF(ISNUMBER($G1038),$G1038+1,1))</f>
        <v/>
      </c>
      <c r="H1039" s="36" t="str">
        <f aca="false">IF(OR(NOT(ISNUMBER($G1039)),$G1039&lt;2,NOT(ISNUMBER($C1038)),$C1038=0),"",$C1039/$C1038-1)</f>
        <v/>
      </c>
      <c r="I1039" s="37" t="str">
        <f aca="false">IF(AND(ISNUMBER($G1039),$G1039&gt;=MA_SHORT),AVERAGE(INDEX($C$639:$C1039,402-MA_SHORT):$C1039),"")</f>
        <v/>
      </c>
      <c r="J1039" s="37" t="str">
        <f aca="false">IF(AND(ISNUMBER($G1039),$G1039&gt;=MA_MED),AVERAGE(INDEX($C$639:$C1039,402-MA_MED):$C1039),"")</f>
        <v/>
      </c>
      <c r="K1039" s="37" t="str">
        <f aca="false">IF(AND(ISNUMBER($G1039),$G1039&gt;=MA_LONG2),AVERAGE(INDEX($C$639:$C1039,402-MA_LONG2):$C1039),"")</f>
        <v/>
      </c>
      <c r="L1039" s="38" t="str">
        <f aca="false">IF(AND(ISNUMBER($G1039),$G1039&gt;=21),STDEV(INDEX($H$979:$H1039,62-20):$H1039)*SQRT(245),"")</f>
        <v/>
      </c>
      <c r="M1039" s="37" t="str">
        <f aca="false">IF(AND(ISNUMBER($G1039),$G1039&gt;=60),MAX(INDEX($D$839:$D1039,202-60):$D1039),"")</f>
        <v/>
      </c>
      <c r="N1039" s="37" t="str">
        <f aca="false">IF(AND(ISNUMBER($G1039),$G1039&gt;=60),MIN(INDEX($E$839:$E1039,202-60):$E1039),"")</f>
        <v/>
      </c>
      <c r="O1039" s="38" t="str">
        <f aca="false">IF(OR(NOT(ISNUMBER($C1039)),NOT(ISNUMBER($M1039)),$M1039=0),"",$C1039/$M1039-1)</f>
        <v/>
      </c>
    </row>
    <row r="1040" customFormat="false" ht="15" hidden="false" customHeight="true" outlineLevel="0" collapsed="false">
      <c r="A1040" s="39"/>
      <c r="B1040" s="40"/>
      <c r="C1040" s="41"/>
      <c r="D1040" s="40"/>
      <c r="E1040" s="40"/>
      <c r="F1040" s="40"/>
      <c r="G1040" s="35" t="str">
        <f aca="false">IF($A1040="","",IF(ISNUMBER($G1039),$G1039+1,1))</f>
        <v/>
      </c>
      <c r="H1040" s="36" t="str">
        <f aca="false">IF(OR(NOT(ISNUMBER($G1040)),$G1040&lt;2,NOT(ISNUMBER($C1039)),$C1039=0),"",$C1040/$C1039-1)</f>
        <v/>
      </c>
      <c r="I1040" s="37" t="str">
        <f aca="false">IF(AND(ISNUMBER($G1040),$G1040&gt;=MA_SHORT),AVERAGE(INDEX($C$640:$C1040,402-MA_SHORT):$C1040),"")</f>
        <v/>
      </c>
      <c r="J1040" s="37" t="str">
        <f aca="false">IF(AND(ISNUMBER($G1040),$G1040&gt;=MA_MED),AVERAGE(INDEX($C$640:$C1040,402-MA_MED):$C1040),"")</f>
        <v/>
      </c>
      <c r="K1040" s="37" t="str">
        <f aca="false">IF(AND(ISNUMBER($G1040),$G1040&gt;=MA_LONG2),AVERAGE(INDEX($C$640:$C1040,402-MA_LONG2):$C1040),"")</f>
        <v/>
      </c>
      <c r="L1040" s="38" t="str">
        <f aca="false">IF(AND(ISNUMBER($G1040),$G1040&gt;=21),STDEV(INDEX($H$980:$H1040,62-20):$H1040)*SQRT(245),"")</f>
        <v/>
      </c>
      <c r="M1040" s="37" t="str">
        <f aca="false">IF(AND(ISNUMBER($G1040),$G1040&gt;=60),MAX(INDEX($D$840:$D1040,202-60):$D1040),"")</f>
        <v/>
      </c>
      <c r="N1040" s="37" t="str">
        <f aca="false">IF(AND(ISNUMBER($G1040),$G1040&gt;=60),MIN(INDEX($E$840:$E1040,202-60):$E1040),"")</f>
        <v/>
      </c>
      <c r="O1040" s="38" t="str">
        <f aca="false">IF(OR(NOT(ISNUMBER($C1040)),NOT(ISNUMBER($M1040)),$M1040=0),"",$C1040/$M1040-1)</f>
        <v/>
      </c>
    </row>
    <row r="1041" customFormat="false" ht="15" hidden="false" customHeight="true" outlineLevel="0" collapsed="false">
      <c r="A1041" s="39"/>
      <c r="B1041" s="40"/>
      <c r="C1041" s="41"/>
      <c r="D1041" s="40"/>
      <c r="E1041" s="40"/>
      <c r="F1041" s="40"/>
      <c r="G1041" s="35" t="str">
        <f aca="false">IF($A1041="","",IF(ISNUMBER($G1040),$G1040+1,1))</f>
        <v/>
      </c>
      <c r="H1041" s="36" t="str">
        <f aca="false">IF(OR(NOT(ISNUMBER($G1041)),$G1041&lt;2,NOT(ISNUMBER($C1040)),$C1040=0),"",$C1041/$C1040-1)</f>
        <v/>
      </c>
      <c r="I1041" s="37" t="str">
        <f aca="false">IF(AND(ISNUMBER($G1041),$G1041&gt;=MA_SHORT),AVERAGE(INDEX($C$641:$C1041,402-MA_SHORT):$C1041),"")</f>
        <v/>
      </c>
      <c r="J1041" s="37" t="str">
        <f aca="false">IF(AND(ISNUMBER($G1041),$G1041&gt;=MA_MED),AVERAGE(INDEX($C$641:$C1041,402-MA_MED):$C1041),"")</f>
        <v/>
      </c>
      <c r="K1041" s="37" t="str">
        <f aca="false">IF(AND(ISNUMBER($G1041),$G1041&gt;=MA_LONG2),AVERAGE(INDEX($C$641:$C1041,402-MA_LONG2):$C1041),"")</f>
        <v/>
      </c>
      <c r="L1041" s="38" t="str">
        <f aca="false">IF(AND(ISNUMBER($G1041),$G1041&gt;=21),STDEV(INDEX($H$981:$H1041,62-20):$H1041)*SQRT(245),"")</f>
        <v/>
      </c>
      <c r="M1041" s="37" t="str">
        <f aca="false">IF(AND(ISNUMBER($G1041),$G1041&gt;=60),MAX(INDEX($D$841:$D1041,202-60):$D1041),"")</f>
        <v/>
      </c>
      <c r="N1041" s="37" t="str">
        <f aca="false">IF(AND(ISNUMBER($G1041),$G1041&gt;=60),MIN(INDEX($E$841:$E1041,202-60):$E1041),"")</f>
        <v/>
      </c>
      <c r="O1041" s="38" t="str">
        <f aca="false">IF(OR(NOT(ISNUMBER($C1041)),NOT(ISNUMBER($M1041)),$M1041=0),"",$C1041/$M1041-1)</f>
        <v/>
      </c>
    </row>
    <row r="1042" customFormat="false" ht="15" hidden="false" customHeight="true" outlineLevel="0" collapsed="false">
      <c r="A1042" s="39"/>
      <c r="B1042" s="40"/>
      <c r="C1042" s="41"/>
      <c r="D1042" s="40"/>
      <c r="E1042" s="40"/>
      <c r="F1042" s="40"/>
      <c r="G1042" s="35" t="str">
        <f aca="false">IF($A1042="","",IF(ISNUMBER($G1041),$G1041+1,1))</f>
        <v/>
      </c>
      <c r="H1042" s="36" t="str">
        <f aca="false">IF(OR(NOT(ISNUMBER($G1042)),$G1042&lt;2,NOT(ISNUMBER($C1041)),$C1041=0),"",$C1042/$C1041-1)</f>
        <v/>
      </c>
      <c r="I1042" s="37" t="str">
        <f aca="false">IF(AND(ISNUMBER($G1042),$G1042&gt;=MA_SHORT),AVERAGE(INDEX($C$642:$C1042,402-MA_SHORT):$C1042),"")</f>
        <v/>
      </c>
      <c r="J1042" s="37" t="str">
        <f aca="false">IF(AND(ISNUMBER($G1042),$G1042&gt;=MA_MED),AVERAGE(INDEX($C$642:$C1042,402-MA_MED):$C1042),"")</f>
        <v/>
      </c>
      <c r="K1042" s="37" t="str">
        <f aca="false">IF(AND(ISNUMBER($G1042),$G1042&gt;=MA_LONG2),AVERAGE(INDEX($C$642:$C1042,402-MA_LONG2):$C1042),"")</f>
        <v/>
      </c>
      <c r="L1042" s="38" t="str">
        <f aca="false">IF(AND(ISNUMBER($G1042),$G1042&gt;=21),STDEV(INDEX($H$982:$H1042,62-20):$H1042)*SQRT(245),"")</f>
        <v/>
      </c>
      <c r="M1042" s="37" t="str">
        <f aca="false">IF(AND(ISNUMBER($G1042),$G1042&gt;=60),MAX(INDEX($D$842:$D1042,202-60):$D1042),"")</f>
        <v/>
      </c>
      <c r="N1042" s="37" t="str">
        <f aca="false">IF(AND(ISNUMBER($G1042),$G1042&gt;=60),MIN(INDEX($E$842:$E1042,202-60):$E1042),"")</f>
        <v/>
      </c>
      <c r="O1042" s="38" t="str">
        <f aca="false">IF(OR(NOT(ISNUMBER($C1042)),NOT(ISNUMBER($M1042)),$M1042=0),"",$C1042/$M1042-1)</f>
        <v/>
      </c>
    </row>
    <row r="1043" customFormat="false" ht="15" hidden="false" customHeight="true" outlineLevel="0" collapsed="false">
      <c r="A1043" s="39"/>
      <c r="B1043" s="40"/>
      <c r="C1043" s="41"/>
      <c r="D1043" s="40"/>
      <c r="E1043" s="40"/>
      <c r="F1043" s="40"/>
      <c r="G1043" s="35" t="str">
        <f aca="false">IF($A1043="","",IF(ISNUMBER($G1042),$G1042+1,1))</f>
        <v/>
      </c>
      <c r="H1043" s="36" t="str">
        <f aca="false">IF(OR(NOT(ISNUMBER($G1043)),$G1043&lt;2,NOT(ISNUMBER($C1042)),$C1042=0),"",$C1043/$C1042-1)</f>
        <v/>
      </c>
      <c r="I1043" s="37" t="str">
        <f aca="false">IF(AND(ISNUMBER($G1043),$G1043&gt;=MA_SHORT),AVERAGE(INDEX($C$643:$C1043,402-MA_SHORT):$C1043),"")</f>
        <v/>
      </c>
      <c r="J1043" s="37" t="str">
        <f aca="false">IF(AND(ISNUMBER($G1043),$G1043&gt;=MA_MED),AVERAGE(INDEX($C$643:$C1043,402-MA_MED):$C1043),"")</f>
        <v/>
      </c>
      <c r="K1043" s="37" t="str">
        <f aca="false">IF(AND(ISNUMBER($G1043),$G1043&gt;=MA_LONG2),AVERAGE(INDEX($C$643:$C1043,402-MA_LONG2):$C1043),"")</f>
        <v/>
      </c>
      <c r="L1043" s="38" t="str">
        <f aca="false">IF(AND(ISNUMBER($G1043),$G1043&gt;=21),STDEV(INDEX($H$983:$H1043,62-20):$H1043)*SQRT(245),"")</f>
        <v/>
      </c>
      <c r="M1043" s="37" t="str">
        <f aca="false">IF(AND(ISNUMBER($G1043),$G1043&gt;=60),MAX(INDEX($D$843:$D1043,202-60):$D1043),"")</f>
        <v/>
      </c>
      <c r="N1043" s="37" t="str">
        <f aca="false">IF(AND(ISNUMBER($G1043),$G1043&gt;=60),MIN(INDEX($E$843:$E1043,202-60):$E1043),"")</f>
        <v/>
      </c>
      <c r="O1043" s="38" t="str">
        <f aca="false">IF(OR(NOT(ISNUMBER($C1043)),NOT(ISNUMBER($M1043)),$M1043=0),"",$C1043/$M1043-1)</f>
        <v/>
      </c>
    </row>
    <row r="1044" customFormat="false" ht="15" hidden="false" customHeight="true" outlineLevel="0" collapsed="false">
      <c r="A1044" s="39"/>
      <c r="B1044" s="40"/>
      <c r="C1044" s="41"/>
      <c r="D1044" s="40"/>
      <c r="E1044" s="40"/>
      <c r="F1044" s="40"/>
      <c r="G1044" s="35" t="str">
        <f aca="false">IF($A1044="","",IF(ISNUMBER($G1043),$G1043+1,1))</f>
        <v/>
      </c>
      <c r="H1044" s="36" t="str">
        <f aca="false">IF(OR(NOT(ISNUMBER($G1044)),$G1044&lt;2,NOT(ISNUMBER($C1043)),$C1043=0),"",$C1044/$C1043-1)</f>
        <v/>
      </c>
      <c r="I1044" s="37" t="str">
        <f aca="false">IF(AND(ISNUMBER($G1044),$G1044&gt;=MA_SHORT),AVERAGE(INDEX($C$644:$C1044,402-MA_SHORT):$C1044),"")</f>
        <v/>
      </c>
      <c r="J1044" s="37" t="str">
        <f aca="false">IF(AND(ISNUMBER($G1044),$G1044&gt;=MA_MED),AVERAGE(INDEX($C$644:$C1044,402-MA_MED):$C1044),"")</f>
        <v/>
      </c>
      <c r="K1044" s="37" t="str">
        <f aca="false">IF(AND(ISNUMBER($G1044),$G1044&gt;=MA_LONG2),AVERAGE(INDEX($C$644:$C1044,402-MA_LONG2):$C1044),"")</f>
        <v/>
      </c>
      <c r="L1044" s="38" t="str">
        <f aca="false">IF(AND(ISNUMBER($G1044),$G1044&gt;=21),STDEV(INDEX($H$984:$H1044,62-20):$H1044)*SQRT(245),"")</f>
        <v/>
      </c>
      <c r="M1044" s="37" t="str">
        <f aca="false">IF(AND(ISNUMBER($G1044),$G1044&gt;=60),MAX(INDEX($D$844:$D1044,202-60):$D1044),"")</f>
        <v/>
      </c>
      <c r="N1044" s="37" t="str">
        <f aca="false">IF(AND(ISNUMBER($G1044),$G1044&gt;=60),MIN(INDEX($E$844:$E1044,202-60):$E1044),"")</f>
        <v/>
      </c>
      <c r="O1044" s="38" t="str">
        <f aca="false">IF(OR(NOT(ISNUMBER($C1044)),NOT(ISNUMBER($M1044)),$M1044=0),"",$C1044/$M1044-1)</f>
        <v/>
      </c>
    </row>
    <row r="1045" customFormat="false" ht="15" hidden="false" customHeight="true" outlineLevel="0" collapsed="false">
      <c r="A1045" s="39"/>
      <c r="B1045" s="40"/>
      <c r="C1045" s="41"/>
      <c r="D1045" s="40"/>
      <c r="E1045" s="40"/>
      <c r="F1045" s="40"/>
      <c r="G1045" s="35" t="str">
        <f aca="false">IF($A1045="","",IF(ISNUMBER($G1044),$G1044+1,1))</f>
        <v/>
      </c>
      <c r="H1045" s="36" t="str">
        <f aca="false">IF(OR(NOT(ISNUMBER($G1045)),$G1045&lt;2,NOT(ISNUMBER($C1044)),$C1044=0),"",$C1045/$C1044-1)</f>
        <v/>
      </c>
      <c r="I1045" s="37" t="str">
        <f aca="false">IF(AND(ISNUMBER($G1045),$G1045&gt;=MA_SHORT),AVERAGE(INDEX($C$645:$C1045,402-MA_SHORT):$C1045),"")</f>
        <v/>
      </c>
      <c r="J1045" s="37" t="str">
        <f aca="false">IF(AND(ISNUMBER($G1045),$G1045&gt;=MA_MED),AVERAGE(INDEX($C$645:$C1045,402-MA_MED):$C1045),"")</f>
        <v/>
      </c>
      <c r="K1045" s="37" t="str">
        <f aca="false">IF(AND(ISNUMBER($G1045),$G1045&gt;=MA_LONG2),AVERAGE(INDEX($C$645:$C1045,402-MA_LONG2):$C1045),"")</f>
        <v/>
      </c>
      <c r="L1045" s="38" t="str">
        <f aca="false">IF(AND(ISNUMBER($G1045),$G1045&gt;=21),STDEV(INDEX($H$985:$H1045,62-20):$H1045)*SQRT(245),"")</f>
        <v/>
      </c>
      <c r="M1045" s="37" t="str">
        <f aca="false">IF(AND(ISNUMBER($G1045),$G1045&gt;=60),MAX(INDEX($D$845:$D1045,202-60):$D1045),"")</f>
        <v/>
      </c>
      <c r="N1045" s="37" t="str">
        <f aca="false">IF(AND(ISNUMBER($G1045),$G1045&gt;=60),MIN(INDEX($E$845:$E1045,202-60):$E1045),"")</f>
        <v/>
      </c>
      <c r="O1045" s="38" t="str">
        <f aca="false">IF(OR(NOT(ISNUMBER($C1045)),NOT(ISNUMBER($M1045)),$M1045=0),"",$C1045/$M1045-1)</f>
        <v/>
      </c>
    </row>
    <row r="1046" customFormat="false" ht="15" hidden="false" customHeight="true" outlineLevel="0" collapsed="false">
      <c r="A1046" s="39"/>
      <c r="B1046" s="40"/>
      <c r="C1046" s="41"/>
      <c r="D1046" s="40"/>
      <c r="E1046" s="40"/>
      <c r="F1046" s="40"/>
      <c r="G1046" s="35" t="str">
        <f aca="false">IF($A1046="","",IF(ISNUMBER($G1045),$G1045+1,1))</f>
        <v/>
      </c>
      <c r="H1046" s="36" t="str">
        <f aca="false">IF(OR(NOT(ISNUMBER($G1046)),$G1046&lt;2,NOT(ISNUMBER($C1045)),$C1045=0),"",$C1046/$C1045-1)</f>
        <v/>
      </c>
      <c r="I1046" s="37" t="str">
        <f aca="false">IF(AND(ISNUMBER($G1046),$G1046&gt;=MA_SHORT),AVERAGE(INDEX($C$646:$C1046,402-MA_SHORT):$C1046),"")</f>
        <v/>
      </c>
      <c r="J1046" s="37" t="str">
        <f aca="false">IF(AND(ISNUMBER($G1046),$G1046&gt;=MA_MED),AVERAGE(INDEX($C$646:$C1046,402-MA_MED):$C1046),"")</f>
        <v/>
      </c>
      <c r="K1046" s="37" t="str">
        <f aca="false">IF(AND(ISNUMBER($G1046),$G1046&gt;=MA_LONG2),AVERAGE(INDEX($C$646:$C1046,402-MA_LONG2):$C1046),"")</f>
        <v/>
      </c>
      <c r="L1046" s="38" t="str">
        <f aca="false">IF(AND(ISNUMBER($G1046),$G1046&gt;=21),STDEV(INDEX($H$986:$H1046,62-20):$H1046)*SQRT(245),"")</f>
        <v/>
      </c>
      <c r="M1046" s="37" t="str">
        <f aca="false">IF(AND(ISNUMBER($G1046),$G1046&gt;=60),MAX(INDEX($D$846:$D1046,202-60):$D1046),"")</f>
        <v/>
      </c>
      <c r="N1046" s="37" t="str">
        <f aca="false">IF(AND(ISNUMBER($G1046),$G1046&gt;=60),MIN(INDEX($E$846:$E1046,202-60):$E1046),"")</f>
        <v/>
      </c>
      <c r="O1046" s="38" t="str">
        <f aca="false">IF(OR(NOT(ISNUMBER($C1046)),NOT(ISNUMBER($M1046)),$M1046=0),"",$C1046/$M1046-1)</f>
        <v/>
      </c>
    </row>
    <row r="1047" customFormat="false" ht="15" hidden="false" customHeight="true" outlineLevel="0" collapsed="false">
      <c r="A1047" s="39"/>
      <c r="B1047" s="40"/>
      <c r="C1047" s="41"/>
      <c r="D1047" s="40"/>
      <c r="E1047" s="40"/>
      <c r="F1047" s="40"/>
      <c r="G1047" s="35" t="str">
        <f aca="false">IF($A1047="","",IF(ISNUMBER($G1046),$G1046+1,1))</f>
        <v/>
      </c>
      <c r="H1047" s="36" t="str">
        <f aca="false">IF(OR(NOT(ISNUMBER($G1047)),$G1047&lt;2,NOT(ISNUMBER($C1046)),$C1046=0),"",$C1047/$C1046-1)</f>
        <v/>
      </c>
      <c r="I1047" s="37" t="str">
        <f aca="false">IF(AND(ISNUMBER($G1047),$G1047&gt;=MA_SHORT),AVERAGE(INDEX($C$647:$C1047,402-MA_SHORT):$C1047),"")</f>
        <v/>
      </c>
      <c r="J1047" s="37" t="str">
        <f aca="false">IF(AND(ISNUMBER($G1047),$G1047&gt;=MA_MED),AVERAGE(INDEX($C$647:$C1047,402-MA_MED):$C1047),"")</f>
        <v/>
      </c>
      <c r="K1047" s="37" t="str">
        <f aca="false">IF(AND(ISNUMBER($G1047),$G1047&gt;=MA_LONG2),AVERAGE(INDEX($C$647:$C1047,402-MA_LONG2):$C1047),"")</f>
        <v/>
      </c>
      <c r="L1047" s="38" t="str">
        <f aca="false">IF(AND(ISNUMBER($G1047),$G1047&gt;=21),STDEV(INDEX($H$987:$H1047,62-20):$H1047)*SQRT(245),"")</f>
        <v/>
      </c>
      <c r="M1047" s="37" t="str">
        <f aca="false">IF(AND(ISNUMBER($G1047),$G1047&gt;=60),MAX(INDEX($D$847:$D1047,202-60):$D1047),"")</f>
        <v/>
      </c>
      <c r="N1047" s="37" t="str">
        <f aca="false">IF(AND(ISNUMBER($G1047),$G1047&gt;=60),MIN(INDEX($E$847:$E1047,202-60):$E1047),"")</f>
        <v/>
      </c>
      <c r="O1047" s="38" t="str">
        <f aca="false">IF(OR(NOT(ISNUMBER($C1047)),NOT(ISNUMBER($M1047)),$M1047=0),"",$C1047/$M1047-1)</f>
        <v/>
      </c>
    </row>
    <row r="1048" customFormat="false" ht="15" hidden="false" customHeight="true" outlineLevel="0" collapsed="false">
      <c r="A1048" s="39"/>
      <c r="B1048" s="40"/>
      <c r="C1048" s="41"/>
      <c r="D1048" s="40"/>
      <c r="E1048" s="40"/>
      <c r="F1048" s="40"/>
      <c r="G1048" s="35" t="str">
        <f aca="false">IF($A1048="","",IF(ISNUMBER($G1047),$G1047+1,1))</f>
        <v/>
      </c>
      <c r="H1048" s="36" t="str">
        <f aca="false">IF(OR(NOT(ISNUMBER($G1048)),$G1048&lt;2,NOT(ISNUMBER($C1047)),$C1047=0),"",$C1048/$C1047-1)</f>
        <v/>
      </c>
      <c r="I1048" s="37" t="str">
        <f aca="false">IF(AND(ISNUMBER($G1048),$G1048&gt;=MA_SHORT),AVERAGE(INDEX($C$648:$C1048,402-MA_SHORT):$C1048),"")</f>
        <v/>
      </c>
      <c r="J1048" s="37" t="str">
        <f aca="false">IF(AND(ISNUMBER($G1048),$G1048&gt;=MA_MED),AVERAGE(INDEX($C$648:$C1048,402-MA_MED):$C1048),"")</f>
        <v/>
      </c>
      <c r="K1048" s="37" t="str">
        <f aca="false">IF(AND(ISNUMBER($G1048),$G1048&gt;=MA_LONG2),AVERAGE(INDEX($C$648:$C1048,402-MA_LONG2):$C1048),"")</f>
        <v/>
      </c>
      <c r="L1048" s="38" t="str">
        <f aca="false">IF(AND(ISNUMBER($G1048),$G1048&gt;=21),STDEV(INDEX($H$988:$H1048,62-20):$H1048)*SQRT(245),"")</f>
        <v/>
      </c>
      <c r="M1048" s="37" t="str">
        <f aca="false">IF(AND(ISNUMBER($G1048),$G1048&gt;=60),MAX(INDEX($D$848:$D1048,202-60):$D1048),"")</f>
        <v/>
      </c>
      <c r="N1048" s="37" t="str">
        <f aca="false">IF(AND(ISNUMBER($G1048),$G1048&gt;=60),MIN(INDEX($E$848:$E1048,202-60):$E1048),"")</f>
        <v/>
      </c>
      <c r="O1048" s="38" t="str">
        <f aca="false">IF(OR(NOT(ISNUMBER($C1048)),NOT(ISNUMBER($M1048)),$M1048=0),"",$C1048/$M1048-1)</f>
        <v/>
      </c>
    </row>
    <row r="1049" customFormat="false" ht="15" hidden="false" customHeight="true" outlineLevel="0" collapsed="false">
      <c r="A1049" s="39"/>
      <c r="B1049" s="40"/>
      <c r="C1049" s="41"/>
      <c r="D1049" s="40"/>
      <c r="E1049" s="40"/>
      <c r="F1049" s="40"/>
      <c r="G1049" s="35" t="str">
        <f aca="false">IF($A1049="","",IF(ISNUMBER($G1048),$G1048+1,1))</f>
        <v/>
      </c>
      <c r="H1049" s="36" t="str">
        <f aca="false">IF(OR(NOT(ISNUMBER($G1049)),$G1049&lt;2,NOT(ISNUMBER($C1048)),$C1048=0),"",$C1049/$C1048-1)</f>
        <v/>
      </c>
      <c r="I1049" s="37" t="str">
        <f aca="false">IF(AND(ISNUMBER($G1049),$G1049&gt;=MA_SHORT),AVERAGE(INDEX($C$649:$C1049,402-MA_SHORT):$C1049),"")</f>
        <v/>
      </c>
      <c r="J1049" s="37" t="str">
        <f aca="false">IF(AND(ISNUMBER($G1049),$G1049&gt;=MA_MED),AVERAGE(INDEX($C$649:$C1049,402-MA_MED):$C1049),"")</f>
        <v/>
      </c>
      <c r="K1049" s="37" t="str">
        <f aca="false">IF(AND(ISNUMBER($G1049),$G1049&gt;=MA_LONG2),AVERAGE(INDEX($C$649:$C1049,402-MA_LONG2):$C1049),"")</f>
        <v/>
      </c>
      <c r="L1049" s="38" t="str">
        <f aca="false">IF(AND(ISNUMBER($G1049),$G1049&gt;=21),STDEV(INDEX($H$989:$H1049,62-20):$H1049)*SQRT(245),"")</f>
        <v/>
      </c>
      <c r="M1049" s="37" t="str">
        <f aca="false">IF(AND(ISNUMBER($G1049),$G1049&gt;=60),MAX(INDEX($D$849:$D1049,202-60):$D1049),"")</f>
        <v/>
      </c>
      <c r="N1049" s="37" t="str">
        <f aca="false">IF(AND(ISNUMBER($G1049),$G1049&gt;=60),MIN(INDEX($E$849:$E1049,202-60):$E1049),"")</f>
        <v/>
      </c>
      <c r="O1049" s="38" t="str">
        <f aca="false">IF(OR(NOT(ISNUMBER($C1049)),NOT(ISNUMBER($M1049)),$M1049=0),"",$C1049/$M1049-1)</f>
        <v/>
      </c>
    </row>
    <row r="1050" customFormat="false" ht="15" hidden="false" customHeight="true" outlineLevel="0" collapsed="false">
      <c r="A1050" s="39"/>
      <c r="B1050" s="40"/>
      <c r="C1050" s="41"/>
      <c r="D1050" s="40"/>
      <c r="E1050" s="40"/>
      <c r="F1050" s="40"/>
      <c r="G1050" s="35" t="str">
        <f aca="false">IF($A1050="","",IF(ISNUMBER($G1049),$G1049+1,1))</f>
        <v/>
      </c>
      <c r="H1050" s="36" t="str">
        <f aca="false">IF(OR(NOT(ISNUMBER($G1050)),$G1050&lt;2,NOT(ISNUMBER($C1049)),$C1049=0),"",$C1050/$C1049-1)</f>
        <v/>
      </c>
      <c r="I1050" s="37" t="str">
        <f aca="false">IF(AND(ISNUMBER($G1050),$G1050&gt;=MA_SHORT),AVERAGE(INDEX($C$650:$C1050,402-MA_SHORT):$C1050),"")</f>
        <v/>
      </c>
      <c r="J1050" s="37" t="str">
        <f aca="false">IF(AND(ISNUMBER($G1050),$G1050&gt;=MA_MED),AVERAGE(INDEX($C$650:$C1050,402-MA_MED):$C1050),"")</f>
        <v/>
      </c>
      <c r="K1050" s="37" t="str">
        <f aca="false">IF(AND(ISNUMBER($G1050),$G1050&gt;=MA_LONG2),AVERAGE(INDEX($C$650:$C1050,402-MA_LONG2):$C1050),"")</f>
        <v/>
      </c>
      <c r="L1050" s="38" t="str">
        <f aca="false">IF(AND(ISNUMBER($G1050),$G1050&gt;=21),STDEV(INDEX($H$990:$H1050,62-20):$H1050)*SQRT(245),"")</f>
        <v/>
      </c>
      <c r="M1050" s="37" t="str">
        <f aca="false">IF(AND(ISNUMBER($G1050),$G1050&gt;=60),MAX(INDEX($D$850:$D1050,202-60):$D1050),"")</f>
        <v/>
      </c>
      <c r="N1050" s="37" t="str">
        <f aca="false">IF(AND(ISNUMBER($G1050),$G1050&gt;=60),MIN(INDEX($E$850:$E1050,202-60):$E1050),"")</f>
        <v/>
      </c>
      <c r="O1050" s="38" t="str">
        <f aca="false">IF(OR(NOT(ISNUMBER($C1050)),NOT(ISNUMBER($M1050)),$M1050=0),"",$C1050/$M1050-1)</f>
        <v/>
      </c>
    </row>
    <row r="1051" customFormat="false" ht="15" hidden="false" customHeight="true" outlineLevel="0" collapsed="false">
      <c r="A1051" s="39"/>
      <c r="B1051" s="40"/>
      <c r="C1051" s="41"/>
      <c r="D1051" s="40"/>
      <c r="E1051" s="40"/>
      <c r="F1051" s="40"/>
      <c r="G1051" s="35" t="str">
        <f aca="false">IF($A1051="","",IF(ISNUMBER($G1050),$G1050+1,1))</f>
        <v/>
      </c>
      <c r="H1051" s="36" t="str">
        <f aca="false">IF(OR(NOT(ISNUMBER($G1051)),$G1051&lt;2,NOT(ISNUMBER($C1050)),$C1050=0),"",$C1051/$C1050-1)</f>
        <v/>
      </c>
      <c r="I1051" s="37" t="str">
        <f aca="false">IF(AND(ISNUMBER($G1051),$G1051&gt;=MA_SHORT),AVERAGE(INDEX($C$651:$C1051,402-MA_SHORT):$C1051),"")</f>
        <v/>
      </c>
      <c r="J1051" s="37" t="str">
        <f aca="false">IF(AND(ISNUMBER($G1051),$G1051&gt;=MA_MED),AVERAGE(INDEX($C$651:$C1051,402-MA_MED):$C1051),"")</f>
        <v/>
      </c>
      <c r="K1051" s="37" t="str">
        <f aca="false">IF(AND(ISNUMBER($G1051),$G1051&gt;=MA_LONG2),AVERAGE(INDEX($C$651:$C1051,402-MA_LONG2):$C1051),"")</f>
        <v/>
      </c>
      <c r="L1051" s="38" t="str">
        <f aca="false">IF(AND(ISNUMBER($G1051),$G1051&gt;=21),STDEV(INDEX($H$991:$H1051,62-20):$H1051)*SQRT(245),"")</f>
        <v/>
      </c>
      <c r="M1051" s="37" t="str">
        <f aca="false">IF(AND(ISNUMBER($G1051),$G1051&gt;=60),MAX(INDEX($D$851:$D1051,202-60):$D1051),"")</f>
        <v/>
      </c>
      <c r="N1051" s="37" t="str">
        <f aca="false">IF(AND(ISNUMBER($G1051),$G1051&gt;=60),MIN(INDEX($E$851:$E1051,202-60):$E1051),"")</f>
        <v/>
      </c>
      <c r="O1051" s="38" t="str">
        <f aca="false">IF(OR(NOT(ISNUMBER($C1051)),NOT(ISNUMBER($M1051)),$M1051=0),"",$C1051/$M1051-1)</f>
        <v/>
      </c>
    </row>
    <row r="1052" customFormat="false" ht="15" hidden="false" customHeight="true" outlineLevel="0" collapsed="false">
      <c r="A1052" s="39"/>
      <c r="B1052" s="40"/>
      <c r="C1052" s="41"/>
      <c r="D1052" s="40"/>
      <c r="E1052" s="40"/>
      <c r="F1052" s="40"/>
      <c r="G1052" s="35" t="str">
        <f aca="false">IF($A1052="","",IF(ISNUMBER($G1051),$G1051+1,1))</f>
        <v/>
      </c>
      <c r="H1052" s="36" t="str">
        <f aca="false">IF(OR(NOT(ISNUMBER($G1052)),$G1052&lt;2,NOT(ISNUMBER($C1051)),$C1051=0),"",$C1052/$C1051-1)</f>
        <v/>
      </c>
      <c r="I1052" s="37" t="str">
        <f aca="false">IF(AND(ISNUMBER($G1052),$G1052&gt;=MA_SHORT),AVERAGE(INDEX($C$652:$C1052,402-MA_SHORT):$C1052),"")</f>
        <v/>
      </c>
      <c r="J1052" s="37" t="str">
        <f aca="false">IF(AND(ISNUMBER($G1052),$G1052&gt;=MA_MED),AVERAGE(INDEX($C$652:$C1052,402-MA_MED):$C1052),"")</f>
        <v/>
      </c>
      <c r="K1052" s="37" t="str">
        <f aca="false">IF(AND(ISNUMBER($G1052),$G1052&gt;=MA_LONG2),AVERAGE(INDEX($C$652:$C1052,402-MA_LONG2):$C1052),"")</f>
        <v/>
      </c>
      <c r="L1052" s="38" t="str">
        <f aca="false">IF(AND(ISNUMBER($G1052),$G1052&gt;=21),STDEV(INDEX($H$992:$H1052,62-20):$H1052)*SQRT(245),"")</f>
        <v/>
      </c>
      <c r="M1052" s="37" t="str">
        <f aca="false">IF(AND(ISNUMBER($G1052),$G1052&gt;=60),MAX(INDEX($D$852:$D1052,202-60):$D1052),"")</f>
        <v/>
      </c>
      <c r="N1052" s="37" t="str">
        <f aca="false">IF(AND(ISNUMBER($G1052),$G1052&gt;=60),MIN(INDEX($E$852:$E1052,202-60):$E1052),"")</f>
        <v/>
      </c>
      <c r="O1052" s="38" t="str">
        <f aca="false">IF(OR(NOT(ISNUMBER($C1052)),NOT(ISNUMBER($M1052)),$M1052=0),"",$C1052/$M1052-1)</f>
        <v/>
      </c>
    </row>
    <row r="1053" customFormat="false" ht="15" hidden="false" customHeight="true" outlineLevel="0" collapsed="false">
      <c r="A1053" s="39"/>
      <c r="B1053" s="40"/>
      <c r="C1053" s="41"/>
      <c r="D1053" s="40"/>
      <c r="E1053" s="40"/>
      <c r="F1053" s="40"/>
      <c r="G1053" s="35" t="str">
        <f aca="false">IF($A1053="","",IF(ISNUMBER($G1052),$G1052+1,1))</f>
        <v/>
      </c>
      <c r="H1053" s="36" t="str">
        <f aca="false">IF(OR(NOT(ISNUMBER($G1053)),$G1053&lt;2,NOT(ISNUMBER($C1052)),$C1052=0),"",$C1053/$C1052-1)</f>
        <v/>
      </c>
      <c r="I1053" s="37" t="str">
        <f aca="false">IF(AND(ISNUMBER($G1053),$G1053&gt;=MA_SHORT),AVERAGE(INDEX($C$653:$C1053,402-MA_SHORT):$C1053),"")</f>
        <v/>
      </c>
      <c r="J1053" s="37" t="str">
        <f aca="false">IF(AND(ISNUMBER($G1053),$G1053&gt;=MA_MED),AVERAGE(INDEX($C$653:$C1053,402-MA_MED):$C1053),"")</f>
        <v/>
      </c>
      <c r="K1053" s="37" t="str">
        <f aca="false">IF(AND(ISNUMBER($G1053),$G1053&gt;=MA_LONG2),AVERAGE(INDEX($C$653:$C1053,402-MA_LONG2):$C1053),"")</f>
        <v/>
      </c>
      <c r="L1053" s="38" t="str">
        <f aca="false">IF(AND(ISNUMBER($G1053),$G1053&gt;=21),STDEV(INDEX($H$993:$H1053,62-20):$H1053)*SQRT(245),"")</f>
        <v/>
      </c>
      <c r="M1053" s="37" t="str">
        <f aca="false">IF(AND(ISNUMBER($G1053),$G1053&gt;=60),MAX(INDEX($D$853:$D1053,202-60):$D1053),"")</f>
        <v/>
      </c>
      <c r="N1053" s="37" t="str">
        <f aca="false">IF(AND(ISNUMBER($G1053),$G1053&gt;=60),MIN(INDEX($E$853:$E1053,202-60):$E1053),"")</f>
        <v/>
      </c>
      <c r="O1053" s="38" t="str">
        <f aca="false">IF(OR(NOT(ISNUMBER($C1053)),NOT(ISNUMBER($M1053)),$M1053=0),"",$C1053/$M1053-1)</f>
        <v/>
      </c>
    </row>
    <row r="1054" customFormat="false" ht="15" hidden="false" customHeight="true" outlineLevel="0" collapsed="false">
      <c r="A1054" s="39"/>
      <c r="B1054" s="40"/>
      <c r="C1054" s="41"/>
      <c r="D1054" s="40"/>
      <c r="E1054" s="40"/>
      <c r="F1054" s="40"/>
      <c r="G1054" s="35" t="str">
        <f aca="false">IF($A1054="","",IF(ISNUMBER($G1053),$G1053+1,1))</f>
        <v/>
      </c>
      <c r="H1054" s="36" t="str">
        <f aca="false">IF(OR(NOT(ISNUMBER($G1054)),$G1054&lt;2,NOT(ISNUMBER($C1053)),$C1053=0),"",$C1054/$C1053-1)</f>
        <v/>
      </c>
      <c r="I1054" s="37" t="str">
        <f aca="false">IF(AND(ISNUMBER($G1054),$G1054&gt;=MA_SHORT),AVERAGE(INDEX($C$654:$C1054,402-MA_SHORT):$C1054),"")</f>
        <v/>
      </c>
      <c r="J1054" s="37" t="str">
        <f aca="false">IF(AND(ISNUMBER($G1054),$G1054&gt;=MA_MED),AVERAGE(INDEX($C$654:$C1054,402-MA_MED):$C1054),"")</f>
        <v/>
      </c>
      <c r="K1054" s="37" t="str">
        <f aca="false">IF(AND(ISNUMBER($G1054),$G1054&gt;=MA_LONG2),AVERAGE(INDEX($C$654:$C1054,402-MA_LONG2):$C1054),"")</f>
        <v/>
      </c>
      <c r="L1054" s="38" t="str">
        <f aca="false">IF(AND(ISNUMBER($G1054),$G1054&gt;=21),STDEV(INDEX($H$994:$H1054,62-20):$H1054)*SQRT(245),"")</f>
        <v/>
      </c>
      <c r="M1054" s="37" t="str">
        <f aca="false">IF(AND(ISNUMBER($G1054),$G1054&gt;=60),MAX(INDEX($D$854:$D1054,202-60):$D1054),"")</f>
        <v/>
      </c>
      <c r="N1054" s="37" t="str">
        <f aca="false">IF(AND(ISNUMBER($G1054),$G1054&gt;=60),MIN(INDEX($E$854:$E1054,202-60):$E1054),"")</f>
        <v/>
      </c>
      <c r="O1054" s="38" t="str">
        <f aca="false">IF(OR(NOT(ISNUMBER($C1054)),NOT(ISNUMBER($M1054)),$M1054=0),"",$C1054/$M1054-1)</f>
        <v/>
      </c>
    </row>
    <row r="1055" customFormat="false" ht="15" hidden="false" customHeight="true" outlineLevel="0" collapsed="false">
      <c r="A1055" s="39"/>
      <c r="B1055" s="40"/>
      <c r="C1055" s="41"/>
      <c r="D1055" s="40"/>
      <c r="E1055" s="40"/>
      <c r="F1055" s="40"/>
      <c r="G1055" s="35" t="str">
        <f aca="false">IF($A1055="","",IF(ISNUMBER($G1054),$G1054+1,1))</f>
        <v/>
      </c>
      <c r="H1055" s="36" t="str">
        <f aca="false">IF(OR(NOT(ISNUMBER($G1055)),$G1055&lt;2,NOT(ISNUMBER($C1054)),$C1054=0),"",$C1055/$C1054-1)</f>
        <v/>
      </c>
      <c r="I1055" s="37" t="str">
        <f aca="false">IF(AND(ISNUMBER($G1055),$G1055&gt;=MA_SHORT),AVERAGE(INDEX($C$655:$C1055,402-MA_SHORT):$C1055),"")</f>
        <v/>
      </c>
      <c r="J1055" s="37" t="str">
        <f aca="false">IF(AND(ISNUMBER($G1055),$G1055&gt;=MA_MED),AVERAGE(INDEX($C$655:$C1055,402-MA_MED):$C1055),"")</f>
        <v/>
      </c>
      <c r="K1055" s="37" t="str">
        <f aca="false">IF(AND(ISNUMBER($G1055),$G1055&gt;=MA_LONG2),AVERAGE(INDEX($C$655:$C1055,402-MA_LONG2):$C1055),"")</f>
        <v/>
      </c>
      <c r="L1055" s="38" t="str">
        <f aca="false">IF(AND(ISNUMBER($G1055),$G1055&gt;=21),STDEV(INDEX($H$995:$H1055,62-20):$H1055)*SQRT(245),"")</f>
        <v/>
      </c>
      <c r="M1055" s="37" t="str">
        <f aca="false">IF(AND(ISNUMBER($G1055),$G1055&gt;=60),MAX(INDEX($D$855:$D1055,202-60):$D1055),"")</f>
        <v/>
      </c>
      <c r="N1055" s="37" t="str">
        <f aca="false">IF(AND(ISNUMBER($G1055),$G1055&gt;=60),MIN(INDEX($E$855:$E1055,202-60):$E1055),"")</f>
        <v/>
      </c>
      <c r="O1055" s="38" t="str">
        <f aca="false">IF(OR(NOT(ISNUMBER($C1055)),NOT(ISNUMBER($M1055)),$M1055=0),"",$C1055/$M1055-1)</f>
        <v/>
      </c>
    </row>
    <row r="1056" customFormat="false" ht="15" hidden="false" customHeight="true" outlineLevel="0" collapsed="false">
      <c r="A1056" s="39"/>
      <c r="B1056" s="40"/>
      <c r="C1056" s="41"/>
      <c r="D1056" s="40"/>
      <c r="E1056" s="40"/>
      <c r="F1056" s="40"/>
      <c r="G1056" s="35" t="str">
        <f aca="false">IF($A1056="","",IF(ISNUMBER($G1055),$G1055+1,1))</f>
        <v/>
      </c>
      <c r="H1056" s="36" t="str">
        <f aca="false">IF(OR(NOT(ISNUMBER($G1056)),$G1056&lt;2,NOT(ISNUMBER($C1055)),$C1055=0),"",$C1056/$C1055-1)</f>
        <v/>
      </c>
      <c r="I1056" s="37" t="str">
        <f aca="false">IF(AND(ISNUMBER($G1056),$G1056&gt;=MA_SHORT),AVERAGE(INDEX($C$656:$C1056,402-MA_SHORT):$C1056),"")</f>
        <v/>
      </c>
      <c r="J1056" s="37" t="str">
        <f aca="false">IF(AND(ISNUMBER($G1056),$G1056&gt;=MA_MED),AVERAGE(INDEX($C$656:$C1056,402-MA_MED):$C1056),"")</f>
        <v/>
      </c>
      <c r="K1056" s="37" t="str">
        <f aca="false">IF(AND(ISNUMBER($G1056),$G1056&gt;=MA_LONG2),AVERAGE(INDEX($C$656:$C1056,402-MA_LONG2):$C1056),"")</f>
        <v/>
      </c>
      <c r="L1056" s="38" t="str">
        <f aca="false">IF(AND(ISNUMBER($G1056),$G1056&gt;=21),STDEV(INDEX($H$996:$H1056,62-20):$H1056)*SQRT(245),"")</f>
        <v/>
      </c>
      <c r="M1056" s="37" t="str">
        <f aca="false">IF(AND(ISNUMBER($G1056),$G1056&gt;=60),MAX(INDEX($D$856:$D1056,202-60):$D1056),"")</f>
        <v/>
      </c>
      <c r="N1056" s="37" t="str">
        <f aca="false">IF(AND(ISNUMBER($G1056),$G1056&gt;=60),MIN(INDEX($E$856:$E1056,202-60):$E1056),"")</f>
        <v/>
      </c>
      <c r="O1056" s="38" t="str">
        <f aca="false">IF(OR(NOT(ISNUMBER($C1056)),NOT(ISNUMBER($M1056)),$M1056=0),"",$C1056/$M1056-1)</f>
        <v/>
      </c>
    </row>
    <row r="1057" customFormat="false" ht="15" hidden="false" customHeight="true" outlineLevel="0" collapsed="false">
      <c r="A1057" s="39"/>
      <c r="B1057" s="40"/>
      <c r="C1057" s="41"/>
      <c r="D1057" s="40"/>
      <c r="E1057" s="40"/>
      <c r="F1057" s="40"/>
      <c r="G1057" s="35" t="str">
        <f aca="false">IF($A1057="","",IF(ISNUMBER($G1056),$G1056+1,1))</f>
        <v/>
      </c>
      <c r="H1057" s="36" t="str">
        <f aca="false">IF(OR(NOT(ISNUMBER($G1057)),$G1057&lt;2,NOT(ISNUMBER($C1056)),$C1056=0),"",$C1057/$C1056-1)</f>
        <v/>
      </c>
      <c r="I1057" s="37" t="str">
        <f aca="false">IF(AND(ISNUMBER($G1057),$G1057&gt;=MA_SHORT),AVERAGE(INDEX($C$657:$C1057,402-MA_SHORT):$C1057),"")</f>
        <v/>
      </c>
      <c r="J1057" s="37" t="str">
        <f aca="false">IF(AND(ISNUMBER($G1057),$G1057&gt;=MA_MED),AVERAGE(INDEX($C$657:$C1057,402-MA_MED):$C1057),"")</f>
        <v/>
      </c>
      <c r="K1057" s="37" t="str">
        <f aca="false">IF(AND(ISNUMBER($G1057),$G1057&gt;=MA_LONG2),AVERAGE(INDEX($C$657:$C1057,402-MA_LONG2):$C1057),"")</f>
        <v/>
      </c>
      <c r="L1057" s="38" t="str">
        <f aca="false">IF(AND(ISNUMBER($G1057),$G1057&gt;=21),STDEV(INDEX($H$997:$H1057,62-20):$H1057)*SQRT(245),"")</f>
        <v/>
      </c>
      <c r="M1057" s="37" t="str">
        <f aca="false">IF(AND(ISNUMBER($G1057),$G1057&gt;=60),MAX(INDEX($D$857:$D1057,202-60):$D1057),"")</f>
        <v/>
      </c>
      <c r="N1057" s="37" t="str">
        <f aca="false">IF(AND(ISNUMBER($G1057),$G1057&gt;=60),MIN(INDEX($E$857:$E1057,202-60):$E1057),"")</f>
        <v/>
      </c>
      <c r="O1057" s="38" t="str">
        <f aca="false">IF(OR(NOT(ISNUMBER($C1057)),NOT(ISNUMBER($M1057)),$M1057=0),"",$C1057/$M1057-1)</f>
        <v/>
      </c>
    </row>
    <row r="1058" customFormat="false" ht="15" hidden="false" customHeight="true" outlineLevel="0" collapsed="false">
      <c r="A1058" s="39"/>
      <c r="B1058" s="40"/>
      <c r="C1058" s="41"/>
      <c r="D1058" s="40"/>
      <c r="E1058" s="40"/>
      <c r="F1058" s="40"/>
      <c r="G1058" s="35" t="str">
        <f aca="false">IF($A1058="","",IF(ISNUMBER($G1057),$G1057+1,1))</f>
        <v/>
      </c>
      <c r="H1058" s="36" t="str">
        <f aca="false">IF(OR(NOT(ISNUMBER($G1058)),$G1058&lt;2,NOT(ISNUMBER($C1057)),$C1057=0),"",$C1058/$C1057-1)</f>
        <v/>
      </c>
      <c r="I1058" s="37" t="str">
        <f aca="false">IF(AND(ISNUMBER($G1058),$G1058&gt;=MA_SHORT),AVERAGE(INDEX($C$658:$C1058,402-MA_SHORT):$C1058),"")</f>
        <v/>
      </c>
      <c r="J1058" s="37" t="str">
        <f aca="false">IF(AND(ISNUMBER($G1058),$G1058&gt;=MA_MED),AVERAGE(INDEX($C$658:$C1058,402-MA_MED):$C1058),"")</f>
        <v/>
      </c>
      <c r="K1058" s="37" t="str">
        <f aca="false">IF(AND(ISNUMBER($G1058),$G1058&gt;=MA_LONG2),AVERAGE(INDEX($C$658:$C1058,402-MA_LONG2):$C1058),"")</f>
        <v/>
      </c>
      <c r="L1058" s="38" t="str">
        <f aca="false">IF(AND(ISNUMBER($G1058),$G1058&gt;=21),STDEV(INDEX($H$998:$H1058,62-20):$H1058)*SQRT(245),"")</f>
        <v/>
      </c>
      <c r="M1058" s="37" t="str">
        <f aca="false">IF(AND(ISNUMBER($G1058),$G1058&gt;=60),MAX(INDEX($D$858:$D1058,202-60):$D1058),"")</f>
        <v/>
      </c>
      <c r="N1058" s="37" t="str">
        <f aca="false">IF(AND(ISNUMBER($G1058),$G1058&gt;=60),MIN(INDEX($E$858:$E1058,202-60):$E1058),"")</f>
        <v/>
      </c>
      <c r="O1058" s="38" t="str">
        <f aca="false">IF(OR(NOT(ISNUMBER($C1058)),NOT(ISNUMBER($M1058)),$M1058=0),"",$C1058/$M1058-1)</f>
        <v/>
      </c>
    </row>
    <row r="1059" customFormat="false" ht="15" hidden="false" customHeight="true" outlineLevel="0" collapsed="false">
      <c r="A1059" s="39"/>
      <c r="B1059" s="40"/>
      <c r="C1059" s="41"/>
      <c r="D1059" s="40"/>
      <c r="E1059" s="40"/>
      <c r="F1059" s="40"/>
      <c r="G1059" s="35" t="str">
        <f aca="false">IF($A1059="","",IF(ISNUMBER($G1058),$G1058+1,1))</f>
        <v/>
      </c>
      <c r="H1059" s="36" t="str">
        <f aca="false">IF(OR(NOT(ISNUMBER($G1059)),$G1059&lt;2,NOT(ISNUMBER($C1058)),$C1058=0),"",$C1059/$C1058-1)</f>
        <v/>
      </c>
      <c r="I1059" s="37" t="str">
        <f aca="false">IF(AND(ISNUMBER($G1059),$G1059&gt;=MA_SHORT),AVERAGE(INDEX($C$659:$C1059,402-MA_SHORT):$C1059),"")</f>
        <v/>
      </c>
      <c r="J1059" s="37" t="str">
        <f aca="false">IF(AND(ISNUMBER($G1059),$G1059&gt;=MA_MED),AVERAGE(INDEX($C$659:$C1059,402-MA_MED):$C1059),"")</f>
        <v/>
      </c>
      <c r="K1059" s="37" t="str">
        <f aca="false">IF(AND(ISNUMBER($G1059),$G1059&gt;=MA_LONG2),AVERAGE(INDEX($C$659:$C1059,402-MA_LONG2):$C1059),"")</f>
        <v/>
      </c>
      <c r="L1059" s="38" t="str">
        <f aca="false">IF(AND(ISNUMBER($G1059),$G1059&gt;=21),STDEV(INDEX($H$999:$H1059,62-20):$H1059)*SQRT(245),"")</f>
        <v/>
      </c>
      <c r="M1059" s="37" t="str">
        <f aca="false">IF(AND(ISNUMBER($G1059),$G1059&gt;=60),MAX(INDEX($D$859:$D1059,202-60):$D1059),"")</f>
        <v/>
      </c>
      <c r="N1059" s="37" t="str">
        <f aca="false">IF(AND(ISNUMBER($G1059),$G1059&gt;=60),MIN(INDEX($E$859:$E1059,202-60):$E1059),"")</f>
        <v/>
      </c>
      <c r="O1059" s="38" t="str">
        <f aca="false">IF(OR(NOT(ISNUMBER($C1059)),NOT(ISNUMBER($M1059)),$M1059=0),"",$C1059/$M1059-1)</f>
        <v/>
      </c>
    </row>
    <row r="1060" customFormat="false" ht="15" hidden="false" customHeight="true" outlineLevel="0" collapsed="false">
      <c r="A1060" s="39"/>
      <c r="B1060" s="40"/>
      <c r="C1060" s="41"/>
      <c r="D1060" s="40"/>
      <c r="E1060" s="40"/>
      <c r="F1060" s="40"/>
      <c r="G1060" s="35" t="str">
        <f aca="false">IF($A1060="","",IF(ISNUMBER($G1059),$G1059+1,1))</f>
        <v/>
      </c>
      <c r="H1060" s="36" t="str">
        <f aca="false">IF(OR(NOT(ISNUMBER($G1060)),$G1060&lt;2,NOT(ISNUMBER($C1059)),$C1059=0),"",$C1060/$C1059-1)</f>
        <v/>
      </c>
      <c r="I1060" s="37" t="str">
        <f aca="false">IF(AND(ISNUMBER($G1060),$G1060&gt;=MA_SHORT),AVERAGE(INDEX($C$660:$C1060,402-MA_SHORT):$C1060),"")</f>
        <v/>
      </c>
      <c r="J1060" s="37" t="str">
        <f aca="false">IF(AND(ISNUMBER($G1060),$G1060&gt;=MA_MED),AVERAGE(INDEX($C$660:$C1060,402-MA_MED):$C1060),"")</f>
        <v/>
      </c>
      <c r="K1060" s="37" t="str">
        <f aca="false">IF(AND(ISNUMBER($G1060),$G1060&gt;=MA_LONG2),AVERAGE(INDEX($C$660:$C1060,402-MA_LONG2):$C1060),"")</f>
        <v/>
      </c>
      <c r="L1060" s="38" t="str">
        <f aca="false">IF(AND(ISNUMBER($G1060),$G1060&gt;=21),STDEV(INDEX($H$1000:$H1060,62-20):$H1060)*SQRT(245),"")</f>
        <v/>
      </c>
      <c r="M1060" s="37" t="str">
        <f aca="false">IF(AND(ISNUMBER($G1060),$G1060&gt;=60),MAX(INDEX($D$860:$D1060,202-60):$D1060),"")</f>
        <v/>
      </c>
      <c r="N1060" s="37" t="str">
        <f aca="false">IF(AND(ISNUMBER($G1060),$G1060&gt;=60),MIN(INDEX($E$860:$E1060,202-60):$E1060),"")</f>
        <v/>
      </c>
      <c r="O1060" s="38" t="str">
        <f aca="false">IF(OR(NOT(ISNUMBER($C1060)),NOT(ISNUMBER($M1060)),$M1060=0),"",$C1060/$M1060-1)</f>
        <v/>
      </c>
    </row>
    <row r="1061" customFormat="false" ht="15" hidden="false" customHeight="true" outlineLevel="0" collapsed="false">
      <c r="A1061" s="39"/>
      <c r="B1061" s="40"/>
      <c r="C1061" s="41"/>
      <c r="D1061" s="40"/>
      <c r="E1061" s="40"/>
      <c r="F1061" s="40"/>
      <c r="G1061" s="35" t="str">
        <f aca="false">IF($A1061="","",IF(ISNUMBER($G1060),$G1060+1,1))</f>
        <v/>
      </c>
      <c r="H1061" s="36" t="str">
        <f aca="false">IF(OR(NOT(ISNUMBER($G1061)),$G1061&lt;2,NOT(ISNUMBER($C1060)),$C1060=0),"",$C1061/$C1060-1)</f>
        <v/>
      </c>
      <c r="I1061" s="37" t="str">
        <f aca="false">IF(AND(ISNUMBER($G1061),$G1061&gt;=MA_SHORT),AVERAGE(INDEX($C$661:$C1061,402-MA_SHORT):$C1061),"")</f>
        <v/>
      </c>
      <c r="J1061" s="37" t="str">
        <f aca="false">IF(AND(ISNUMBER($G1061),$G1061&gt;=MA_MED),AVERAGE(INDEX($C$661:$C1061,402-MA_MED):$C1061),"")</f>
        <v/>
      </c>
      <c r="K1061" s="37" t="str">
        <f aca="false">IF(AND(ISNUMBER($G1061),$G1061&gt;=MA_LONG2),AVERAGE(INDEX($C$661:$C1061,402-MA_LONG2):$C1061),"")</f>
        <v/>
      </c>
      <c r="L1061" s="38" t="str">
        <f aca="false">IF(AND(ISNUMBER($G1061),$G1061&gt;=21),STDEV(INDEX($H$1001:$H1061,62-20):$H1061)*SQRT(245),"")</f>
        <v/>
      </c>
      <c r="M1061" s="37" t="str">
        <f aca="false">IF(AND(ISNUMBER($G1061),$G1061&gt;=60),MAX(INDEX($D$861:$D1061,202-60):$D1061),"")</f>
        <v/>
      </c>
      <c r="N1061" s="37" t="str">
        <f aca="false">IF(AND(ISNUMBER($G1061),$G1061&gt;=60),MIN(INDEX($E$861:$E1061,202-60):$E1061),"")</f>
        <v/>
      </c>
      <c r="O1061" s="38" t="str">
        <f aca="false">IF(OR(NOT(ISNUMBER($C1061)),NOT(ISNUMBER($M1061)),$M1061=0),"",$C1061/$M1061-1)</f>
        <v/>
      </c>
    </row>
    <row r="1062" customFormat="false" ht="15" hidden="false" customHeight="true" outlineLevel="0" collapsed="false">
      <c r="A1062" s="39"/>
      <c r="B1062" s="40"/>
      <c r="C1062" s="41"/>
      <c r="D1062" s="40"/>
      <c r="E1062" s="40"/>
      <c r="F1062" s="40"/>
      <c r="G1062" s="35" t="str">
        <f aca="false">IF($A1062="","",IF(ISNUMBER($G1061),$G1061+1,1))</f>
        <v/>
      </c>
      <c r="H1062" s="36" t="str">
        <f aca="false">IF(OR(NOT(ISNUMBER($G1062)),$G1062&lt;2,NOT(ISNUMBER($C1061)),$C1061=0),"",$C1062/$C1061-1)</f>
        <v/>
      </c>
      <c r="I1062" s="37" t="str">
        <f aca="false">IF(AND(ISNUMBER($G1062),$G1062&gt;=MA_SHORT),AVERAGE(INDEX($C$662:$C1062,402-MA_SHORT):$C1062),"")</f>
        <v/>
      </c>
      <c r="J1062" s="37" t="str">
        <f aca="false">IF(AND(ISNUMBER($G1062),$G1062&gt;=MA_MED),AVERAGE(INDEX($C$662:$C1062,402-MA_MED):$C1062),"")</f>
        <v/>
      </c>
      <c r="K1062" s="37" t="str">
        <f aca="false">IF(AND(ISNUMBER($G1062),$G1062&gt;=MA_LONG2),AVERAGE(INDEX($C$662:$C1062,402-MA_LONG2):$C1062),"")</f>
        <v/>
      </c>
      <c r="L1062" s="38" t="str">
        <f aca="false">IF(AND(ISNUMBER($G1062),$G1062&gt;=21),STDEV(INDEX($H$1002:$H1062,62-20):$H1062)*SQRT(245),"")</f>
        <v/>
      </c>
      <c r="M1062" s="37" t="str">
        <f aca="false">IF(AND(ISNUMBER($G1062),$G1062&gt;=60),MAX(INDEX($D$862:$D1062,202-60):$D1062),"")</f>
        <v/>
      </c>
      <c r="N1062" s="37" t="str">
        <f aca="false">IF(AND(ISNUMBER($G1062),$G1062&gt;=60),MIN(INDEX($E$862:$E1062,202-60):$E1062),"")</f>
        <v/>
      </c>
      <c r="O1062" s="38" t="str">
        <f aca="false">IF(OR(NOT(ISNUMBER($C1062)),NOT(ISNUMBER($M1062)),$M1062=0),"",$C1062/$M1062-1)</f>
        <v/>
      </c>
    </row>
    <row r="1063" customFormat="false" ht="15" hidden="false" customHeight="true" outlineLevel="0" collapsed="false">
      <c r="A1063" s="39"/>
      <c r="B1063" s="40"/>
      <c r="C1063" s="41"/>
      <c r="D1063" s="40"/>
      <c r="E1063" s="40"/>
      <c r="F1063" s="40"/>
      <c r="G1063" s="35" t="str">
        <f aca="false">IF($A1063="","",IF(ISNUMBER($G1062),$G1062+1,1))</f>
        <v/>
      </c>
      <c r="H1063" s="36" t="str">
        <f aca="false">IF(OR(NOT(ISNUMBER($G1063)),$G1063&lt;2,NOT(ISNUMBER($C1062)),$C1062=0),"",$C1063/$C1062-1)</f>
        <v/>
      </c>
      <c r="I1063" s="37" t="str">
        <f aca="false">IF(AND(ISNUMBER($G1063),$G1063&gt;=MA_SHORT),AVERAGE(INDEX($C$663:$C1063,402-MA_SHORT):$C1063),"")</f>
        <v/>
      </c>
      <c r="J1063" s="37" t="str">
        <f aca="false">IF(AND(ISNUMBER($G1063),$G1063&gt;=MA_MED),AVERAGE(INDEX($C$663:$C1063,402-MA_MED):$C1063),"")</f>
        <v/>
      </c>
      <c r="K1063" s="37" t="str">
        <f aca="false">IF(AND(ISNUMBER($G1063),$G1063&gt;=MA_LONG2),AVERAGE(INDEX($C$663:$C1063,402-MA_LONG2):$C1063),"")</f>
        <v/>
      </c>
      <c r="L1063" s="38" t="str">
        <f aca="false">IF(AND(ISNUMBER($G1063),$G1063&gt;=21),STDEV(INDEX($H$1003:$H1063,62-20):$H1063)*SQRT(245),"")</f>
        <v/>
      </c>
      <c r="M1063" s="37" t="str">
        <f aca="false">IF(AND(ISNUMBER($G1063),$G1063&gt;=60),MAX(INDEX($D$863:$D1063,202-60):$D1063),"")</f>
        <v/>
      </c>
      <c r="N1063" s="37" t="str">
        <f aca="false">IF(AND(ISNUMBER($G1063),$G1063&gt;=60),MIN(INDEX($E$863:$E1063,202-60):$E1063),"")</f>
        <v/>
      </c>
      <c r="O1063" s="38" t="str">
        <f aca="false">IF(OR(NOT(ISNUMBER($C1063)),NOT(ISNUMBER($M1063)),$M1063=0),"",$C1063/$M1063-1)</f>
        <v/>
      </c>
    </row>
    <row r="1064" customFormat="false" ht="15" hidden="false" customHeight="true" outlineLevel="0" collapsed="false">
      <c r="A1064" s="39"/>
      <c r="B1064" s="40"/>
      <c r="C1064" s="41"/>
      <c r="D1064" s="40"/>
      <c r="E1064" s="40"/>
      <c r="F1064" s="40"/>
      <c r="G1064" s="35" t="str">
        <f aca="false">IF($A1064="","",IF(ISNUMBER($G1063),$G1063+1,1))</f>
        <v/>
      </c>
      <c r="H1064" s="36" t="str">
        <f aca="false">IF(OR(NOT(ISNUMBER($G1064)),$G1064&lt;2,NOT(ISNUMBER($C1063)),$C1063=0),"",$C1064/$C1063-1)</f>
        <v/>
      </c>
      <c r="I1064" s="37" t="str">
        <f aca="false">IF(AND(ISNUMBER($G1064),$G1064&gt;=MA_SHORT),AVERAGE(INDEX($C$664:$C1064,402-MA_SHORT):$C1064),"")</f>
        <v/>
      </c>
      <c r="J1064" s="37" t="str">
        <f aca="false">IF(AND(ISNUMBER($G1064),$G1064&gt;=MA_MED),AVERAGE(INDEX($C$664:$C1064,402-MA_MED):$C1064),"")</f>
        <v/>
      </c>
      <c r="K1064" s="37" t="str">
        <f aca="false">IF(AND(ISNUMBER($G1064),$G1064&gt;=MA_LONG2),AVERAGE(INDEX($C$664:$C1064,402-MA_LONG2):$C1064),"")</f>
        <v/>
      </c>
      <c r="L1064" s="38" t="str">
        <f aca="false">IF(AND(ISNUMBER($G1064),$G1064&gt;=21),STDEV(INDEX($H$1004:$H1064,62-20):$H1064)*SQRT(245),"")</f>
        <v/>
      </c>
      <c r="M1064" s="37" t="str">
        <f aca="false">IF(AND(ISNUMBER($G1064),$G1064&gt;=60),MAX(INDEX($D$864:$D1064,202-60):$D1064),"")</f>
        <v/>
      </c>
      <c r="N1064" s="37" t="str">
        <f aca="false">IF(AND(ISNUMBER($G1064),$G1064&gt;=60),MIN(INDEX($E$864:$E1064,202-60):$E1064),"")</f>
        <v/>
      </c>
      <c r="O1064" s="38" t="str">
        <f aca="false">IF(OR(NOT(ISNUMBER($C1064)),NOT(ISNUMBER($M1064)),$M1064=0),"",$C1064/$M1064-1)</f>
        <v/>
      </c>
    </row>
    <row r="1065" customFormat="false" ht="15" hidden="false" customHeight="true" outlineLevel="0" collapsed="false">
      <c r="A1065" s="39"/>
      <c r="B1065" s="40"/>
      <c r="C1065" s="41"/>
      <c r="D1065" s="40"/>
      <c r="E1065" s="40"/>
      <c r="F1065" s="40"/>
      <c r="G1065" s="35" t="str">
        <f aca="false">IF($A1065="","",IF(ISNUMBER($G1064),$G1064+1,1))</f>
        <v/>
      </c>
      <c r="H1065" s="36" t="str">
        <f aca="false">IF(OR(NOT(ISNUMBER($G1065)),$G1065&lt;2,NOT(ISNUMBER($C1064)),$C1064=0),"",$C1065/$C1064-1)</f>
        <v/>
      </c>
      <c r="I1065" s="37" t="str">
        <f aca="false">IF(AND(ISNUMBER($G1065),$G1065&gt;=MA_SHORT),AVERAGE(INDEX($C$665:$C1065,402-MA_SHORT):$C1065),"")</f>
        <v/>
      </c>
      <c r="J1065" s="37" t="str">
        <f aca="false">IF(AND(ISNUMBER($G1065),$G1065&gt;=MA_MED),AVERAGE(INDEX($C$665:$C1065,402-MA_MED):$C1065),"")</f>
        <v/>
      </c>
      <c r="K1065" s="37" t="str">
        <f aca="false">IF(AND(ISNUMBER($G1065),$G1065&gt;=MA_LONG2),AVERAGE(INDEX($C$665:$C1065,402-MA_LONG2):$C1065),"")</f>
        <v/>
      </c>
      <c r="L1065" s="38" t="str">
        <f aca="false">IF(AND(ISNUMBER($G1065),$G1065&gt;=21),STDEV(INDEX($H$1005:$H1065,62-20):$H1065)*SQRT(245),"")</f>
        <v/>
      </c>
      <c r="M1065" s="37" t="str">
        <f aca="false">IF(AND(ISNUMBER($G1065),$G1065&gt;=60),MAX(INDEX($D$865:$D1065,202-60):$D1065),"")</f>
        <v/>
      </c>
      <c r="N1065" s="37" t="str">
        <f aca="false">IF(AND(ISNUMBER($G1065),$G1065&gt;=60),MIN(INDEX($E$865:$E1065,202-60):$E1065),"")</f>
        <v/>
      </c>
      <c r="O1065" s="38" t="str">
        <f aca="false">IF(OR(NOT(ISNUMBER($C1065)),NOT(ISNUMBER($M1065)),$M1065=0),"",$C1065/$M1065-1)</f>
        <v/>
      </c>
    </row>
    <row r="1066" customFormat="false" ht="15" hidden="false" customHeight="true" outlineLevel="0" collapsed="false">
      <c r="A1066" s="39"/>
      <c r="B1066" s="40"/>
      <c r="C1066" s="41"/>
      <c r="D1066" s="40"/>
      <c r="E1066" s="40"/>
      <c r="F1066" s="40"/>
      <c r="G1066" s="35" t="str">
        <f aca="false">IF($A1066="","",IF(ISNUMBER($G1065),$G1065+1,1))</f>
        <v/>
      </c>
      <c r="H1066" s="36" t="str">
        <f aca="false">IF(OR(NOT(ISNUMBER($G1066)),$G1066&lt;2,NOT(ISNUMBER($C1065)),$C1065=0),"",$C1066/$C1065-1)</f>
        <v/>
      </c>
      <c r="I1066" s="37" t="str">
        <f aca="false">IF(AND(ISNUMBER($G1066),$G1066&gt;=MA_SHORT),AVERAGE(INDEX($C$666:$C1066,402-MA_SHORT):$C1066),"")</f>
        <v/>
      </c>
      <c r="J1066" s="37" t="str">
        <f aca="false">IF(AND(ISNUMBER($G1066),$G1066&gt;=MA_MED),AVERAGE(INDEX($C$666:$C1066,402-MA_MED):$C1066),"")</f>
        <v/>
      </c>
      <c r="K1066" s="37" t="str">
        <f aca="false">IF(AND(ISNUMBER($G1066),$G1066&gt;=MA_LONG2),AVERAGE(INDEX($C$666:$C1066,402-MA_LONG2):$C1066),"")</f>
        <v/>
      </c>
      <c r="L1066" s="38" t="str">
        <f aca="false">IF(AND(ISNUMBER($G1066),$G1066&gt;=21),STDEV(INDEX($H$1006:$H1066,62-20):$H1066)*SQRT(245),"")</f>
        <v/>
      </c>
      <c r="M1066" s="37" t="str">
        <f aca="false">IF(AND(ISNUMBER($G1066),$G1066&gt;=60),MAX(INDEX($D$866:$D1066,202-60):$D1066),"")</f>
        <v/>
      </c>
      <c r="N1066" s="37" t="str">
        <f aca="false">IF(AND(ISNUMBER($G1066),$G1066&gt;=60),MIN(INDEX($E$866:$E1066,202-60):$E1066),"")</f>
        <v/>
      </c>
      <c r="O1066" s="38" t="str">
        <f aca="false">IF(OR(NOT(ISNUMBER($C1066)),NOT(ISNUMBER($M1066)),$M1066=0),"",$C1066/$M1066-1)</f>
        <v/>
      </c>
    </row>
    <row r="1067" customFormat="false" ht="15" hidden="false" customHeight="true" outlineLevel="0" collapsed="false">
      <c r="A1067" s="39"/>
      <c r="B1067" s="40"/>
      <c r="C1067" s="41"/>
      <c r="D1067" s="40"/>
      <c r="E1067" s="40"/>
      <c r="F1067" s="40"/>
      <c r="G1067" s="35" t="str">
        <f aca="false">IF($A1067="","",IF(ISNUMBER($G1066),$G1066+1,1))</f>
        <v/>
      </c>
      <c r="H1067" s="36" t="str">
        <f aca="false">IF(OR(NOT(ISNUMBER($G1067)),$G1067&lt;2,NOT(ISNUMBER($C1066)),$C1066=0),"",$C1067/$C1066-1)</f>
        <v/>
      </c>
      <c r="I1067" s="37" t="str">
        <f aca="false">IF(AND(ISNUMBER($G1067),$G1067&gt;=MA_SHORT),AVERAGE(INDEX($C$667:$C1067,402-MA_SHORT):$C1067),"")</f>
        <v/>
      </c>
      <c r="J1067" s="37" t="str">
        <f aca="false">IF(AND(ISNUMBER($G1067),$G1067&gt;=MA_MED),AVERAGE(INDEX($C$667:$C1067,402-MA_MED):$C1067),"")</f>
        <v/>
      </c>
      <c r="K1067" s="37" t="str">
        <f aca="false">IF(AND(ISNUMBER($G1067),$G1067&gt;=MA_LONG2),AVERAGE(INDEX($C$667:$C1067,402-MA_LONG2):$C1067),"")</f>
        <v/>
      </c>
      <c r="L1067" s="38" t="str">
        <f aca="false">IF(AND(ISNUMBER($G1067),$G1067&gt;=21),STDEV(INDEX($H$1007:$H1067,62-20):$H1067)*SQRT(245),"")</f>
        <v/>
      </c>
      <c r="M1067" s="37" t="str">
        <f aca="false">IF(AND(ISNUMBER($G1067),$G1067&gt;=60),MAX(INDEX($D$867:$D1067,202-60):$D1067),"")</f>
        <v/>
      </c>
      <c r="N1067" s="37" t="str">
        <f aca="false">IF(AND(ISNUMBER($G1067),$G1067&gt;=60),MIN(INDEX($E$867:$E1067,202-60):$E1067),"")</f>
        <v/>
      </c>
      <c r="O1067" s="38" t="str">
        <f aca="false">IF(OR(NOT(ISNUMBER($C1067)),NOT(ISNUMBER($M1067)),$M1067=0),"",$C1067/$M1067-1)</f>
        <v/>
      </c>
    </row>
    <row r="1068" customFormat="false" ht="15" hidden="false" customHeight="true" outlineLevel="0" collapsed="false">
      <c r="A1068" s="39"/>
      <c r="B1068" s="40"/>
      <c r="C1068" s="41"/>
      <c r="D1068" s="40"/>
      <c r="E1068" s="40"/>
      <c r="F1068" s="40"/>
      <c r="G1068" s="35" t="str">
        <f aca="false">IF($A1068="","",IF(ISNUMBER($G1067),$G1067+1,1))</f>
        <v/>
      </c>
      <c r="H1068" s="36" t="str">
        <f aca="false">IF(OR(NOT(ISNUMBER($G1068)),$G1068&lt;2,NOT(ISNUMBER($C1067)),$C1067=0),"",$C1068/$C1067-1)</f>
        <v/>
      </c>
      <c r="I1068" s="37" t="str">
        <f aca="false">IF(AND(ISNUMBER($G1068),$G1068&gt;=MA_SHORT),AVERAGE(INDEX($C$668:$C1068,402-MA_SHORT):$C1068),"")</f>
        <v/>
      </c>
      <c r="J1068" s="37" t="str">
        <f aca="false">IF(AND(ISNUMBER($G1068),$G1068&gt;=MA_MED),AVERAGE(INDEX($C$668:$C1068,402-MA_MED):$C1068),"")</f>
        <v/>
      </c>
      <c r="K1068" s="37" t="str">
        <f aca="false">IF(AND(ISNUMBER($G1068),$G1068&gt;=MA_LONG2),AVERAGE(INDEX($C$668:$C1068,402-MA_LONG2):$C1068),"")</f>
        <v/>
      </c>
      <c r="L1068" s="38" t="str">
        <f aca="false">IF(AND(ISNUMBER($G1068),$G1068&gt;=21),STDEV(INDEX($H$1008:$H1068,62-20):$H1068)*SQRT(245),"")</f>
        <v/>
      </c>
      <c r="M1068" s="37" t="str">
        <f aca="false">IF(AND(ISNUMBER($G1068),$G1068&gt;=60),MAX(INDEX($D$868:$D1068,202-60):$D1068),"")</f>
        <v/>
      </c>
      <c r="N1068" s="37" t="str">
        <f aca="false">IF(AND(ISNUMBER($G1068),$G1068&gt;=60),MIN(INDEX($E$868:$E1068,202-60):$E1068),"")</f>
        <v/>
      </c>
      <c r="O1068" s="38" t="str">
        <f aca="false">IF(OR(NOT(ISNUMBER($C1068)),NOT(ISNUMBER($M1068)),$M1068=0),"",$C1068/$M1068-1)</f>
        <v/>
      </c>
    </row>
    <row r="1069" customFormat="false" ht="15" hidden="false" customHeight="true" outlineLevel="0" collapsed="false">
      <c r="A1069" s="39"/>
      <c r="B1069" s="40"/>
      <c r="C1069" s="41"/>
      <c r="D1069" s="40"/>
      <c r="E1069" s="40"/>
      <c r="F1069" s="40"/>
      <c r="G1069" s="35" t="str">
        <f aca="false">IF($A1069="","",IF(ISNUMBER($G1068),$G1068+1,1))</f>
        <v/>
      </c>
      <c r="H1069" s="36" t="str">
        <f aca="false">IF(OR(NOT(ISNUMBER($G1069)),$G1069&lt;2,NOT(ISNUMBER($C1068)),$C1068=0),"",$C1069/$C1068-1)</f>
        <v/>
      </c>
      <c r="I1069" s="37" t="str">
        <f aca="false">IF(AND(ISNUMBER($G1069),$G1069&gt;=MA_SHORT),AVERAGE(INDEX($C$669:$C1069,402-MA_SHORT):$C1069),"")</f>
        <v/>
      </c>
      <c r="J1069" s="37" t="str">
        <f aca="false">IF(AND(ISNUMBER($G1069),$G1069&gt;=MA_MED),AVERAGE(INDEX($C$669:$C1069,402-MA_MED):$C1069),"")</f>
        <v/>
      </c>
      <c r="K1069" s="37" t="str">
        <f aca="false">IF(AND(ISNUMBER($G1069),$G1069&gt;=MA_LONG2),AVERAGE(INDEX($C$669:$C1069,402-MA_LONG2):$C1069),"")</f>
        <v/>
      </c>
      <c r="L1069" s="38" t="str">
        <f aca="false">IF(AND(ISNUMBER($G1069),$G1069&gt;=21),STDEV(INDEX($H$1009:$H1069,62-20):$H1069)*SQRT(245),"")</f>
        <v/>
      </c>
      <c r="M1069" s="37" t="str">
        <f aca="false">IF(AND(ISNUMBER($G1069),$G1069&gt;=60),MAX(INDEX($D$869:$D1069,202-60):$D1069),"")</f>
        <v/>
      </c>
      <c r="N1069" s="37" t="str">
        <f aca="false">IF(AND(ISNUMBER($G1069),$G1069&gt;=60),MIN(INDEX($E$869:$E1069,202-60):$E1069),"")</f>
        <v/>
      </c>
      <c r="O1069" s="38" t="str">
        <f aca="false">IF(OR(NOT(ISNUMBER($C1069)),NOT(ISNUMBER($M1069)),$M1069=0),"",$C1069/$M1069-1)</f>
        <v/>
      </c>
    </row>
    <row r="1070" customFormat="false" ht="15" hidden="false" customHeight="true" outlineLevel="0" collapsed="false">
      <c r="A1070" s="39"/>
      <c r="B1070" s="40"/>
      <c r="C1070" s="41"/>
      <c r="D1070" s="40"/>
      <c r="E1070" s="40"/>
      <c r="F1070" s="40"/>
      <c r="G1070" s="35" t="str">
        <f aca="false">IF($A1070="","",IF(ISNUMBER($G1069),$G1069+1,1))</f>
        <v/>
      </c>
      <c r="H1070" s="36" t="str">
        <f aca="false">IF(OR(NOT(ISNUMBER($G1070)),$G1070&lt;2,NOT(ISNUMBER($C1069)),$C1069=0),"",$C1070/$C1069-1)</f>
        <v/>
      </c>
      <c r="I1070" s="37" t="str">
        <f aca="false">IF(AND(ISNUMBER($G1070),$G1070&gt;=MA_SHORT),AVERAGE(INDEX($C$670:$C1070,402-MA_SHORT):$C1070),"")</f>
        <v/>
      </c>
      <c r="J1070" s="37" t="str">
        <f aca="false">IF(AND(ISNUMBER($G1070),$G1070&gt;=MA_MED),AVERAGE(INDEX($C$670:$C1070,402-MA_MED):$C1070),"")</f>
        <v/>
      </c>
      <c r="K1070" s="37" t="str">
        <f aca="false">IF(AND(ISNUMBER($G1070),$G1070&gt;=MA_LONG2),AVERAGE(INDEX($C$670:$C1070,402-MA_LONG2):$C1070),"")</f>
        <v/>
      </c>
      <c r="L1070" s="38" t="str">
        <f aca="false">IF(AND(ISNUMBER($G1070),$G1070&gt;=21),STDEV(INDEX($H$1010:$H1070,62-20):$H1070)*SQRT(245),"")</f>
        <v/>
      </c>
      <c r="M1070" s="37" t="str">
        <f aca="false">IF(AND(ISNUMBER($G1070),$G1070&gt;=60),MAX(INDEX($D$870:$D1070,202-60):$D1070),"")</f>
        <v/>
      </c>
      <c r="N1070" s="37" t="str">
        <f aca="false">IF(AND(ISNUMBER($G1070),$G1070&gt;=60),MIN(INDEX($E$870:$E1070,202-60):$E1070),"")</f>
        <v/>
      </c>
      <c r="O1070" s="38" t="str">
        <f aca="false">IF(OR(NOT(ISNUMBER($C1070)),NOT(ISNUMBER($M1070)),$M1070=0),"",$C1070/$M1070-1)</f>
        <v/>
      </c>
    </row>
    <row r="1071" customFormat="false" ht="15" hidden="false" customHeight="true" outlineLevel="0" collapsed="false">
      <c r="A1071" s="39"/>
      <c r="B1071" s="40"/>
      <c r="C1071" s="41"/>
      <c r="D1071" s="40"/>
      <c r="E1071" s="40"/>
      <c r="F1071" s="40"/>
      <c r="G1071" s="35" t="str">
        <f aca="false">IF($A1071="","",IF(ISNUMBER($G1070),$G1070+1,1))</f>
        <v/>
      </c>
      <c r="H1071" s="36" t="str">
        <f aca="false">IF(OR(NOT(ISNUMBER($G1071)),$G1071&lt;2,NOT(ISNUMBER($C1070)),$C1070=0),"",$C1071/$C1070-1)</f>
        <v/>
      </c>
      <c r="I1071" s="37" t="str">
        <f aca="false">IF(AND(ISNUMBER($G1071),$G1071&gt;=MA_SHORT),AVERAGE(INDEX($C$671:$C1071,402-MA_SHORT):$C1071),"")</f>
        <v/>
      </c>
      <c r="J1071" s="37" t="str">
        <f aca="false">IF(AND(ISNUMBER($G1071),$G1071&gt;=MA_MED),AVERAGE(INDEX($C$671:$C1071,402-MA_MED):$C1071),"")</f>
        <v/>
      </c>
      <c r="K1071" s="37" t="str">
        <f aca="false">IF(AND(ISNUMBER($G1071),$G1071&gt;=MA_LONG2),AVERAGE(INDEX($C$671:$C1071,402-MA_LONG2):$C1071),"")</f>
        <v/>
      </c>
      <c r="L1071" s="38" t="str">
        <f aca="false">IF(AND(ISNUMBER($G1071),$G1071&gt;=21),STDEV(INDEX($H$1011:$H1071,62-20):$H1071)*SQRT(245),"")</f>
        <v/>
      </c>
      <c r="M1071" s="37" t="str">
        <f aca="false">IF(AND(ISNUMBER($G1071),$G1071&gt;=60),MAX(INDEX($D$871:$D1071,202-60):$D1071),"")</f>
        <v/>
      </c>
      <c r="N1071" s="37" t="str">
        <f aca="false">IF(AND(ISNUMBER($G1071),$G1071&gt;=60),MIN(INDEX($E$871:$E1071,202-60):$E1071),"")</f>
        <v/>
      </c>
      <c r="O1071" s="38" t="str">
        <f aca="false">IF(OR(NOT(ISNUMBER($C1071)),NOT(ISNUMBER($M1071)),$M1071=0),"",$C1071/$M1071-1)</f>
        <v/>
      </c>
    </row>
    <row r="1072" customFormat="false" ht="15" hidden="false" customHeight="true" outlineLevel="0" collapsed="false">
      <c r="A1072" s="39"/>
      <c r="B1072" s="40"/>
      <c r="C1072" s="41"/>
      <c r="D1072" s="40"/>
      <c r="E1072" s="40"/>
      <c r="F1072" s="40"/>
      <c r="G1072" s="35" t="str">
        <f aca="false">IF($A1072="","",IF(ISNUMBER($G1071),$G1071+1,1))</f>
        <v/>
      </c>
      <c r="H1072" s="36" t="str">
        <f aca="false">IF(OR(NOT(ISNUMBER($G1072)),$G1072&lt;2,NOT(ISNUMBER($C1071)),$C1071=0),"",$C1072/$C1071-1)</f>
        <v/>
      </c>
      <c r="I1072" s="37" t="str">
        <f aca="false">IF(AND(ISNUMBER($G1072),$G1072&gt;=MA_SHORT),AVERAGE(INDEX($C$672:$C1072,402-MA_SHORT):$C1072),"")</f>
        <v/>
      </c>
      <c r="J1072" s="37" t="str">
        <f aca="false">IF(AND(ISNUMBER($G1072),$G1072&gt;=MA_MED),AVERAGE(INDEX($C$672:$C1072,402-MA_MED):$C1072),"")</f>
        <v/>
      </c>
      <c r="K1072" s="37" t="str">
        <f aca="false">IF(AND(ISNUMBER($G1072),$G1072&gt;=MA_LONG2),AVERAGE(INDEX($C$672:$C1072,402-MA_LONG2):$C1072),"")</f>
        <v/>
      </c>
      <c r="L1072" s="38" t="str">
        <f aca="false">IF(AND(ISNUMBER($G1072),$G1072&gt;=21),STDEV(INDEX($H$1012:$H1072,62-20):$H1072)*SQRT(245),"")</f>
        <v/>
      </c>
      <c r="M1072" s="37" t="str">
        <f aca="false">IF(AND(ISNUMBER($G1072),$G1072&gt;=60),MAX(INDEX($D$872:$D1072,202-60):$D1072),"")</f>
        <v/>
      </c>
      <c r="N1072" s="37" t="str">
        <f aca="false">IF(AND(ISNUMBER($G1072),$G1072&gt;=60),MIN(INDEX($E$872:$E1072,202-60):$E1072),"")</f>
        <v/>
      </c>
      <c r="O1072" s="38" t="str">
        <f aca="false">IF(OR(NOT(ISNUMBER($C1072)),NOT(ISNUMBER($M1072)),$M1072=0),"",$C1072/$M1072-1)</f>
        <v/>
      </c>
    </row>
    <row r="1073" customFormat="false" ht="15" hidden="false" customHeight="true" outlineLevel="0" collapsed="false">
      <c r="A1073" s="39"/>
      <c r="B1073" s="40"/>
      <c r="C1073" s="41"/>
      <c r="D1073" s="40"/>
      <c r="E1073" s="40"/>
      <c r="F1073" s="40"/>
      <c r="G1073" s="35" t="str">
        <f aca="false">IF($A1073="","",IF(ISNUMBER($G1072),$G1072+1,1))</f>
        <v/>
      </c>
      <c r="H1073" s="36" t="str">
        <f aca="false">IF(OR(NOT(ISNUMBER($G1073)),$G1073&lt;2,NOT(ISNUMBER($C1072)),$C1072=0),"",$C1073/$C1072-1)</f>
        <v/>
      </c>
      <c r="I1073" s="37" t="str">
        <f aca="false">IF(AND(ISNUMBER($G1073),$G1073&gt;=MA_SHORT),AVERAGE(INDEX($C$673:$C1073,402-MA_SHORT):$C1073),"")</f>
        <v/>
      </c>
      <c r="J1073" s="37" t="str">
        <f aca="false">IF(AND(ISNUMBER($G1073),$G1073&gt;=MA_MED),AVERAGE(INDEX($C$673:$C1073,402-MA_MED):$C1073),"")</f>
        <v/>
      </c>
      <c r="K1073" s="37" t="str">
        <f aca="false">IF(AND(ISNUMBER($G1073),$G1073&gt;=MA_LONG2),AVERAGE(INDEX($C$673:$C1073,402-MA_LONG2):$C1073),"")</f>
        <v/>
      </c>
      <c r="L1073" s="38" t="str">
        <f aca="false">IF(AND(ISNUMBER($G1073),$G1073&gt;=21),STDEV(INDEX($H$1013:$H1073,62-20):$H1073)*SQRT(245),"")</f>
        <v/>
      </c>
      <c r="M1073" s="37" t="str">
        <f aca="false">IF(AND(ISNUMBER($G1073),$G1073&gt;=60),MAX(INDEX($D$873:$D1073,202-60):$D1073),"")</f>
        <v/>
      </c>
      <c r="N1073" s="37" t="str">
        <f aca="false">IF(AND(ISNUMBER($G1073),$G1073&gt;=60),MIN(INDEX($E$873:$E1073,202-60):$E1073),"")</f>
        <v/>
      </c>
      <c r="O1073" s="38" t="str">
        <f aca="false">IF(OR(NOT(ISNUMBER($C1073)),NOT(ISNUMBER($M1073)),$M1073=0),"",$C1073/$M1073-1)</f>
        <v/>
      </c>
    </row>
    <row r="1074" customFormat="false" ht="15" hidden="false" customHeight="true" outlineLevel="0" collapsed="false">
      <c r="A1074" s="39"/>
      <c r="B1074" s="40"/>
      <c r="C1074" s="41"/>
      <c r="D1074" s="40"/>
      <c r="E1074" s="40"/>
      <c r="F1074" s="40"/>
      <c r="G1074" s="35" t="str">
        <f aca="false">IF($A1074="","",IF(ISNUMBER($G1073),$G1073+1,1))</f>
        <v/>
      </c>
      <c r="H1074" s="36" t="str">
        <f aca="false">IF(OR(NOT(ISNUMBER($G1074)),$G1074&lt;2,NOT(ISNUMBER($C1073)),$C1073=0),"",$C1074/$C1073-1)</f>
        <v/>
      </c>
      <c r="I1074" s="37" t="str">
        <f aca="false">IF(AND(ISNUMBER($G1074),$G1074&gt;=MA_SHORT),AVERAGE(INDEX($C$674:$C1074,402-MA_SHORT):$C1074),"")</f>
        <v/>
      </c>
      <c r="J1074" s="37" t="str">
        <f aca="false">IF(AND(ISNUMBER($G1074),$G1074&gt;=MA_MED),AVERAGE(INDEX($C$674:$C1074,402-MA_MED):$C1074),"")</f>
        <v/>
      </c>
      <c r="K1074" s="37" t="str">
        <f aca="false">IF(AND(ISNUMBER($G1074),$G1074&gt;=MA_LONG2),AVERAGE(INDEX($C$674:$C1074,402-MA_LONG2):$C1074),"")</f>
        <v/>
      </c>
      <c r="L1074" s="38" t="str">
        <f aca="false">IF(AND(ISNUMBER($G1074),$G1074&gt;=21),STDEV(INDEX($H$1014:$H1074,62-20):$H1074)*SQRT(245),"")</f>
        <v/>
      </c>
      <c r="M1074" s="37" t="str">
        <f aca="false">IF(AND(ISNUMBER($G1074),$G1074&gt;=60),MAX(INDEX($D$874:$D1074,202-60):$D1074),"")</f>
        <v/>
      </c>
      <c r="N1074" s="37" t="str">
        <f aca="false">IF(AND(ISNUMBER($G1074),$G1074&gt;=60),MIN(INDEX($E$874:$E1074,202-60):$E1074),"")</f>
        <v/>
      </c>
      <c r="O1074" s="38" t="str">
        <f aca="false">IF(OR(NOT(ISNUMBER($C1074)),NOT(ISNUMBER($M1074)),$M1074=0),"",$C1074/$M1074-1)</f>
        <v/>
      </c>
    </row>
    <row r="1075" customFormat="false" ht="15" hidden="false" customHeight="true" outlineLevel="0" collapsed="false">
      <c r="A1075" s="39"/>
      <c r="B1075" s="40"/>
      <c r="C1075" s="41"/>
      <c r="D1075" s="40"/>
      <c r="E1075" s="40"/>
      <c r="F1075" s="40"/>
      <c r="G1075" s="35" t="str">
        <f aca="false">IF($A1075="","",IF(ISNUMBER($G1074),$G1074+1,1))</f>
        <v/>
      </c>
      <c r="H1075" s="36" t="str">
        <f aca="false">IF(OR(NOT(ISNUMBER($G1075)),$G1075&lt;2,NOT(ISNUMBER($C1074)),$C1074=0),"",$C1075/$C1074-1)</f>
        <v/>
      </c>
      <c r="I1075" s="37" t="str">
        <f aca="false">IF(AND(ISNUMBER($G1075),$G1075&gt;=MA_SHORT),AVERAGE(INDEX($C$675:$C1075,402-MA_SHORT):$C1075),"")</f>
        <v/>
      </c>
      <c r="J1075" s="37" t="str">
        <f aca="false">IF(AND(ISNUMBER($G1075),$G1075&gt;=MA_MED),AVERAGE(INDEX($C$675:$C1075,402-MA_MED):$C1075),"")</f>
        <v/>
      </c>
      <c r="K1075" s="37" t="str">
        <f aca="false">IF(AND(ISNUMBER($G1075),$G1075&gt;=MA_LONG2),AVERAGE(INDEX($C$675:$C1075,402-MA_LONG2):$C1075),"")</f>
        <v/>
      </c>
      <c r="L1075" s="38" t="str">
        <f aca="false">IF(AND(ISNUMBER($G1075),$G1075&gt;=21),STDEV(INDEX($H$1015:$H1075,62-20):$H1075)*SQRT(245),"")</f>
        <v/>
      </c>
      <c r="M1075" s="37" t="str">
        <f aca="false">IF(AND(ISNUMBER($G1075),$G1075&gt;=60),MAX(INDEX($D$875:$D1075,202-60):$D1075),"")</f>
        <v/>
      </c>
      <c r="N1075" s="37" t="str">
        <f aca="false">IF(AND(ISNUMBER($G1075),$G1075&gt;=60),MIN(INDEX($E$875:$E1075,202-60):$E1075),"")</f>
        <v/>
      </c>
      <c r="O1075" s="38" t="str">
        <f aca="false">IF(OR(NOT(ISNUMBER($C1075)),NOT(ISNUMBER($M1075)),$M1075=0),"",$C1075/$M1075-1)</f>
        <v/>
      </c>
    </row>
    <row r="1076" customFormat="false" ht="15" hidden="false" customHeight="true" outlineLevel="0" collapsed="false">
      <c r="A1076" s="39"/>
      <c r="B1076" s="40"/>
      <c r="C1076" s="41"/>
      <c r="D1076" s="40"/>
      <c r="E1076" s="40"/>
      <c r="F1076" s="40"/>
      <c r="G1076" s="35" t="str">
        <f aca="false">IF($A1076="","",IF(ISNUMBER($G1075),$G1075+1,1))</f>
        <v/>
      </c>
      <c r="H1076" s="36" t="str">
        <f aca="false">IF(OR(NOT(ISNUMBER($G1076)),$G1076&lt;2,NOT(ISNUMBER($C1075)),$C1075=0),"",$C1076/$C1075-1)</f>
        <v/>
      </c>
      <c r="I1076" s="37" t="str">
        <f aca="false">IF(AND(ISNUMBER($G1076),$G1076&gt;=MA_SHORT),AVERAGE(INDEX($C$676:$C1076,402-MA_SHORT):$C1076),"")</f>
        <v/>
      </c>
      <c r="J1076" s="37" t="str">
        <f aca="false">IF(AND(ISNUMBER($G1076),$G1076&gt;=MA_MED),AVERAGE(INDEX($C$676:$C1076,402-MA_MED):$C1076),"")</f>
        <v/>
      </c>
      <c r="K1076" s="37" t="str">
        <f aca="false">IF(AND(ISNUMBER($G1076),$G1076&gt;=MA_LONG2),AVERAGE(INDEX($C$676:$C1076,402-MA_LONG2):$C1076),"")</f>
        <v/>
      </c>
      <c r="L1076" s="38" t="str">
        <f aca="false">IF(AND(ISNUMBER($G1076),$G1076&gt;=21),STDEV(INDEX($H$1016:$H1076,62-20):$H1076)*SQRT(245),"")</f>
        <v/>
      </c>
      <c r="M1076" s="37" t="str">
        <f aca="false">IF(AND(ISNUMBER($G1076),$G1076&gt;=60),MAX(INDEX($D$876:$D1076,202-60):$D1076),"")</f>
        <v/>
      </c>
      <c r="N1076" s="37" t="str">
        <f aca="false">IF(AND(ISNUMBER($G1076),$G1076&gt;=60),MIN(INDEX($E$876:$E1076,202-60):$E1076),"")</f>
        <v/>
      </c>
      <c r="O1076" s="38" t="str">
        <f aca="false">IF(OR(NOT(ISNUMBER($C1076)),NOT(ISNUMBER($M1076)),$M1076=0),"",$C1076/$M1076-1)</f>
        <v/>
      </c>
    </row>
    <row r="1077" customFormat="false" ht="15" hidden="false" customHeight="true" outlineLevel="0" collapsed="false">
      <c r="A1077" s="39"/>
      <c r="B1077" s="40"/>
      <c r="C1077" s="41"/>
      <c r="D1077" s="40"/>
      <c r="E1077" s="40"/>
      <c r="F1077" s="40"/>
      <c r="G1077" s="35" t="str">
        <f aca="false">IF($A1077="","",IF(ISNUMBER($G1076),$G1076+1,1))</f>
        <v/>
      </c>
      <c r="H1077" s="36" t="str">
        <f aca="false">IF(OR(NOT(ISNUMBER($G1077)),$G1077&lt;2,NOT(ISNUMBER($C1076)),$C1076=0),"",$C1077/$C1076-1)</f>
        <v/>
      </c>
      <c r="I1077" s="37" t="str">
        <f aca="false">IF(AND(ISNUMBER($G1077),$G1077&gt;=MA_SHORT),AVERAGE(INDEX($C$677:$C1077,402-MA_SHORT):$C1077),"")</f>
        <v/>
      </c>
      <c r="J1077" s="37" t="str">
        <f aca="false">IF(AND(ISNUMBER($G1077),$G1077&gt;=MA_MED),AVERAGE(INDEX($C$677:$C1077,402-MA_MED):$C1077),"")</f>
        <v/>
      </c>
      <c r="K1077" s="37" t="str">
        <f aca="false">IF(AND(ISNUMBER($G1077),$G1077&gt;=MA_LONG2),AVERAGE(INDEX($C$677:$C1077,402-MA_LONG2):$C1077),"")</f>
        <v/>
      </c>
      <c r="L1077" s="38" t="str">
        <f aca="false">IF(AND(ISNUMBER($G1077),$G1077&gt;=21),STDEV(INDEX($H$1017:$H1077,62-20):$H1077)*SQRT(245),"")</f>
        <v/>
      </c>
      <c r="M1077" s="37" t="str">
        <f aca="false">IF(AND(ISNUMBER($G1077),$G1077&gt;=60),MAX(INDEX($D$877:$D1077,202-60):$D1077),"")</f>
        <v/>
      </c>
      <c r="N1077" s="37" t="str">
        <f aca="false">IF(AND(ISNUMBER($G1077),$G1077&gt;=60),MIN(INDEX($E$877:$E1077,202-60):$E1077),"")</f>
        <v/>
      </c>
      <c r="O1077" s="38" t="str">
        <f aca="false">IF(OR(NOT(ISNUMBER($C1077)),NOT(ISNUMBER($M1077)),$M1077=0),"",$C1077/$M1077-1)</f>
        <v/>
      </c>
    </row>
    <row r="1078" customFormat="false" ht="15" hidden="false" customHeight="true" outlineLevel="0" collapsed="false">
      <c r="A1078" s="39"/>
      <c r="B1078" s="40"/>
      <c r="C1078" s="41"/>
      <c r="D1078" s="40"/>
      <c r="E1078" s="40"/>
      <c r="F1078" s="40"/>
      <c r="G1078" s="35" t="str">
        <f aca="false">IF($A1078="","",IF(ISNUMBER($G1077),$G1077+1,1))</f>
        <v/>
      </c>
      <c r="H1078" s="36" t="str">
        <f aca="false">IF(OR(NOT(ISNUMBER($G1078)),$G1078&lt;2,NOT(ISNUMBER($C1077)),$C1077=0),"",$C1078/$C1077-1)</f>
        <v/>
      </c>
      <c r="I1078" s="37" t="str">
        <f aca="false">IF(AND(ISNUMBER($G1078),$G1078&gt;=MA_SHORT),AVERAGE(INDEX($C$678:$C1078,402-MA_SHORT):$C1078),"")</f>
        <v/>
      </c>
      <c r="J1078" s="37" t="str">
        <f aca="false">IF(AND(ISNUMBER($G1078),$G1078&gt;=MA_MED),AVERAGE(INDEX($C$678:$C1078,402-MA_MED):$C1078),"")</f>
        <v/>
      </c>
      <c r="K1078" s="37" t="str">
        <f aca="false">IF(AND(ISNUMBER($G1078),$G1078&gt;=MA_LONG2),AVERAGE(INDEX($C$678:$C1078,402-MA_LONG2):$C1078),"")</f>
        <v/>
      </c>
      <c r="L1078" s="38" t="str">
        <f aca="false">IF(AND(ISNUMBER($G1078),$G1078&gt;=21),STDEV(INDEX($H$1018:$H1078,62-20):$H1078)*SQRT(245),"")</f>
        <v/>
      </c>
      <c r="M1078" s="37" t="str">
        <f aca="false">IF(AND(ISNUMBER($G1078),$G1078&gt;=60),MAX(INDEX($D$878:$D1078,202-60):$D1078),"")</f>
        <v/>
      </c>
      <c r="N1078" s="37" t="str">
        <f aca="false">IF(AND(ISNUMBER($G1078),$G1078&gt;=60),MIN(INDEX($E$878:$E1078,202-60):$E1078),"")</f>
        <v/>
      </c>
      <c r="O1078" s="38" t="str">
        <f aca="false">IF(OR(NOT(ISNUMBER($C1078)),NOT(ISNUMBER($M1078)),$M1078=0),"",$C1078/$M1078-1)</f>
        <v/>
      </c>
    </row>
    <row r="1079" customFormat="false" ht="15" hidden="false" customHeight="true" outlineLevel="0" collapsed="false">
      <c r="A1079" s="39"/>
      <c r="B1079" s="40"/>
      <c r="C1079" s="41"/>
      <c r="D1079" s="40"/>
      <c r="E1079" s="40"/>
      <c r="F1079" s="40"/>
      <c r="G1079" s="35" t="str">
        <f aca="false">IF($A1079="","",IF(ISNUMBER($G1078),$G1078+1,1))</f>
        <v/>
      </c>
      <c r="H1079" s="36" t="str">
        <f aca="false">IF(OR(NOT(ISNUMBER($G1079)),$G1079&lt;2,NOT(ISNUMBER($C1078)),$C1078=0),"",$C1079/$C1078-1)</f>
        <v/>
      </c>
      <c r="I1079" s="37" t="str">
        <f aca="false">IF(AND(ISNUMBER($G1079),$G1079&gt;=MA_SHORT),AVERAGE(INDEX($C$679:$C1079,402-MA_SHORT):$C1079),"")</f>
        <v/>
      </c>
      <c r="J1079" s="37" t="str">
        <f aca="false">IF(AND(ISNUMBER($G1079),$G1079&gt;=MA_MED),AVERAGE(INDEX($C$679:$C1079,402-MA_MED):$C1079),"")</f>
        <v/>
      </c>
      <c r="K1079" s="37" t="str">
        <f aca="false">IF(AND(ISNUMBER($G1079),$G1079&gt;=MA_LONG2),AVERAGE(INDEX($C$679:$C1079,402-MA_LONG2):$C1079),"")</f>
        <v/>
      </c>
      <c r="L1079" s="38" t="str">
        <f aca="false">IF(AND(ISNUMBER($G1079),$G1079&gt;=21),STDEV(INDEX($H$1019:$H1079,62-20):$H1079)*SQRT(245),"")</f>
        <v/>
      </c>
      <c r="M1079" s="37" t="str">
        <f aca="false">IF(AND(ISNUMBER($G1079),$G1079&gt;=60),MAX(INDEX($D$879:$D1079,202-60):$D1079),"")</f>
        <v/>
      </c>
      <c r="N1079" s="37" t="str">
        <f aca="false">IF(AND(ISNUMBER($G1079),$G1079&gt;=60),MIN(INDEX($E$879:$E1079,202-60):$E1079),"")</f>
        <v/>
      </c>
      <c r="O1079" s="38" t="str">
        <f aca="false">IF(OR(NOT(ISNUMBER($C1079)),NOT(ISNUMBER($M1079)),$M1079=0),"",$C1079/$M1079-1)</f>
        <v/>
      </c>
    </row>
    <row r="1080" customFormat="false" ht="15" hidden="false" customHeight="true" outlineLevel="0" collapsed="false">
      <c r="A1080" s="39"/>
      <c r="B1080" s="40"/>
      <c r="C1080" s="41"/>
      <c r="D1080" s="40"/>
      <c r="E1080" s="40"/>
      <c r="F1080" s="40"/>
      <c r="G1080" s="35" t="str">
        <f aca="false">IF($A1080="","",IF(ISNUMBER($G1079),$G1079+1,1))</f>
        <v/>
      </c>
      <c r="H1080" s="36" t="str">
        <f aca="false">IF(OR(NOT(ISNUMBER($G1080)),$G1080&lt;2,NOT(ISNUMBER($C1079)),$C1079=0),"",$C1080/$C1079-1)</f>
        <v/>
      </c>
      <c r="I1080" s="37" t="str">
        <f aca="false">IF(AND(ISNUMBER($G1080),$G1080&gt;=MA_SHORT),AVERAGE(INDEX($C$680:$C1080,402-MA_SHORT):$C1080),"")</f>
        <v/>
      </c>
      <c r="J1080" s="37" t="str">
        <f aca="false">IF(AND(ISNUMBER($G1080),$G1080&gt;=MA_MED),AVERAGE(INDEX($C$680:$C1080,402-MA_MED):$C1080),"")</f>
        <v/>
      </c>
      <c r="K1080" s="37" t="str">
        <f aca="false">IF(AND(ISNUMBER($G1080),$G1080&gt;=MA_LONG2),AVERAGE(INDEX($C$680:$C1080,402-MA_LONG2):$C1080),"")</f>
        <v/>
      </c>
      <c r="L1080" s="38" t="str">
        <f aca="false">IF(AND(ISNUMBER($G1080),$G1080&gt;=21),STDEV(INDEX($H$1020:$H1080,62-20):$H1080)*SQRT(245),"")</f>
        <v/>
      </c>
      <c r="M1080" s="37" t="str">
        <f aca="false">IF(AND(ISNUMBER($G1080),$G1080&gt;=60),MAX(INDEX($D$880:$D1080,202-60):$D1080),"")</f>
        <v/>
      </c>
      <c r="N1080" s="37" t="str">
        <f aca="false">IF(AND(ISNUMBER($G1080),$G1080&gt;=60),MIN(INDEX($E$880:$E1080,202-60):$E1080),"")</f>
        <v/>
      </c>
      <c r="O1080" s="38" t="str">
        <f aca="false">IF(OR(NOT(ISNUMBER($C1080)),NOT(ISNUMBER($M1080)),$M1080=0),"",$C1080/$M1080-1)</f>
        <v/>
      </c>
    </row>
    <row r="1081" customFormat="false" ht="15" hidden="false" customHeight="true" outlineLevel="0" collapsed="false">
      <c r="A1081" s="39"/>
      <c r="B1081" s="40"/>
      <c r="C1081" s="41"/>
      <c r="D1081" s="40"/>
      <c r="E1081" s="40"/>
      <c r="F1081" s="40"/>
      <c r="G1081" s="35" t="str">
        <f aca="false">IF($A1081="","",IF(ISNUMBER($G1080),$G1080+1,1))</f>
        <v/>
      </c>
      <c r="H1081" s="36" t="str">
        <f aca="false">IF(OR(NOT(ISNUMBER($G1081)),$G1081&lt;2,NOT(ISNUMBER($C1080)),$C1080=0),"",$C1081/$C1080-1)</f>
        <v/>
      </c>
      <c r="I1081" s="37" t="str">
        <f aca="false">IF(AND(ISNUMBER($G1081),$G1081&gt;=MA_SHORT),AVERAGE(INDEX($C$681:$C1081,402-MA_SHORT):$C1081),"")</f>
        <v/>
      </c>
      <c r="J1081" s="37" t="str">
        <f aca="false">IF(AND(ISNUMBER($G1081),$G1081&gt;=MA_MED),AVERAGE(INDEX($C$681:$C1081,402-MA_MED):$C1081),"")</f>
        <v/>
      </c>
      <c r="K1081" s="37" t="str">
        <f aca="false">IF(AND(ISNUMBER($G1081),$G1081&gt;=MA_LONG2),AVERAGE(INDEX($C$681:$C1081,402-MA_LONG2):$C1081),"")</f>
        <v/>
      </c>
      <c r="L1081" s="38" t="str">
        <f aca="false">IF(AND(ISNUMBER($G1081),$G1081&gt;=21),STDEV(INDEX($H$1021:$H1081,62-20):$H1081)*SQRT(245),"")</f>
        <v/>
      </c>
      <c r="M1081" s="37" t="str">
        <f aca="false">IF(AND(ISNUMBER($G1081),$G1081&gt;=60),MAX(INDEX($D$881:$D1081,202-60):$D1081),"")</f>
        <v/>
      </c>
      <c r="N1081" s="37" t="str">
        <f aca="false">IF(AND(ISNUMBER($G1081),$G1081&gt;=60),MIN(INDEX($E$881:$E1081,202-60):$E1081),"")</f>
        <v/>
      </c>
      <c r="O1081" s="38" t="str">
        <f aca="false">IF(OR(NOT(ISNUMBER($C1081)),NOT(ISNUMBER($M1081)),$M1081=0),"",$C1081/$M1081-1)</f>
        <v/>
      </c>
    </row>
    <row r="1082" customFormat="false" ht="15" hidden="false" customHeight="true" outlineLevel="0" collapsed="false">
      <c r="A1082" s="39"/>
      <c r="B1082" s="40"/>
      <c r="C1082" s="41"/>
      <c r="D1082" s="40"/>
      <c r="E1082" s="40"/>
      <c r="F1082" s="40"/>
      <c r="G1082" s="35" t="str">
        <f aca="false">IF($A1082="","",IF(ISNUMBER($G1081),$G1081+1,1))</f>
        <v/>
      </c>
      <c r="H1082" s="36" t="str">
        <f aca="false">IF(OR(NOT(ISNUMBER($G1082)),$G1082&lt;2,NOT(ISNUMBER($C1081)),$C1081=0),"",$C1082/$C1081-1)</f>
        <v/>
      </c>
      <c r="I1082" s="37" t="str">
        <f aca="false">IF(AND(ISNUMBER($G1082),$G1082&gt;=MA_SHORT),AVERAGE(INDEX($C$682:$C1082,402-MA_SHORT):$C1082),"")</f>
        <v/>
      </c>
      <c r="J1082" s="37" t="str">
        <f aca="false">IF(AND(ISNUMBER($G1082),$G1082&gt;=MA_MED),AVERAGE(INDEX($C$682:$C1082,402-MA_MED):$C1082),"")</f>
        <v/>
      </c>
      <c r="K1082" s="37" t="str">
        <f aca="false">IF(AND(ISNUMBER($G1082),$G1082&gt;=MA_LONG2),AVERAGE(INDEX($C$682:$C1082,402-MA_LONG2):$C1082),"")</f>
        <v/>
      </c>
      <c r="L1082" s="38" t="str">
        <f aca="false">IF(AND(ISNUMBER($G1082),$G1082&gt;=21),STDEV(INDEX($H$1022:$H1082,62-20):$H1082)*SQRT(245),"")</f>
        <v/>
      </c>
      <c r="M1082" s="37" t="str">
        <f aca="false">IF(AND(ISNUMBER($G1082),$G1082&gt;=60),MAX(INDEX($D$882:$D1082,202-60):$D1082),"")</f>
        <v/>
      </c>
      <c r="N1082" s="37" t="str">
        <f aca="false">IF(AND(ISNUMBER($G1082),$G1082&gt;=60),MIN(INDEX($E$882:$E1082,202-60):$E1082),"")</f>
        <v/>
      </c>
      <c r="O1082" s="38" t="str">
        <f aca="false">IF(OR(NOT(ISNUMBER($C1082)),NOT(ISNUMBER($M1082)),$M1082=0),"",$C1082/$M1082-1)</f>
        <v/>
      </c>
    </row>
    <row r="1083" customFormat="false" ht="15" hidden="false" customHeight="true" outlineLevel="0" collapsed="false">
      <c r="A1083" s="39"/>
      <c r="B1083" s="40"/>
      <c r="C1083" s="41"/>
      <c r="D1083" s="40"/>
      <c r="E1083" s="40"/>
      <c r="F1083" s="40"/>
      <c r="G1083" s="35" t="str">
        <f aca="false">IF($A1083="","",IF(ISNUMBER($G1082),$G1082+1,1))</f>
        <v/>
      </c>
      <c r="H1083" s="36" t="str">
        <f aca="false">IF(OR(NOT(ISNUMBER($G1083)),$G1083&lt;2,NOT(ISNUMBER($C1082)),$C1082=0),"",$C1083/$C1082-1)</f>
        <v/>
      </c>
      <c r="I1083" s="37" t="str">
        <f aca="false">IF(AND(ISNUMBER($G1083),$G1083&gt;=MA_SHORT),AVERAGE(INDEX($C$683:$C1083,402-MA_SHORT):$C1083),"")</f>
        <v/>
      </c>
      <c r="J1083" s="37" t="str">
        <f aca="false">IF(AND(ISNUMBER($G1083),$G1083&gt;=MA_MED),AVERAGE(INDEX($C$683:$C1083,402-MA_MED):$C1083),"")</f>
        <v/>
      </c>
      <c r="K1083" s="37" t="str">
        <f aca="false">IF(AND(ISNUMBER($G1083),$G1083&gt;=MA_LONG2),AVERAGE(INDEX($C$683:$C1083,402-MA_LONG2):$C1083),"")</f>
        <v/>
      </c>
      <c r="L1083" s="38" t="str">
        <f aca="false">IF(AND(ISNUMBER($G1083),$G1083&gt;=21),STDEV(INDEX($H$1023:$H1083,62-20):$H1083)*SQRT(245),"")</f>
        <v/>
      </c>
      <c r="M1083" s="37" t="str">
        <f aca="false">IF(AND(ISNUMBER($G1083),$G1083&gt;=60),MAX(INDEX($D$883:$D1083,202-60):$D1083),"")</f>
        <v/>
      </c>
      <c r="N1083" s="37" t="str">
        <f aca="false">IF(AND(ISNUMBER($G1083),$G1083&gt;=60),MIN(INDEX($E$883:$E1083,202-60):$E1083),"")</f>
        <v/>
      </c>
      <c r="O1083" s="38" t="str">
        <f aca="false">IF(OR(NOT(ISNUMBER($C1083)),NOT(ISNUMBER($M1083)),$M1083=0),"",$C1083/$M1083-1)</f>
        <v/>
      </c>
    </row>
    <row r="1084" customFormat="false" ht="15" hidden="false" customHeight="true" outlineLevel="0" collapsed="false">
      <c r="A1084" s="39"/>
      <c r="B1084" s="40"/>
      <c r="C1084" s="41"/>
      <c r="D1084" s="40"/>
      <c r="E1084" s="40"/>
      <c r="F1084" s="40"/>
      <c r="G1084" s="35" t="str">
        <f aca="false">IF($A1084="","",IF(ISNUMBER($G1083),$G1083+1,1))</f>
        <v/>
      </c>
      <c r="H1084" s="36" t="str">
        <f aca="false">IF(OR(NOT(ISNUMBER($G1084)),$G1084&lt;2,NOT(ISNUMBER($C1083)),$C1083=0),"",$C1084/$C1083-1)</f>
        <v/>
      </c>
      <c r="I1084" s="37" t="str">
        <f aca="false">IF(AND(ISNUMBER($G1084),$G1084&gt;=MA_SHORT),AVERAGE(INDEX($C$684:$C1084,402-MA_SHORT):$C1084),"")</f>
        <v/>
      </c>
      <c r="J1084" s="37" t="str">
        <f aca="false">IF(AND(ISNUMBER($G1084),$G1084&gt;=MA_MED),AVERAGE(INDEX($C$684:$C1084,402-MA_MED):$C1084),"")</f>
        <v/>
      </c>
      <c r="K1084" s="37" t="str">
        <f aca="false">IF(AND(ISNUMBER($G1084),$G1084&gt;=MA_LONG2),AVERAGE(INDEX($C$684:$C1084,402-MA_LONG2):$C1084),"")</f>
        <v/>
      </c>
      <c r="L1084" s="38" t="str">
        <f aca="false">IF(AND(ISNUMBER($G1084),$G1084&gt;=21),STDEV(INDEX($H$1024:$H1084,62-20):$H1084)*SQRT(245),"")</f>
        <v/>
      </c>
      <c r="M1084" s="37" t="str">
        <f aca="false">IF(AND(ISNUMBER($G1084),$G1084&gt;=60),MAX(INDEX($D$884:$D1084,202-60):$D1084),"")</f>
        <v/>
      </c>
      <c r="N1084" s="37" t="str">
        <f aca="false">IF(AND(ISNUMBER($G1084),$G1084&gt;=60),MIN(INDEX($E$884:$E1084,202-60):$E1084),"")</f>
        <v/>
      </c>
      <c r="O1084" s="38" t="str">
        <f aca="false">IF(OR(NOT(ISNUMBER($C1084)),NOT(ISNUMBER($M1084)),$M1084=0),"",$C1084/$M1084-1)</f>
        <v/>
      </c>
    </row>
    <row r="1085" customFormat="false" ht="15" hidden="false" customHeight="true" outlineLevel="0" collapsed="false">
      <c r="A1085" s="39"/>
      <c r="B1085" s="40"/>
      <c r="C1085" s="41"/>
      <c r="D1085" s="40"/>
      <c r="E1085" s="40"/>
      <c r="F1085" s="40"/>
      <c r="G1085" s="35" t="str">
        <f aca="false">IF($A1085="","",IF(ISNUMBER($G1084),$G1084+1,1))</f>
        <v/>
      </c>
      <c r="H1085" s="36" t="str">
        <f aca="false">IF(OR(NOT(ISNUMBER($G1085)),$G1085&lt;2,NOT(ISNUMBER($C1084)),$C1084=0),"",$C1085/$C1084-1)</f>
        <v/>
      </c>
      <c r="I1085" s="37" t="str">
        <f aca="false">IF(AND(ISNUMBER($G1085),$G1085&gt;=MA_SHORT),AVERAGE(INDEX($C$685:$C1085,402-MA_SHORT):$C1085),"")</f>
        <v/>
      </c>
      <c r="J1085" s="37" t="str">
        <f aca="false">IF(AND(ISNUMBER($G1085),$G1085&gt;=MA_MED),AVERAGE(INDEX($C$685:$C1085,402-MA_MED):$C1085),"")</f>
        <v/>
      </c>
      <c r="K1085" s="37" t="str">
        <f aca="false">IF(AND(ISNUMBER($G1085),$G1085&gt;=MA_LONG2),AVERAGE(INDEX($C$685:$C1085,402-MA_LONG2):$C1085),"")</f>
        <v/>
      </c>
      <c r="L1085" s="38" t="str">
        <f aca="false">IF(AND(ISNUMBER($G1085),$G1085&gt;=21),STDEV(INDEX($H$1025:$H1085,62-20):$H1085)*SQRT(245),"")</f>
        <v/>
      </c>
      <c r="M1085" s="37" t="str">
        <f aca="false">IF(AND(ISNUMBER($G1085),$G1085&gt;=60),MAX(INDEX($D$885:$D1085,202-60):$D1085),"")</f>
        <v/>
      </c>
      <c r="N1085" s="37" t="str">
        <f aca="false">IF(AND(ISNUMBER($G1085),$G1085&gt;=60),MIN(INDEX($E$885:$E1085,202-60):$E1085),"")</f>
        <v/>
      </c>
      <c r="O1085" s="38" t="str">
        <f aca="false">IF(OR(NOT(ISNUMBER($C1085)),NOT(ISNUMBER($M1085)),$M1085=0),"",$C1085/$M1085-1)</f>
        <v/>
      </c>
    </row>
    <row r="1086" customFormat="false" ht="15" hidden="false" customHeight="true" outlineLevel="0" collapsed="false">
      <c r="A1086" s="39"/>
      <c r="B1086" s="40"/>
      <c r="C1086" s="41"/>
      <c r="D1086" s="40"/>
      <c r="E1086" s="40"/>
      <c r="F1086" s="40"/>
      <c r="G1086" s="35" t="str">
        <f aca="false">IF($A1086="","",IF(ISNUMBER($G1085),$G1085+1,1))</f>
        <v/>
      </c>
      <c r="H1086" s="36" t="str">
        <f aca="false">IF(OR(NOT(ISNUMBER($G1086)),$G1086&lt;2,NOT(ISNUMBER($C1085)),$C1085=0),"",$C1086/$C1085-1)</f>
        <v/>
      </c>
      <c r="I1086" s="37" t="str">
        <f aca="false">IF(AND(ISNUMBER($G1086),$G1086&gt;=MA_SHORT),AVERAGE(INDEX($C$686:$C1086,402-MA_SHORT):$C1086),"")</f>
        <v/>
      </c>
      <c r="J1086" s="37" t="str">
        <f aca="false">IF(AND(ISNUMBER($G1086),$G1086&gt;=MA_MED),AVERAGE(INDEX($C$686:$C1086,402-MA_MED):$C1086),"")</f>
        <v/>
      </c>
      <c r="K1086" s="37" t="str">
        <f aca="false">IF(AND(ISNUMBER($G1086),$G1086&gt;=MA_LONG2),AVERAGE(INDEX($C$686:$C1086,402-MA_LONG2):$C1086),"")</f>
        <v/>
      </c>
      <c r="L1086" s="38" t="str">
        <f aca="false">IF(AND(ISNUMBER($G1086),$G1086&gt;=21),STDEV(INDEX($H$1026:$H1086,62-20):$H1086)*SQRT(245),"")</f>
        <v/>
      </c>
      <c r="M1086" s="37" t="str">
        <f aca="false">IF(AND(ISNUMBER($G1086),$G1086&gt;=60),MAX(INDEX($D$886:$D1086,202-60):$D1086),"")</f>
        <v/>
      </c>
      <c r="N1086" s="37" t="str">
        <f aca="false">IF(AND(ISNUMBER($G1086),$G1086&gt;=60),MIN(INDEX($E$886:$E1086,202-60):$E1086),"")</f>
        <v/>
      </c>
      <c r="O1086" s="38" t="str">
        <f aca="false">IF(OR(NOT(ISNUMBER($C1086)),NOT(ISNUMBER($M1086)),$M1086=0),"",$C1086/$M1086-1)</f>
        <v/>
      </c>
    </row>
    <row r="1087" customFormat="false" ht="15" hidden="false" customHeight="true" outlineLevel="0" collapsed="false">
      <c r="A1087" s="39"/>
      <c r="B1087" s="40"/>
      <c r="C1087" s="41"/>
      <c r="D1087" s="40"/>
      <c r="E1087" s="40"/>
      <c r="F1087" s="40"/>
      <c r="G1087" s="35" t="str">
        <f aca="false">IF($A1087="","",IF(ISNUMBER($G1086),$G1086+1,1))</f>
        <v/>
      </c>
      <c r="H1087" s="36" t="str">
        <f aca="false">IF(OR(NOT(ISNUMBER($G1087)),$G1087&lt;2,NOT(ISNUMBER($C1086)),$C1086=0),"",$C1087/$C1086-1)</f>
        <v/>
      </c>
      <c r="I1087" s="37" t="str">
        <f aca="false">IF(AND(ISNUMBER($G1087),$G1087&gt;=MA_SHORT),AVERAGE(INDEX($C$687:$C1087,402-MA_SHORT):$C1087),"")</f>
        <v/>
      </c>
      <c r="J1087" s="37" t="str">
        <f aca="false">IF(AND(ISNUMBER($G1087),$G1087&gt;=MA_MED),AVERAGE(INDEX($C$687:$C1087,402-MA_MED):$C1087),"")</f>
        <v/>
      </c>
      <c r="K1087" s="37" t="str">
        <f aca="false">IF(AND(ISNUMBER($G1087),$G1087&gt;=MA_LONG2),AVERAGE(INDEX($C$687:$C1087,402-MA_LONG2):$C1087),"")</f>
        <v/>
      </c>
      <c r="L1087" s="38" t="str">
        <f aca="false">IF(AND(ISNUMBER($G1087),$G1087&gt;=21),STDEV(INDEX($H$1027:$H1087,62-20):$H1087)*SQRT(245),"")</f>
        <v/>
      </c>
      <c r="M1087" s="37" t="str">
        <f aca="false">IF(AND(ISNUMBER($G1087),$G1087&gt;=60),MAX(INDEX($D$887:$D1087,202-60):$D1087),"")</f>
        <v/>
      </c>
      <c r="N1087" s="37" t="str">
        <f aca="false">IF(AND(ISNUMBER($G1087),$G1087&gt;=60),MIN(INDEX($E$887:$E1087,202-60):$E1087),"")</f>
        <v/>
      </c>
      <c r="O1087" s="38" t="str">
        <f aca="false">IF(OR(NOT(ISNUMBER($C1087)),NOT(ISNUMBER($M1087)),$M1087=0),"",$C1087/$M1087-1)</f>
        <v/>
      </c>
    </row>
    <row r="1088" customFormat="false" ht="15" hidden="false" customHeight="true" outlineLevel="0" collapsed="false">
      <c r="A1088" s="39"/>
      <c r="B1088" s="40"/>
      <c r="C1088" s="41"/>
      <c r="D1088" s="40"/>
      <c r="E1088" s="40"/>
      <c r="F1088" s="40"/>
      <c r="G1088" s="35" t="str">
        <f aca="false">IF($A1088="","",IF(ISNUMBER($G1087),$G1087+1,1))</f>
        <v/>
      </c>
      <c r="H1088" s="36" t="str">
        <f aca="false">IF(OR(NOT(ISNUMBER($G1088)),$G1088&lt;2,NOT(ISNUMBER($C1087)),$C1087=0),"",$C1088/$C1087-1)</f>
        <v/>
      </c>
      <c r="I1088" s="37" t="str">
        <f aca="false">IF(AND(ISNUMBER($G1088),$G1088&gt;=MA_SHORT),AVERAGE(INDEX($C$688:$C1088,402-MA_SHORT):$C1088),"")</f>
        <v/>
      </c>
      <c r="J1088" s="37" t="str">
        <f aca="false">IF(AND(ISNUMBER($G1088),$G1088&gt;=MA_MED),AVERAGE(INDEX($C$688:$C1088,402-MA_MED):$C1088),"")</f>
        <v/>
      </c>
      <c r="K1088" s="37" t="str">
        <f aca="false">IF(AND(ISNUMBER($G1088),$G1088&gt;=MA_LONG2),AVERAGE(INDEX($C$688:$C1088,402-MA_LONG2):$C1088),"")</f>
        <v/>
      </c>
      <c r="L1088" s="38" t="str">
        <f aca="false">IF(AND(ISNUMBER($G1088),$G1088&gt;=21),STDEV(INDEX($H$1028:$H1088,62-20):$H1088)*SQRT(245),"")</f>
        <v/>
      </c>
      <c r="M1088" s="37" t="str">
        <f aca="false">IF(AND(ISNUMBER($G1088),$G1088&gt;=60),MAX(INDEX($D$888:$D1088,202-60):$D1088),"")</f>
        <v/>
      </c>
      <c r="N1088" s="37" t="str">
        <f aca="false">IF(AND(ISNUMBER($G1088),$G1088&gt;=60),MIN(INDEX($E$888:$E1088,202-60):$E1088),"")</f>
        <v/>
      </c>
      <c r="O1088" s="38" t="str">
        <f aca="false">IF(OR(NOT(ISNUMBER($C1088)),NOT(ISNUMBER($M1088)),$M1088=0),"",$C1088/$M1088-1)</f>
        <v/>
      </c>
    </row>
    <row r="1089" customFormat="false" ht="15" hidden="false" customHeight="true" outlineLevel="0" collapsed="false">
      <c r="A1089" s="39"/>
      <c r="B1089" s="40"/>
      <c r="C1089" s="41"/>
      <c r="D1089" s="40"/>
      <c r="E1089" s="40"/>
      <c r="F1089" s="40"/>
      <c r="G1089" s="35" t="str">
        <f aca="false">IF($A1089="","",IF(ISNUMBER($G1088),$G1088+1,1))</f>
        <v/>
      </c>
      <c r="H1089" s="36" t="str">
        <f aca="false">IF(OR(NOT(ISNUMBER($G1089)),$G1089&lt;2,NOT(ISNUMBER($C1088)),$C1088=0),"",$C1089/$C1088-1)</f>
        <v/>
      </c>
      <c r="I1089" s="37" t="str">
        <f aca="false">IF(AND(ISNUMBER($G1089),$G1089&gt;=MA_SHORT),AVERAGE(INDEX($C$689:$C1089,402-MA_SHORT):$C1089),"")</f>
        <v/>
      </c>
      <c r="J1089" s="37" t="str">
        <f aca="false">IF(AND(ISNUMBER($G1089),$G1089&gt;=MA_MED),AVERAGE(INDEX($C$689:$C1089,402-MA_MED):$C1089),"")</f>
        <v/>
      </c>
      <c r="K1089" s="37" t="str">
        <f aca="false">IF(AND(ISNUMBER($G1089),$G1089&gt;=MA_LONG2),AVERAGE(INDEX($C$689:$C1089,402-MA_LONG2):$C1089),"")</f>
        <v/>
      </c>
      <c r="L1089" s="38" t="str">
        <f aca="false">IF(AND(ISNUMBER($G1089),$G1089&gt;=21),STDEV(INDEX($H$1029:$H1089,62-20):$H1089)*SQRT(245),"")</f>
        <v/>
      </c>
      <c r="M1089" s="37" t="str">
        <f aca="false">IF(AND(ISNUMBER($G1089),$G1089&gt;=60),MAX(INDEX($D$889:$D1089,202-60):$D1089),"")</f>
        <v/>
      </c>
      <c r="N1089" s="37" t="str">
        <f aca="false">IF(AND(ISNUMBER($G1089),$G1089&gt;=60),MIN(INDEX($E$889:$E1089,202-60):$E1089),"")</f>
        <v/>
      </c>
      <c r="O1089" s="38" t="str">
        <f aca="false">IF(OR(NOT(ISNUMBER($C1089)),NOT(ISNUMBER($M1089)),$M1089=0),"",$C1089/$M1089-1)</f>
        <v/>
      </c>
    </row>
    <row r="1090" customFormat="false" ht="15" hidden="false" customHeight="true" outlineLevel="0" collapsed="false">
      <c r="A1090" s="39"/>
      <c r="B1090" s="40"/>
      <c r="C1090" s="41"/>
      <c r="D1090" s="40"/>
      <c r="E1090" s="40"/>
      <c r="F1090" s="40"/>
      <c r="G1090" s="35" t="str">
        <f aca="false">IF($A1090="","",IF(ISNUMBER($G1089),$G1089+1,1))</f>
        <v/>
      </c>
      <c r="H1090" s="36" t="str">
        <f aca="false">IF(OR(NOT(ISNUMBER($G1090)),$G1090&lt;2,NOT(ISNUMBER($C1089)),$C1089=0),"",$C1090/$C1089-1)</f>
        <v/>
      </c>
      <c r="I1090" s="37" t="str">
        <f aca="false">IF(AND(ISNUMBER($G1090),$G1090&gt;=MA_SHORT),AVERAGE(INDEX($C$690:$C1090,402-MA_SHORT):$C1090),"")</f>
        <v/>
      </c>
      <c r="J1090" s="37" t="str">
        <f aca="false">IF(AND(ISNUMBER($G1090),$G1090&gt;=MA_MED),AVERAGE(INDEX($C$690:$C1090,402-MA_MED):$C1090),"")</f>
        <v/>
      </c>
      <c r="K1090" s="37" t="str">
        <f aca="false">IF(AND(ISNUMBER($G1090),$G1090&gt;=MA_LONG2),AVERAGE(INDEX($C$690:$C1090,402-MA_LONG2):$C1090),"")</f>
        <v/>
      </c>
      <c r="L1090" s="38" t="str">
        <f aca="false">IF(AND(ISNUMBER($G1090),$G1090&gt;=21),STDEV(INDEX($H$1030:$H1090,62-20):$H1090)*SQRT(245),"")</f>
        <v/>
      </c>
      <c r="M1090" s="37" t="str">
        <f aca="false">IF(AND(ISNUMBER($G1090),$G1090&gt;=60),MAX(INDEX($D$890:$D1090,202-60):$D1090),"")</f>
        <v/>
      </c>
      <c r="N1090" s="37" t="str">
        <f aca="false">IF(AND(ISNUMBER($G1090),$G1090&gt;=60),MIN(INDEX($E$890:$E1090,202-60):$E1090),"")</f>
        <v/>
      </c>
      <c r="O1090" s="38" t="str">
        <f aca="false">IF(OR(NOT(ISNUMBER($C1090)),NOT(ISNUMBER($M1090)),$M1090=0),"",$C1090/$M1090-1)</f>
        <v/>
      </c>
    </row>
    <row r="1091" customFormat="false" ht="15" hidden="false" customHeight="true" outlineLevel="0" collapsed="false">
      <c r="A1091" s="39"/>
      <c r="B1091" s="40"/>
      <c r="C1091" s="41"/>
      <c r="D1091" s="40"/>
      <c r="E1091" s="40"/>
      <c r="F1091" s="40"/>
      <c r="G1091" s="35" t="str">
        <f aca="false">IF($A1091="","",IF(ISNUMBER($G1090),$G1090+1,1))</f>
        <v/>
      </c>
      <c r="H1091" s="36" t="str">
        <f aca="false">IF(OR(NOT(ISNUMBER($G1091)),$G1091&lt;2,NOT(ISNUMBER($C1090)),$C1090=0),"",$C1091/$C1090-1)</f>
        <v/>
      </c>
      <c r="I1091" s="37" t="str">
        <f aca="false">IF(AND(ISNUMBER($G1091),$G1091&gt;=MA_SHORT),AVERAGE(INDEX($C$691:$C1091,402-MA_SHORT):$C1091),"")</f>
        <v/>
      </c>
      <c r="J1091" s="37" t="str">
        <f aca="false">IF(AND(ISNUMBER($G1091),$G1091&gt;=MA_MED),AVERAGE(INDEX($C$691:$C1091,402-MA_MED):$C1091),"")</f>
        <v/>
      </c>
      <c r="K1091" s="37" t="str">
        <f aca="false">IF(AND(ISNUMBER($G1091),$G1091&gt;=MA_LONG2),AVERAGE(INDEX($C$691:$C1091,402-MA_LONG2):$C1091),"")</f>
        <v/>
      </c>
      <c r="L1091" s="38" t="str">
        <f aca="false">IF(AND(ISNUMBER($G1091),$G1091&gt;=21),STDEV(INDEX($H$1031:$H1091,62-20):$H1091)*SQRT(245),"")</f>
        <v/>
      </c>
      <c r="M1091" s="37" t="str">
        <f aca="false">IF(AND(ISNUMBER($G1091),$G1091&gt;=60),MAX(INDEX($D$891:$D1091,202-60):$D1091),"")</f>
        <v/>
      </c>
      <c r="N1091" s="37" t="str">
        <f aca="false">IF(AND(ISNUMBER($G1091),$G1091&gt;=60),MIN(INDEX($E$891:$E1091,202-60):$E1091),"")</f>
        <v/>
      </c>
      <c r="O1091" s="38" t="str">
        <f aca="false">IF(OR(NOT(ISNUMBER($C1091)),NOT(ISNUMBER($M1091)),$M1091=0),"",$C1091/$M1091-1)</f>
        <v/>
      </c>
    </row>
    <row r="1092" customFormat="false" ht="15" hidden="false" customHeight="true" outlineLevel="0" collapsed="false">
      <c r="A1092" s="39"/>
      <c r="B1092" s="40"/>
      <c r="C1092" s="41"/>
      <c r="D1092" s="40"/>
      <c r="E1092" s="40"/>
      <c r="F1092" s="40"/>
      <c r="G1092" s="35" t="str">
        <f aca="false">IF($A1092="","",IF(ISNUMBER($G1091),$G1091+1,1))</f>
        <v/>
      </c>
      <c r="H1092" s="36" t="str">
        <f aca="false">IF(OR(NOT(ISNUMBER($G1092)),$G1092&lt;2,NOT(ISNUMBER($C1091)),$C1091=0),"",$C1092/$C1091-1)</f>
        <v/>
      </c>
      <c r="I1092" s="37" t="str">
        <f aca="false">IF(AND(ISNUMBER($G1092),$G1092&gt;=MA_SHORT),AVERAGE(INDEX($C$692:$C1092,402-MA_SHORT):$C1092),"")</f>
        <v/>
      </c>
      <c r="J1092" s="37" t="str">
        <f aca="false">IF(AND(ISNUMBER($G1092),$G1092&gt;=MA_MED),AVERAGE(INDEX($C$692:$C1092,402-MA_MED):$C1092),"")</f>
        <v/>
      </c>
      <c r="K1092" s="37" t="str">
        <f aca="false">IF(AND(ISNUMBER($G1092),$G1092&gt;=MA_LONG2),AVERAGE(INDEX($C$692:$C1092,402-MA_LONG2):$C1092),"")</f>
        <v/>
      </c>
      <c r="L1092" s="38" t="str">
        <f aca="false">IF(AND(ISNUMBER($G1092),$G1092&gt;=21),STDEV(INDEX($H$1032:$H1092,62-20):$H1092)*SQRT(245),"")</f>
        <v/>
      </c>
      <c r="M1092" s="37" t="str">
        <f aca="false">IF(AND(ISNUMBER($G1092),$G1092&gt;=60),MAX(INDEX($D$892:$D1092,202-60):$D1092),"")</f>
        <v/>
      </c>
      <c r="N1092" s="37" t="str">
        <f aca="false">IF(AND(ISNUMBER($G1092),$G1092&gt;=60),MIN(INDEX($E$892:$E1092,202-60):$E1092),"")</f>
        <v/>
      </c>
      <c r="O1092" s="38" t="str">
        <f aca="false">IF(OR(NOT(ISNUMBER($C1092)),NOT(ISNUMBER($M1092)),$M1092=0),"",$C1092/$M1092-1)</f>
        <v/>
      </c>
    </row>
    <row r="1093" customFormat="false" ht="15" hidden="false" customHeight="true" outlineLevel="0" collapsed="false">
      <c r="A1093" s="39"/>
      <c r="B1093" s="40"/>
      <c r="C1093" s="41"/>
      <c r="D1093" s="40"/>
      <c r="E1093" s="40"/>
      <c r="F1093" s="40"/>
      <c r="G1093" s="35" t="str">
        <f aca="false">IF($A1093="","",IF(ISNUMBER($G1092),$G1092+1,1))</f>
        <v/>
      </c>
      <c r="H1093" s="36" t="str">
        <f aca="false">IF(OR(NOT(ISNUMBER($G1093)),$G1093&lt;2,NOT(ISNUMBER($C1092)),$C1092=0),"",$C1093/$C1092-1)</f>
        <v/>
      </c>
      <c r="I1093" s="37" t="str">
        <f aca="false">IF(AND(ISNUMBER($G1093),$G1093&gt;=MA_SHORT),AVERAGE(INDEX($C$693:$C1093,402-MA_SHORT):$C1093),"")</f>
        <v/>
      </c>
      <c r="J1093" s="37" t="str">
        <f aca="false">IF(AND(ISNUMBER($G1093),$G1093&gt;=MA_MED),AVERAGE(INDEX($C$693:$C1093,402-MA_MED):$C1093),"")</f>
        <v/>
      </c>
      <c r="K1093" s="37" t="str">
        <f aca="false">IF(AND(ISNUMBER($G1093),$G1093&gt;=MA_LONG2),AVERAGE(INDEX($C$693:$C1093,402-MA_LONG2):$C1093),"")</f>
        <v/>
      </c>
      <c r="L1093" s="38" t="str">
        <f aca="false">IF(AND(ISNUMBER($G1093),$G1093&gt;=21),STDEV(INDEX($H$1033:$H1093,62-20):$H1093)*SQRT(245),"")</f>
        <v/>
      </c>
      <c r="M1093" s="37" t="str">
        <f aca="false">IF(AND(ISNUMBER($G1093),$G1093&gt;=60),MAX(INDEX($D$893:$D1093,202-60):$D1093),"")</f>
        <v/>
      </c>
      <c r="N1093" s="37" t="str">
        <f aca="false">IF(AND(ISNUMBER($G1093),$G1093&gt;=60),MIN(INDEX($E$893:$E1093,202-60):$E1093),"")</f>
        <v/>
      </c>
      <c r="O1093" s="38" t="str">
        <f aca="false">IF(OR(NOT(ISNUMBER($C1093)),NOT(ISNUMBER($M1093)),$M1093=0),"",$C1093/$M1093-1)</f>
        <v/>
      </c>
    </row>
    <row r="1094" customFormat="false" ht="15" hidden="false" customHeight="true" outlineLevel="0" collapsed="false">
      <c r="A1094" s="39"/>
      <c r="B1094" s="40"/>
      <c r="C1094" s="41"/>
      <c r="D1094" s="40"/>
      <c r="E1094" s="40"/>
      <c r="F1094" s="40"/>
      <c r="G1094" s="35" t="str">
        <f aca="false">IF($A1094="","",IF(ISNUMBER($G1093),$G1093+1,1))</f>
        <v/>
      </c>
      <c r="H1094" s="36" t="str">
        <f aca="false">IF(OR(NOT(ISNUMBER($G1094)),$G1094&lt;2,NOT(ISNUMBER($C1093)),$C1093=0),"",$C1094/$C1093-1)</f>
        <v/>
      </c>
      <c r="I1094" s="37" t="str">
        <f aca="false">IF(AND(ISNUMBER($G1094),$G1094&gt;=MA_SHORT),AVERAGE(INDEX($C$694:$C1094,402-MA_SHORT):$C1094),"")</f>
        <v/>
      </c>
      <c r="J1094" s="37" t="str">
        <f aca="false">IF(AND(ISNUMBER($G1094),$G1094&gt;=MA_MED),AVERAGE(INDEX($C$694:$C1094,402-MA_MED):$C1094),"")</f>
        <v/>
      </c>
      <c r="K1094" s="37" t="str">
        <f aca="false">IF(AND(ISNUMBER($G1094),$G1094&gt;=MA_LONG2),AVERAGE(INDEX($C$694:$C1094,402-MA_LONG2):$C1094),"")</f>
        <v/>
      </c>
      <c r="L1094" s="38" t="str">
        <f aca="false">IF(AND(ISNUMBER($G1094),$G1094&gt;=21),STDEV(INDEX($H$1034:$H1094,62-20):$H1094)*SQRT(245),"")</f>
        <v/>
      </c>
      <c r="M1094" s="37" t="str">
        <f aca="false">IF(AND(ISNUMBER($G1094),$G1094&gt;=60),MAX(INDEX($D$894:$D1094,202-60):$D1094),"")</f>
        <v/>
      </c>
      <c r="N1094" s="37" t="str">
        <f aca="false">IF(AND(ISNUMBER($G1094),$G1094&gt;=60),MIN(INDEX($E$894:$E1094,202-60):$E1094),"")</f>
        <v/>
      </c>
      <c r="O1094" s="38" t="str">
        <f aca="false">IF(OR(NOT(ISNUMBER($C1094)),NOT(ISNUMBER($M1094)),$M1094=0),"",$C1094/$M1094-1)</f>
        <v/>
      </c>
    </row>
    <row r="1095" customFormat="false" ht="15" hidden="false" customHeight="true" outlineLevel="0" collapsed="false">
      <c r="A1095" s="39"/>
      <c r="B1095" s="40"/>
      <c r="C1095" s="41"/>
      <c r="D1095" s="40"/>
      <c r="E1095" s="40"/>
      <c r="F1095" s="40"/>
      <c r="G1095" s="35" t="str">
        <f aca="false">IF($A1095="","",IF(ISNUMBER($G1094),$G1094+1,1))</f>
        <v/>
      </c>
      <c r="H1095" s="36" t="str">
        <f aca="false">IF(OR(NOT(ISNUMBER($G1095)),$G1095&lt;2,NOT(ISNUMBER($C1094)),$C1094=0),"",$C1095/$C1094-1)</f>
        <v/>
      </c>
      <c r="I1095" s="37" t="str">
        <f aca="false">IF(AND(ISNUMBER($G1095),$G1095&gt;=MA_SHORT),AVERAGE(INDEX($C$695:$C1095,402-MA_SHORT):$C1095),"")</f>
        <v/>
      </c>
      <c r="J1095" s="37" t="str">
        <f aca="false">IF(AND(ISNUMBER($G1095),$G1095&gt;=MA_MED),AVERAGE(INDEX($C$695:$C1095,402-MA_MED):$C1095),"")</f>
        <v/>
      </c>
      <c r="K1095" s="37" t="str">
        <f aca="false">IF(AND(ISNUMBER($G1095),$G1095&gt;=MA_LONG2),AVERAGE(INDEX($C$695:$C1095,402-MA_LONG2):$C1095),"")</f>
        <v/>
      </c>
      <c r="L1095" s="38" t="str">
        <f aca="false">IF(AND(ISNUMBER($G1095),$G1095&gt;=21),STDEV(INDEX($H$1035:$H1095,62-20):$H1095)*SQRT(245),"")</f>
        <v/>
      </c>
      <c r="M1095" s="37" t="str">
        <f aca="false">IF(AND(ISNUMBER($G1095),$G1095&gt;=60),MAX(INDEX($D$895:$D1095,202-60):$D1095),"")</f>
        <v/>
      </c>
      <c r="N1095" s="37" t="str">
        <f aca="false">IF(AND(ISNUMBER($G1095),$G1095&gt;=60),MIN(INDEX($E$895:$E1095,202-60):$E1095),"")</f>
        <v/>
      </c>
      <c r="O1095" s="38" t="str">
        <f aca="false">IF(OR(NOT(ISNUMBER($C1095)),NOT(ISNUMBER($M1095)),$M1095=0),"",$C1095/$M1095-1)</f>
        <v/>
      </c>
    </row>
    <row r="1096" customFormat="false" ht="15" hidden="false" customHeight="true" outlineLevel="0" collapsed="false">
      <c r="A1096" s="39"/>
      <c r="B1096" s="40"/>
      <c r="C1096" s="41"/>
      <c r="D1096" s="40"/>
      <c r="E1096" s="40"/>
      <c r="F1096" s="40"/>
      <c r="G1096" s="35" t="str">
        <f aca="false">IF($A1096="","",IF(ISNUMBER($G1095),$G1095+1,1))</f>
        <v/>
      </c>
      <c r="H1096" s="36" t="str">
        <f aca="false">IF(OR(NOT(ISNUMBER($G1096)),$G1096&lt;2,NOT(ISNUMBER($C1095)),$C1095=0),"",$C1096/$C1095-1)</f>
        <v/>
      </c>
      <c r="I1096" s="37" t="str">
        <f aca="false">IF(AND(ISNUMBER($G1096),$G1096&gt;=MA_SHORT),AVERAGE(INDEX($C$696:$C1096,402-MA_SHORT):$C1096),"")</f>
        <v/>
      </c>
      <c r="J1096" s="37" t="str">
        <f aca="false">IF(AND(ISNUMBER($G1096),$G1096&gt;=MA_MED),AVERAGE(INDEX($C$696:$C1096,402-MA_MED):$C1096),"")</f>
        <v/>
      </c>
      <c r="K1096" s="37" t="str">
        <f aca="false">IF(AND(ISNUMBER($G1096),$G1096&gt;=MA_LONG2),AVERAGE(INDEX($C$696:$C1096,402-MA_LONG2):$C1096),"")</f>
        <v/>
      </c>
      <c r="L1096" s="38" t="str">
        <f aca="false">IF(AND(ISNUMBER($G1096),$G1096&gt;=21),STDEV(INDEX($H$1036:$H1096,62-20):$H1096)*SQRT(245),"")</f>
        <v/>
      </c>
      <c r="M1096" s="37" t="str">
        <f aca="false">IF(AND(ISNUMBER($G1096),$G1096&gt;=60),MAX(INDEX($D$896:$D1096,202-60):$D1096),"")</f>
        <v/>
      </c>
      <c r="N1096" s="37" t="str">
        <f aca="false">IF(AND(ISNUMBER($G1096),$G1096&gt;=60),MIN(INDEX($E$896:$E1096,202-60):$E1096),"")</f>
        <v/>
      </c>
      <c r="O1096" s="38" t="str">
        <f aca="false">IF(OR(NOT(ISNUMBER($C1096)),NOT(ISNUMBER($M1096)),$M1096=0),"",$C1096/$M1096-1)</f>
        <v/>
      </c>
    </row>
    <row r="1097" customFormat="false" ht="15" hidden="false" customHeight="true" outlineLevel="0" collapsed="false">
      <c r="A1097" s="39"/>
      <c r="B1097" s="40"/>
      <c r="C1097" s="41"/>
      <c r="D1097" s="40"/>
      <c r="E1097" s="40"/>
      <c r="F1097" s="40"/>
      <c r="G1097" s="35" t="str">
        <f aca="false">IF($A1097="","",IF(ISNUMBER($G1096),$G1096+1,1))</f>
        <v/>
      </c>
      <c r="H1097" s="36" t="str">
        <f aca="false">IF(OR(NOT(ISNUMBER($G1097)),$G1097&lt;2,NOT(ISNUMBER($C1096)),$C1096=0),"",$C1097/$C1096-1)</f>
        <v/>
      </c>
      <c r="I1097" s="37" t="str">
        <f aca="false">IF(AND(ISNUMBER($G1097),$G1097&gt;=MA_SHORT),AVERAGE(INDEX($C$697:$C1097,402-MA_SHORT):$C1097),"")</f>
        <v/>
      </c>
      <c r="J1097" s="37" t="str">
        <f aca="false">IF(AND(ISNUMBER($G1097),$G1097&gt;=MA_MED),AVERAGE(INDEX($C$697:$C1097,402-MA_MED):$C1097),"")</f>
        <v/>
      </c>
      <c r="K1097" s="37" t="str">
        <f aca="false">IF(AND(ISNUMBER($G1097),$G1097&gt;=MA_LONG2),AVERAGE(INDEX($C$697:$C1097,402-MA_LONG2):$C1097),"")</f>
        <v/>
      </c>
      <c r="L1097" s="38" t="str">
        <f aca="false">IF(AND(ISNUMBER($G1097),$G1097&gt;=21),STDEV(INDEX($H$1037:$H1097,62-20):$H1097)*SQRT(245),"")</f>
        <v/>
      </c>
      <c r="M1097" s="37" t="str">
        <f aca="false">IF(AND(ISNUMBER($G1097),$G1097&gt;=60),MAX(INDEX($D$897:$D1097,202-60):$D1097),"")</f>
        <v/>
      </c>
      <c r="N1097" s="37" t="str">
        <f aca="false">IF(AND(ISNUMBER($G1097),$G1097&gt;=60),MIN(INDEX($E$897:$E1097,202-60):$E1097),"")</f>
        <v/>
      </c>
      <c r="O1097" s="38" t="str">
        <f aca="false">IF(OR(NOT(ISNUMBER($C1097)),NOT(ISNUMBER($M1097)),$M1097=0),"",$C1097/$M1097-1)</f>
        <v/>
      </c>
    </row>
    <row r="1098" customFormat="false" ht="15" hidden="false" customHeight="true" outlineLevel="0" collapsed="false">
      <c r="A1098" s="39"/>
      <c r="B1098" s="40"/>
      <c r="C1098" s="41"/>
      <c r="D1098" s="40"/>
      <c r="E1098" s="40"/>
      <c r="F1098" s="40"/>
      <c r="G1098" s="35" t="str">
        <f aca="false">IF($A1098="","",IF(ISNUMBER($G1097),$G1097+1,1))</f>
        <v/>
      </c>
      <c r="H1098" s="36" t="str">
        <f aca="false">IF(OR(NOT(ISNUMBER($G1098)),$G1098&lt;2,NOT(ISNUMBER($C1097)),$C1097=0),"",$C1098/$C1097-1)</f>
        <v/>
      </c>
      <c r="I1098" s="37" t="str">
        <f aca="false">IF(AND(ISNUMBER($G1098),$G1098&gt;=MA_SHORT),AVERAGE(INDEX($C$698:$C1098,402-MA_SHORT):$C1098),"")</f>
        <v/>
      </c>
      <c r="J1098" s="37" t="str">
        <f aca="false">IF(AND(ISNUMBER($G1098),$G1098&gt;=MA_MED),AVERAGE(INDEX($C$698:$C1098,402-MA_MED):$C1098),"")</f>
        <v/>
      </c>
      <c r="K1098" s="37" t="str">
        <f aca="false">IF(AND(ISNUMBER($G1098),$G1098&gt;=MA_LONG2),AVERAGE(INDEX($C$698:$C1098,402-MA_LONG2):$C1098),"")</f>
        <v/>
      </c>
      <c r="L1098" s="38" t="str">
        <f aca="false">IF(AND(ISNUMBER($G1098),$G1098&gt;=21),STDEV(INDEX($H$1038:$H1098,62-20):$H1098)*SQRT(245),"")</f>
        <v/>
      </c>
      <c r="M1098" s="37" t="str">
        <f aca="false">IF(AND(ISNUMBER($G1098),$G1098&gt;=60),MAX(INDEX($D$898:$D1098,202-60):$D1098),"")</f>
        <v/>
      </c>
      <c r="N1098" s="37" t="str">
        <f aca="false">IF(AND(ISNUMBER($G1098),$G1098&gt;=60),MIN(INDEX($E$898:$E1098,202-60):$E1098),"")</f>
        <v/>
      </c>
      <c r="O1098" s="38" t="str">
        <f aca="false">IF(OR(NOT(ISNUMBER($C1098)),NOT(ISNUMBER($M1098)),$M1098=0),"",$C1098/$M1098-1)</f>
        <v/>
      </c>
    </row>
    <row r="1099" customFormat="false" ht="15" hidden="false" customHeight="true" outlineLevel="0" collapsed="false">
      <c r="A1099" s="39"/>
      <c r="B1099" s="40"/>
      <c r="C1099" s="41"/>
      <c r="D1099" s="40"/>
      <c r="E1099" s="40"/>
      <c r="F1099" s="40"/>
      <c r="G1099" s="35" t="str">
        <f aca="false">IF($A1099="","",IF(ISNUMBER($G1098),$G1098+1,1))</f>
        <v/>
      </c>
      <c r="H1099" s="36" t="str">
        <f aca="false">IF(OR(NOT(ISNUMBER($G1099)),$G1099&lt;2,NOT(ISNUMBER($C1098)),$C1098=0),"",$C1099/$C1098-1)</f>
        <v/>
      </c>
      <c r="I1099" s="37" t="str">
        <f aca="false">IF(AND(ISNUMBER($G1099),$G1099&gt;=MA_SHORT),AVERAGE(INDEX($C$699:$C1099,402-MA_SHORT):$C1099),"")</f>
        <v/>
      </c>
      <c r="J1099" s="37" t="str">
        <f aca="false">IF(AND(ISNUMBER($G1099),$G1099&gt;=MA_MED),AVERAGE(INDEX($C$699:$C1099,402-MA_MED):$C1099),"")</f>
        <v/>
      </c>
      <c r="K1099" s="37" t="str">
        <f aca="false">IF(AND(ISNUMBER($G1099),$G1099&gt;=MA_LONG2),AVERAGE(INDEX($C$699:$C1099,402-MA_LONG2):$C1099),"")</f>
        <v/>
      </c>
      <c r="L1099" s="38" t="str">
        <f aca="false">IF(AND(ISNUMBER($G1099),$G1099&gt;=21),STDEV(INDEX($H$1039:$H1099,62-20):$H1099)*SQRT(245),"")</f>
        <v/>
      </c>
      <c r="M1099" s="37" t="str">
        <f aca="false">IF(AND(ISNUMBER($G1099),$G1099&gt;=60),MAX(INDEX($D$899:$D1099,202-60):$D1099),"")</f>
        <v/>
      </c>
      <c r="N1099" s="37" t="str">
        <f aca="false">IF(AND(ISNUMBER($G1099),$G1099&gt;=60),MIN(INDEX($E$899:$E1099,202-60):$E1099),"")</f>
        <v/>
      </c>
      <c r="O1099" s="38" t="str">
        <f aca="false">IF(OR(NOT(ISNUMBER($C1099)),NOT(ISNUMBER($M1099)),$M1099=0),"",$C1099/$M1099-1)</f>
        <v/>
      </c>
    </row>
    <row r="1100" customFormat="false" ht="15" hidden="false" customHeight="true" outlineLevel="0" collapsed="false">
      <c r="A1100" s="39"/>
      <c r="B1100" s="40"/>
      <c r="C1100" s="41"/>
      <c r="D1100" s="40"/>
      <c r="E1100" s="40"/>
      <c r="F1100" s="40"/>
      <c r="G1100" s="35" t="str">
        <f aca="false">IF($A1100="","",IF(ISNUMBER($G1099),$G1099+1,1))</f>
        <v/>
      </c>
      <c r="H1100" s="36" t="str">
        <f aca="false">IF(OR(NOT(ISNUMBER($G1100)),$G1100&lt;2,NOT(ISNUMBER($C1099)),$C1099=0),"",$C1100/$C1099-1)</f>
        <v/>
      </c>
      <c r="I1100" s="37" t="str">
        <f aca="false">IF(AND(ISNUMBER($G1100),$G1100&gt;=MA_SHORT),AVERAGE(INDEX($C$700:$C1100,402-MA_SHORT):$C1100),"")</f>
        <v/>
      </c>
      <c r="J1100" s="37" t="str">
        <f aca="false">IF(AND(ISNUMBER($G1100),$G1100&gt;=MA_MED),AVERAGE(INDEX($C$700:$C1100,402-MA_MED):$C1100),"")</f>
        <v/>
      </c>
      <c r="K1100" s="37" t="str">
        <f aca="false">IF(AND(ISNUMBER($G1100),$G1100&gt;=MA_LONG2),AVERAGE(INDEX($C$700:$C1100,402-MA_LONG2):$C1100),"")</f>
        <v/>
      </c>
      <c r="L1100" s="38" t="str">
        <f aca="false">IF(AND(ISNUMBER($G1100),$G1100&gt;=21),STDEV(INDEX($H$1040:$H1100,62-20):$H1100)*SQRT(245),"")</f>
        <v/>
      </c>
      <c r="M1100" s="37" t="str">
        <f aca="false">IF(AND(ISNUMBER($G1100),$G1100&gt;=60),MAX(INDEX($D$900:$D1100,202-60):$D1100),"")</f>
        <v/>
      </c>
      <c r="N1100" s="37" t="str">
        <f aca="false">IF(AND(ISNUMBER($G1100),$G1100&gt;=60),MIN(INDEX($E$900:$E1100,202-60):$E1100),"")</f>
        <v/>
      </c>
      <c r="O1100" s="38" t="str">
        <f aca="false">IF(OR(NOT(ISNUMBER($C1100)),NOT(ISNUMBER($M1100)),$M1100=0),"",$C1100/$M1100-1)</f>
        <v/>
      </c>
    </row>
    <row r="1101" customFormat="false" ht="15" hidden="false" customHeight="true" outlineLevel="0" collapsed="false">
      <c r="A1101" s="39"/>
      <c r="B1101" s="40"/>
      <c r="C1101" s="41"/>
      <c r="D1101" s="40"/>
      <c r="E1101" s="40"/>
      <c r="F1101" s="40"/>
      <c r="G1101" s="35" t="str">
        <f aca="false">IF($A1101="","",IF(ISNUMBER($G1100),$G1100+1,1))</f>
        <v/>
      </c>
      <c r="H1101" s="36" t="str">
        <f aca="false">IF(OR(NOT(ISNUMBER($G1101)),$G1101&lt;2,NOT(ISNUMBER($C1100)),$C1100=0),"",$C1101/$C1100-1)</f>
        <v/>
      </c>
      <c r="I1101" s="37" t="str">
        <f aca="false">IF(AND(ISNUMBER($G1101),$G1101&gt;=MA_SHORT),AVERAGE(INDEX($C$701:$C1101,402-MA_SHORT):$C1101),"")</f>
        <v/>
      </c>
      <c r="J1101" s="37" t="str">
        <f aca="false">IF(AND(ISNUMBER($G1101),$G1101&gt;=MA_MED),AVERAGE(INDEX($C$701:$C1101,402-MA_MED):$C1101),"")</f>
        <v/>
      </c>
      <c r="K1101" s="37" t="str">
        <f aca="false">IF(AND(ISNUMBER($G1101),$G1101&gt;=MA_LONG2),AVERAGE(INDEX($C$701:$C1101,402-MA_LONG2):$C1101),"")</f>
        <v/>
      </c>
      <c r="L1101" s="38" t="str">
        <f aca="false">IF(AND(ISNUMBER($G1101),$G1101&gt;=21),STDEV(INDEX($H$1041:$H1101,62-20):$H1101)*SQRT(245),"")</f>
        <v/>
      </c>
      <c r="M1101" s="37" t="str">
        <f aca="false">IF(AND(ISNUMBER($G1101),$G1101&gt;=60),MAX(INDEX($D$901:$D1101,202-60):$D1101),"")</f>
        <v/>
      </c>
      <c r="N1101" s="37" t="str">
        <f aca="false">IF(AND(ISNUMBER($G1101),$G1101&gt;=60),MIN(INDEX($E$901:$E1101,202-60):$E1101),"")</f>
        <v/>
      </c>
      <c r="O1101" s="38" t="str">
        <f aca="false">IF(OR(NOT(ISNUMBER($C1101)),NOT(ISNUMBER($M1101)),$M1101=0),"",$C1101/$M1101-1)</f>
        <v/>
      </c>
    </row>
    <row r="1102" customFormat="false" ht="15" hidden="false" customHeight="true" outlineLevel="0" collapsed="false">
      <c r="A1102" s="39"/>
      <c r="B1102" s="40"/>
      <c r="C1102" s="41"/>
      <c r="D1102" s="40"/>
      <c r="E1102" s="40"/>
      <c r="F1102" s="40"/>
      <c r="G1102" s="35" t="str">
        <f aca="false">IF($A1102="","",IF(ISNUMBER($G1101),$G1101+1,1))</f>
        <v/>
      </c>
      <c r="H1102" s="36" t="str">
        <f aca="false">IF(OR(NOT(ISNUMBER($G1102)),$G1102&lt;2,NOT(ISNUMBER($C1101)),$C1101=0),"",$C1102/$C1101-1)</f>
        <v/>
      </c>
      <c r="I1102" s="37" t="str">
        <f aca="false">IF(AND(ISNUMBER($G1102),$G1102&gt;=MA_SHORT),AVERAGE(INDEX($C$702:$C1102,402-MA_SHORT):$C1102),"")</f>
        <v/>
      </c>
      <c r="J1102" s="37" t="str">
        <f aca="false">IF(AND(ISNUMBER($G1102),$G1102&gt;=MA_MED),AVERAGE(INDEX($C$702:$C1102,402-MA_MED):$C1102),"")</f>
        <v/>
      </c>
      <c r="K1102" s="37" t="str">
        <f aca="false">IF(AND(ISNUMBER($G1102),$G1102&gt;=MA_LONG2),AVERAGE(INDEX($C$702:$C1102,402-MA_LONG2):$C1102),"")</f>
        <v/>
      </c>
      <c r="L1102" s="38" t="str">
        <f aca="false">IF(AND(ISNUMBER($G1102),$G1102&gt;=21),STDEV(INDEX($H$1042:$H1102,62-20):$H1102)*SQRT(245),"")</f>
        <v/>
      </c>
      <c r="M1102" s="37" t="str">
        <f aca="false">IF(AND(ISNUMBER($G1102),$G1102&gt;=60),MAX(INDEX($D$902:$D1102,202-60):$D1102),"")</f>
        <v/>
      </c>
      <c r="N1102" s="37" t="str">
        <f aca="false">IF(AND(ISNUMBER($G1102),$G1102&gt;=60),MIN(INDEX($E$902:$E1102,202-60):$E1102),"")</f>
        <v/>
      </c>
      <c r="O1102" s="38" t="str">
        <f aca="false">IF(OR(NOT(ISNUMBER($C1102)),NOT(ISNUMBER($M1102)),$M1102=0),"",$C1102/$M1102-1)</f>
        <v/>
      </c>
    </row>
    <row r="1103" customFormat="false" ht="15" hidden="false" customHeight="true" outlineLevel="0" collapsed="false">
      <c r="A1103" s="39"/>
      <c r="B1103" s="40"/>
      <c r="C1103" s="41"/>
      <c r="D1103" s="40"/>
      <c r="E1103" s="40"/>
      <c r="F1103" s="40"/>
      <c r="G1103" s="35" t="str">
        <f aca="false">IF($A1103="","",IF(ISNUMBER($G1102),$G1102+1,1))</f>
        <v/>
      </c>
      <c r="H1103" s="36" t="str">
        <f aca="false">IF(OR(NOT(ISNUMBER($G1103)),$G1103&lt;2,NOT(ISNUMBER($C1102)),$C1102=0),"",$C1103/$C1102-1)</f>
        <v/>
      </c>
      <c r="I1103" s="37" t="str">
        <f aca="false">IF(AND(ISNUMBER($G1103),$G1103&gt;=MA_SHORT),AVERAGE(INDEX($C$703:$C1103,402-MA_SHORT):$C1103),"")</f>
        <v/>
      </c>
      <c r="J1103" s="37" t="str">
        <f aca="false">IF(AND(ISNUMBER($G1103),$G1103&gt;=MA_MED),AVERAGE(INDEX($C$703:$C1103,402-MA_MED):$C1103),"")</f>
        <v/>
      </c>
      <c r="K1103" s="37" t="str">
        <f aca="false">IF(AND(ISNUMBER($G1103),$G1103&gt;=MA_LONG2),AVERAGE(INDEX($C$703:$C1103,402-MA_LONG2):$C1103),"")</f>
        <v/>
      </c>
      <c r="L1103" s="38" t="str">
        <f aca="false">IF(AND(ISNUMBER($G1103),$G1103&gt;=21),STDEV(INDEX($H$1043:$H1103,62-20):$H1103)*SQRT(245),"")</f>
        <v/>
      </c>
      <c r="M1103" s="37" t="str">
        <f aca="false">IF(AND(ISNUMBER($G1103),$G1103&gt;=60),MAX(INDEX($D$903:$D1103,202-60):$D1103),"")</f>
        <v/>
      </c>
      <c r="N1103" s="37" t="str">
        <f aca="false">IF(AND(ISNUMBER($G1103),$G1103&gt;=60),MIN(INDEX($E$903:$E1103,202-60):$E1103),"")</f>
        <v/>
      </c>
      <c r="O1103" s="38" t="str">
        <f aca="false">IF(OR(NOT(ISNUMBER($C1103)),NOT(ISNUMBER($M1103)),$M1103=0),"",$C1103/$M1103-1)</f>
        <v/>
      </c>
    </row>
    <row r="1104" customFormat="false" ht="15" hidden="false" customHeight="true" outlineLevel="0" collapsed="false">
      <c r="A1104" s="39"/>
      <c r="B1104" s="40"/>
      <c r="C1104" s="41"/>
      <c r="D1104" s="40"/>
      <c r="E1104" s="40"/>
      <c r="F1104" s="40"/>
      <c r="G1104" s="35" t="str">
        <f aca="false">IF($A1104="","",IF(ISNUMBER($G1103),$G1103+1,1))</f>
        <v/>
      </c>
      <c r="H1104" s="36" t="str">
        <f aca="false">IF(OR(NOT(ISNUMBER($G1104)),$G1104&lt;2,NOT(ISNUMBER($C1103)),$C1103=0),"",$C1104/$C1103-1)</f>
        <v/>
      </c>
      <c r="I1104" s="37" t="str">
        <f aca="false">IF(AND(ISNUMBER($G1104),$G1104&gt;=MA_SHORT),AVERAGE(INDEX($C$704:$C1104,402-MA_SHORT):$C1104),"")</f>
        <v/>
      </c>
      <c r="J1104" s="37" t="str">
        <f aca="false">IF(AND(ISNUMBER($G1104),$G1104&gt;=MA_MED),AVERAGE(INDEX($C$704:$C1104,402-MA_MED):$C1104),"")</f>
        <v/>
      </c>
      <c r="K1104" s="37" t="str">
        <f aca="false">IF(AND(ISNUMBER($G1104),$G1104&gt;=MA_LONG2),AVERAGE(INDEX($C$704:$C1104,402-MA_LONG2):$C1104),"")</f>
        <v/>
      </c>
      <c r="L1104" s="38" t="str">
        <f aca="false">IF(AND(ISNUMBER($G1104),$G1104&gt;=21),STDEV(INDEX($H$1044:$H1104,62-20):$H1104)*SQRT(245),"")</f>
        <v/>
      </c>
      <c r="M1104" s="37" t="str">
        <f aca="false">IF(AND(ISNUMBER($G1104),$G1104&gt;=60),MAX(INDEX($D$904:$D1104,202-60):$D1104),"")</f>
        <v/>
      </c>
      <c r="N1104" s="37" t="str">
        <f aca="false">IF(AND(ISNUMBER($G1104),$G1104&gt;=60),MIN(INDEX($E$904:$E1104,202-60):$E1104),"")</f>
        <v/>
      </c>
      <c r="O1104" s="38" t="str">
        <f aca="false">IF(OR(NOT(ISNUMBER($C1104)),NOT(ISNUMBER($M1104)),$M1104=0),"",$C1104/$M1104-1)</f>
        <v/>
      </c>
    </row>
    <row r="1105" customFormat="false" ht="15" hidden="false" customHeight="true" outlineLevel="0" collapsed="false">
      <c r="A1105" s="39"/>
      <c r="B1105" s="40"/>
      <c r="C1105" s="41"/>
      <c r="D1105" s="40"/>
      <c r="E1105" s="40"/>
      <c r="F1105" s="40"/>
      <c r="G1105" s="35" t="str">
        <f aca="false">IF($A1105="","",IF(ISNUMBER($G1104),$G1104+1,1))</f>
        <v/>
      </c>
      <c r="H1105" s="36" t="str">
        <f aca="false">IF(OR(NOT(ISNUMBER($G1105)),$G1105&lt;2,NOT(ISNUMBER($C1104)),$C1104=0),"",$C1105/$C1104-1)</f>
        <v/>
      </c>
      <c r="I1105" s="37" t="str">
        <f aca="false">IF(AND(ISNUMBER($G1105),$G1105&gt;=MA_SHORT),AVERAGE(INDEX($C$705:$C1105,402-MA_SHORT):$C1105),"")</f>
        <v/>
      </c>
      <c r="J1105" s="37" t="str">
        <f aca="false">IF(AND(ISNUMBER($G1105),$G1105&gt;=MA_MED),AVERAGE(INDEX($C$705:$C1105,402-MA_MED):$C1105),"")</f>
        <v/>
      </c>
      <c r="K1105" s="37" t="str">
        <f aca="false">IF(AND(ISNUMBER($G1105),$G1105&gt;=MA_LONG2),AVERAGE(INDEX($C$705:$C1105,402-MA_LONG2):$C1105),"")</f>
        <v/>
      </c>
      <c r="L1105" s="38" t="str">
        <f aca="false">IF(AND(ISNUMBER($G1105),$G1105&gt;=21),STDEV(INDEX($H$1045:$H1105,62-20):$H1105)*SQRT(245),"")</f>
        <v/>
      </c>
      <c r="M1105" s="37" t="str">
        <f aca="false">IF(AND(ISNUMBER($G1105),$G1105&gt;=60),MAX(INDEX($D$905:$D1105,202-60):$D1105),"")</f>
        <v/>
      </c>
      <c r="N1105" s="37" t="str">
        <f aca="false">IF(AND(ISNUMBER($G1105),$G1105&gt;=60),MIN(INDEX($E$905:$E1105,202-60):$E1105),"")</f>
        <v/>
      </c>
      <c r="O1105" s="38" t="str">
        <f aca="false">IF(OR(NOT(ISNUMBER($C1105)),NOT(ISNUMBER($M1105)),$M1105=0),"",$C1105/$M1105-1)</f>
        <v/>
      </c>
    </row>
    <row r="1106" customFormat="false" ht="15" hidden="false" customHeight="true" outlineLevel="0" collapsed="false">
      <c r="A1106" s="39"/>
      <c r="B1106" s="40"/>
      <c r="C1106" s="41"/>
      <c r="D1106" s="40"/>
      <c r="E1106" s="40"/>
      <c r="F1106" s="40"/>
      <c r="G1106" s="35" t="str">
        <f aca="false">IF($A1106="","",IF(ISNUMBER($G1105),$G1105+1,1))</f>
        <v/>
      </c>
      <c r="H1106" s="36" t="str">
        <f aca="false">IF(OR(NOT(ISNUMBER($G1106)),$G1106&lt;2,NOT(ISNUMBER($C1105)),$C1105=0),"",$C1106/$C1105-1)</f>
        <v/>
      </c>
      <c r="I1106" s="37" t="str">
        <f aca="false">IF(AND(ISNUMBER($G1106),$G1106&gt;=MA_SHORT),AVERAGE(INDEX($C$706:$C1106,402-MA_SHORT):$C1106),"")</f>
        <v/>
      </c>
      <c r="J1106" s="37" t="str">
        <f aca="false">IF(AND(ISNUMBER($G1106),$G1106&gt;=MA_MED),AVERAGE(INDEX($C$706:$C1106,402-MA_MED):$C1106),"")</f>
        <v/>
      </c>
      <c r="K1106" s="37" t="str">
        <f aca="false">IF(AND(ISNUMBER($G1106),$G1106&gt;=MA_LONG2),AVERAGE(INDEX($C$706:$C1106,402-MA_LONG2):$C1106),"")</f>
        <v/>
      </c>
      <c r="L1106" s="38" t="str">
        <f aca="false">IF(AND(ISNUMBER($G1106),$G1106&gt;=21),STDEV(INDEX($H$1046:$H1106,62-20):$H1106)*SQRT(245),"")</f>
        <v/>
      </c>
      <c r="M1106" s="37" t="str">
        <f aca="false">IF(AND(ISNUMBER($G1106),$G1106&gt;=60),MAX(INDEX($D$906:$D1106,202-60):$D1106),"")</f>
        <v/>
      </c>
      <c r="N1106" s="37" t="str">
        <f aca="false">IF(AND(ISNUMBER($G1106),$G1106&gt;=60),MIN(INDEX($E$906:$E1106,202-60):$E1106),"")</f>
        <v/>
      </c>
      <c r="O1106" s="38" t="str">
        <f aca="false">IF(OR(NOT(ISNUMBER($C1106)),NOT(ISNUMBER($M1106)),$M1106=0),"",$C1106/$M1106-1)</f>
        <v/>
      </c>
    </row>
    <row r="1107" customFormat="false" ht="15" hidden="false" customHeight="true" outlineLevel="0" collapsed="false">
      <c r="A1107" s="39"/>
      <c r="B1107" s="40"/>
      <c r="C1107" s="41"/>
      <c r="D1107" s="40"/>
      <c r="E1107" s="40"/>
      <c r="F1107" s="40"/>
      <c r="G1107" s="35" t="str">
        <f aca="false">IF($A1107="","",IF(ISNUMBER($G1106),$G1106+1,1))</f>
        <v/>
      </c>
      <c r="H1107" s="36" t="str">
        <f aca="false">IF(OR(NOT(ISNUMBER($G1107)),$G1107&lt;2,NOT(ISNUMBER($C1106)),$C1106=0),"",$C1107/$C1106-1)</f>
        <v/>
      </c>
      <c r="I1107" s="37" t="str">
        <f aca="false">IF(AND(ISNUMBER($G1107),$G1107&gt;=MA_SHORT),AVERAGE(INDEX($C$707:$C1107,402-MA_SHORT):$C1107),"")</f>
        <v/>
      </c>
      <c r="J1107" s="37" t="str">
        <f aca="false">IF(AND(ISNUMBER($G1107),$G1107&gt;=MA_MED),AVERAGE(INDEX($C$707:$C1107,402-MA_MED):$C1107),"")</f>
        <v/>
      </c>
      <c r="K1107" s="37" t="str">
        <f aca="false">IF(AND(ISNUMBER($G1107),$G1107&gt;=MA_LONG2),AVERAGE(INDEX($C$707:$C1107,402-MA_LONG2):$C1107),"")</f>
        <v/>
      </c>
      <c r="L1107" s="38" t="str">
        <f aca="false">IF(AND(ISNUMBER($G1107),$G1107&gt;=21),STDEV(INDEX($H$1047:$H1107,62-20):$H1107)*SQRT(245),"")</f>
        <v/>
      </c>
      <c r="M1107" s="37" t="str">
        <f aca="false">IF(AND(ISNUMBER($G1107),$G1107&gt;=60),MAX(INDEX($D$907:$D1107,202-60):$D1107),"")</f>
        <v/>
      </c>
      <c r="N1107" s="37" t="str">
        <f aca="false">IF(AND(ISNUMBER($G1107),$G1107&gt;=60),MIN(INDEX($E$907:$E1107,202-60):$E1107),"")</f>
        <v/>
      </c>
      <c r="O1107" s="38" t="str">
        <f aca="false">IF(OR(NOT(ISNUMBER($C1107)),NOT(ISNUMBER($M1107)),$M1107=0),"",$C1107/$M1107-1)</f>
        <v/>
      </c>
    </row>
    <row r="1108" customFormat="false" ht="15" hidden="false" customHeight="true" outlineLevel="0" collapsed="false">
      <c r="A1108" s="39"/>
      <c r="B1108" s="40"/>
      <c r="C1108" s="41"/>
      <c r="D1108" s="40"/>
      <c r="E1108" s="40"/>
      <c r="F1108" s="40"/>
      <c r="G1108" s="35" t="str">
        <f aca="false">IF($A1108="","",IF(ISNUMBER($G1107),$G1107+1,1))</f>
        <v/>
      </c>
      <c r="H1108" s="36" t="str">
        <f aca="false">IF(OR(NOT(ISNUMBER($G1108)),$G1108&lt;2,NOT(ISNUMBER($C1107)),$C1107=0),"",$C1108/$C1107-1)</f>
        <v/>
      </c>
      <c r="I1108" s="37" t="str">
        <f aca="false">IF(AND(ISNUMBER($G1108),$G1108&gt;=MA_SHORT),AVERAGE(INDEX($C$708:$C1108,402-MA_SHORT):$C1108),"")</f>
        <v/>
      </c>
      <c r="J1108" s="37" t="str">
        <f aca="false">IF(AND(ISNUMBER($G1108),$G1108&gt;=MA_MED),AVERAGE(INDEX($C$708:$C1108,402-MA_MED):$C1108),"")</f>
        <v/>
      </c>
      <c r="K1108" s="37" t="str">
        <f aca="false">IF(AND(ISNUMBER($G1108),$G1108&gt;=MA_LONG2),AVERAGE(INDEX($C$708:$C1108,402-MA_LONG2):$C1108),"")</f>
        <v/>
      </c>
      <c r="L1108" s="38" t="str">
        <f aca="false">IF(AND(ISNUMBER($G1108),$G1108&gt;=21),STDEV(INDEX($H$1048:$H1108,62-20):$H1108)*SQRT(245),"")</f>
        <v/>
      </c>
      <c r="M1108" s="37" t="str">
        <f aca="false">IF(AND(ISNUMBER($G1108),$G1108&gt;=60),MAX(INDEX($D$908:$D1108,202-60):$D1108),"")</f>
        <v/>
      </c>
      <c r="N1108" s="37" t="str">
        <f aca="false">IF(AND(ISNUMBER($G1108),$G1108&gt;=60),MIN(INDEX($E$908:$E1108,202-60):$E1108),"")</f>
        <v/>
      </c>
      <c r="O1108" s="38" t="str">
        <f aca="false">IF(OR(NOT(ISNUMBER($C1108)),NOT(ISNUMBER($M1108)),$M1108=0),"",$C1108/$M1108-1)</f>
        <v/>
      </c>
    </row>
    <row r="1109" customFormat="false" ht="15" hidden="false" customHeight="true" outlineLevel="0" collapsed="false">
      <c r="A1109" s="39"/>
      <c r="B1109" s="40"/>
      <c r="C1109" s="41"/>
      <c r="D1109" s="40"/>
      <c r="E1109" s="40"/>
      <c r="F1109" s="40"/>
      <c r="G1109" s="35" t="str">
        <f aca="false">IF($A1109="","",IF(ISNUMBER($G1108),$G1108+1,1))</f>
        <v/>
      </c>
      <c r="H1109" s="36" t="str">
        <f aca="false">IF(OR(NOT(ISNUMBER($G1109)),$G1109&lt;2,NOT(ISNUMBER($C1108)),$C1108=0),"",$C1109/$C1108-1)</f>
        <v/>
      </c>
      <c r="I1109" s="37" t="str">
        <f aca="false">IF(AND(ISNUMBER($G1109),$G1109&gt;=MA_SHORT),AVERAGE(INDEX($C$709:$C1109,402-MA_SHORT):$C1109),"")</f>
        <v/>
      </c>
      <c r="J1109" s="37" t="str">
        <f aca="false">IF(AND(ISNUMBER($G1109),$G1109&gt;=MA_MED),AVERAGE(INDEX($C$709:$C1109,402-MA_MED):$C1109),"")</f>
        <v/>
      </c>
      <c r="K1109" s="37" t="str">
        <f aca="false">IF(AND(ISNUMBER($G1109),$G1109&gt;=MA_LONG2),AVERAGE(INDEX($C$709:$C1109,402-MA_LONG2):$C1109),"")</f>
        <v/>
      </c>
      <c r="L1109" s="38" t="str">
        <f aca="false">IF(AND(ISNUMBER($G1109),$G1109&gt;=21),STDEV(INDEX($H$1049:$H1109,62-20):$H1109)*SQRT(245),"")</f>
        <v/>
      </c>
      <c r="M1109" s="37" t="str">
        <f aca="false">IF(AND(ISNUMBER($G1109),$G1109&gt;=60),MAX(INDEX($D$909:$D1109,202-60):$D1109),"")</f>
        <v/>
      </c>
      <c r="N1109" s="37" t="str">
        <f aca="false">IF(AND(ISNUMBER($G1109),$G1109&gt;=60),MIN(INDEX($E$909:$E1109,202-60):$E1109),"")</f>
        <v/>
      </c>
      <c r="O1109" s="38" t="str">
        <f aca="false">IF(OR(NOT(ISNUMBER($C1109)),NOT(ISNUMBER($M1109)),$M1109=0),"",$C1109/$M1109-1)</f>
        <v/>
      </c>
    </row>
    <row r="1110" customFormat="false" ht="15" hidden="false" customHeight="true" outlineLevel="0" collapsed="false">
      <c r="A1110" s="39"/>
      <c r="B1110" s="40"/>
      <c r="C1110" s="41"/>
      <c r="D1110" s="40"/>
      <c r="E1110" s="40"/>
      <c r="F1110" s="40"/>
      <c r="G1110" s="35" t="str">
        <f aca="false">IF($A1110="","",IF(ISNUMBER($G1109),$G1109+1,1))</f>
        <v/>
      </c>
      <c r="H1110" s="36" t="str">
        <f aca="false">IF(OR(NOT(ISNUMBER($G1110)),$G1110&lt;2,NOT(ISNUMBER($C1109)),$C1109=0),"",$C1110/$C1109-1)</f>
        <v/>
      </c>
      <c r="I1110" s="37" t="str">
        <f aca="false">IF(AND(ISNUMBER($G1110),$G1110&gt;=MA_SHORT),AVERAGE(INDEX($C$710:$C1110,402-MA_SHORT):$C1110),"")</f>
        <v/>
      </c>
      <c r="J1110" s="37" t="str">
        <f aca="false">IF(AND(ISNUMBER($G1110),$G1110&gt;=MA_MED),AVERAGE(INDEX($C$710:$C1110,402-MA_MED):$C1110),"")</f>
        <v/>
      </c>
      <c r="K1110" s="37" t="str">
        <f aca="false">IF(AND(ISNUMBER($G1110),$G1110&gt;=MA_LONG2),AVERAGE(INDEX($C$710:$C1110,402-MA_LONG2):$C1110),"")</f>
        <v/>
      </c>
      <c r="L1110" s="38" t="str">
        <f aca="false">IF(AND(ISNUMBER($G1110),$G1110&gt;=21),STDEV(INDEX($H$1050:$H1110,62-20):$H1110)*SQRT(245),"")</f>
        <v/>
      </c>
      <c r="M1110" s="37" t="str">
        <f aca="false">IF(AND(ISNUMBER($G1110),$G1110&gt;=60),MAX(INDEX($D$910:$D1110,202-60):$D1110),"")</f>
        <v/>
      </c>
      <c r="N1110" s="37" t="str">
        <f aca="false">IF(AND(ISNUMBER($G1110),$G1110&gt;=60),MIN(INDEX($E$910:$E1110,202-60):$E1110),"")</f>
        <v/>
      </c>
      <c r="O1110" s="38" t="str">
        <f aca="false">IF(OR(NOT(ISNUMBER($C1110)),NOT(ISNUMBER($M1110)),$M1110=0),"",$C1110/$M1110-1)</f>
        <v/>
      </c>
    </row>
    <row r="1111" customFormat="false" ht="15" hidden="false" customHeight="true" outlineLevel="0" collapsed="false">
      <c r="A1111" s="39"/>
      <c r="B1111" s="40"/>
      <c r="C1111" s="41"/>
      <c r="D1111" s="40"/>
      <c r="E1111" s="40"/>
      <c r="F1111" s="40"/>
      <c r="G1111" s="35" t="str">
        <f aca="false">IF($A1111="","",IF(ISNUMBER($G1110),$G1110+1,1))</f>
        <v/>
      </c>
      <c r="H1111" s="36" t="str">
        <f aca="false">IF(OR(NOT(ISNUMBER($G1111)),$G1111&lt;2,NOT(ISNUMBER($C1110)),$C1110=0),"",$C1111/$C1110-1)</f>
        <v/>
      </c>
      <c r="I1111" s="37" t="str">
        <f aca="false">IF(AND(ISNUMBER($G1111),$G1111&gt;=MA_SHORT),AVERAGE(INDEX($C$711:$C1111,402-MA_SHORT):$C1111),"")</f>
        <v/>
      </c>
      <c r="J1111" s="37" t="str">
        <f aca="false">IF(AND(ISNUMBER($G1111),$G1111&gt;=MA_MED),AVERAGE(INDEX($C$711:$C1111,402-MA_MED):$C1111),"")</f>
        <v/>
      </c>
      <c r="K1111" s="37" t="str">
        <f aca="false">IF(AND(ISNUMBER($G1111),$G1111&gt;=MA_LONG2),AVERAGE(INDEX($C$711:$C1111,402-MA_LONG2):$C1111),"")</f>
        <v/>
      </c>
      <c r="L1111" s="38" t="str">
        <f aca="false">IF(AND(ISNUMBER($G1111),$G1111&gt;=21),STDEV(INDEX($H$1051:$H1111,62-20):$H1111)*SQRT(245),"")</f>
        <v/>
      </c>
      <c r="M1111" s="37" t="str">
        <f aca="false">IF(AND(ISNUMBER($G1111),$G1111&gt;=60),MAX(INDEX($D$911:$D1111,202-60):$D1111),"")</f>
        <v/>
      </c>
      <c r="N1111" s="37" t="str">
        <f aca="false">IF(AND(ISNUMBER($G1111),$G1111&gt;=60),MIN(INDEX($E$911:$E1111,202-60):$E1111),"")</f>
        <v/>
      </c>
      <c r="O1111" s="38" t="str">
        <f aca="false">IF(OR(NOT(ISNUMBER($C1111)),NOT(ISNUMBER($M1111)),$M1111=0),"",$C1111/$M1111-1)</f>
        <v/>
      </c>
    </row>
    <row r="1112" customFormat="false" ht="15" hidden="false" customHeight="true" outlineLevel="0" collapsed="false">
      <c r="A1112" s="39"/>
      <c r="B1112" s="40"/>
      <c r="C1112" s="41"/>
      <c r="D1112" s="40"/>
      <c r="E1112" s="40"/>
      <c r="F1112" s="40"/>
      <c r="G1112" s="35" t="str">
        <f aca="false">IF($A1112="","",IF(ISNUMBER($G1111),$G1111+1,1))</f>
        <v/>
      </c>
      <c r="H1112" s="36" t="str">
        <f aca="false">IF(OR(NOT(ISNUMBER($G1112)),$G1112&lt;2,NOT(ISNUMBER($C1111)),$C1111=0),"",$C1112/$C1111-1)</f>
        <v/>
      </c>
      <c r="I1112" s="37" t="str">
        <f aca="false">IF(AND(ISNUMBER($G1112),$G1112&gt;=MA_SHORT),AVERAGE(INDEX($C$712:$C1112,402-MA_SHORT):$C1112),"")</f>
        <v/>
      </c>
      <c r="J1112" s="37" t="str">
        <f aca="false">IF(AND(ISNUMBER($G1112),$G1112&gt;=MA_MED),AVERAGE(INDEX($C$712:$C1112,402-MA_MED):$C1112),"")</f>
        <v/>
      </c>
      <c r="K1112" s="37" t="str">
        <f aca="false">IF(AND(ISNUMBER($G1112),$G1112&gt;=MA_LONG2),AVERAGE(INDEX($C$712:$C1112,402-MA_LONG2):$C1112),"")</f>
        <v/>
      </c>
      <c r="L1112" s="38" t="str">
        <f aca="false">IF(AND(ISNUMBER($G1112),$G1112&gt;=21),STDEV(INDEX($H$1052:$H1112,62-20):$H1112)*SQRT(245),"")</f>
        <v/>
      </c>
      <c r="M1112" s="37" t="str">
        <f aca="false">IF(AND(ISNUMBER($G1112),$G1112&gt;=60),MAX(INDEX($D$912:$D1112,202-60):$D1112),"")</f>
        <v/>
      </c>
      <c r="N1112" s="37" t="str">
        <f aca="false">IF(AND(ISNUMBER($G1112),$G1112&gt;=60),MIN(INDEX($E$912:$E1112,202-60):$E1112),"")</f>
        <v/>
      </c>
      <c r="O1112" s="38" t="str">
        <f aca="false">IF(OR(NOT(ISNUMBER($C1112)),NOT(ISNUMBER($M1112)),$M1112=0),"",$C1112/$M1112-1)</f>
        <v/>
      </c>
    </row>
    <row r="1113" customFormat="false" ht="15" hidden="false" customHeight="true" outlineLevel="0" collapsed="false">
      <c r="A1113" s="39"/>
      <c r="B1113" s="40"/>
      <c r="C1113" s="41"/>
      <c r="D1113" s="40"/>
      <c r="E1113" s="40"/>
      <c r="F1113" s="40"/>
      <c r="G1113" s="35" t="str">
        <f aca="false">IF($A1113="","",IF(ISNUMBER($G1112),$G1112+1,1))</f>
        <v/>
      </c>
      <c r="H1113" s="36" t="str">
        <f aca="false">IF(OR(NOT(ISNUMBER($G1113)),$G1113&lt;2,NOT(ISNUMBER($C1112)),$C1112=0),"",$C1113/$C1112-1)</f>
        <v/>
      </c>
      <c r="I1113" s="37" t="str">
        <f aca="false">IF(AND(ISNUMBER($G1113),$G1113&gt;=MA_SHORT),AVERAGE(INDEX($C$713:$C1113,402-MA_SHORT):$C1113),"")</f>
        <v/>
      </c>
      <c r="J1113" s="37" t="str">
        <f aca="false">IF(AND(ISNUMBER($G1113),$G1113&gt;=MA_MED),AVERAGE(INDEX($C$713:$C1113,402-MA_MED):$C1113),"")</f>
        <v/>
      </c>
      <c r="K1113" s="37" t="str">
        <f aca="false">IF(AND(ISNUMBER($G1113),$G1113&gt;=MA_LONG2),AVERAGE(INDEX($C$713:$C1113,402-MA_LONG2):$C1113),"")</f>
        <v/>
      </c>
      <c r="L1113" s="38" t="str">
        <f aca="false">IF(AND(ISNUMBER($G1113),$G1113&gt;=21),STDEV(INDEX($H$1053:$H1113,62-20):$H1113)*SQRT(245),"")</f>
        <v/>
      </c>
      <c r="M1113" s="37" t="str">
        <f aca="false">IF(AND(ISNUMBER($G1113),$G1113&gt;=60),MAX(INDEX($D$913:$D1113,202-60):$D1113),"")</f>
        <v/>
      </c>
      <c r="N1113" s="37" t="str">
        <f aca="false">IF(AND(ISNUMBER($G1113),$G1113&gt;=60),MIN(INDEX($E$913:$E1113,202-60):$E1113),"")</f>
        <v/>
      </c>
      <c r="O1113" s="38" t="str">
        <f aca="false">IF(OR(NOT(ISNUMBER($C1113)),NOT(ISNUMBER($M1113)),$M1113=0),"",$C1113/$M1113-1)</f>
        <v/>
      </c>
    </row>
    <row r="1114" customFormat="false" ht="15" hidden="false" customHeight="true" outlineLevel="0" collapsed="false">
      <c r="A1114" s="39"/>
      <c r="B1114" s="40"/>
      <c r="C1114" s="41"/>
      <c r="D1114" s="40"/>
      <c r="E1114" s="40"/>
      <c r="F1114" s="40"/>
      <c r="G1114" s="35" t="str">
        <f aca="false">IF($A1114="","",IF(ISNUMBER($G1113),$G1113+1,1))</f>
        <v/>
      </c>
      <c r="H1114" s="36" t="str">
        <f aca="false">IF(OR(NOT(ISNUMBER($G1114)),$G1114&lt;2,NOT(ISNUMBER($C1113)),$C1113=0),"",$C1114/$C1113-1)</f>
        <v/>
      </c>
      <c r="I1114" s="37" t="str">
        <f aca="false">IF(AND(ISNUMBER($G1114),$G1114&gt;=MA_SHORT),AVERAGE(INDEX($C$714:$C1114,402-MA_SHORT):$C1114),"")</f>
        <v/>
      </c>
      <c r="J1114" s="37" t="str">
        <f aca="false">IF(AND(ISNUMBER($G1114),$G1114&gt;=MA_MED),AVERAGE(INDEX($C$714:$C1114,402-MA_MED):$C1114),"")</f>
        <v/>
      </c>
      <c r="K1114" s="37" t="str">
        <f aca="false">IF(AND(ISNUMBER($G1114),$G1114&gt;=MA_LONG2),AVERAGE(INDEX($C$714:$C1114,402-MA_LONG2):$C1114),"")</f>
        <v/>
      </c>
      <c r="L1114" s="38" t="str">
        <f aca="false">IF(AND(ISNUMBER($G1114),$G1114&gt;=21),STDEV(INDEX($H$1054:$H1114,62-20):$H1114)*SQRT(245),"")</f>
        <v/>
      </c>
      <c r="M1114" s="37" t="str">
        <f aca="false">IF(AND(ISNUMBER($G1114),$G1114&gt;=60),MAX(INDEX($D$914:$D1114,202-60):$D1114),"")</f>
        <v/>
      </c>
      <c r="N1114" s="37" t="str">
        <f aca="false">IF(AND(ISNUMBER($G1114),$G1114&gt;=60),MIN(INDEX($E$914:$E1114,202-60):$E1114),"")</f>
        <v/>
      </c>
      <c r="O1114" s="38" t="str">
        <f aca="false">IF(OR(NOT(ISNUMBER($C1114)),NOT(ISNUMBER($M1114)),$M1114=0),"",$C1114/$M1114-1)</f>
        <v/>
      </c>
    </row>
    <row r="1115" customFormat="false" ht="15" hidden="false" customHeight="true" outlineLevel="0" collapsed="false">
      <c r="A1115" s="39"/>
      <c r="B1115" s="40"/>
      <c r="C1115" s="41"/>
      <c r="D1115" s="40"/>
      <c r="E1115" s="40"/>
      <c r="F1115" s="40"/>
      <c r="G1115" s="35" t="str">
        <f aca="false">IF($A1115="","",IF(ISNUMBER($G1114),$G1114+1,1))</f>
        <v/>
      </c>
      <c r="H1115" s="36" t="str">
        <f aca="false">IF(OR(NOT(ISNUMBER($G1115)),$G1115&lt;2,NOT(ISNUMBER($C1114)),$C1114=0),"",$C1115/$C1114-1)</f>
        <v/>
      </c>
      <c r="I1115" s="37" t="str">
        <f aca="false">IF(AND(ISNUMBER($G1115),$G1115&gt;=MA_SHORT),AVERAGE(INDEX($C$715:$C1115,402-MA_SHORT):$C1115),"")</f>
        <v/>
      </c>
      <c r="J1115" s="37" t="str">
        <f aca="false">IF(AND(ISNUMBER($G1115),$G1115&gt;=MA_MED),AVERAGE(INDEX($C$715:$C1115,402-MA_MED):$C1115),"")</f>
        <v/>
      </c>
      <c r="K1115" s="37" t="str">
        <f aca="false">IF(AND(ISNUMBER($G1115),$G1115&gt;=MA_LONG2),AVERAGE(INDEX($C$715:$C1115,402-MA_LONG2):$C1115),"")</f>
        <v/>
      </c>
      <c r="L1115" s="38" t="str">
        <f aca="false">IF(AND(ISNUMBER($G1115),$G1115&gt;=21),STDEV(INDEX($H$1055:$H1115,62-20):$H1115)*SQRT(245),"")</f>
        <v/>
      </c>
      <c r="M1115" s="37" t="str">
        <f aca="false">IF(AND(ISNUMBER($G1115),$G1115&gt;=60),MAX(INDEX($D$915:$D1115,202-60):$D1115),"")</f>
        <v/>
      </c>
      <c r="N1115" s="37" t="str">
        <f aca="false">IF(AND(ISNUMBER($G1115),$G1115&gt;=60),MIN(INDEX($E$915:$E1115,202-60):$E1115),"")</f>
        <v/>
      </c>
      <c r="O1115" s="38" t="str">
        <f aca="false">IF(OR(NOT(ISNUMBER($C1115)),NOT(ISNUMBER($M1115)),$M1115=0),"",$C1115/$M1115-1)</f>
        <v/>
      </c>
    </row>
    <row r="1116" customFormat="false" ht="15" hidden="false" customHeight="true" outlineLevel="0" collapsed="false">
      <c r="A1116" s="39"/>
      <c r="B1116" s="40"/>
      <c r="C1116" s="41"/>
      <c r="D1116" s="40"/>
      <c r="E1116" s="40"/>
      <c r="F1116" s="40"/>
      <c r="G1116" s="35" t="str">
        <f aca="false">IF($A1116="","",IF(ISNUMBER($G1115),$G1115+1,1))</f>
        <v/>
      </c>
      <c r="H1116" s="36" t="str">
        <f aca="false">IF(OR(NOT(ISNUMBER($G1116)),$G1116&lt;2,NOT(ISNUMBER($C1115)),$C1115=0),"",$C1116/$C1115-1)</f>
        <v/>
      </c>
      <c r="I1116" s="37" t="str">
        <f aca="false">IF(AND(ISNUMBER($G1116),$G1116&gt;=MA_SHORT),AVERAGE(INDEX($C$716:$C1116,402-MA_SHORT):$C1116),"")</f>
        <v/>
      </c>
      <c r="J1116" s="37" t="str">
        <f aca="false">IF(AND(ISNUMBER($G1116),$G1116&gt;=MA_MED),AVERAGE(INDEX($C$716:$C1116,402-MA_MED):$C1116),"")</f>
        <v/>
      </c>
      <c r="K1116" s="37" t="str">
        <f aca="false">IF(AND(ISNUMBER($G1116),$G1116&gt;=MA_LONG2),AVERAGE(INDEX($C$716:$C1116,402-MA_LONG2):$C1116),"")</f>
        <v/>
      </c>
      <c r="L1116" s="38" t="str">
        <f aca="false">IF(AND(ISNUMBER($G1116),$G1116&gt;=21),STDEV(INDEX($H$1056:$H1116,62-20):$H1116)*SQRT(245),"")</f>
        <v/>
      </c>
      <c r="M1116" s="37" t="str">
        <f aca="false">IF(AND(ISNUMBER($G1116),$G1116&gt;=60),MAX(INDEX($D$916:$D1116,202-60):$D1116),"")</f>
        <v/>
      </c>
      <c r="N1116" s="37" t="str">
        <f aca="false">IF(AND(ISNUMBER($G1116),$G1116&gt;=60),MIN(INDEX($E$916:$E1116,202-60):$E1116),"")</f>
        <v/>
      </c>
      <c r="O1116" s="38" t="str">
        <f aca="false">IF(OR(NOT(ISNUMBER($C1116)),NOT(ISNUMBER($M1116)),$M1116=0),"",$C1116/$M1116-1)</f>
        <v/>
      </c>
    </row>
    <row r="1117" customFormat="false" ht="15" hidden="false" customHeight="true" outlineLevel="0" collapsed="false">
      <c r="A1117" s="39"/>
      <c r="B1117" s="40"/>
      <c r="C1117" s="41"/>
      <c r="D1117" s="40"/>
      <c r="E1117" s="40"/>
      <c r="F1117" s="40"/>
      <c r="G1117" s="35" t="str">
        <f aca="false">IF($A1117="","",IF(ISNUMBER($G1116),$G1116+1,1))</f>
        <v/>
      </c>
      <c r="H1117" s="36" t="str">
        <f aca="false">IF(OR(NOT(ISNUMBER($G1117)),$G1117&lt;2,NOT(ISNUMBER($C1116)),$C1116=0),"",$C1117/$C1116-1)</f>
        <v/>
      </c>
      <c r="I1117" s="37" t="str">
        <f aca="false">IF(AND(ISNUMBER($G1117),$G1117&gt;=MA_SHORT),AVERAGE(INDEX($C$717:$C1117,402-MA_SHORT):$C1117),"")</f>
        <v/>
      </c>
      <c r="J1117" s="37" t="str">
        <f aca="false">IF(AND(ISNUMBER($G1117),$G1117&gt;=MA_MED),AVERAGE(INDEX($C$717:$C1117,402-MA_MED):$C1117),"")</f>
        <v/>
      </c>
      <c r="K1117" s="37" t="str">
        <f aca="false">IF(AND(ISNUMBER($G1117),$G1117&gt;=MA_LONG2),AVERAGE(INDEX($C$717:$C1117,402-MA_LONG2):$C1117),"")</f>
        <v/>
      </c>
      <c r="L1117" s="38" t="str">
        <f aca="false">IF(AND(ISNUMBER($G1117),$G1117&gt;=21),STDEV(INDEX($H$1057:$H1117,62-20):$H1117)*SQRT(245),"")</f>
        <v/>
      </c>
      <c r="M1117" s="37" t="str">
        <f aca="false">IF(AND(ISNUMBER($G1117),$G1117&gt;=60),MAX(INDEX($D$917:$D1117,202-60):$D1117),"")</f>
        <v/>
      </c>
      <c r="N1117" s="37" t="str">
        <f aca="false">IF(AND(ISNUMBER($G1117),$G1117&gt;=60),MIN(INDEX($E$917:$E1117,202-60):$E1117),"")</f>
        <v/>
      </c>
      <c r="O1117" s="38" t="str">
        <f aca="false">IF(OR(NOT(ISNUMBER($C1117)),NOT(ISNUMBER($M1117)),$M1117=0),"",$C1117/$M1117-1)</f>
        <v/>
      </c>
    </row>
    <row r="1118" customFormat="false" ht="15" hidden="false" customHeight="true" outlineLevel="0" collapsed="false">
      <c r="A1118" s="39"/>
      <c r="B1118" s="40"/>
      <c r="C1118" s="41"/>
      <c r="D1118" s="40"/>
      <c r="E1118" s="40"/>
      <c r="F1118" s="40"/>
      <c r="G1118" s="35" t="str">
        <f aca="false">IF($A1118="","",IF(ISNUMBER($G1117),$G1117+1,1))</f>
        <v/>
      </c>
      <c r="H1118" s="36" t="str">
        <f aca="false">IF(OR(NOT(ISNUMBER($G1118)),$G1118&lt;2,NOT(ISNUMBER($C1117)),$C1117=0),"",$C1118/$C1117-1)</f>
        <v/>
      </c>
      <c r="I1118" s="37" t="str">
        <f aca="false">IF(AND(ISNUMBER($G1118),$G1118&gt;=MA_SHORT),AVERAGE(INDEX($C$718:$C1118,402-MA_SHORT):$C1118),"")</f>
        <v/>
      </c>
      <c r="J1118" s="37" t="str">
        <f aca="false">IF(AND(ISNUMBER($G1118),$G1118&gt;=MA_MED),AVERAGE(INDEX($C$718:$C1118,402-MA_MED):$C1118),"")</f>
        <v/>
      </c>
      <c r="K1118" s="37" t="str">
        <f aca="false">IF(AND(ISNUMBER($G1118),$G1118&gt;=MA_LONG2),AVERAGE(INDEX($C$718:$C1118,402-MA_LONG2):$C1118),"")</f>
        <v/>
      </c>
      <c r="L1118" s="38" t="str">
        <f aca="false">IF(AND(ISNUMBER($G1118),$G1118&gt;=21),STDEV(INDEX($H$1058:$H1118,62-20):$H1118)*SQRT(245),"")</f>
        <v/>
      </c>
      <c r="M1118" s="37" t="str">
        <f aca="false">IF(AND(ISNUMBER($G1118),$G1118&gt;=60),MAX(INDEX($D$918:$D1118,202-60):$D1118),"")</f>
        <v/>
      </c>
      <c r="N1118" s="37" t="str">
        <f aca="false">IF(AND(ISNUMBER($G1118),$G1118&gt;=60),MIN(INDEX($E$918:$E1118,202-60):$E1118),"")</f>
        <v/>
      </c>
      <c r="O1118" s="38" t="str">
        <f aca="false">IF(OR(NOT(ISNUMBER($C1118)),NOT(ISNUMBER($M1118)),$M1118=0),"",$C1118/$M1118-1)</f>
        <v/>
      </c>
    </row>
    <row r="1119" customFormat="false" ht="15" hidden="false" customHeight="true" outlineLevel="0" collapsed="false">
      <c r="A1119" s="39"/>
      <c r="B1119" s="40"/>
      <c r="C1119" s="41"/>
      <c r="D1119" s="40"/>
      <c r="E1119" s="40"/>
      <c r="F1119" s="40"/>
      <c r="G1119" s="35" t="str">
        <f aca="false">IF($A1119="","",IF(ISNUMBER($G1118),$G1118+1,1))</f>
        <v/>
      </c>
      <c r="H1119" s="36" t="str">
        <f aca="false">IF(OR(NOT(ISNUMBER($G1119)),$G1119&lt;2,NOT(ISNUMBER($C1118)),$C1118=0),"",$C1119/$C1118-1)</f>
        <v/>
      </c>
      <c r="I1119" s="37" t="str">
        <f aca="false">IF(AND(ISNUMBER($G1119),$G1119&gt;=MA_SHORT),AVERAGE(INDEX($C$719:$C1119,402-MA_SHORT):$C1119),"")</f>
        <v/>
      </c>
      <c r="J1119" s="37" t="str">
        <f aca="false">IF(AND(ISNUMBER($G1119),$G1119&gt;=MA_MED),AVERAGE(INDEX($C$719:$C1119,402-MA_MED):$C1119),"")</f>
        <v/>
      </c>
      <c r="K1119" s="37" t="str">
        <f aca="false">IF(AND(ISNUMBER($G1119),$G1119&gt;=MA_LONG2),AVERAGE(INDEX($C$719:$C1119,402-MA_LONG2):$C1119),"")</f>
        <v/>
      </c>
      <c r="L1119" s="38" t="str">
        <f aca="false">IF(AND(ISNUMBER($G1119),$G1119&gt;=21),STDEV(INDEX($H$1059:$H1119,62-20):$H1119)*SQRT(245),"")</f>
        <v/>
      </c>
      <c r="M1119" s="37" t="str">
        <f aca="false">IF(AND(ISNUMBER($G1119),$G1119&gt;=60),MAX(INDEX($D$919:$D1119,202-60):$D1119),"")</f>
        <v/>
      </c>
      <c r="N1119" s="37" t="str">
        <f aca="false">IF(AND(ISNUMBER($G1119),$G1119&gt;=60),MIN(INDEX($E$919:$E1119,202-60):$E1119),"")</f>
        <v/>
      </c>
      <c r="O1119" s="38" t="str">
        <f aca="false">IF(OR(NOT(ISNUMBER($C1119)),NOT(ISNUMBER($M1119)),$M1119=0),"",$C1119/$M1119-1)</f>
        <v/>
      </c>
    </row>
    <row r="1120" customFormat="false" ht="15" hidden="false" customHeight="true" outlineLevel="0" collapsed="false">
      <c r="A1120" s="39"/>
      <c r="B1120" s="40"/>
      <c r="C1120" s="41"/>
      <c r="D1120" s="40"/>
      <c r="E1120" s="40"/>
      <c r="F1120" s="40"/>
      <c r="G1120" s="35" t="str">
        <f aca="false">IF($A1120="","",IF(ISNUMBER($G1119),$G1119+1,1))</f>
        <v/>
      </c>
      <c r="H1120" s="36" t="str">
        <f aca="false">IF(OR(NOT(ISNUMBER($G1120)),$G1120&lt;2,NOT(ISNUMBER($C1119)),$C1119=0),"",$C1120/$C1119-1)</f>
        <v/>
      </c>
      <c r="I1120" s="37" t="str">
        <f aca="false">IF(AND(ISNUMBER($G1120),$G1120&gt;=MA_SHORT),AVERAGE(INDEX($C$720:$C1120,402-MA_SHORT):$C1120),"")</f>
        <v/>
      </c>
      <c r="J1120" s="37" t="str">
        <f aca="false">IF(AND(ISNUMBER($G1120),$G1120&gt;=MA_MED),AVERAGE(INDEX($C$720:$C1120,402-MA_MED):$C1120),"")</f>
        <v/>
      </c>
      <c r="K1120" s="37" t="str">
        <f aca="false">IF(AND(ISNUMBER($G1120),$G1120&gt;=MA_LONG2),AVERAGE(INDEX($C$720:$C1120,402-MA_LONG2):$C1120),"")</f>
        <v/>
      </c>
      <c r="L1120" s="38" t="str">
        <f aca="false">IF(AND(ISNUMBER($G1120),$G1120&gt;=21),STDEV(INDEX($H$1060:$H1120,62-20):$H1120)*SQRT(245),"")</f>
        <v/>
      </c>
      <c r="M1120" s="37" t="str">
        <f aca="false">IF(AND(ISNUMBER($G1120),$G1120&gt;=60),MAX(INDEX($D$920:$D1120,202-60):$D1120),"")</f>
        <v/>
      </c>
      <c r="N1120" s="37" t="str">
        <f aca="false">IF(AND(ISNUMBER($G1120),$G1120&gt;=60),MIN(INDEX($E$920:$E1120,202-60):$E1120),"")</f>
        <v/>
      </c>
      <c r="O1120" s="38" t="str">
        <f aca="false">IF(OR(NOT(ISNUMBER($C1120)),NOT(ISNUMBER($M1120)),$M1120=0),"",$C1120/$M1120-1)</f>
        <v/>
      </c>
    </row>
    <row r="1121" customFormat="false" ht="15" hidden="false" customHeight="true" outlineLevel="0" collapsed="false">
      <c r="A1121" s="39"/>
      <c r="B1121" s="40"/>
      <c r="C1121" s="41"/>
      <c r="D1121" s="40"/>
      <c r="E1121" s="40"/>
      <c r="F1121" s="40"/>
      <c r="G1121" s="35" t="str">
        <f aca="false">IF($A1121="","",IF(ISNUMBER($G1120),$G1120+1,1))</f>
        <v/>
      </c>
      <c r="H1121" s="36" t="str">
        <f aca="false">IF(OR(NOT(ISNUMBER($G1121)),$G1121&lt;2,NOT(ISNUMBER($C1120)),$C1120=0),"",$C1121/$C1120-1)</f>
        <v/>
      </c>
      <c r="I1121" s="37" t="str">
        <f aca="false">IF(AND(ISNUMBER($G1121),$G1121&gt;=MA_SHORT),AVERAGE(INDEX($C$721:$C1121,402-MA_SHORT):$C1121),"")</f>
        <v/>
      </c>
      <c r="J1121" s="37" t="str">
        <f aca="false">IF(AND(ISNUMBER($G1121),$G1121&gt;=MA_MED),AVERAGE(INDEX($C$721:$C1121,402-MA_MED):$C1121),"")</f>
        <v/>
      </c>
      <c r="K1121" s="37" t="str">
        <f aca="false">IF(AND(ISNUMBER($G1121),$G1121&gt;=MA_LONG2),AVERAGE(INDEX($C$721:$C1121,402-MA_LONG2):$C1121),"")</f>
        <v/>
      </c>
      <c r="L1121" s="38" t="str">
        <f aca="false">IF(AND(ISNUMBER($G1121),$G1121&gt;=21),STDEV(INDEX($H$1061:$H1121,62-20):$H1121)*SQRT(245),"")</f>
        <v/>
      </c>
      <c r="M1121" s="37" t="str">
        <f aca="false">IF(AND(ISNUMBER($G1121),$G1121&gt;=60),MAX(INDEX($D$921:$D1121,202-60):$D1121),"")</f>
        <v/>
      </c>
      <c r="N1121" s="37" t="str">
        <f aca="false">IF(AND(ISNUMBER($G1121),$G1121&gt;=60),MIN(INDEX($E$921:$E1121,202-60):$E1121),"")</f>
        <v/>
      </c>
      <c r="O1121" s="38" t="str">
        <f aca="false">IF(OR(NOT(ISNUMBER($C1121)),NOT(ISNUMBER($M1121)),$M1121=0),"",$C1121/$M1121-1)</f>
        <v/>
      </c>
    </row>
    <row r="1122" customFormat="false" ht="15" hidden="false" customHeight="true" outlineLevel="0" collapsed="false">
      <c r="A1122" s="39"/>
      <c r="B1122" s="40"/>
      <c r="C1122" s="41"/>
      <c r="D1122" s="40"/>
      <c r="E1122" s="40"/>
      <c r="F1122" s="40"/>
      <c r="G1122" s="35" t="str">
        <f aca="false">IF($A1122="","",IF(ISNUMBER($G1121),$G1121+1,1))</f>
        <v/>
      </c>
      <c r="H1122" s="36" t="str">
        <f aca="false">IF(OR(NOT(ISNUMBER($G1122)),$G1122&lt;2,NOT(ISNUMBER($C1121)),$C1121=0),"",$C1122/$C1121-1)</f>
        <v/>
      </c>
      <c r="I1122" s="37" t="str">
        <f aca="false">IF(AND(ISNUMBER($G1122),$G1122&gt;=MA_SHORT),AVERAGE(INDEX($C$722:$C1122,402-MA_SHORT):$C1122),"")</f>
        <v/>
      </c>
      <c r="J1122" s="37" t="str">
        <f aca="false">IF(AND(ISNUMBER($G1122),$G1122&gt;=MA_MED),AVERAGE(INDEX($C$722:$C1122,402-MA_MED):$C1122),"")</f>
        <v/>
      </c>
      <c r="K1122" s="37" t="str">
        <f aca="false">IF(AND(ISNUMBER($G1122),$G1122&gt;=MA_LONG2),AVERAGE(INDEX($C$722:$C1122,402-MA_LONG2):$C1122),"")</f>
        <v/>
      </c>
      <c r="L1122" s="38" t="str">
        <f aca="false">IF(AND(ISNUMBER($G1122),$G1122&gt;=21),STDEV(INDEX($H$1062:$H1122,62-20):$H1122)*SQRT(245),"")</f>
        <v/>
      </c>
      <c r="M1122" s="37" t="str">
        <f aca="false">IF(AND(ISNUMBER($G1122),$G1122&gt;=60),MAX(INDEX($D$922:$D1122,202-60):$D1122),"")</f>
        <v/>
      </c>
      <c r="N1122" s="37" t="str">
        <f aca="false">IF(AND(ISNUMBER($G1122),$G1122&gt;=60),MIN(INDEX($E$922:$E1122,202-60):$E1122),"")</f>
        <v/>
      </c>
      <c r="O1122" s="38" t="str">
        <f aca="false">IF(OR(NOT(ISNUMBER($C1122)),NOT(ISNUMBER($M1122)),$M1122=0),"",$C1122/$M1122-1)</f>
        <v/>
      </c>
    </row>
    <row r="1123" customFormat="false" ht="15" hidden="false" customHeight="true" outlineLevel="0" collapsed="false">
      <c r="A1123" s="39"/>
      <c r="B1123" s="40"/>
      <c r="C1123" s="41"/>
      <c r="D1123" s="40"/>
      <c r="E1123" s="40"/>
      <c r="F1123" s="40"/>
      <c r="G1123" s="35" t="str">
        <f aca="false">IF($A1123="","",IF(ISNUMBER($G1122),$G1122+1,1))</f>
        <v/>
      </c>
      <c r="H1123" s="36" t="str">
        <f aca="false">IF(OR(NOT(ISNUMBER($G1123)),$G1123&lt;2,NOT(ISNUMBER($C1122)),$C1122=0),"",$C1123/$C1122-1)</f>
        <v/>
      </c>
      <c r="I1123" s="37" t="str">
        <f aca="false">IF(AND(ISNUMBER($G1123),$G1123&gt;=MA_SHORT),AVERAGE(INDEX($C$723:$C1123,402-MA_SHORT):$C1123),"")</f>
        <v/>
      </c>
      <c r="J1123" s="37" t="str">
        <f aca="false">IF(AND(ISNUMBER($G1123),$G1123&gt;=MA_MED),AVERAGE(INDEX($C$723:$C1123,402-MA_MED):$C1123),"")</f>
        <v/>
      </c>
      <c r="K1123" s="37" t="str">
        <f aca="false">IF(AND(ISNUMBER($G1123),$G1123&gt;=MA_LONG2),AVERAGE(INDEX($C$723:$C1123,402-MA_LONG2):$C1123),"")</f>
        <v/>
      </c>
      <c r="L1123" s="38" t="str">
        <f aca="false">IF(AND(ISNUMBER($G1123),$G1123&gt;=21),STDEV(INDEX($H$1063:$H1123,62-20):$H1123)*SQRT(245),"")</f>
        <v/>
      </c>
      <c r="M1123" s="37" t="str">
        <f aca="false">IF(AND(ISNUMBER($G1123),$G1123&gt;=60),MAX(INDEX($D$923:$D1123,202-60):$D1123),"")</f>
        <v/>
      </c>
      <c r="N1123" s="37" t="str">
        <f aca="false">IF(AND(ISNUMBER($G1123),$G1123&gt;=60),MIN(INDEX($E$923:$E1123,202-60):$E1123),"")</f>
        <v/>
      </c>
      <c r="O1123" s="38" t="str">
        <f aca="false">IF(OR(NOT(ISNUMBER($C1123)),NOT(ISNUMBER($M1123)),$M1123=0),"",$C1123/$M1123-1)</f>
        <v/>
      </c>
    </row>
    <row r="1124" customFormat="false" ht="15" hidden="false" customHeight="true" outlineLevel="0" collapsed="false">
      <c r="A1124" s="39"/>
      <c r="B1124" s="40"/>
      <c r="C1124" s="41"/>
      <c r="D1124" s="40"/>
      <c r="E1124" s="40"/>
      <c r="F1124" s="40"/>
      <c r="G1124" s="35" t="str">
        <f aca="false">IF($A1124="","",IF(ISNUMBER($G1123),$G1123+1,1))</f>
        <v/>
      </c>
      <c r="H1124" s="36" t="str">
        <f aca="false">IF(OR(NOT(ISNUMBER($G1124)),$G1124&lt;2,NOT(ISNUMBER($C1123)),$C1123=0),"",$C1124/$C1123-1)</f>
        <v/>
      </c>
      <c r="I1124" s="37" t="str">
        <f aca="false">IF(AND(ISNUMBER($G1124),$G1124&gt;=MA_SHORT),AVERAGE(INDEX($C$724:$C1124,402-MA_SHORT):$C1124),"")</f>
        <v/>
      </c>
      <c r="J1124" s="37" t="str">
        <f aca="false">IF(AND(ISNUMBER($G1124),$G1124&gt;=MA_MED),AVERAGE(INDEX($C$724:$C1124,402-MA_MED):$C1124),"")</f>
        <v/>
      </c>
      <c r="K1124" s="37" t="str">
        <f aca="false">IF(AND(ISNUMBER($G1124),$G1124&gt;=MA_LONG2),AVERAGE(INDEX($C$724:$C1124,402-MA_LONG2):$C1124),"")</f>
        <v/>
      </c>
      <c r="L1124" s="38" t="str">
        <f aca="false">IF(AND(ISNUMBER($G1124),$G1124&gt;=21),STDEV(INDEX($H$1064:$H1124,62-20):$H1124)*SQRT(245),"")</f>
        <v/>
      </c>
      <c r="M1124" s="37" t="str">
        <f aca="false">IF(AND(ISNUMBER($G1124),$G1124&gt;=60),MAX(INDEX($D$924:$D1124,202-60):$D1124),"")</f>
        <v/>
      </c>
      <c r="N1124" s="37" t="str">
        <f aca="false">IF(AND(ISNUMBER($G1124),$G1124&gt;=60),MIN(INDEX($E$924:$E1124,202-60):$E1124),"")</f>
        <v/>
      </c>
      <c r="O1124" s="38" t="str">
        <f aca="false">IF(OR(NOT(ISNUMBER($C1124)),NOT(ISNUMBER($M1124)),$M1124=0),"",$C1124/$M1124-1)</f>
        <v/>
      </c>
    </row>
    <row r="1125" customFormat="false" ht="15" hidden="false" customHeight="true" outlineLevel="0" collapsed="false">
      <c r="A1125" s="39"/>
      <c r="B1125" s="40"/>
      <c r="C1125" s="41"/>
      <c r="D1125" s="40"/>
      <c r="E1125" s="40"/>
      <c r="F1125" s="40"/>
      <c r="G1125" s="35" t="str">
        <f aca="false">IF($A1125="","",IF(ISNUMBER($G1124),$G1124+1,1))</f>
        <v/>
      </c>
      <c r="H1125" s="36" t="str">
        <f aca="false">IF(OR(NOT(ISNUMBER($G1125)),$G1125&lt;2,NOT(ISNUMBER($C1124)),$C1124=0),"",$C1125/$C1124-1)</f>
        <v/>
      </c>
      <c r="I1125" s="37" t="str">
        <f aca="false">IF(AND(ISNUMBER($G1125),$G1125&gt;=MA_SHORT),AVERAGE(INDEX($C$725:$C1125,402-MA_SHORT):$C1125),"")</f>
        <v/>
      </c>
      <c r="J1125" s="37" t="str">
        <f aca="false">IF(AND(ISNUMBER($G1125),$G1125&gt;=MA_MED),AVERAGE(INDEX($C$725:$C1125,402-MA_MED):$C1125),"")</f>
        <v/>
      </c>
      <c r="K1125" s="37" t="str">
        <f aca="false">IF(AND(ISNUMBER($G1125),$G1125&gt;=MA_LONG2),AVERAGE(INDEX($C$725:$C1125,402-MA_LONG2):$C1125),"")</f>
        <v/>
      </c>
      <c r="L1125" s="38" t="str">
        <f aca="false">IF(AND(ISNUMBER($G1125),$G1125&gt;=21),STDEV(INDEX($H$1065:$H1125,62-20):$H1125)*SQRT(245),"")</f>
        <v/>
      </c>
      <c r="M1125" s="37" t="str">
        <f aca="false">IF(AND(ISNUMBER($G1125),$G1125&gt;=60),MAX(INDEX($D$925:$D1125,202-60):$D1125),"")</f>
        <v/>
      </c>
      <c r="N1125" s="37" t="str">
        <f aca="false">IF(AND(ISNUMBER($G1125),$G1125&gt;=60),MIN(INDEX($E$925:$E1125,202-60):$E1125),"")</f>
        <v/>
      </c>
      <c r="O1125" s="38" t="str">
        <f aca="false">IF(OR(NOT(ISNUMBER($C1125)),NOT(ISNUMBER($M1125)),$M1125=0),"",$C1125/$M1125-1)</f>
        <v/>
      </c>
    </row>
    <row r="1126" customFormat="false" ht="15" hidden="false" customHeight="true" outlineLevel="0" collapsed="false">
      <c r="A1126" s="39"/>
      <c r="B1126" s="40"/>
      <c r="C1126" s="41"/>
      <c r="D1126" s="40"/>
      <c r="E1126" s="40"/>
      <c r="F1126" s="40"/>
      <c r="G1126" s="35" t="str">
        <f aca="false">IF($A1126="","",IF(ISNUMBER($G1125),$G1125+1,1))</f>
        <v/>
      </c>
      <c r="H1126" s="36" t="str">
        <f aca="false">IF(OR(NOT(ISNUMBER($G1126)),$G1126&lt;2,NOT(ISNUMBER($C1125)),$C1125=0),"",$C1126/$C1125-1)</f>
        <v/>
      </c>
      <c r="I1126" s="37" t="str">
        <f aca="false">IF(AND(ISNUMBER($G1126),$G1126&gt;=MA_SHORT),AVERAGE(INDEX($C$726:$C1126,402-MA_SHORT):$C1126),"")</f>
        <v/>
      </c>
      <c r="J1126" s="37" t="str">
        <f aca="false">IF(AND(ISNUMBER($G1126),$G1126&gt;=MA_MED),AVERAGE(INDEX($C$726:$C1126,402-MA_MED):$C1126),"")</f>
        <v/>
      </c>
      <c r="K1126" s="37" t="str">
        <f aca="false">IF(AND(ISNUMBER($G1126),$G1126&gt;=MA_LONG2),AVERAGE(INDEX($C$726:$C1126,402-MA_LONG2):$C1126),"")</f>
        <v/>
      </c>
      <c r="L1126" s="38" t="str">
        <f aca="false">IF(AND(ISNUMBER($G1126),$G1126&gt;=21),STDEV(INDEX($H$1066:$H1126,62-20):$H1126)*SQRT(245),"")</f>
        <v/>
      </c>
      <c r="M1126" s="37" t="str">
        <f aca="false">IF(AND(ISNUMBER($G1126),$G1126&gt;=60),MAX(INDEX($D$926:$D1126,202-60):$D1126),"")</f>
        <v/>
      </c>
      <c r="N1126" s="37" t="str">
        <f aca="false">IF(AND(ISNUMBER($G1126),$G1126&gt;=60),MIN(INDEX($E$926:$E1126,202-60):$E1126),"")</f>
        <v/>
      </c>
      <c r="O1126" s="38" t="str">
        <f aca="false">IF(OR(NOT(ISNUMBER($C1126)),NOT(ISNUMBER($M1126)),$M1126=0),"",$C1126/$M1126-1)</f>
        <v/>
      </c>
    </row>
    <row r="1127" customFormat="false" ht="15" hidden="false" customHeight="true" outlineLevel="0" collapsed="false">
      <c r="A1127" s="39"/>
      <c r="B1127" s="40"/>
      <c r="C1127" s="41"/>
      <c r="D1127" s="40"/>
      <c r="E1127" s="40"/>
      <c r="F1127" s="40"/>
      <c r="G1127" s="35" t="str">
        <f aca="false">IF($A1127="","",IF(ISNUMBER($G1126),$G1126+1,1))</f>
        <v/>
      </c>
      <c r="H1127" s="36" t="str">
        <f aca="false">IF(OR(NOT(ISNUMBER($G1127)),$G1127&lt;2,NOT(ISNUMBER($C1126)),$C1126=0),"",$C1127/$C1126-1)</f>
        <v/>
      </c>
      <c r="I1127" s="37" t="str">
        <f aca="false">IF(AND(ISNUMBER($G1127),$G1127&gt;=MA_SHORT),AVERAGE(INDEX($C$727:$C1127,402-MA_SHORT):$C1127),"")</f>
        <v/>
      </c>
      <c r="J1127" s="37" t="str">
        <f aca="false">IF(AND(ISNUMBER($G1127),$G1127&gt;=MA_MED),AVERAGE(INDEX($C$727:$C1127,402-MA_MED):$C1127),"")</f>
        <v/>
      </c>
      <c r="K1127" s="37" t="str">
        <f aca="false">IF(AND(ISNUMBER($G1127),$G1127&gt;=MA_LONG2),AVERAGE(INDEX($C$727:$C1127,402-MA_LONG2):$C1127),"")</f>
        <v/>
      </c>
      <c r="L1127" s="38" t="str">
        <f aca="false">IF(AND(ISNUMBER($G1127),$G1127&gt;=21),STDEV(INDEX($H$1067:$H1127,62-20):$H1127)*SQRT(245),"")</f>
        <v/>
      </c>
      <c r="M1127" s="37" t="str">
        <f aca="false">IF(AND(ISNUMBER($G1127),$G1127&gt;=60),MAX(INDEX($D$927:$D1127,202-60):$D1127),"")</f>
        <v/>
      </c>
      <c r="N1127" s="37" t="str">
        <f aca="false">IF(AND(ISNUMBER($G1127),$G1127&gt;=60),MIN(INDEX($E$927:$E1127,202-60):$E1127),"")</f>
        <v/>
      </c>
      <c r="O1127" s="38" t="str">
        <f aca="false">IF(OR(NOT(ISNUMBER($C1127)),NOT(ISNUMBER($M1127)),$M1127=0),"",$C1127/$M1127-1)</f>
        <v/>
      </c>
    </row>
    <row r="1128" customFormat="false" ht="15" hidden="false" customHeight="true" outlineLevel="0" collapsed="false">
      <c r="A1128" s="39"/>
      <c r="B1128" s="40"/>
      <c r="C1128" s="41"/>
      <c r="D1128" s="40"/>
      <c r="E1128" s="40"/>
      <c r="F1128" s="40"/>
      <c r="G1128" s="35" t="str">
        <f aca="false">IF($A1128="","",IF(ISNUMBER($G1127),$G1127+1,1))</f>
        <v/>
      </c>
      <c r="H1128" s="36" t="str">
        <f aca="false">IF(OR(NOT(ISNUMBER($G1128)),$G1128&lt;2,NOT(ISNUMBER($C1127)),$C1127=0),"",$C1128/$C1127-1)</f>
        <v/>
      </c>
      <c r="I1128" s="37" t="str">
        <f aca="false">IF(AND(ISNUMBER($G1128),$G1128&gt;=MA_SHORT),AVERAGE(INDEX($C$728:$C1128,402-MA_SHORT):$C1128),"")</f>
        <v/>
      </c>
      <c r="J1128" s="37" t="str">
        <f aca="false">IF(AND(ISNUMBER($G1128),$G1128&gt;=MA_MED),AVERAGE(INDEX($C$728:$C1128,402-MA_MED):$C1128),"")</f>
        <v/>
      </c>
      <c r="K1128" s="37" t="str">
        <f aca="false">IF(AND(ISNUMBER($G1128),$G1128&gt;=MA_LONG2),AVERAGE(INDEX($C$728:$C1128,402-MA_LONG2):$C1128),"")</f>
        <v/>
      </c>
      <c r="L1128" s="38" t="str">
        <f aca="false">IF(AND(ISNUMBER($G1128),$G1128&gt;=21),STDEV(INDEX($H$1068:$H1128,62-20):$H1128)*SQRT(245),"")</f>
        <v/>
      </c>
      <c r="M1128" s="37" t="str">
        <f aca="false">IF(AND(ISNUMBER($G1128),$G1128&gt;=60),MAX(INDEX($D$928:$D1128,202-60):$D1128),"")</f>
        <v/>
      </c>
      <c r="N1128" s="37" t="str">
        <f aca="false">IF(AND(ISNUMBER($G1128),$G1128&gt;=60),MIN(INDEX($E$928:$E1128,202-60):$E1128),"")</f>
        <v/>
      </c>
      <c r="O1128" s="38" t="str">
        <f aca="false">IF(OR(NOT(ISNUMBER($C1128)),NOT(ISNUMBER($M1128)),$M1128=0),"",$C1128/$M1128-1)</f>
        <v/>
      </c>
    </row>
    <row r="1129" customFormat="false" ht="15" hidden="false" customHeight="true" outlineLevel="0" collapsed="false">
      <c r="A1129" s="39"/>
      <c r="B1129" s="40"/>
      <c r="C1129" s="41"/>
      <c r="D1129" s="40"/>
      <c r="E1129" s="40"/>
      <c r="F1129" s="40"/>
      <c r="G1129" s="35" t="str">
        <f aca="false">IF($A1129="","",IF(ISNUMBER($G1128),$G1128+1,1))</f>
        <v/>
      </c>
      <c r="H1129" s="36" t="str">
        <f aca="false">IF(OR(NOT(ISNUMBER($G1129)),$G1129&lt;2,NOT(ISNUMBER($C1128)),$C1128=0),"",$C1129/$C1128-1)</f>
        <v/>
      </c>
      <c r="I1129" s="37" t="str">
        <f aca="false">IF(AND(ISNUMBER($G1129),$G1129&gt;=MA_SHORT),AVERAGE(INDEX($C$729:$C1129,402-MA_SHORT):$C1129),"")</f>
        <v/>
      </c>
      <c r="J1129" s="37" t="str">
        <f aca="false">IF(AND(ISNUMBER($G1129),$G1129&gt;=MA_MED),AVERAGE(INDEX($C$729:$C1129,402-MA_MED):$C1129),"")</f>
        <v/>
      </c>
      <c r="K1129" s="37" t="str">
        <f aca="false">IF(AND(ISNUMBER($G1129),$G1129&gt;=MA_LONG2),AVERAGE(INDEX($C$729:$C1129,402-MA_LONG2):$C1129),"")</f>
        <v/>
      </c>
      <c r="L1129" s="38" t="str">
        <f aca="false">IF(AND(ISNUMBER($G1129),$G1129&gt;=21),STDEV(INDEX($H$1069:$H1129,62-20):$H1129)*SQRT(245),"")</f>
        <v/>
      </c>
      <c r="M1129" s="37" t="str">
        <f aca="false">IF(AND(ISNUMBER($G1129),$G1129&gt;=60),MAX(INDEX($D$929:$D1129,202-60):$D1129),"")</f>
        <v/>
      </c>
      <c r="N1129" s="37" t="str">
        <f aca="false">IF(AND(ISNUMBER($G1129),$G1129&gt;=60),MIN(INDEX($E$929:$E1129,202-60):$E1129),"")</f>
        <v/>
      </c>
      <c r="O1129" s="38" t="str">
        <f aca="false">IF(OR(NOT(ISNUMBER($C1129)),NOT(ISNUMBER($M1129)),$M1129=0),"",$C1129/$M1129-1)</f>
        <v/>
      </c>
    </row>
    <row r="1130" customFormat="false" ht="15" hidden="false" customHeight="true" outlineLevel="0" collapsed="false">
      <c r="A1130" s="39"/>
      <c r="B1130" s="40"/>
      <c r="C1130" s="41"/>
      <c r="D1130" s="40"/>
      <c r="E1130" s="40"/>
      <c r="F1130" s="40"/>
      <c r="G1130" s="35" t="str">
        <f aca="false">IF($A1130="","",IF(ISNUMBER($G1129),$G1129+1,1))</f>
        <v/>
      </c>
      <c r="H1130" s="36" t="str">
        <f aca="false">IF(OR(NOT(ISNUMBER($G1130)),$G1130&lt;2,NOT(ISNUMBER($C1129)),$C1129=0),"",$C1130/$C1129-1)</f>
        <v/>
      </c>
      <c r="I1130" s="37" t="str">
        <f aca="false">IF(AND(ISNUMBER($G1130),$G1130&gt;=MA_SHORT),AVERAGE(INDEX($C$730:$C1130,402-MA_SHORT):$C1130),"")</f>
        <v/>
      </c>
      <c r="J1130" s="37" t="str">
        <f aca="false">IF(AND(ISNUMBER($G1130),$G1130&gt;=MA_MED),AVERAGE(INDEX($C$730:$C1130,402-MA_MED):$C1130),"")</f>
        <v/>
      </c>
      <c r="K1130" s="37" t="str">
        <f aca="false">IF(AND(ISNUMBER($G1130),$G1130&gt;=MA_LONG2),AVERAGE(INDEX($C$730:$C1130,402-MA_LONG2):$C1130),"")</f>
        <v/>
      </c>
      <c r="L1130" s="38" t="str">
        <f aca="false">IF(AND(ISNUMBER($G1130),$G1130&gt;=21),STDEV(INDEX($H$1070:$H1130,62-20):$H1130)*SQRT(245),"")</f>
        <v/>
      </c>
      <c r="M1130" s="37" t="str">
        <f aca="false">IF(AND(ISNUMBER($G1130),$G1130&gt;=60),MAX(INDEX($D$930:$D1130,202-60):$D1130),"")</f>
        <v/>
      </c>
      <c r="N1130" s="37" t="str">
        <f aca="false">IF(AND(ISNUMBER($G1130),$G1130&gt;=60),MIN(INDEX($E$930:$E1130,202-60):$E1130),"")</f>
        <v/>
      </c>
      <c r="O1130" s="38" t="str">
        <f aca="false">IF(OR(NOT(ISNUMBER($C1130)),NOT(ISNUMBER($M1130)),$M1130=0),"",$C1130/$M1130-1)</f>
        <v/>
      </c>
    </row>
    <row r="1131" customFormat="false" ht="15" hidden="false" customHeight="true" outlineLevel="0" collapsed="false">
      <c r="A1131" s="39"/>
      <c r="B1131" s="40"/>
      <c r="C1131" s="41"/>
      <c r="D1131" s="40"/>
      <c r="E1131" s="40"/>
      <c r="F1131" s="40"/>
      <c r="G1131" s="35" t="str">
        <f aca="false">IF($A1131="","",IF(ISNUMBER($G1130),$G1130+1,1))</f>
        <v/>
      </c>
      <c r="H1131" s="36" t="str">
        <f aca="false">IF(OR(NOT(ISNUMBER($G1131)),$G1131&lt;2,NOT(ISNUMBER($C1130)),$C1130=0),"",$C1131/$C1130-1)</f>
        <v/>
      </c>
      <c r="I1131" s="37" t="str">
        <f aca="false">IF(AND(ISNUMBER($G1131),$G1131&gt;=MA_SHORT),AVERAGE(INDEX($C$731:$C1131,402-MA_SHORT):$C1131),"")</f>
        <v/>
      </c>
      <c r="J1131" s="37" t="str">
        <f aca="false">IF(AND(ISNUMBER($G1131),$G1131&gt;=MA_MED),AVERAGE(INDEX($C$731:$C1131,402-MA_MED):$C1131),"")</f>
        <v/>
      </c>
      <c r="K1131" s="37" t="str">
        <f aca="false">IF(AND(ISNUMBER($G1131),$G1131&gt;=MA_LONG2),AVERAGE(INDEX($C$731:$C1131,402-MA_LONG2):$C1131),"")</f>
        <v/>
      </c>
      <c r="L1131" s="38" t="str">
        <f aca="false">IF(AND(ISNUMBER($G1131),$G1131&gt;=21),STDEV(INDEX($H$1071:$H1131,62-20):$H1131)*SQRT(245),"")</f>
        <v/>
      </c>
      <c r="M1131" s="37" t="str">
        <f aca="false">IF(AND(ISNUMBER($G1131),$G1131&gt;=60),MAX(INDEX($D$931:$D1131,202-60):$D1131),"")</f>
        <v/>
      </c>
      <c r="N1131" s="37" t="str">
        <f aca="false">IF(AND(ISNUMBER($G1131),$G1131&gt;=60),MIN(INDEX($E$931:$E1131,202-60):$E1131),"")</f>
        <v/>
      </c>
      <c r="O1131" s="38" t="str">
        <f aca="false">IF(OR(NOT(ISNUMBER($C1131)),NOT(ISNUMBER($M1131)),$M1131=0),"",$C1131/$M1131-1)</f>
        <v/>
      </c>
    </row>
    <row r="1132" customFormat="false" ht="15" hidden="false" customHeight="true" outlineLevel="0" collapsed="false">
      <c r="A1132" s="39"/>
      <c r="B1132" s="40"/>
      <c r="C1132" s="41"/>
      <c r="D1132" s="40"/>
      <c r="E1132" s="40"/>
      <c r="F1132" s="40"/>
      <c r="G1132" s="35" t="str">
        <f aca="false">IF($A1132="","",IF(ISNUMBER($G1131),$G1131+1,1))</f>
        <v/>
      </c>
      <c r="H1132" s="36" t="str">
        <f aca="false">IF(OR(NOT(ISNUMBER($G1132)),$G1132&lt;2,NOT(ISNUMBER($C1131)),$C1131=0),"",$C1132/$C1131-1)</f>
        <v/>
      </c>
      <c r="I1132" s="37" t="str">
        <f aca="false">IF(AND(ISNUMBER($G1132),$G1132&gt;=MA_SHORT),AVERAGE(INDEX($C$732:$C1132,402-MA_SHORT):$C1132),"")</f>
        <v/>
      </c>
      <c r="J1132" s="37" t="str">
        <f aca="false">IF(AND(ISNUMBER($G1132),$G1132&gt;=MA_MED),AVERAGE(INDEX($C$732:$C1132,402-MA_MED):$C1132),"")</f>
        <v/>
      </c>
      <c r="K1132" s="37" t="str">
        <f aca="false">IF(AND(ISNUMBER($G1132),$G1132&gt;=MA_LONG2),AVERAGE(INDEX($C$732:$C1132,402-MA_LONG2):$C1132),"")</f>
        <v/>
      </c>
      <c r="L1132" s="38" t="str">
        <f aca="false">IF(AND(ISNUMBER($G1132),$G1132&gt;=21),STDEV(INDEX($H$1072:$H1132,62-20):$H1132)*SQRT(245),"")</f>
        <v/>
      </c>
      <c r="M1132" s="37" t="str">
        <f aca="false">IF(AND(ISNUMBER($G1132),$G1132&gt;=60),MAX(INDEX($D$932:$D1132,202-60):$D1132),"")</f>
        <v/>
      </c>
      <c r="N1132" s="37" t="str">
        <f aca="false">IF(AND(ISNUMBER($G1132),$G1132&gt;=60),MIN(INDEX($E$932:$E1132,202-60):$E1132),"")</f>
        <v/>
      </c>
      <c r="O1132" s="38" t="str">
        <f aca="false">IF(OR(NOT(ISNUMBER($C1132)),NOT(ISNUMBER($M1132)),$M1132=0),"",$C1132/$M1132-1)</f>
        <v/>
      </c>
    </row>
    <row r="1133" customFormat="false" ht="15" hidden="false" customHeight="true" outlineLevel="0" collapsed="false">
      <c r="A1133" s="39"/>
      <c r="B1133" s="40"/>
      <c r="C1133" s="41"/>
      <c r="D1133" s="40"/>
      <c r="E1133" s="40"/>
      <c r="F1133" s="40"/>
      <c r="G1133" s="35" t="str">
        <f aca="false">IF($A1133="","",IF(ISNUMBER($G1132),$G1132+1,1))</f>
        <v/>
      </c>
      <c r="H1133" s="36" t="str">
        <f aca="false">IF(OR(NOT(ISNUMBER($G1133)),$G1133&lt;2,NOT(ISNUMBER($C1132)),$C1132=0),"",$C1133/$C1132-1)</f>
        <v/>
      </c>
      <c r="I1133" s="37" t="str">
        <f aca="false">IF(AND(ISNUMBER($G1133),$G1133&gt;=MA_SHORT),AVERAGE(INDEX($C$733:$C1133,402-MA_SHORT):$C1133),"")</f>
        <v/>
      </c>
      <c r="J1133" s="37" t="str">
        <f aca="false">IF(AND(ISNUMBER($G1133),$G1133&gt;=MA_MED),AVERAGE(INDEX($C$733:$C1133,402-MA_MED):$C1133),"")</f>
        <v/>
      </c>
      <c r="K1133" s="37" t="str">
        <f aca="false">IF(AND(ISNUMBER($G1133),$G1133&gt;=MA_LONG2),AVERAGE(INDEX($C$733:$C1133,402-MA_LONG2):$C1133),"")</f>
        <v/>
      </c>
      <c r="L1133" s="38" t="str">
        <f aca="false">IF(AND(ISNUMBER($G1133),$G1133&gt;=21),STDEV(INDEX($H$1073:$H1133,62-20):$H1133)*SQRT(245),"")</f>
        <v/>
      </c>
      <c r="M1133" s="37" t="str">
        <f aca="false">IF(AND(ISNUMBER($G1133),$G1133&gt;=60),MAX(INDEX($D$933:$D1133,202-60):$D1133),"")</f>
        <v/>
      </c>
      <c r="N1133" s="37" t="str">
        <f aca="false">IF(AND(ISNUMBER($G1133),$G1133&gt;=60),MIN(INDEX($E$933:$E1133,202-60):$E1133),"")</f>
        <v/>
      </c>
      <c r="O1133" s="38" t="str">
        <f aca="false">IF(OR(NOT(ISNUMBER($C1133)),NOT(ISNUMBER($M1133)),$M1133=0),"",$C1133/$M1133-1)</f>
        <v/>
      </c>
    </row>
    <row r="1134" customFormat="false" ht="15" hidden="false" customHeight="true" outlineLevel="0" collapsed="false">
      <c r="A1134" s="39"/>
      <c r="B1134" s="40"/>
      <c r="C1134" s="41"/>
      <c r="D1134" s="40"/>
      <c r="E1134" s="40"/>
      <c r="F1134" s="40"/>
      <c r="G1134" s="35" t="str">
        <f aca="false">IF($A1134="","",IF(ISNUMBER($G1133),$G1133+1,1))</f>
        <v/>
      </c>
      <c r="H1134" s="36" t="str">
        <f aca="false">IF(OR(NOT(ISNUMBER($G1134)),$G1134&lt;2,NOT(ISNUMBER($C1133)),$C1133=0),"",$C1134/$C1133-1)</f>
        <v/>
      </c>
      <c r="I1134" s="37" t="str">
        <f aca="false">IF(AND(ISNUMBER($G1134),$G1134&gt;=MA_SHORT),AVERAGE(INDEX($C$734:$C1134,402-MA_SHORT):$C1134),"")</f>
        <v/>
      </c>
      <c r="J1134" s="37" t="str">
        <f aca="false">IF(AND(ISNUMBER($G1134),$G1134&gt;=MA_MED),AVERAGE(INDEX($C$734:$C1134,402-MA_MED):$C1134),"")</f>
        <v/>
      </c>
      <c r="K1134" s="37" t="str">
        <f aca="false">IF(AND(ISNUMBER($G1134),$G1134&gt;=MA_LONG2),AVERAGE(INDEX($C$734:$C1134,402-MA_LONG2):$C1134),"")</f>
        <v/>
      </c>
      <c r="L1134" s="38" t="str">
        <f aca="false">IF(AND(ISNUMBER($G1134),$G1134&gt;=21),STDEV(INDEX($H$1074:$H1134,62-20):$H1134)*SQRT(245),"")</f>
        <v/>
      </c>
      <c r="M1134" s="37" t="str">
        <f aca="false">IF(AND(ISNUMBER($G1134),$G1134&gt;=60),MAX(INDEX($D$934:$D1134,202-60):$D1134),"")</f>
        <v/>
      </c>
      <c r="N1134" s="37" t="str">
        <f aca="false">IF(AND(ISNUMBER($G1134),$G1134&gt;=60),MIN(INDEX($E$934:$E1134,202-60):$E1134),"")</f>
        <v/>
      </c>
      <c r="O1134" s="38" t="str">
        <f aca="false">IF(OR(NOT(ISNUMBER($C1134)),NOT(ISNUMBER($M1134)),$M1134=0),"",$C1134/$M1134-1)</f>
        <v/>
      </c>
    </row>
    <row r="1135" customFormat="false" ht="15" hidden="false" customHeight="true" outlineLevel="0" collapsed="false">
      <c r="A1135" s="39"/>
      <c r="B1135" s="40"/>
      <c r="C1135" s="41"/>
      <c r="D1135" s="40"/>
      <c r="E1135" s="40"/>
      <c r="F1135" s="40"/>
      <c r="G1135" s="35" t="str">
        <f aca="false">IF($A1135="","",IF(ISNUMBER($G1134),$G1134+1,1))</f>
        <v/>
      </c>
      <c r="H1135" s="36" t="str">
        <f aca="false">IF(OR(NOT(ISNUMBER($G1135)),$G1135&lt;2,NOT(ISNUMBER($C1134)),$C1134=0),"",$C1135/$C1134-1)</f>
        <v/>
      </c>
      <c r="I1135" s="37" t="str">
        <f aca="false">IF(AND(ISNUMBER($G1135),$G1135&gt;=MA_SHORT),AVERAGE(INDEX($C$735:$C1135,402-MA_SHORT):$C1135),"")</f>
        <v/>
      </c>
      <c r="J1135" s="37" t="str">
        <f aca="false">IF(AND(ISNUMBER($G1135),$G1135&gt;=MA_MED),AVERAGE(INDEX($C$735:$C1135,402-MA_MED):$C1135),"")</f>
        <v/>
      </c>
      <c r="K1135" s="37" t="str">
        <f aca="false">IF(AND(ISNUMBER($G1135),$G1135&gt;=MA_LONG2),AVERAGE(INDEX($C$735:$C1135,402-MA_LONG2):$C1135),"")</f>
        <v/>
      </c>
      <c r="L1135" s="38" t="str">
        <f aca="false">IF(AND(ISNUMBER($G1135),$G1135&gt;=21),STDEV(INDEX($H$1075:$H1135,62-20):$H1135)*SQRT(245),"")</f>
        <v/>
      </c>
      <c r="M1135" s="37" t="str">
        <f aca="false">IF(AND(ISNUMBER($G1135),$G1135&gt;=60),MAX(INDEX($D$935:$D1135,202-60):$D1135),"")</f>
        <v/>
      </c>
      <c r="N1135" s="37" t="str">
        <f aca="false">IF(AND(ISNUMBER($G1135),$G1135&gt;=60),MIN(INDEX($E$935:$E1135,202-60):$E1135),"")</f>
        <v/>
      </c>
      <c r="O1135" s="38" t="str">
        <f aca="false">IF(OR(NOT(ISNUMBER($C1135)),NOT(ISNUMBER($M1135)),$M1135=0),"",$C1135/$M1135-1)</f>
        <v/>
      </c>
    </row>
    <row r="1136" customFormat="false" ht="15" hidden="false" customHeight="true" outlineLevel="0" collapsed="false">
      <c r="A1136" s="39"/>
      <c r="B1136" s="40"/>
      <c r="C1136" s="41"/>
      <c r="D1136" s="40"/>
      <c r="E1136" s="40"/>
      <c r="F1136" s="40"/>
      <c r="G1136" s="35" t="str">
        <f aca="false">IF($A1136="","",IF(ISNUMBER($G1135),$G1135+1,1))</f>
        <v/>
      </c>
      <c r="H1136" s="36" t="str">
        <f aca="false">IF(OR(NOT(ISNUMBER($G1136)),$G1136&lt;2,NOT(ISNUMBER($C1135)),$C1135=0),"",$C1136/$C1135-1)</f>
        <v/>
      </c>
      <c r="I1136" s="37" t="str">
        <f aca="false">IF(AND(ISNUMBER($G1136),$G1136&gt;=MA_SHORT),AVERAGE(INDEX($C$736:$C1136,402-MA_SHORT):$C1136),"")</f>
        <v/>
      </c>
      <c r="J1136" s="37" t="str">
        <f aca="false">IF(AND(ISNUMBER($G1136),$G1136&gt;=MA_MED),AVERAGE(INDEX($C$736:$C1136,402-MA_MED):$C1136),"")</f>
        <v/>
      </c>
      <c r="K1136" s="37" t="str">
        <f aca="false">IF(AND(ISNUMBER($G1136),$G1136&gt;=MA_LONG2),AVERAGE(INDEX($C$736:$C1136,402-MA_LONG2):$C1136),"")</f>
        <v/>
      </c>
      <c r="L1136" s="38" t="str">
        <f aca="false">IF(AND(ISNUMBER($G1136),$G1136&gt;=21),STDEV(INDEX($H$1076:$H1136,62-20):$H1136)*SQRT(245),"")</f>
        <v/>
      </c>
      <c r="M1136" s="37" t="str">
        <f aca="false">IF(AND(ISNUMBER($G1136),$G1136&gt;=60),MAX(INDEX($D$936:$D1136,202-60):$D1136),"")</f>
        <v/>
      </c>
      <c r="N1136" s="37" t="str">
        <f aca="false">IF(AND(ISNUMBER($G1136),$G1136&gt;=60),MIN(INDEX($E$936:$E1136,202-60):$E1136),"")</f>
        <v/>
      </c>
      <c r="O1136" s="38" t="str">
        <f aca="false">IF(OR(NOT(ISNUMBER($C1136)),NOT(ISNUMBER($M1136)),$M1136=0),"",$C1136/$M1136-1)</f>
        <v/>
      </c>
    </row>
    <row r="1137" customFormat="false" ht="15" hidden="false" customHeight="true" outlineLevel="0" collapsed="false">
      <c r="A1137" s="39"/>
      <c r="B1137" s="40"/>
      <c r="C1137" s="41"/>
      <c r="D1137" s="40"/>
      <c r="E1137" s="40"/>
      <c r="F1137" s="40"/>
      <c r="G1137" s="35" t="str">
        <f aca="false">IF($A1137="","",IF(ISNUMBER($G1136),$G1136+1,1))</f>
        <v/>
      </c>
      <c r="H1137" s="36" t="str">
        <f aca="false">IF(OR(NOT(ISNUMBER($G1137)),$G1137&lt;2,NOT(ISNUMBER($C1136)),$C1136=0),"",$C1137/$C1136-1)</f>
        <v/>
      </c>
      <c r="I1137" s="37" t="str">
        <f aca="false">IF(AND(ISNUMBER($G1137),$G1137&gt;=MA_SHORT),AVERAGE(INDEX($C$737:$C1137,402-MA_SHORT):$C1137),"")</f>
        <v/>
      </c>
      <c r="J1137" s="37" t="str">
        <f aca="false">IF(AND(ISNUMBER($G1137),$G1137&gt;=MA_MED),AVERAGE(INDEX($C$737:$C1137,402-MA_MED):$C1137),"")</f>
        <v/>
      </c>
      <c r="K1137" s="37" t="str">
        <f aca="false">IF(AND(ISNUMBER($G1137),$G1137&gt;=MA_LONG2),AVERAGE(INDEX($C$737:$C1137,402-MA_LONG2):$C1137),"")</f>
        <v/>
      </c>
      <c r="L1137" s="38" t="str">
        <f aca="false">IF(AND(ISNUMBER($G1137),$G1137&gt;=21),STDEV(INDEX($H$1077:$H1137,62-20):$H1137)*SQRT(245),"")</f>
        <v/>
      </c>
      <c r="M1137" s="37" t="str">
        <f aca="false">IF(AND(ISNUMBER($G1137),$G1137&gt;=60),MAX(INDEX($D$937:$D1137,202-60):$D1137),"")</f>
        <v/>
      </c>
      <c r="N1137" s="37" t="str">
        <f aca="false">IF(AND(ISNUMBER($G1137),$G1137&gt;=60),MIN(INDEX($E$937:$E1137,202-60):$E1137),"")</f>
        <v/>
      </c>
      <c r="O1137" s="38" t="str">
        <f aca="false">IF(OR(NOT(ISNUMBER($C1137)),NOT(ISNUMBER($M1137)),$M1137=0),"",$C1137/$M1137-1)</f>
        <v/>
      </c>
    </row>
    <row r="1138" customFormat="false" ht="15" hidden="false" customHeight="true" outlineLevel="0" collapsed="false">
      <c r="A1138" s="39"/>
      <c r="B1138" s="40"/>
      <c r="C1138" s="41"/>
      <c r="D1138" s="40"/>
      <c r="E1138" s="40"/>
      <c r="F1138" s="40"/>
      <c r="G1138" s="35" t="str">
        <f aca="false">IF($A1138="","",IF(ISNUMBER($G1137),$G1137+1,1))</f>
        <v/>
      </c>
      <c r="H1138" s="36" t="str">
        <f aca="false">IF(OR(NOT(ISNUMBER($G1138)),$G1138&lt;2,NOT(ISNUMBER($C1137)),$C1137=0),"",$C1138/$C1137-1)</f>
        <v/>
      </c>
      <c r="I1138" s="37" t="str">
        <f aca="false">IF(AND(ISNUMBER($G1138),$G1138&gt;=MA_SHORT),AVERAGE(INDEX($C$738:$C1138,402-MA_SHORT):$C1138),"")</f>
        <v/>
      </c>
      <c r="J1138" s="37" t="str">
        <f aca="false">IF(AND(ISNUMBER($G1138),$G1138&gt;=MA_MED),AVERAGE(INDEX($C$738:$C1138,402-MA_MED):$C1138),"")</f>
        <v/>
      </c>
      <c r="K1138" s="37" t="str">
        <f aca="false">IF(AND(ISNUMBER($G1138),$G1138&gt;=MA_LONG2),AVERAGE(INDEX($C$738:$C1138,402-MA_LONG2):$C1138),"")</f>
        <v/>
      </c>
      <c r="L1138" s="38" t="str">
        <f aca="false">IF(AND(ISNUMBER($G1138),$G1138&gt;=21),STDEV(INDEX($H$1078:$H1138,62-20):$H1138)*SQRT(245),"")</f>
        <v/>
      </c>
      <c r="M1138" s="37" t="str">
        <f aca="false">IF(AND(ISNUMBER($G1138),$G1138&gt;=60),MAX(INDEX($D$938:$D1138,202-60):$D1138),"")</f>
        <v/>
      </c>
      <c r="N1138" s="37" t="str">
        <f aca="false">IF(AND(ISNUMBER($G1138),$G1138&gt;=60),MIN(INDEX($E$938:$E1138,202-60):$E1138),"")</f>
        <v/>
      </c>
      <c r="O1138" s="38" t="str">
        <f aca="false">IF(OR(NOT(ISNUMBER($C1138)),NOT(ISNUMBER($M1138)),$M1138=0),"",$C1138/$M1138-1)</f>
        <v/>
      </c>
    </row>
    <row r="1139" customFormat="false" ht="15" hidden="false" customHeight="true" outlineLevel="0" collapsed="false">
      <c r="A1139" s="39"/>
      <c r="B1139" s="40"/>
      <c r="C1139" s="41"/>
      <c r="D1139" s="40"/>
      <c r="E1139" s="40"/>
      <c r="F1139" s="40"/>
      <c r="G1139" s="35" t="str">
        <f aca="false">IF($A1139="","",IF(ISNUMBER($G1138),$G1138+1,1))</f>
        <v/>
      </c>
      <c r="H1139" s="36" t="str">
        <f aca="false">IF(OR(NOT(ISNUMBER($G1139)),$G1139&lt;2,NOT(ISNUMBER($C1138)),$C1138=0),"",$C1139/$C1138-1)</f>
        <v/>
      </c>
      <c r="I1139" s="37" t="str">
        <f aca="false">IF(AND(ISNUMBER($G1139),$G1139&gt;=MA_SHORT),AVERAGE(INDEX($C$739:$C1139,402-MA_SHORT):$C1139),"")</f>
        <v/>
      </c>
      <c r="J1139" s="37" t="str">
        <f aca="false">IF(AND(ISNUMBER($G1139),$G1139&gt;=MA_MED),AVERAGE(INDEX($C$739:$C1139,402-MA_MED):$C1139),"")</f>
        <v/>
      </c>
      <c r="K1139" s="37" t="str">
        <f aca="false">IF(AND(ISNUMBER($G1139),$G1139&gt;=MA_LONG2),AVERAGE(INDEX($C$739:$C1139,402-MA_LONG2):$C1139),"")</f>
        <v/>
      </c>
      <c r="L1139" s="38" t="str">
        <f aca="false">IF(AND(ISNUMBER($G1139),$G1139&gt;=21),STDEV(INDEX($H$1079:$H1139,62-20):$H1139)*SQRT(245),"")</f>
        <v/>
      </c>
      <c r="M1139" s="37" t="str">
        <f aca="false">IF(AND(ISNUMBER($G1139),$G1139&gt;=60),MAX(INDEX($D$939:$D1139,202-60):$D1139),"")</f>
        <v/>
      </c>
      <c r="N1139" s="37" t="str">
        <f aca="false">IF(AND(ISNUMBER($G1139),$G1139&gt;=60),MIN(INDEX($E$939:$E1139,202-60):$E1139),"")</f>
        <v/>
      </c>
      <c r="O1139" s="38" t="str">
        <f aca="false">IF(OR(NOT(ISNUMBER($C1139)),NOT(ISNUMBER($M1139)),$M1139=0),"",$C1139/$M1139-1)</f>
        <v/>
      </c>
    </row>
    <row r="1140" customFormat="false" ht="15" hidden="false" customHeight="true" outlineLevel="0" collapsed="false">
      <c r="A1140" s="39"/>
      <c r="B1140" s="40"/>
      <c r="C1140" s="41"/>
      <c r="D1140" s="40"/>
      <c r="E1140" s="40"/>
      <c r="F1140" s="40"/>
      <c r="G1140" s="35" t="str">
        <f aca="false">IF($A1140="","",IF(ISNUMBER($G1139),$G1139+1,1))</f>
        <v/>
      </c>
      <c r="H1140" s="36" t="str">
        <f aca="false">IF(OR(NOT(ISNUMBER($G1140)),$G1140&lt;2,NOT(ISNUMBER($C1139)),$C1139=0),"",$C1140/$C1139-1)</f>
        <v/>
      </c>
      <c r="I1140" s="37" t="str">
        <f aca="false">IF(AND(ISNUMBER($G1140),$G1140&gt;=MA_SHORT),AVERAGE(INDEX($C$740:$C1140,402-MA_SHORT):$C1140),"")</f>
        <v/>
      </c>
      <c r="J1140" s="37" t="str">
        <f aca="false">IF(AND(ISNUMBER($G1140),$G1140&gt;=MA_MED),AVERAGE(INDEX($C$740:$C1140,402-MA_MED):$C1140),"")</f>
        <v/>
      </c>
      <c r="K1140" s="37" t="str">
        <f aca="false">IF(AND(ISNUMBER($G1140),$G1140&gt;=MA_LONG2),AVERAGE(INDEX($C$740:$C1140,402-MA_LONG2):$C1140),"")</f>
        <v/>
      </c>
      <c r="L1140" s="38" t="str">
        <f aca="false">IF(AND(ISNUMBER($G1140),$G1140&gt;=21),STDEV(INDEX($H$1080:$H1140,62-20):$H1140)*SQRT(245),"")</f>
        <v/>
      </c>
      <c r="M1140" s="37" t="str">
        <f aca="false">IF(AND(ISNUMBER($G1140),$G1140&gt;=60),MAX(INDEX($D$940:$D1140,202-60):$D1140),"")</f>
        <v/>
      </c>
      <c r="N1140" s="37" t="str">
        <f aca="false">IF(AND(ISNUMBER($G1140),$G1140&gt;=60),MIN(INDEX($E$940:$E1140,202-60):$E1140),"")</f>
        <v/>
      </c>
      <c r="O1140" s="38" t="str">
        <f aca="false">IF(OR(NOT(ISNUMBER($C1140)),NOT(ISNUMBER($M1140)),$M1140=0),"",$C1140/$M1140-1)</f>
        <v/>
      </c>
    </row>
    <row r="1141" customFormat="false" ht="15" hidden="false" customHeight="true" outlineLevel="0" collapsed="false">
      <c r="A1141" s="39"/>
      <c r="B1141" s="40"/>
      <c r="C1141" s="41"/>
      <c r="D1141" s="40"/>
      <c r="E1141" s="40"/>
      <c r="F1141" s="40"/>
      <c r="G1141" s="35" t="str">
        <f aca="false">IF($A1141="","",IF(ISNUMBER($G1140),$G1140+1,1))</f>
        <v/>
      </c>
      <c r="H1141" s="36" t="str">
        <f aca="false">IF(OR(NOT(ISNUMBER($G1141)),$G1141&lt;2,NOT(ISNUMBER($C1140)),$C1140=0),"",$C1141/$C1140-1)</f>
        <v/>
      </c>
      <c r="I1141" s="37" t="str">
        <f aca="false">IF(AND(ISNUMBER($G1141),$G1141&gt;=MA_SHORT),AVERAGE(INDEX($C$741:$C1141,402-MA_SHORT):$C1141),"")</f>
        <v/>
      </c>
      <c r="J1141" s="37" t="str">
        <f aca="false">IF(AND(ISNUMBER($G1141),$G1141&gt;=MA_MED),AVERAGE(INDEX($C$741:$C1141,402-MA_MED):$C1141),"")</f>
        <v/>
      </c>
      <c r="K1141" s="37" t="str">
        <f aca="false">IF(AND(ISNUMBER($G1141),$G1141&gt;=MA_LONG2),AVERAGE(INDEX($C$741:$C1141,402-MA_LONG2):$C1141),"")</f>
        <v/>
      </c>
      <c r="L1141" s="38" t="str">
        <f aca="false">IF(AND(ISNUMBER($G1141),$G1141&gt;=21),STDEV(INDEX($H$1081:$H1141,62-20):$H1141)*SQRT(245),"")</f>
        <v/>
      </c>
      <c r="M1141" s="37" t="str">
        <f aca="false">IF(AND(ISNUMBER($G1141),$G1141&gt;=60),MAX(INDEX($D$941:$D1141,202-60):$D1141),"")</f>
        <v/>
      </c>
      <c r="N1141" s="37" t="str">
        <f aca="false">IF(AND(ISNUMBER($G1141),$G1141&gt;=60),MIN(INDEX($E$941:$E1141,202-60):$E1141),"")</f>
        <v/>
      </c>
      <c r="O1141" s="38" t="str">
        <f aca="false">IF(OR(NOT(ISNUMBER($C1141)),NOT(ISNUMBER($M1141)),$M1141=0),"",$C1141/$M1141-1)</f>
        <v/>
      </c>
    </row>
    <row r="1142" customFormat="false" ht="15" hidden="false" customHeight="true" outlineLevel="0" collapsed="false">
      <c r="A1142" s="39"/>
      <c r="B1142" s="40"/>
      <c r="C1142" s="41"/>
      <c r="D1142" s="40"/>
      <c r="E1142" s="40"/>
      <c r="F1142" s="40"/>
      <c r="G1142" s="35" t="str">
        <f aca="false">IF($A1142="","",IF(ISNUMBER($G1141),$G1141+1,1))</f>
        <v/>
      </c>
      <c r="H1142" s="36" t="str">
        <f aca="false">IF(OR(NOT(ISNUMBER($G1142)),$G1142&lt;2,NOT(ISNUMBER($C1141)),$C1141=0),"",$C1142/$C1141-1)</f>
        <v/>
      </c>
      <c r="I1142" s="37" t="str">
        <f aca="false">IF(AND(ISNUMBER($G1142),$G1142&gt;=MA_SHORT),AVERAGE(INDEX($C$742:$C1142,402-MA_SHORT):$C1142),"")</f>
        <v/>
      </c>
      <c r="J1142" s="37" t="str">
        <f aca="false">IF(AND(ISNUMBER($G1142),$G1142&gt;=MA_MED),AVERAGE(INDEX($C$742:$C1142,402-MA_MED):$C1142),"")</f>
        <v/>
      </c>
      <c r="K1142" s="37" t="str">
        <f aca="false">IF(AND(ISNUMBER($G1142),$G1142&gt;=MA_LONG2),AVERAGE(INDEX($C$742:$C1142,402-MA_LONG2):$C1142),"")</f>
        <v/>
      </c>
      <c r="L1142" s="38" t="str">
        <f aca="false">IF(AND(ISNUMBER($G1142),$G1142&gt;=21),STDEV(INDEX($H$1082:$H1142,62-20):$H1142)*SQRT(245),"")</f>
        <v/>
      </c>
      <c r="M1142" s="37" t="str">
        <f aca="false">IF(AND(ISNUMBER($G1142),$G1142&gt;=60),MAX(INDEX($D$942:$D1142,202-60):$D1142),"")</f>
        <v/>
      </c>
      <c r="N1142" s="37" t="str">
        <f aca="false">IF(AND(ISNUMBER($G1142),$G1142&gt;=60),MIN(INDEX($E$942:$E1142,202-60):$E1142),"")</f>
        <v/>
      </c>
      <c r="O1142" s="38" t="str">
        <f aca="false">IF(OR(NOT(ISNUMBER($C1142)),NOT(ISNUMBER($M1142)),$M1142=0),"",$C1142/$M1142-1)</f>
        <v/>
      </c>
    </row>
    <row r="1143" customFormat="false" ht="15" hidden="false" customHeight="true" outlineLevel="0" collapsed="false">
      <c r="A1143" s="39"/>
      <c r="B1143" s="40"/>
      <c r="C1143" s="41"/>
      <c r="D1143" s="40"/>
      <c r="E1143" s="40"/>
      <c r="F1143" s="40"/>
      <c r="G1143" s="35" t="str">
        <f aca="false">IF($A1143="","",IF(ISNUMBER($G1142),$G1142+1,1))</f>
        <v/>
      </c>
      <c r="H1143" s="36" t="str">
        <f aca="false">IF(OR(NOT(ISNUMBER($G1143)),$G1143&lt;2,NOT(ISNUMBER($C1142)),$C1142=0),"",$C1143/$C1142-1)</f>
        <v/>
      </c>
      <c r="I1143" s="37" t="str">
        <f aca="false">IF(AND(ISNUMBER($G1143),$G1143&gt;=MA_SHORT),AVERAGE(INDEX($C$743:$C1143,402-MA_SHORT):$C1143),"")</f>
        <v/>
      </c>
      <c r="J1143" s="37" t="str">
        <f aca="false">IF(AND(ISNUMBER($G1143),$G1143&gt;=MA_MED),AVERAGE(INDEX($C$743:$C1143,402-MA_MED):$C1143),"")</f>
        <v/>
      </c>
      <c r="K1143" s="37" t="str">
        <f aca="false">IF(AND(ISNUMBER($G1143),$G1143&gt;=MA_LONG2),AVERAGE(INDEX($C$743:$C1143,402-MA_LONG2):$C1143),"")</f>
        <v/>
      </c>
      <c r="L1143" s="38" t="str">
        <f aca="false">IF(AND(ISNUMBER($G1143),$G1143&gt;=21),STDEV(INDEX($H$1083:$H1143,62-20):$H1143)*SQRT(245),"")</f>
        <v/>
      </c>
      <c r="M1143" s="37" t="str">
        <f aca="false">IF(AND(ISNUMBER($G1143),$G1143&gt;=60),MAX(INDEX($D$943:$D1143,202-60):$D1143),"")</f>
        <v/>
      </c>
      <c r="N1143" s="37" t="str">
        <f aca="false">IF(AND(ISNUMBER($G1143),$G1143&gt;=60),MIN(INDEX($E$943:$E1143,202-60):$E1143),"")</f>
        <v/>
      </c>
      <c r="O1143" s="38" t="str">
        <f aca="false">IF(OR(NOT(ISNUMBER($C1143)),NOT(ISNUMBER($M1143)),$M1143=0),"",$C1143/$M1143-1)</f>
        <v/>
      </c>
    </row>
    <row r="1144" customFormat="false" ht="15" hidden="false" customHeight="true" outlineLevel="0" collapsed="false">
      <c r="A1144" s="39"/>
      <c r="B1144" s="40"/>
      <c r="C1144" s="41"/>
      <c r="D1144" s="40"/>
      <c r="E1144" s="40"/>
      <c r="F1144" s="40"/>
      <c r="G1144" s="35" t="str">
        <f aca="false">IF($A1144="","",IF(ISNUMBER($G1143),$G1143+1,1))</f>
        <v/>
      </c>
      <c r="H1144" s="36" t="str">
        <f aca="false">IF(OR(NOT(ISNUMBER($G1144)),$G1144&lt;2,NOT(ISNUMBER($C1143)),$C1143=0),"",$C1144/$C1143-1)</f>
        <v/>
      </c>
      <c r="I1144" s="37" t="str">
        <f aca="false">IF(AND(ISNUMBER($G1144),$G1144&gt;=MA_SHORT),AVERAGE(INDEX($C$744:$C1144,402-MA_SHORT):$C1144),"")</f>
        <v/>
      </c>
      <c r="J1144" s="37" t="str">
        <f aca="false">IF(AND(ISNUMBER($G1144),$G1144&gt;=MA_MED),AVERAGE(INDEX($C$744:$C1144,402-MA_MED):$C1144),"")</f>
        <v/>
      </c>
      <c r="K1144" s="37" t="str">
        <f aca="false">IF(AND(ISNUMBER($G1144),$G1144&gt;=MA_LONG2),AVERAGE(INDEX($C$744:$C1144,402-MA_LONG2):$C1144),"")</f>
        <v/>
      </c>
      <c r="L1144" s="38" t="str">
        <f aca="false">IF(AND(ISNUMBER($G1144),$G1144&gt;=21),STDEV(INDEX($H$1084:$H1144,62-20):$H1144)*SQRT(245),"")</f>
        <v/>
      </c>
      <c r="M1144" s="37" t="str">
        <f aca="false">IF(AND(ISNUMBER($G1144),$G1144&gt;=60),MAX(INDEX($D$944:$D1144,202-60):$D1144),"")</f>
        <v/>
      </c>
      <c r="N1144" s="37" t="str">
        <f aca="false">IF(AND(ISNUMBER($G1144),$G1144&gt;=60),MIN(INDEX($E$944:$E1144,202-60):$E1144),"")</f>
        <v/>
      </c>
      <c r="O1144" s="38" t="str">
        <f aca="false">IF(OR(NOT(ISNUMBER($C1144)),NOT(ISNUMBER($M1144)),$M1144=0),"",$C1144/$M1144-1)</f>
        <v/>
      </c>
    </row>
    <row r="1145" customFormat="false" ht="15" hidden="false" customHeight="true" outlineLevel="0" collapsed="false">
      <c r="A1145" s="39"/>
      <c r="B1145" s="40"/>
      <c r="C1145" s="41"/>
      <c r="D1145" s="40"/>
      <c r="E1145" s="40"/>
      <c r="F1145" s="40"/>
      <c r="G1145" s="35" t="str">
        <f aca="false">IF($A1145="","",IF(ISNUMBER($G1144),$G1144+1,1))</f>
        <v/>
      </c>
      <c r="H1145" s="36" t="str">
        <f aca="false">IF(OR(NOT(ISNUMBER($G1145)),$G1145&lt;2,NOT(ISNUMBER($C1144)),$C1144=0),"",$C1145/$C1144-1)</f>
        <v/>
      </c>
      <c r="I1145" s="37" t="str">
        <f aca="false">IF(AND(ISNUMBER($G1145),$G1145&gt;=MA_SHORT),AVERAGE(INDEX($C$745:$C1145,402-MA_SHORT):$C1145),"")</f>
        <v/>
      </c>
      <c r="J1145" s="37" t="str">
        <f aca="false">IF(AND(ISNUMBER($G1145),$G1145&gt;=MA_MED),AVERAGE(INDEX($C$745:$C1145,402-MA_MED):$C1145),"")</f>
        <v/>
      </c>
      <c r="K1145" s="37" t="str">
        <f aca="false">IF(AND(ISNUMBER($G1145),$G1145&gt;=MA_LONG2),AVERAGE(INDEX($C$745:$C1145,402-MA_LONG2):$C1145),"")</f>
        <v/>
      </c>
      <c r="L1145" s="38" t="str">
        <f aca="false">IF(AND(ISNUMBER($G1145),$G1145&gt;=21),STDEV(INDEX($H$1085:$H1145,62-20):$H1145)*SQRT(245),"")</f>
        <v/>
      </c>
      <c r="M1145" s="37" t="str">
        <f aca="false">IF(AND(ISNUMBER($G1145),$G1145&gt;=60),MAX(INDEX($D$945:$D1145,202-60):$D1145),"")</f>
        <v/>
      </c>
      <c r="N1145" s="37" t="str">
        <f aca="false">IF(AND(ISNUMBER($G1145),$G1145&gt;=60),MIN(INDEX($E$945:$E1145,202-60):$E1145),"")</f>
        <v/>
      </c>
      <c r="O1145" s="38" t="str">
        <f aca="false">IF(OR(NOT(ISNUMBER($C1145)),NOT(ISNUMBER($M1145)),$M1145=0),"",$C1145/$M1145-1)</f>
        <v/>
      </c>
    </row>
    <row r="1146" customFormat="false" ht="15" hidden="false" customHeight="true" outlineLevel="0" collapsed="false">
      <c r="A1146" s="39"/>
      <c r="B1146" s="40"/>
      <c r="C1146" s="41"/>
      <c r="D1146" s="40"/>
      <c r="E1146" s="40"/>
      <c r="F1146" s="40"/>
      <c r="G1146" s="35" t="str">
        <f aca="false">IF($A1146="","",IF(ISNUMBER($G1145),$G1145+1,1))</f>
        <v/>
      </c>
      <c r="H1146" s="36" t="str">
        <f aca="false">IF(OR(NOT(ISNUMBER($G1146)),$G1146&lt;2,NOT(ISNUMBER($C1145)),$C1145=0),"",$C1146/$C1145-1)</f>
        <v/>
      </c>
      <c r="I1146" s="37" t="str">
        <f aca="false">IF(AND(ISNUMBER($G1146),$G1146&gt;=MA_SHORT),AVERAGE(INDEX($C$746:$C1146,402-MA_SHORT):$C1146),"")</f>
        <v/>
      </c>
      <c r="J1146" s="37" t="str">
        <f aca="false">IF(AND(ISNUMBER($G1146),$G1146&gt;=MA_MED),AVERAGE(INDEX($C$746:$C1146,402-MA_MED):$C1146),"")</f>
        <v/>
      </c>
      <c r="K1146" s="37" t="str">
        <f aca="false">IF(AND(ISNUMBER($G1146),$G1146&gt;=MA_LONG2),AVERAGE(INDEX($C$746:$C1146,402-MA_LONG2):$C1146),"")</f>
        <v/>
      </c>
      <c r="L1146" s="38" t="str">
        <f aca="false">IF(AND(ISNUMBER($G1146),$G1146&gt;=21),STDEV(INDEX($H$1086:$H1146,62-20):$H1146)*SQRT(245),"")</f>
        <v/>
      </c>
      <c r="M1146" s="37" t="str">
        <f aca="false">IF(AND(ISNUMBER($G1146),$G1146&gt;=60),MAX(INDEX($D$946:$D1146,202-60):$D1146),"")</f>
        <v/>
      </c>
      <c r="N1146" s="37" t="str">
        <f aca="false">IF(AND(ISNUMBER($G1146),$G1146&gt;=60),MIN(INDEX($E$946:$E1146,202-60):$E1146),"")</f>
        <v/>
      </c>
      <c r="O1146" s="38" t="str">
        <f aca="false">IF(OR(NOT(ISNUMBER($C1146)),NOT(ISNUMBER($M1146)),$M1146=0),"",$C1146/$M1146-1)</f>
        <v/>
      </c>
    </row>
    <row r="1147" customFormat="false" ht="15" hidden="false" customHeight="true" outlineLevel="0" collapsed="false">
      <c r="A1147" s="39"/>
      <c r="B1147" s="40"/>
      <c r="C1147" s="41"/>
      <c r="D1147" s="40"/>
      <c r="E1147" s="40"/>
      <c r="F1147" s="40"/>
      <c r="G1147" s="35" t="str">
        <f aca="false">IF($A1147="","",IF(ISNUMBER($G1146),$G1146+1,1))</f>
        <v/>
      </c>
      <c r="H1147" s="36" t="str">
        <f aca="false">IF(OR(NOT(ISNUMBER($G1147)),$G1147&lt;2,NOT(ISNUMBER($C1146)),$C1146=0),"",$C1147/$C1146-1)</f>
        <v/>
      </c>
      <c r="I1147" s="37" t="str">
        <f aca="false">IF(AND(ISNUMBER($G1147),$G1147&gt;=MA_SHORT),AVERAGE(INDEX($C$747:$C1147,402-MA_SHORT):$C1147),"")</f>
        <v/>
      </c>
      <c r="J1147" s="37" t="str">
        <f aca="false">IF(AND(ISNUMBER($G1147),$G1147&gt;=MA_MED),AVERAGE(INDEX($C$747:$C1147,402-MA_MED):$C1147),"")</f>
        <v/>
      </c>
      <c r="K1147" s="37" t="str">
        <f aca="false">IF(AND(ISNUMBER($G1147),$G1147&gt;=MA_LONG2),AVERAGE(INDEX($C$747:$C1147,402-MA_LONG2):$C1147),"")</f>
        <v/>
      </c>
      <c r="L1147" s="38" t="str">
        <f aca="false">IF(AND(ISNUMBER($G1147),$G1147&gt;=21),STDEV(INDEX($H$1087:$H1147,62-20):$H1147)*SQRT(245),"")</f>
        <v/>
      </c>
      <c r="M1147" s="37" t="str">
        <f aca="false">IF(AND(ISNUMBER($G1147),$G1147&gt;=60),MAX(INDEX($D$947:$D1147,202-60):$D1147),"")</f>
        <v/>
      </c>
      <c r="N1147" s="37" t="str">
        <f aca="false">IF(AND(ISNUMBER($G1147),$G1147&gt;=60),MIN(INDEX($E$947:$E1147,202-60):$E1147),"")</f>
        <v/>
      </c>
      <c r="O1147" s="38" t="str">
        <f aca="false">IF(OR(NOT(ISNUMBER($C1147)),NOT(ISNUMBER($M1147)),$M1147=0),"",$C1147/$M1147-1)</f>
        <v/>
      </c>
    </row>
    <row r="1148" customFormat="false" ht="15" hidden="false" customHeight="true" outlineLevel="0" collapsed="false">
      <c r="A1148" s="39"/>
      <c r="B1148" s="40"/>
      <c r="C1148" s="41"/>
      <c r="D1148" s="40"/>
      <c r="E1148" s="40"/>
      <c r="F1148" s="40"/>
      <c r="G1148" s="35" t="str">
        <f aca="false">IF($A1148="","",IF(ISNUMBER($G1147),$G1147+1,1))</f>
        <v/>
      </c>
      <c r="H1148" s="36" t="str">
        <f aca="false">IF(OR(NOT(ISNUMBER($G1148)),$G1148&lt;2,NOT(ISNUMBER($C1147)),$C1147=0),"",$C1148/$C1147-1)</f>
        <v/>
      </c>
      <c r="I1148" s="37" t="str">
        <f aca="false">IF(AND(ISNUMBER($G1148),$G1148&gt;=MA_SHORT),AVERAGE(INDEX($C$748:$C1148,402-MA_SHORT):$C1148),"")</f>
        <v/>
      </c>
      <c r="J1148" s="37" t="str">
        <f aca="false">IF(AND(ISNUMBER($G1148),$G1148&gt;=MA_MED),AVERAGE(INDEX($C$748:$C1148,402-MA_MED):$C1148),"")</f>
        <v/>
      </c>
      <c r="K1148" s="37" t="str">
        <f aca="false">IF(AND(ISNUMBER($G1148),$G1148&gt;=MA_LONG2),AVERAGE(INDEX($C$748:$C1148,402-MA_LONG2):$C1148),"")</f>
        <v/>
      </c>
      <c r="L1148" s="38" t="str">
        <f aca="false">IF(AND(ISNUMBER($G1148),$G1148&gt;=21),STDEV(INDEX($H$1088:$H1148,62-20):$H1148)*SQRT(245),"")</f>
        <v/>
      </c>
      <c r="M1148" s="37" t="str">
        <f aca="false">IF(AND(ISNUMBER($G1148),$G1148&gt;=60),MAX(INDEX($D$948:$D1148,202-60):$D1148),"")</f>
        <v/>
      </c>
      <c r="N1148" s="37" t="str">
        <f aca="false">IF(AND(ISNUMBER($G1148),$G1148&gt;=60),MIN(INDEX($E$948:$E1148,202-60):$E1148),"")</f>
        <v/>
      </c>
      <c r="O1148" s="38" t="str">
        <f aca="false">IF(OR(NOT(ISNUMBER($C1148)),NOT(ISNUMBER($M1148)),$M1148=0),"",$C1148/$M1148-1)</f>
        <v/>
      </c>
    </row>
    <row r="1149" customFormat="false" ht="15" hidden="false" customHeight="true" outlineLevel="0" collapsed="false">
      <c r="A1149" s="39"/>
      <c r="B1149" s="40"/>
      <c r="C1149" s="41"/>
      <c r="D1149" s="40"/>
      <c r="E1149" s="40"/>
      <c r="F1149" s="40"/>
      <c r="G1149" s="35" t="str">
        <f aca="false">IF($A1149="","",IF(ISNUMBER($G1148),$G1148+1,1))</f>
        <v/>
      </c>
      <c r="H1149" s="36" t="str">
        <f aca="false">IF(OR(NOT(ISNUMBER($G1149)),$G1149&lt;2,NOT(ISNUMBER($C1148)),$C1148=0),"",$C1149/$C1148-1)</f>
        <v/>
      </c>
      <c r="I1149" s="37" t="str">
        <f aca="false">IF(AND(ISNUMBER($G1149),$G1149&gt;=MA_SHORT),AVERAGE(INDEX($C$749:$C1149,402-MA_SHORT):$C1149),"")</f>
        <v/>
      </c>
      <c r="J1149" s="37" t="str">
        <f aca="false">IF(AND(ISNUMBER($G1149),$G1149&gt;=MA_MED),AVERAGE(INDEX($C$749:$C1149,402-MA_MED):$C1149),"")</f>
        <v/>
      </c>
      <c r="K1149" s="37" t="str">
        <f aca="false">IF(AND(ISNUMBER($G1149),$G1149&gt;=MA_LONG2),AVERAGE(INDEX($C$749:$C1149,402-MA_LONG2):$C1149),"")</f>
        <v/>
      </c>
      <c r="L1149" s="38" t="str">
        <f aca="false">IF(AND(ISNUMBER($G1149),$G1149&gt;=21),STDEV(INDEX($H$1089:$H1149,62-20):$H1149)*SQRT(245),"")</f>
        <v/>
      </c>
      <c r="M1149" s="37" t="str">
        <f aca="false">IF(AND(ISNUMBER($G1149),$G1149&gt;=60),MAX(INDEX($D$949:$D1149,202-60):$D1149),"")</f>
        <v/>
      </c>
      <c r="N1149" s="37" t="str">
        <f aca="false">IF(AND(ISNUMBER($G1149),$G1149&gt;=60),MIN(INDEX($E$949:$E1149,202-60):$E1149),"")</f>
        <v/>
      </c>
      <c r="O1149" s="38" t="str">
        <f aca="false">IF(OR(NOT(ISNUMBER($C1149)),NOT(ISNUMBER($M1149)),$M1149=0),"",$C1149/$M1149-1)</f>
        <v/>
      </c>
    </row>
    <row r="1150" customFormat="false" ht="15" hidden="false" customHeight="true" outlineLevel="0" collapsed="false">
      <c r="A1150" s="39"/>
      <c r="B1150" s="40"/>
      <c r="C1150" s="41"/>
      <c r="D1150" s="40"/>
      <c r="E1150" s="40"/>
      <c r="F1150" s="40"/>
      <c r="G1150" s="35" t="str">
        <f aca="false">IF($A1150="","",IF(ISNUMBER($G1149),$G1149+1,1))</f>
        <v/>
      </c>
      <c r="H1150" s="36" t="str">
        <f aca="false">IF(OR(NOT(ISNUMBER($G1150)),$G1150&lt;2,NOT(ISNUMBER($C1149)),$C1149=0),"",$C1150/$C1149-1)</f>
        <v/>
      </c>
      <c r="I1150" s="37" t="str">
        <f aca="false">IF(AND(ISNUMBER($G1150),$G1150&gt;=MA_SHORT),AVERAGE(INDEX($C$750:$C1150,402-MA_SHORT):$C1150),"")</f>
        <v/>
      </c>
      <c r="J1150" s="37" t="str">
        <f aca="false">IF(AND(ISNUMBER($G1150),$G1150&gt;=MA_MED),AVERAGE(INDEX($C$750:$C1150,402-MA_MED):$C1150),"")</f>
        <v/>
      </c>
      <c r="K1150" s="37" t="str">
        <f aca="false">IF(AND(ISNUMBER($G1150),$G1150&gt;=MA_LONG2),AVERAGE(INDEX($C$750:$C1150,402-MA_LONG2):$C1150),"")</f>
        <v/>
      </c>
      <c r="L1150" s="38" t="str">
        <f aca="false">IF(AND(ISNUMBER($G1150),$G1150&gt;=21),STDEV(INDEX($H$1090:$H1150,62-20):$H1150)*SQRT(245),"")</f>
        <v/>
      </c>
      <c r="M1150" s="37" t="str">
        <f aca="false">IF(AND(ISNUMBER($G1150),$G1150&gt;=60),MAX(INDEX($D$950:$D1150,202-60):$D1150),"")</f>
        <v/>
      </c>
      <c r="N1150" s="37" t="str">
        <f aca="false">IF(AND(ISNUMBER($G1150),$G1150&gt;=60),MIN(INDEX($E$950:$E1150,202-60):$E1150),"")</f>
        <v/>
      </c>
      <c r="O1150" s="38" t="str">
        <f aca="false">IF(OR(NOT(ISNUMBER($C1150)),NOT(ISNUMBER($M1150)),$M1150=0),"",$C1150/$M1150-1)</f>
        <v/>
      </c>
    </row>
    <row r="1151" customFormat="false" ht="15" hidden="false" customHeight="true" outlineLevel="0" collapsed="false">
      <c r="A1151" s="39"/>
      <c r="B1151" s="40"/>
      <c r="C1151" s="41"/>
      <c r="D1151" s="40"/>
      <c r="E1151" s="40"/>
      <c r="F1151" s="40"/>
      <c r="G1151" s="35" t="str">
        <f aca="false">IF($A1151="","",IF(ISNUMBER($G1150),$G1150+1,1))</f>
        <v/>
      </c>
      <c r="H1151" s="36" t="str">
        <f aca="false">IF(OR(NOT(ISNUMBER($G1151)),$G1151&lt;2,NOT(ISNUMBER($C1150)),$C1150=0),"",$C1151/$C1150-1)</f>
        <v/>
      </c>
      <c r="I1151" s="37" t="str">
        <f aca="false">IF(AND(ISNUMBER($G1151),$G1151&gt;=MA_SHORT),AVERAGE(INDEX($C$751:$C1151,402-MA_SHORT):$C1151),"")</f>
        <v/>
      </c>
      <c r="J1151" s="37" t="str">
        <f aca="false">IF(AND(ISNUMBER($G1151),$G1151&gt;=MA_MED),AVERAGE(INDEX($C$751:$C1151,402-MA_MED):$C1151),"")</f>
        <v/>
      </c>
      <c r="K1151" s="37" t="str">
        <f aca="false">IF(AND(ISNUMBER($G1151),$G1151&gt;=MA_LONG2),AVERAGE(INDEX($C$751:$C1151,402-MA_LONG2):$C1151),"")</f>
        <v/>
      </c>
      <c r="L1151" s="38" t="str">
        <f aca="false">IF(AND(ISNUMBER($G1151),$G1151&gt;=21),STDEV(INDEX($H$1091:$H1151,62-20):$H1151)*SQRT(245),"")</f>
        <v/>
      </c>
      <c r="M1151" s="37" t="str">
        <f aca="false">IF(AND(ISNUMBER($G1151),$G1151&gt;=60),MAX(INDEX($D$951:$D1151,202-60):$D1151),"")</f>
        <v/>
      </c>
      <c r="N1151" s="37" t="str">
        <f aca="false">IF(AND(ISNUMBER($G1151),$G1151&gt;=60),MIN(INDEX($E$951:$E1151,202-60):$E1151),"")</f>
        <v/>
      </c>
      <c r="O1151" s="38" t="str">
        <f aca="false">IF(OR(NOT(ISNUMBER($C1151)),NOT(ISNUMBER($M1151)),$M1151=0),"",$C1151/$M1151-1)</f>
        <v/>
      </c>
    </row>
    <row r="1152" customFormat="false" ht="15" hidden="false" customHeight="true" outlineLevel="0" collapsed="false">
      <c r="A1152" s="39"/>
      <c r="B1152" s="40"/>
      <c r="C1152" s="41"/>
      <c r="D1152" s="40"/>
      <c r="E1152" s="40"/>
      <c r="F1152" s="40"/>
      <c r="G1152" s="35" t="str">
        <f aca="false">IF($A1152="","",IF(ISNUMBER($G1151),$G1151+1,1))</f>
        <v/>
      </c>
      <c r="H1152" s="36" t="str">
        <f aca="false">IF(OR(NOT(ISNUMBER($G1152)),$G1152&lt;2,NOT(ISNUMBER($C1151)),$C1151=0),"",$C1152/$C1151-1)</f>
        <v/>
      </c>
      <c r="I1152" s="37" t="str">
        <f aca="false">IF(AND(ISNUMBER($G1152),$G1152&gt;=MA_SHORT),AVERAGE(INDEX($C$752:$C1152,402-MA_SHORT):$C1152),"")</f>
        <v/>
      </c>
      <c r="J1152" s="37" t="str">
        <f aca="false">IF(AND(ISNUMBER($G1152),$G1152&gt;=MA_MED),AVERAGE(INDEX($C$752:$C1152,402-MA_MED):$C1152),"")</f>
        <v/>
      </c>
      <c r="K1152" s="37" t="str">
        <f aca="false">IF(AND(ISNUMBER($G1152),$G1152&gt;=MA_LONG2),AVERAGE(INDEX($C$752:$C1152,402-MA_LONG2):$C1152),"")</f>
        <v/>
      </c>
      <c r="L1152" s="38" t="str">
        <f aca="false">IF(AND(ISNUMBER($G1152),$G1152&gt;=21),STDEV(INDEX($H$1092:$H1152,62-20):$H1152)*SQRT(245),"")</f>
        <v/>
      </c>
      <c r="M1152" s="37" t="str">
        <f aca="false">IF(AND(ISNUMBER($G1152),$G1152&gt;=60),MAX(INDEX($D$952:$D1152,202-60):$D1152),"")</f>
        <v/>
      </c>
      <c r="N1152" s="37" t="str">
        <f aca="false">IF(AND(ISNUMBER($G1152),$G1152&gt;=60),MIN(INDEX($E$952:$E1152,202-60):$E1152),"")</f>
        <v/>
      </c>
      <c r="O1152" s="38" t="str">
        <f aca="false">IF(OR(NOT(ISNUMBER($C1152)),NOT(ISNUMBER($M1152)),$M1152=0),"",$C1152/$M1152-1)</f>
        <v/>
      </c>
    </row>
    <row r="1153" customFormat="false" ht="15" hidden="false" customHeight="true" outlineLevel="0" collapsed="false">
      <c r="A1153" s="39"/>
      <c r="B1153" s="40"/>
      <c r="C1153" s="41"/>
      <c r="D1153" s="40"/>
      <c r="E1153" s="40"/>
      <c r="F1153" s="40"/>
      <c r="G1153" s="35" t="str">
        <f aca="false">IF($A1153="","",IF(ISNUMBER($G1152),$G1152+1,1))</f>
        <v/>
      </c>
      <c r="H1153" s="36" t="str">
        <f aca="false">IF(OR(NOT(ISNUMBER($G1153)),$G1153&lt;2,NOT(ISNUMBER($C1152)),$C1152=0),"",$C1153/$C1152-1)</f>
        <v/>
      </c>
      <c r="I1153" s="37" t="str">
        <f aca="false">IF(AND(ISNUMBER($G1153),$G1153&gt;=MA_SHORT),AVERAGE(INDEX($C$753:$C1153,402-MA_SHORT):$C1153),"")</f>
        <v/>
      </c>
      <c r="J1153" s="37" t="str">
        <f aca="false">IF(AND(ISNUMBER($G1153),$G1153&gt;=MA_MED),AVERAGE(INDEX($C$753:$C1153,402-MA_MED):$C1153),"")</f>
        <v/>
      </c>
      <c r="K1153" s="37" t="str">
        <f aca="false">IF(AND(ISNUMBER($G1153),$G1153&gt;=MA_LONG2),AVERAGE(INDEX($C$753:$C1153,402-MA_LONG2):$C1153),"")</f>
        <v/>
      </c>
      <c r="L1153" s="38" t="str">
        <f aca="false">IF(AND(ISNUMBER($G1153),$G1153&gt;=21),STDEV(INDEX($H$1093:$H1153,62-20):$H1153)*SQRT(245),"")</f>
        <v/>
      </c>
      <c r="M1153" s="37" t="str">
        <f aca="false">IF(AND(ISNUMBER($G1153),$G1153&gt;=60),MAX(INDEX($D$953:$D1153,202-60):$D1153),"")</f>
        <v/>
      </c>
      <c r="N1153" s="37" t="str">
        <f aca="false">IF(AND(ISNUMBER($G1153),$G1153&gt;=60),MIN(INDEX($E$953:$E1153,202-60):$E1153),"")</f>
        <v/>
      </c>
      <c r="O1153" s="38" t="str">
        <f aca="false">IF(OR(NOT(ISNUMBER($C1153)),NOT(ISNUMBER($M1153)),$M1153=0),"",$C1153/$M1153-1)</f>
        <v/>
      </c>
    </row>
    <row r="1154" customFormat="false" ht="15" hidden="false" customHeight="true" outlineLevel="0" collapsed="false">
      <c r="A1154" s="39"/>
      <c r="B1154" s="40"/>
      <c r="C1154" s="41"/>
      <c r="D1154" s="40"/>
      <c r="E1154" s="40"/>
      <c r="F1154" s="40"/>
      <c r="G1154" s="35" t="str">
        <f aca="false">IF($A1154="","",IF(ISNUMBER($G1153),$G1153+1,1))</f>
        <v/>
      </c>
      <c r="H1154" s="36" t="str">
        <f aca="false">IF(OR(NOT(ISNUMBER($G1154)),$G1154&lt;2,NOT(ISNUMBER($C1153)),$C1153=0),"",$C1154/$C1153-1)</f>
        <v/>
      </c>
      <c r="I1154" s="37" t="str">
        <f aca="false">IF(AND(ISNUMBER($G1154),$G1154&gt;=MA_SHORT),AVERAGE(INDEX($C$754:$C1154,402-MA_SHORT):$C1154),"")</f>
        <v/>
      </c>
      <c r="J1154" s="37" t="str">
        <f aca="false">IF(AND(ISNUMBER($G1154),$G1154&gt;=MA_MED),AVERAGE(INDEX($C$754:$C1154,402-MA_MED):$C1154),"")</f>
        <v/>
      </c>
      <c r="K1154" s="37" t="str">
        <f aca="false">IF(AND(ISNUMBER($G1154),$G1154&gt;=MA_LONG2),AVERAGE(INDEX($C$754:$C1154,402-MA_LONG2):$C1154),"")</f>
        <v/>
      </c>
      <c r="L1154" s="38" t="str">
        <f aca="false">IF(AND(ISNUMBER($G1154),$G1154&gt;=21),STDEV(INDEX($H$1094:$H1154,62-20):$H1154)*SQRT(245),"")</f>
        <v/>
      </c>
      <c r="M1154" s="37" t="str">
        <f aca="false">IF(AND(ISNUMBER($G1154),$G1154&gt;=60),MAX(INDEX($D$954:$D1154,202-60):$D1154),"")</f>
        <v/>
      </c>
      <c r="N1154" s="37" t="str">
        <f aca="false">IF(AND(ISNUMBER($G1154),$G1154&gt;=60),MIN(INDEX($E$954:$E1154,202-60):$E1154),"")</f>
        <v/>
      </c>
      <c r="O1154" s="38" t="str">
        <f aca="false">IF(OR(NOT(ISNUMBER($C1154)),NOT(ISNUMBER($M1154)),$M1154=0),"",$C1154/$M1154-1)</f>
        <v/>
      </c>
    </row>
    <row r="1155" customFormat="false" ht="15" hidden="false" customHeight="true" outlineLevel="0" collapsed="false">
      <c r="A1155" s="39"/>
      <c r="B1155" s="40"/>
      <c r="C1155" s="41"/>
      <c r="D1155" s="40"/>
      <c r="E1155" s="40"/>
      <c r="F1155" s="40"/>
      <c r="G1155" s="35" t="str">
        <f aca="false">IF($A1155="","",IF(ISNUMBER($G1154),$G1154+1,1))</f>
        <v/>
      </c>
      <c r="H1155" s="36" t="str">
        <f aca="false">IF(OR(NOT(ISNUMBER($G1155)),$G1155&lt;2,NOT(ISNUMBER($C1154)),$C1154=0),"",$C1155/$C1154-1)</f>
        <v/>
      </c>
      <c r="I1155" s="37" t="str">
        <f aca="false">IF(AND(ISNUMBER($G1155),$G1155&gt;=MA_SHORT),AVERAGE(INDEX($C$755:$C1155,402-MA_SHORT):$C1155),"")</f>
        <v/>
      </c>
      <c r="J1155" s="37" t="str">
        <f aca="false">IF(AND(ISNUMBER($G1155),$G1155&gt;=MA_MED),AVERAGE(INDEX($C$755:$C1155,402-MA_MED):$C1155),"")</f>
        <v/>
      </c>
      <c r="K1155" s="37" t="str">
        <f aca="false">IF(AND(ISNUMBER($G1155),$G1155&gt;=MA_LONG2),AVERAGE(INDEX($C$755:$C1155,402-MA_LONG2):$C1155),"")</f>
        <v/>
      </c>
      <c r="L1155" s="38" t="str">
        <f aca="false">IF(AND(ISNUMBER($G1155),$G1155&gt;=21),STDEV(INDEX($H$1095:$H1155,62-20):$H1155)*SQRT(245),"")</f>
        <v/>
      </c>
      <c r="M1155" s="37" t="str">
        <f aca="false">IF(AND(ISNUMBER($G1155),$G1155&gt;=60),MAX(INDEX($D$955:$D1155,202-60):$D1155),"")</f>
        <v/>
      </c>
      <c r="N1155" s="37" t="str">
        <f aca="false">IF(AND(ISNUMBER($G1155),$G1155&gt;=60),MIN(INDEX($E$955:$E1155,202-60):$E1155),"")</f>
        <v/>
      </c>
      <c r="O1155" s="38" t="str">
        <f aca="false">IF(OR(NOT(ISNUMBER($C1155)),NOT(ISNUMBER($M1155)),$M1155=0),"",$C1155/$M1155-1)</f>
        <v/>
      </c>
    </row>
    <row r="1156" customFormat="false" ht="15" hidden="false" customHeight="true" outlineLevel="0" collapsed="false">
      <c r="A1156" s="39"/>
      <c r="B1156" s="40"/>
      <c r="C1156" s="41"/>
      <c r="D1156" s="40"/>
      <c r="E1156" s="40"/>
      <c r="F1156" s="40"/>
      <c r="G1156" s="35" t="str">
        <f aca="false">IF($A1156="","",IF(ISNUMBER($G1155),$G1155+1,1))</f>
        <v/>
      </c>
      <c r="H1156" s="36" t="str">
        <f aca="false">IF(OR(NOT(ISNUMBER($G1156)),$G1156&lt;2,NOT(ISNUMBER($C1155)),$C1155=0),"",$C1156/$C1155-1)</f>
        <v/>
      </c>
      <c r="I1156" s="37" t="str">
        <f aca="false">IF(AND(ISNUMBER($G1156),$G1156&gt;=MA_SHORT),AVERAGE(INDEX($C$756:$C1156,402-MA_SHORT):$C1156),"")</f>
        <v/>
      </c>
      <c r="J1156" s="37" t="str">
        <f aca="false">IF(AND(ISNUMBER($G1156),$G1156&gt;=MA_MED),AVERAGE(INDEX($C$756:$C1156,402-MA_MED):$C1156),"")</f>
        <v/>
      </c>
      <c r="K1156" s="37" t="str">
        <f aca="false">IF(AND(ISNUMBER($G1156),$G1156&gt;=MA_LONG2),AVERAGE(INDEX($C$756:$C1156,402-MA_LONG2):$C1156),"")</f>
        <v/>
      </c>
      <c r="L1156" s="38" t="str">
        <f aca="false">IF(AND(ISNUMBER($G1156),$G1156&gt;=21),STDEV(INDEX($H$1096:$H1156,62-20):$H1156)*SQRT(245),"")</f>
        <v/>
      </c>
      <c r="M1156" s="37" t="str">
        <f aca="false">IF(AND(ISNUMBER($G1156),$G1156&gt;=60),MAX(INDEX($D$956:$D1156,202-60):$D1156),"")</f>
        <v/>
      </c>
      <c r="N1156" s="37" t="str">
        <f aca="false">IF(AND(ISNUMBER($G1156),$G1156&gt;=60),MIN(INDEX($E$956:$E1156,202-60):$E1156),"")</f>
        <v/>
      </c>
      <c r="O1156" s="38" t="str">
        <f aca="false">IF(OR(NOT(ISNUMBER($C1156)),NOT(ISNUMBER($M1156)),$M1156=0),"",$C1156/$M1156-1)</f>
        <v/>
      </c>
    </row>
    <row r="1157" customFormat="false" ht="15" hidden="false" customHeight="true" outlineLevel="0" collapsed="false">
      <c r="A1157" s="39"/>
      <c r="B1157" s="40"/>
      <c r="C1157" s="41"/>
      <c r="D1157" s="40"/>
      <c r="E1157" s="40"/>
      <c r="F1157" s="40"/>
      <c r="G1157" s="35" t="str">
        <f aca="false">IF($A1157="","",IF(ISNUMBER($G1156),$G1156+1,1))</f>
        <v/>
      </c>
      <c r="H1157" s="36" t="str">
        <f aca="false">IF(OR(NOT(ISNUMBER($G1157)),$G1157&lt;2,NOT(ISNUMBER($C1156)),$C1156=0),"",$C1157/$C1156-1)</f>
        <v/>
      </c>
      <c r="I1157" s="37" t="str">
        <f aca="false">IF(AND(ISNUMBER($G1157),$G1157&gt;=MA_SHORT),AVERAGE(INDEX($C$757:$C1157,402-MA_SHORT):$C1157),"")</f>
        <v/>
      </c>
      <c r="J1157" s="37" t="str">
        <f aca="false">IF(AND(ISNUMBER($G1157),$G1157&gt;=MA_MED),AVERAGE(INDEX($C$757:$C1157,402-MA_MED):$C1157),"")</f>
        <v/>
      </c>
      <c r="K1157" s="37" t="str">
        <f aca="false">IF(AND(ISNUMBER($G1157),$G1157&gt;=MA_LONG2),AVERAGE(INDEX($C$757:$C1157,402-MA_LONG2):$C1157),"")</f>
        <v/>
      </c>
      <c r="L1157" s="38" t="str">
        <f aca="false">IF(AND(ISNUMBER($G1157),$G1157&gt;=21),STDEV(INDEX($H$1097:$H1157,62-20):$H1157)*SQRT(245),"")</f>
        <v/>
      </c>
      <c r="M1157" s="37" t="str">
        <f aca="false">IF(AND(ISNUMBER($G1157),$G1157&gt;=60),MAX(INDEX($D$957:$D1157,202-60):$D1157),"")</f>
        <v/>
      </c>
      <c r="N1157" s="37" t="str">
        <f aca="false">IF(AND(ISNUMBER($G1157),$G1157&gt;=60),MIN(INDEX($E$957:$E1157,202-60):$E1157),"")</f>
        <v/>
      </c>
      <c r="O1157" s="38" t="str">
        <f aca="false">IF(OR(NOT(ISNUMBER($C1157)),NOT(ISNUMBER($M1157)),$M1157=0),"",$C1157/$M1157-1)</f>
        <v/>
      </c>
    </row>
    <row r="1158" customFormat="false" ht="15" hidden="false" customHeight="true" outlineLevel="0" collapsed="false">
      <c r="A1158" s="39"/>
      <c r="B1158" s="40"/>
      <c r="C1158" s="41"/>
      <c r="D1158" s="40"/>
      <c r="E1158" s="40"/>
      <c r="F1158" s="40"/>
      <c r="G1158" s="35" t="str">
        <f aca="false">IF($A1158="","",IF(ISNUMBER($G1157),$G1157+1,1))</f>
        <v/>
      </c>
      <c r="H1158" s="36" t="str">
        <f aca="false">IF(OR(NOT(ISNUMBER($G1158)),$G1158&lt;2,NOT(ISNUMBER($C1157)),$C1157=0),"",$C1158/$C1157-1)</f>
        <v/>
      </c>
      <c r="I1158" s="37" t="str">
        <f aca="false">IF(AND(ISNUMBER($G1158),$G1158&gt;=MA_SHORT),AVERAGE(INDEX($C$758:$C1158,402-MA_SHORT):$C1158),"")</f>
        <v/>
      </c>
      <c r="J1158" s="37" t="str">
        <f aca="false">IF(AND(ISNUMBER($G1158),$G1158&gt;=MA_MED),AVERAGE(INDEX($C$758:$C1158,402-MA_MED):$C1158),"")</f>
        <v/>
      </c>
      <c r="K1158" s="37" t="str">
        <f aca="false">IF(AND(ISNUMBER($G1158),$G1158&gt;=MA_LONG2),AVERAGE(INDEX($C$758:$C1158,402-MA_LONG2):$C1158),"")</f>
        <v/>
      </c>
      <c r="L1158" s="38" t="str">
        <f aca="false">IF(AND(ISNUMBER($G1158),$G1158&gt;=21),STDEV(INDEX($H$1098:$H1158,62-20):$H1158)*SQRT(245),"")</f>
        <v/>
      </c>
      <c r="M1158" s="37" t="str">
        <f aca="false">IF(AND(ISNUMBER($G1158),$G1158&gt;=60),MAX(INDEX($D$958:$D1158,202-60):$D1158),"")</f>
        <v/>
      </c>
      <c r="N1158" s="37" t="str">
        <f aca="false">IF(AND(ISNUMBER($G1158),$G1158&gt;=60),MIN(INDEX($E$958:$E1158,202-60):$E1158),"")</f>
        <v/>
      </c>
      <c r="O1158" s="38" t="str">
        <f aca="false">IF(OR(NOT(ISNUMBER($C1158)),NOT(ISNUMBER($M1158)),$M1158=0),"",$C1158/$M1158-1)</f>
        <v/>
      </c>
    </row>
    <row r="1159" customFormat="false" ht="15" hidden="false" customHeight="true" outlineLevel="0" collapsed="false">
      <c r="A1159" s="39"/>
      <c r="B1159" s="40"/>
      <c r="C1159" s="41"/>
      <c r="D1159" s="40"/>
      <c r="E1159" s="40"/>
      <c r="F1159" s="40"/>
      <c r="G1159" s="35" t="str">
        <f aca="false">IF($A1159="","",IF(ISNUMBER($G1158),$G1158+1,1))</f>
        <v/>
      </c>
      <c r="H1159" s="36" t="str">
        <f aca="false">IF(OR(NOT(ISNUMBER($G1159)),$G1159&lt;2,NOT(ISNUMBER($C1158)),$C1158=0),"",$C1159/$C1158-1)</f>
        <v/>
      </c>
      <c r="I1159" s="37" t="str">
        <f aca="false">IF(AND(ISNUMBER($G1159),$G1159&gt;=MA_SHORT),AVERAGE(INDEX($C$759:$C1159,402-MA_SHORT):$C1159),"")</f>
        <v/>
      </c>
      <c r="J1159" s="37" t="str">
        <f aca="false">IF(AND(ISNUMBER($G1159),$G1159&gt;=MA_MED),AVERAGE(INDEX($C$759:$C1159,402-MA_MED):$C1159),"")</f>
        <v/>
      </c>
      <c r="K1159" s="37" t="str">
        <f aca="false">IF(AND(ISNUMBER($G1159),$G1159&gt;=MA_LONG2),AVERAGE(INDEX($C$759:$C1159,402-MA_LONG2):$C1159),"")</f>
        <v/>
      </c>
      <c r="L1159" s="38" t="str">
        <f aca="false">IF(AND(ISNUMBER($G1159),$G1159&gt;=21),STDEV(INDEX($H$1099:$H1159,62-20):$H1159)*SQRT(245),"")</f>
        <v/>
      </c>
      <c r="M1159" s="37" t="str">
        <f aca="false">IF(AND(ISNUMBER($G1159),$G1159&gt;=60),MAX(INDEX($D$959:$D1159,202-60):$D1159),"")</f>
        <v/>
      </c>
      <c r="N1159" s="37" t="str">
        <f aca="false">IF(AND(ISNUMBER($G1159),$G1159&gt;=60),MIN(INDEX($E$959:$E1159,202-60):$E1159),"")</f>
        <v/>
      </c>
      <c r="O1159" s="38" t="str">
        <f aca="false">IF(OR(NOT(ISNUMBER($C1159)),NOT(ISNUMBER($M1159)),$M1159=0),"",$C1159/$M1159-1)</f>
        <v/>
      </c>
    </row>
    <row r="1160" customFormat="false" ht="15" hidden="false" customHeight="true" outlineLevel="0" collapsed="false">
      <c r="A1160" s="39"/>
      <c r="B1160" s="40"/>
      <c r="C1160" s="41"/>
      <c r="D1160" s="40"/>
      <c r="E1160" s="40"/>
      <c r="F1160" s="40"/>
      <c r="G1160" s="35" t="str">
        <f aca="false">IF($A1160="","",IF(ISNUMBER($G1159),$G1159+1,1))</f>
        <v/>
      </c>
      <c r="H1160" s="36" t="str">
        <f aca="false">IF(OR(NOT(ISNUMBER($G1160)),$G1160&lt;2,NOT(ISNUMBER($C1159)),$C1159=0),"",$C1160/$C1159-1)</f>
        <v/>
      </c>
      <c r="I1160" s="37" t="str">
        <f aca="false">IF(AND(ISNUMBER($G1160),$G1160&gt;=MA_SHORT),AVERAGE(INDEX($C$760:$C1160,402-MA_SHORT):$C1160),"")</f>
        <v/>
      </c>
      <c r="J1160" s="37" t="str">
        <f aca="false">IF(AND(ISNUMBER($G1160),$G1160&gt;=MA_MED),AVERAGE(INDEX($C$760:$C1160,402-MA_MED):$C1160),"")</f>
        <v/>
      </c>
      <c r="K1160" s="37" t="str">
        <f aca="false">IF(AND(ISNUMBER($G1160),$G1160&gt;=MA_LONG2),AVERAGE(INDEX($C$760:$C1160,402-MA_LONG2):$C1160),"")</f>
        <v/>
      </c>
      <c r="L1160" s="38" t="str">
        <f aca="false">IF(AND(ISNUMBER($G1160),$G1160&gt;=21),STDEV(INDEX($H$1100:$H1160,62-20):$H1160)*SQRT(245),"")</f>
        <v/>
      </c>
      <c r="M1160" s="37" t="str">
        <f aca="false">IF(AND(ISNUMBER($G1160),$G1160&gt;=60),MAX(INDEX($D$960:$D1160,202-60):$D1160),"")</f>
        <v/>
      </c>
      <c r="N1160" s="37" t="str">
        <f aca="false">IF(AND(ISNUMBER($G1160),$G1160&gt;=60),MIN(INDEX($E$960:$E1160,202-60):$E1160),"")</f>
        <v/>
      </c>
      <c r="O1160" s="38" t="str">
        <f aca="false">IF(OR(NOT(ISNUMBER($C1160)),NOT(ISNUMBER($M1160)),$M1160=0),"",$C1160/$M1160-1)</f>
        <v/>
      </c>
    </row>
    <row r="1161" customFormat="false" ht="15" hidden="false" customHeight="true" outlineLevel="0" collapsed="false">
      <c r="A1161" s="39"/>
      <c r="B1161" s="40"/>
      <c r="C1161" s="41"/>
      <c r="D1161" s="40"/>
      <c r="E1161" s="40"/>
      <c r="F1161" s="40"/>
      <c r="G1161" s="35" t="str">
        <f aca="false">IF($A1161="","",IF(ISNUMBER($G1160),$G1160+1,1))</f>
        <v/>
      </c>
      <c r="H1161" s="36" t="str">
        <f aca="false">IF(OR(NOT(ISNUMBER($G1161)),$G1161&lt;2,NOT(ISNUMBER($C1160)),$C1160=0),"",$C1161/$C1160-1)</f>
        <v/>
      </c>
      <c r="I1161" s="37" t="str">
        <f aca="false">IF(AND(ISNUMBER($G1161),$G1161&gt;=MA_SHORT),AVERAGE(INDEX($C$761:$C1161,402-MA_SHORT):$C1161),"")</f>
        <v/>
      </c>
      <c r="J1161" s="37" t="str">
        <f aca="false">IF(AND(ISNUMBER($G1161),$G1161&gt;=MA_MED),AVERAGE(INDEX($C$761:$C1161,402-MA_MED):$C1161),"")</f>
        <v/>
      </c>
      <c r="K1161" s="37" t="str">
        <f aca="false">IF(AND(ISNUMBER($G1161),$G1161&gt;=MA_LONG2),AVERAGE(INDEX($C$761:$C1161,402-MA_LONG2):$C1161),"")</f>
        <v/>
      </c>
      <c r="L1161" s="38" t="str">
        <f aca="false">IF(AND(ISNUMBER($G1161),$G1161&gt;=21),STDEV(INDEX($H$1101:$H1161,62-20):$H1161)*SQRT(245),"")</f>
        <v/>
      </c>
      <c r="M1161" s="37" t="str">
        <f aca="false">IF(AND(ISNUMBER($G1161),$G1161&gt;=60),MAX(INDEX($D$961:$D1161,202-60):$D1161),"")</f>
        <v/>
      </c>
      <c r="N1161" s="37" t="str">
        <f aca="false">IF(AND(ISNUMBER($G1161),$G1161&gt;=60),MIN(INDEX($E$961:$E1161,202-60):$E1161),"")</f>
        <v/>
      </c>
      <c r="O1161" s="38" t="str">
        <f aca="false">IF(OR(NOT(ISNUMBER($C1161)),NOT(ISNUMBER($M1161)),$M1161=0),"",$C1161/$M1161-1)</f>
        <v/>
      </c>
    </row>
    <row r="1162" customFormat="false" ht="15" hidden="false" customHeight="true" outlineLevel="0" collapsed="false">
      <c r="A1162" s="39"/>
      <c r="B1162" s="40"/>
      <c r="C1162" s="41"/>
      <c r="D1162" s="40"/>
      <c r="E1162" s="40"/>
      <c r="F1162" s="40"/>
      <c r="G1162" s="35" t="str">
        <f aca="false">IF($A1162="","",IF(ISNUMBER($G1161),$G1161+1,1))</f>
        <v/>
      </c>
      <c r="H1162" s="36" t="str">
        <f aca="false">IF(OR(NOT(ISNUMBER($G1162)),$G1162&lt;2,NOT(ISNUMBER($C1161)),$C1161=0),"",$C1162/$C1161-1)</f>
        <v/>
      </c>
      <c r="I1162" s="37" t="str">
        <f aca="false">IF(AND(ISNUMBER($G1162),$G1162&gt;=MA_SHORT),AVERAGE(INDEX($C$762:$C1162,402-MA_SHORT):$C1162),"")</f>
        <v/>
      </c>
      <c r="J1162" s="37" t="str">
        <f aca="false">IF(AND(ISNUMBER($G1162),$G1162&gt;=MA_MED),AVERAGE(INDEX($C$762:$C1162,402-MA_MED):$C1162),"")</f>
        <v/>
      </c>
      <c r="K1162" s="37" t="str">
        <f aca="false">IF(AND(ISNUMBER($G1162),$G1162&gt;=MA_LONG2),AVERAGE(INDEX($C$762:$C1162,402-MA_LONG2):$C1162),"")</f>
        <v/>
      </c>
      <c r="L1162" s="38" t="str">
        <f aca="false">IF(AND(ISNUMBER($G1162),$G1162&gt;=21),STDEV(INDEX($H$1102:$H1162,62-20):$H1162)*SQRT(245),"")</f>
        <v/>
      </c>
      <c r="M1162" s="37" t="str">
        <f aca="false">IF(AND(ISNUMBER($G1162),$G1162&gt;=60),MAX(INDEX($D$962:$D1162,202-60):$D1162),"")</f>
        <v/>
      </c>
      <c r="N1162" s="37" t="str">
        <f aca="false">IF(AND(ISNUMBER($G1162),$G1162&gt;=60),MIN(INDEX($E$962:$E1162,202-60):$E1162),"")</f>
        <v/>
      </c>
      <c r="O1162" s="38" t="str">
        <f aca="false">IF(OR(NOT(ISNUMBER($C1162)),NOT(ISNUMBER($M1162)),$M1162=0),"",$C1162/$M1162-1)</f>
        <v/>
      </c>
    </row>
    <row r="1163" customFormat="false" ht="15" hidden="false" customHeight="true" outlineLevel="0" collapsed="false">
      <c r="A1163" s="39"/>
      <c r="B1163" s="40"/>
      <c r="C1163" s="41"/>
      <c r="D1163" s="40"/>
      <c r="E1163" s="40"/>
      <c r="F1163" s="40"/>
      <c r="G1163" s="35" t="str">
        <f aca="false">IF($A1163="","",IF(ISNUMBER($G1162),$G1162+1,1))</f>
        <v/>
      </c>
      <c r="H1163" s="36" t="str">
        <f aca="false">IF(OR(NOT(ISNUMBER($G1163)),$G1163&lt;2,NOT(ISNUMBER($C1162)),$C1162=0),"",$C1163/$C1162-1)</f>
        <v/>
      </c>
      <c r="I1163" s="37" t="str">
        <f aca="false">IF(AND(ISNUMBER($G1163),$G1163&gt;=MA_SHORT),AVERAGE(INDEX($C$763:$C1163,402-MA_SHORT):$C1163),"")</f>
        <v/>
      </c>
      <c r="J1163" s="37" t="str">
        <f aca="false">IF(AND(ISNUMBER($G1163),$G1163&gt;=MA_MED),AVERAGE(INDEX($C$763:$C1163,402-MA_MED):$C1163),"")</f>
        <v/>
      </c>
      <c r="K1163" s="37" t="str">
        <f aca="false">IF(AND(ISNUMBER($G1163),$G1163&gt;=MA_LONG2),AVERAGE(INDEX($C$763:$C1163,402-MA_LONG2):$C1163),"")</f>
        <v/>
      </c>
      <c r="L1163" s="38" t="str">
        <f aca="false">IF(AND(ISNUMBER($G1163),$G1163&gt;=21),STDEV(INDEX($H$1103:$H1163,62-20):$H1163)*SQRT(245),"")</f>
        <v/>
      </c>
      <c r="M1163" s="37" t="str">
        <f aca="false">IF(AND(ISNUMBER($G1163),$G1163&gt;=60),MAX(INDEX($D$963:$D1163,202-60):$D1163),"")</f>
        <v/>
      </c>
      <c r="N1163" s="37" t="str">
        <f aca="false">IF(AND(ISNUMBER($G1163),$G1163&gt;=60),MIN(INDEX($E$963:$E1163,202-60):$E1163),"")</f>
        <v/>
      </c>
      <c r="O1163" s="38" t="str">
        <f aca="false">IF(OR(NOT(ISNUMBER($C1163)),NOT(ISNUMBER($M1163)),$M1163=0),"",$C1163/$M1163-1)</f>
        <v/>
      </c>
    </row>
    <row r="1164" customFormat="false" ht="15" hidden="false" customHeight="true" outlineLevel="0" collapsed="false">
      <c r="A1164" s="39"/>
      <c r="B1164" s="40"/>
      <c r="C1164" s="41"/>
      <c r="D1164" s="40"/>
      <c r="E1164" s="40"/>
      <c r="F1164" s="40"/>
      <c r="G1164" s="35" t="str">
        <f aca="false">IF($A1164="","",IF(ISNUMBER($G1163),$G1163+1,1))</f>
        <v/>
      </c>
      <c r="H1164" s="36" t="str">
        <f aca="false">IF(OR(NOT(ISNUMBER($G1164)),$G1164&lt;2,NOT(ISNUMBER($C1163)),$C1163=0),"",$C1164/$C1163-1)</f>
        <v/>
      </c>
      <c r="I1164" s="37" t="str">
        <f aca="false">IF(AND(ISNUMBER($G1164),$G1164&gt;=MA_SHORT),AVERAGE(INDEX($C$764:$C1164,402-MA_SHORT):$C1164),"")</f>
        <v/>
      </c>
      <c r="J1164" s="37" t="str">
        <f aca="false">IF(AND(ISNUMBER($G1164),$G1164&gt;=MA_MED),AVERAGE(INDEX($C$764:$C1164,402-MA_MED):$C1164),"")</f>
        <v/>
      </c>
      <c r="K1164" s="37" t="str">
        <f aca="false">IF(AND(ISNUMBER($G1164),$G1164&gt;=MA_LONG2),AVERAGE(INDEX($C$764:$C1164,402-MA_LONG2):$C1164),"")</f>
        <v/>
      </c>
      <c r="L1164" s="38" t="str">
        <f aca="false">IF(AND(ISNUMBER($G1164),$G1164&gt;=21),STDEV(INDEX($H$1104:$H1164,62-20):$H1164)*SQRT(245),"")</f>
        <v/>
      </c>
      <c r="M1164" s="37" t="str">
        <f aca="false">IF(AND(ISNUMBER($G1164),$G1164&gt;=60),MAX(INDEX($D$964:$D1164,202-60):$D1164),"")</f>
        <v/>
      </c>
      <c r="N1164" s="37" t="str">
        <f aca="false">IF(AND(ISNUMBER($G1164),$G1164&gt;=60),MIN(INDEX($E$964:$E1164,202-60):$E1164),"")</f>
        <v/>
      </c>
      <c r="O1164" s="38" t="str">
        <f aca="false">IF(OR(NOT(ISNUMBER($C1164)),NOT(ISNUMBER($M1164)),$M1164=0),"",$C1164/$M1164-1)</f>
        <v/>
      </c>
    </row>
    <row r="1165" customFormat="false" ht="15" hidden="false" customHeight="true" outlineLevel="0" collapsed="false">
      <c r="A1165" s="39"/>
      <c r="B1165" s="40"/>
      <c r="C1165" s="41"/>
      <c r="D1165" s="40"/>
      <c r="E1165" s="40"/>
      <c r="F1165" s="40"/>
      <c r="G1165" s="35" t="str">
        <f aca="false">IF($A1165="","",IF(ISNUMBER($G1164),$G1164+1,1))</f>
        <v/>
      </c>
      <c r="H1165" s="36" t="str">
        <f aca="false">IF(OR(NOT(ISNUMBER($G1165)),$G1165&lt;2,NOT(ISNUMBER($C1164)),$C1164=0),"",$C1165/$C1164-1)</f>
        <v/>
      </c>
      <c r="I1165" s="37" t="str">
        <f aca="false">IF(AND(ISNUMBER($G1165),$G1165&gt;=MA_SHORT),AVERAGE(INDEX($C$765:$C1165,402-MA_SHORT):$C1165),"")</f>
        <v/>
      </c>
      <c r="J1165" s="37" t="str">
        <f aca="false">IF(AND(ISNUMBER($G1165),$G1165&gt;=MA_MED),AVERAGE(INDEX($C$765:$C1165,402-MA_MED):$C1165),"")</f>
        <v/>
      </c>
      <c r="K1165" s="37" t="str">
        <f aca="false">IF(AND(ISNUMBER($G1165),$G1165&gt;=MA_LONG2),AVERAGE(INDEX($C$765:$C1165,402-MA_LONG2):$C1165),"")</f>
        <v/>
      </c>
      <c r="L1165" s="38" t="str">
        <f aca="false">IF(AND(ISNUMBER($G1165),$G1165&gt;=21),STDEV(INDEX($H$1105:$H1165,62-20):$H1165)*SQRT(245),"")</f>
        <v/>
      </c>
      <c r="M1165" s="37" t="str">
        <f aca="false">IF(AND(ISNUMBER($G1165),$G1165&gt;=60),MAX(INDEX($D$965:$D1165,202-60):$D1165),"")</f>
        <v/>
      </c>
      <c r="N1165" s="37" t="str">
        <f aca="false">IF(AND(ISNUMBER($G1165),$G1165&gt;=60),MIN(INDEX($E$965:$E1165,202-60):$E1165),"")</f>
        <v/>
      </c>
      <c r="O1165" s="38" t="str">
        <f aca="false">IF(OR(NOT(ISNUMBER($C1165)),NOT(ISNUMBER($M1165)),$M1165=0),"",$C1165/$M1165-1)</f>
        <v/>
      </c>
    </row>
    <row r="1166" customFormat="false" ht="15" hidden="false" customHeight="true" outlineLevel="0" collapsed="false">
      <c r="A1166" s="39"/>
      <c r="B1166" s="40"/>
      <c r="C1166" s="41"/>
      <c r="D1166" s="40"/>
      <c r="E1166" s="40"/>
      <c r="F1166" s="40"/>
      <c r="G1166" s="35" t="str">
        <f aca="false">IF($A1166="","",IF(ISNUMBER($G1165),$G1165+1,1))</f>
        <v/>
      </c>
      <c r="H1166" s="36" t="str">
        <f aca="false">IF(OR(NOT(ISNUMBER($G1166)),$G1166&lt;2,NOT(ISNUMBER($C1165)),$C1165=0),"",$C1166/$C1165-1)</f>
        <v/>
      </c>
      <c r="I1166" s="37" t="str">
        <f aca="false">IF(AND(ISNUMBER($G1166),$G1166&gt;=MA_SHORT),AVERAGE(INDEX($C$766:$C1166,402-MA_SHORT):$C1166),"")</f>
        <v/>
      </c>
      <c r="J1166" s="37" t="str">
        <f aca="false">IF(AND(ISNUMBER($G1166),$G1166&gt;=MA_MED),AVERAGE(INDEX($C$766:$C1166,402-MA_MED):$C1166),"")</f>
        <v/>
      </c>
      <c r="K1166" s="37" t="str">
        <f aca="false">IF(AND(ISNUMBER($G1166),$G1166&gt;=MA_LONG2),AVERAGE(INDEX($C$766:$C1166,402-MA_LONG2):$C1166),"")</f>
        <v/>
      </c>
      <c r="L1166" s="38" t="str">
        <f aca="false">IF(AND(ISNUMBER($G1166),$G1166&gt;=21),STDEV(INDEX($H$1106:$H1166,62-20):$H1166)*SQRT(245),"")</f>
        <v/>
      </c>
      <c r="M1166" s="37" t="str">
        <f aca="false">IF(AND(ISNUMBER($G1166),$G1166&gt;=60),MAX(INDEX($D$966:$D1166,202-60):$D1166),"")</f>
        <v/>
      </c>
      <c r="N1166" s="37" t="str">
        <f aca="false">IF(AND(ISNUMBER($G1166),$G1166&gt;=60),MIN(INDEX($E$966:$E1166,202-60):$E1166),"")</f>
        <v/>
      </c>
      <c r="O1166" s="38" t="str">
        <f aca="false">IF(OR(NOT(ISNUMBER($C1166)),NOT(ISNUMBER($M1166)),$M1166=0),"",$C1166/$M1166-1)</f>
        <v/>
      </c>
    </row>
    <row r="1167" customFormat="false" ht="15" hidden="false" customHeight="true" outlineLevel="0" collapsed="false">
      <c r="A1167" s="39"/>
      <c r="B1167" s="40"/>
      <c r="C1167" s="41"/>
      <c r="D1167" s="40"/>
      <c r="E1167" s="40"/>
      <c r="F1167" s="40"/>
      <c r="G1167" s="35" t="str">
        <f aca="false">IF($A1167="","",IF(ISNUMBER($G1166),$G1166+1,1))</f>
        <v/>
      </c>
      <c r="H1167" s="36" t="str">
        <f aca="false">IF(OR(NOT(ISNUMBER($G1167)),$G1167&lt;2,NOT(ISNUMBER($C1166)),$C1166=0),"",$C1167/$C1166-1)</f>
        <v/>
      </c>
      <c r="I1167" s="37" t="str">
        <f aca="false">IF(AND(ISNUMBER($G1167),$G1167&gt;=MA_SHORT),AVERAGE(INDEX($C$767:$C1167,402-MA_SHORT):$C1167),"")</f>
        <v/>
      </c>
      <c r="J1167" s="37" t="str">
        <f aca="false">IF(AND(ISNUMBER($G1167),$G1167&gt;=MA_MED),AVERAGE(INDEX($C$767:$C1167,402-MA_MED):$C1167),"")</f>
        <v/>
      </c>
      <c r="K1167" s="37" t="str">
        <f aca="false">IF(AND(ISNUMBER($G1167),$G1167&gt;=MA_LONG2),AVERAGE(INDEX($C$767:$C1167,402-MA_LONG2):$C1167),"")</f>
        <v/>
      </c>
      <c r="L1167" s="38" t="str">
        <f aca="false">IF(AND(ISNUMBER($G1167),$G1167&gt;=21),STDEV(INDEX($H$1107:$H1167,62-20):$H1167)*SQRT(245),"")</f>
        <v/>
      </c>
      <c r="M1167" s="37" t="str">
        <f aca="false">IF(AND(ISNUMBER($G1167),$G1167&gt;=60),MAX(INDEX($D$967:$D1167,202-60):$D1167),"")</f>
        <v/>
      </c>
      <c r="N1167" s="37" t="str">
        <f aca="false">IF(AND(ISNUMBER($G1167),$G1167&gt;=60),MIN(INDEX($E$967:$E1167,202-60):$E1167),"")</f>
        <v/>
      </c>
      <c r="O1167" s="38" t="str">
        <f aca="false">IF(OR(NOT(ISNUMBER($C1167)),NOT(ISNUMBER($M1167)),$M1167=0),"",$C1167/$M1167-1)</f>
        <v/>
      </c>
    </row>
    <row r="1168" customFormat="false" ht="15" hidden="false" customHeight="true" outlineLevel="0" collapsed="false">
      <c r="A1168" s="39"/>
      <c r="B1168" s="40"/>
      <c r="C1168" s="41"/>
      <c r="D1168" s="40"/>
      <c r="E1168" s="40"/>
      <c r="F1168" s="40"/>
      <c r="G1168" s="35" t="str">
        <f aca="false">IF($A1168="","",IF(ISNUMBER($G1167),$G1167+1,1))</f>
        <v/>
      </c>
      <c r="H1168" s="36" t="str">
        <f aca="false">IF(OR(NOT(ISNUMBER($G1168)),$G1168&lt;2,NOT(ISNUMBER($C1167)),$C1167=0),"",$C1168/$C1167-1)</f>
        <v/>
      </c>
      <c r="I1168" s="37" t="str">
        <f aca="false">IF(AND(ISNUMBER($G1168),$G1168&gt;=MA_SHORT),AVERAGE(INDEX($C$768:$C1168,402-MA_SHORT):$C1168),"")</f>
        <v/>
      </c>
      <c r="J1168" s="37" t="str">
        <f aca="false">IF(AND(ISNUMBER($G1168),$G1168&gt;=MA_MED),AVERAGE(INDEX($C$768:$C1168,402-MA_MED):$C1168),"")</f>
        <v/>
      </c>
      <c r="K1168" s="37" t="str">
        <f aca="false">IF(AND(ISNUMBER($G1168),$G1168&gt;=MA_LONG2),AVERAGE(INDEX($C$768:$C1168,402-MA_LONG2):$C1168),"")</f>
        <v/>
      </c>
      <c r="L1168" s="38" t="str">
        <f aca="false">IF(AND(ISNUMBER($G1168),$G1168&gt;=21),STDEV(INDEX($H$1108:$H1168,62-20):$H1168)*SQRT(245),"")</f>
        <v/>
      </c>
      <c r="M1168" s="37" t="str">
        <f aca="false">IF(AND(ISNUMBER($G1168),$G1168&gt;=60),MAX(INDEX($D$968:$D1168,202-60):$D1168),"")</f>
        <v/>
      </c>
      <c r="N1168" s="37" t="str">
        <f aca="false">IF(AND(ISNUMBER($G1168),$G1168&gt;=60),MIN(INDEX($E$968:$E1168,202-60):$E1168),"")</f>
        <v/>
      </c>
      <c r="O1168" s="38" t="str">
        <f aca="false">IF(OR(NOT(ISNUMBER($C1168)),NOT(ISNUMBER($M1168)),$M1168=0),"",$C1168/$M1168-1)</f>
        <v/>
      </c>
    </row>
    <row r="1169" customFormat="false" ht="15" hidden="false" customHeight="true" outlineLevel="0" collapsed="false">
      <c r="A1169" s="39"/>
      <c r="B1169" s="40"/>
      <c r="C1169" s="41"/>
      <c r="D1169" s="40"/>
      <c r="E1169" s="40"/>
      <c r="F1169" s="40"/>
      <c r="G1169" s="35" t="str">
        <f aca="false">IF($A1169="","",IF(ISNUMBER($G1168),$G1168+1,1))</f>
        <v/>
      </c>
      <c r="H1169" s="36" t="str">
        <f aca="false">IF(OR(NOT(ISNUMBER($G1169)),$G1169&lt;2,NOT(ISNUMBER($C1168)),$C1168=0),"",$C1169/$C1168-1)</f>
        <v/>
      </c>
      <c r="I1169" s="37" t="str">
        <f aca="false">IF(AND(ISNUMBER($G1169),$G1169&gt;=MA_SHORT),AVERAGE(INDEX($C$769:$C1169,402-MA_SHORT):$C1169),"")</f>
        <v/>
      </c>
      <c r="J1169" s="37" t="str">
        <f aca="false">IF(AND(ISNUMBER($G1169),$G1169&gt;=MA_MED),AVERAGE(INDEX($C$769:$C1169,402-MA_MED):$C1169),"")</f>
        <v/>
      </c>
      <c r="K1169" s="37" t="str">
        <f aca="false">IF(AND(ISNUMBER($G1169),$G1169&gt;=MA_LONG2),AVERAGE(INDEX($C$769:$C1169,402-MA_LONG2):$C1169),"")</f>
        <v/>
      </c>
      <c r="L1169" s="38" t="str">
        <f aca="false">IF(AND(ISNUMBER($G1169),$G1169&gt;=21),STDEV(INDEX($H$1109:$H1169,62-20):$H1169)*SQRT(245),"")</f>
        <v/>
      </c>
      <c r="M1169" s="37" t="str">
        <f aca="false">IF(AND(ISNUMBER($G1169),$G1169&gt;=60),MAX(INDEX($D$969:$D1169,202-60):$D1169),"")</f>
        <v/>
      </c>
      <c r="N1169" s="37" t="str">
        <f aca="false">IF(AND(ISNUMBER($G1169),$G1169&gt;=60),MIN(INDEX($E$969:$E1169,202-60):$E1169),"")</f>
        <v/>
      </c>
      <c r="O1169" s="38" t="str">
        <f aca="false">IF(OR(NOT(ISNUMBER($C1169)),NOT(ISNUMBER($M1169)),$M1169=0),"",$C1169/$M1169-1)</f>
        <v/>
      </c>
    </row>
    <row r="1170" customFormat="false" ht="15" hidden="false" customHeight="true" outlineLevel="0" collapsed="false">
      <c r="A1170" s="39"/>
      <c r="B1170" s="40"/>
      <c r="C1170" s="41"/>
      <c r="D1170" s="40"/>
      <c r="E1170" s="40"/>
      <c r="F1170" s="40"/>
      <c r="G1170" s="35" t="str">
        <f aca="false">IF($A1170="","",IF(ISNUMBER($G1169),$G1169+1,1))</f>
        <v/>
      </c>
      <c r="H1170" s="36" t="str">
        <f aca="false">IF(OR(NOT(ISNUMBER($G1170)),$G1170&lt;2,NOT(ISNUMBER($C1169)),$C1169=0),"",$C1170/$C1169-1)</f>
        <v/>
      </c>
      <c r="I1170" s="37" t="str">
        <f aca="false">IF(AND(ISNUMBER($G1170),$G1170&gt;=MA_SHORT),AVERAGE(INDEX($C$770:$C1170,402-MA_SHORT):$C1170),"")</f>
        <v/>
      </c>
      <c r="J1170" s="37" t="str">
        <f aca="false">IF(AND(ISNUMBER($G1170),$G1170&gt;=MA_MED),AVERAGE(INDEX($C$770:$C1170,402-MA_MED):$C1170),"")</f>
        <v/>
      </c>
      <c r="K1170" s="37" t="str">
        <f aca="false">IF(AND(ISNUMBER($G1170),$G1170&gt;=MA_LONG2),AVERAGE(INDEX($C$770:$C1170,402-MA_LONG2):$C1170),"")</f>
        <v/>
      </c>
      <c r="L1170" s="38" t="str">
        <f aca="false">IF(AND(ISNUMBER($G1170),$G1170&gt;=21),STDEV(INDEX($H$1110:$H1170,62-20):$H1170)*SQRT(245),"")</f>
        <v/>
      </c>
      <c r="M1170" s="37" t="str">
        <f aca="false">IF(AND(ISNUMBER($G1170),$G1170&gt;=60),MAX(INDEX($D$970:$D1170,202-60):$D1170),"")</f>
        <v/>
      </c>
      <c r="N1170" s="37" t="str">
        <f aca="false">IF(AND(ISNUMBER($G1170),$G1170&gt;=60),MIN(INDEX($E$970:$E1170,202-60):$E1170),"")</f>
        <v/>
      </c>
      <c r="O1170" s="38" t="str">
        <f aca="false">IF(OR(NOT(ISNUMBER($C1170)),NOT(ISNUMBER($M1170)),$M1170=0),"",$C1170/$M1170-1)</f>
        <v/>
      </c>
    </row>
    <row r="1171" customFormat="false" ht="15" hidden="false" customHeight="true" outlineLevel="0" collapsed="false">
      <c r="A1171" s="39"/>
      <c r="B1171" s="40"/>
      <c r="C1171" s="41"/>
      <c r="D1171" s="40"/>
      <c r="E1171" s="40"/>
      <c r="F1171" s="40"/>
      <c r="G1171" s="35" t="str">
        <f aca="false">IF($A1171="","",IF(ISNUMBER($G1170),$G1170+1,1))</f>
        <v/>
      </c>
      <c r="H1171" s="36" t="str">
        <f aca="false">IF(OR(NOT(ISNUMBER($G1171)),$G1171&lt;2,NOT(ISNUMBER($C1170)),$C1170=0),"",$C1171/$C1170-1)</f>
        <v/>
      </c>
      <c r="I1171" s="37" t="str">
        <f aca="false">IF(AND(ISNUMBER($G1171),$G1171&gt;=MA_SHORT),AVERAGE(INDEX($C$771:$C1171,402-MA_SHORT):$C1171),"")</f>
        <v/>
      </c>
      <c r="J1171" s="37" t="str">
        <f aca="false">IF(AND(ISNUMBER($G1171),$G1171&gt;=MA_MED),AVERAGE(INDEX($C$771:$C1171,402-MA_MED):$C1171),"")</f>
        <v/>
      </c>
      <c r="K1171" s="37" t="str">
        <f aca="false">IF(AND(ISNUMBER($G1171),$G1171&gt;=MA_LONG2),AVERAGE(INDEX($C$771:$C1171,402-MA_LONG2):$C1171),"")</f>
        <v/>
      </c>
      <c r="L1171" s="38" t="str">
        <f aca="false">IF(AND(ISNUMBER($G1171),$G1171&gt;=21),STDEV(INDEX($H$1111:$H1171,62-20):$H1171)*SQRT(245),"")</f>
        <v/>
      </c>
      <c r="M1171" s="37" t="str">
        <f aca="false">IF(AND(ISNUMBER($G1171),$G1171&gt;=60),MAX(INDEX($D$971:$D1171,202-60):$D1171),"")</f>
        <v/>
      </c>
      <c r="N1171" s="37" t="str">
        <f aca="false">IF(AND(ISNUMBER($G1171),$G1171&gt;=60),MIN(INDEX($E$971:$E1171,202-60):$E1171),"")</f>
        <v/>
      </c>
      <c r="O1171" s="38" t="str">
        <f aca="false">IF(OR(NOT(ISNUMBER($C1171)),NOT(ISNUMBER($M1171)),$M1171=0),"",$C1171/$M1171-1)</f>
        <v/>
      </c>
    </row>
    <row r="1172" customFormat="false" ht="15" hidden="false" customHeight="true" outlineLevel="0" collapsed="false">
      <c r="A1172" s="39"/>
      <c r="B1172" s="40"/>
      <c r="C1172" s="41"/>
      <c r="D1172" s="40"/>
      <c r="E1172" s="40"/>
      <c r="F1172" s="40"/>
      <c r="G1172" s="35" t="str">
        <f aca="false">IF($A1172="","",IF(ISNUMBER($G1171),$G1171+1,1))</f>
        <v/>
      </c>
      <c r="H1172" s="36" t="str">
        <f aca="false">IF(OR(NOT(ISNUMBER($G1172)),$G1172&lt;2,NOT(ISNUMBER($C1171)),$C1171=0),"",$C1172/$C1171-1)</f>
        <v/>
      </c>
      <c r="I1172" s="37" t="str">
        <f aca="false">IF(AND(ISNUMBER($G1172),$G1172&gt;=MA_SHORT),AVERAGE(INDEX($C$772:$C1172,402-MA_SHORT):$C1172),"")</f>
        <v/>
      </c>
      <c r="J1172" s="37" t="str">
        <f aca="false">IF(AND(ISNUMBER($G1172),$G1172&gt;=MA_MED),AVERAGE(INDEX($C$772:$C1172,402-MA_MED):$C1172),"")</f>
        <v/>
      </c>
      <c r="K1172" s="37" t="str">
        <f aca="false">IF(AND(ISNUMBER($G1172),$G1172&gt;=MA_LONG2),AVERAGE(INDEX($C$772:$C1172,402-MA_LONG2):$C1172),"")</f>
        <v/>
      </c>
      <c r="L1172" s="38" t="str">
        <f aca="false">IF(AND(ISNUMBER($G1172),$G1172&gt;=21),STDEV(INDEX($H$1112:$H1172,62-20):$H1172)*SQRT(245),"")</f>
        <v/>
      </c>
      <c r="M1172" s="37" t="str">
        <f aca="false">IF(AND(ISNUMBER($G1172),$G1172&gt;=60),MAX(INDEX($D$972:$D1172,202-60):$D1172),"")</f>
        <v/>
      </c>
      <c r="N1172" s="37" t="str">
        <f aca="false">IF(AND(ISNUMBER($G1172),$G1172&gt;=60),MIN(INDEX($E$972:$E1172,202-60):$E1172),"")</f>
        <v/>
      </c>
      <c r="O1172" s="38" t="str">
        <f aca="false">IF(OR(NOT(ISNUMBER($C1172)),NOT(ISNUMBER($M1172)),$M1172=0),"",$C1172/$M1172-1)</f>
        <v/>
      </c>
    </row>
    <row r="1173" customFormat="false" ht="15" hidden="false" customHeight="true" outlineLevel="0" collapsed="false">
      <c r="A1173" s="39"/>
      <c r="B1173" s="40"/>
      <c r="C1173" s="41"/>
      <c r="D1173" s="40"/>
      <c r="E1173" s="40"/>
      <c r="F1173" s="40"/>
      <c r="G1173" s="35" t="str">
        <f aca="false">IF($A1173="","",IF(ISNUMBER($G1172),$G1172+1,1))</f>
        <v/>
      </c>
      <c r="H1173" s="36" t="str">
        <f aca="false">IF(OR(NOT(ISNUMBER($G1173)),$G1173&lt;2,NOT(ISNUMBER($C1172)),$C1172=0),"",$C1173/$C1172-1)</f>
        <v/>
      </c>
      <c r="I1173" s="37" t="str">
        <f aca="false">IF(AND(ISNUMBER($G1173),$G1173&gt;=MA_SHORT),AVERAGE(INDEX($C$773:$C1173,402-MA_SHORT):$C1173),"")</f>
        <v/>
      </c>
      <c r="J1173" s="37" t="str">
        <f aca="false">IF(AND(ISNUMBER($G1173),$G1173&gt;=MA_MED),AVERAGE(INDEX($C$773:$C1173,402-MA_MED):$C1173),"")</f>
        <v/>
      </c>
      <c r="K1173" s="37" t="str">
        <f aca="false">IF(AND(ISNUMBER($G1173),$G1173&gt;=MA_LONG2),AVERAGE(INDEX($C$773:$C1173,402-MA_LONG2):$C1173),"")</f>
        <v/>
      </c>
      <c r="L1173" s="38" t="str">
        <f aca="false">IF(AND(ISNUMBER($G1173),$G1173&gt;=21),STDEV(INDEX($H$1113:$H1173,62-20):$H1173)*SQRT(245),"")</f>
        <v/>
      </c>
      <c r="M1173" s="37" t="str">
        <f aca="false">IF(AND(ISNUMBER($G1173),$G1173&gt;=60),MAX(INDEX($D$973:$D1173,202-60):$D1173),"")</f>
        <v/>
      </c>
      <c r="N1173" s="37" t="str">
        <f aca="false">IF(AND(ISNUMBER($G1173),$G1173&gt;=60),MIN(INDEX($E$973:$E1173,202-60):$E1173),"")</f>
        <v/>
      </c>
      <c r="O1173" s="38" t="str">
        <f aca="false">IF(OR(NOT(ISNUMBER($C1173)),NOT(ISNUMBER($M1173)),$M1173=0),"",$C1173/$M1173-1)</f>
        <v/>
      </c>
    </row>
    <row r="1174" customFormat="false" ht="15" hidden="false" customHeight="true" outlineLevel="0" collapsed="false">
      <c r="A1174" s="39"/>
      <c r="B1174" s="40"/>
      <c r="C1174" s="41"/>
      <c r="D1174" s="40"/>
      <c r="E1174" s="40"/>
      <c r="F1174" s="40"/>
      <c r="G1174" s="35" t="str">
        <f aca="false">IF($A1174="","",IF(ISNUMBER($G1173),$G1173+1,1))</f>
        <v/>
      </c>
      <c r="H1174" s="36" t="str">
        <f aca="false">IF(OR(NOT(ISNUMBER($G1174)),$G1174&lt;2,NOT(ISNUMBER($C1173)),$C1173=0),"",$C1174/$C1173-1)</f>
        <v/>
      </c>
      <c r="I1174" s="37" t="str">
        <f aca="false">IF(AND(ISNUMBER($G1174),$G1174&gt;=MA_SHORT),AVERAGE(INDEX($C$774:$C1174,402-MA_SHORT):$C1174),"")</f>
        <v/>
      </c>
      <c r="J1174" s="37" t="str">
        <f aca="false">IF(AND(ISNUMBER($G1174),$G1174&gt;=MA_MED),AVERAGE(INDEX($C$774:$C1174,402-MA_MED):$C1174),"")</f>
        <v/>
      </c>
      <c r="K1174" s="37" t="str">
        <f aca="false">IF(AND(ISNUMBER($G1174),$G1174&gt;=MA_LONG2),AVERAGE(INDEX($C$774:$C1174,402-MA_LONG2):$C1174),"")</f>
        <v/>
      </c>
      <c r="L1174" s="38" t="str">
        <f aca="false">IF(AND(ISNUMBER($G1174),$G1174&gt;=21),STDEV(INDEX($H$1114:$H1174,62-20):$H1174)*SQRT(245),"")</f>
        <v/>
      </c>
      <c r="M1174" s="37" t="str">
        <f aca="false">IF(AND(ISNUMBER($G1174),$G1174&gt;=60),MAX(INDEX($D$974:$D1174,202-60):$D1174),"")</f>
        <v/>
      </c>
      <c r="N1174" s="37" t="str">
        <f aca="false">IF(AND(ISNUMBER($G1174),$G1174&gt;=60),MIN(INDEX($E$974:$E1174,202-60):$E1174),"")</f>
        <v/>
      </c>
      <c r="O1174" s="38" t="str">
        <f aca="false">IF(OR(NOT(ISNUMBER($C1174)),NOT(ISNUMBER($M1174)),$M1174=0),"",$C1174/$M1174-1)</f>
        <v/>
      </c>
    </row>
    <row r="1175" customFormat="false" ht="15" hidden="false" customHeight="true" outlineLevel="0" collapsed="false">
      <c r="A1175" s="39"/>
      <c r="B1175" s="40"/>
      <c r="C1175" s="41"/>
      <c r="D1175" s="40"/>
      <c r="E1175" s="40"/>
      <c r="F1175" s="40"/>
      <c r="G1175" s="35" t="str">
        <f aca="false">IF($A1175="","",IF(ISNUMBER($G1174),$G1174+1,1))</f>
        <v/>
      </c>
      <c r="H1175" s="36" t="str">
        <f aca="false">IF(OR(NOT(ISNUMBER($G1175)),$G1175&lt;2,NOT(ISNUMBER($C1174)),$C1174=0),"",$C1175/$C1174-1)</f>
        <v/>
      </c>
      <c r="I1175" s="37" t="str">
        <f aca="false">IF(AND(ISNUMBER($G1175),$G1175&gt;=MA_SHORT),AVERAGE(INDEX($C$775:$C1175,402-MA_SHORT):$C1175),"")</f>
        <v/>
      </c>
      <c r="J1175" s="37" t="str">
        <f aca="false">IF(AND(ISNUMBER($G1175),$G1175&gt;=MA_MED),AVERAGE(INDEX($C$775:$C1175,402-MA_MED):$C1175),"")</f>
        <v/>
      </c>
      <c r="K1175" s="37" t="str">
        <f aca="false">IF(AND(ISNUMBER($G1175),$G1175&gt;=MA_LONG2),AVERAGE(INDEX($C$775:$C1175,402-MA_LONG2):$C1175),"")</f>
        <v/>
      </c>
      <c r="L1175" s="38" t="str">
        <f aca="false">IF(AND(ISNUMBER($G1175),$G1175&gt;=21),STDEV(INDEX($H$1115:$H1175,62-20):$H1175)*SQRT(245),"")</f>
        <v/>
      </c>
      <c r="M1175" s="37" t="str">
        <f aca="false">IF(AND(ISNUMBER($G1175),$G1175&gt;=60),MAX(INDEX($D$975:$D1175,202-60):$D1175),"")</f>
        <v/>
      </c>
      <c r="N1175" s="37" t="str">
        <f aca="false">IF(AND(ISNUMBER($G1175),$G1175&gt;=60),MIN(INDEX($E$975:$E1175,202-60):$E1175),"")</f>
        <v/>
      </c>
      <c r="O1175" s="38" t="str">
        <f aca="false">IF(OR(NOT(ISNUMBER($C1175)),NOT(ISNUMBER($M1175)),$M1175=0),"",$C1175/$M1175-1)</f>
        <v/>
      </c>
    </row>
    <row r="1176" customFormat="false" ht="15" hidden="false" customHeight="true" outlineLevel="0" collapsed="false">
      <c r="A1176" s="39"/>
      <c r="B1176" s="40"/>
      <c r="C1176" s="41"/>
      <c r="D1176" s="40"/>
      <c r="E1176" s="40"/>
      <c r="F1176" s="40"/>
      <c r="G1176" s="35" t="str">
        <f aca="false">IF($A1176="","",IF(ISNUMBER($G1175),$G1175+1,1))</f>
        <v/>
      </c>
      <c r="H1176" s="36" t="str">
        <f aca="false">IF(OR(NOT(ISNUMBER($G1176)),$G1176&lt;2,NOT(ISNUMBER($C1175)),$C1175=0),"",$C1176/$C1175-1)</f>
        <v/>
      </c>
      <c r="I1176" s="37" t="str">
        <f aca="false">IF(AND(ISNUMBER($G1176),$G1176&gt;=MA_SHORT),AVERAGE(INDEX($C$776:$C1176,402-MA_SHORT):$C1176),"")</f>
        <v/>
      </c>
      <c r="J1176" s="37" t="str">
        <f aca="false">IF(AND(ISNUMBER($G1176),$G1176&gt;=MA_MED),AVERAGE(INDEX($C$776:$C1176,402-MA_MED):$C1176),"")</f>
        <v/>
      </c>
      <c r="K1176" s="37" t="str">
        <f aca="false">IF(AND(ISNUMBER($G1176),$G1176&gt;=MA_LONG2),AVERAGE(INDEX($C$776:$C1176,402-MA_LONG2):$C1176),"")</f>
        <v/>
      </c>
      <c r="L1176" s="38" t="str">
        <f aca="false">IF(AND(ISNUMBER($G1176),$G1176&gt;=21),STDEV(INDEX($H$1116:$H1176,62-20):$H1176)*SQRT(245),"")</f>
        <v/>
      </c>
      <c r="M1176" s="37" t="str">
        <f aca="false">IF(AND(ISNUMBER($G1176),$G1176&gt;=60),MAX(INDEX($D$976:$D1176,202-60):$D1176),"")</f>
        <v/>
      </c>
      <c r="N1176" s="37" t="str">
        <f aca="false">IF(AND(ISNUMBER($G1176),$G1176&gt;=60),MIN(INDEX($E$976:$E1176,202-60):$E1176),"")</f>
        <v/>
      </c>
      <c r="O1176" s="38" t="str">
        <f aca="false">IF(OR(NOT(ISNUMBER($C1176)),NOT(ISNUMBER($M1176)),$M1176=0),"",$C1176/$M1176-1)</f>
        <v/>
      </c>
    </row>
    <row r="1177" customFormat="false" ht="15" hidden="false" customHeight="true" outlineLevel="0" collapsed="false">
      <c r="A1177" s="39"/>
      <c r="B1177" s="40"/>
      <c r="C1177" s="41"/>
      <c r="D1177" s="40"/>
      <c r="E1177" s="40"/>
      <c r="F1177" s="40"/>
      <c r="G1177" s="35" t="str">
        <f aca="false">IF($A1177="","",IF(ISNUMBER($G1176),$G1176+1,1))</f>
        <v/>
      </c>
      <c r="H1177" s="36" t="str">
        <f aca="false">IF(OR(NOT(ISNUMBER($G1177)),$G1177&lt;2,NOT(ISNUMBER($C1176)),$C1176=0),"",$C1177/$C1176-1)</f>
        <v/>
      </c>
      <c r="I1177" s="37" t="str">
        <f aca="false">IF(AND(ISNUMBER($G1177),$G1177&gt;=MA_SHORT),AVERAGE(INDEX($C$777:$C1177,402-MA_SHORT):$C1177),"")</f>
        <v/>
      </c>
      <c r="J1177" s="37" t="str">
        <f aca="false">IF(AND(ISNUMBER($G1177),$G1177&gt;=MA_MED),AVERAGE(INDEX($C$777:$C1177,402-MA_MED):$C1177),"")</f>
        <v/>
      </c>
      <c r="K1177" s="37" t="str">
        <f aca="false">IF(AND(ISNUMBER($G1177),$G1177&gt;=MA_LONG2),AVERAGE(INDEX($C$777:$C1177,402-MA_LONG2):$C1177),"")</f>
        <v/>
      </c>
      <c r="L1177" s="38" t="str">
        <f aca="false">IF(AND(ISNUMBER($G1177),$G1177&gt;=21),STDEV(INDEX($H$1117:$H1177,62-20):$H1177)*SQRT(245),"")</f>
        <v/>
      </c>
      <c r="M1177" s="37" t="str">
        <f aca="false">IF(AND(ISNUMBER($G1177),$G1177&gt;=60),MAX(INDEX($D$977:$D1177,202-60):$D1177),"")</f>
        <v/>
      </c>
      <c r="N1177" s="37" t="str">
        <f aca="false">IF(AND(ISNUMBER($G1177),$G1177&gt;=60),MIN(INDEX($E$977:$E1177,202-60):$E1177),"")</f>
        <v/>
      </c>
      <c r="O1177" s="38" t="str">
        <f aca="false">IF(OR(NOT(ISNUMBER($C1177)),NOT(ISNUMBER($M1177)),$M1177=0),"",$C1177/$M1177-1)</f>
        <v/>
      </c>
    </row>
    <row r="1178" customFormat="false" ht="15" hidden="false" customHeight="true" outlineLevel="0" collapsed="false">
      <c r="A1178" s="39"/>
      <c r="B1178" s="40"/>
      <c r="C1178" s="41"/>
      <c r="D1178" s="40"/>
      <c r="E1178" s="40"/>
      <c r="F1178" s="40"/>
      <c r="G1178" s="35" t="str">
        <f aca="false">IF($A1178="","",IF(ISNUMBER($G1177),$G1177+1,1))</f>
        <v/>
      </c>
      <c r="H1178" s="36" t="str">
        <f aca="false">IF(OR(NOT(ISNUMBER($G1178)),$G1178&lt;2,NOT(ISNUMBER($C1177)),$C1177=0),"",$C1178/$C1177-1)</f>
        <v/>
      </c>
      <c r="I1178" s="37" t="str">
        <f aca="false">IF(AND(ISNUMBER($G1178),$G1178&gt;=MA_SHORT),AVERAGE(INDEX($C$778:$C1178,402-MA_SHORT):$C1178),"")</f>
        <v/>
      </c>
      <c r="J1178" s="37" t="str">
        <f aca="false">IF(AND(ISNUMBER($G1178),$G1178&gt;=MA_MED),AVERAGE(INDEX($C$778:$C1178,402-MA_MED):$C1178),"")</f>
        <v/>
      </c>
      <c r="K1178" s="37" t="str">
        <f aca="false">IF(AND(ISNUMBER($G1178),$G1178&gt;=MA_LONG2),AVERAGE(INDEX($C$778:$C1178,402-MA_LONG2):$C1178),"")</f>
        <v/>
      </c>
      <c r="L1178" s="38" t="str">
        <f aca="false">IF(AND(ISNUMBER($G1178),$G1178&gt;=21),STDEV(INDEX($H$1118:$H1178,62-20):$H1178)*SQRT(245),"")</f>
        <v/>
      </c>
      <c r="M1178" s="37" t="str">
        <f aca="false">IF(AND(ISNUMBER($G1178),$G1178&gt;=60),MAX(INDEX($D$978:$D1178,202-60):$D1178),"")</f>
        <v/>
      </c>
      <c r="N1178" s="37" t="str">
        <f aca="false">IF(AND(ISNUMBER($G1178),$G1178&gt;=60),MIN(INDEX($E$978:$E1178,202-60):$E1178),"")</f>
        <v/>
      </c>
      <c r="O1178" s="38" t="str">
        <f aca="false">IF(OR(NOT(ISNUMBER($C1178)),NOT(ISNUMBER($M1178)),$M1178=0),"",$C1178/$M1178-1)</f>
        <v/>
      </c>
    </row>
    <row r="1179" customFormat="false" ht="15" hidden="false" customHeight="true" outlineLevel="0" collapsed="false">
      <c r="A1179" s="39"/>
      <c r="B1179" s="40"/>
      <c r="C1179" s="41"/>
      <c r="D1179" s="40"/>
      <c r="E1179" s="40"/>
      <c r="F1179" s="40"/>
      <c r="G1179" s="35" t="str">
        <f aca="false">IF($A1179="","",IF(ISNUMBER($G1178),$G1178+1,1))</f>
        <v/>
      </c>
      <c r="H1179" s="36" t="str">
        <f aca="false">IF(OR(NOT(ISNUMBER($G1179)),$G1179&lt;2,NOT(ISNUMBER($C1178)),$C1178=0),"",$C1179/$C1178-1)</f>
        <v/>
      </c>
      <c r="I1179" s="37" t="str">
        <f aca="false">IF(AND(ISNUMBER($G1179),$G1179&gt;=MA_SHORT),AVERAGE(INDEX($C$779:$C1179,402-MA_SHORT):$C1179),"")</f>
        <v/>
      </c>
      <c r="J1179" s="37" t="str">
        <f aca="false">IF(AND(ISNUMBER($G1179),$G1179&gt;=MA_MED),AVERAGE(INDEX($C$779:$C1179,402-MA_MED):$C1179),"")</f>
        <v/>
      </c>
      <c r="K1179" s="37" t="str">
        <f aca="false">IF(AND(ISNUMBER($G1179),$G1179&gt;=MA_LONG2),AVERAGE(INDEX($C$779:$C1179,402-MA_LONG2):$C1179),"")</f>
        <v/>
      </c>
      <c r="L1179" s="38" t="str">
        <f aca="false">IF(AND(ISNUMBER($G1179),$G1179&gt;=21),STDEV(INDEX($H$1119:$H1179,62-20):$H1179)*SQRT(245),"")</f>
        <v/>
      </c>
      <c r="M1179" s="37" t="str">
        <f aca="false">IF(AND(ISNUMBER($G1179),$G1179&gt;=60),MAX(INDEX($D$979:$D1179,202-60):$D1179),"")</f>
        <v/>
      </c>
      <c r="N1179" s="37" t="str">
        <f aca="false">IF(AND(ISNUMBER($G1179),$G1179&gt;=60),MIN(INDEX($E$979:$E1179,202-60):$E1179),"")</f>
        <v/>
      </c>
      <c r="O1179" s="38" t="str">
        <f aca="false">IF(OR(NOT(ISNUMBER($C1179)),NOT(ISNUMBER($M1179)),$M1179=0),"",$C1179/$M1179-1)</f>
        <v/>
      </c>
    </row>
    <row r="1180" customFormat="false" ht="15" hidden="false" customHeight="true" outlineLevel="0" collapsed="false">
      <c r="A1180" s="39"/>
      <c r="B1180" s="40"/>
      <c r="C1180" s="41"/>
      <c r="D1180" s="40"/>
      <c r="E1180" s="40"/>
      <c r="F1180" s="40"/>
      <c r="G1180" s="35" t="str">
        <f aca="false">IF($A1180="","",IF(ISNUMBER($G1179),$G1179+1,1))</f>
        <v/>
      </c>
      <c r="H1180" s="36" t="str">
        <f aca="false">IF(OR(NOT(ISNUMBER($G1180)),$G1180&lt;2,NOT(ISNUMBER($C1179)),$C1179=0),"",$C1180/$C1179-1)</f>
        <v/>
      </c>
      <c r="I1180" s="37" t="str">
        <f aca="false">IF(AND(ISNUMBER($G1180),$G1180&gt;=MA_SHORT),AVERAGE(INDEX($C$780:$C1180,402-MA_SHORT):$C1180),"")</f>
        <v/>
      </c>
      <c r="J1180" s="37" t="str">
        <f aca="false">IF(AND(ISNUMBER($G1180),$G1180&gt;=MA_MED),AVERAGE(INDEX($C$780:$C1180,402-MA_MED):$C1180),"")</f>
        <v/>
      </c>
      <c r="K1180" s="37" t="str">
        <f aca="false">IF(AND(ISNUMBER($G1180),$G1180&gt;=MA_LONG2),AVERAGE(INDEX($C$780:$C1180,402-MA_LONG2):$C1180),"")</f>
        <v/>
      </c>
      <c r="L1180" s="38" t="str">
        <f aca="false">IF(AND(ISNUMBER($G1180),$G1180&gt;=21),STDEV(INDEX($H$1120:$H1180,62-20):$H1180)*SQRT(245),"")</f>
        <v/>
      </c>
      <c r="M1180" s="37" t="str">
        <f aca="false">IF(AND(ISNUMBER($G1180),$G1180&gt;=60),MAX(INDEX($D$980:$D1180,202-60):$D1180),"")</f>
        <v/>
      </c>
      <c r="N1180" s="37" t="str">
        <f aca="false">IF(AND(ISNUMBER($G1180),$G1180&gt;=60),MIN(INDEX($E$980:$E1180,202-60):$E1180),"")</f>
        <v/>
      </c>
      <c r="O1180" s="38" t="str">
        <f aca="false">IF(OR(NOT(ISNUMBER($C1180)),NOT(ISNUMBER($M1180)),$M1180=0),"",$C1180/$M1180-1)</f>
        <v/>
      </c>
    </row>
    <row r="1181" customFormat="false" ht="15" hidden="false" customHeight="true" outlineLevel="0" collapsed="false">
      <c r="A1181" s="39"/>
      <c r="B1181" s="40"/>
      <c r="C1181" s="41"/>
      <c r="D1181" s="40"/>
      <c r="E1181" s="40"/>
      <c r="F1181" s="40"/>
      <c r="G1181" s="35" t="str">
        <f aca="false">IF($A1181="","",IF(ISNUMBER($G1180),$G1180+1,1))</f>
        <v/>
      </c>
      <c r="H1181" s="36" t="str">
        <f aca="false">IF(OR(NOT(ISNUMBER($G1181)),$G1181&lt;2,NOT(ISNUMBER($C1180)),$C1180=0),"",$C1181/$C1180-1)</f>
        <v/>
      </c>
      <c r="I1181" s="37" t="str">
        <f aca="false">IF(AND(ISNUMBER($G1181),$G1181&gt;=MA_SHORT),AVERAGE(INDEX($C$781:$C1181,402-MA_SHORT):$C1181),"")</f>
        <v/>
      </c>
      <c r="J1181" s="37" t="str">
        <f aca="false">IF(AND(ISNUMBER($G1181),$G1181&gt;=MA_MED),AVERAGE(INDEX($C$781:$C1181,402-MA_MED):$C1181),"")</f>
        <v/>
      </c>
      <c r="K1181" s="37" t="str">
        <f aca="false">IF(AND(ISNUMBER($G1181),$G1181&gt;=MA_LONG2),AVERAGE(INDEX($C$781:$C1181,402-MA_LONG2):$C1181),"")</f>
        <v/>
      </c>
      <c r="L1181" s="38" t="str">
        <f aca="false">IF(AND(ISNUMBER($G1181),$G1181&gt;=21),STDEV(INDEX($H$1121:$H1181,62-20):$H1181)*SQRT(245),"")</f>
        <v/>
      </c>
      <c r="M1181" s="37" t="str">
        <f aca="false">IF(AND(ISNUMBER($G1181),$G1181&gt;=60),MAX(INDEX($D$981:$D1181,202-60):$D1181),"")</f>
        <v/>
      </c>
      <c r="N1181" s="37" t="str">
        <f aca="false">IF(AND(ISNUMBER($G1181),$G1181&gt;=60),MIN(INDEX($E$981:$E1181,202-60):$E1181),"")</f>
        <v/>
      </c>
      <c r="O1181" s="38" t="str">
        <f aca="false">IF(OR(NOT(ISNUMBER($C1181)),NOT(ISNUMBER($M1181)),$M1181=0),"",$C1181/$M1181-1)</f>
        <v/>
      </c>
    </row>
    <row r="1182" customFormat="false" ht="15" hidden="false" customHeight="true" outlineLevel="0" collapsed="false">
      <c r="A1182" s="39"/>
      <c r="B1182" s="40"/>
      <c r="C1182" s="41"/>
      <c r="D1182" s="40"/>
      <c r="E1182" s="40"/>
      <c r="F1182" s="40"/>
      <c r="G1182" s="35" t="str">
        <f aca="false">IF($A1182="","",IF(ISNUMBER($G1181),$G1181+1,1))</f>
        <v/>
      </c>
      <c r="H1182" s="36" t="str">
        <f aca="false">IF(OR(NOT(ISNUMBER($G1182)),$G1182&lt;2,NOT(ISNUMBER($C1181)),$C1181=0),"",$C1182/$C1181-1)</f>
        <v/>
      </c>
      <c r="I1182" s="37" t="str">
        <f aca="false">IF(AND(ISNUMBER($G1182),$G1182&gt;=MA_SHORT),AVERAGE(INDEX($C$782:$C1182,402-MA_SHORT):$C1182),"")</f>
        <v/>
      </c>
      <c r="J1182" s="37" t="str">
        <f aca="false">IF(AND(ISNUMBER($G1182),$G1182&gt;=MA_MED),AVERAGE(INDEX($C$782:$C1182,402-MA_MED):$C1182),"")</f>
        <v/>
      </c>
      <c r="K1182" s="37" t="str">
        <f aca="false">IF(AND(ISNUMBER($G1182),$G1182&gt;=MA_LONG2),AVERAGE(INDEX($C$782:$C1182,402-MA_LONG2):$C1182),"")</f>
        <v/>
      </c>
      <c r="L1182" s="38" t="str">
        <f aca="false">IF(AND(ISNUMBER($G1182),$G1182&gt;=21),STDEV(INDEX($H$1122:$H1182,62-20):$H1182)*SQRT(245),"")</f>
        <v/>
      </c>
      <c r="M1182" s="37" t="str">
        <f aca="false">IF(AND(ISNUMBER($G1182),$G1182&gt;=60),MAX(INDEX($D$982:$D1182,202-60):$D1182),"")</f>
        <v/>
      </c>
      <c r="N1182" s="37" t="str">
        <f aca="false">IF(AND(ISNUMBER($G1182),$G1182&gt;=60),MIN(INDEX($E$982:$E1182,202-60):$E1182),"")</f>
        <v/>
      </c>
      <c r="O1182" s="38" t="str">
        <f aca="false">IF(OR(NOT(ISNUMBER($C1182)),NOT(ISNUMBER($M1182)),$M1182=0),"",$C1182/$M1182-1)</f>
        <v/>
      </c>
    </row>
    <row r="1183" customFormat="false" ht="15" hidden="false" customHeight="true" outlineLevel="0" collapsed="false">
      <c r="A1183" s="39"/>
      <c r="B1183" s="40"/>
      <c r="C1183" s="41"/>
      <c r="D1183" s="40"/>
      <c r="E1183" s="40"/>
      <c r="F1183" s="40"/>
      <c r="G1183" s="35" t="str">
        <f aca="false">IF($A1183="","",IF(ISNUMBER($G1182),$G1182+1,1))</f>
        <v/>
      </c>
      <c r="H1183" s="36" t="str">
        <f aca="false">IF(OR(NOT(ISNUMBER($G1183)),$G1183&lt;2,NOT(ISNUMBER($C1182)),$C1182=0),"",$C1183/$C1182-1)</f>
        <v/>
      </c>
      <c r="I1183" s="37" t="str">
        <f aca="false">IF(AND(ISNUMBER($G1183),$G1183&gt;=MA_SHORT),AVERAGE(INDEX($C$783:$C1183,402-MA_SHORT):$C1183),"")</f>
        <v/>
      </c>
      <c r="J1183" s="37" t="str">
        <f aca="false">IF(AND(ISNUMBER($G1183),$G1183&gt;=MA_MED),AVERAGE(INDEX($C$783:$C1183,402-MA_MED):$C1183),"")</f>
        <v/>
      </c>
      <c r="K1183" s="37" t="str">
        <f aca="false">IF(AND(ISNUMBER($G1183),$G1183&gt;=MA_LONG2),AVERAGE(INDEX($C$783:$C1183,402-MA_LONG2):$C1183),"")</f>
        <v/>
      </c>
      <c r="L1183" s="38" t="str">
        <f aca="false">IF(AND(ISNUMBER($G1183),$G1183&gt;=21),STDEV(INDEX($H$1123:$H1183,62-20):$H1183)*SQRT(245),"")</f>
        <v/>
      </c>
      <c r="M1183" s="37" t="str">
        <f aca="false">IF(AND(ISNUMBER($G1183),$G1183&gt;=60),MAX(INDEX($D$983:$D1183,202-60):$D1183),"")</f>
        <v/>
      </c>
      <c r="N1183" s="37" t="str">
        <f aca="false">IF(AND(ISNUMBER($G1183),$G1183&gt;=60),MIN(INDEX($E$983:$E1183,202-60):$E1183),"")</f>
        <v/>
      </c>
      <c r="O1183" s="38" t="str">
        <f aca="false">IF(OR(NOT(ISNUMBER($C1183)),NOT(ISNUMBER($M1183)),$M1183=0),"",$C1183/$M1183-1)</f>
        <v/>
      </c>
    </row>
    <row r="1184" customFormat="false" ht="15" hidden="false" customHeight="true" outlineLevel="0" collapsed="false">
      <c r="A1184" s="39"/>
      <c r="B1184" s="40"/>
      <c r="C1184" s="41"/>
      <c r="D1184" s="40"/>
      <c r="E1184" s="40"/>
      <c r="F1184" s="40"/>
      <c r="G1184" s="35" t="str">
        <f aca="false">IF($A1184="","",IF(ISNUMBER($G1183),$G1183+1,1))</f>
        <v/>
      </c>
      <c r="H1184" s="36" t="str">
        <f aca="false">IF(OR(NOT(ISNUMBER($G1184)),$G1184&lt;2,NOT(ISNUMBER($C1183)),$C1183=0),"",$C1184/$C1183-1)</f>
        <v/>
      </c>
      <c r="I1184" s="37" t="str">
        <f aca="false">IF(AND(ISNUMBER($G1184),$G1184&gt;=MA_SHORT),AVERAGE(INDEX($C$784:$C1184,402-MA_SHORT):$C1184),"")</f>
        <v/>
      </c>
      <c r="J1184" s="37" t="str">
        <f aca="false">IF(AND(ISNUMBER($G1184),$G1184&gt;=MA_MED),AVERAGE(INDEX($C$784:$C1184,402-MA_MED):$C1184),"")</f>
        <v/>
      </c>
      <c r="K1184" s="37" t="str">
        <f aca="false">IF(AND(ISNUMBER($G1184),$G1184&gt;=MA_LONG2),AVERAGE(INDEX($C$784:$C1184,402-MA_LONG2):$C1184),"")</f>
        <v/>
      </c>
      <c r="L1184" s="38" t="str">
        <f aca="false">IF(AND(ISNUMBER($G1184),$G1184&gt;=21),STDEV(INDEX($H$1124:$H1184,62-20):$H1184)*SQRT(245),"")</f>
        <v/>
      </c>
      <c r="M1184" s="37" t="str">
        <f aca="false">IF(AND(ISNUMBER($G1184),$G1184&gt;=60),MAX(INDEX($D$984:$D1184,202-60):$D1184),"")</f>
        <v/>
      </c>
      <c r="N1184" s="37" t="str">
        <f aca="false">IF(AND(ISNUMBER($G1184),$G1184&gt;=60),MIN(INDEX($E$984:$E1184,202-60):$E1184),"")</f>
        <v/>
      </c>
      <c r="O1184" s="38" t="str">
        <f aca="false">IF(OR(NOT(ISNUMBER($C1184)),NOT(ISNUMBER($M1184)),$M1184=0),"",$C1184/$M1184-1)</f>
        <v/>
      </c>
    </row>
    <row r="1185" customFormat="false" ht="15" hidden="false" customHeight="true" outlineLevel="0" collapsed="false">
      <c r="A1185" s="39"/>
      <c r="B1185" s="40"/>
      <c r="C1185" s="41"/>
      <c r="D1185" s="40"/>
      <c r="E1185" s="40"/>
      <c r="F1185" s="40"/>
      <c r="G1185" s="35" t="str">
        <f aca="false">IF($A1185="","",IF(ISNUMBER($G1184),$G1184+1,1))</f>
        <v/>
      </c>
      <c r="H1185" s="36" t="str">
        <f aca="false">IF(OR(NOT(ISNUMBER($G1185)),$G1185&lt;2,NOT(ISNUMBER($C1184)),$C1184=0),"",$C1185/$C1184-1)</f>
        <v/>
      </c>
      <c r="I1185" s="37" t="str">
        <f aca="false">IF(AND(ISNUMBER($G1185),$G1185&gt;=MA_SHORT),AVERAGE(INDEX($C$785:$C1185,402-MA_SHORT):$C1185),"")</f>
        <v/>
      </c>
      <c r="J1185" s="37" t="str">
        <f aca="false">IF(AND(ISNUMBER($G1185),$G1185&gt;=MA_MED),AVERAGE(INDEX($C$785:$C1185,402-MA_MED):$C1185),"")</f>
        <v/>
      </c>
      <c r="K1185" s="37" t="str">
        <f aca="false">IF(AND(ISNUMBER($G1185),$G1185&gt;=MA_LONG2),AVERAGE(INDEX($C$785:$C1185,402-MA_LONG2):$C1185),"")</f>
        <v/>
      </c>
      <c r="L1185" s="38" t="str">
        <f aca="false">IF(AND(ISNUMBER($G1185),$G1185&gt;=21),STDEV(INDEX($H$1125:$H1185,62-20):$H1185)*SQRT(245),"")</f>
        <v/>
      </c>
      <c r="M1185" s="37" t="str">
        <f aca="false">IF(AND(ISNUMBER($G1185),$G1185&gt;=60),MAX(INDEX($D$985:$D1185,202-60):$D1185),"")</f>
        <v/>
      </c>
      <c r="N1185" s="37" t="str">
        <f aca="false">IF(AND(ISNUMBER($G1185),$G1185&gt;=60),MIN(INDEX($E$985:$E1185,202-60):$E1185),"")</f>
        <v/>
      </c>
      <c r="O1185" s="38" t="str">
        <f aca="false">IF(OR(NOT(ISNUMBER($C1185)),NOT(ISNUMBER($M1185)),$M1185=0),"",$C1185/$M1185-1)</f>
        <v/>
      </c>
    </row>
    <row r="1186" customFormat="false" ht="15" hidden="false" customHeight="true" outlineLevel="0" collapsed="false">
      <c r="A1186" s="39"/>
      <c r="B1186" s="40"/>
      <c r="C1186" s="41"/>
      <c r="D1186" s="40"/>
      <c r="E1186" s="40"/>
      <c r="F1186" s="40"/>
      <c r="G1186" s="35" t="str">
        <f aca="false">IF($A1186="","",IF(ISNUMBER($G1185),$G1185+1,1))</f>
        <v/>
      </c>
      <c r="H1186" s="36" t="str">
        <f aca="false">IF(OR(NOT(ISNUMBER($G1186)),$G1186&lt;2,NOT(ISNUMBER($C1185)),$C1185=0),"",$C1186/$C1185-1)</f>
        <v/>
      </c>
      <c r="I1186" s="37" t="str">
        <f aca="false">IF(AND(ISNUMBER($G1186),$G1186&gt;=MA_SHORT),AVERAGE(INDEX($C$786:$C1186,402-MA_SHORT):$C1186),"")</f>
        <v/>
      </c>
      <c r="J1186" s="37" t="str">
        <f aca="false">IF(AND(ISNUMBER($G1186),$G1186&gt;=MA_MED),AVERAGE(INDEX($C$786:$C1186,402-MA_MED):$C1186),"")</f>
        <v/>
      </c>
      <c r="K1186" s="37" t="str">
        <f aca="false">IF(AND(ISNUMBER($G1186),$G1186&gt;=MA_LONG2),AVERAGE(INDEX($C$786:$C1186,402-MA_LONG2):$C1186),"")</f>
        <v/>
      </c>
      <c r="L1186" s="38" t="str">
        <f aca="false">IF(AND(ISNUMBER($G1186),$G1186&gt;=21),STDEV(INDEX($H$1126:$H1186,62-20):$H1186)*SQRT(245),"")</f>
        <v/>
      </c>
      <c r="M1186" s="37" t="str">
        <f aca="false">IF(AND(ISNUMBER($G1186),$G1186&gt;=60),MAX(INDEX($D$986:$D1186,202-60):$D1186),"")</f>
        <v/>
      </c>
      <c r="N1186" s="37" t="str">
        <f aca="false">IF(AND(ISNUMBER($G1186),$G1186&gt;=60),MIN(INDEX($E$986:$E1186,202-60):$E1186),"")</f>
        <v/>
      </c>
      <c r="O1186" s="38" t="str">
        <f aca="false">IF(OR(NOT(ISNUMBER($C1186)),NOT(ISNUMBER($M1186)),$M1186=0),"",$C1186/$M1186-1)</f>
        <v/>
      </c>
    </row>
    <row r="1187" customFormat="false" ht="15" hidden="false" customHeight="true" outlineLevel="0" collapsed="false">
      <c r="A1187" s="39"/>
      <c r="B1187" s="40"/>
      <c r="C1187" s="41"/>
      <c r="D1187" s="40"/>
      <c r="E1187" s="40"/>
      <c r="F1187" s="40"/>
      <c r="G1187" s="35" t="str">
        <f aca="false">IF($A1187="","",IF(ISNUMBER($G1186),$G1186+1,1))</f>
        <v/>
      </c>
      <c r="H1187" s="36" t="str">
        <f aca="false">IF(OR(NOT(ISNUMBER($G1187)),$G1187&lt;2,NOT(ISNUMBER($C1186)),$C1186=0),"",$C1187/$C1186-1)</f>
        <v/>
      </c>
      <c r="I1187" s="37" t="str">
        <f aca="false">IF(AND(ISNUMBER($G1187),$G1187&gt;=MA_SHORT),AVERAGE(INDEX($C$787:$C1187,402-MA_SHORT):$C1187),"")</f>
        <v/>
      </c>
      <c r="J1187" s="37" t="str">
        <f aca="false">IF(AND(ISNUMBER($G1187),$G1187&gt;=MA_MED),AVERAGE(INDEX($C$787:$C1187,402-MA_MED):$C1187),"")</f>
        <v/>
      </c>
      <c r="K1187" s="37" t="str">
        <f aca="false">IF(AND(ISNUMBER($G1187),$G1187&gt;=MA_LONG2),AVERAGE(INDEX($C$787:$C1187,402-MA_LONG2):$C1187),"")</f>
        <v/>
      </c>
      <c r="L1187" s="38" t="str">
        <f aca="false">IF(AND(ISNUMBER($G1187),$G1187&gt;=21),STDEV(INDEX($H$1127:$H1187,62-20):$H1187)*SQRT(245),"")</f>
        <v/>
      </c>
      <c r="M1187" s="37" t="str">
        <f aca="false">IF(AND(ISNUMBER($G1187),$G1187&gt;=60),MAX(INDEX($D$987:$D1187,202-60):$D1187),"")</f>
        <v/>
      </c>
      <c r="N1187" s="37" t="str">
        <f aca="false">IF(AND(ISNUMBER($G1187),$G1187&gt;=60),MIN(INDEX($E$987:$E1187,202-60):$E1187),"")</f>
        <v/>
      </c>
      <c r="O1187" s="38" t="str">
        <f aca="false">IF(OR(NOT(ISNUMBER($C1187)),NOT(ISNUMBER($M1187)),$M1187=0),"",$C1187/$M1187-1)</f>
        <v/>
      </c>
    </row>
    <row r="1188" customFormat="false" ht="15" hidden="false" customHeight="true" outlineLevel="0" collapsed="false">
      <c r="A1188" s="39"/>
      <c r="B1188" s="40"/>
      <c r="C1188" s="41"/>
      <c r="D1188" s="40"/>
      <c r="E1188" s="40"/>
      <c r="F1188" s="40"/>
      <c r="G1188" s="35" t="str">
        <f aca="false">IF($A1188="","",IF(ISNUMBER($G1187),$G1187+1,1))</f>
        <v/>
      </c>
      <c r="H1188" s="36" t="str">
        <f aca="false">IF(OR(NOT(ISNUMBER($G1188)),$G1188&lt;2,NOT(ISNUMBER($C1187)),$C1187=0),"",$C1188/$C1187-1)</f>
        <v/>
      </c>
      <c r="I1188" s="37" t="str">
        <f aca="false">IF(AND(ISNUMBER($G1188),$G1188&gt;=MA_SHORT),AVERAGE(INDEX($C$788:$C1188,402-MA_SHORT):$C1188),"")</f>
        <v/>
      </c>
      <c r="J1188" s="37" t="str">
        <f aca="false">IF(AND(ISNUMBER($G1188),$G1188&gt;=MA_MED),AVERAGE(INDEX($C$788:$C1188,402-MA_MED):$C1188),"")</f>
        <v/>
      </c>
      <c r="K1188" s="37" t="str">
        <f aca="false">IF(AND(ISNUMBER($G1188),$G1188&gt;=MA_LONG2),AVERAGE(INDEX($C$788:$C1188,402-MA_LONG2):$C1188),"")</f>
        <v/>
      </c>
      <c r="L1188" s="38" t="str">
        <f aca="false">IF(AND(ISNUMBER($G1188),$G1188&gt;=21),STDEV(INDEX($H$1128:$H1188,62-20):$H1188)*SQRT(245),"")</f>
        <v/>
      </c>
      <c r="M1188" s="37" t="str">
        <f aca="false">IF(AND(ISNUMBER($G1188),$G1188&gt;=60),MAX(INDEX($D$988:$D1188,202-60):$D1188),"")</f>
        <v/>
      </c>
      <c r="N1188" s="37" t="str">
        <f aca="false">IF(AND(ISNUMBER($G1188),$G1188&gt;=60),MIN(INDEX($E$988:$E1188,202-60):$E1188),"")</f>
        <v/>
      </c>
      <c r="O1188" s="38" t="str">
        <f aca="false">IF(OR(NOT(ISNUMBER($C1188)),NOT(ISNUMBER($M1188)),$M1188=0),"",$C1188/$M1188-1)</f>
        <v/>
      </c>
    </row>
    <row r="1189" customFormat="false" ht="15" hidden="false" customHeight="true" outlineLevel="0" collapsed="false">
      <c r="A1189" s="39"/>
      <c r="B1189" s="40"/>
      <c r="C1189" s="41"/>
      <c r="D1189" s="40"/>
      <c r="E1189" s="40"/>
      <c r="F1189" s="40"/>
      <c r="G1189" s="35" t="str">
        <f aca="false">IF($A1189="","",IF(ISNUMBER($G1188),$G1188+1,1))</f>
        <v/>
      </c>
      <c r="H1189" s="36" t="str">
        <f aca="false">IF(OR(NOT(ISNUMBER($G1189)),$G1189&lt;2,NOT(ISNUMBER($C1188)),$C1188=0),"",$C1189/$C1188-1)</f>
        <v/>
      </c>
      <c r="I1189" s="37" t="str">
        <f aca="false">IF(AND(ISNUMBER($G1189),$G1189&gt;=MA_SHORT),AVERAGE(INDEX($C$789:$C1189,402-MA_SHORT):$C1189),"")</f>
        <v/>
      </c>
      <c r="J1189" s="37" t="str">
        <f aca="false">IF(AND(ISNUMBER($G1189),$G1189&gt;=MA_MED),AVERAGE(INDEX($C$789:$C1189,402-MA_MED):$C1189),"")</f>
        <v/>
      </c>
      <c r="K1189" s="37" t="str">
        <f aca="false">IF(AND(ISNUMBER($G1189),$G1189&gt;=MA_LONG2),AVERAGE(INDEX($C$789:$C1189,402-MA_LONG2):$C1189),"")</f>
        <v/>
      </c>
      <c r="L1189" s="38" t="str">
        <f aca="false">IF(AND(ISNUMBER($G1189),$G1189&gt;=21),STDEV(INDEX($H$1129:$H1189,62-20):$H1189)*SQRT(245),"")</f>
        <v/>
      </c>
      <c r="M1189" s="37" t="str">
        <f aca="false">IF(AND(ISNUMBER($G1189),$G1189&gt;=60),MAX(INDEX($D$989:$D1189,202-60):$D1189),"")</f>
        <v/>
      </c>
      <c r="N1189" s="37" t="str">
        <f aca="false">IF(AND(ISNUMBER($G1189),$G1189&gt;=60),MIN(INDEX($E$989:$E1189,202-60):$E1189),"")</f>
        <v/>
      </c>
      <c r="O1189" s="38" t="str">
        <f aca="false">IF(OR(NOT(ISNUMBER($C1189)),NOT(ISNUMBER($M1189)),$M1189=0),"",$C1189/$M1189-1)</f>
        <v/>
      </c>
    </row>
    <row r="1190" customFormat="false" ht="15" hidden="false" customHeight="true" outlineLevel="0" collapsed="false">
      <c r="A1190" s="39"/>
      <c r="B1190" s="40"/>
      <c r="C1190" s="41"/>
      <c r="D1190" s="40"/>
      <c r="E1190" s="40"/>
      <c r="F1190" s="40"/>
      <c r="G1190" s="35" t="str">
        <f aca="false">IF($A1190="","",IF(ISNUMBER($G1189),$G1189+1,1))</f>
        <v/>
      </c>
      <c r="H1190" s="36" t="str">
        <f aca="false">IF(OR(NOT(ISNUMBER($G1190)),$G1190&lt;2,NOT(ISNUMBER($C1189)),$C1189=0),"",$C1190/$C1189-1)</f>
        <v/>
      </c>
      <c r="I1190" s="37" t="str">
        <f aca="false">IF(AND(ISNUMBER($G1190),$G1190&gt;=MA_SHORT),AVERAGE(INDEX($C$790:$C1190,402-MA_SHORT):$C1190),"")</f>
        <v/>
      </c>
      <c r="J1190" s="37" t="str">
        <f aca="false">IF(AND(ISNUMBER($G1190),$G1190&gt;=MA_MED),AVERAGE(INDEX($C$790:$C1190,402-MA_MED):$C1190),"")</f>
        <v/>
      </c>
      <c r="K1190" s="37" t="str">
        <f aca="false">IF(AND(ISNUMBER($G1190),$G1190&gt;=MA_LONG2),AVERAGE(INDEX($C$790:$C1190,402-MA_LONG2):$C1190),"")</f>
        <v/>
      </c>
      <c r="L1190" s="38" t="str">
        <f aca="false">IF(AND(ISNUMBER($G1190),$G1190&gt;=21),STDEV(INDEX($H$1130:$H1190,62-20):$H1190)*SQRT(245),"")</f>
        <v/>
      </c>
      <c r="M1190" s="37" t="str">
        <f aca="false">IF(AND(ISNUMBER($G1190),$G1190&gt;=60),MAX(INDEX($D$990:$D1190,202-60):$D1190),"")</f>
        <v/>
      </c>
      <c r="N1190" s="37" t="str">
        <f aca="false">IF(AND(ISNUMBER($G1190),$G1190&gt;=60),MIN(INDEX($E$990:$E1190,202-60):$E1190),"")</f>
        <v/>
      </c>
      <c r="O1190" s="38" t="str">
        <f aca="false">IF(OR(NOT(ISNUMBER($C1190)),NOT(ISNUMBER($M1190)),$M1190=0),"",$C1190/$M1190-1)</f>
        <v/>
      </c>
    </row>
    <row r="1191" customFormat="false" ht="15" hidden="false" customHeight="true" outlineLevel="0" collapsed="false">
      <c r="A1191" s="39"/>
      <c r="B1191" s="40"/>
      <c r="C1191" s="41"/>
      <c r="D1191" s="40"/>
      <c r="E1191" s="40"/>
      <c r="F1191" s="40"/>
      <c r="G1191" s="35" t="str">
        <f aca="false">IF($A1191="","",IF(ISNUMBER($G1190),$G1190+1,1))</f>
        <v/>
      </c>
      <c r="H1191" s="36" t="str">
        <f aca="false">IF(OR(NOT(ISNUMBER($G1191)),$G1191&lt;2,NOT(ISNUMBER($C1190)),$C1190=0),"",$C1191/$C1190-1)</f>
        <v/>
      </c>
      <c r="I1191" s="37" t="str">
        <f aca="false">IF(AND(ISNUMBER($G1191),$G1191&gt;=MA_SHORT),AVERAGE(INDEX($C$791:$C1191,402-MA_SHORT):$C1191),"")</f>
        <v/>
      </c>
      <c r="J1191" s="37" t="str">
        <f aca="false">IF(AND(ISNUMBER($G1191),$G1191&gt;=MA_MED),AVERAGE(INDEX($C$791:$C1191,402-MA_MED):$C1191),"")</f>
        <v/>
      </c>
      <c r="K1191" s="37" t="str">
        <f aca="false">IF(AND(ISNUMBER($G1191),$G1191&gt;=MA_LONG2),AVERAGE(INDEX($C$791:$C1191,402-MA_LONG2):$C1191),"")</f>
        <v/>
      </c>
      <c r="L1191" s="38" t="str">
        <f aca="false">IF(AND(ISNUMBER($G1191),$G1191&gt;=21),STDEV(INDEX($H$1131:$H1191,62-20):$H1191)*SQRT(245),"")</f>
        <v/>
      </c>
      <c r="M1191" s="37" t="str">
        <f aca="false">IF(AND(ISNUMBER($G1191),$G1191&gt;=60),MAX(INDEX($D$991:$D1191,202-60):$D1191),"")</f>
        <v/>
      </c>
      <c r="N1191" s="37" t="str">
        <f aca="false">IF(AND(ISNUMBER($G1191),$G1191&gt;=60),MIN(INDEX($E$991:$E1191,202-60):$E1191),"")</f>
        <v/>
      </c>
      <c r="O1191" s="38" t="str">
        <f aca="false">IF(OR(NOT(ISNUMBER($C1191)),NOT(ISNUMBER($M1191)),$M1191=0),"",$C1191/$M1191-1)</f>
        <v/>
      </c>
    </row>
    <row r="1192" customFormat="false" ht="15" hidden="false" customHeight="true" outlineLevel="0" collapsed="false">
      <c r="A1192" s="39"/>
      <c r="B1192" s="40"/>
      <c r="C1192" s="41"/>
      <c r="D1192" s="40"/>
      <c r="E1192" s="40"/>
      <c r="F1192" s="40"/>
      <c r="G1192" s="35" t="str">
        <f aca="false">IF($A1192="","",IF(ISNUMBER($G1191),$G1191+1,1))</f>
        <v/>
      </c>
      <c r="H1192" s="36" t="str">
        <f aca="false">IF(OR(NOT(ISNUMBER($G1192)),$G1192&lt;2,NOT(ISNUMBER($C1191)),$C1191=0),"",$C1192/$C1191-1)</f>
        <v/>
      </c>
      <c r="I1192" s="37" t="str">
        <f aca="false">IF(AND(ISNUMBER($G1192),$G1192&gt;=MA_SHORT),AVERAGE(INDEX($C$792:$C1192,402-MA_SHORT):$C1192),"")</f>
        <v/>
      </c>
      <c r="J1192" s="37" t="str">
        <f aca="false">IF(AND(ISNUMBER($G1192),$G1192&gt;=MA_MED),AVERAGE(INDEX($C$792:$C1192,402-MA_MED):$C1192),"")</f>
        <v/>
      </c>
      <c r="K1192" s="37" t="str">
        <f aca="false">IF(AND(ISNUMBER($G1192),$G1192&gt;=MA_LONG2),AVERAGE(INDEX($C$792:$C1192,402-MA_LONG2):$C1192),"")</f>
        <v/>
      </c>
      <c r="L1192" s="38" t="str">
        <f aca="false">IF(AND(ISNUMBER($G1192),$G1192&gt;=21),STDEV(INDEX($H$1132:$H1192,62-20):$H1192)*SQRT(245),"")</f>
        <v/>
      </c>
      <c r="M1192" s="37" t="str">
        <f aca="false">IF(AND(ISNUMBER($G1192),$G1192&gt;=60),MAX(INDEX($D$992:$D1192,202-60):$D1192),"")</f>
        <v/>
      </c>
      <c r="N1192" s="37" t="str">
        <f aca="false">IF(AND(ISNUMBER($G1192),$G1192&gt;=60),MIN(INDEX($E$992:$E1192,202-60):$E1192),"")</f>
        <v/>
      </c>
      <c r="O1192" s="38" t="str">
        <f aca="false">IF(OR(NOT(ISNUMBER($C1192)),NOT(ISNUMBER($M1192)),$M1192=0),"",$C1192/$M1192-1)</f>
        <v/>
      </c>
    </row>
    <row r="1193" customFormat="false" ht="15" hidden="false" customHeight="true" outlineLevel="0" collapsed="false">
      <c r="A1193" s="39"/>
      <c r="B1193" s="40"/>
      <c r="C1193" s="41"/>
      <c r="D1193" s="40"/>
      <c r="E1193" s="40"/>
      <c r="F1193" s="40"/>
      <c r="G1193" s="35" t="str">
        <f aca="false">IF($A1193="","",IF(ISNUMBER($G1192),$G1192+1,1))</f>
        <v/>
      </c>
      <c r="H1193" s="36" t="str">
        <f aca="false">IF(OR(NOT(ISNUMBER($G1193)),$G1193&lt;2,NOT(ISNUMBER($C1192)),$C1192=0),"",$C1193/$C1192-1)</f>
        <v/>
      </c>
      <c r="I1193" s="37" t="str">
        <f aca="false">IF(AND(ISNUMBER($G1193),$G1193&gt;=MA_SHORT),AVERAGE(INDEX($C$793:$C1193,402-MA_SHORT):$C1193),"")</f>
        <v/>
      </c>
      <c r="J1193" s="37" t="str">
        <f aca="false">IF(AND(ISNUMBER($G1193),$G1193&gt;=MA_MED),AVERAGE(INDEX($C$793:$C1193,402-MA_MED):$C1193),"")</f>
        <v/>
      </c>
      <c r="K1193" s="37" t="str">
        <f aca="false">IF(AND(ISNUMBER($G1193),$G1193&gt;=MA_LONG2),AVERAGE(INDEX($C$793:$C1193,402-MA_LONG2):$C1193),"")</f>
        <v/>
      </c>
      <c r="L1193" s="38" t="str">
        <f aca="false">IF(AND(ISNUMBER($G1193),$G1193&gt;=21),STDEV(INDEX($H$1133:$H1193,62-20):$H1193)*SQRT(245),"")</f>
        <v/>
      </c>
      <c r="M1193" s="37" t="str">
        <f aca="false">IF(AND(ISNUMBER($G1193),$G1193&gt;=60),MAX(INDEX($D$993:$D1193,202-60):$D1193),"")</f>
        <v/>
      </c>
      <c r="N1193" s="37" t="str">
        <f aca="false">IF(AND(ISNUMBER($G1193),$G1193&gt;=60),MIN(INDEX($E$993:$E1193,202-60):$E1193),"")</f>
        <v/>
      </c>
      <c r="O1193" s="38" t="str">
        <f aca="false">IF(OR(NOT(ISNUMBER($C1193)),NOT(ISNUMBER($M1193)),$M1193=0),"",$C1193/$M1193-1)</f>
        <v/>
      </c>
    </row>
    <row r="1194" customFormat="false" ht="15" hidden="false" customHeight="true" outlineLevel="0" collapsed="false">
      <c r="A1194" s="39"/>
      <c r="B1194" s="40"/>
      <c r="C1194" s="41"/>
      <c r="D1194" s="40"/>
      <c r="E1194" s="40"/>
      <c r="F1194" s="40"/>
      <c r="G1194" s="35" t="str">
        <f aca="false">IF($A1194="","",IF(ISNUMBER($G1193),$G1193+1,1))</f>
        <v/>
      </c>
      <c r="H1194" s="36" t="str">
        <f aca="false">IF(OR(NOT(ISNUMBER($G1194)),$G1194&lt;2,NOT(ISNUMBER($C1193)),$C1193=0),"",$C1194/$C1193-1)</f>
        <v/>
      </c>
      <c r="I1194" s="37" t="str">
        <f aca="false">IF(AND(ISNUMBER($G1194),$G1194&gt;=MA_SHORT),AVERAGE(INDEX($C$794:$C1194,402-MA_SHORT):$C1194),"")</f>
        <v/>
      </c>
      <c r="J1194" s="37" t="str">
        <f aca="false">IF(AND(ISNUMBER($G1194),$G1194&gt;=MA_MED),AVERAGE(INDEX($C$794:$C1194,402-MA_MED):$C1194),"")</f>
        <v/>
      </c>
      <c r="K1194" s="37" t="str">
        <f aca="false">IF(AND(ISNUMBER($G1194),$G1194&gt;=MA_LONG2),AVERAGE(INDEX($C$794:$C1194,402-MA_LONG2):$C1194),"")</f>
        <v/>
      </c>
      <c r="L1194" s="38" t="str">
        <f aca="false">IF(AND(ISNUMBER($G1194),$G1194&gt;=21),STDEV(INDEX($H$1134:$H1194,62-20):$H1194)*SQRT(245),"")</f>
        <v/>
      </c>
      <c r="M1194" s="37" t="str">
        <f aca="false">IF(AND(ISNUMBER($G1194),$G1194&gt;=60),MAX(INDEX($D$994:$D1194,202-60):$D1194),"")</f>
        <v/>
      </c>
      <c r="N1194" s="37" t="str">
        <f aca="false">IF(AND(ISNUMBER($G1194),$G1194&gt;=60),MIN(INDEX($E$994:$E1194,202-60):$E1194),"")</f>
        <v/>
      </c>
      <c r="O1194" s="38" t="str">
        <f aca="false">IF(OR(NOT(ISNUMBER($C1194)),NOT(ISNUMBER($M1194)),$M1194=0),"",$C1194/$M1194-1)</f>
        <v/>
      </c>
    </row>
    <row r="1195" customFormat="false" ht="15" hidden="false" customHeight="true" outlineLevel="0" collapsed="false">
      <c r="A1195" s="39"/>
      <c r="B1195" s="40"/>
      <c r="C1195" s="41"/>
      <c r="D1195" s="40"/>
      <c r="E1195" s="40"/>
      <c r="F1195" s="40"/>
      <c r="G1195" s="35" t="str">
        <f aca="false">IF($A1195="","",IF(ISNUMBER($G1194),$G1194+1,1))</f>
        <v/>
      </c>
      <c r="H1195" s="36" t="str">
        <f aca="false">IF(OR(NOT(ISNUMBER($G1195)),$G1195&lt;2,NOT(ISNUMBER($C1194)),$C1194=0),"",$C1195/$C1194-1)</f>
        <v/>
      </c>
      <c r="I1195" s="37" t="str">
        <f aca="false">IF(AND(ISNUMBER($G1195),$G1195&gt;=MA_SHORT),AVERAGE(INDEX($C$795:$C1195,402-MA_SHORT):$C1195),"")</f>
        <v/>
      </c>
      <c r="J1195" s="37" t="str">
        <f aca="false">IF(AND(ISNUMBER($G1195),$G1195&gt;=MA_MED),AVERAGE(INDEX($C$795:$C1195,402-MA_MED):$C1195),"")</f>
        <v/>
      </c>
      <c r="K1195" s="37" t="str">
        <f aca="false">IF(AND(ISNUMBER($G1195),$G1195&gt;=MA_LONG2),AVERAGE(INDEX($C$795:$C1195,402-MA_LONG2):$C1195),"")</f>
        <v/>
      </c>
      <c r="L1195" s="38" t="str">
        <f aca="false">IF(AND(ISNUMBER($G1195),$G1195&gt;=21),STDEV(INDEX($H$1135:$H1195,62-20):$H1195)*SQRT(245),"")</f>
        <v/>
      </c>
      <c r="M1195" s="37" t="str">
        <f aca="false">IF(AND(ISNUMBER($G1195),$G1195&gt;=60),MAX(INDEX($D$995:$D1195,202-60):$D1195),"")</f>
        <v/>
      </c>
      <c r="N1195" s="37" t="str">
        <f aca="false">IF(AND(ISNUMBER($G1195),$G1195&gt;=60),MIN(INDEX($E$995:$E1195,202-60):$E1195),"")</f>
        <v/>
      </c>
      <c r="O1195" s="38" t="str">
        <f aca="false">IF(OR(NOT(ISNUMBER($C1195)),NOT(ISNUMBER($M1195)),$M1195=0),"",$C1195/$M1195-1)</f>
        <v/>
      </c>
    </row>
    <row r="1196" customFormat="false" ht="15" hidden="false" customHeight="true" outlineLevel="0" collapsed="false">
      <c r="A1196" s="39"/>
      <c r="B1196" s="40"/>
      <c r="C1196" s="41"/>
      <c r="D1196" s="40"/>
      <c r="E1196" s="40"/>
      <c r="F1196" s="40"/>
      <c r="G1196" s="35" t="str">
        <f aca="false">IF($A1196="","",IF(ISNUMBER($G1195),$G1195+1,1))</f>
        <v/>
      </c>
      <c r="H1196" s="36" t="str">
        <f aca="false">IF(OR(NOT(ISNUMBER($G1196)),$G1196&lt;2,NOT(ISNUMBER($C1195)),$C1195=0),"",$C1196/$C1195-1)</f>
        <v/>
      </c>
      <c r="I1196" s="37" t="str">
        <f aca="false">IF(AND(ISNUMBER($G1196),$G1196&gt;=MA_SHORT),AVERAGE(INDEX($C$796:$C1196,402-MA_SHORT):$C1196),"")</f>
        <v/>
      </c>
      <c r="J1196" s="37" t="str">
        <f aca="false">IF(AND(ISNUMBER($G1196),$G1196&gt;=MA_MED),AVERAGE(INDEX($C$796:$C1196,402-MA_MED):$C1196),"")</f>
        <v/>
      </c>
      <c r="K1196" s="37" t="str">
        <f aca="false">IF(AND(ISNUMBER($G1196),$G1196&gt;=MA_LONG2),AVERAGE(INDEX($C$796:$C1196,402-MA_LONG2):$C1196),"")</f>
        <v/>
      </c>
      <c r="L1196" s="38" t="str">
        <f aca="false">IF(AND(ISNUMBER($G1196),$G1196&gt;=21),STDEV(INDEX($H$1136:$H1196,62-20):$H1196)*SQRT(245),"")</f>
        <v/>
      </c>
      <c r="M1196" s="37" t="str">
        <f aca="false">IF(AND(ISNUMBER($G1196),$G1196&gt;=60),MAX(INDEX($D$996:$D1196,202-60):$D1196),"")</f>
        <v/>
      </c>
      <c r="N1196" s="37" t="str">
        <f aca="false">IF(AND(ISNUMBER($G1196),$G1196&gt;=60),MIN(INDEX($E$996:$E1196,202-60):$E1196),"")</f>
        <v/>
      </c>
      <c r="O1196" s="38" t="str">
        <f aca="false">IF(OR(NOT(ISNUMBER($C1196)),NOT(ISNUMBER($M1196)),$M1196=0),"",$C1196/$M1196-1)</f>
        <v/>
      </c>
    </row>
    <row r="1197" customFormat="false" ht="15" hidden="false" customHeight="true" outlineLevel="0" collapsed="false">
      <c r="A1197" s="39"/>
      <c r="B1197" s="40"/>
      <c r="C1197" s="41"/>
      <c r="D1197" s="40"/>
      <c r="E1197" s="40"/>
      <c r="F1197" s="40"/>
      <c r="G1197" s="35" t="str">
        <f aca="false">IF($A1197="","",IF(ISNUMBER($G1196),$G1196+1,1))</f>
        <v/>
      </c>
      <c r="H1197" s="36" t="str">
        <f aca="false">IF(OR(NOT(ISNUMBER($G1197)),$G1197&lt;2,NOT(ISNUMBER($C1196)),$C1196=0),"",$C1197/$C1196-1)</f>
        <v/>
      </c>
      <c r="I1197" s="37" t="str">
        <f aca="false">IF(AND(ISNUMBER($G1197),$G1197&gt;=MA_SHORT),AVERAGE(INDEX($C$797:$C1197,402-MA_SHORT):$C1197),"")</f>
        <v/>
      </c>
      <c r="J1197" s="37" t="str">
        <f aca="false">IF(AND(ISNUMBER($G1197),$G1197&gt;=MA_MED),AVERAGE(INDEX($C$797:$C1197,402-MA_MED):$C1197),"")</f>
        <v/>
      </c>
      <c r="K1197" s="37" t="str">
        <f aca="false">IF(AND(ISNUMBER($G1197),$G1197&gt;=MA_LONG2),AVERAGE(INDEX($C$797:$C1197,402-MA_LONG2):$C1197),"")</f>
        <v/>
      </c>
      <c r="L1197" s="38" t="str">
        <f aca="false">IF(AND(ISNUMBER($G1197),$G1197&gt;=21),STDEV(INDEX($H$1137:$H1197,62-20):$H1197)*SQRT(245),"")</f>
        <v/>
      </c>
      <c r="M1197" s="37" t="str">
        <f aca="false">IF(AND(ISNUMBER($G1197),$G1197&gt;=60),MAX(INDEX($D$997:$D1197,202-60):$D1197),"")</f>
        <v/>
      </c>
      <c r="N1197" s="37" t="str">
        <f aca="false">IF(AND(ISNUMBER($G1197),$G1197&gt;=60),MIN(INDEX($E$997:$E1197,202-60):$E1197),"")</f>
        <v/>
      </c>
      <c r="O1197" s="38" t="str">
        <f aca="false">IF(OR(NOT(ISNUMBER($C1197)),NOT(ISNUMBER($M1197)),$M1197=0),"",$C1197/$M1197-1)</f>
        <v/>
      </c>
    </row>
    <row r="1198" customFormat="false" ht="15" hidden="false" customHeight="true" outlineLevel="0" collapsed="false">
      <c r="A1198" s="39"/>
      <c r="B1198" s="40"/>
      <c r="C1198" s="41"/>
      <c r="D1198" s="40"/>
      <c r="E1198" s="40"/>
      <c r="F1198" s="40"/>
      <c r="G1198" s="35" t="str">
        <f aca="false">IF($A1198="","",IF(ISNUMBER($G1197),$G1197+1,1))</f>
        <v/>
      </c>
      <c r="H1198" s="36" t="str">
        <f aca="false">IF(OR(NOT(ISNUMBER($G1198)),$G1198&lt;2,NOT(ISNUMBER($C1197)),$C1197=0),"",$C1198/$C1197-1)</f>
        <v/>
      </c>
      <c r="I1198" s="37" t="str">
        <f aca="false">IF(AND(ISNUMBER($G1198),$G1198&gt;=MA_SHORT),AVERAGE(INDEX($C$798:$C1198,402-MA_SHORT):$C1198),"")</f>
        <v/>
      </c>
      <c r="J1198" s="37" t="str">
        <f aca="false">IF(AND(ISNUMBER($G1198),$G1198&gt;=MA_MED),AVERAGE(INDEX($C$798:$C1198,402-MA_MED):$C1198),"")</f>
        <v/>
      </c>
      <c r="K1198" s="37" t="str">
        <f aca="false">IF(AND(ISNUMBER($G1198),$G1198&gt;=MA_LONG2),AVERAGE(INDEX($C$798:$C1198,402-MA_LONG2):$C1198),"")</f>
        <v/>
      </c>
      <c r="L1198" s="38" t="str">
        <f aca="false">IF(AND(ISNUMBER($G1198),$G1198&gt;=21),STDEV(INDEX($H$1138:$H1198,62-20):$H1198)*SQRT(245),"")</f>
        <v/>
      </c>
      <c r="M1198" s="37" t="str">
        <f aca="false">IF(AND(ISNUMBER($G1198),$G1198&gt;=60),MAX(INDEX($D$998:$D1198,202-60):$D1198),"")</f>
        <v/>
      </c>
      <c r="N1198" s="37" t="str">
        <f aca="false">IF(AND(ISNUMBER($G1198),$G1198&gt;=60),MIN(INDEX($E$998:$E1198,202-60):$E1198),"")</f>
        <v/>
      </c>
      <c r="O1198" s="38" t="str">
        <f aca="false">IF(OR(NOT(ISNUMBER($C1198)),NOT(ISNUMBER($M1198)),$M1198=0),"",$C1198/$M1198-1)</f>
        <v/>
      </c>
    </row>
    <row r="1199" customFormat="false" ht="15" hidden="false" customHeight="true" outlineLevel="0" collapsed="false">
      <c r="A1199" s="39"/>
      <c r="B1199" s="40"/>
      <c r="C1199" s="41"/>
      <c r="D1199" s="40"/>
      <c r="E1199" s="40"/>
      <c r="F1199" s="40"/>
      <c r="G1199" s="35" t="str">
        <f aca="false">IF($A1199="","",IF(ISNUMBER($G1198),$G1198+1,1))</f>
        <v/>
      </c>
      <c r="H1199" s="36" t="str">
        <f aca="false">IF(OR(NOT(ISNUMBER($G1199)),$G1199&lt;2,NOT(ISNUMBER($C1198)),$C1198=0),"",$C1199/$C1198-1)</f>
        <v/>
      </c>
      <c r="I1199" s="37" t="str">
        <f aca="false">IF(AND(ISNUMBER($G1199),$G1199&gt;=MA_SHORT),AVERAGE(INDEX($C$799:$C1199,402-MA_SHORT):$C1199),"")</f>
        <v/>
      </c>
      <c r="J1199" s="37" t="str">
        <f aca="false">IF(AND(ISNUMBER($G1199),$G1199&gt;=MA_MED),AVERAGE(INDEX($C$799:$C1199,402-MA_MED):$C1199),"")</f>
        <v/>
      </c>
      <c r="K1199" s="37" t="str">
        <f aca="false">IF(AND(ISNUMBER($G1199),$G1199&gt;=MA_LONG2),AVERAGE(INDEX($C$799:$C1199,402-MA_LONG2):$C1199),"")</f>
        <v/>
      </c>
      <c r="L1199" s="38" t="str">
        <f aca="false">IF(AND(ISNUMBER($G1199),$G1199&gt;=21),STDEV(INDEX($H$1139:$H1199,62-20):$H1199)*SQRT(245),"")</f>
        <v/>
      </c>
      <c r="M1199" s="37" t="str">
        <f aca="false">IF(AND(ISNUMBER($G1199),$G1199&gt;=60),MAX(INDEX($D$999:$D1199,202-60):$D1199),"")</f>
        <v/>
      </c>
      <c r="N1199" s="37" t="str">
        <f aca="false">IF(AND(ISNUMBER($G1199),$G1199&gt;=60),MIN(INDEX($E$999:$E1199,202-60):$E1199),"")</f>
        <v/>
      </c>
      <c r="O1199" s="38" t="str">
        <f aca="false">IF(OR(NOT(ISNUMBER($C1199)),NOT(ISNUMBER($M1199)),$M1199=0),"",$C1199/$M1199-1)</f>
        <v/>
      </c>
    </row>
    <row r="1200" customFormat="false" ht="15" hidden="false" customHeight="true" outlineLevel="0" collapsed="false">
      <c r="A1200" s="39"/>
      <c r="B1200" s="40"/>
      <c r="C1200" s="41"/>
      <c r="D1200" s="40"/>
      <c r="E1200" s="40"/>
      <c r="F1200" s="40"/>
      <c r="G1200" s="35" t="str">
        <f aca="false">IF($A1200="","",IF(ISNUMBER($G1199),$G1199+1,1))</f>
        <v/>
      </c>
      <c r="H1200" s="36" t="str">
        <f aca="false">IF(OR(NOT(ISNUMBER($G1200)),$G1200&lt;2,NOT(ISNUMBER($C1199)),$C1199=0),"",$C1200/$C1199-1)</f>
        <v/>
      </c>
      <c r="I1200" s="37" t="str">
        <f aca="false">IF(AND(ISNUMBER($G1200),$G1200&gt;=MA_SHORT),AVERAGE(INDEX($C$800:$C1200,402-MA_SHORT):$C1200),"")</f>
        <v/>
      </c>
      <c r="J1200" s="37" t="str">
        <f aca="false">IF(AND(ISNUMBER($G1200),$G1200&gt;=MA_MED),AVERAGE(INDEX($C$800:$C1200,402-MA_MED):$C1200),"")</f>
        <v/>
      </c>
      <c r="K1200" s="37" t="str">
        <f aca="false">IF(AND(ISNUMBER($G1200),$G1200&gt;=MA_LONG2),AVERAGE(INDEX($C$800:$C1200,402-MA_LONG2):$C1200),"")</f>
        <v/>
      </c>
      <c r="L1200" s="38" t="str">
        <f aca="false">IF(AND(ISNUMBER($G1200),$G1200&gt;=21),STDEV(INDEX($H$1140:$H1200,62-20):$H1200)*SQRT(245),"")</f>
        <v/>
      </c>
      <c r="M1200" s="37" t="str">
        <f aca="false">IF(AND(ISNUMBER($G1200),$G1200&gt;=60),MAX(INDEX($D$1000:$D1200,202-60):$D1200),"")</f>
        <v/>
      </c>
      <c r="N1200" s="37" t="str">
        <f aca="false">IF(AND(ISNUMBER($G1200),$G1200&gt;=60),MIN(INDEX($E$1000:$E1200,202-60):$E1200),"")</f>
        <v/>
      </c>
      <c r="O1200" s="38" t="str">
        <f aca="false">IF(OR(NOT(ISNUMBER($C1200)),NOT(ISNUMBER($M1200)),$M1200=0),"",$C1200/$M1200-1)</f>
        <v/>
      </c>
    </row>
    <row r="1201" customFormat="false" ht="15" hidden="false" customHeight="true" outlineLevel="0" collapsed="false">
      <c r="A1201" s="39"/>
      <c r="B1201" s="40"/>
      <c r="C1201" s="41"/>
      <c r="D1201" s="40"/>
      <c r="E1201" s="40"/>
      <c r="F1201" s="40"/>
      <c r="G1201" s="35" t="str">
        <f aca="false">IF($A1201="","",IF(ISNUMBER($G1200),$G1200+1,1))</f>
        <v/>
      </c>
      <c r="H1201" s="36" t="str">
        <f aca="false">IF(OR(NOT(ISNUMBER($G1201)),$G1201&lt;2,NOT(ISNUMBER($C1200)),$C1200=0),"",$C1201/$C1200-1)</f>
        <v/>
      </c>
      <c r="I1201" s="37" t="str">
        <f aca="false">IF(AND(ISNUMBER($G1201),$G1201&gt;=MA_SHORT),AVERAGE(INDEX($C$801:$C1201,402-MA_SHORT):$C1201),"")</f>
        <v/>
      </c>
      <c r="J1201" s="37" t="str">
        <f aca="false">IF(AND(ISNUMBER($G1201),$G1201&gt;=MA_MED),AVERAGE(INDEX($C$801:$C1201,402-MA_MED):$C1201),"")</f>
        <v/>
      </c>
      <c r="K1201" s="37" t="str">
        <f aca="false">IF(AND(ISNUMBER($G1201),$G1201&gt;=MA_LONG2),AVERAGE(INDEX($C$801:$C1201,402-MA_LONG2):$C1201),"")</f>
        <v/>
      </c>
      <c r="L1201" s="38" t="str">
        <f aca="false">IF(AND(ISNUMBER($G1201),$G1201&gt;=21),STDEV(INDEX($H$1141:$H1201,62-20):$H1201)*SQRT(245),"")</f>
        <v/>
      </c>
      <c r="M1201" s="37" t="str">
        <f aca="false">IF(AND(ISNUMBER($G1201),$G1201&gt;=60),MAX(INDEX($D$1001:$D1201,202-60):$D1201),"")</f>
        <v/>
      </c>
      <c r="N1201" s="37" t="str">
        <f aca="false">IF(AND(ISNUMBER($G1201),$G1201&gt;=60),MIN(INDEX($E$1001:$E1201,202-60):$E1201),"")</f>
        <v/>
      </c>
      <c r="O1201" s="38" t="str">
        <f aca="false">IF(OR(NOT(ISNUMBER($C1201)),NOT(ISNUMBER($M1201)),$M1201=0),"",$C1201/$M1201-1)</f>
        <v/>
      </c>
    </row>
    <row r="1202" customFormat="false" ht="15" hidden="false" customHeight="true" outlineLevel="0" collapsed="false">
      <c r="A1202" s="39"/>
      <c r="B1202" s="40"/>
      <c r="C1202" s="41"/>
      <c r="D1202" s="40"/>
      <c r="E1202" s="40"/>
      <c r="F1202" s="40"/>
      <c r="G1202" s="35" t="str">
        <f aca="false">IF($A1202="","",IF(ISNUMBER($G1201),$G1201+1,1))</f>
        <v/>
      </c>
      <c r="H1202" s="36" t="str">
        <f aca="false">IF(OR(NOT(ISNUMBER($G1202)),$G1202&lt;2,NOT(ISNUMBER($C1201)),$C1201=0),"",$C1202/$C1201-1)</f>
        <v/>
      </c>
      <c r="I1202" s="37" t="str">
        <f aca="false">IF(AND(ISNUMBER($G1202),$G1202&gt;=MA_SHORT),AVERAGE(INDEX($C$802:$C1202,402-MA_SHORT):$C1202),"")</f>
        <v/>
      </c>
      <c r="J1202" s="37" t="str">
        <f aca="false">IF(AND(ISNUMBER($G1202),$G1202&gt;=MA_MED),AVERAGE(INDEX($C$802:$C1202,402-MA_MED):$C1202),"")</f>
        <v/>
      </c>
      <c r="K1202" s="37" t="str">
        <f aca="false">IF(AND(ISNUMBER($G1202),$G1202&gt;=MA_LONG2),AVERAGE(INDEX($C$802:$C1202,402-MA_LONG2):$C1202),"")</f>
        <v/>
      </c>
      <c r="L1202" s="38" t="str">
        <f aca="false">IF(AND(ISNUMBER($G1202),$G1202&gt;=21),STDEV(INDEX($H$1142:$H1202,62-20):$H1202)*SQRT(245),"")</f>
        <v/>
      </c>
      <c r="M1202" s="37" t="str">
        <f aca="false">IF(AND(ISNUMBER($G1202),$G1202&gt;=60),MAX(INDEX($D$1002:$D1202,202-60):$D1202),"")</f>
        <v/>
      </c>
      <c r="N1202" s="37" t="str">
        <f aca="false">IF(AND(ISNUMBER($G1202),$G1202&gt;=60),MIN(INDEX($E$1002:$E1202,202-60):$E1202),"")</f>
        <v/>
      </c>
      <c r="O1202" s="38" t="str">
        <f aca="false">IF(OR(NOT(ISNUMBER($C1202)),NOT(ISNUMBER($M1202)),$M1202=0),"",$C1202/$M1202-1)</f>
        <v/>
      </c>
    </row>
    <row r="1203" customFormat="false" ht="15" hidden="false" customHeight="true" outlineLevel="0" collapsed="false">
      <c r="A1203" s="39"/>
      <c r="B1203" s="40"/>
      <c r="C1203" s="41"/>
      <c r="D1203" s="40"/>
      <c r="E1203" s="40"/>
      <c r="F1203" s="40"/>
      <c r="G1203" s="35" t="str">
        <f aca="false">IF($A1203="","",IF(ISNUMBER($G1202),$G1202+1,1))</f>
        <v/>
      </c>
      <c r="H1203" s="36" t="str">
        <f aca="false">IF(OR(NOT(ISNUMBER($G1203)),$G1203&lt;2,NOT(ISNUMBER($C1202)),$C1202=0),"",$C1203/$C1202-1)</f>
        <v/>
      </c>
      <c r="I1203" s="37" t="str">
        <f aca="false">IF(AND(ISNUMBER($G1203),$G1203&gt;=MA_SHORT),AVERAGE(INDEX($C$803:$C1203,402-MA_SHORT):$C1203),"")</f>
        <v/>
      </c>
      <c r="J1203" s="37" t="str">
        <f aca="false">IF(AND(ISNUMBER($G1203),$G1203&gt;=MA_MED),AVERAGE(INDEX($C$803:$C1203,402-MA_MED):$C1203),"")</f>
        <v/>
      </c>
      <c r="K1203" s="37" t="str">
        <f aca="false">IF(AND(ISNUMBER($G1203),$G1203&gt;=MA_LONG2),AVERAGE(INDEX($C$803:$C1203,402-MA_LONG2):$C1203),"")</f>
        <v/>
      </c>
      <c r="L1203" s="38" t="str">
        <f aca="false">IF(AND(ISNUMBER($G1203),$G1203&gt;=21),STDEV(INDEX($H$1143:$H1203,62-20):$H1203)*SQRT(245),"")</f>
        <v/>
      </c>
      <c r="M1203" s="37" t="str">
        <f aca="false">IF(AND(ISNUMBER($G1203),$G1203&gt;=60),MAX(INDEX($D$1003:$D1203,202-60):$D1203),"")</f>
        <v/>
      </c>
      <c r="N1203" s="37" t="str">
        <f aca="false">IF(AND(ISNUMBER($G1203),$G1203&gt;=60),MIN(INDEX($E$1003:$E1203,202-60):$E1203),"")</f>
        <v/>
      </c>
      <c r="O1203" s="38" t="str">
        <f aca="false">IF(OR(NOT(ISNUMBER($C1203)),NOT(ISNUMBER($M1203)),$M1203=0),"",$C1203/$M1203-1)</f>
        <v/>
      </c>
    </row>
    <row r="1204" customFormat="false" ht="15" hidden="false" customHeight="true" outlineLevel="0" collapsed="false">
      <c r="A1204" s="39"/>
      <c r="B1204" s="40"/>
      <c r="C1204" s="41"/>
      <c r="D1204" s="40"/>
      <c r="E1204" s="40"/>
      <c r="F1204" s="40"/>
      <c r="G1204" s="35" t="str">
        <f aca="false">IF($A1204="","",IF(ISNUMBER($G1203),$G1203+1,1))</f>
        <v/>
      </c>
      <c r="H1204" s="36" t="str">
        <f aca="false">IF(OR(NOT(ISNUMBER($G1204)),$G1204&lt;2,NOT(ISNUMBER($C1203)),$C1203=0),"",$C1204/$C1203-1)</f>
        <v/>
      </c>
      <c r="I1204" s="37" t="str">
        <f aca="false">IF(AND(ISNUMBER($G1204),$G1204&gt;=MA_SHORT),AVERAGE(INDEX($C$804:$C1204,402-MA_SHORT):$C1204),"")</f>
        <v/>
      </c>
      <c r="J1204" s="37" t="str">
        <f aca="false">IF(AND(ISNUMBER($G1204),$G1204&gt;=MA_MED),AVERAGE(INDEX($C$804:$C1204,402-MA_MED):$C1204),"")</f>
        <v/>
      </c>
      <c r="K1204" s="37" t="str">
        <f aca="false">IF(AND(ISNUMBER($G1204),$G1204&gt;=MA_LONG2),AVERAGE(INDEX($C$804:$C1204,402-MA_LONG2):$C1204),"")</f>
        <v/>
      </c>
      <c r="L1204" s="38" t="str">
        <f aca="false">IF(AND(ISNUMBER($G1204),$G1204&gt;=21),STDEV(INDEX($H$1144:$H1204,62-20):$H1204)*SQRT(245),"")</f>
        <v/>
      </c>
      <c r="M1204" s="37" t="str">
        <f aca="false">IF(AND(ISNUMBER($G1204),$G1204&gt;=60),MAX(INDEX($D$1004:$D1204,202-60):$D1204),"")</f>
        <v/>
      </c>
      <c r="N1204" s="37" t="str">
        <f aca="false">IF(AND(ISNUMBER($G1204),$G1204&gt;=60),MIN(INDEX($E$1004:$E1204,202-60):$E1204),"")</f>
        <v/>
      </c>
      <c r="O1204" s="38" t="str">
        <f aca="false">IF(OR(NOT(ISNUMBER($C1204)),NOT(ISNUMBER($M1204)),$M1204=0),"",$C1204/$M1204-1)</f>
        <v/>
      </c>
    </row>
    <row r="1205" customFormat="false" ht="15" hidden="false" customHeight="true" outlineLevel="0" collapsed="false">
      <c r="A1205" s="39"/>
      <c r="B1205" s="40"/>
      <c r="C1205" s="41"/>
      <c r="D1205" s="40"/>
      <c r="E1205" s="40"/>
      <c r="F1205" s="40"/>
      <c r="G1205" s="35" t="str">
        <f aca="false">IF($A1205="","",IF(ISNUMBER($G1204),$G1204+1,1))</f>
        <v/>
      </c>
      <c r="H1205" s="36" t="str">
        <f aca="false">IF(OR(NOT(ISNUMBER($G1205)),$G1205&lt;2,NOT(ISNUMBER($C1204)),$C1204=0),"",$C1205/$C1204-1)</f>
        <v/>
      </c>
      <c r="I1205" s="37" t="str">
        <f aca="false">IF(AND(ISNUMBER($G1205),$G1205&gt;=MA_SHORT),AVERAGE(INDEX($C$805:$C1205,402-MA_SHORT):$C1205),"")</f>
        <v/>
      </c>
      <c r="J1205" s="37" t="str">
        <f aca="false">IF(AND(ISNUMBER($G1205),$G1205&gt;=MA_MED),AVERAGE(INDEX($C$805:$C1205,402-MA_MED):$C1205),"")</f>
        <v/>
      </c>
      <c r="K1205" s="37" t="str">
        <f aca="false">IF(AND(ISNUMBER($G1205),$G1205&gt;=MA_LONG2),AVERAGE(INDEX($C$805:$C1205,402-MA_LONG2):$C1205),"")</f>
        <v/>
      </c>
      <c r="L1205" s="38" t="str">
        <f aca="false">IF(AND(ISNUMBER($G1205),$G1205&gt;=21),STDEV(INDEX($H$1145:$H1205,62-20):$H1205)*SQRT(245),"")</f>
        <v/>
      </c>
      <c r="M1205" s="37" t="str">
        <f aca="false">IF(AND(ISNUMBER($G1205),$G1205&gt;=60),MAX(INDEX($D$1005:$D1205,202-60):$D1205),"")</f>
        <v/>
      </c>
      <c r="N1205" s="37" t="str">
        <f aca="false">IF(AND(ISNUMBER($G1205),$G1205&gt;=60),MIN(INDEX($E$1005:$E1205,202-60):$E1205),"")</f>
        <v/>
      </c>
      <c r="O1205" s="38" t="str">
        <f aca="false">IF(OR(NOT(ISNUMBER($C1205)),NOT(ISNUMBER($M1205)),$M1205=0),"",$C1205/$M1205-1)</f>
        <v/>
      </c>
    </row>
    <row r="1206" customFormat="false" ht="15" hidden="false" customHeight="true" outlineLevel="0" collapsed="false">
      <c r="A1206" s="39"/>
      <c r="B1206" s="40"/>
      <c r="C1206" s="41"/>
      <c r="D1206" s="40"/>
      <c r="E1206" s="40"/>
      <c r="F1206" s="40"/>
      <c r="G1206" s="35" t="str">
        <f aca="false">IF($A1206="","",IF(ISNUMBER($G1205),$G1205+1,1))</f>
        <v/>
      </c>
      <c r="H1206" s="36" t="str">
        <f aca="false">IF(OR(NOT(ISNUMBER($G1206)),$G1206&lt;2,NOT(ISNUMBER($C1205)),$C1205=0),"",$C1206/$C1205-1)</f>
        <v/>
      </c>
      <c r="I1206" s="37" t="str">
        <f aca="false">IF(AND(ISNUMBER($G1206),$G1206&gt;=MA_SHORT),AVERAGE(INDEX($C$806:$C1206,402-MA_SHORT):$C1206),"")</f>
        <v/>
      </c>
      <c r="J1206" s="37" t="str">
        <f aca="false">IF(AND(ISNUMBER($G1206),$G1206&gt;=MA_MED),AVERAGE(INDEX($C$806:$C1206,402-MA_MED):$C1206),"")</f>
        <v/>
      </c>
      <c r="K1206" s="37" t="str">
        <f aca="false">IF(AND(ISNUMBER($G1206),$G1206&gt;=MA_LONG2),AVERAGE(INDEX($C$806:$C1206,402-MA_LONG2):$C1206),"")</f>
        <v/>
      </c>
      <c r="L1206" s="38" t="str">
        <f aca="false">IF(AND(ISNUMBER($G1206),$G1206&gt;=21),STDEV(INDEX($H$1146:$H1206,62-20):$H1206)*SQRT(245),"")</f>
        <v/>
      </c>
      <c r="M1206" s="37" t="str">
        <f aca="false">IF(AND(ISNUMBER($G1206),$G1206&gt;=60),MAX(INDEX($D$1006:$D1206,202-60):$D1206),"")</f>
        <v/>
      </c>
      <c r="N1206" s="37" t="str">
        <f aca="false">IF(AND(ISNUMBER($G1206),$G1206&gt;=60),MIN(INDEX($E$1006:$E1206,202-60):$E1206),"")</f>
        <v/>
      </c>
      <c r="O1206" s="38" t="str">
        <f aca="false">IF(OR(NOT(ISNUMBER($C1206)),NOT(ISNUMBER($M1206)),$M1206=0),"",$C1206/$M1206-1)</f>
        <v/>
      </c>
    </row>
    <row r="1207" customFormat="false" ht="15" hidden="false" customHeight="true" outlineLevel="0" collapsed="false">
      <c r="A1207" s="39"/>
      <c r="B1207" s="40"/>
      <c r="C1207" s="41"/>
      <c r="D1207" s="40"/>
      <c r="E1207" s="40"/>
      <c r="F1207" s="40"/>
      <c r="G1207" s="35" t="str">
        <f aca="false">IF($A1207="","",IF(ISNUMBER($G1206),$G1206+1,1))</f>
        <v/>
      </c>
      <c r="H1207" s="36" t="str">
        <f aca="false">IF(OR(NOT(ISNUMBER($G1207)),$G1207&lt;2,NOT(ISNUMBER($C1206)),$C1206=0),"",$C1207/$C1206-1)</f>
        <v/>
      </c>
      <c r="I1207" s="37" t="str">
        <f aca="false">IF(AND(ISNUMBER($G1207),$G1207&gt;=MA_SHORT),AVERAGE(INDEX($C$807:$C1207,402-MA_SHORT):$C1207),"")</f>
        <v/>
      </c>
      <c r="J1207" s="37" t="str">
        <f aca="false">IF(AND(ISNUMBER($G1207),$G1207&gt;=MA_MED),AVERAGE(INDEX($C$807:$C1207,402-MA_MED):$C1207),"")</f>
        <v/>
      </c>
      <c r="K1207" s="37" t="str">
        <f aca="false">IF(AND(ISNUMBER($G1207),$G1207&gt;=MA_LONG2),AVERAGE(INDEX($C$807:$C1207,402-MA_LONG2):$C1207),"")</f>
        <v/>
      </c>
      <c r="L1207" s="38" t="str">
        <f aca="false">IF(AND(ISNUMBER($G1207),$G1207&gt;=21),STDEV(INDEX($H$1147:$H1207,62-20):$H1207)*SQRT(245),"")</f>
        <v/>
      </c>
      <c r="M1207" s="37" t="str">
        <f aca="false">IF(AND(ISNUMBER($G1207),$G1207&gt;=60),MAX(INDEX($D$1007:$D1207,202-60):$D1207),"")</f>
        <v/>
      </c>
      <c r="N1207" s="37" t="str">
        <f aca="false">IF(AND(ISNUMBER($G1207),$G1207&gt;=60),MIN(INDEX($E$1007:$E1207,202-60):$E1207),"")</f>
        <v/>
      </c>
      <c r="O1207" s="38" t="str">
        <f aca="false">IF(OR(NOT(ISNUMBER($C1207)),NOT(ISNUMBER($M1207)),$M1207=0),"",$C1207/$M1207-1)</f>
        <v/>
      </c>
    </row>
    <row r="1208" customFormat="false" ht="15" hidden="false" customHeight="true" outlineLevel="0" collapsed="false">
      <c r="A1208" s="39"/>
      <c r="B1208" s="40"/>
      <c r="C1208" s="41"/>
      <c r="D1208" s="40"/>
      <c r="E1208" s="40"/>
      <c r="F1208" s="40"/>
      <c r="G1208" s="35" t="str">
        <f aca="false">IF($A1208="","",IF(ISNUMBER($G1207),$G1207+1,1))</f>
        <v/>
      </c>
      <c r="H1208" s="36" t="str">
        <f aca="false">IF(OR(NOT(ISNUMBER($G1208)),$G1208&lt;2,NOT(ISNUMBER($C1207)),$C1207=0),"",$C1208/$C1207-1)</f>
        <v/>
      </c>
      <c r="I1208" s="37" t="str">
        <f aca="false">IF(AND(ISNUMBER($G1208),$G1208&gt;=MA_SHORT),AVERAGE(INDEX($C$808:$C1208,402-MA_SHORT):$C1208),"")</f>
        <v/>
      </c>
      <c r="J1208" s="37" t="str">
        <f aca="false">IF(AND(ISNUMBER($G1208),$G1208&gt;=MA_MED),AVERAGE(INDEX($C$808:$C1208,402-MA_MED):$C1208),"")</f>
        <v/>
      </c>
      <c r="K1208" s="37" t="str">
        <f aca="false">IF(AND(ISNUMBER($G1208),$G1208&gt;=MA_LONG2),AVERAGE(INDEX($C$808:$C1208,402-MA_LONG2):$C1208),"")</f>
        <v/>
      </c>
      <c r="L1208" s="38" t="str">
        <f aca="false">IF(AND(ISNUMBER($G1208),$G1208&gt;=21),STDEV(INDEX($H$1148:$H1208,62-20):$H1208)*SQRT(245),"")</f>
        <v/>
      </c>
      <c r="M1208" s="37" t="str">
        <f aca="false">IF(AND(ISNUMBER($G1208),$G1208&gt;=60),MAX(INDEX($D$1008:$D1208,202-60):$D1208),"")</f>
        <v/>
      </c>
      <c r="N1208" s="37" t="str">
        <f aca="false">IF(AND(ISNUMBER($G1208),$G1208&gt;=60),MIN(INDEX($E$1008:$E1208,202-60):$E1208),"")</f>
        <v/>
      </c>
      <c r="O1208" s="38" t="str">
        <f aca="false">IF(OR(NOT(ISNUMBER($C1208)),NOT(ISNUMBER($M1208)),$M1208=0),"",$C1208/$M1208-1)</f>
        <v/>
      </c>
    </row>
    <row r="1209" customFormat="false" ht="15" hidden="false" customHeight="true" outlineLevel="0" collapsed="false">
      <c r="A1209" s="39"/>
      <c r="B1209" s="40"/>
      <c r="C1209" s="41"/>
      <c r="D1209" s="40"/>
      <c r="E1209" s="40"/>
      <c r="F1209" s="40"/>
      <c r="G1209" s="35" t="str">
        <f aca="false">IF($A1209="","",IF(ISNUMBER($G1208),$G1208+1,1))</f>
        <v/>
      </c>
      <c r="H1209" s="36" t="str">
        <f aca="false">IF(OR(NOT(ISNUMBER($G1209)),$G1209&lt;2,NOT(ISNUMBER($C1208)),$C1208=0),"",$C1209/$C1208-1)</f>
        <v/>
      </c>
      <c r="I1209" s="37" t="str">
        <f aca="false">IF(AND(ISNUMBER($G1209),$G1209&gt;=MA_SHORT),AVERAGE(INDEX($C$809:$C1209,402-MA_SHORT):$C1209),"")</f>
        <v/>
      </c>
      <c r="J1209" s="37" t="str">
        <f aca="false">IF(AND(ISNUMBER($G1209),$G1209&gt;=MA_MED),AVERAGE(INDEX($C$809:$C1209,402-MA_MED):$C1209),"")</f>
        <v/>
      </c>
      <c r="K1209" s="37" t="str">
        <f aca="false">IF(AND(ISNUMBER($G1209),$G1209&gt;=MA_LONG2),AVERAGE(INDEX($C$809:$C1209,402-MA_LONG2):$C1209),"")</f>
        <v/>
      </c>
      <c r="L1209" s="38" t="str">
        <f aca="false">IF(AND(ISNUMBER($G1209),$G1209&gt;=21),STDEV(INDEX($H$1149:$H1209,62-20):$H1209)*SQRT(245),"")</f>
        <v/>
      </c>
      <c r="M1209" s="37" t="str">
        <f aca="false">IF(AND(ISNUMBER($G1209),$G1209&gt;=60),MAX(INDEX($D$1009:$D1209,202-60):$D1209),"")</f>
        <v/>
      </c>
      <c r="N1209" s="37" t="str">
        <f aca="false">IF(AND(ISNUMBER($G1209),$G1209&gt;=60),MIN(INDEX($E$1009:$E1209,202-60):$E1209),"")</f>
        <v/>
      </c>
      <c r="O1209" s="38" t="str">
        <f aca="false">IF(OR(NOT(ISNUMBER($C1209)),NOT(ISNUMBER($M1209)),$M1209=0),"",$C1209/$M1209-1)</f>
        <v/>
      </c>
    </row>
    <row r="1210" customFormat="false" ht="15" hidden="false" customHeight="true" outlineLevel="0" collapsed="false">
      <c r="A1210" s="39"/>
      <c r="B1210" s="40"/>
      <c r="C1210" s="41"/>
      <c r="D1210" s="40"/>
      <c r="E1210" s="40"/>
      <c r="F1210" s="40"/>
      <c r="G1210" s="35" t="str">
        <f aca="false">IF($A1210="","",IF(ISNUMBER($G1209),$G1209+1,1))</f>
        <v/>
      </c>
      <c r="H1210" s="36" t="str">
        <f aca="false">IF(OR(NOT(ISNUMBER($G1210)),$G1210&lt;2,NOT(ISNUMBER($C1209)),$C1209=0),"",$C1210/$C1209-1)</f>
        <v/>
      </c>
      <c r="I1210" s="37" t="str">
        <f aca="false">IF(AND(ISNUMBER($G1210),$G1210&gt;=MA_SHORT),AVERAGE(INDEX($C$810:$C1210,402-MA_SHORT):$C1210),"")</f>
        <v/>
      </c>
      <c r="J1210" s="37" t="str">
        <f aca="false">IF(AND(ISNUMBER($G1210),$G1210&gt;=MA_MED),AVERAGE(INDEX($C$810:$C1210,402-MA_MED):$C1210),"")</f>
        <v/>
      </c>
      <c r="K1210" s="37" t="str">
        <f aca="false">IF(AND(ISNUMBER($G1210),$G1210&gt;=MA_LONG2),AVERAGE(INDEX($C$810:$C1210,402-MA_LONG2):$C1210),"")</f>
        <v/>
      </c>
      <c r="L1210" s="38" t="str">
        <f aca="false">IF(AND(ISNUMBER($G1210),$G1210&gt;=21),STDEV(INDEX($H$1150:$H1210,62-20):$H1210)*SQRT(245),"")</f>
        <v/>
      </c>
      <c r="M1210" s="37" t="str">
        <f aca="false">IF(AND(ISNUMBER($G1210),$G1210&gt;=60),MAX(INDEX($D$1010:$D1210,202-60):$D1210),"")</f>
        <v/>
      </c>
      <c r="N1210" s="37" t="str">
        <f aca="false">IF(AND(ISNUMBER($G1210),$G1210&gt;=60),MIN(INDEX($E$1010:$E1210,202-60):$E1210),"")</f>
        <v/>
      </c>
      <c r="O1210" s="38" t="str">
        <f aca="false">IF(OR(NOT(ISNUMBER($C1210)),NOT(ISNUMBER($M1210)),$M1210=0),"",$C1210/$M1210-1)</f>
        <v/>
      </c>
    </row>
    <row r="1211" customFormat="false" ht="15" hidden="false" customHeight="true" outlineLevel="0" collapsed="false">
      <c r="A1211" s="39"/>
      <c r="B1211" s="40"/>
      <c r="C1211" s="41"/>
      <c r="D1211" s="40"/>
      <c r="E1211" s="40"/>
      <c r="F1211" s="40"/>
      <c r="G1211" s="35" t="str">
        <f aca="false">IF($A1211="","",IF(ISNUMBER($G1210),$G1210+1,1))</f>
        <v/>
      </c>
      <c r="H1211" s="36" t="str">
        <f aca="false">IF(OR(NOT(ISNUMBER($G1211)),$G1211&lt;2,NOT(ISNUMBER($C1210)),$C1210=0),"",$C1211/$C1210-1)</f>
        <v/>
      </c>
      <c r="I1211" s="37" t="str">
        <f aca="false">IF(AND(ISNUMBER($G1211),$G1211&gt;=MA_SHORT),AVERAGE(INDEX($C$811:$C1211,402-MA_SHORT):$C1211),"")</f>
        <v/>
      </c>
      <c r="J1211" s="37" t="str">
        <f aca="false">IF(AND(ISNUMBER($G1211),$G1211&gt;=MA_MED),AVERAGE(INDEX($C$811:$C1211,402-MA_MED):$C1211),"")</f>
        <v/>
      </c>
      <c r="K1211" s="37" t="str">
        <f aca="false">IF(AND(ISNUMBER($G1211),$G1211&gt;=MA_LONG2),AVERAGE(INDEX($C$811:$C1211,402-MA_LONG2):$C1211),"")</f>
        <v/>
      </c>
      <c r="L1211" s="38" t="str">
        <f aca="false">IF(AND(ISNUMBER($G1211),$G1211&gt;=21),STDEV(INDEX($H$1151:$H1211,62-20):$H1211)*SQRT(245),"")</f>
        <v/>
      </c>
      <c r="M1211" s="37" t="str">
        <f aca="false">IF(AND(ISNUMBER($G1211),$G1211&gt;=60),MAX(INDEX($D$1011:$D1211,202-60):$D1211),"")</f>
        <v/>
      </c>
      <c r="N1211" s="37" t="str">
        <f aca="false">IF(AND(ISNUMBER($G1211),$G1211&gt;=60),MIN(INDEX($E$1011:$E1211,202-60):$E1211),"")</f>
        <v/>
      </c>
      <c r="O1211" s="38" t="str">
        <f aca="false">IF(OR(NOT(ISNUMBER($C1211)),NOT(ISNUMBER($M1211)),$M1211=0),"",$C1211/$M1211-1)</f>
        <v/>
      </c>
    </row>
    <row r="1212" customFormat="false" ht="15" hidden="false" customHeight="true" outlineLevel="0" collapsed="false">
      <c r="A1212" s="39"/>
      <c r="B1212" s="40"/>
      <c r="C1212" s="41"/>
      <c r="D1212" s="40"/>
      <c r="E1212" s="40"/>
      <c r="F1212" s="40"/>
      <c r="G1212" s="35" t="str">
        <f aca="false">IF($A1212="","",IF(ISNUMBER($G1211),$G1211+1,1))</f>
        <v/>
      </c>
      <c r="H1212" s="36" t="str">
        <f aca="false">IF(OR(NOT(ISNUMBER($G1212)),$G1212&lt;2,NOT(ISNUMBER($C1211)),$C1211=0),"",$C1212/$C1211-1)</f>
        <v/>
      </c>
      <c r="I1212" s="37" t="str">
        <f aca="false">IF(AND(ISNUMBER($G1212),$G1212&gt;=MA_SHORT),AVERAGE(INDEX($C$812:$C1212,402-MA_SHORT):$C1212),"")</f>
        <v/>
      </c>
      <c r="J1212" s="37" t="str">
        <f aca="false">IF(AND(ISNUMBER($G1212),$G1212&gt;=MA_MED),AVERAGE(INDEX($C$812:$C1212,402-MA_MED):$C1212),"")</f>
        <v/>
      </c>
      <c r="K1212" s="37" t="str">
        <f aca="false">IF(AND(ISNUMBER($G1212),$G1212&gt;=MA_LONG2),AVERAGE(INDEX($C$812:$C1212,402-MA_LONG2):$C1212),"")</f>
        <v/>
      </c>
      <c r="L1212" s="38" t="str">
        <f aca="false">IF(AND(ISNUMBER($G1212),$G1212&gt;=21),STDEV(INDEX($H$1152:$H1212,62-20):$H1212)*SQRT(245),"")</f>
        <v/>
      </c>
      <c r="M1212" s="37" t="str">
        <f aca="false">IF(AND(ISNUMBER($G1212),$G1212&gt;=60),MAX(INDEX($D$1012:$D1212,202-60):$D1212),"")</f>
        <v/>
      </c>
      <c r="N1212" s="37" t="str">
        <f aca="false">IF(AND(ISNUMBER($G1212),$G1212&gt;=60),MIN(INDEX($E$1012:$E1212,202-60):$E1212),"")</f>
        <v/>
      </c>
      <c r="O1212" s="38" t="str">
        <f aca="false">IF(OR(NOT(ISNUMBER($C1212)),NOT(ISNUMBER($M1212)),$M1212=0),"",$C1212/$M1212-1)</f>
        <v/>
      </c>
    </row>
    <row r="1213" customFormat="false" ht="15" hidden="false" customHeight="true" outlineLevel="0" collapsed="false">
      <c r="A1213" s="39"/>
      <c r="B1213" s="40"/>
      <c r="C1213" s="41"/>
      <c r="D1213" s="40"/>
      <c r="E1213" s="40"/>
      <c r="F1213" s="40"/>
      <c r="G1213" s="35" t="str">
        <f aca="false">IF($A1213="","",IF(ISNUMBER($G1212),$G1212+1,1))</f>
        <v/>
      </c>
      <c r="H1213" s="36" t="str">
        <f aca="false">IF(OR(NOT(ISNUMBER($G1213)),$G1213&lt;2,NOT(ISNUMBER($C1212)),$C1212=0),"",$C1213/$C1212-1)</f>
        <v/>
      </c>
      <c r="I1213" s="37" t="str">
        <f aca="false">IF(AND(ISNUMBER($G1213),$G1213&gt;=MA_SHORT),AVERAGE(INDEX($C$813:$C1213,402-MA_SHORT):$C1213),"")</f>
        <v/>
      </c>
      <c r="J1213" s="37" t="str">
        <f aca="false">IF(AND(ISNUMBER($G1213),$G1213&gt;=MA_MED),AVERAGE(INDEX($C$813:$C1213,402-MA_MED):$C1213),"")</f>
        <v/>
      </c>
      <c r="K1213" s="37" t="str">
        <f aca="false">IF(AND(ISNUMBER($G1213),$G1213&gt;=MA_LONG2),AVERAGE(INDEX($C$813:$C1213,402-MA_LONG2):$C1213),"")</f>
        <v/>
      </c>
      <c r="L1213" s="38" t="str">
        <f aca="false">IF(AND(ISNUMBER($G1213),$G1213&gt;=21),STDEV(INDEX($H$1153:$H1213,62-20):$H1213)*SQRT(245),"")</f>
        <v/>
      </c>
      <c r="M1213" s="37" t="str">
        <f aca="false">IF(AND(ISNUMBER($G1213),$G1213&gt;=60),MAX(INDEX($D$1013:$D1213,202-60):$D1213),"")</f>
        <v/>
      </c>
      <c r="N1213" s="37" t="str">
        <f aca="false">IF(AND(ISNUMBER($G1213),$G1213&gt;=60),MIN(INDEX($E$1013:$E1213,202-60):$E1213),"")</f>
        <v/>
      </c>
      <c r="O1213" s="38" t="str">
        <f aca="false">IF(OR(NOT(ISNUMBER($C1213)),NOT(ISNUMBER($M1213)),$M1213=0),"",$C1213/$M1213-1)</f>
        <v/>
      </c>
    </row>
    <row r="1214" customFormat="false" ht="15" hidden="false" customHeight="true" outlineLevel="0" collapsed="false">
      <c r="A1214" s="39"/>
      <c r="B1214" s="40"/>
      <c r="C1214" s="41"/>
      <c r="D1214" s="40"/>
      <c r="E1214" s="40"/>
      <c r="F1214" s="40"/>
      <c r="G1214" s="35" t="str">
        <f aca="false">IF($A1214="","",IF(ISNUMBER($G1213),$G1213+1,1))</f>
        <v/>
      </c>
      <c r="H1214" s="36" t="str">
        <f aca="false">IF(OR(NOT(ISNUMBER($G1214)),$G1214&lt;2,NOT(ISNUMBER($C1213)),$C1213=0),"",$C1214/$C1213-1)</f>
        <v/>
      </c>
      <c r="I1214" s="37" t="str">
        <f aca="false">IF(AND(ISNUMBER($G1214),$G1214&gt;=MA_SHORT),AVERAGE(INDEX($C$814:$C1214,402-MA_SHORT):$C1214),"")</f>
        <v/>
      </c>
      <c r="J1214" s="37" t="str">
        <f aca="false">IF(AND(ISNUMBER($G1214),$G1214&gt;=MA_MED),AVERAGE(INDEX($C$814:$C1214,402-MA_MED):$C1214),"")</f>
        <v/>
      </c>
      <c r="K1214" s="37" t="str">
        <f aca="false">IF(AND(ISNUMBER($G1214),$G1214&gt;=MA_LONG2),AVERAGE(INDEX($C$814:$C1214,402-MA_LONG2):$C1214),"")</f>
        <v/>
      </c>
      <c r="L1214" s="38" t="str">
        <f aca="false">IF(AND(ISNUMBER($G1214),$G1214&gt;=21),STDEV(INDEX($H$1154:$H1214,62-20):$H1214)*SQRT(245),"")</f>
        <v/>
      </c>
      <c r="M1214" s="37" t="str">
        <f aca="false">IF(AND(ISNUMBER($G1214),$G1214&gt;=60),MAX(INDEX($D$1014:$D1214,202-60):$D1214),"")</f>
        <v/>
      </c>
      <c r="N1214" s="37" t="str">
        <f aca="false">IF(AND(ISNUMBER($G1214),$G1214&gt;=60),MIN(INDEX($E$1014:$E1214,202-60):$E1214),"")</f>
        <v/>
      </c>
      <c r="O1214" s="38" t="str">
        <f aca="false">IF(OR(NOT(ISNUMBER($C1214)),NOT(ISNUMBER($M1214)),$M1214=0),"",$C1214/$M1214-1)</f>
        <v/>
      </c>
    </row>
    <row r="1215" customFormat="false" ht="15" hidden="false" customHeight="true" outlineLevel="0" collapsed="false">
      <c r="A1215" s="39"/>
      <c r="B1215" s="40"/>
      <c r="C1215" s="41"/>
      <c r="D1215" s="40"/>
      <c r="E1215" s="40"/>
      <c r="F1215" s="40"/>
      <c r="G1215" s="35" t="str">
        <f aca="false">IF($A1215="","",IF(ISNUMBER($G1214),$G1214+1,1))</f>
        <v/>
      </c>
      <c r="H1215" s="36" t="str">
        <f aca="false">IF(OR(NOT(ISNUMBER($G1215)),$G1215&lt;2,NOT(ISNUMBER($C1214)),$C1214=0),"",$C1215/$C1214-1)</f>
        <v/>
      </c>
      <c r="I1215" s="37" t="str">
        <f aca="false">IF(AND(ISNUMBER($G1215),$G1215&gt;=MA_SHORT),AVERAGE(INDEX($C$815:$C1215,402-MA_SHORT):$C1215),"")</f>
        <v/>
      </c>
      <c r="J1215" s="37" t="str">
        <f aca="false">IF(AND(ISNUMBER($G1215),$G1215&gt;=MA_MED),AVERAGE(INDEX($C$815:$C1215,402-MA_MED):$C1215),"")</f>
        <v/>
      </c>
      <c r="K1215" s="37" t="str">
        <f aca="false">IF(AND(ISNUMBER($G1215),$G1215&gt;=MA_LONG2),AVERAGE(INDEX($C$815:$C1215,402-MA_LONG2):$C1215),"")</f>
        <v/>
      </c>
      <c r="L1215" s="38" t="str">
        <f aca="false">IF(AND(ISNUMBER($G1215),$G1215&gt;=21),STDEV(INDEX($H$1155:$H1215,62-20):$H1215)*SQRT(245),"")</f>
        <v/>
      </c>
      <c r="M1215" s="37" t="str">
        <f aca="false">IF(AND(ISNUMBER($G1215),$G1215&gt;=60),MAX(INDEX($D$1015:$D1215,202-60):$D1215),"")</f>
        <v/>
      </c>
      <c r="N1215" s="37" t="str">
        <f aca="false">IF(AND(ISNUMBER($G1215),$G1215&gt;=60),MIN(INDEX($E$1015:$E1215,202-60):$E1215),"")</f>
        <v/>
      </c>
      <c r="O1215" s="38" t="str">
        <f aca="false">IF(OR(NOT(ISNUMBER($C1215)),NOT(ISNUMBER($M1215)),$M1215=0),"",$C1215/$M1215-1)</f>
        <v/>
      </c>
    </row>
    <row r="1216" customFormat="false" ht="15" hidden="false" customHeight="true" outlineLevel="0" collapsed="false">
      <c r="A1216" s="39"/>
      <c r="B1216" s="40"/>
      <c r="C1216" s="41"/>
      <c r="D1216" s="40"/>
      <c r="E1216" s="40"/>
      <c r="F1216" s="40"/>
      <c r="G1216" s="35" t="str">
        <f aca="false">IF($A1216="","",IF(ISNUMBER($G1215),$G1215+1,1))</f>
        <v/>
      </c>
      <c r="H1216" s="36" t="str">
        <f aca="false">IF(OR(NOT(ISNUMBER($G1216)),$G1216&lt;2,NOT(ISNUMBER($C1215)),$C1215=0),"",$C1216/$C1215-1)</f>
        <v/>
      </c>
      <c r="I1216" s="37" t="str">
        <f aca="false">IF(AND(ISNUMBER($G1216),$G1216&gt;=MA_SHORT),AVERAGE(INDEX($C$816:$C1216,402-MA_SHORT):$C1216),"")</f>
        <v/>
      </c>
      <c r="J1216" s="37" t="str">
        <f aca="false">IF(AND(ISNUMBER($G1216),$G1216&gt;=MA_MED),AVERAGE(INDEX($C$816:$C1216,402-MA_MED):$C1216),"")</f>
        <v/>
      </c>
      <c r="K1216" s="37" t="str">
        <f aca="false">IF(AND(ISNUMBER($G1216),$G1216&gt;=MA_LONG2),AVERAGE(INDEX($C$816:$C1216,402-MA_LONG2):$C1216),"")</f>
        <v/>
      </c>
      <c r="L1216" s="38" t="str">
        <f aca="false">IF(AND(ISNUMBER($G1216),$G1216&gt;=21),STDEV(INDEX($H$1156:$H1216,62-20):$H1216)*SQRT(245),"")</f>
        <v/>
      </c>
      <c r="M1216" s="37" t="str">
        <f aca="false">IF(AND(ISNUMBER($G1216),$G1216&gt;=60),MAX(INDEX($D$1016:$D1216,202-60):$D1216),"")</f>
        <v/>
      </c>
      <c r="N1216" s="37" t="str">
        <f aca="false">IF(AND(ISNUMBER($G1216),$G1216&gt;=60),MIN(INDEX($E$1016:$E1216,202-60):$E1216),"")</f>
        <v/>
      </c>
      <c r="O1216" s="38" t="str">
        <f aca="false">IF(OR(NOT(ISNUMBER($C1216)),NOT(ISNUMBER($M1216)),$M1216=0),"",$C1216/$M1216-1)</f>
        <v/>
      </c>
    </row>
    <row r="1217" customFormat="false" ht="15" hidden="false" customHeight="true" outlineLevel="0" collapsed="false">
      <c r="A1217" s="39"/>
      <c r="B1217" s="40"/>
      <c r="C1217" s="41"/>
      <c r="D1217" s="40"/>
      <c r="E1217" s="40"/>
      <c r="F1217" s="40"/>
      <c r="G1217" s="35" t="str">
        <f aca="false">IF($A1217="","",IF(ISNUMBER($G1216),$G1216+1,1))</f>
        <v/>
      </c>
      <c r="H1217" s="36" t="str">
        <f aca="false">IF(OR(NOT(ISNUMBER($G1217)),$G1217&lt;2,NOT(ISNUMBER($C1216)),$C1216=0),"",$C1217/$C1216-1)</f>
        <v/>
      </c>
      <c r="I1217" s="37" t="str">
        <f aca="false">IF(AND(ISNUMBER($G1217),$G1217&gt;=MA_SHORT),AVERAGE(INDEX($C$817:$C1217,402-MA_SHORT):$C1217),"")</f>
        <v/>
      </c>
      <c r="J1217" s="37" t="str">
        <f aca="false">IF(AND(ISNUMBER($G1217),$G1217&gt;=MA_MED),AVERAGE(INDEX($C$817:$C1217,402-MA_MED):$C1217),"")</f>
        <v/>
      </c>
      <c r="K1217" s="37" t="str">
        <f aca="false">IF(AND(ISNUMBER($G1217),$G1217&gt;=MA_LONG2),AVERAGE(INDEX($C$817:$C1217,402-MA_LONG2):$C1217),"")</f>
        <v/>
      </c>
      <c r="L1217" s="38" t="str">
        <f aca="false">IF(AND(ISNUMBER($G1217),$G1217&gt;=21),STDEV(INDEX($H$1157:$H1217,62-20):$H1217)*SQRT(245),"")</f>
        <v/>
      </c>
      <c r="M1217" s="37" t="str">
        <f aca="false">IF(AND(ISNUMBER($G1217),$G1217&gt;=60),MAX(INDEX($D$1017:$D1217,202-60):$D1217),"")</f>
        <v/>
      </c>
      <c r="N1217" s="37" t="str">
        <f aca="false">IF(AND(ISNUMBER($G1217),$G1217&gt;=60),MIN(INDEX($E$1017:$E1217,202-60):$E1217),"")</f>
        <v/>
      </c>
      <c r="O1217" s="38" t="str">
        <f aca="false">IF(OR(NOT(ISNUMBER($C1217)),NOT(ISNUMBER($M1217)),$M1217=0),"",$C1217/$M1217-1)</f>
        <v/>
      </c>
    </row>
    <row r="1218" customFormat="false" ht="15" hidden="false" customHeight="true" outlineLevel="0" collapsed="false">
      <c r="A1218" s="39"/>
      <c r="B1218" s="40"/>
      <c r="C1218" s="41"/>
      <c r="D1218" s="40"/>
      <c r="E1218" s="40"/>
      <c r="F1218" s="40"/>
      <c r="G1218" s="35" t="str">
        <f aca="false">IF($A1218="","",IF(ISNUMBER($G1217),$G1217+1,1))</f>
        <v/>
      </c>
      <c r="H1218" s="36" t="str">
        <f aca="false">IF(OR(NOT(ISNUMBER($G1218)),$G1218&lt;2,NOT(ISNUMBER($C1217)),$C1217=0),"",$C1218/$C1217-1)</f>
        <v/>
      </c>
      <c r="I1218" s="37" t="str">
        <f aca="false">IF(AND(ISNUMBER($G1218),$G1218&gt;=MA_SHORT),AVERAGE(INDEX($C$818:$C1218,402-MA_SHORT):$C1218),"")</f>
        <v/>
      </c>
      <c r="J1218" s="37" t="str">
        <f aca="false">IF(AND(ISNUMBER($G1218),$G1218&gt;=MA_MED),AVERAGE(INDEX($C$818:$C1218,402-MA_MED):$C1218),"")</f>
        <v/>
      </c>
      <c r="K1218" s="37" t="str">
        <f aca="false">IF(AND(ISNUMBER($G1218),$G1218&gt;=MA_LONG2),AVERAGE(INDEX($C$818:$C1218,402-MA_LONG2):$C1218),"")</f>
        <v/>
      </c>
      <c r="L1218" s="38" t="str">
        <f aca="false">IF(AND(ISNUMBER($G1218),$G1218&gt;=21),STDEV(INDEX($H$1158:$H1218,62-20):$H1218)*SQRT(245),"")</f>
        <v/>
      </c>
      <c r="M1218" s="37" t="str">
        <f aca="false">IF(AND(ISNUMBER($G1218),$G1218&gt;=60),MAX(INDEX($D$1018:$D1218,202-60):$D1218),"")</f>
        <v/>
      </c>
      <c r="N1218" s="37" t="str">
        <f aca="false">IF(AND(ISNUMBER($G1218),$G1218&gt;=60),MIN(INDEX($E$1018:$E1218,202-60):$E1218),"")</f>
        <v/>
      </c>
      <c r="O1218" s="38" t="str">
        <f aca="false">IF(OR(NOT(ISNUMBER($C1218)),NOT(ISNUMBER($M1218)),$M1218=0),"",$C1218/$M1218-1)</f>
        <v/>
      </c>
    </row>
    <row r="1219" customFormat="false" ht="15" hidden="false" customHeight="true" outlineLevel="0" collapsed="false">
      <c r="A1219" s="39"/>
      <c r="B1219" s="40"/>
      <c r="C1219" s="41"/>
      <c r="D1219" s="40"/>
      <c r="E1219" s="40"/>
      <c r="F1219" s="40"/>
      <c r="G1219" s="35" t="str">
        <f aca="false">IF($A1219="","",IF(ISNUMBER($G1218),$G1218+1,1))</f>
        <v/>
      </c>
      <c r="H1219" s="36" t="str">
        <f aca="false">IF(OR(NOT(ISNUMBER($G1219)),$G1219&lt;2,NOT(ISNUMBER($C1218)),$C1218=0),"",$C1219/$C1218-1)</f>
        <v/>
      </c>
      <c r="I1219" s="37" t="str">
        <f aca="false">IF(AND(ISNUMBER($G1219),$G1219&gt;=MA_SHORT),AVERAGE(INDEX($C$819:$C1219,402-MA_SHORT):$C1219),"")</f>
        <v/>
      </c>
      <c r="J1219" s="37" t="str">
        <f aca="false">IF(AND(ISNUMBER($G1219),$G1219&gt;=MA_MED),AVERAGE(INDEX($C$819:$C1219,402-MA_MED):$C1219),"")</f>
        <v/>
      </c>
      <c r="K1219" s="37" t="str">
        <f aca="false">IF(AND(ISNUMBER($G1219),$G1219&gt;=MA_LONG2),AVERAGE(INDEX($C$819:$C1219,402-MA_LONG2):$C1219),"")</f>
        <v/>
      </c>
      <c r="L1219" s="38" t="str">
        <f aca="false">IF(AND(ISNUMBER($G1219),$G1219&gt;=21),STDEV(INDEX($H$1159:$H1219,62-20):$H1219)*SQRT(245),"")</f>
        <v/>
      </c>
      <c r="M1219" s="37" t="str">
        <f aca="false">IF(AND(ISNUMBER($G1219),$G1219&gt;=60),MAX(INDEX($D$1019:$D1219,202-60):$D1219),"")</f>
        <v/>
      </c>
      <c r="N1219" s="37" t="str">
        <f aca="false">IF(AND(ISNUMBER($G1219),$G1219&gt;=60),MIN(INDEX($E$1019:$E1219,202-60):$E1219),"")</f>
        <v/>
      </c>
      <c r="O1219" s="38" t="str">
        <f aca="false">IF(OR(NOT(ISNUMBER($C1219)),NOT(ISNUMBER($M1219)),$M1219=0),"",$C1219/$M1219-1)</f>
        <v/>
      </c>
    </row>
    <row r="1220" customFormat="false" ht="15" hidden="false" customHeight="true" outlineLevel="0" collapsed="false">
      <c r="A1220" s="39"/>
      <c r="B1220" s="40"/>
      <c r="C1220" s="41"/>
      <c r="D1220" s="40"/>
      <c r="E1220" s="40"/>
      <c r="F1220" s="40"/>
      <c r="G1220" s="35" t="str">
        <f aca="false">IF($A1220="","",IF(ISNUMBER($G1219),$G1219+1,1))</f>
        <v/>
      </c>
      <c r="H1220" s="36" t="str">
        <f aca="false">IF(OR(NOT(ISNUMBER($G1220)),$G1220&lt;2,NOT(ISNUMBER($C1219)),$C1219=0),"",$C1220/$C1219-1)</f>
        <v/>
      </c>
      <c r="I1220" s="37" t="str">
        <f aca="false">IF(AND(ISNUMBER($G1220),$G1220&gt;=MA_SHORT),AVERAGE(INDEX($C$820:$C1220,402-MA_SHORT):$C1220),"")</f>
        <v/>
      </c>
      <c r="J1220" s="37" t="str">
        <f aca="false">IF(AND(ISNUMBER($G1220),$G1220&gt;=MA_MED),AVERAGE(INDEX($C$820:$C1220,402-MA_MED):$C1220),"")</f>
        <v/>
      </c>
      <c r="K1220" s="37" t="str">
        <f aca="false">IF(AND(ISNUMBER($G1220),$G1220&gt;=MA_LONG2),AVERAGE(INDEX($C$820:$C1220,402-MA_LONG2):$C1220),"")</f>
        <v/>
      </c>
      <c r="L1220" s="38" t="str">
        <f aca="false">IF(AND(ISNUMBER($G1220),$G1220&gt;=21),STDEV(INDEX($H$1160:$H1220,62-20):$H1220)*SQRT(245),"")</f>
        <v/>
      </c>
      <c r="M1220" s="37" t="str">
        <f aca="false">IF(AND(ISNUMBER($G1220),$G1220&gt;=60),MAX(INDEX($D$1020:$D1220,202-60):$D1220),"")</f>
        <v/>
      </c>
      <c r="N1220" s="37" t="str">
        <f aca="false">IF(AND(ISNUMBER($G1220),$G1220&gt;=60),MIN(INDEX($E$1020:$E1220,202-60):$E1220),"")</f>
        <v/>
      </c>
      <c r="O1220" s="38" t="str">
        <f aca="false">IF(OR(NOT(ISNUMBER($C1220)),NOT(ISNUMBER($M1220)),$M1220=0),"",$C1220/$M1220-1)</f>
        <v/>
      </c>
    </row>
    <row r="1221" customFormat="false" ht="15" hidden="false" customHeight="true" outlineLevel="0" collapsed="false">
      <c r="A1221" s="39"/>
      <c r="B1221" s="40"/>
      <c r="C1221" s="41"/>
      <c r="D1221" s="40"/>
      <c r="E1221" s="40"/>
      <c r="F1221" s="40"/>
      <c r="G1221" s="35" t="str">
        <f aca="false">IF($A1221="","",IF(ISNUMBER($G1220),$G1220+1,1))</f>
        <v/>
      </c>
      <c r="H1221" s="36" t="str">
        <f aca="false">IF(OR(NOT(ISNUMBER($G1221)),$G1221&lt;2,NOT(ISNUMBER($C1220)),$C1220=0),"",$C1221/$C1220-1)</f>
        <v/>
      </c>
      <c r="I1221" s="37" t="str">
        <f aca="false">IF(AND(ISNUMBER($G1221),$G1221&gt;=MA_SHORT),AVERAGE(INDEX($C$821:$C1221,402-MA_SHORT):$C1221),"")</f>
        <v/>
      </c>
      <c r="J1221" s="37" t="str">
        <f aca="false">IF(AND(ISNUMBER($G1221),$G1221&gt;=MA_MED),AVERAGE(INDEX($C$821:$C1221,402-MA_MED):$C1221),"")</f>
        <v/>
      </c>
      <c r="K1221" s="37" t="str">
        <f aca="false">IF(AND(ISNUMBER($G1221),$G1221&gt;=MA_LONG2),AVERAGE(INDEX($C$821:$C1221,402-MA_LONG2):$C1221),"")</f>
        <v/>
      </c>
      <c r="L1221" s="38" t="str">
        <f aca="false">IF(AND(ISNUMBER($G1221),$G1221&gt;=21),STDEV(INDEX($H$1161:$H1221,62-20):$H1221)*SQRT(245),"")</f>
        <v/>
      </c>
      <c r="M1221" s="37" t="str">
        <f aca="false">IF(AND(ISNUMBER($G1221),$G1221&gt;=60),MAX(INDEX($D$1021:$D1221,202-60):$D1221),"")</f>
        <v/>
      </c>
      <c r="N1221" s="37" t="str">
        <f aca="false">IF(AND(ISNUMBER($G1221),$G1221&gt;=60),MIN(INDEX($E$1021:$E1221,202-60):$E1221),"")</f>
        <v/>
      </c>
      <c r="O1221" s="38" t="str">
        <f aca="false">IF(OR(NOT(ISNUMBER($C1221)),NOT(ISNUMBER($M1221)),$M1221=0),"",$C1221/$M1221-1)</f>
        <v/>
      </c>
    </row>
    <row r="1222" customFormat="false" ht="15" hidden="false" customHeight="true" outlineLevel="0" collapsed="false">
      <c r="A1222" s="39"/>
      <c r="B1222" s="40"/>
      <c r="C1222" s="41"/>
      <c r="D1222" s="40"/>
      <c r="E1222" s="40"/>
      <c r="F1222" s="40"/>
      <c r="G1222" s="35" t="str">
        <f aca="false">IF($A1222="","",IF(ISNUMBER($G1221),$G1221+1,1))</f>
        <v/>
      </c>
      <c r="H1222" s="36" t="str">
        <f aca="false">IF(OR(NOT(ISNUMBER($G1222)),$G1222&lt;2,NOT(ISNUMBER($C1221)),$C1221=0),"",$C1222/$C1221-1)</f>
        <v/>
      </c>
      <c r="I1222" s="37" t="str">
        <f aca="false">IF(AND(ISNUMBER($G1222),$G1222&gt;=MA_SHORT),AVERAGE(INDEX($C$822:$C1222,402-MA_SHORT):$C1222),"")</f>
        <v/>
      </c>
      <c r="J1222" s="37" t="str">
        <f aca="false">IF(AND(ISNUMBER($G1222),$G1222&gt;=MA_MED),AVERAGE(INDEX($C$822:$C1222,402-MA_MED):$C1222),"")</f>
        <v/>
      </c>
      <c r="K1222" s="37" t="str">
        <f aca="false">IF(AND(ISNUMBER($G1222),$G1222&gt;=MA_LONG2),AVERAGE(INDEX($C$822:$C1222,402-MA_LONG2):$C1222),"")</f>
        <v/>
      </c>
      <c r="L1222" s="38" t="str">
        <f aca="false">IF(AND(ISNUMBER($G1222),$G1222&gt;=21),STDEV(INDEX($H$1162:$H1222,62-20):$H1222)*SQRT(245),"")</f>
        <v/>
      </c>
      <c r="M1222" s="37" t="str">
        <f aca="false">IF(AND(ISNUMBER($G1222),$G1222&gt;=60),MAX(INDEX($D$1022:$D1222,202-60):$D1222),"")</f>
        <v/>
      </c>
      <c r="N1222" s="37" t="str">
        <f aca="false">IF(AND(ISNUMBER($G1222),$G1222&gt;=60),MIN(INDEX($E$1022:$E1222,202-60):$E1222),"")</f>
        <v/>
      </c>
      <c r="O1222" s="38" t="str">
        <f aca="false">IF(OR(NOT(ISNUMBER($C1222)),NOT(ISNUMBER($M1222)),$M1222=0),"",$C1222/$M1222-1)</f>
        <v/>
      </c>
    </row>
    <row r="1223" customFormat="false" ht="15" hidden="false" customHeight="true" outlineLevel="0" collapsed="false">
      <c r="A1223" s="39"/>
      <c r="B1223" s="40"/>
      <c r="C1223" s="41"/>
      <c r="D1223" s="40"/>
      <c r="E1223" s="40"/>
      <c r="F1223" s="40"/>
      <c r="G1223" s="35" t="str">
        <f aca="false">IF($A1223="","",IF(ISNUMBER($G1222),$G1222+1,1))</f>
        <v/>
      </c>
      <c r="H1223" s="36" t="str">
        <f aca="false">IF(OR(NOT(ISNUMBER($G1223)),$G1223&lt;2,NOT(ISNUMBER($C1222)),$C1222=0),"",$C1223/$C1222-1)</f>
        <v/>
      </c>
      <c r="I1223" s="37" t="str">
        <f aca="false">IF(AND(ISNUMBER($G1223),$G1223&gt;=MA_SHORT),AVERAGE(INDEX($C$823:$C1223,402-MA_SHORT):$C1223),"")</f>
        <v/>
      </c>
      <c r="J1223" s="37" t="str">
        <f aca="false">IF(AND(ISNUMBER($G1223),$G1223&gt;=MA_MED),AVERAGE(INDEX($C$823:$C1223,402-MA_MED):$C1223),"")</f>
        <v/>
      </c>
      <c r="K1223" s="37" t="str">
        <f aca="false">IF(AND(ISNUMBER($G1223),$G1223&gt;=MA_LONG2),AVERAGE(INDEX($C$823:$C1223,402-MA_LONG2):$C1223),"")</f>
        <v/>
      </c>
      <c r="L1223" s="38" t="str">
        <f aca="false">IF(AND(ISNUMBER($G1223),$G1223&gt;=21),STDEV(INDEX($H$1163:$H1223,62-20):$H1223)*SQRT(245),"")</f>
        <v/>
      </c>
      <c r="M1223" s="37" t="str">
        <f aca="false">IF(AND(ISNUMBER($G1223),$G1223&gt;=60),MAX(INDEX($D$1023:$D1223,202-60):$D1223),"")</f>
        <v/>
      </c>
      <c r="N1223" s="37" t="str">
        <f aca="false">IF(AND(ISNUMBER($G1223),$G1223&gt;=60),MIN(INDEX($E$1023:$E1223,202-60):$E1223),"")</f>
        <v/>
      </c>
      <c r="O1223" s="38" t="str">
        <f aca="false">IF(OR(NOT(ISNUMBER($C1223)),NOT(ISNUMBER($M1223)),$M1223=0),"",$C1223/$M1223-1)</f>
        <v/>
      </c>
    </row>
    <row r="1224" customFormat="false" ht="15" hidden="false" customHeight="true" outlineLevel="0" collapsed="false">
      <c r="A1224" s="39"/>
      <c r="B1224" s="40"/>
      <c r="C1224" s="41"/>
      <c r="D1224" s="40"/>
      <c r="E1224" s="40"/>
      <c r="F1224" s="40"/>
      <c r="G1224" s="35" t="str">
        <f aca="false">IF($A1224="","",IF(ISNUMBER($G1223),$G1223+1,1))</f>
        <v/>
      </c>
      <c r="H1224" s="36" t="str">
        <f aca="false">IF(OR(NOT(ISNUMBER($G1224)),$G1224&lt;2,NOT(ISNUMBER($C1223)),$C1223=0),"",$C1224/$C1223-1)</f>
        <v/>
      </c>
      <c r="I1224" s="37" t="str">
        <f aca="false">IF(AND(ISNUMBER($G1224),$G1224&gt;=MA_SHORT),AVERAGE(INDEX($C$824:$C1224,402-MA_SHORT):$C1224),"")</f>
        <v/>
      </c>
      <c r="J1224" s="37" t="str">
        <f aca="false">IF(AND(ISNUMBER($G1224),$G1224&gt;=MA_MED),AVERAGE(INDEX($C$824:$C1224,402-MA_MED):$C1224),"")</f>
        <v/>
      </c>
      <c r="K1224" s="37" t="str">
        <f aca="false">IF(AND(ISNUMBER($G1224),$G1224&gt;=MA_LONG2),AVERAGE(INDEX($C$824:$C1224,402-MA_LONG2):$C1224),"")</f>
        <v/>
      </c>
      <c r="L1224" s="38" t="str">
        <f aca="false">IF(AND(ISNUMBER($G1224),$G1224&gt;=21),STDEV(INDEX($H$1164:$H1224,62-20):$H1224)*SQRT(245),"")</f>
        <v/>
      </c>
      <c r="M1224" s="37" t="str">
        <f aca="false">IF(AND(ISNUMBER($G1224),$G1224&gt;=60),MAX(INDEX($D$1024:$D1224,202-60):$D1224),"")</f>
        <v/>
      </c>
      <c r="N1224" s="37" t="str">
        <f aca="false">IF(AND(ISNUMBER($G1224),$G1224&gt;=60),MIN(INDEX($E$1024:$E1224,202-60):$E1224),"")</f>
        <v/>
      </c>
      <c r="O1224" s="38" t="str">
        <f aca="false">IF(OR(NOT(ISNUMBER($C1224)),NOT(ISNUMBER($M1224)),$M1224=0),"",$C1224/$M1224-1)</f>
        <v/>
      </c>
    </row>
    <row r="1225" customFormat="false" ht="15" hidden="false" customHeight="true" outlineLevel="0" collapsed="false">
      <c r="A1225" s="39"/>
      <c r="B1225" s="40"/>
      <c r="C1225" s="41"/>
      <c r="D1225" s="40"/>
      <c r="E1225" s="40"/>
      <c r="F1225" s="40"/>
      <c r="G1225" s="35" t="str">
        <f aca="false">IF($A1225="","",IF(ISNUMBER($G1224),$G1224+1,1))</f>
        <v/>
      </c>
      <c r="H1225" s="36" t="str">
        <f aca="false">IF(OR(NOT(ISNUMBER($G1225)),$G1225&lt;2,NOT(ISNUMBER($C1224)),$C1224=0),"",$C1225/$C1224-1)</f>
        <v/>
      </c>
      <c r="I1225" s="37" t="str">
        <f aca="false">IF(AND(ISNUMBER($G1225),$G1225&gt;=MA_SHORT),AVERAGE(INDEX($C$825:$C1225,402-MA_SHORT):$C1225),"")</f>
        <v/>
      </c>
      <c r="J1225" s="37" t="str">
        <f aca="false">IF(AND(ISNUMBER($G1225),$G1225&gt;=MA_MED),AVERAGE(INDEX($C$825:$C1225,402-MA_MED):$C1225),"")</f>
        <v/>
      </c>
      <c r="K1225" s="37" t="str">
        <f aca="false">IF(AND(ISNUMBER($G1225),$G1225&gt;=MA_LONG2),AVERAGE(INDEX($C$825:$C1225,402-MA_LONG2):$C1225),"")</f>
        <v/>
      </c>
      <c r="L1225" s="38" t="str">
        <f aca="false">IF(AND(ISNUMBER($G1225),$G1225&gt;=21),STDEV(INDEX($H$1165:$H1225,62-20):$H1225)*SQRT(245),"")</f>
        <v/>
      </c>
      <c r="M1225" s="37" t="str">
        <f aca="false">IF(AND(ISNUMBER($G1225),$G1225&gt;=60),MAX(INDEX($D$1025:$D1225,202-60):$D1225),"")</f>
        <v/>
      </c>
      <c r="N1225" s="37" t="str">
        <f aca="false">IF(AND(ISNUMBER($G1225),$G1225&gt;=60),MIN(INDEX($E$1025:$E1225,202-60):$E1225),"")</f>
        <v/>
      </c>
      <c r="O1225" s="38" t="str">
        <f aca="false">IF(OR(NOT(ISNUMBER($C1225)),NOT(ISNUMBER($M1225)),$M1225=0),"",$C1225/$M1225-1)</f>
        <v/>
      </c>
    </row>
    <row r="1226" customFormat="false" ht="15" hidden="false" customHeight="true" outlineLevel="0" collapsed="false">
      <c r="A1226" s="39"/>
      <c r="B1226" s="40"/>
      <c r="C1226" s="41"/>
      <c r="D1226" s="40"/>
      <c r="E1226" s="40"/>
      <c r="F1226" s="40"/>
      <c r="G1226" s="35" t="str">
        <f aca="false">IF($A1226="","",IF(ISNUMBER($G1225),$G1225+1,1))</f>
        <v/>
      </c>
      <c r="H1226" s="36" t="str">
        <f aca="false">IF(OR(NOT(ISNUMBER($G1226)),$G1226&lt;2,NOT(ISNUMBER($C1225)),$C1225=0),"",$C1226/$C1225-1)</f>
        <v/>
      </c>
      <c r="I1226" s="37" t="str">
        <f aca="false">IF(AND(ISNUMBER($G1226),$G1226&gt;=MA_SHORT),AVERAGE(INDEX($C$826:$C1226,402-MA_SHORT):$C1226),"")</f>
        <v/>
      </c>
      <c r="J1226" s="37" t="str">
        <f aca="false">IF(AND(ISNUMBER($G1226),$G1226&gt;=MA_MED),AVERAGE(INDEX($C$826:$C1226,402-MA_MED):$C1226),"")</f>
        <v/>
      </c>
      <c r="K1226" s="37" t="str">
        <f aca="false">IF(AND(ISNUMBER($G1226),$G1226&gt;=MA_LONG2),AVERAGE(INDEX($C$826:$C1226,402-MA_LONG2):$C1226),"")</f>
        <v/>
      </c>
      <c r="L1226" s="38" t="str">
        <f aca="false">IF(AND(ISNUMBER($G1226),$G1226&gt;=21),STDEV(INDEX($H$1166:$H1226,62-20):$H1226)*SQRT(245),"")</f>
        <v/>
      </c>
      <c r="M1226" s="37" t="str">
        <f aca="false">IF(AND(ISNUMBER($G1226),$G1226&gt;=60),MAX(INDEX($D$1026:$D1226,202-60):$D1226),"")</f>
        <v/>
      </c>
      <c r="N1226" s="37" t="str">
        <f aca="false">IF(AND(ISNUMBER($G1226),$G1226&gt;=60),MIN(INDEX($E$1026:$E1226,202-60):$E1226),"")</f>
        <v/>
      </c>
      <c r="O1226" s="38" t="str">
        <f aca="false">IF(OR(NOT(ISNUMBER($C1226)),NOT(ISNUMBER($M1226)),$M1226=0),"",$C1226/$M1226-1)</f>
        <v/>
      </c>
    </row>
    <row r="1227" customFormat="false" ht="15" hidden="false" customHeight="true" outlineLevel="0" collapsed="false">
      <c r="A1227" s="39"/>
      <c r="B1227" s="40"/>
      <c r="C1227" s="41"/>
      <c r="D1227" s="40"/>
      <c r="E1227" s="40"/>
      <c r="F1227" s="40"/>
      <c r="G1227" s="35" t="str">
        <f aca="false">IF($A1227="","",IF(ISNUMBER($G1226),$G1226+1,1))</f>
        <v/>
      </c>
      <c r="H1227" s="36" t="str">
        <f aca="false">IF(OR(NOT(ISNUMBER($G1227)),$G1227&lt;2,NOT(ISNUMBER($C1226)),$C1226=0),"",$C1227/$C1226-1)</f>
        <v/>
      </c>
      <c r="I1227" s="37" t="str">
        <f aca="false">IF(AND(ISNUMBER($G1227),$G1227&gt;=MA_SHORT),AVERAGE(INDEX($C$827:$C1227,402-MA_SHORT):$C1227),"")</f>
        <v/>
      </c>
      <c r="J1227" s="37" t="str">
        <f aca="false">IF(AND(ISNUMBER($G1227),$G1227&gt;=MA_MED),AVERAGE(INDEX($C$827:$C1227,402-MA_MED):$C1227),"")</f>
        <v/>
      </c>
      <c r="K1227" s="37" t="str">
        <f aca="false">IF(AND(ISNUMBER($G1227),$G1227&gt;=MA_LONG2),AVERAGE(INDEX($C$827:$C1227,402-MA_LONG2):$C1227),"")</f>
        <v/>
      </c>
      <c r="L1227" s="38" t="str">
        <f aca="false">IF(AND(ISNUMBER($G1227),$G1227&gt;=21),STDEV(INDEX($H$1167:$H1227,62-20):$H1227)*SQRT(245),"")</f>
        <v/>
      </c>
      <c r="M1227" s="37" t="str">
        <f aca="false">IF(AND(ISNUMBER($G1227),$G1227&gt;=60),MAX(INDEX($D$1027:$D1227,202-60):$D1227),"")</f>
        <v/>
      </c>
      <c r="N1227" s="37" t="str">
        <f aca="false">IF(AND(ISNUMBER($G1227),$G1227&gt;=60),MIN(INDEX($E$1027:$E1227,202-60):$E1227),"")</f>
        <v/>
      </c>
      <c r="O1227" s="38" t="str">
        <f aca="false">IF(OR(NOT(ISNUMBER($C1227)),NOT(ISNUMBER($M1227)),$M1227=0),"",$C1227/$M1227-1)</f>
        <v/>
      </c>
    </row>
    <row r="1228" customFormat="false" ht="15" hidden="false" customHeight="true" outlineLevel="0" collapsed="false">
      <c r="A1228" s="39"/>
      <c r="B1228" s="40"/>
      <c r="C1228" s="41"/>
      <c r="D1228" s="40"/>
      <c r="E1228" s="40"/>
      <c r="F1228" s="40"/>
      <c r="G1228" s="35" t="str">
        <f aca="false">IF($A1228="","",IF(ISNUMBER($G1227),$G1227+1,1))</f>
        <v/>
      </c>
      <c r="H1228" s="36" t="str">
        <f aca="false">IF(OR(NOT(ISNUMBER($G1228)),$G1228&lt;2,NOT(ISNUMBER($C1227)),$C1227=0),"",$C1228/$C1227-1)</f>
        <v/>
      </c>
      <c r="I1228" s="37" t="str">
        <f aca="false">IF(AND(ISNUMBER($G1228),$G1228&gt;=MA_SHORT),AVERAGE(INDEX($C$828:$C1228,402-MA_SHORT):$C1228),"")</f>
        <v/>
      </c>
      <c r="J1228" s="37" t="str">
        <f aca="false">IF(AND(ISNUMBER($G1228),$G1228&gt;=MA_MED),AVERAGE(INDEX($C$828:$C1228,402-MA_MED):$C1228),"")</f>
        <v/>
      </c>
      <c r="K1228" s="37" t="str">
        <f aca="false">IF(AND(ISNUMBER($G1228),$G1228&gt;=MA_LONG2),AVERAGE(INDEX($C$828:$C1228,402-MA_LONG2):$C1228),"")</f>
        <v/>
      </c>
      <c r="L1228" s="38" t="str">
        <f aca="false">IF(AND(ISNUMBER($G1228),$G1228&gt;=21),STDEV(INDEX($H$1168:$H1228,62-20):$H1228)*SQRT(245),"")</f>
        <v/>
      </c>
      <c r="M1228" s="37" t="str">
        <f aca="false">IF(AND(ISNUMBER($G1228),$G1228&gt;=60),MAX(INDEX($D$1028:$D1228,202-60):$D1228),"")</f>
        <v/>
      </c>
      <c r="N1228" s="37" t="str">
        <f aca="false">IF(AND(ISNUMBER($G1228),$G1228&gt;=60),MIN(INDEX($E$1028:$E1228,202-60):$E1228),"")</f>
        <v/>
      </c>
      <c r="O1228" s="38" t="str">
        <f aca="false">IF(OR(NOT(ISNUMBER($C1228)),NOT(ISNUMBER($M1228)),$M1228=0),"",$C1228/$M1228-1)</f>
        <v/>
      </c>
    </row>
    <row r="1229" customFormat="false" ht="15" hidden="false" customHeight="true" outlineLevel="0" collapsed="false">
      <c r="A1229" s="39"/>
      <c r="B1229" s="40"/>
      <c r="C1229" s="41"/>
      <c r="D1229" s="40"/>
      <c r="E1229" s="40"/>
      <c r="F1229" s="40"/>
      <c r="G1229" s="35" t="str">
        <f aca="false">IF($A1229="","",IF(ISNUMBER($G1228),$G1228+1,1))</f>
        <v/>
      </c>
      <c r="H1229" s="36" t="str">
        <f aca="false">IF(OR(NOT(ISNUMBER($G1229)),$G1229&lt;2,NOT(ISNUMBER($C1228)),$C1228=0),"",$C1229/$C1228-1)</f>
        <v/>
      </c>
      <c r="I1229" s="37" t="str">
        <f aca="false">IF(AND(ISNUMBER($G1229),$G1229&gt;=MA_SHORT),AVERAGE(INDEX($C$829:$C1229,402-MA_SHORT):$C1229),"")</f>
        <v/>
      </c>
      <c r="J1229" s="37" t="str">
        <f aca="false">IF(AND(ISNUMBER($G1229),$G1229&gt;=MA_MED),AVERAGE(INDEX($C$829:$C1229,402-MA_MED):$C1229),"")</f>
        <v/>
      </c>
      <c r="K1229" s="37" t="str">
        <f aca="false">IF(AND(ISNUMBER($G1229),$G1229&gt;=MA_LONG2),AVERAGE(INDEX($C$829:$C1229,402-MA_LONG2):$C1229),"")</f>
        <v/>
      </c>
      <c r="L1229" s="38" t="str">
        <f aca="false">IF(AND(ISNUMBER($G1229),$G1229&gt;=21),STDEV(INDEX($H$1169:$H1229,62-20):$H1229)*SQRT(245),"")</f>
        <v/>
      </c>
      <c r="M1229" s="37" t="str">
        <f aca="false">IF(AND(ISNUMBER($G1229),$G1229&gt;=60),MAX(INDEX($D$1029:$D1229,202-60):$D1229),"")</f>
        <v/>
      </c>
      <c r="N1229" s="37" t="str">
        <f aca="false">IF(AND(ISNUMBER($G1229),$G1229&gt;=60),MIN(INDEX($E$1029:$E1229,202-60):$E1229),"")</f>
        <v/>
      </c>
      <c r="O1229" s="38" t="str">
        <f aca="false">IF(OR(NOT(ISNUMBER($C1229)),NOT(ISNUMBER($M1229)),$M1229=0),"",$C1229/$M1229-1)</f>
        <v/>
      </c>
    </row>
    <row r="1230" customFormat="false" ht="15" hidden="false" customHeight="true" outlineLevel="0" collapsed="false">
      <c r="A1230" s="39"/>
      <c r="B1230" s="40"/>
      <c r="C1230" s="41"/>
      <c r="D1230" s="40"/>
      <c r="E1230" s="40"/>
      <c r="F1230" s="40"/>
      <c r="G1230" s="35" t="str">
        <f aca="false">IF($A1230="","",IF(ISNUMBER($G1229),$G1229+1,1))</f>
        <v/>
      </c>
      <c r="H1230" s="36" t="str">
        <f aca="false">IF(OR(NOT(ISNUMBER($G1230)),$G1230&lt;2,NOT(ISNUMBER($C1229)),$C1229=0),"",$C1230/$C1229-1)</f>
        <v/>
      </c>
      <c r="I1230" s="37" t="str">
        <f aca="false">IF(AND(ISNUMBER($G1230),$G1230&gt;=MA_SHORT),AVERAGE(INDEX($C$830:$C1230,402-MA_SHORT):$C1230),"")</f>
        <v/>
      </c>
      <c r="J1230" s="37" t="str">
        <f aca="false">IF(AND(ISNUMBER($G1230),$G1230&gt;=MA_MED),AVERAGE(INDEX($C$830:$C1230,402-MA_MED):$C1230),"")</f>
        <v/>
      </c>
      <c r="K1230" s="37" t="str">
        <f aca="false">IF(AND(ISNUMBER($G1230),$G1230&gt;=MA_LONG2),AVERAGE(INDEX($C$830:$C1230,402-MA_LONG2):$C1230),"")</f>
        <v/>
      </c>
      <c r="L1230" s="38" t="str">
        <f aca="false">IF(AND(ISNUMBER($G1230),$G1230&gt;=21),STDEV(INDEX($H$1170:$H1230,62-20):$H1230)*SQRT(245),"")</f>
        <v/>
      </c>
      <c r="M1230" s="37" t="str">
        <f aca="false">IF(AND(ISNUMBER($G1230),$G1230&gt;=60),MAX(INDEX($D$1030:$D1230,202-60):$D1230),"")</f>
        <v/>
      </c>
      <c r="N1230" s="37" t="str">
        <f aca="false">IF(AND(ISNUMBER($G1230),$G1230&gt;=60),MIN(INDEX($E$1030:$E1230,202-60):$E1230),"")</f>
        <v/>
      </c>
      <c r="O1230" s="38" t="str">
        <f aca="false">IF(OR(NOT(ISNUMBER($C1230)),NOT(ISNUMBER($M1230)),$M1230=0),"",$C1230/$M1230-1)</f>
        <v/>
      </c>
    </row>
    <row r="1231" customFormat="false" ht="15" hidden="false" customHeight="true" outlineLevel="0" collapsed="false">
      <c r="A1231" s="39"/>
      <c r="B1231" s="40"/>
      <c r="C1231" s="41"/>
      <c r="D1231" s="40"/>
      <c r="E1231" s="40"/>
      <c r="F1231" s="40"/>
      <c r="G1231" s="35" t="str">
        <f aca="false">IF($A1231="","",IF(ISNUMBER($G1230),$G1230+1,1))</f>
        <v/>
      </c>
      <c r="H1231" s="36" t="str">
        <f aca="false">IF(OR(NOT(ISNUMBER($G1231)),$G1231&lt;2,NOT(ISNUMBER($C1230)),$C1230=0),"",$C1231/$C1230-1)</f>
        <v/>
      </c>
      <c r="I1231" s="37" t="str">
        <f aca="false">IF(AND(ISNUMBER($G1231),$G1231&gt;=MA_SHORT),AVERAGE(INDEX($C$831:$C1231,402-MA_SHORT):$C1231),"")</f>
        <v/>
      </c>
      <c r="J1231" s="37" t="str">
        <f aca="false">IF(AND(ISNUMBER($G1231),$G1231&gt;=MA_MED),AVERAGE(INDEX($C$831:$C1231,402-MA_MED):$C1231),"")</f>
        <v/>
      </c>
      <c r="K1231" s="37" t="str">
        <f aca="false">IF(AND(ISNUMBER($G1231),$G1231&gt;=MA_LONG2),AVERAGE(INDEX($C$831:$C1231,402-MA_LONG2):$C1231),"")</f>
        <v/>
      </c>
      <c r="L1231" s="38" t="str">
        <f aca="false">IF(AND(ISNUMBER($G1231),$G1231&gt;=21),STDEV(INDEX($H$1171:$H1231,62-20):$H1231)*SQRT(245),"")</f>
        <v/>
      </c>
      <c r="M1231" s="37" t="str">
        <f aca="false">IF(AND(ISNUMBER($G1231),$G1231&gt;=60),MAX(INDEX($D$1031:$D1231,202-60):$D1231),"")</f>
        <v/>
      </c>
      <c r="N1231" s="37" t="str">
        <f aca="false">IF(AND(ISNUMBER($G1231),$G1231&gt;=60),MIN(INDEX($E$1031:$E1231,202-60):$E1231),"")</f>
        <v/>
      </c>
      <c r="O1231" s="38" t="str">
        <f aca="false">IF(OR(NOT(ISNUMBER($C1231)),NOT(ISNUMBER($M1231)),$M1231=0),"",$C1231/$M1231-1)</f>
        <v/>
      </c>
    </row>
    <row r="1232" customFormat="false" ht="15" hidden="false" customHeight="true" outlineLevel="0" collapsed="false">
      <c r="A1232" s="39"/>
      <c r="B1232" s="40"/>
      <c r="C1232" s="41"/>
      <c r="D1232" s="40"/>
      <c r="E1232" s="40"/>
      <c r="F1232" s="40"/>
      <c r="G1232" s="35" t="str">
        <f aca="false">IF($A1232="","",IF(ISNUMBER($G1231),$G1231+1,1))</f>
        <v/>
      </c>
      <c r="H1232" s="36" t="str">
        <f aca="false">IF(OR(NOT(ISNUMBER($G1232)),$G1232&lt;2,NOT(ISNUMBER($C1231)),$C1231=0),"",$C1232/$C1231-1)</f>
        <v/>
      </c>
      <c r="I1232" s="37" t="str">
        <f aca="false">IF(AND(ISNUMBER($G1232),$G1232&gt;=MA_SHORT),AVERAGE(INDEX($C$832:$C1232,402-MA_SHORT):$C1232),"")</f>
        <v/>
      </c>
      <c r="J1232" s="37" t="str">
        <f aca="false">IF(AND(ISNUMBER($G1232),$G1232&gt;=MA_MED),AVERAGE(INDEX($C$832:$C1232,402-MA_MED):$C1232),"")</f>
        <v/>
      </c>
      <c r="K1232" s="37" t="str">
        <f aca="false">IF(AND(ISNUMBER($G1232),$G1232&gt;=MA_LONG2),AVERAGE(INDEX($C$832:$C1232,402-MA_LONG2):$C1232),"")</f>
        <v/>
      </c>
      <c r="L1232" s="38" t="str">
        <f aca="false">IF(AND(ISNUMBER($G1232),$G1232&gt;=21),STDEV(INDEX($H$1172:$H1232,62-20):$H1232)*SQRT(245),"")</f>
        <v/>
      </c>
      <c r="M1232" s="37" t="str">
        <f aca="false">IF(AND(ISNUMBER($G1232),$G1232&gt;=60),MAX(INDEX($D$1032:$D1232,202-60):$D1232),"")</f>
        <v/>
      </c>
      <c r="N1232" s="37" t="str">
        <f aca="false">IF(AND(ISNUMBER($G1232),$G1232&gt;=60),MIN(INDEX($E$1032:$E1232,202-60):$E1232),"")</f>
        <v/>
      </c>
      <c r="O1232" s="38" t="str">
        <f aca="false">IF(OR(NOT(ISNUMBER($C1232)),NOT(ISNUMBER($M1232)),$M1232=0),"",$C1232/$M1232-1)</f>
        <v/>
      </c>
    </row>
    <row r="1233" customFormat="false" ht="15" hidden="false" customHeight="true" outlineLevel="0" collapsed="false">
      <c r="A1233" s="39"/>
      <c r="B1233" s="40"/>
      <c r="C1233" s="41"/>
      <c r="D1233" s="40"/>
      <c r="E1233" s="40"/>
      <c r="F1233" s="40"/>
      <c r="G1233" s="35" t="str">
        <f aca="false">IF($A1233="","",IF(ISNUMBER($G1232),$G1232+1,1))</f>
        <v/>
      </c>
      <c r="H1233" s="36" t="str">
        <f aca="false">IF(OR(NOT(ISNUMBER($G1233)),$G1233&lt;2,NOT(ISNUMBER($C1232)),$C1232=0),"",$C1233/$C1232-1)</f>
        <v/>
      </c>
      <c r="I1233" s="37" t="str">
        <f aca="false">IF(AND(ISNUMBER($G1233),$G1233&gt;=MA_SHORT),AVERAGE(INDEX($C$833:$C1233,402-MA_SHORT):$C1233),"")</f>
        <v/>
      </c>
      <c r="J1233" s="37" t="str">
        <f aca="false">IF(AND(ISNUMBER($G1233),$G1233&gt;=MA_MED),AVERAGE(INDEX($C$833:$C1233,402-MA_MED):$C1233),"")</f>
        <v/>
      </c>
      <c r="K1233" s="37" t="str">
        <f aca="false">IF(AND(ISNUMBER($G1233),$G1233&gt;=MA_LONG2),AVERAGE(INDEX($C$833:$C1233,402-MA_LONG2):$C1233),"")</f>
        <v/>
      </c>
      <c r="L1233" s="38" t="str">
        <f aca="false">IF(AND(ISNUMBER($G1233),$G1233&gt;=21),STDEV(INDEX($H$1173:$H1233,62-20):$H1233)*SQRT(245),"")</f>
        <v/>
      </c>
      <c r="M1233" s="37" t="str">
        <f aca="false">IF(AND(ISNUMBER($G1233),$G1233&gt;=60),MAX(INDEX($D$1033:$D1233,202-60):$D1233),"")</f>
        <v/>
      </c>
      <c r="N1233" s="37" t="str">
        <f aca="false">IF(AND(ISNUMBER($G1233),$G1233&gt;=60),MIN(INDEX($E$1033:$E1233,202-60):$E1233),"")</f>
        <v/>
      </c>
      <c r="O1233" s="38" t="str">
        <f aca="false">IF(OR(NOT(ISNUMBER($C1233)),NOT(ISNUMBER($M1233)),$M1233=0),"",$C1233/$M1233-1)</f>
        <v/>
      </c>
    </row>
    <row r="1234" customFormat="false" ht="15" hidden="false" customHeight="true" outlineLevel="0" collapsed="false">
      <c r="A1234" s="39"/>
      <c r="B1234" s="40"/>
      <c r="C1234" s="41"/>
      <c r="D1234" s="40"/>
      <c r="E1234" s="40"/>
      <c r="F1234" s="40"/>
      <c r="G1234" s="35" t="str">
        <f aca="false">IF($A1234="","",IF(ISNUMBER($G1233),$G1233+1,1))</f>
        <v/>
      </c>
      <c r="H1234" s="36" t="str">
        <f aca="false">IF(OR(NOT(ISNUMBER($G1234)),$G1234&lt;2,NOT(ISNUMBER($C1233)),$C1233=0),"",$C1234/$C1233-1)</f>
        <v/>
      </c>
      <c r="I1234" s="37" t="str">
        <f aca="false">IF(AND(ISNUMBER($G1234),$G1234&gt;=MA_SHORT),AVERAGE(INDEX($C$834:$C1234,402-MA_SHORT):$C1234),"")</f>
        <v/>
      </c>
      <c r="J1234" s="37" t="str">
        <f aca="false">IF(AND(ISNUMBER($G1234),$G1234&gt;=MA_MED),AVERAGE(INDEX($C$834:$C1234,402-MA_MED):$C1234),"")</f>
        <v/>
      </c>
      <c r="K1234" s="37" t="str">
        <f aca="false">IF(AND(ISNUMBER($G1234),$G1234&gt;=MA_LONG2),AVERAGE(INDEX($C$834:$C1234,402-MA_LONG2):$C1234),"")</f>
        <v/>
      </c>
      <c r="L1234" s="38" t="str">
        <f aca="false">IF(AND(ISNUMBER($G1234),$G1234&gt;=21),STDEV(INDEX($H$1174:$H1234,62-20):$H1234)*SQRT(245),"")</f>
        <v/>
      </c>
      <c r="M1234" s="37" t="str">
        <f aca="false">IF(AND(ISNUMBER($G1234),$G1234&gt;=60),MAX(INDEX($D$1034:$D1234,202-60):$D1234),"")</f>
        <v/>
      </c>
      <c r="N1234" s="37" t="str">
        <f aca="false">IF(AND(ISNUMBER($G1234),$G1234&gt;=60),MIN(INDEX($E$1034:$E1234,202-60):$E1234),"")</f>
        <v/>
      </c>
      <c r="O1234" s="38" t="str">
        <f aca="false">IF(OR(NOT(ISNUMBER($C1234)),NOT(ISNUMBER($M1234)),$M1234=0),"",$C1234/$M1234-1)</f>
        <v/>
      </c>
    </row>
    <row r="1235" customFormat="false" ht="15" hidden="false" customHeight="true" outlineLevel="0" collapsed="false">
      <c r="A1235" s="39"/>
      <c r="B1235" s="40"/>
      <c r="C1235" s="41"/>
      <c r="D1235" s="40"/>
      <c r="E1235" s="40"/>
      <c r="F1235" s="40"/>
      <c r="G1235" s="35" t="str">
        <f aca="false">IF($A1235="","",IF(ISNUMBER($G1234),$G1234+1,1))</f>
        <v/>
      </c>
      <c r="H1235" s="36" t="str">
        <f aca="false">IF(OR(NOT(ISNUMBER($G1235)),$G1235&lt;2,NOT(ISNUMBER($C1234)),$C1234=0),"",$C1235/$C1234-1)</f>
        <v/>
      </c>
      <c r="I1235" s="37" t="str">
        <f aca="false">IF(AND(ISNUMBER($G1235),$G1235&gt;=MA_SHORT),AVERAGE(INDEX($C$835:$C1235,402-MA_SHORT):$C1235),"")</f>
        <v/>
      </c>
      <c r="J1235" s="37" t="str">
        <f aca="false">IF(AND(ISNUMBER($G1235),$G1235&gt;=MA_MED),AVERAGE(INDEX($C$835:$C1235,402-MA_MED):$C1235),"")</f>
        <v/>
      </c>
      <c r="K1235" s="37" t="str">
        <f aca="false">IF(AND(ISNUMBER($G1235),$G1235&gt;=MA_LONG2),AVERAGE(INDEX($C$835:$C1235,402-MA_LONG2):$C1235),"")</f>
        <v/>
      </c>
      <c r="L1235" s="38" t="str">
        <f aca="false">IF(AND(ISNUMBER($G1235),$G1235&gt;=21),STDEV(INDEX($H$1175:$H1235,62-20):$H1235)*SQRT(245),"")</f>
        <v/>
      </c>
      <c r="M1235" s="37" t="str">
        <f aca="false">IF(AND(ISNUMBER($G1235),$G1235&gt;=60),MAX(INDEX($D$1035:$D1235,202-60):$D1235),"")</f>
        <v/>
      </c>
      <c r="N1235" s="37" t="str">
        <f aca="false">IF(AND(ISNUMBER($G1235),$G1235&gt;=60),MIN(INDEX($E$1035:$E1235,202-60):$E1235),"")</f>
        <v/>
      </c>
      <c r="O1235" s="38" t="str">
        <f aca="false">IF(OR(NOT(ISNUMBER($C1235)),NOT(ISNUMBER($M1235)),$M1235=0),"",$C1235/$M1235-1)</f>
        <v/>
      </c>
    </row>
    <row r="1236" customFormat="false" ht="15" hidden="false" customHeight="true" outlineLevel="0" collapsed="false">
      <c r="A1236" s="39"/>
      <c r="B1236" s="40"/>
      <c r="C1236" s="41"/>
      <c r="D1236" s="40"/>
      <c r="E1236" s="40"/>
      <c r="F1236" s="40"/>
      <c r="G1236" s="35" t="str">
        <f aca="false">IF($A1236="","",IF(ISNUMBER($G1235),$G1235+1,1))</f>
        <v/>
      </c>
      <c r="H1236" s="36" t="str">
        <f aca="false">IF(OR(NOT(ISNUMBER($G1236)),$G1236&lt;2,NOT(ISNUMBER($C1235)),$C1235=0),"",$C1236/$C1235-1)</f>
        <v/>
      </c>
      <c r="I1236" s="37" t="str">
        <f aca="false">IF(AND(ISNUMBER($G1236),$G1236&gt;=MA_SHORT),AVERAGE(INDEX($C$836:$C1236,402-MA_SHORT):$C1236),"")</f>
        <v/>
      </c>
      <c r="J1236" s="37" t="str">
        <f aca="false">IF(AND(ISNUMBER($G1236),$G1236&gt;=MA_MED),AVERAGE(INDEX($C$836:$C1236,402-MA_MED):$C1236),"")</f>
        <v/>
      </c>
      <c r="K1236" s="37" t="str">
        <f aca="false">IF(AND(ISNUMBER($G1236),$G1236&gt;=MA_LONG2),AVERAGE(INDEX($C$836:$C1236,402-MA_LONG2):$C1236),"")</f>
        <v/>
      </c>
      <c r="L1236" s="38" t="str">
        <f aca="false">IF(AND(ISNUMBER($G1236),$G1236&gt;=21),STDEV(INDEX($H$1176:$H1236,62-20):$H1236)*SQRT(245),"")</f>
        <v/>
      </c>
      <c r="M1236" s="37" t="str">
        <f aca="false">IF(AND(ISNUMBER($G1236),$G1236&gt;=60),MAX(INDEX($D$1036:$D1236,202-60):$D1236),"")</f>
        <v/>
      </c>
      <c r="N1236" s="37" t="str">
        <f aca="false">IF(AND(ISNUMBER($G1236),$G1236&gt;=60),MIN(INDEX($E$1036:$E1236,202-60):$E1236),"")</f>
        <v/>
      </c>
      <c r="O1236" s="38" t="str">
        <f aca="false">IF(OR(NOT(ISNUMBER($C1236)),NOT(ISNUMBER($M1236)),$M1236=0),"",$C1236/$M1236-1)</f>
        <v/>
      </c>
    </row>
    <row r="1237" customFormat="false" ht="15" hidden="false" customHeight="true" outlineLevel="0" collapsed="false">
      <c r="A1237" s="39"/>
      <c r="B1237" s="40"/>
      <c r="C1237" s="41"/>
      <c r="D1237" s="40"/>
      <c r="E1237" s="40"/>
      <c r="F1237" s="40"/>
      <c r="G1237" s="35" t="str">
        <f aca="false">IF($A1237="","",IF(ISNUMBER($G1236),$G1236+1,1))</f>
        <v/>
      </c>
      <c r="H1237" s="36" t="str">
        <f aca="false">IF(OR(NOT(ISNUMBER($G1237)),$G1237&lt;2,NOT(ISNUMBER($C1236)),$C1236=0),"",$C1237/$C1236-1)</f>
        <v/>
      </c>
      <c r="I1237" s="37" t="str">
        <f aca="false">IF(AND(ISNUMBER($G1237),$G1237&gt;=MA_SHORT),AVERAGE(INDEX($C$837:$C1237,402-MA_SHORT):$C1237),"")</f>
        <v/>
      </c>
      <c r="J1237" s="37" t="str">
        <f aca="false">IF(AND(ISNUMBER($G1237),$G1237&gt;=MA_MED),AVERAGE(INDEX($C$837:$C1237,402-MA_MED):$C1237),"")</f>
        <v/>
      </c>
      <c r="K1237" s="37" t="str">
        <f aca="false">IF(AND(ISNUMBER($G1237),$G1237&gt;=MA_LONG2),AVERAGE(INDEX($C$837:$C1237,402-MA_LONG2):$C1237),"")</f>
        <v/>
      </c>
      <c r="L1237" s="38" t="str">
        <f aca="false">IF(AND(ISNUMBER($G1237),$G1237&gt;=21),STDEV(INDEX($H$1177:$H1237,62-20):$H1237)*SQRT(245),"")</f>
        <v/>
      </c>
      <c r="M1237" s="37" t="str">
        <f aca="false">IF(AND(ISNUMBER($G1237),$G1237&gt;=60),MAX(INDEX($D$1037:$D1237,202-60):$D1237),"")</f>
        <v/>
      </c>
      <c r="N1237" s="37" t="str">
        <f aca="false">IF(AND(ISNUMBER($G1237),$G1237&gt;=60),MIN(INDEX($E$1037:$E1237,202-60):$E1237),"")</f>
        <v/>
      </c>
      <c r="O1237" s="38" t="str">
        <f aca="false">IF(OR(NOT(ISNUMBER($C1237)),NOT(ISNUMBER($M1237)),$M1237=0),"",$C1237/$M1237-1)</f>
        <v/>
      </c>
    </row>
    <row r="1238" customFormat="false" ht="15" hidden="false" customHeight="true" outlineLevel="0" collapsed="false">
      <c r="A1238" s="39"/>
      <c r="B1238" s="40"/>
      <c r="C1238" s="41"/>
      <c r="D1238" s="40"/>
      <c r="E1238" s="40"/>
      <c r="F1238" s="40"/>
      <c r="G1238" s="35" t="str">
        <f aca="false">IF($A1238="","",IF(ISNUMBER($G1237),$G1237+1,1))</f>
        <v/>
      </c>
      <c r="H1238" s="36" t="str">
        <f aca="false">IF(OR(NOT(ISNUMBER($G1238)),$G1238&lt;2,NOT(ISNUMBER($C1237)),$C1237=0),"",$C1238/$C1237-1)</f>
        <v/>
      </c>
      <c r="I1238" s="37" t="str">
        <f aca="false">IF(AND(ISNUMBER($G1238),$G1238&gt;=MA_SHORT),AVERAGE(INDEX($C$838:$C1238,402-MA_SHORT):$C1238),"")</f>
        <v/>
      </c>
      <c r="J1238" s="37" t="str">
        <f aca="false">IF(AND(ISNUMBER($G1238),$G1238&gt;=MA_MED),AVERAGE(INDEX($C$838:$C1238,402-MA_MED):$C1238),"")</f>
        <v/>
      </c>
      <c r="K1238" s="37" t="str">
        <f aca="false">IF(AND(ISNUMBER($G1238),$G1238&gt;=MA_LONG2),AVERAGE(INDEX($C$838:$C1238,402-MA_LONG2):$C1238),"")</f>
        <v/>
      </c>
      <c r="L1238" s="38" t="str">
        <f aca="false">IF(AND(ISNUMBER($G1238),$G1238&gt;=21),STDEV(INDEX($H$1178:$H1238,62-20):$H1238)*SQRT(245),"")</f>
        <v/>
      </c>
      <c r="M1238" s="37" t="str">
        <f aca="false">IF(AND(ISNUMBER($G1238),$G1238&gt;=60),MAX(INDEX($D$1038:$D1238,202-60):$D1238),"")</f>
        <v/>
      </c>
      <c r="N1238" s="37" t="str">
        <f aca="false">IF(AND(ISNUMBER($G1238),$G1238&gt;=60),MIN(INDEX($E$1038:$E1238,202-60):$E1238),"")</f>
        <v/>
      </c>
      <c r="O1238" s="38" t="str">
        <f aca="false">IF(OR(NOT(ISNUMBER($C1238)),NOT(ISNUMBER($M1238)),$M1238=0),"",$C1238/$M1238-1)</f>
        <v/>
      </c>
    </row>
    <row r="1239" customFormat="false" ht="15" hidden="false" customHeight="true" outlineLevel="0" collapsed="false">
      <c r="A1239" s="39"/>
      <c r="B1239" s="40"/>
      <c r="C1239" s="41"/>
      <c r="D1239" s="40"/>
      <c r="E1239" s="40"/>
      <c r="F1239" s="40"/>
      <c r="G1239" s="35" t="str">
        <f aca="false">IF($A1239="","",IF(ISNUMBER($G1238),$G1238+1,1))</f>
        <v/>
      </c>
      <c r="H1239" s="36" t="str">
        <f aca="false">IF(OR(NOT(ISNUMBER($G1239)),$G1239&lt;2,NOT(ISNUMBER($C1238)),$C1238=0),"",$C1239/$C1238-1)</f>
        <v/>
      </c>
      <c r="I1239" s="37" t="str">
        <f aca="false">IF(AND(ISNUMBER($G1239),$G1239&gt;=MA_SHORT),AVERAGE(INDEX($C$839:$C1239,402-MA_SHORT):$C1239),"")</f>
        <v/>
      </c>
      <c r="J1239" s="37" t="str">
        <f aca="false">IF(AND(ISNUMBER($G1239),$G1239&gt;=MA_MED),AVERAGE(INDEX($C$839:$C1239,402-MA_MED):$C1239),"")</f>
        <v/>
      </c>
      <c r="K1239" s="37" t="str">
        <f aca="false">IF(AND(ISNUMBER($G1239),$G1239&gt;=MA_LONG2),AVERAGE(INDEX($C$839:$C1239,402-MA_LONG2):$C1239),"")</f>
        <v/>
      </c>
      <c r="L1239" s="38" t="str">
        <f aca="false">IF(AND(ISNUMBER($G1239),$G1239&gt;=21),STDEV(INDEX($H$1179:$H1239,62-20):$H1239)*SQRT(245),"")</f>
        <v/>
      </c>
      <c r="M1239" s="37" t="str">
        <f aca="false">IF(AND(ISNUMBER($G1239),$G1239&gt;=60),MAX(INDEX($D$1039:$D1239,202-60):$D1239),"")</f>
        <v/>
      </c>
      <c r="N1239" s="37" t="str">
        <f aca="false">IF(AND(ISNUMBER($G1239),$G1239&gt;=60),MIN(INDEX($E$1039:$E1239,202-60):$E1239),"")</f>
        <v/>
      </c>
      <c r="O1239" s="38" t="str">
        <f aca="false">IF(OR(NOT(ISNUMBER($C1239)),NOT(ISNUMBER($M1239)),$M1239=0),"",$C1239/$M1239-1)</f>
        <v/>
      </c>
    </row>
    <row r="1240" customFormat="false" ht="15" hidden="false" customHeight="true" outlineLevel="0" collapsed="false">
      <c r="A1240" s="39"/>
      <c r="B1240" s="40"/>
      <c r="C1240" s="41"/>
      <c r="D1240" s="40"/>
      <c r="E1240" s="40"/>
      <c r="F1240" s="40"/>
      <c r="G1240" s="35" t="str">
        <f aca="false">IF($A1240="","",IF(ISNUMBER($G1239),$G1239+1,1))</f>
        <v/>
      </c>
      <c r="H1240" s="36" t="str">
        <f aca="false">IF(OR(NOT(ISNUMBER($G1240)),$G1240&lt;2,NOT(ISNUMBER($C1239)),$C1239=0),"",$C1240/$C1239-1)</f>
        <v/>
      </c>
      <c r="I1240" s="37" t="str">
        <f aca="false">IF(AND(ISNUMBER($G1240),$G1240&gt;=MA_SHORT),AVERAGE(INDEX($C$840:$C1240,402-MA_SHORT):$C1240),"")</f>
        <v/>
      </c>
      <c r="J1240" s="37" t="str">
        <f aca="false">IF(AND(ISNUMBER($G1240),$G1240&gt;=MA_MED),AVERAGE(INDEX($C$840:$C1240,402-MA_MED):$C1240),"")</f>
        <v/>
      </c>
      <c r="K1240" s="37" t="str">
        <f aca="false">IF(AND(ISNUMBER($G1240),$G1240&gt;=MA_LONG2),AVERAGE(INDEX($C$840:$C1240,402-MA_LONG2):$C1240),"")</f>
        <v/>
      </c>
      <c r="L1240" s="38" t="str">
        <f aca="false">IF(AND(ISNUMBER($G1240),$G1240&gt;=21),STDEV(INDEX($H$1180:$H1240,62-20):$H1240)*SQRT(245),"")</f>
        <v/>
      </c>
      <c r="M1240" s="37" t="str">
        <f aca="false">IF(AND(ISNUMBER($G1240),$G1240&gt;=60),MAX(INDEX($D$1040:$D1240,202-60):$D1240),"")</f>
        <v/>
      </c>
      <c r="N1240" s="37" t="str">
        <f aca="false">IF(AND(ISNUMBER($G1240),$G1240&gt;=60),MIN(INDEX($E$1040:$E1240,202-60):$E1240),"")</f>
        <v/>
      </c>
      <c r="O1240" s="38" t="str">
        <f aca="false">IF(OR(NOT(ISNUMBER($C1240)),NOT(ISNUMBER($M1240)),$M1240=0),"",$C1240/$M1240-1)</f>
        <v/>
      </c>
    </row>
    <row r="1241" customFormat="false" ht="15" hidden="false" customHeight="true" outlineLevel="0" collapsed="false">
      <c r="A1241" s="39"/>
      <c r="B1241" s="40"/>
      <c r="C1241" s="41"/>
      <c r="D1241" s="40"/>
      <c r="E1241" s="40"/>
      <c r="F1241" s="40"/>
      <c r="G1241" s="35" t="str">
        <f aca="false">IF($A1241="","",IF(ISNUMBER($G1240),$G1240+1,1))</f>
        <v/>
      </c>
      <c r="H1241" s="36" t="str">
        <f aca="false">IF(OR(NOT(ISNUMBER($G1241)),$G1241&lt;2,NOT(ISNUMBER($C1240)),$C1240=0),"",$C1241/$C1240-1)</f>
        <v/>
      </c>
      <c r="I1241" s="37" t="str">
        <f aca="false">IF(AND(ISNUMBER($G1241),$G1241&gt;=MA_SHORT),AVERAGE(INDEX($C$841:$C1241,402-MA_SHORT):$C1241),"")</f>
        <v/>
      </c>
      <c r="J1241" s="37" t="str">
        <f aca="false">IF(AND(ISNUMBER($G1241),$G1241&gt;=MA_MED),AVERAGE(INDEX($C$841:$C1241,402-MA_MED):$C1241),"")</f>
        <v/>
      </c>
      <c r="K1241" s="37" t="str">
        <f aca="false">IF(AND(ISNUMBER($G1241),$G1241&gt;=MA_LONG2),AVERAGE(INDEX($C$841:$C1241,402-MA_LONG2):$C1241),"")</f>
        <v/>
      </c>
      <c r="L1241" s="38" t="str">
        <f aca="false">IF(AND(ISNUMBER($G1241),$G1241&gt;=21),STDEV(INDEX($H$1181:$H1241,62-20):$H1241)*SQRT(245),"")</f>
        <v/>
      </c>
      <c r="M1241" s="37" t="str">
        <f aca="false">IF(AND(ISNUMBER($G1241),$G1241&gt;=60),MAX(INDEX($D$1041:$D1241,202-60):$D1241),"")</f>
        <v/>
      </c>
      <c r="N1241" s="37" t="str">
        <f aca="false">IF(AND(ISNUMBER($G1241),$G1241&gt;=60),MIN(INDEX($E$1041:$E1241,202-60):$E1241),"")</f>
        <v/>
      </c>
      <c r="O1241" s="38" t="str">
        <f aca="false">IF(OR(NOT(ISNUMBER($C1241)),NOT(ISNUMBER($M1241)),$M1241=0),"",$C1241/$M1241-1)</f>
        <v/>
      </c>
    </row>
    <row r="1242" customFormat="false" ht="15" hidden="false" customHeight="true" outlineLevel="0" collapsed="false">
      <c r="A1242" s="39"/>
      <c r="B1242" s="40"/>
      <c r="C1242" s="41"/>
      <c r="D1242" s="40"/>
      <c r="E1242" s="40"/>
      <c r="F1242" s="40"/>
      <c r="G1242" s="35" t="str">
        <f aca="false">IF($A1242="","",IF(ISNUMBER($G1241),$G1241+1,1))</f>
        <v/>
      </c>
      <c r="H1242" s="36" t="str">
        <f aca="false">IF(OR(NOT(ISNUMBER($G1242)),$G1242&lt;2,NOT(ISNUMBER($C1241)),$C1241=0),"",$C1242/$C1241-1)</f>
        <v/>
      </c>
      <c r="I1242" s="37" t="str">
        <f aca="false">IF(AND(ISNUMBER($G1242),$G1242&gt;=MA_SHORT),AVERAGE(INDEX($C$842:$C1242,402-MA_SHORT):$C1242),"")</f>
        <v/>
      </c>
      <c r="J1242" s="37" t="str">
        <f aca="false">IF(AND(ISNUMBER($G1242),$G1242&gt;=MA_MED),AVERAGE(INDEX($C$842:$C1242,402-MA_MED):$C1242),"")</f>
        <v/>
      </c>
      <c r="K1242" s="37" t="str">
        <f aca="false">IF(AND(ISNUMBER($G1242),$G1242&gt;=MA_LONG2),AVERAGE(INDEX($C$842:$C1242,402-MA_LONG2):$C1242),"")</f>
        <v/>
      </c>
      <c r="L1242" s="38" t="str">
        <f aca="false">IF(AND(ISNUMBER($G1242),$G1242&gt;=21),STDEV(INDEX($H$1182:$H1242,62-20):$H1242)*SQRT(245),"")</f>
        <v/>
      </c>
      <c r="M1242" s="37" t="str">
        <f aca="false">IF(AND(ISNUMBER($G1242),$G1242&gt;=60),MAX(INDEX($D$1042:$D1242,202-60):$D1242),"")</f>
        <v/>
      </c>
      <c r="N1242" s="37" t="str">
        <f aca="false">IF(AND(ISNUMBER($G1242),$G1242&gt;=60),MIN(INDEX($E$1042:$E1242,202-60):$E1242),"")</f>
        <v/>
      </c>
      <c r="O1242" s="38" t="str">
        <f aca="false">IF(OR(NOT(ISNUMBER($C1242)),NOT(ISNUMBER($M1242)),$M1242=0),"",$C1242/$M1242-1)</f>
        <v/>
      </c>
    </row>
    <row r="1243" customFormat="false" ht="15" hidden="false" customHeight="true" outlineLevel="0" collapsed="false">
      <c r="A1243" s="39"/>
      <c r="B1243" s="40"/>
      <c r="C1243" s="41"/>
      <c r="D1243" s="40"/>
      <c r="E1243" s="40"/>
      <c r="F1243" s="40"/>
      <c r="G1243" s="35" t="str">
        <f aca="false">IF($A1243="","",IF(ISNUMBER($G1242),$G1242+1,1))</f>
        <v/>
      </c>
      <c r="H1243" s="36" t="str">
        <f aca="false">IF(OR(NOT(ISNUMBER($G1243)),$G1243&lt;2,NOT(ISNUMBER($C1242)),$C1242=0),"",$C1243/$C1242-1)</f>
        <v/>
      </c>
      <c r="I1243" s="37" t="str">
        <f aca="false">IF(AND(ISNUMBER($G1243),$G1243&gt;=MA_SHORT),AVERAGE(INDEX($C$843:$C1243,402-MA_SHORT):$C1243),"")</f>
        <v/>
      </c>
      <c r="J1243" s="37" t="str">
        <f aca="false">IF(AND(ISNUMBER($G1243),$G1243&gt;=MA_MED),AVERAGE(INDEX($C$843:$C1243,402-MA_MED):$C1243),"")</f>
        <v/>
      </c>
      <c r="K1243" s="37" t="str">
        <f aca="false">IF(AND(ISNUMBER($G1243),$G1243&gt;=MA_LONG2),AVERAGE(INDEX($C$843:$C1243,402-MA_LONG2):$C1243),"")</f>
        <v/>
      </c>
      <c r="L1243" s="38" t="str">
        <f aca="false">IF(AND(ISNUMBER($G1243),$G1243&gt;=21),STDEV(INDEX($H$1183:$H1243,62-20):$H1243)*SQRT(245),"")</f>
        <v/>
      </c>
      <c r="M1243" s="37" t="str">
        <f aca="false">IF(AND(ISNUMBER($G1243),$G1243&gt;=60),MAX(INDEX($D$1043:$D1243,202-60):$D1243),"")</f>
        <v/>
      </c>
      <c r="N1243" s="37" t="str">
        <f aca="false">IF(AND(ISNUMBER($G1243),$G1243&gt;=60),MIN(INDEX($E$1043:$E1243,202-60):$E1243),"")</f>
        <v/>
      </c>
      <c r="O1243" s="38" t="str">
        <f aca="false">IF(OR(NOT(ISNUMBER($C1243)),NOT(ISNUMBER($M1243)),$M1243=0),"",$C1243/$M1243-1)</f>
        <v/>
      </c>
    </row>
    <row r="1244" customFormat="false" ht="15" hidden="false" customHeight="true" outlineLevel="0" collapsed="false">
      <c r="A1244" s="39"/>
      <c r="B1244" s="40"/>
      <c r="C1244" s="41"/>
      <c r="D1244" s="40"/>
      <c r="E1244" s="40"/>
      <c r="F1244" s="40"/>
      <c r="G1244" s="35" t="str">
        <f aca="false">IF($A1244="","",IF(ISNUMBER($G1243),$G1243+1,1))</f>
        <v/>
      </c>
      <c r="H1244" s="36" t="str">
        <f aca="false">IF(OR(NOT(ISNUMBER($G1244)),$G1244&lt;2,NOT(ISNUMBER($C1243)),$C1243=0),"",$C1244/$C1243-1)</f>
        <v/>
      </c>
      <c r="I1244" s="37" t="str">
        <f aca="false">IF(AND(ISNUMBER($G1244),$G1244&gt;=MA_SHORT),AVERAGE(INDEX($C$844:$C1244,402-MA_SHORT):$C1244),"")</f>
        <v/>
      </c>
      <c r="J1244" s="37" t="str">
        <f aca="false">IF(AND(ISNUMBER($G1244),$G1244&gt;=MA_MED),AVERAGE(INDEX($C$844:$C1244,402-MA_MED):$C1244),"")</f>
        <v/>
      </c>
      <c r="K1244" s="37" t="str">
        <f aca="false">IF(AND(ISNUMBER($G1244),$G1244&gt;=MA_LONG2),AVERAGE(INDEX($C$844:$C1244,402-MA_LONG2):$C1244),"")</f>
        <v/>
      </c>
      <c r="L1244" s="38" t="str">
        <f aca="false">IF(AND(ISNUMBER($G1244),$G1244&gt;=21),STDEV(INDEX($H$1184:$H1244,62-20):$H1244)*SQRT(245),"")</f>
        <v/>
      </c>
      <c r="M1244" s="37" t="str">
        <f aca="false">IF(AND(ISNUMBER($G1244),$G1244&gt;=60),MAX(INDEX($D$1044:$D1244,202-60):$D1244),"")</f>
        <v/>
      </c>
      <c r="N1244" s="37" t="str">
        <f aca="false">IF(AND(ISNUMBER($G1244),$G1244&gt;=60),MIN(INDEX($E$1044:$E1244,202-60):$E1244),"")</f>
        <v/>
      </c>
      <c r="O1244" s="38" t="str">
        <f aca="false">IF(OR(NOT(ISNUMBER($C1244)),NOT(ISNUMBER($M1244)),$M1244=0),"",$C1244/$M1244-1)</f>
        <v/>
      </c>
    </row>
    <row r="1245" customFormat="false" ht="15" hidden="false" customHeight="true" outlineLevel="0" collapsed="false">
      <c r="A1245" s="39"/>
      <c r="B1245" s="40"/>
      <c r="C1245" s="41"/>
      <c r="D1245" s="40"/>
      <c r="E1245" s="40"/>
      <c r="F1245" s="40"/>
      <c r="G1245" s="35" t="str">
        <f aca="false">IF($A1245="","",IF(ISNUMBER($G1244),$G1244+1,1))</f>
        <v/>
      </c>
      <c r="H1245" s="36" t="str">
        <f aca="false">IF(OR(NOT(ISNUMBER($G1245)),$G1245&lt;2,NOT(ISNUMBER($C1244)),$C1244=0),"",$C1245/$C1244-1)</f>
        <v/>
      </c>
      <c r="I1245" s="37" t="str">
        <f aca="false">IF(AND(ISNUMBER($G1245),$G1245&gt;=MA_SHORT),AVERAGE(INDEX($C$845:$C1245,402-MA_SHORT):$C1245),"")</f>
        <v/>
      </c>
      <c r="J1245" s="37" t="str">
        <f aca="false">IF(AND(ISNUMBER($G1245),$G1245&gt;=MA_MED),AVERAGE(INDEX($C$845:$C1245,402-MA_MED):$C1245),"")</f>
        <v/>
      </c>
      <c r="K1245" s="37" t="str">
        <f aca="false">IF(AND(ISNUMBER($G1245),$G1245&gt;=MA_LONG2),AVERAGE(INDEX($C$845:$C1245,402-MA_LONG2):$C1245),"")</f>
        <v/>
      </c>
      <c r="L1245" s="38" t="str">
        <f aca="false">IF(AND(ISNUMBER($G1245),$G1245&gt;=21),STDEV(INDEX($H$1185:$H1245,62-20):$H1245)*SQRT(245),"")</f>
        <v/>
      </c>
      <c r="M1245" s="37" t="str">
        <f aca="false">IF(AND(ISNUMBER($G1245),$G1245&gt;=60),MAX(INDEX($D$1045:$D1245,202-60):$D1245),"")</f>
        <v/>
      </c>
      <c r="N1245" s="37" t="str">
        <f aca="false">IF(AND(ISNUMBER($G1245),$G1245&gt;=60),MIN(INDEX($E$1045:$E1245,202-60):$E1245),"")</f>
        <v/>
      </c>
      <c r="O1245" s="38" t="str">
        <f aca="false">IF(OR(NOT(ISNUMBER($C1245)),NOT(ISNUMBER($M1245)),$M1245=0),"",$C1245/$M1245-1)</f>
        <v/>
      </c>
    </row>
    <row r="1246" customFormat="false" ht="15" hidden="false" customHeight="true" outlineLevel="0" collapsed="false">
      <c r="A1246" s="39"/>
      <c r="B1246" s="40"/>
      <c r="C1246" s="41"/>
      <c r="D1246" s="40"/>
      <c r="E1246" s="40"/>
      <c r="F1246" s="40"/>
      <c r="G1246" s="35" t="str">
        <f aca="false">IF($A1246="","",IF(ISNUMBER($G1245),$G1245+1,1))</f>
        <v/>
      </c>
      <c r="H1246" s="36" t="str">
        <f aca="false">IF(OR(NOT(ISNUMBER($G1246)),$G1246&lt;2,NOT(ISNUMBER($C1245)),$C1245=0),"",$C1246/$C1245-1)</f>
        <v/>
      </c>
      <c r="I1246" s="37" t="str">
        <f aca="false">IF(AND(ISNUMBER($G1246),$G1246&gt;=MA_SHORT),AVERAGE(INDEX($C$846:$C1246,402-MA_SHORT):$C1246),"")</f>
        <v/>
      </c>
      <c r="J1246" s="37" t="str">
        <f aca="false">IF(AND(ISNUMBER($G1246),$G1246&gt;=MA_MED),AVERAGE(INDEX($C$846:$C1246,402-MA_MED):$C1246),"")</f>
        <v/>
      </c>
      <c r="K1246" s="37" t="str">
        <f aca="false">IF(AND(ISNUMBER($G1246),$G1246&gt;=MA_LONG2),AVERAGE(INDEX($C$846:$C1246,402-MA_LONG2):$C1246),"")</f>
        <v/>
      </c>
      <c r="L1246" s="38" t="str">
        <f aca="false">IF(AND(ISNUMBER($G1246),$G1246&gt;=21),STDEV(INDEX($H$1186:$H1246,62-20):$H1246)*SQRT(245),"")</f>
        <v/>
      </c>
      <c r="M1246" s="37" t="str">
        <f aca="false">IF(AND(ISNUMBER($G1246),$G1246&gt;=60),MAX(INDEX($D$1046:$D1246,202-60):$D1246),"")</f>
        <v/>
      </c>
      <c r="N1246" s="37" t="str">
        <f aca="false">IF(AND(ISNUMBER($G1246),$G1246&gt;=60),MIN(INDEX($E$1046:$E1246,202-60):$E1246),"")</f>
        <v/>
      </c>
      <c r="O1246" s="38" t="str">
        <f aca="false">IF(OR(NOT(ISNUMBER($C1246)),NOT(ISNUMBER($M1246)),$M1246=0),"",$C1246/$M1246-1)</f>
        <v/>
      </c>
    </row>
    <row r="1247" customFormat="false" ht="15" hidden="false" customHeight="true" outlineLevel="0" collapsed="false">
      <c r="A1247" s="39"/>
      <c r="B1247" s="40"/>
      <c r="C1247" s="41"/>
      <c r="D1247" s="40"/>
      <c r="E1247" s="40"/>
      <c r="F1247" s="40"/>
      <c r="G1247" s="35" t="str">
        <f aca="false">IF($A1247="","",IF(ISNUMBER($G1246),$G1246+1,1))</f>
        <v/>
      </c>
      <c r="H1247" s="36" t="str">
        <f aca="false">IF(OR(NOT(ISNUMBER($G1247)),$G1247&lt;2,NOT(ISNUMBER($C1246)),$C1246=0),"",$C1247/$C1246-1)</f>
        <v/>
      </c>
      <c r="I1247" s="37" t="str">
        <f aca="false">IF(AND(ISNUMBER($G1247),$G1247&gt;=MA_SHORT),AVERAGE(INDEX($C$847:$C1247,402-MA_SHORT):$C1247),"")</f>
        <v/>
      </c>
      <c r="J1247" s="37" t="str">
        <f aca="false">IF(AND(ISNUMBER($G1247),$G1247&gt;=MA_MED),AVERAGE(INDEX($C$847:$C1247,402-MA_MED):$C1247),"")</f>
        <v/>
      </c>
      <c r="K1247" s="37" t="str">
        <f aca="false">IF(AND(ISNUMBER($G1247),$G1247&gt;=MA_LONG2),AVERAGE(INDEX($C$847:$C1247,402-MA_LONG2):$C1247),"")</f>
        <v/>
      </c>
      <c r="L1247" s="38" t="str">
        <f aca="false">IF(AND(ISNUMBER($G1247),$G1247&gt;=21),STDEV(INDEX($H$1187:$H1247,62-20):$H1247)*SQRT(245),"")</f>
        <v/>
      </c>
      <c r="M1247" s="37" t="str">
        <f aca="false">IF(AND(ISNUMBER($G1247),$G1247&gt;=60),MAX(INDEX($D$1047:$D1247,202-60):$D1247),"")</f>
        <v/>
      </c>
      <c r="N1247" s="37" t="str">
        <f aca="false">IF(AND(ISNUMBER($G1247),$G1247&gt;=60),MIN(INDEX($E$1047:$E1247,202-60):$E1247),"")</f>
        <v/>
      </c>
      <c r="O1247" s="38" t="str">
        <f aca="false">IF(OR(NOT(ISNUMBER($C1247)),NOT(ISNUMBER($M1247)),$M1247=0),"",$C1247/$M1247-1)</f>
        <v/>
      </c>
    </row>
    <row r="1248" customFormat="false" ht="15" hidden="false" customHeight="true" outlineLevel="0" collapsed="false">
      <c r="A1248" s="39"/>
      <c r="B1248" s="40"/>
      <c r="C1248" s="41"/>
      <c r="D1248" s="40"/>
      <c r="E1248" s="40"/>
      <c r="F1248" s="40"/>
      <c r="G1248" s="35" t="str">
        <f aca="false">IF($A1248="","",IF(ISNUMBER($G1247),$G1247+1,1))</f>
        <v/>
      </c>
      <c r="H1248" s="36" t="str">
        <f aca="false">IF(OR(NOT(ISNUMBER($G1248)),$G1248&lt;2,NOT(ISNUMBER($C1247)),$C1247=0),"",$C1248/$C1247-1)</f>
        <v/>
      </c>
      <c r="I1248" s="37" t="str">
        <f aca="false">IF(AND(ISNUMBER($G1248),$G1248&gt;=MA_SHORT),AVERAGE(INDEX($C$848:$C1248,402-MA_SHORT):$C1248),"")</f>
        <v/>
      </c>
      <c r="J1248" s="37" t="str">
        <f aca="false">IF(AND(ISNUMBER($G1248),$G1248&gt;=MA_MED),AVERAGE(INDEX($C$848:$C1248,402-MA_MED):$C1248),"")</f>
        <v/>
      </c>
      <c r="K1248" s="37" t="str">
        <f aca="false">IF(AND(ISNUMBER($G1248),$G1248&gt;=MA_LONG2),AVERAGE(INDEX($C$848:$C1248,402-MA_LONG2):$C1248),"")</f>
        <v/>
      </c>
      <c r="L1248" s="38" t="str">
        <f aca="false">IF(AND(ISNUMBER($G1248),$G1248&gt;=21),STDEV(INDEX($H$1188:$H1248,62-20):$H1248)*SQRT(245),"")</f>
        <v/>
      </c>
      <c r="M1248" s="37" t="str">
        <f aca="false">IF(AND(ISNUMBER($G1248),$G1248&gt;=60),MAX(INDEX($D$1048:$D1248,202-60):$D1248),"")</f>
        <v/>
      </c>
      <c r="N1248" s="37" t="str">
        <f aca="false">IF(AND(ISNUMBER($G1248),$G1248&gt;=60),MIN(INDEX($E$1048:$E1248,202-60):$E1248),"")</f>
        <v/>
      </c>
      <c r="O1248" s="38" t="str">
        <f aca="false">IF(OR(NOT(ISNUMBER($C1248)),NOT(ISNUMBER($M1248)),$M1248=0),"",$C1248/$M1248-1)</f>
        <v/>
      </c>
    </row>
    <row r="1249" customFormat="false" ht="15" hidden="false" customHeight="true" outlineLevel="0" collapsed="false">
      <c r="A1249" s="39"/>
      <c r="B1249" s="40"/>
      <c r="C1249" s="41"/>
      <c r="D1249" s="40"/>
      <c r="E1249" s="40"/>
      <c r="F1249" s="40"/>
      <c r="G1249" s="35" t="str">
        <f aca="false">IF($A1249="","",IF(ISNUMBER($G1248),$G1248+1,1))</f>
        <v/>
      </c>
      <c r="H1249" s="36" t="str">
        <f aca="false">IF(OR(NOT(ISNUMBER($G1249)),$G1249&lt;2,NOT(ISNUMBER($C1248)),$C1248=0),"",$C1249/$C1248-1)</f>
        <v/>
      </c>
      <c r="I1249" s="37" t="str">
        <f aca="false">IF(AND(ISNUMBER($G1249),$G1249&gt;=MA_SHORT),AVERAGE(INDEX($C$849:$C1249,402-MA_SHORT):$C1249),"")</f>
        <v/>
      </c>
      <c r="J1249" s="37" t="str">
        <f aca="false">IF(AND(ISNUMBER($G1249),$G1249&gt;=MA_MED),AVERAGE(INDEX($C$849:$C1249,402-MA_MED):$C1249),"")</f>
        <v/>
      </c>
      <c r="K1249" s="37" t="str">
        <f aca="false">IF(AND(ISNUMBER($G1249),$G1249&gt;=MA_LONG2),AVERAGE(INDEX($C$849:$C1249,402-MA_LONG2):$C1249),"")</f>
        <v/>
      </c>
      <c r="L1249" s="38" t="str">
        <f aca="false">IF(AND(ISNUMBER($G1249),$G1249&gt;=21),STDEV(INDEX($H$1189:$H1249,62-20):$H1249)*SQRT(245),"")</f>
        <v/>
      </c>
      <c r="M1249" s="37" t="str">
        <f aca="false">IF(AND(ISNUMBER($G1249),$G1249&gt;=60),MAX(INDEX($D$1049:$D1249,202-60):$D1249),"")</f>
        <v/>
      </c>
      <c r="N1249" s="37" t="str">
        <f aca="false">IF(AND(ISNUMBER($G1249),$G1249&gt;=60),MIN(INDEX($E$1049:$E1249,202-60):$E1249),"")</f>
        <v/>
      </c>
      <c r="O1249" s="38" t="str">
        <f aca="false">IF(OR(NOT(ISNUMBER($C1249)),NOT(ISNUMBER($M1249)),$M1249=0),"",$C1249/$M1249-1)</f>
        <v/>
      </c>
    </row>
    <row r="1250" customFormat="false" ht="15" hidden="false" customHeight="true" outlineLevel="0" collapsed="false">
      <c r="A1250" s="39"/>
      <c r="B1250" s="40"/>
      <c r="C1250" s="41"/>
      <c r="D1250" s="40"/>
      <c r="E1250" s="40"/>
      <c r="F1250" s="40"/>
      <c r="G1250" s="35" t="str">
        <f aca="false">IF($A1250="","",IF(ISNUMBER($G1249),$G1249+1,1))</f>
        <v/>
      </c>
      <c r="H1250" s="36" t="str">
        <f aca="false">IF(OR(NOT(ISNUMBER($G1250)),$G1250&lt;2,NOT(ISNUMBER($C1249)),$C1249=0),"",$C1250/$C1249-1)</f>
        <v/>
      </c>
      <c r="I1250" s="37" t="str">
        <f aca="false">IF(AND(ISNUMBER($G1250),$G1250&gt;=MA_SHORT),AVERAGE(INDEX($C$850:$C1250,402-MA_SHORT):$C1250),"")</f>
        <v/>
      </c>
      <c r="J1250" s="37" t="str">
        <f aca="false">IF(AND(ISNUMBER($G1250),$G1250&gt;=MA_MED),AVERAGE(INDEX($C$850:$C1250,402-MA_MED):$C1250),"")</f>
        <v/>
      </c>
      <c r="K1250" s="37" t="str">
        <f aca="false">IF(AND(ISNUMBER($G1250),$G1250&gt;=MA_LONG2),AVERAGE(INDEX($C$850:$C1250,402-MA_LONG2):$C1250),"")</f>
        <v/>
      </c>
      <c r="L1250" s="38" t="str">
        <f aca="false">IF(AND(ISNUMBER($G1250),$G1250&gt;=21),STDEV(INDEX($H$1190:$H1250,62-20):$H1250)*SQRT(245),"")</f>
        <v/>
      </c>
      <c r="M1250" s="37" t="str">
        <f aca="false">IF(AND(ISNUMBER($G1250),$G1250&gt;=60),MAX(INDEX($D$1050:$D1250,202-60):$D1250),"")</f>
        <v/>
      </c>
      <c r="N1250" s="37" t="str">
        <f aca="false">IF(AND(ISNUMBER($G1250),$G1250&gt;=60),MIN(INDEX($E$1050:$E1250,202-60):$E1250),"")</f>
        <v/>
      </c>
      <c r="O1250" s="38" t="str">
        <f aca="false">IF(OR(NOT(ISNUMBER($C1250)),NOT(ISNUMBER($M1250)),$M1250=0),"",$C1250/$M1250-1)</f>
        <v/>
      </c>
    </row>
    <row r="1251" customFormat="false" ht="15" hidden="false" customHeight="true" outlineLevel="0" collapsed="false">
      <c r="A1251" s="39"/>
      <c r="B1251" s="40"/>
      <c r="C1251" s="41"/>
      <c r="D1251" s="40"/>
      <c r="E1251" s="40"/>
      <c r="F1251" s="40"/>
      <c r="G1251" s="35" t="str">
        <f aca="false">IF($A1251="","",IF(ISNUMBER($G1250),$G1250+1,1))</f>
        <v/>
      </c>
      <c r="H1251" s="36" t="str">
        <f aca="false">IF(OR(NOT(ISNUMBER($G1251)),$G1251&lt;2,NOT(ISNUMBER($C1250)),$C1250=0),"",$C1251/$C1250-1)</f>
        <v/>
      </c>
      <c r="I1251" s="37" t="str">
        <f aca="false">IF(AND(ISNUMBER($G1251),$G1251&gt;=MA_SHORT),AVERAGE(INDEX($C$851:$C1251,402-MA_SHORT):$C1251),"")</f>
        <v/>
      </c>
      <c r="J1251" s="37" t="str">
        <f aca="false">IF(AND(ISNUMBER($G1251),$G1251&gt;=MA_MED),AVERAGE(INDEX($C$851:$C1251,402-MA_MED):$C1251),"")</f>
        <v/>
      </c>
      <c r="K1251" s="37" t="str">
        <f aca="false">IF(AND(ISNUMBER($G1251),$G1251&gt;=MA_LONG2),AVERAGE(INDEX($C$851:$C1251,402-MA_LONG2):$C1251),"")</f>
        <v/>
      </c>
      <c r="L1251" s="38" t="str">
        <f aca="false">IF(AND(ISNUMBER($G1251),$G1251&gt;=21),STDEV(INDEX($H$1191:$H1251,62-20):$H1251)*SQRT(245),"")</f>
        <v/>
      </c>
      <c r="M1251" s="37" t="str">
        <f aca="false">IF(AND(ISNUMBER($G1251),$G1251&gt;=60),MAX(INDEX($D$1051:$D1251,202-60):$D1251),"")</f>
        <v/>
      </c>
      <c r="N1251" s="37" t="str">
        <f aca="false">IF(AND(ISNUMBER($G1251),$G1251&gt;=60),MIN(INDEX($E$1051:$E1251,202-60):$E1251),"")</f>
        <v/>
      </c>
      <c r="O1251" s="38" t="str">
        <f aca="false">IF(OR(NOT(ISNUMBER($C1251)),NOT(ISNUMBER($M1251)),$M1251=0),"",$C1251/$M1251-1)</f>
        <v/>
      </c>
    </row>
    <row r="1252" customFormat="false" ht="15" hidden="false" customHeight="true" outlineLevel="0" collapsed="false">
      <c r="A1252" s="39"/>
      <c r="B1252" s="40"/>
      <c r="C1252" s="41"/>
      <c r="D1252" s="40"/>
      <c r="E1252" s="40"/>
      <c r="F1252" s="40"/>
      <c r="G1252" s="35" t="str">
        <f aca="false">IF($A1252="","",IF(ISNUMBER($G1251),$G1251+1,1))</f>
        <v/>
      </c>
      <c r="H1252" s="36" t="str">
        <f aca="false">IF(OR(NOT(ISNUMBER($G1252)),$G1252&lt;2,NOT(ISNUMBER($C1251)),$C1251=0),"",$C1252/$C1251-1)</f>
        <v/>
      </c>
      <c r="I1252" s="37" t="str">
        <f aca="false">IF(AND(ISNUMBER($G1252),$G1252&gt;=MA_SHORT),AVERAGE(INDEX($C$852:$C1252,402-MA_SHORT):$C1252),"")</f>
        <v/>
      </c>
      <c r="J1252" s="37" t="str">
        <f aca="false">IF(AND(ISNUMBER($G1252),$G1252&gt;=MA_MED),AVERAGE(INDEX($C$852:$C1252,402-MA_MED):$C1252),"")</f>
        <v/>
      </c>
      <c r="K1252" s="37" t="str">
        <f aca="false">IF(AND(ISNUMBER($G1252),$G1252&gt;=MA_LONG2),AVERAGE(INDEX($C$852:$C1252,402-MA_LONG2):$C1252),"")</f>
        <v/>
      </c>
      <c r="L1252" s="38" t="str">
        <f aca="false">IF(AND(ISNUMBER($G1252),$G1252&gt;=21),STDEV(INDEX($H$1192:$H1252,62-20):$H1252)*SQRT(245),"")</f>
        <v/>
      </c>
      <c r="M1252" s="37" t="str">
        <f aca="false">IF(AND(ISNUMBER($G1252),$G1252&gt;=60),MAX(INDEX($D$1052:$D1252,202-60):$D1252),"")</f>
        <v/>
      </c>
      <c r="N1252" s="37" t="str">
        <f aca="false">IF(AND(ISNUMBER($G1252),$G1252&gt;=60),MIN(INDEX($E$1052:$E1252,202-60):$E1252),"")</f>
        <v/>
      </c>
      <c r="O1252" s="38" t="str">
        <f aca="false">IF(OR(NOT(ISNUMBER($C1252)),NOT(ISNUMBER($M1252)),$M1252=0),"",$C1252/$M1252-1)</f>
        <v/>
      </c>
    </row>
    <row r="1253" customFormat="false" ht="15" hidden="false" customHeight="true" outlineLevel="0" collapsed="false">
      <c r="A1253" s="39"/>
      <c r="B1253" s="40"/>
      <c r="C1253" s="41"/>
      <c r="D1253" s="40"/>
      <c r="E1253" s="40"/>
      <c r="F1253" s="40"/>
      <c r="G1253" s="35" t="str">
        <f aca="false">IF($A1253="","",IF(ISNUMBER($G1252),$G1252+1,1))</f>
        <v/>
      </c>
      <c r="H1253" s="36" t="str">
        <f aca="false">IF(OR(NOT(ISNUMBER($G1253)),$G1253&lt;2,NOT(ISNUMBER($C1252)),$C1252=0),"",$C1253/$C1252-1)</f>
        <v/>
      </c>
      <c r="I1253" s="37" t="str">
        <f aca="false">IF(AND(ISNUMBER($G1253),$G1253&gt;=MA_SHORT),AVERAGE(INDEX($C$853:$C1253,402-MA_SHORT):$C1253),"")</f>
        <v/>
      </c>
      <c r="J1253" s="37" t="str">
        <f aca="false">IF(AND(ISNUMBER($G1253),$G1253&gt;=MA_MED),AVERAGE(INDEX($C$853:$C1253,402-MA_MED):$C1253),"")</f>
        <v/>
      </c>
      <c r="K1253" s="37" t="str">
        <f aca="false">IF(AND(ISNUMBER($G1253),$G1253&gt;=MA_LONG2),AVERAGE(INDEX($C$853:$C1253,402-MA_LONG2):$C1253),"")</f>
        <v/>
      </c>
      <c r="L1253" s="38" t="str">
        <f aca="false">IF(AND(ISNUMBER($G1253),$G1253&gt;=21),STDEV(INDEX($H$1193:$H1253,62-20):$H1253)*SQRT(245),"")</f>
        <v/>
      </c>
      <c r="M1253" s="37" t="str">
        <f aca="false">IF(AND(ISNUMBER($G1253),$G1253&gt;=60),MAX(INDEX($D$1053:$D1253,202-60):$D1253),"")</f>
        <v/>
      </c>
      <c r="N1253" s="37" t="str">
        <f aca="false">IF(AND(ISNUMBER($G1253),$G1253&gt;=60),MIN(INDEX($E$1053:$E1253,202-60):$E1253),"")</f>
        <v/>
      </c>
      <c r="O1253" s="38" t="str">
        <f aca="false">IF(OR(NOT(ISNUMBER($C1253)),NOT(ISNUMBER($M1253)),$M1253=0),"",$C1253/$M1253-1)</f>
        <v/>
      </c>
    </row>
    <row r="1254" customFormat="false" ht="15" hidden="false" customHeight="true" outlineLevel="0" collapsed="false">
      <c r="A1254" s="39"/>
      <c r="B1254" s="40"/>
      <c r="C1254" s="41"/>
      <c r="D1254" s="40"/>
      <c r="E1254" s="40"/>
      <c r="F1254" s="40"/>
      <c r="G1254" s="35" t="str">
        <f aca="false">IF($A1254="","",IF(ISNUMBER($G1253),$G1253+1,1))</f>
        <v/>
      </c>
      <c r="H1254" s="36" t="str">
        <f aca="false">IF(OR(NOT(ISNUMBER($G1254)),$G1254&lt;2,NOT(ISNUMBER($C1253)),$C1253=0),"",$C1254/$C1253-1)</f>
        <v/>
      </c>
      <c r="I1254" s="37" t="str">
        <f aca="false">IF(AND(ISNUMBER($G1254),$G1254&gt;=MA_SHORT),AVERAGE(INDEX($C$854:$C1254,402-MA_SHORT):$C1254),"")</f>
        <v/>
      </c>
      <c r="J1254" s="37" t="str">
        <f aca="false">IF(AND(ISNUMBER($G1254),$G1254&gt;=MA_MED),AVERAGE(INDEX($C$854:$C1254,402-MA_MED):$C1254),"")</f>
        <v/>
      </c>
      <c r="K1254" s="37" t="str">
        <f aca="false">IF(AND(ISNUMBER($G1254),$G1254&gt;=MA_LONG2),AVERAGE(INDEX($C$854:$C1254,402-MA_LONG2):$C1254),"")</f>
        <v/>
      </c>
      <c r="L1254" s="38" t="str">
        <f aca="false">IF(AND(ISNUMBER($G1254),$G1254&gt;=21),STDEV(INDEX($H$1194:$H1254,62-20):$H1254)*SQRT(245),"")</f>
        <v/>
      </c>
      <c r="M1254" s="37" t="str">
        <f aca="false">IF(AND(ISNUMBER($G1254),$G1254&gt;=60),MAX(INDEX($D$1054:$D1254,202-60):$D1254),"")</f>
        <v/>
      </c>
      <c r="N1254" s="37" t="str">
        <f aca="false">IF(AND(ISNUMBER($G1254),$G1254&gt;=60),MIN(INDEX($E$1054:$E1254,202-60):$E1254),"")</f>
        <v/>
      </c>
      <c r="O1254" s="38" t="str">
        <f aca="false">IF(OR(NOT(ISNUMBER($C1254)),NOT(ISNUMBER($M1254)),$M1254=0),"",$C1254/$M1254-1)</f>
        <v/>
      </c>
    </row>
    <row r="1255" customFormat="false" ht="15" hidden="false" customHeight="true" outlineLevel="0" collapsed="false">
      <c r="A1255" s="39"/>
      <c r="B1255" s="40"/>
      <c r="C1255" s="41"/>
      <c r="D1255" s="40"/>
      <c r="E1255" s="40"/>
      <c r="F1255" s="40"/>
      <c r="G1255" s="35" t="str">
        <f aca="false">IF($A1255="","",IF(ISNUMBER($G1254),$G1254+1,1))</f>
        <v/>
      </c>
      <c r="H1255" s="36" t="str">
        <f aca="false">IF(OR(NOT(ISNUMBER($G1255)),$G1255&lt;2,NOT(ISNUMBER($C1254)),$C1254=0),"",$C1255/$C1254-1)</f>
        <v/>
      </c>
      <c r="I1255" s="37" t="str">
        <f aca="false">IF(AND(ISNUMBER($G1255),$G1255&gt;=MA_SHORT),AVERAGE(INDEX($C$855:$C1255,402-MA_SHORT):$C1255),"")</f>
        <v/>
      </c>
      <c r="J1255" s="37" t="str">
        <f aca="false">IF(AND(ISNUMBER($G1255),$G1255&gt;=MA_MED),AVERAGE(INDEX($C$855:$C1255,402-MA_MED):$C1255),"")</f>
        <v/>
      </c>
      <c r="K1255" s="37" t="str">
        <f aca="false">IF(AND(ISNUMBER($G1255),$G1255&gt;=MA_LONG2),AVERAGE(INDEX($C$855:$C1255,402-MA_LONG2):$C1255),"")</f>
        <v/>
      </c>
      <c r="L1255" s="38" t="str">
        <f aca="false">IF(AND(ISNUMBER($G1255),$G1255&gt;=21),STDEV(INDEX($H$1195:$H1255,62-20):$H1255)*SQRT(245),"")</f>
        <v/>
      </c>
      <c r="M1255" s="37" t="str">
        <f aca="false">IF(AND(ISNUMBER($G1255),$G1255&gt;=60),MAX(INDEX($D$1055:$D1255,202-60):$D1255),"")</f>
        <v/>
      </c>
      <c r="N1255" s="37" t="str">
        <f aca="false">IF(AND(ISNUMBER($G1255),$G1255&gt;=60),MIN(INDEX($E$1055:$E1255,202-60):$E1255),"")</f>
        <v/>
      </c>
      <c r="O1255" s="38" t="str">
        <f aca="false">IF(OR(NOT(ISNUMBER($C1255)),NOT(ISNUMBER($M1255)),$M1255=0),"",$C1255/$M1255-1)</f>
        <v/>
      </c>
    </row>
    <row r="1256" customFormat="false" ht="15" hidden="false" customHeight="true" outlineLevel="0" collapsed="false">
      <c r="A1256" s="39"/>
      <c r="B1256" s="40"/>
      <c r="C1256" s="41"/>
      <c r="D1256" s="40"/>
      <c r="E1256" s="40"/>
      <c r="F1256" s="40"/>
      <c r="G1256" s="35" t="str">
        <f aca="false">IF($A1256="","",IF(ISNUMBER($G1255),$G1255+1,1))</f>
        <v/>
      </c>
      <c r="H1256" s="36" t="str">
        <f aca="false">IF(OR(NOT(ISNUMBER($G1256)),$G1256&lt;2,NOT(ISNUMBER($C1255)),$C1255=0),"",$C1256/$C1255-1)</f>
        <v/>
      </c>
      <c r="I1256" s="37" t="str">
        <f aca="false">IF(AND(ISNUMBER($G1256),$G1256&gt;=MA_SHORT),AVERAGE(INDEX($C$856:$C1256,402-MA_SHORT):$C1256),"")</f>
        <v/>
      </c>
      <c r="J1256" s="37" t="str">
        <f aca="false">IF(AND(ISNUMBER($G1256),$G1256&gt;=MA_MED),AVERAGE(INDEX($C$856:$C1256,402-MA_MED):$C1256),"")</f>
        <v/>
      </c>
      <c r="K1256" s="37" t="str">
        <f aca="false">IF(AND(ISNUMBER($G1256),$G1256&gt;=MA_LONG2),AVERAGE(INDEX($C$856:$C1256,402-MA_LONG2):$C1256),"")</f>
        <v/>
      </c>
      <c r="L1256" s="38" t="str">
        <f aca="false">IF(AND(ISNUMBER($G1256),$G1256&gt;=21),STDEV(INDEX($H$1196:$H1256,62-20):$H1256)*SQRT(245),"")</f>
        <v/>
      </c>
      <c r="M1256" s="37" t="str">
        <f aca="false">IF(AND(ISNUMBER($G1256),$G1256&gt;=60),MAX(INDEX($D$1056:$D1256,202-60):$D1256),"")</f>
        <v/>
      </c>
      <c r="N1256" s="37" t="str">
        <f aca="false">IF(AND(ISNUMBER($G1256),$G1256&gt;=60),MIN(INDEX($E$1056:$E1256,202-60):$E1256),"")</f>
        <v/>
      </c>
      <c r="O1256" s="38" t="str">
        <f aca="false">IF(OR(NOT(ISNUMBER($C1256)),NOT(ISNUMBER($M1256)),$M1256=0),"",$C1256/$M1256-1)</f>
        <v/>
      </c>
    </row>
    <row r="1257" customFormat="false" ht="15" hidden="false" customHeight="true" outlineLevel="0" collapsed="false">
      <c r="A1257" s="39"/>
      <c r="B1257" s="40"/>
      <c r="C1257" s="41"/>
      <c r="D1257" s="40"/>
      <c r="E1257" s="40"/>
      <c r="F1257" s="40"/>
      <c r="G1257" s="35" t="str">
        <f aca="false">IF($A1257="","",IF(ISNUMBER($G1256),$G1256+1,1))</f>
        <v/>
      </c>
      <c r="H1257" s="36" t="str">
        <f aca="false">IF(OR(NOT(ISNUMBER($G1257)),$G1257&lt;2,NOT(ISNUMBER($C1256)),$C1256=0),"",$C1257/$C1256-1)</f>
        <v/>
      </c>
      <c r="I1257" s="37" t="str">
        <f aca="false">IF(AND(ISNUMBER($G1257),$G1257&gt;=MA_SHORT),AVERAGE(INDEX($C$857:$C1257,402-MA_SHORT):$C1257),"")</f>
        <v/>
      </c>
      <c r="J1257" s="37" t="str">
        <f aca="false">IF(AND(ISNUMBER($G1257),$G1257&gt;=MA_MED),AVERAGE(INDEX($C$857:$C1257,402-MA_MED):$C1257),"")</f>
        <v/>
      </c>
      <c r="K1257" s="37" t="str">
        <f aca="false">IF(AND(ISNUMBER($G1257),$G1257&gt;=MA_LONG2),AVERAGE(INDEX($C$857:$C1257,402-MA_LONG2):$C1257),"")</f>
        <v/>
      </c>
      <c r="L1257" s="38" t="str">
        <f aca="false">IF(AND(ISNUMBER($G1257),$G1257&gt;=21),STDEV(INDEX($H$1197:$H1257,62-20):$H1257)*SQRT(245),"")</f>
        <v/>
      </c>
      <c r="M1257" s="37" t="str">
        <f aca="false">IF(AND(ISNUMBER($G1257),$G1257&gt;=60),MAX(INDEX($D$1057:$D1257,202-60):$D1257),"")</f>
        <v/>
      </c>
      <c r="N1257" s="37" t="str">
        <f aca="false">IF(AND(ISNUMBER($G1257),$G1257&gt;=60),MIN(INDEX($E$1057:$E1257,202-60):$E1257),"")</f>
        <v/>
      </c>
      <c r="O1257" s="38" t="str">
        <f aca="false">IF(OR(NOT(ISNUMBER($C1257)),NOT(ISNUMBER($M1257)),$M1257=0),"",$C1257/$M1257-1)</f>
        <v/>
      </c>
    </row>
    <row r="1258" customFormat="false" ht="15" hidden="false" customHeight="true" outlineLevel="0" collapsed="false">
      <c r="A1258" s="39"/>
      <c r="B1258" s="40"/>
      <c r="C1258" s="41"/>
      <c r="D1258" s="40"/>
      <c r="E1258" s="40"/>
      <c r="F1258" s="40"/>
      <c r="G1258" s="35" t="str">
        <f aca="false">IF($A1258="","",IF(ISNUMBER($G1257),$G1257+1,1))</f>
        <v/>
      </c>
      <c r="H1258" s="36" t="str">
        <f aca="false">IF(OR(NOT(ISNUMBER($G1258)),$G1258&lt;2,NOT(ISNUMBER($C1257)),$C1257=0),"",$C1258/$C1257-1)</f>
        <v/>
      </c>
      <c r="I1258" s="37" t="str">
        <f aca="false">IF(AND(ISNUMBER($G1258),$G1258&gt;=MA_SHORT),AVERAGE(INDEX($C$858:$C1258,402-MA_SHORT):$C1258),"")</f>
        <v/>
      </c>
      <c r="J1258" s="37" t="str">
        <f aca="false">IF(AND(ISNUMBER($G1258),$G1258&gt;=MA_MED),AVERAGE(INDEX($C$858:$C1258,402-MA_MED):$C1258),"")</f>
        <v/>
      </c>
      <c r="K1258" s="37" t="str">
        <f aca="false">IF(AND(ISNUMBER($G1258),$G1258&gt;=MA_LONG2),AVERAGE(INDEX($C$858:$C1258,402-MA_LONG2):$C1258),"")</f>
        <v/>
      </c>
      <c r="L1258" s="38" t="str">
        <f aca="false">IF(AND(ISNUMBER($G1258),$G1258&gt;=21),STDEV(INDEX($H$1198:$H1258,62-20):$H1258)*SQRT(245),"")</f>
        <v/>
      </c>
      <c r="M1258" s="37" t="str">
        <f aca="false">IF(AND(ISNUMBER($G1258),$G1258&gt;=60),MAX(INDEX($D$1058:$D1258,202-60):$D1258),"")</f>
        <v/>
      </c>
      <c r="N1258" s="37" t="str">
        <f aca="false">IF(AND(ISNUMBER($G1258),$G1258&gt;=60),MIN(INDEX($E$1058:$E1258,202-60):$E1258),"")</f>
        <v/>
      </c>
      <c r="O1258" s="38" t="str">
        <f aca="false">IF(OR(NOT(ISNUMBER($C1258)),NOT(ISNUMBER($M1258)),$M1258=0),"",$C1258/$M1258-1)</f>
        <v/>
      </c>
    </row>
    <row r="1259" customFormat="false" ht="15" hidden="false" customHeight="true" outlineLevel="0" collapsed="false">
      <c r="A1259" s="39"/>
      <c r="B1259" s="40"/>
      <c r="C1259" s="41"/>
      <c r="D1259" s="40"/>
      <c r="E1259" s="40"/>
      <c r="F1259" s="40"/>
      <c r="G1259" s="35" t="str">
        <f aca="false">IF($A1259="","",IF(ISNUMBER($G1258),$G1258+1,1))</f>
        <v/>
      </c>
      <c r="H1259" s="36" t="str">
        <f aca="false">IF(OR(NOT(ISNUMBER($G1259)),$G1259&lt;2,NOT(ISNUMBER($C1258)),$C1258=0),"",$C1259/$C1258-1)</f>
        <v/>
      </c>
      <c r="I1259" s="37" t="str">
        <f aca="false">IF(AND(ISNUMBER($G1259),$G1259&gt;=MA_SHORT),AVERAGE(INDEX($C$859:$C1259,402-MA_SHORT):$C1259),"")</f>
        <v/>
      </c>
      <c r="J1259" s="37" t="str">
        <f aca="false">IF(AND(ISNUMBER($G1259),$G1259&gt;=MA_MED),AVERAGE(INDEX($C$859:$C1259,402-MA_MED):$C1259),"")</f>
        <v/>
      </c>
      <c r="K1259" s="37" t="str">
        <f aca="false">IF(AND(ISNUMBER($G1259),$G1259&gt;=MA_LONG2),AVERAGE(INDEX($C$859:$C1259,402-MA_LONG2):$C1259),"")</f>
        <v/>
      </c>
      <c r="L1259" s="38" t="str">
        <f aca="false">IF(AND(ISNUMBER($G1259),$G1259&gt;=21),STDEV(INDEX($H$1199:$H1259,62-20):$H1259)*SQRT(245),"")</f>
        <v/>
      </c>
      <c r="M1259" s="37" t="str">
        <f aca="false">IF(AND(ISNUMBER($G1259),$G1259&gt;=60),MAX(INDEX($D$1059:$D1259,202-60):$D1259),"")</f>
        <v/>
      </c>
      <c r="N1259" s="37" t="str">
        <f aca="false">IF(AND(ISNUMBER($G1259),$G1259&gt;=60),MIN(INDEX($E$1059:$E1259,202-60):$E1259),"")</f>
        <v/>
      </c>
      <c r="O1259" s="38" t="str">
        <f aca="false">IF(OR(NOT(ISNUMBER($C1259)),NOT(ISNUMBER($M1259)),$M1259=0),"",$C1259/$M1259-1)</f>
        <v/>
      </c>
    </row>
    <row r="1260" customFormat="false" ht="15" hidden="false" customHeight="true" outlineLevel="0" collapsed="false">
      <c r="A1260" s="39"/>
      <c r="B1260" s="40"/>
      <c r="C1260" s="41"/>
      <c r="D1260" s="40"/>
      <c r="E1260" s="40"/>
      <c r="F1260" s="40"/>
      <c r="G1260" s="35" t="str">
        <f aca="false">IF($A1260="","",IF(ISNUMBER($G1259),$G1259+1,1))</f>
        <v/>
      </c>
      <c r="H1260" s="36" t="str">
        <f aca="false">IF(OR(NOT(ISNUMBER($G1260)),$G1260&lt;2,NOT(ISNUMBER($C1259)),$C1259=0),"",$C1260/$C1259-1)</f>
        <v/>
      </c>
      <c r="I1260" s="37" t="str">
        <f aca="false">IF(AND(ISNUMBER($G1260),$G1260&gt;=MA_SHORT),AVERAGE(INDEX($C$860:$C1260,402-MA_SHORT):$C1260),"")</f>
        <v/>
      </c>
      <c r="J1260" s="37" t="str">
        <f aca="false">IF(AND(ISNUMBER($G1260),$G1260&gt;=MA_MED),AVERAGE(INDEX($C$860:$C1260,402-MA_MED):$C1260),"")</f>
        <v/>
      </c>
      <c r="K1260" s="37" t="str">
        <f aca="false">IF(AND(ISNUMBER($G1260),$G1260&gt;=MA_LONG2),AVERAGE(INDEX($C$860:$C1260,402-MA_LONG2):$C1260),"")</f>
        <v/>
      </c>
      <c r="L1260" s="38" t="str">
        <f aca="false">IF(AND(ISNUMBER($G1260),$G1260&gt;=21),STDEV(INDEX($H$1200:$H1260,62-20):$H1260)*SQRT(245),"")</f>
        <v/>
      </c>
      <c r="M1260" s="37" t="str">
        <f aca="false">IF(AND(ISNUMBER($G1260),$G1260&gt;=60),MAX(INDEX($D$1060:$D1260,202-60):$D1260),"")</f>
        <v/>
      </c>
      <c r="N1260" s="37" t="str">
        <f aca="false">IF(AND(ISNUMBER($G1260),$G1260&gt;=60),MIN(INDEX($E$1060:$E1260,202-60):$E1260),"")</f>
        <v/>
      </c>
      <c r="O1260" s="38" t="str">
        <f aca="false">IF(OR(NOT(ISNUMBER($C1260)),NOT(ISNUMBER($M1260)),$M1260=0),"",$C1260/$M1260-1)</f>
        <v/>
      </c>
    </row>
    <row r="1261" customFormat="false" ht="15" hidden="false" customHeight="true" outlineLevel="0" collapsed="false">
      <c r="A1261" s="39"/>
      <c r="B1261" s="40"/>
      <c r="C1261" s="41"/>
      <c r="D1261" s="40"/>
      <c r="E1261" s="40"/>
      <c r="F1261" s="40"/>
      <c r="G1261" s="35" t="str">
        <f aca="false">IF($A1261="","",IF(ISNUMBER($G1260),$G1260+1,1))</f>
        <v/>
      </c>
      <c r="H1261" s="36" t="str">
        <f aca="false">IF(OR(NOT(ISNUMBER($G1261)),$G1261&lt;2,NOT(ISNUMBER($C1260)),$C1260=0),"",$C1261/$C1260-1)</f>
        <v/>
      </c>
      <c r="I1261" s="37" t="str">
        <f aca="false">IF(AND(ISNUMBER($G1261),$G1261&gt;=MA_SHORT),AVERAGE(INDEX($C$861:$C1261,402-MA_SHORT):$C1261),"")</f>
        <v/>
      </c>
      <c r="J1261" s="37" t="str">
        <f aca="false">IF(AND(ISNUMBER($G1261),$G1261&gt;=MA_MED),AVERAGE(INDEX($C$861:$C1261,402-MA_MED):$C1261),"")</f>
        <v/>
      </c>
      <c r="K1261" s="37" t="str">
        <f aca="false">IF(AND(ISNUMBER($G1261),$G1261&gt;=MA_LONG2),AVERAGE(INDEX($C$861:$C1261,402-MA_LONG2):$C1261),"")</f>
        <v/>
      </c>
      <c r="L1261" s="38" t="str">
        <f aca="false">IF(AND(ISNUMBER($G1261),$G1261&gt;=21),STDEV(INDEX($H$1201:$H1261,62-20):$H1261)*SQRT(245),"")</f>
        <v/>
      </c>
      <c r="M1261" s="37" t="str">
        <f aca="false">IF(AND(ISNUMBER($G1261),$G1261&gt;=60),MAX(INDEX($D$1061:$D1261,202-60):$D1261),"")</f>
        <v/>
      </c>
      <c r="N1261" s="37" t="str">
        <f aca="false">IF(AND(ISNUMBER($G1261),$G1261&gt;=60),MIN(INDEX($E$1061:$E1261,202-60):$E1261),"")</f>
        <v/>
      </c>
      <c r="O1261" s="38" t="str">
        <f aca="false">IF(OR(NOT(ISNUMBER($C1261)),NOT(ISNUMBER($M1261)),$M1261=0),"",$C1261/$M1261-1)</f>
        <v/>
      </c>
    </row>
    <row r="1262" customFormat="false" ht="15" hidden="false" customHeight="true" outlineLevel="0" collapsed="false">
      <c r="A1262" s="39"/>
      <c r="B1262" s="40"/>
      <c r="C1262" s="41"/>
      <c r="D1262" s="40"/>
      <c r="E1262" s="40"/>
      <c r="F1262" s="40"/>
      <c r="G1262" s="35" t="str">
        <f aca="false">IF($A1262="","",IF(ISNUMBER($G1261),$G1261+1,1))</f>
        <v/>
      </c>
      <c r="H1262" s="36" t="str">
        <f aca="false">IF(OR(NOT(ISNUMBER($G1262)),$G1262&lt;2,NOT(ISNUMBER($C1261)),$C1261=0),"",$C1262/$C1261-1)</f>
        <v/>
      </c>
      <c r="I1262" s="37" t="str">
        <f aca="false">IF(AND(ISNUMBER($G1262),$G1262&gt;=MA_SHORT),AVERAGE(INDEX($C$862:$C1262,402-MA_SHORT):$C1262),"")</f>
        <v/>
      </c>
      <c r="J1262" s="37" t="str">
        <f aca="false">IF(AND(ISNUMBER($G1262),$G1262&gt;=MA_MED),AVERAGE(INDEX($C$862:$C1262,402-MA_MED):$C1262),"")</f>
        <v/>
      </c>
      <c r="K1262" s="37" t="str">
        <f aca="false">IF(AND(ISNUMBER($G1262),$G1262&gt;=MA_LONG2),AVERAGE(INDEX($C$862:$C1262,402-MA_LONG2):$C1262),"")</f>
        <v/>
      </c>
      <c r="L1262" s="38" t="str">
        <f aca="false">IF(AND(ISNUMBER($G1262),$G1262&gt;=21),STDEV(INDEX($H$1202:$H1262,62-20):$H1262)*SQRT(245),"")</f>
        <v/>
      </c>
      <c r="M1262" s="37" t="str">
        <f aca="false">IF(AND(ISNUMBER($G1262),$G1262&gt;=60),MAX(INDEX($D$1062:$D1262,202-60):$D1262),"")</f>
        <v/>
      </c>
      <c r="N1262" s="37" t="str">
        <f aca="false">IF(AND(ISNUMBER($G1262),$G1262&gt;=60),MIN(INDEX($E$1062:$E1262,202-60):$E1262),"")</f>
        <v/>
      </c>
      <c r="O1262" s="38" t="str">
        <f aca="false">IF(OR(NOT(ISNUMBER($C1262)),NOT(ISNUMBER($M1262)),$M1262=0),"",$C1262/$M1262-1)</f>
        <v/>
      </c>
    </row>
    <row r="1263" customFormat="false" ht="15" hidden="false" customHeight="true" outlineLevel="0" collapsed="false">
      <c r="A1263" s="39"/>
      <c r="B1263" s="40"/>
      <c r="C1263" s="41"/>
      <c r="D1263" s="40"/>
      <c r="E1263" s="40"/>
      <c r="F1263" s="40"/>
      <c r="G1263" s="35" t="str">
        <f aca="false">IF($A1263="","",IF(ISNUMBER($G1262),$G1262+1,1))</f>
        <v/>
      </c>
      <c r="H1263" s="36" t="str">
        <f aca="false">IF(OR(NOT(ISNUMBER($G1263)),$G1263&lt;2,NOT(ISNUMBER($C1262)),$C1262=0),"",$C1263/$C1262-1)</f>
        <v/>
      </c>
      <c r="I1263" s="37" t="str">
        <f aca="false">IF(AND(ISNUMBER($G1263),$G1263&gt;=MA_SHORT),AVERAGE(INDEX($C$863:$C1263,402-MA_SHORT):$C1263),"")</f>
        <v/>
      </c>
      <c r="J1263" s="37" t="str">
        <f aca="false">IF(AND(ISNUMBER($G1263),$G1263&gt;=MA_MED),AVERAGE(INDEX($C$863:$C1263,402-MA_MED):$C1263),"")</f>
        <v/>
      </c>
      <c r="K1263" s="37" t="str">
        <f aca="false">IF(AND(ISNUMBER($G1263),$G1263&gt;=MA_LONG2),AVERAGE(INDEX($C$863:$C1263,402-MA_LONG2):$C1263),"")</f>
        <v/>
      </c>
      <c r="L1263" s="38" t="str">
        <f aca="false">IF(AND(ISNUMBER($G1263),$G1263&gt;=21),STDEV(INDEX($H$1203:$H1263,62-20):$H1263)*SQRT(245),"")</f>
        <v/>
      </c>
      <c r="M1263" s="37" t="str">
        <f aca="false">IF(AND(ISNUMBER($G1263),$G1263&gt;=60),MAX(INDEX($D$1063:$D1263,202-60):$D1263),"")</f>
        <v/>
      </c>
      <c r="N1263" s="37" t="str">
        <f aca="false">IF(AND(ISNUMBER($G1263),$G1263&gt;=60),MIN(INDEX($E$1063:$E1263,202-60):$E1263),"")</f>
        <v/>
      </c>
      <c r="O1263" s="38" t="str">
        <f aca="false">IF(OR(NOT(ISNUMBER($C1263)),NOT(ISNUMBER($M1263)),$M1263=0),"",$C1263/$M1263-1)</f>
        <v/>
      </c>
    </row>
    <row r="1264" customFormat="false" ht="15" hidden="false" customHeight="true" outlineLevel="0" collapsed="false">
      <c r="A1264" s="39"/>
      <c r="B1264" s="40"/>
      <c r="C1264" s="41"/>
      <c r="D1264" s="40"/>
      <c r="E1264" s="40"/>
      <c r="F1264" s="40"/>
      <c r="G1264" s="35" t="str">
        <f aca="false">IF($A1264="","",IF(ISNUMBER($G1263),$G1263+1,1))</f>
        <v/>
      </c>
      <c r="H1264" s="36" t="str">
        <f aca="false">IF(OR(NOT(ISNUMBER($G1264)),$G1264&lt;2,NOT(ISNUMBER($C1263)),$C1263=0),"",$C1264/$C1263-1)</f>
        <v/>
      </c>
      <c r="I1264" s="37" t="str">
        <f aca="false">IF(AND(ISNUMBER($G1264),$G1264&gt;=MA_SHORT),AVERAGE(INDEX($C$864:$C1264,402-MA_SHORT):$C1264),"")</f>
        <v/>
      </c>
      <c r="J1264" s="37" t="str">
        <f aca="false">IF(AND(ISNUMBER($G1264),$G1264&gt;=MA_MED),AVERAGE(INDEX($C$864:$C1264,402-MA_MED):$C1264),"")</f>
        <v/>
      </c>
      <c r="K1264" s="37" t="str">
        <f aca="false">IF(AND(ISNUMBER($G1264),$G1264&gt;=MA_LONG2),AVERAGE(INDEX($C$864:$C1264,402-MA_LONG2):$C1264),"")</f>
        <v/>
      </c>
      <c r="L1264" s="38" t="str">
        <f aca="false">IF(AND(ISNUMBER($G1264),$G1264&gt;=21),STDEV(INDEX($H$1204:$H1264,62-20):$H1264)*SQRT(245),"")</f>
        <v/>
      </c>
      <c r="M1264" s="37" t="str">
        <f aca="false">IF(AND(ISNUMBER($G1264),$G1264&gt;=60),MAX(INDEX($D$1064:$D1264,202-60):$D1264),"")</f>
        <v/>
      </c>
      <c r="N1264" s="37" t="str">
        <f aca="false">IF(AND(ISNUMBER($G1264),$G1264&gt;=60),MIN(INDEX($E$1064:$E1264,202-60):$E1264),"")</f>
        <v/>
      </c>
      <c r="O1264" s="38" t="str">
        <f aca="false">IF(OR(NOT(ISNUMBER($C1264)),NOT(ISNUMBER($M1264)),$M1264=0),"",$C1264/$M1264-1)</f>
        <v/>
      </c>
    </row>
    <row r="1265" customFormat="false" ht="15" hidden="false" customHeight="true" outlineLevel="0" collapsed="false">
      <c r="A1265" s="39"/>
      <c r="B1265" s="40"/>
      <c r="C1265" s="41"/>
      <c r="D1265" s="40"/>
      <c r="E1265" s="40"/>
      <c r="F1265" s="40"/>
      <c r="G1265" s="35" t="str">
        <f aca="false">IF($A1265="","",IF(ISNUMBER($G1264),$G1264+1,1))</f>
        <v/>
      </c>
      <c r="H1265" s="36" t="str">
        <f aca="false">IF(OR(NOT(ISNUMBER($G1265)),$G1265&lt;2,NOT(ISNUMBER($C1264)),$C1264=0),"",$C1265/$C1264-1)</f>
        <v/>
      </c>
      <c r="I1265" s="37" t="str">
        <f aca="false">IF(AND(ISNUMBER($G1265),$G1265&gt;=MA_SHORT),AVERAGE(INDEX($C$865:$C1265,402-MA_SHORT):$C1265),"")</f>
        <v/>
      </c>
      <c r="J1265" s="37" t="str">
        <f aca="false">IF(AND(ISNUMBER($G1265),$G1265&gt;=MA_MED),AVERAGE(INDEX($C$865:$C1265,402-MA_MED):$C1265),"")</f>
        <v/>
      </c>
      <c r="K1265" s="37" t="str">
        <f aca="false">IF(AND(ISNUMBER($G1265),$G1265&gt;=MA_LONG2),AVERAGE(INDEX($C$865:$C1265,402-MA_LONG2):$C1265),"")</f>
        <v/>
      </c>
      <c r="L1265" s="38" t="str">
        <f aca="false">IF(AND(ISNUMBER($G1265),$G1265&gt;=21),STDEV(INDEX($H$1205:$H1265,62-20):$H1265)*SQRT(245),"")</f>
        <v/>
      </c>
      <c r="M1265" s="37" t="str">
        <f aca="false">IF(AND(ISNUMBER($G1265),$G1265&gt;=60),MAX(INDEX($D$1065:$D1265,202-60):$D1265),"")</f>
        <v/>
      </c>
      <c r="N1265" s="37" t="str">
        <f aca="false">IF(AND(ISNUMBER($G1265),$G1265&gt;=60),MIN(INDEX($E$1065:$E1265,202-60):$E1265),"")</f>
        <v/>
      </c>
      <c r="O1265" s="38" t="str">
        <f aca="false">IF(OR(NOT(ISNUMBER($C1265)),NOT(ISNUMBER($M1265)),$M1265=0),"",$C1265/$M1265-1)</f>
        <v/>
      </c>
    </row>
    <row r="1266" customFormat="false" ht="15" hidden="false" customHeight="true" outlineLevel="0" collapsed="false">
      <c r="A1266" s="39"/>
      <c r="B1266" s="40"/>
      <c r="C1266" s="41"/>
      <c r="D1266" s="40"/>
      <c r="E1266" s="40"/>
      <c r="F1266" s="40"/>
      <c r="G1266" s="35" t="str">
        <f aca="false">IF($A1266="","",IF(ISNUMBER($G1265),$G1265+1,1))</f>
        <v/>
      </c>
      <c r="H1266" s="36" t="str">
        <f aca="false">IF(OR(NOT(ISNUMBER($G1266)),$G1266&lt;2,NOT(ISNUMBER($C1265)),$C1265=0),"",$C1266/$C1265-1)</f>
        <v/>
      </c>
      <c r="I1266" s="37" t="str">
        <f aca="false">IF(AND(ISNUMBER($G1266),$G1266&gt;=MA_SHORT),AVERAGE(INDEX($C$866:$C1266,402-MA_SHORT):$C1266),"")</f>
        <v/>
      </c>
      <c r="J1266" s="37" t="str">
        <f aca="false">IF(AND(ISNUMBER($G1266),$G1266&gt;=MA_MED),AVERAGE(INDEX($C$866:$C1266,402-MA_MED):$C1266),"")</f>
        <v/>
      </c>
      <c r="K1266" s="37" t="str">
        <f aca="false">IF(AND(ISNUMBER($G1266),$G1266&gt;=MA_LONG2),AVERAGE(INDEX($C$866:$C1266,402-MA_LONG2):$C1266),"")</f>
        <v/>
      </c>
      <c r="L1266" s="38" t="str">
        <f aca="false">IF(AND(ISNUMBER($G1266),$G1266&gt;=21),STDEV(INDEX($H$1206:$H1266,62-20):$H1266)*SQRT(245),"")</f>
        <v/>
      </c>
      <c r="M1266" s="37" t="str">
        <f aca="false">IF(AND(ISNUMBER($G1266),$G1266&gt;=60),MAX(INDEX($D$1066:$D1266,202-60):$D1266),"")</f>
        <v/>
      </c>
      <c r="N1266" s="37" t="str">
        <f aca="false">IF(AND(ISNUMBER($G1266),$G1266&gt;=60),MIN(INDEX($E$1066:$E1266,202-60):$E1266),"")</f>
        <v/>
      </c>
      <c r="O1266" s="38" t="str">
        <f aca="false">IF(OR(NOT(ISNUMBER($C1266)),NOT(ISNUMBER($M1266)),$M1266=0),"",$C1266/$M1266-1)</f>
        <v/>
      </c>
    </row>
    <row r="1267" customFormat="false" ht="15" hidden="false" customHeight="true" outlineLevel="0" collapsed="false">
      <c r="A1267" s="39"/>
      <c r="B1267" s="40"/>
      <c r="C1267" s="41"/>
      <c r="D1267" s="40"/>
      <c r="E1267" s="40"/>
      <c r="F1267" s="40"/>
      <c r="G1267" s="35" t="str">
        <f aca="false">IF($A1267="","",IF(ISNUMBER($G1266),$G1266+1,1))</f>
        <v/>
      </c>
      <c r="H1267" s="36" t="str">
        <f aca="false">IF(OR(NOT(ISNUMBER($G1267)),$G1267&lt;2,NOT(ISNUMBER($C1266)),$C1266=0),"",$C1267/$C1266-1)</f>
        <v/>
      </c>
      <c r="I1267" s="37" t="str">
        <f aca="false">IF(AND(ISNUMBER($G1267),$G1267&gt;=MA_SHORT),AVERAGE(INDEX($C$867:$C1267,402-MA_SHORT):$C1267),"")</f>
        <v/>
      </c>
      <c r="J1267" s="37" t="str">
        <f aca="false">IF(AND(ISNUMBER($G1267),$G1267&gt;=MA_MED),AVERAGE(INDEX($C$867:$C1267,402-MA_MED):$C1267),"")</f>
        <v/>
      </c>
      <c r="K1267" s="37" t="str">
        <f aca="false">IF(AND(ISNUMBER($G1267),$G1267&gt;=MA_LONG2),AVERAGE(INDEX($C$867:$C1267,402-MA_LONG2):$C1267),"")</f>
        <v/>
      </c>
      <c r="L1267" s="38" t="str">
        <f aca="false">IF(AND(ISNUMBER($G1267),$G1267&gt;=21),STDEV(INDEX($H$1207:$H1267,62-20):$H1267)*SQRT(245),"")</f>
        <v/>
      </c>
      <c r="M1267" s="37" t="str">
        <f aca="false">IF(AND(ISNUMBER($G1267),$G1267&gt;=60),MAX(INDEX($D$1067:$D1267,202-60):$D1267),"")</f>
        <v/>
      </c>
      <c r="N1267" s="37" t="str">
        <f aca="false">IF(AND(ISNUMBER($G1267),$G1267&gt;=60),MIN(INDEX($E$1067:$E1267,202-60):$E1267),"")</f>
        <v/>
      </c>
      <c r="O1267" s="38" t="str">
        <f aca="false">IF(OR(NOT(ISNUMBER($C1267)),NOT(ISNUMBER($M1267)),$M1267=0),"",$C1267/$M1267-1)</f>
        <v/>
      </c>
    </row>
    <row r="1268" customFormat="false" ht="15" hidden="false" customHeight="true" outlineLevel="0" collapsed="false">
      <c r="A1268" s="39"/>
      <c r="B1268" s="40"/>
      <c r="C1268" s="41"/>
      <c r="D1268" s="40"/>
      <c r="E1268" s="40"/>
      <c r="F1268" s="40"/>
      <c r="G1268" s="35" t="str">
        <f aca="false">IF($A1268="","",IF(ISNUMBER($G1267),$G1267+1,1))</f>
        <v/>
      </c>
      <c r="H1268" s="36" t="str">
        <f aca="false">IF(OR(NOT(ISNUMBER($G1268)),$G1268&lt;2,NOT(ISNUMBER($C1267)),$C1267=0),"",$C1268/$C1267-1)</f>
        <v/>
      </c>
      <c r="I1268" s="37" t="str">
        <f aca="false">IF(AND(ISNUMBER($G1268),$G1268&gt;=MA_SHORT),AVERAGE(INDEX($C$868:$C1268,402-MA_SHORT):$C1268),"")</f>
        <v/>
      </c>
      <c r="J1268" s="37" t="str">
        <f aca="false">IF(AND(ISNUMBER($G1268),$G1268&gt;=MA_MED),AVERAGE(INDEX($C$868:$C1268,402-MA_MED):$C1268),"")</f>
        <v/>
      </c>
      <c r="K1268" s="37" t="str">
        <f aca="false">IF(AND(ISNUMBER($G1268),$G1268&gt;=MA_LONG2),AVERAGE(INDEX($C$868:$C1268,402-MA_LONG2):$C1268),"")</f>
        <v/>
      </c>
      <c r="L1268" s="38" t="str">
        <f aca="false">IF(AND(ISNUMBER($G1268),$G1268&gt;=21),STDEV(INDEX($H$1208:$H1268,62-20):$H1268)*SQRT(245),"")</f>
        <v/>
      </c>
      <c r="M1268" s="37" t="str">
        <f aca="false">IF(AND(ISNUMBER($G1268),$G1268&gt;=60),MAX(INDEX($D$1068:$D1268,202-60):$D1268),"")</f>
        <v/>
      </c>
      <c r="N1268" s="37" t="str">
        <f aca="false">IF(AND(ISNUMBER($G1268),$G1268&gt;=60),MIN(INDEX($E$1068:$E1268,202-60):$E1268),"")</f>
        <v/>
      </c>
      <c r="O1268" s="38" t="str">
        <f aca="false">IF(OR(NOT(ISNUMBER($C1268)),NOT(ISNUMBER($M1268)),$M1268=0),"",$C1268/$M1268-1)</f>
        <v/>
      </c>
    </row>
    <row r="1269" customFormat="false" ht="15" hidden="false" customHeight="true" outlineLevel="0" collapsed="false">
      <c r="A1269" s="39"/>
      <c r="B1269" s="40"/>
      <c r="C1269" s="41"/>
      <c r="D1269" s="40"/>
      <c r="E1269" s="40"/>
      <c r="F1269" s="40"/>
      <c r="G1269" s="35" t="str">
        <f aca="false">IF($A1269="","",IF(ISNUMBER($G1268),$G1268+1,1))</f>
        <v/>
      </c>
      <c r="H1269" s="36" t="str">
        <f aca="false">IF(OR(NOT(ISNUMBER($G1269)),$G1269&lt;2,NOT(ISNUMBER($C1268)),$C1268=0),"",$C1269/$C1268-1)</f>
        <v/>
      </c>
      <c r="I1269" s="37" t="str">
        <f aca="false">IF(AND(ISNUMBER($G1269),$G1269&gt;=MA_SHORT),AVERAGE(INDEX($C$869:$C1269,402-MA_SHORT):$C1269),"")</f>
        <v/>
      </c>
      <c r="J1269" s="37" t="str">
        <f aca="false">IF(AND(ISNUMBER($G1269),$G1269&gt;=MA_MED),AVERAGE(INDEX($C$869:$C1269,402-MA_MED):$C1269),"")</f>
        <v/>
      </c>
      <c r="K1269" s="37" t="str">
        <f aca="false">IF(AND(ISNUMBER($G1269),$G1269&gt;=MA_LONG2),AVERAGE(INDEX($C$869:$C1269,402-MA_LONG2):$C1269),"")</f>
        <v/>
      </c>
      <c r="L1269" s="38" t="str">
        <f aca="false">IF(AND(ISNUMBER($G1269),$G1269&gt;=21),STDEV(INDEX($H$1209:$H1269,62-20):$H1269)*SQRT(245),"")</f>
        <v/>
      </c>
      <c r="M1269" s="37" t="str">
        <f aca="false">IF(AND(ISNUMBER($G1269),$G1269&gt;=60),MAX(INDEX($D$1069:$D1269,202-60):$D1269),"")</f>
        <v/>
      </c>
      <c r="N1269" s="37" t="str">
        <f aca="false">IF(AND(ISNUMBER($G1269),$G1269&gt;=60),MIN(INDEX($E$1069:$E1269,202-60):$E1269),"")</f>
        <v/>
      </c>
      <c r="O1269" s="38" t="str">
        <f aca="false">IF(OR(NOT(ISNUMBER($C1269)),NOT(ISNUMBER($M1269)),$M1269=0),"",$C1269/$M1269-1)</f>
        <v/>
      </c>
    </row>
    <row r="1270" customFormat="false" ht="15" hidden="false" customHeight="true" outlineLevel="0" collapsed="false">
      <c r="A1270" s="39"/>
      <c r="B1270" s="40"/>
      <c r="C1270" s="41"/>
      <c r="D1270" s="40"/>
      <c r="E1270" s="40"/>
      <c r="F1270" s="40"/>
      <c r="G1270" s="35" t="str">
        <f aca="false">IF($A1270="","",IF(ISNUMBER($G1269),$G1269+1,1))</f>
        <v/>
      </c>
      <c r="H1270" s="36" t="str">
        <f aca="false">IF(OR(NOT(ISNUMBER($G1270)),$G1270&lt;2,NOT(ISNUMBER($C1269)),$C1269=0),"",$C1270/$C1269-1)</f>
        <v/>
      </c>
      <c r="I1270" s="37" t="str">
        <f aca="false">IF(AND(ISNUMBER($G1270),$G1270&gt;=MA_SHORT),AVERAGE(INDEX($C$870:$C1270,402-MA_SHORT):$C1270),"")</f>
        <v/>
      </c>
      <c r="J1270" s="37" t="str">
        <f aca="false">IF(AND(ISNUMBER($G1270),$G1270&gt;=MA_MED),AVERAGE(INDEX($C$870:$C1270,402-MA_MED):$C1270),"")</f>
        <v/>
      </c>
      <c r="K1270" s="37" t="str">
        <f aca="false">IF(AND(ISNUMBER($G1270),$G1270&gt;=MA_LONG2),AVERAGE(INDEX($C$870:$C1270,402-MA_LONG2):$C1270),"")</f>
        <v/>
      </c>
      <c r="L1270" s="38" t="str">
        <f aca="false">IF(AND(ISNUMBER($G1270),$G1270&gt;=21),STDEV(INDEX($H$1210:$H1270,62-20):$H1270)*SQRT(245),"")</f>
        <v/>
      </c>
      <c r="M1270" s="37" t="str">
        <f aca="false">IF(AND(ISNUMBER($G1270),$G1270&gt;=60),MAX(INDEX($D$1070:$D1270,202-60):$D1270),"")</f>
        <v/>
      </c>
      <c r="N1270" s="37" t="str">
        <f aca="false">IF(AND(ISNUMBER($G1270),$G1270&gt;=60),MIN(INDEX($E$1070:$E1270,202-60):$E1270),"")</f>
        <v/>
      </c>
      <c r="O1270" s="38" t="str">
        <f aca="false">IF(OR(NOT(ISNUMBER($C1270)),NOT(ISNUMBER($M1270)),$M1270=0),"",$C1270/$M1270-1)</f>
        <v/>
      </c>
    </row>
    <row r="1271" customFormat="false" ht="15" hidden="false" customHeight="true" outlineLevel="0" collapsed="false">
      <c r="A1271" s="39"/>
      <c r="B1271" s="40"/>
      <c r="C1271" s="41"/>
      <c r="D1271" s="40"/>
      <c r="E1271" s="40"/>
      <c r="F1271" s="40"/>
      <c r="G1271" s="35" t="str">
        <f aca="false">IF($A1271="","",IF(ISNUMBER($G1270),$G1270+1,1))</f>
        <v/>
      </c>
      <c r="H1271" s="36" t="str">
        <f aca="false">IF(OR(NOT(ISNUMBER($G1271)),$G1271&lt;2,NOT(ISNUMBER($C1270)),$C1270=0),"",$C1271/$C1270-1)</f>
        <v/>
      </c>
      <c r="I1271" s="37" t="str">
        <f aca="false">IF(AND(ISNUMBER($G1271),$G1271&gt;=MA_SHORT),AVERAGE(INDEX($C$871:$C1271,402-MA_SHORT):$C1271),"")</f>
        <v/>
      </c>
      <c r="J1271" s="37" t="str">
        <f aca="false">IF(AND(ISNUMBER($G1271),$G1271&gt;=MA_MED),AVERAGE(INDEX($C$871:$C1271,402-MA_MED):$C1271),"")</f>
        <v/>
      </c>
      <c r="K1271" s="37" t="str">
        <f aca="false">IF(AND(ISNUMBER($G1271),$G1271&gt;=MA_LONG2),AVERAGE(INDEX($C$871:$C1271,402-MA_LONG2):$C1271),"")</f>
        <v/>
      </c>
      <c r="L1271" s="38" t="str">
        <f aca="false">IF(AND(ISNUMBER($G1271),$G1271&gt;=21),STDEV(INDEX($H$1211:$H1271,62-20):$H1271)*SQRT(245),"")</f>
        <v/>
      </c>
      <c r="M1271" s="37" t="str">
        <f aca="false">IF(AND(ISNUMBER($G1271),$G1271&gt;=60),MAX(INDEX($D$1071:$D1271,202-60):$D1271),"")</f>
        <v/>
      </c>
      <c r="N1271" s="37" t="str">
        <f aca="false">IF(AND(ISNUMBER($G1271),$G1271&gt;=60),MIN(INDEX($E$1071:$E1271,202-60):$E1271),"")</f>
        <v/>
      </c>
      <c r="O1271" s="38" t="str">
        <f aca="false">IF(OR(NOT(ISNUMBER($C1271)),NOT(ISNUMBER($M1271)),$M1271=0),"",$C1271/$M1271-1)</f>
        <v/>
      </c>
    </row>
    <row r="1272" customFormat="false" ht="15" hidden="false" customHeight="true" outlineLevel="0" collapsed="false">
      <c r="A1272" s="39"/>
      <c r="B1272" s="40"/>
      <c r="C1272" s="41"/>
      <c r="D1272" s="40"/>
      <c r="E1272" s="40"/>
      <c r="F1272" s="40"/>
      <c r="G1272" s="35" t="str">
        <f aca="false">IF($A1272="","",IF(ISNUMBER($G1271),$G1271+1,1))</f>
        <v/>
      </c>
      <c r="H1272" s="36" t="str">
        <f aca="false">IF(OR(NOT(ISNUMBER($G1272)),$G1272&lt;2,NOT(ISNUMBER($C1271)),$C1271=0),"",$C1272/$C1271-1)</f>
        <v/>
      </c>
      <c r="I1272" s="37" t="str">
        <f aca="false">IF(AND(ISNUMBER($G1272),$G1272&gt;=MA_SHORT),AVERAGE(INDEX($C$872:$C1272,402-MA_SHORT):$C1272),"")</f>
        <v/>
      </c>
      <c r="J1272" s="37" t="str">
        <f aca="false">IF(AND(ISNUMBER($G1272),$G1272&gt;=MA_MED),AVERAGE(INDEX($C$872:$C1272,402-MA_MED):$C1272),"")</f>
        <v/>
      </c>
      <c r="K1272" s="37" t="str">
        <f aca="false">IF(AND(ISNUMBER($G1272),$G1272&gt;=MA_LONG2),AVERAGE(INDEX($C$872:$C1272,402-MA_LONG2):$C1272),"")</f>
        <v/>
      </c>
      <c r="L1272" s="38" t="str">
        <f aca="false">IF(AND(ISNUMBER($G1272),$G1272&gt;=21),STDEV(INDEX($H$1212:$H1272,62-20):$H1272)*SQRT(245),"")</f>
        <v/>
      </c>
      <c r="M1272" s="37" t="str">
        <f aca="false">IF(AND(ISNUMBER($G1272),$G1272&gt;=60),MAX(INDEX($D$1072:$D1272,202-60):$D1272),"")</f>
        <v/>
      </c>
      <c r="N1272" s="37" t="str">
        <f aca="false">IF(AND(ISNUMBER($G1272),$G1272&gt;=60),MIN(INDEX($E$1072:$E1272,202-60):$E1272),"")</f>
        <v/>
      </c>
      <c r="O1272" s="38" t="str">
        <f aca="false">IF(OR(NOT(ISNUMBER($C1272)),NOT(ISNUMBER($M1272)),$M1272=0),"",$C1272/$M1272-1)</f>
        <v/>
      </c>
    </row>
    <row r="1273" customFormat="false" ht="15" hidden="false" customHeight="true" outlineLevel="0" collapsed="false">
      <c r="A1273" s="39"/>
      <c r="B1273" s="40"/>
      <c r="C1273" s="41"/>
      <c r="D1273" s="40"/>
      <c r="E1273" s="40"/>
      <c r="F1273" s="40"/>
      <c r="G1273" s="35" t="str">
        <f aca="false">IF($A1273="","",IF(ISNUMBER($G1272),$G1272+1,1))</f>
        <v/>
      </c>
      <c r="H1273" s="36" t="str">
        <f aca="false">IF(OR(NOT(ISNUMBER($G1273)),$G1273&lt;2,NOT(ISNUMBER($C1272)),$C1272=0),"",$C1273/$C1272-1)</f>
        <v/>
      </c>
      <c r="I1273" s="37" t="str">
        <f aca="false">IF(AND(ISNUMBER($G1273),$G1273&gt;=MA_SHORT),AVERAGE(INDEX($C$873:$C1273,402-MA_SHORT):$C1273),"")</f>
        <v/>
      </c>
      <c r="J1273" s="37" t="str">
        <f aca="false">IF(AND(ISNUMBER($G1273),$G1273&gt;=MA_MED),AVERAGE(INDEX($C$873:$C1273,402-MA_MED):$C1273),"")</f>
        <v/>
      </c>
      <c r="K1273" s="37" t="str">
        <f aca="false">IF(AND(ISNUMBER($G1273),$G1273&gt;=MA_LONG2),AVERAGE(INDEX($C$873:$C1273,402-MA_LONG2):$C1273),"")</f>
        <v/>
      </c>
      <c r="L1273" s="38" t="str">
        <f aca="false">IF(AND(ISNUMBER($G1273),$G1273&gt;=21),STDEV(INDEX($H$1213:$H1273,62-20):$H1273)*SQRT(245),"")</f>
        <v/>
      </c>
      <c r="M1273" s="37" t="str">
        <f aca="false">IF(AND(ISNUMBER($G1273),$G1273&gt;=60),MAX(INDEX($D$1073:$D1273,202-60):$D1273),"")</f>
        <v/>
      </c>
      <c r="N1273" s="37" t="str">
        <f aca="false">IF(AND(ISNUMBER($G1273),$G1273&gt;=60),MIN(INDEX($E$1073:$E1273,202-60):$E1273),"")</f>
        <v/>
      </c>
      <c r="O1273" s="38" t="str">
        <f aca="false">IF(OR(NOT(ISNUMBER($C1273)),NOT(ISNUMBER($M1273)),$M1273=0),"",$C1273/$M1273-1)</f>
        <v/>
      </c>
    </row>
    <row r="1274" customFormat="false" ht="15" hidden="false" customHeight="true" outlineLevel="0" collapsed="false">
      <c r="A1274" s="39"/>
      <c r="B1274" s="40"/>
      <c r="C1274" s="41"/>
      <c r="D1274" s="40"/>
      <c r="E1274" s="40"/>
      <c r="F1274" s="40"/>
      <c r="G1274" s="35" t="str">
        <f aca="false">IF($A1274="","",IF(ISNUMBER($G1273),$G1273+1,1))</f>
        <v/>
      </c>
      <c r="H1274" s="36" t="str">
        <f aca="false">IF(OR(NOT(ISNUMBER($G1274)),$G1274&lt;2,NOT(ISNUMBER($C1273)),$C1273=0),"",$C1274/$C1273-1)</f>
        <v/>
      </c>
      <c r="I1274" s="37" t="str">
        <f aca="false">IF(AND(ISNUMBER($G1274),$G1274&gt;=MA_SHORT),AVERAGE(INDEX($C$874:$C1274,402-MA_SHORT):$C1274),"")</f>
        <v/>
      </c>
      <c r="J1274" s="37" t="str">
        <f aca="false">IF(AND(ISNUMBER($G1274),$G1274&gt;=MA_MED),AVERAGE(INDEX($C$874:$C1274,402-MA_MED):$C1274),"")</f>
        <v/>
      </c>
      <c r="K1274" s="37" t="str">
        <f aca="false">IF(AND(ISNUMBER($G1274),$G1274&gt;=MA_LONG2),AVERAGE(INDEX($C$874:$C1274,402-MA_LONG2):$C1274),"")</f>
        <v/>
      </c>
      <c r="L1274" s="38" t="str">
        <f aca="false">IF(AND(ISNUMBER($G1274),$G1274&gt;=21),STDEV(INDEX($H$1214:$H1274,62-20):$H1274)*SQRT(245),"")</f>
        <v/>
      </c>
      <c r="M1274" s="37" t="str">
        <f aca="false">IF(AND(ISNUMBER($G1274),$G1274&gt;=60),MAX(INDEX($D$1074:$D1274,202-60):$D1274),"")</f>
        <v/>
      </c>
      <c r="N1274" s="37" t="str">
        <f aca="false">IF(AND(ISNUMBER($G1274),$G1274&gt;=60),MIN(INDEX($E$1074:$E1274,202-60):$E1274),"")</f>
        <v/>
      </c>
      <c r="O1274" s="38" t="str">
        <f aca="false">IF(OR(NOT(ISNUMBER($C1274)),NOT(ISNUMBER($M1274)),$M1274=0),"",$C1274/$M1274-1)</f>
        <v/>
      </c>
    </row>
    <row r="1275" customFormat="false" ht="15" hidden="false" customHeight="true" outlineLevel="0" collapsed="false">
      <c r="A1275" s="39"/>
      <c r="B1275" s="40"/>
      <c r="C1275" s="41"/>
      <c r="D1275" s="40"/>
      <c r="E1275" s="40"/>
      <c r="F1275" s="40"/>
      <c r="G1275" s="35" t="str">
        <f aca="false">IF($A1275="","",IF(ISNUMBER($G1274),$G1274+1,1))</f>
        <v/>
      </c>
      <c r="H1275" s="36" t="str">
        <f aca="false">IF(OR(NOT(ISNUMBER($G1275)),$G1275&lt;2,NOT(ISNUMBER($C1274)),$C1274=0),"",$C1275/$C1274-1)</f>
        <v/>
      </c>
      <c r="I1275" s="37" t="str">
        <f aca="false">IF(AND(ISNUMBER($G1275),$G1275&gt;=MA_SHORT),AVERAGE(INDEX($C$875:$C1275,402-MA_SHORT):$C1275),"")</f>
        <v/>
      </c>
      <c r="J1275" s="37" t="str">
        <f aca="false">IF(AND(ISNUMBER($G1275),$G1275&gt;=MA_MED),AVERAGE(INDEX($C$875:$C1275,402-MA_MED):$C1275),"")</f>
        <v/>
      </c>
      <c r="K1275" s="37" t="str">
        <f aca="false">IF(AND(ISNUMBER($G1275),$G1275&gt;=MA_LONG2),AVERAGE(INDEX($C$875:$C1275,402-MA_LONG2):$C1275),"")</f>
        <v/>
      </c>
      <c r="L1275" s="38" t="str">
        <f aca="false">IF(AND(ISNUMBER($G1275),$G1275&gt;=21),STDEV(INDEX($H$1215:$H1275,62-20):$H1275)*SQRT(245),"")</f>
        <v/>
      </c>
      <c r="M1275" s="37" t="str">
        <f aca="false">IF(AND(ISNUMBER($G1275),$G1275&gt;=60),MAX(INDEX($D$1075:$D1275,202-60):$D1275),"")</f>
        <v/>
      </c>
      <c r="N1275" s="37" t="str">
        <f aca="false">IF(AND(ISNUMBER($G1275),$G1275&gt;=60),MIN(INDEX($E$1075:$E1275,202-60):$E1275),"")</f>
        <v/>
      </c>
      <c r="O1275" s="38" t="str">
        <f aca="false">IF(OR(NOT(ISNUMBER($C1275)),NOT(ISNUMBER($M1275)),$M1275=0),"",$C1275/$M1275-1)</f>
        <v/>
      </c>
    </row>
    <row r="1276" customFormat="false" ht="15" hidden="false" customHeight="true" outlineLevel="0" collapsed="false">
      <c r="A1276" s="39"/>
      <c r="B1276" s="40"/>
      <c r="C1276" s="41"/>
      <c r="D1276" s="40"/>
      <c r="E1276" s="40"/>
      <c r="F1276" s="40"/>
      <c r="G1276" s="35" t="str">
        <f aca="false">IF($A1276="","",IF(ISNUMBER($G1275),$G1275+1,1))</f>
        <v/>
      </c>
      <c r="H1276" s="36" t="str">
        <f aca="false">IF(OR(NOT(ISNUMBER($G1276)),$G1276&lt;2,NOT(ISNUMBER($C1275)),$C1275=0),"",$C1276/$C1275-1)</f>
        <v/>
      </c>
      <c r="I1276" s="37" t="str">
        <f aca="false">IF(AND(ISNUMBER($G1276),$G1276&gt;=MA_SHORT),AVERAGE(INDEX($C$876:$C1276,402-MA_SHORT):$C1276),"")</f>
        <v/>
      </c>
      <c r="J1276" s="37" t="str">
        <f aca="false">IF(AND(ISNUMBER($G1276),$G1276&gt;=MA_MED),AVERAGE(INDEX($C$876:$C1276,402-MA_MED):$C1276),"")</f>
        <v/>
      </c>
      <c r="K1276" s="37" t="str">
        <f aca="false">IF(AND(ISNUMBER($G1276),$G1276&gt;=MA_LONG2),AVERAGE(INDEX($C$876:$C1276,402-MA_LONG2):$C1276),"")</f>
        <v/>
      </c>
      <c r="L1276" s="38" t="str">
        <f aca="false">IF(AND(ISNUMBER($G1276),$G1276&gt;=21),STDEV(INDEX($H$1216:$H1276,62-20):$H1276)*SQRT(245),"")</f>
        <v/>
      </c>
      <c r="M1276" s="37" t="str">
        <f aca="false">IF(AND(ISNUMBER($G1276),$G1276&gt;=60),MAX(INDEX($D$1076:$D1276,202-60):$D1276),"")</f>
        <v/>
      </c>
      <c r="N1276" s="37" t="str">
        <f aca="false">IF(AND(ISNUMBER($G1276),$G1276&gt;=60),MIN(INDEX($E$1076:$E1276,202-60):$E1276),"")</f>
        <v/>
      </c>
      <c r="O1276" s="38" t="str">
        <f aca="false">IF(OR(NOT(ISNUMBER($C1276)),NOT(ISNUMBER($M1276)),$M1276=0),"",$C1276/$M1276-1)</f>
        <v/>
      </c>
    </row>
    <row r="1277" customFormat="false" ht="15" hidden="false" customHeight="true" outlineLevel="0" collapsed="false">
      <c r="A1277" s="39"/>
      <c r="B1277" s="40"/>
      <c r="C1277" s="41"/>
      <c r="D1277" s="40"/>
      <c r="E1277" s="40"/>
      <c r="F1277" s="40"/>
      <c r="G1277" s="35" t="str">
        <f aca="false">IF($A1277="","",IF(ISNUMBER($G1276),$G1276+1,1))</f>
        <v/>
      </c>
      <c r="H1277" s="36" t="str">
        <f aca="false">IF(OR(NOT(ISNUMBER($G1277)),$G1277&lt;2,NOT(ISNUMBER($C1276)),$C1276=0),"",$C1277/$C1276-1)</f>
        <v/>
      </c>
      <c r="I1277" s="37" t="str">
        <f aca="false">IF(AND(ISNUMBER($G1277),$G1277&gt;=MA_SHORT),AVERAGE(INDEX($C$877:$C1277,402-MA_SHORT):$C1277),"")</f>
        <v/>
      </c>
      <c r="J1277" s="37" t="str">
        <f aca="false">IF(AND(ISNUMBER($G1277),$G1277&gt;=MA_MED),AVERAGE(INDEX($C$877:$C1277,402-MA_MED):$C1277),"")</f>
        <v/>
      </c>
      <c r="K1277" s="37" t="str">
        <f aca="false">IF(AND(ISNUMBER($G1277),$G1277&gt;=MA_LONG2),AVERAGE(INDEX($C$877:$C1277,402-MA_LONG2):$C1277),"")</f>
        <v/>
      </c>
      <c r="L1277" s="38" t="str">
        <f aca="false">IF(AND(ISNUMBER($G1277),$G1277&gt;=21),STDEV(INDEX($H$1217:$H1277,62-20):$H1277)*SQRT(245),"")</f>
        <v/>
      </c>
      <c r="M1277" s="37" t="str">
        <f aca="false">IF(AND(ISNUMBER($G1277),$G1277&gt;=60),MAX(INDEX($D$1077:$D1277,202-60):$D1277),"")</f>
        <v/>
      </c>
      <c r="N1277" s="37" t="str">
        <f aca="false">IF(AND(ISNUMBER($G1277),$G1277&gt;=60),MIN(INDEX($E$1077:$E1277,202-60):$E1277),"")</f>
        <v/>
      </c>
      <c r="O1277" s="38" t="str">
        <f aca="false">IF(OR(NOT(ISNUMBER($C1277)),NOT(ISNUMBER($M1277)),$M1277=0),"",$C1277/$M1277-1)</f>
        <v/>
      </c>
    </row>
    <row r="1278" customFormat="false" ht="15" hidden="false" customHeight="true" outlineLevel="0" collapsed="false">
      <c r="A1278" s="39"/>
      <c r="B1278" s="40"/>
      <c r="C1278" s="41"/>
      <c r="D1278" s="40"/>
      <c r="E1278" s="40"/>
      <c r="F1278" s="40"/>
      <c r="G1278" s="35" t="str">
        <f aca="false">IF($A1278="","",IF(ISNUMBER($G1277),$G1277+1,1))</f>
        <v/>
      </c>
      <c r="H1278" s="36" t="str">
        <f aca="false">IF(OR(NOT(ISNUMBER($G1278)),$G1278&lt;2,NOT(ISNUMBER($C1277)),$C1277=0),"",$C1278/$C1277-1)</f>
        <v/>
      </c>
      <c r="I1278" s="37" t="str">
        <f aca="false">IF(AND(ISNUMBER($G1278),$G1278&gt;=MA_SHORT),AVERAGE(INDEX($C$878:$C1278,402-MA_SHORT):$C1278),"")</f>
        <v/>
      </c>
      <c r="J1278" s="37" t="str">
        <f aca="false">IF(AND(ISNUMBER($G1278),$G1278&gt;=MA_MED),AVERAGE(INDEX($C$878:$C1278,402-MA_MED):$C1278),"")</f>
        <v/>
      </c>
      <c r="K1278" s="37" t="str">
        <f aca="false">IF(AND(ISNUMBER($G1278),$G1278&gt;=MA_LONG2),AVERAGE(INDEX($C$878:$C1278,402-MA_LONG2):$C1278),"")</f>
        <v/>
      </c>
      <c r="L1278" s="38" t="str">
        <f aca="false">IF(AND(ISNUMBER($G1278),$G1278&gt;=21),STDEV(INDEX($H$1218:$H1278,62-20):$H1278)*SQRT(245),"")</f>
        <v/>
      </c>
      <c r="M1278" s="37" t="str">
        <f aca="false">IF(AND(ISNUMBER($G1278),$G1278&gt;=60),MAX(INDEX($D$1078:$D1278,202-60):$D1278),"")</f>
        <v/>
      </c>
      <c r="N1278" s="37" t="str">
        <f aca="false">IF(AND(ISNUMBER($G1278),$G1278&gt;=60),MIN(INDEX($E$1078:$E1278,202-60):$E1278),"")</f>
        <v/>
      </c>
      <c r="O1278" s="38" t="str">
        <f aca="false">IF(OR(NOT(ISNUMBER($C1278)),NOT(ISNUMBER($M1278)),$M1278=0),"",$C1278/$M1278-1)</f>
        <v/>
      </c>
    </row>
    <row r="1279" customFormat="false" ht="15" hidden="false" customHeight="true" outlineLevel="0" collapsed="false">
      <c r="A1279" s="39"/>
      <c r="B1279" s="40"/>
      <c r="C1279" s="41"/>
      <c r="D1279" s="40"/>
      <c r="E1279" s="40"/>
      <c r="F1279" s="40"/>
      <c r="G1279" s="35" t="str">
        <f aca="false">IF($A1279="","",IF(ISNUMBER($G1278),$G1278+1,1))</f>
        <v/>
      </c>
      <c r="H1279" s="36" t="str">
        <f aca="false">IF(OR(NOT(ISNUMBER($G1279)),$G1279&lt;2,NOT(ISNUMBER($C1278)),$C1278=0),"",$C1279/$C1278-1)</f>
        <v/>
      </c>
      <c r="I1279" s="37" t="str">
        <f aca="false">IF(AND(ISNUMBER($G1279),$G1279&gt;=MA_SHORT),AVERAGE(INDEX($C$879:$C1279,402-MA_SHORT):$C1279),"")</f>
        <v/>
      </c>
      <c r="J1279" s="37" t="str">
        <f aca="false">IF(AND(ISNUMBER($G1279),$G1279&gt;=MA_MED),AVERAGE(INDEX($C$879:$C1279,402-MA_MED):$C1279),"")</f>
        <v/>
      </c>
      <c r="K1279" s="37" t="str">
        <f aca="false">IF(AND(ISNUMBER($G1279),$G1279&gt;=MA_LONG2),AVERAGE(INDEX($C$879:$C1279,402-MA_LONG2):$C1279),"")</f>
        <v/>
      </c>
      <c r="L1279" s="38" t="str">
        <f aca="false">IF(AND(ISNUMBER($G1279),$G1279&gt;=21),STDEV(INDEX($H$1219:$H1279,62-20):$H1279)*SQRT(245),"")</f>
        <v/>
      </c>
      <c r="M1279" s="37" t="str">
        <f aca="false">IF(AND(ISNUMBER($G1279),$G1279&gt;=60),MAX(INDEX($D$1079:$D1279,202-60):$D1279),"")</f>
        <v/>
      </c>
      <c r="N1279" s="37" t="str">
        <f aca="false">IF(AND(ISNUMBER($G1279),$G1279&gt;=60),MIN(INDEX($E$1079:$E1279,202-60):$E1279),"")</f>
        <v/>
      </c>
      <c r="O1279" s="38" t="str">
        <f aca="false">IF(OR(NOT(ISNUMBER($C1279)),NOT(ISNUMBER($M1279)),$M1279=0),"",$C1279/$M1279-1)</f>
        <v/>
      </c>
    </row>
    <row r="1280" customFormat="false" ht="15" hidden="false" customHeight="true" outlineLevel="0" collapsed="false">
      <c r="A1280" s="39"/>
      <c r="B1280" s="40"/>
      <c r="C1280" s="41"/>
      <c r="D1280" s="40"/>
      <c r="E1280" s="40"/>
      <c r="F1280" s="40"/>
      <c r="G1280" s="35" t="str">
        <f aca="false">IF($A1280="","",IF(ISNUMBER($G1279),$G1279+1,1))</f>
        <v/>
      </c>
      <c r="H1280" s="36" t="str">
        <f aca="false">IF(OR(NOT(ISNUMBER($G1280)),$G1280&lt;2,NOT(ISNUMBER($C1279)),$C1279=0),"",$C1280/$C1279-1)</f>
        <v/>
      </c>
      <c r="I1280" s="37" t="str">
        <f aca="false">IF(AND(ISNUMBER($G1280),$G1280&gt;=MA_SHORT),AVERAGE(INDEX($C$880:$C1280,402-MA_SHORT):$C1280),"")</f>
        <v/>
      </c>
      <c r="J1280" s="37" t="str">
        <f aca="false">IF(AND(ISNUMBER($G1280),$G1280&gt;=MA_MED),AVERAGE(INDEX($C$880:$C1280,402-MA_MED):$C1280),"")</f>
        <v/>
      </c>
      <c r="K1280" s="37" t="str">
        <f aca="false">IF(AND(ISNUMBER($G1280),$G1280&gt;=MA_LONG2),AVERAGE(INDEX($C$880:$C1280,402-MA_LONG2):$C1280),"")</f>
        <v/>
      </c>
      <c r="L1280" s="38" t="str">
        <f aca="false">IF(AND(ISNUMBER($G1280),$G1280&gt;=21),STDEV(INDEX($H$1220:$H1280,62-20):$H1280)*SQRT(245),"")</f>
        <v/>
      </c>
      <c r="M1280" s="37" t="str">
        <f aca="false">IF(AND(ISNUMBER($G1280),$G1280&gt;=60),MAX(INDEX($D$1080:$D1280,202-60):$D1280),"")</f>
        <v/>
      </c>
      <c r="N1280" s="37" t="str">
        <f aca="false">IF(AND(ISNUMBER($G1280),$G1280&gt;=60),MIN(INDEX($E$1080:$E1280,202-60):$E1280),"")</f>
        <v/>
      </c>
      <c r="O1280" s="38" t="str">
        <f aca="false">IF(OR(NOT(ISNUMBER($C1280)),NOT(ISNUMBER($M1280)),$M1280=0),"",$C1280/$M1280-1)</f>
        <v/>
      </c>
    </row>
    <row r="1281" customFormat="false" ht="15" hidden="false" customHeight="true" outlineLevel="0" collapsed="false">
      <c r="A1281" s="39"/>
      <c r="B1281" s="40"/>
      <c r="C1281" s="41"/>
      <c r="D1281" s="40"/>
      <c r="E1281" s="40"/>
      <c r="F1281" s="40"/>
      <c r="G1281" s="35" t="str">
        <f aca="false">IF($A1281="","",IF(ISNUMBER($G1280),$G1280+1,1))</f>
        <v/>
      </c>
      <c r="H1281" s="36" t="str">
        <f aca="false">IF(OR(NOT(ISNUMBER($G1281)),$G1281&lt;2,NOT(ISNUMBER($C1280)),$C1280=0),"",$C1281/$C1280-1)</f>
        <v/>
      </c>
      <c r="I1281" s="37" t="str">
        <f aca="false">IF(AND(ISNUMBER($G1281),$G1281&gt;=MA_SHORT),AVERAGE(INDEX($C$881:$C1281,402-MA_SHORT):$C1281),"")</f>
        <v/>
      </c>
      <c r="J1281" s="37" t="str">
        <f aca="false">IF(AND(ISNUMBER($G1281),$G1281&gt;=MA_MED),AVERAGE(INDEX($C$881:$C1281,402-MA_MED):$C1281),"")</f>
        <v/>
      </c>
      <c r="K1281" s="37" t="str">
        <f aca="false">IF(AND(ISNUMBER($G1281),$G1281&gt;=MA_LONG2),AVERAGE(INDEX($C$881:$C1281,402-MA_LONG2):$C1281),"")</f>
        <v/>
      </c>
      <c r="L1281" s="38" t="str">
        <f aca="false">IF(AND(ISNUMBER($G1281),$G1281&gt;=21),STDEV(INDEX($H$1221:$H1281,62-20):$H1281)*SQRT(245),"")</f>
        <v/>
      </c>
      <c r="M1281" s="37" t="str">
        <f aca="false">IF(AND(ISNUMBER($G1281),$G1281&gt;=60),MAX(INDEX($D$1081:$D1281,202-60):$D1281),"")</f>
        <v/>
      </c>
      <c r="N1281" s="37" t="str">
        <f aca="false">IF(AND(ISNUMBER($G1281),$G1281&gt;=60),MIN(INDEX($E$1081:$E1281,202-60):$E1281),"")</f>
        <v/>
      </c>
      <c r="O1281" s="38" t="str">
        <f aca="false">IF(OR(NOT(ISNUMBER($C1281)),NOT(ISNUMBER($M1281)),$M1281=0),"",$C1281/$M1281-1)</f>
        <v/>
      </c>
    </row>
    <row r="1282" customFormat="false" ht="15" hidden="false" customHeight="true" outlineLevel="0" collapsed="false">
      <c r="A1282" s="39"/>
      <c r="B1282" s="40"/>
      <c r="C1282" s="41"/>
      <c r="D1282" s="40"/>
      <c r="E1282" s="40"/>
      <c r="F1282" s="40"/>
      <c r="G1282" s="35" t="str">
        <f aca="false">IF($A1282="","",IF(ISNUMBER($G1281),$G1281+1,1))</f>
        <v/>
      </c>
      <c r="H1282" s="36" t="str">
        <f aca="false">IF(OR(NOT(ISNUMBER($G1282)),$G1282&lt;2,NOT(ISNUMBER($C1281)),$C1281=0),"",$C1282/$C1281-1)</f>
        <v/>
      </c>
      <c r="I1282" s="37" t="str">
        <f aca="false">IF(AND(ISNUMBER($G1282),$G1282&gt;=MA_SHORT),AVERAGE(INDEX($C$882:$C1282,402-MA_SHORT):$C1282),"")</f>
        <v/>
      </c>
      <c r="J1282" s="37" t="str">
        <f aca="false">IF(AND(ISNUMBER($G1282),$G1282&gt;=MA_MED),AVERAGE(INDEX($C$882:$C1282,402-MA_MED):$C1282),"")</f>
        <v/>
      </c>
      <c r="K1282" s="37" t="str">
        <f aca="false">IF(AND(ISNUMBER($G1282),$G1282&gt;=MA_LONG2),AVERAGE(INDEX($C$882:$C1282,402-MA_LONG2):$C1282),"")</f>
        <v/>
      </c>
      <c r="L1282" s="38" t="str">
        <f aca="false">IF(AND(ISNUMBER($G1282),$G1282&gt;=21),STDEV(INDEX($H$1222:$H1282,62-20):$H1282)*SQRT(245),"")</f>
        <v/>
      </c>
      <c r="M1282" s="37" t="str">
        <f aca="false">IF(AND(ISNUMBER($G1282),$G1282&gt;=60),MAX(INDEX($D$1082:$D1282,202-60):$D1282),"")</f>
        <v/>
      </c>
      <c r="N1282" s="37" t="str">
        <f aca="false">IF(AND(ISNUMBER($G1282),$G1282&gt;=60),MIN(INDEX($E$1082:$E1282,202-60):$E1282),"")</f>
        <v/>
      </c>
      <c r="O1282" s="38" t="str">
        <f aca="false">IF(OR(NOT(ISNUMBER($C1282)),NOT(ISNUMBER($M1282)),$M1282=0),"",$C1282/$M1282-1)</f>
        <v/>
      </c>
    </row>
    <row r="1283" customFormat="false" ht="15" hidden="false" customHeight="true" outlineLevel="0" collapsed="false">
      <c r="A1283" s="39"/>
      <c r="B1283" s="40"/>
      <c r="C1283" s="41"/>
      <c r="D1283" s="40"/>
      <c r="E1283" s="40"/>
      <c r="F1283" s="40"/>
      <c r="G1283" s="35" t="str">
        <f aca="false">IF($A1283="","",IF(ISNUMBER($G1282),$G1282+1,1))</f>
        <v/>
      </c>
      <c r="H1283" s="36" t="str">
        <f aca="false">IF(OR(NOT(ISNUMBER($G1283)),$G1283&lt;2,NOT(ISNUMBER($C1282)),$C1282=0),"",$C1283/$C1282-1)</f>
        <v/>
      </c>
      <c r="I1283" s="37" t="str">
        <f aca="false">IF(AND(ISNUMBER($G1283),$G1283&gt;=MA_SHORT),AVERAGE(INDEX($C$883:$C1283,402-MA_SHORT):$C1283),"")</f>
        <v/>
      </c>
      <c r="J1283" s="37" t="str">
        <f aca="false">IF(AND(ISNUMBER($G1283),$G1283&gt;=MA_MED),AVERAGE(INDEX($C$883:$C1283,402-MA_MED):$C1283),"")</f>
        <v/>
      </c>
      <c r="K1283" s="37" t="str">
        <f aca="false">IF(AND(ISNUMBER($G1283),$G1283&gt;=MA_LONG2),AVERAGE(INDEX($C$883:$C1283,402-MA_LONG2):$C1283),"")</f>
        <v/>
      </c>
      <c r="L1283" s="38" t="str">
        <f aca="false">IF(AND(ISNUMBER($G1283),$G1283&gt;=21),STDEV(INDEX($H$1223:$H1283,62-20):$H1283)*SQRT(245),"")</f>
        <v/>
      </c>
      <c r="M1283" s="37" t="str">
        <f aca="false">IF(AND(ISNUMBER($G1283),$G1283&gt;=60),MAX(INDEX($D$1083:$D1283,202-60):$D1283),"")</f>
        <v/>
      </c>
      <c r="N1283" s="37" t="str">
        <f aca="false">IF(AND(ISNUMBER($G1283),$G1283&gt;=60),MIN(INDEX($E$1083:$E1283,202-60):$E1283),"")</f>
        <v/>
      </c>
      <c r="O1283" s="38" t="str">
        <f aca="false">IF(OR(NOT(ISNUMBER($C1283)),NOT(ISNUMBER($M1283)),$M1283=0),"",$C1283/$M1283-1)</f>
        <v/>
      </c>
    </row>
    <row r="1284" customFormat="false" ht="15" hidden="false" customHeight="true" outlineLevel="0" collapsed="false">
      <c r="A1284" s="39"/>
      <c r="B1284" s="40"/>
      <c r="C1284" s="41"/>
      <c r="D1284" s="40"/>
      <c r="E1284" s="40"/>
      <c r="F1284" s="40"/>
      <c r="G1284" s="35" t="str">
        <f aca="false">IF($A1284="","",IF(ISNUMBER($G1283),$G1283+1,1))</f>
        <v/>
      </c>
      <c r="H1284" s="36" t="str">
        <f aca="false">IF(OR(NOT(ISNUMBER($G1284)),$G1284&lt;2,NOT(ISNUMBER($C1283)),$C1283=0),"",$C1284/$C1283-1)</f>
        <v/>
      </c>
      <c r="I1284" s="37" t="str">
        <f aca="false">IF(AND(ISNUMBER($G1284),$G1284&gt;=MA_SHORT),AVERAGE(INDEX($C$884:$C1284,402-MA_SHORT):$C1284),"")</f>
        <v/>
      </c>
      <c r="J1284" s="37" t="str">
        <f aca="false">IF(AND(ISNUMBER($G1284),$G1284&gt;=MA_MED),AVERAGE(INDEX($C$884:$C1284,402-MA_MED):$C1284),"")</f>
        <v/>
      </c>
      <c r="K1284" s="37" t="str">
        <f aca="false">IF(AND(ISNUMBER($G1284),$G1284&gt;=MA_LONG2),AVERAGE(INDEX($C$884:$C1284,402-MA_LONG2):$C1284),"")</f>
        <v/>
      </c>
      <c r="L1284" s="38" t="str">
        <f aca="false">IF(AND(ISNUMBER($G1284),$G1284&gt;=21),STDEV(INDEX($H$1224:$H1284,62-20):$H1284)*SQRT(245),"")</f>
        <v/>
      </c>
      <c r="M1284" s="37" t="str">
        <f aca="false">IF(AND(ISNUMBER($G1284),$G1284&gt;=60),MAX(INDEX($D$1084:$D1284,202-60):$D1284),"")</f>
        <v/>
      </c>
      <c r="N1284" s="37" t="str">
        <f aca="false">IF(AND(ISNUMBER($G1284),$G1284&gt;=60),MIN(INDEX($E$1084:$E1284,202-60):$E1284),"")</f>
        <v/>
      </c>
      <c r="O1284" s="38" t="str">
        <f aca="false">IF(OR(NOT(ISNUMBER($C1284)),NOT(ISNUMBER($M1284)),$M1284=0),"",$C1284/$M1284-1)</f>
        <v/>
      </c>
    </row>
    <row r="1285" customFormat="false" ht="15" hidden="false" customHeight="true" outlineLevel="0" collapsed="false">
      <c r="A1285" s="39"/>
      <c r="B1285" s="40"/>
      <c r="C1285" s="41"/>
      <c r="D1285" s="40"/>
      <c r="E1285" s="40"/>
      <c r="F1285" s="40"/>
      <c r="G1285" s="35" t="str">
        <f aca="false">IF($A1285="","",IF(ISNUMBER($G1284),$G1284+1,1))</f>
        <v/>
      </c>
      <c r="H1285" s="36" t="str">
        <f aca="false">IF(OR(NOT(ISNUMBER($G1285)),$G1285&lt;2,NOT(ISNUMBER($C1284)),$C1284=0),"",$C1285/$C1284-1)</f>
        <v/>
      </c>
      <c r="I1285" s="37" t="str">
        <f aca="false">IF(AND(ISNUMBER($G1285),$G1285&gt;=MA_SHORT),AVERAGE(INDEX($C$885:$C1285,402-MA_SHORT):$C1285),"")</f>
        <v/>
      </c>
      <c r="J1285" s="37" t="str">
        <f aca="false">IF(AND(ISNUMBER($G1285),$G1285&gt;=MA_MED),AVERAGE(INDEX($C$885:$C1285,402-MA_MED):$C1285),"")</f>
        <v/>
      </c>
      <c r="K1285" s="37" t="str">
        <f aca="false">IF(AND(ISNUMBER($G1285),$G1285&gt;=MA_LONG2),AVERAGE(INDEX($C$885:$C1285,402-MA_LONG2):$C1285),"")</f>
        <v/>
      </c>
      <c r="L1285" s="38" t="str">
        <f aca="false">IF(AND(ISNUMBER($G1285),$G1285&gt;=21),STDEV(INDEX($H$1225:$H1285,62-20):$H1285)*SQRT(245),"")</f>
        <v/>
      </c>
      <c r="M1285" s="37" t="str">
        <f aca="false">IF(AND(ISNUMBER($G1285),$G1285&gt;=60),MAX(INDEX($D$1085:$D1285,202-60):$D1285),"")</f>
        <v/>
      </c>
      <c r="N1285" s="37" t="str">
        <f aca="false">IF(AND(ISNUMBER($G1285),$G1285&gt;=60),MIN(INDEX($E$1085:$E1285,202-60):$E1285),"")</f>
        <v/>
      </c>
      <c r="O1285" s="38" t="str">
        <f aca="false">IF(OR(NOT(ISNUMBER($C1285)),NOT(ISNUMBER($M1285)),$M1285=0),"",$C1285/$M1285-1)</f>
        <v/>
      </c>
    </row>
    <row r="1286" customFormat="false" ht="15" hidden="false" customHeight="true" outlineLevel="0" collapsed="false">
      <c r="A1286" s="39"/>
      <c r="B1286" s="40"/>
      <c r="C1286" s="41"/>
      <c r="D1286" s="40"/>
      <c r="E1286" s="40"/>
      <c r="F1286" s="40"/>
      <c r="G1286" s="35" t="str">
        <f aca="false">IF($A1286="","",IF(ISNUMBER($G1285),$G1285+1,1))</f>
        <v/>
      </c>
      <c r="H1286" s="36" t="str">
        <f aca="false">IF(OR(NOT(ISNUMBER($G1286)),$G1286&lt;2,NOT(ISNUMBER($C1285)),$C1285=0),"",$C1286/$C1285-1)</f>
        <v/>
      </c>
      <c r="I1286" s="37" t="str">
        <f aca="false">IF(AND(ISNUMBER($G1286),$G1286&gt;=MA_SHORT),AVERAGE(INDEX($C$886:$C1286,402-MA_SHORT):$C1286),"")</f>
        <v/>
      </c>
      <c r="J1286" s="37" t="str">
        <f aca="false">IF(AND(ISNUMBER($G1286),$G1286&gt;=MA_MED),AVERAGE(INDEX($C$886:$C1286,402-MA_MED):$C1286),"")</f>
        <v/>
      </c>
      <c r="K1286" s="37" t="str">
        <f aca="false">IF(AND(ISNUMBER($G1286),$G1286&gt;=MA_LONG2),AVERAGE(INDEX($C$886:$C1286,402-MA_LONG2):$C1286),"")</f>
        <v/>
      </c>
      <c r="L1286" s="38" t="str">
        <f aca="false">IF(AND(ISNUMBER($G1286),$G1286&gt;=21),STDEV(INDEX($H$1226:$H1286,62-20):$H1286)*SQRT(245),"")</f>
        <v/>
      </c>
      <c r="M1286" s="37" t="str">
        <f aca="false">IF(AND(ISNUMBER($G1286),$G1286&gt;=60),MAX(INDEX($D$1086:$D1286,202-60):$D1286),"")</f>
        <v/>
      </c>
      <c r="N1286" s="37" t="str">
        <f aca="false">IF(AND(ISNUMBER($G1286),$G1286&gt;=60),MIN(INDEX($E$1086:$E1286,202-60):$E1286),"")</f>
        <v/>
      </c>
      <c r="O1286" s="38" t="str">
        <f aca="false">IF(OR(NOT(ISNUMBER($C1286)),NOT(ISNUMBER($M1286)),$M1286=0),"",$C1286/$M1286-1)</f>
        <v/>
      </c>
    </row>
    <row r="1287" customFormat="false" ht="15" hidden="false" customHeight="true" outlineLevel="0" collapsed="false">
      <c r="A1287" s="39"/>
      <c r="B1287" s="40"/>
      <c r="C1287" s="41"/>
      <c r="D1287" s="40"/>
      <c r="E1287" s="40"/>
      <c r="F1287" s="40"/>
      <c r="G1287" s="35" t="str">
        <f aca="false">IF($A1287="","",IF(ISNUMBER($G1286),$G1286+1,1))</f>
        <v/>
      </c>
      <c r="H1287" s="36" t="str">
        <f aca="false">IF(OR(NOT(ISNUMBER($G1287)),$G1287&lt;2,NOT(ISNUMBER($C1286)),$C1286=0),"",$C1287/$C1286-1)</f>
        <v/>
      </c>
      <c r="I1287" s="37" t="str">
        <f aca="false">IF(AND(ISNUMBER($G1287),$G1287&gt;=MA_SHORT),AVERAGE(INDEX($C$887:$C1287,402-MA_SHORT):$C1287),"")</f>
        <v/>
      </c>
      <c r="J1287" s="37" t="str">
        <f aca="false">IF(AND(ISNUMBER($G1287),$G1287&gt;=MA_MED),AVERAGE(INDEX($C$887:$C1287,402-MA_MED):$C1287),"")</f>
        <v/>
      </c>
      <c r="K1287" s="37" t="str">
        <f aca="false">IF(AND(ISNUMBER($G1287),$G1287&gt;=MA_LONG2),AVERAGE(INDEX($C$887:$C1287,402-MA_LONG2):$C1287),"")</f>
        <v/>
      </c>
      <c r="L1287" s="38" t="str">
        <f aca="false">IF(AND(ISNUMBER($G1287),$G1287&gt;=21),STDEV(INDEX($H$1227:$H1287,62-20):$H1287)*SQRT(245),"")</f>
        <v/>
      </c>
      <c r="M1287" s="37" t="str">
        <f aca="false">IF(AND(ISNUMBER($G1287),$G1287&gt;=60),MAX(INDEX($D$1087:$D1287,202-60):$D1287),"")</f>
        <v/>
      </c>
      <c r="N1287" s="37" t="str">
        <f aca="false">IF(AND(ISNUMBER($G1287),$G1287&gt;=60),MIN(INDEX($E$1087:$E1287,202-60):$E1287),"")</f>
        <v/>
      </c>
      <c r="O1287" s="38" t="str">
        <f aca="false">IF(OR(NOT(ISNUMBER($C1287)),NOT(ISNUMBER($M1287)),$M1287=0),"",$C1287/$M1287-1)</f>
        <v/>
      </c>
    </row>
    <row r="1288" customFormat="false" ht="15" hidden="false" customHeight="true" outlineLevel="0" collapsed="false">
      <c r="A1288" s="39"/>
      <c r="B1288" s="40"/>
      <c r="C1288" s="41"/>
      <c r="D1288" s="40"/>
      <c r="E1288" s="40"/>
      <c r="F1288" s="40"/>
      <c r="G1288" s="35" t="str">
        <f aca="false">IF($A1288="","",IF(ISNUMBER($G1287),$G1287+1,1))</f>
        <v/>
      </c>
      <c r="H1288" s="36" t="str">
        <f aca="false">IF(OR(NOT(ISNUMBER($G1288)),$G1288&lt;2,NOT(ISNUMBER($C1287)),$C1287=0),"",$C1288/$C1287-1)</f>
        <v/>
      </c>
      <c r="I1288" s="37" t="str">
        <f aca="false">IF(AND(ISNUMBER($G1288),$G1288&gt;=MA_SHORT),AVERAGE(INDEX($C$888:$C1288,402-MA_SHORT):$C1288),"")</f>
        <v/>
      </c>
      <c r="J1288" s="37" t="str">
        <f aca="false">IF(AND(ISNUMBER($G1288),$G1288&gt;=MA_MED),AVERAGE(INDEX($C$888:$C1288,402-MA_MED):$C1288),"")</f>
        <v/>
      </c>
      <c r="K1288" s="37" t="str">
        <f aca="false">IF(AND(ISNUMBER($G1288),$G1288&gt;=MA_LONG2),AVERAGE(INDEX($C$888:$C1288,402-MA_LONG2):$C1288),"")</f>
        <v/>
      </c>
      <c r="L1288" s="38" t="str">
        <f aca="false">IF(AND(ISNUMBER($G1288),$G1288&gt;=21),STDEV(INDEX($H$1228:$H1288,62-20):$H1288)*SQRT(245),"")</f>
        <v/>
      </c>
      <c r="M1288" s="37" t="str">
        <f aca="false">IF(AND(ISNUMBER($G1288),$G1288&gt;=60),MAX(INDEX($D$1088:$D1288,202-60):$D1288),"")</f>
        <v/>
      </c>
      <c r="N1288" s="37" t="str">
        <f aca="false">IF(AND(ISNUMBER($G1288),$G1288&gt;=60),MIN(INDEX($E$1088:$E1288,202-60):$E1288),"")</f>
        <v/>
      </c>
      <c r="O1288" s="38" t="str">
        <f aca="false">IF(OR(NOT(ISNUMBER($C1288)),NOT(ISNUMBER($M1288)),$M1288=0),"",$C1288/$M1288-1)</f>
        <v/>
      </c>
    </row>
    <row r="1289" customFormat="false" ht="15" hidden="false" customHeight="true" outlineLevel="0" collapsed="false">
      <c r="A1289" s="39"/>
      <c r="B1289" s="40"/>
      <c r="C1289" s="41"/>
      <c r="D1289" s="40"/>
      <c r="E1289" s="40"/>
      <c r="F1289" s="40"/>
      <c r="G1289" s="35" t="str">
        <f aca="false">IF($A1289="","",IF(ISNUMBER($G1288),$G1288+1,1))</f>
        <v/>
      </c>
      <c r="H1289" s="36" t="str">
        <f aca="false">IF(OR(NOT(ISNUMBER($G1289)),$G1289&lt;2,NOT(ISNUMBER($C1288)),$C1288=0),"",$C1289/$C1288-1)</f>
        <v/>
      </c>
      <c r="I1289" s="37" t="str">
        <f aca="false">IF(AND(ISNUMBER($G1289),$G1289&gt;=MA_SHORT),AVERAGE(INDEX($C$889:$C1289,402-MA_SHORT):$C1289),"")</f>
        <v/>
      </c>
      <c r="J1289" s="37" t="str">
        <f aca="false">IF(AND(ISNUMBER($G1289),$G1289&gt;=MA_MED),AVERAGE(INDEX($C$889:$C1289,402-MA_MED):$C1289),"")</f>
        <v/>
      </c>
      <c r="K1289" s="37" t="str">
        <f aca="false">IF(AND(ISNUMBER($G1289),$G1289&gt;=MA_LONG2),AVERAGE(INDEX($C$889:$C1289,402-MA_LONG2):$C1289),"")</f>
        <v/>
      </c>
      <c r="L1289" s="38" t="str">
        <f aca="false">IF(AND(ISNUMBER($G1289),$G1289&gt;=21),STDEV(INDEX($H$1229:$H1289,62-20):$H1289)*SQRT(245),"")</f>
        <v/>
      </c>
      <c r="M1289" s="37" t="str">
        <f aca="false">IF(AND(ISNUMBER($G1289),$G1289&gt;=60),MAX(INDEX($D$1089:$D1289,202-60):$D1289),"")</f>
        <v/>
      </c>
      <c r="N1289" s="37" t="str">
        <f aca="false">IF(AND(ISNUMBER($G1289),$G1289&gt;=60),MIN(INDEX($E$1089:$E1289,202-60):$E1289),"")</f>
        <v/>
      </c>
      <c r="O1289" s="38" t="str">
        <f aca="false">IF(OR(NOT(ISNUMBER($C1289)),NOT(ISNUMBER($M1289)),$M1289=0),"",$C1289/$M1289-1)</f>
        <v/>
      </c>
    </row>
    <row r="1290" customFormat="false" ht="15" hidden="false" customHeight="true" outlineLevel="0" collapsed="false">
      <c r="A1290" s="39"/>
      <c r="B1290" s="40"/>
      <c r="C1290" s="41"/>
      <c r="D1290" s="40"/>
      <c r="E1290" s="40"/>
      <c r="F1290" s="40"/>
      <c r="G1290" s="35" t="str">
        <f aca="false">IF($A1290="","",IF(ISNUMBER($G1289),$G1289+1,1))</f>
        <v/>
      </c>
      <c r="H1290" s="36" t="str">
        <f aca="false">IF(OR(NOT(ISNUMBER($G1290)),$G1290&lt;2,NOT(ISNUMBER($C1289)),$C1289=0),"",$C1290/$C1289-1)</f>
        <v/>
      </c>
      <c r="I1290" s="37" t="str">
        <f aca="false">IF(AND(ISNUMBER($G1290),$G1290&gt;=MA_SHORT),AVERAGE(INDEX($C$890:$C1290,402-MA_SHORT):$C1290),"")</f>
        <v/>
      </c>
      <c r="J1290" s="37" t="str">
        <f aca="false">IF(AND(ISNUMBER($G1290),$G1290&gt;=MA_MED),AVERAGE(INDEX($C$890:$C1290,402-MA_MED):$C1290),"")</f>
        <v/>
      </c>
      <c r="K1290" s="37" t="str">
        <f aca="false">IF(AND(ISNUMBER($G1290),$G1290&gt;=MA_LONG2),AVERAGE(INDEX($C$890:$C1290,402-MA_LONG2):$C1290),"")</f>
        <v/>
      </c>
      <c r="L1290" s="38" t="str">
        <f aca="false">IF(AND(ISNUMBER($G1290),$G1290&gt;=21),STDEV(INDEX($H$1230:$H1290,62-20):$H1290)*SQRT(245),"")</f>
        <v/>
      </c>
      <c r="M1290" s="37" t="str">
        <f aca="false">IF(AND(ISNUMBER($G1290),$G1290&gt;=60),MAX(INDEX($D$1090:$D1290,202-60):$D1290),"")</f>
        <v/>
      </c>
      <c r="N1290" s="37" t="str">
        <f aca="false">IF(AND(ISNUMBER($G1290),$G1290&gt;=60),MIN(INDEX($E$1090:$E1290,202-60):$E1290),"")</f>
        <v/>
      </c>
      <c r="O1290" s="38" t="str">
        <f aca="false">IF(OR(NOT(ISNUMBER($C1290)),NOT(ISNUMBER($M1290)),$M1290=0),"",$C1290/$M1290-1)</f>
        <v/>
      </c>
    </row>
    <row r="1291" customFormat="false" ht="15" hidden="false" customHeight="true" outlineLevel="0" collapsed="false">
      <c r="A1291" s="39"/>
      <c r="B1291" s="40"/>
      <c r="C1291" s="41"/>
      <c r="D1291" s="40"/>
      <c r="E1291" s="40"/>
      <c r="F1291" s="40"/>
      <c r="G1291" s="35" t="str">
        <f aca="false">IF($A1291="","",IF(ISNUMBER($G1290),$G1290+1,1))</f>
        <v/>
      </c>
      <c r="H1291" s="36" t="str">
        <f aca="false">IF(OR(NOT(ISNUMBER($G1291)),$G1291&lt;2,NOT(ISNUMBER($C1290)),$C1290=0),"",$C1291/$C1290-1)</f>
        <v/>
      </c>
      <c r="I1291" s="37" t="str">
        <f aca="false">IF(AND(ISNUMBER($G1291),$G1291&gt;=MA_SHORT),AVERAGE(INDEX($C$891:$C1291,402-MA_SHORT):$C1291),"")</f>
        <v/>
      </c>
      <c r="J1291" s="37" t="str">
        <f aca="false">IF(AND(ISNUMBER($G1291),$G1291&gt;=MA_MED),AVERAGE(INDEX($C$891:$C1291,402-MA_MED):$C1291),"")</f>
        <v/>
      </c>
      <c r="K1291" s="37" t="str">
        <f aca="false">IF(AND(ISNUMBER($G1291),$G1291&gt;=MA_LONG2),AVERAGE(INDEX($C$891:$C1291,402-MA_LONG2):$C1291),"")</f>
        <v/>
      </c>
      <c r="L1291" s="38" t="str">
        <f aca="false">IF(AND(ISNUMBER($G1291),$G1291&gt;=21),STDEV(INDEX($H$1231:$H1291,62-20):$H1291)*SQRT(245),"")</f>
        <v/>
      </c>
      <c r="M1291" s="37" t="str">
        <f aca="false">IF(AND(ISNUMBER($G1291),$G1291&gt;=60),MAX(INDEX($D$1091:$D1291,202-60):$D1291),"")</f>
        <v/>
      </c>
      <c r="N1291" s="37" t="str">
        <f aca="false">IF(AND(ISNUMBER($G1291),$G1291&gt;=60),MIN(INDEX($E$1091:$E1291,202-60):$E1291),"")</f>
        <v/>
      </c>
      <c r="O1291" s="38" t="str">
        <f aca="false">IF(OR(NOT(ISNUMBER($C1291)),NOT(ISNUMBER($M1291)),$M1291=0),"",$C1291/$M1291-1)</f>
        <v/>
      </c>
    </row>
    <row r="1292" customFormat="false" ht="15" hidden="false" customHeight="true" outlineLevel="0" collapsed="false">
      <c r="A1292" s="39"/>
      <c r="B1292" s="40"/>
      <c r="C1292" s="41"/>
      <c r="D1292" s="40"/>
      <c r="E1292" s="40"/>
      <c r="F1292" s="40"/>
      <c r="G1292" s="35" t="str">
        <f aca="false">IF($A1292="","",IF(ISNUMBER($G1291),$G1291+1,1))</f>
        <v/>
      </c>
      <c r="H1292" s="36" t="str">
        <f aca="false">IF(OR(NOT(ISNUMBER($G1292)),$G1292&lt;2,NOT(ISNUMBER($C1291)),$C1291=0),"",$C1292/$C1291-1)</f>
        <v/>
      </c>
      <c r="I1292" s="37" t="str">
        <f aca="false">IF(AND(ISNUMBER($G1292),$G1292&gt;=MA_SHORT),AVERAGE(INDEX($C$892:$C1292,402-MA_SHORT):$C1292),"")</f>
        <v/>
      </c>
      <c r="J1292" s="37" t="str">
        <f aca="false">IF(AND(ISNUMBER($G1292),$G1292&gt;=MA_MED),AVERAGE(INDEX($C$892:$C1292,402-MA_MED):$C1292),"")</f>
        <v/>
      </c>
      <c r="K1292" s="37" t="str">
        <f aca="false">IF(AND(ISNUMBER($G1292),$G1292&gt;=MA_LONG2),AVERAGE(INDEX($C$892:$C1292,402-MA_LONG2):$C1292),"")</f>
        <v/>
      </c>
      <c r="L1292" s="38" t="str">
        <f aca="false">IF(AND(ISNUMBER($G1292),$G1292&gt;=21),STDEV(INDEX($H$1232:$H1292,62-20):$H1292)*SQRT(245),"")</f>
        <v/>
      </c>
      <c r="M1292" s="37" t="str">
        <f aca="false">IF(AND(ISNUMBER($G1292),$G1292&gt;=60),MAX(INDEX($D$1092:$D1292,202-60):$D1292),"")</f>
        <v/>
      </c>
      <c r="N1292" s="37" t="str">
        <f aca="false">IF(AND(ISNUMBER($G1292),$G1292&gt;=60),MIN(INDEX($E$1092:$E1292,202-60):$E1292),"")</f>
        <v/>
      </c>
      <c r="O1292" s="38" t="str">
        <f aca="false">IF(OR(NOT(ISNUMBER($C1292)),NOT(ISNUMBER($M1292)),$M1292=0),"",$C1292/$M1292-1)</f>
        <v/>
      </c>
    </row>
    <row r="1293" customFormat="false" ht="15" hidden="false" customHeight="true" outlineLevel="0" collapsed="false">
      <c r="A1293" s="39"/>
      <c r="B1293" s="40"/>
      <c r="C1293" s="41"/>
      <c r="D1293" s="40"/>
      <c r="E1293" s="40"/>
      <c r="F1293" s="40"/>
      <c r="G1293" s="35" t="str">
        <f aca="false">IF($A1293="","",IF(ISNUMBER($G1292),$G1292+1,1))</f>
        <v/>
      </c>
      <c r="H1293" s="36" t="str">
        <f aca="false">IF(OR(NOT(ISNUMBER($G1293)),$G1293&lt;2,NOT(ISNUMBER($C1292)),$C1292=0),"",$C1293/$C1292-1)</f>
        <v/>
      </c>
      <c r="I1293" s="37" t="str">
        <f aca="false">IF(AND(ISNUMBER($G1293),$G1293&gt;=MA_SHORT),AVERAGE(INDEX($C$893:$C1293,402-MA_SHORT):$C1293),"")</f>
        <v/>
      </c>
      <c r="J1293" s="37" t="str">
        <f aca="false">IF(AND(ISNUMBER($G1293),$G1293&gt;=MA_MED),AVERAGE(INDEX($C$893:$C1293,402-MA_MED):$C1293),"")</f>
        <v/>
      </c>
      <c r="K1293" s="37" t="str">
        <f aca="false">IF(AND(ISNUMBER($G1293),$G1293&gt;=MA_LONG2),AVERAGE(INDEX($C$893:$C1293,402-MA_LONG2):$C1293),"")</f>
        <v/>
      </c>
      <c r="L1293" s="38" t="str">
        <f aca="false">IF(AND(ISNUMBER($G1293),$G1293&gt;=21),STDEV(INDEX($H$1233:$H1293,62-20):$H1293)*SQRT(245),"")</f>
        <v/>
      </c>
      <c r="M1293" s="37" t="str">
        <f aca="false">IF(AND(ISNUMBER($G1293),$G1293&gt;=60),MAX(INDEX($D$1093:$D1293,202-60):$D1293),"")</f>
        <v/>
      </c>
      <c r="N1293" s="37" t="str">
        <f aca="false">IF(AND(ISNUMBER($G1293),$G1293&gt;=60),MIN(INDEX($E$1093:$E1293,202-60):$E1293),"")</f>
        <v/>
      </c>
      <c r="O1293" s="38" t="str">
        <f aca="false">IF(OR(NOT(ISNUMBER($C1293)),NOT(ISNUMBER($M1293)),$M1293=0),"",$C1293/$M1293-1)</f>
        <v/>
      </c>
    </row>
    <row r="1294" customFormat="false" ht="15" hidden="false" customHeight="true" outlineLevel="0" collapsed="false">
      <c r="A1294" s="39"/>
      <c r="B1294" s="40"/>
      <c r="C1294" s="41"/>
      <c r="D1294" s="40"/>
      <c r="E1294" s="40"/>
      <c r="F1294" s="40"/>
      <c r="G1294" s="35" t="str">
        <f aca="false">IF($A1294="","",IF(ISNUMBER($G1293),$G1293+1,1))</f>
        <v/>
      </c>
      <c r="H1294" s="36" t="str">
        <f aca="false">IF(OR(NOT(ISNUMBER($G1294)),$G1294&lt;2,NOT(ISNUMBER($C1293)),$C1293=0),"",$C1294/$C1293-1)</f>
        <v/>
      </c>
      <c r="I1294" s="37" t="str">
        <f aca="false">IF(AND(ISNUMBER($G1294),$G1294&gt;=MA_SHORT),AVERAGE(INDEX($C$894:$C1294,402-MA_SHORT):$C1294),"")</f>
        <v/>
      </c>
      <c r="J1294" s="37" t="str">
        <f aca="false">IF(AND(ISNUMBER($G1294),$G1294&gt;=MA_MED),AVERAGE(INDEX($C$894:$C1294,402-MA_MED):$C1294),"")</f>
        <v/>
      </c>
      <c r="K1294" s="37" t="str">
        <f aca="false">IF(AND(ISNUMBER($G1294),$G1294&gt;=MA_LONG2),AVERAGE(INDEX($C$894:$C1294,402-MA_LONG2):$C1294),"")</f>
        <v/>
      </c>
      <c r="L1294" s="38" t="str">
        <f aca="false">IF(AND(ISNUMBER($G1294),$G1294&gt;=21),STDEV(INDEX($H$1234:$H1294,62-20):$H1294)*SQRT(245),"")</f>
        <v/>
      </c>
      <c r="M1294" s="37" t="str">
        <f aca="false">IF(AND(ISNUMBER($G1294),$G1294&gt;=60),MAX(INDEX($D$1094:$D1294,202-60):$D1294),"")</f>
        <v/>
      </c>
      <c r="N1294" s="37" t="str">
        <f aca="false">IF(AND(ISNUMBER($G1294),$G1294&gt;=60),MIN(INDEX($E$1094:$E1294,202-60):$E1294),"")</f>
        <v/>
      </c>
      <c r="O1294" s="38" t="str">
        <f aca="false">IF(OR(NOT(ISNUMBER($C1294)),NOT(ISNUMBER($M1294)),$M1294=0),"",$C1294/$M1294-1)</f>
        <v/>
      </c>
    </row>
    <row r="1295" customFormat="false" ht="15" hidden="false" customHeight="true" outlineLevel="0" collapsed="false">
      <c r="A1295" s="39"/>
      <c r="B1295" s="40"/>
      <c r="C1295" s="41"/>
      <c r="D1295" s="40"/>
      <c r="E1295" s="40"/>
      <c r="F1295" s="40"/>
      <c r="G1295" s="35" t="str">
        <f aca="false">IF($A1295="","",IF(ISNUMBER($G1294),$G1294+1,1))</f>
        <v/>
      </c>
      <c r="H1295" s="36" t="str">
        <f aca="false">IF(OR(NOT(ISNUMBER($G1295)),$G1295&lt;2,NOT(ISNUMBER($C1294)),$C1294=0),"",$C1295/$C1294-1)</f>
        <v/>
      </c>
      <c r="I1295" s="37" t="str">
        <f aca="false">IF(AND(ISNUMBER($G1295),$G1295&gt;=MA_SHORT),AVERAGE(INDEX($C$895:$C1295,402-MA_SHORT):$C1295),"")</f>
        <v/>
      </c>
      <c r="J1295" s="37" t="str">
        <f aca="false">IF(AND(ISNUMBER($G1295),$G1295&gt;=MA_MED),AVERAGE(INDEX($C$895:$C1295,402-MA_MED):$C1295),"")</f>
        <v/>
      </c>
      <c r="K1295" s="37" t="str">
        <f aca="false">IF(AND(ISNUMBER($G1295),$G1295&gt;=MA_LONG2),AVERAGE(INDEX($C$895:$C1295,402-MA_LONG2):$C1295),"")</f>
        <v/>
      </c>
      <c r="L1295" s="38" t="str">
        <f aca="false">IF(AND(ISNUMBER($G1295),$G1295&gt;=21),STDEV(INDEX($H$1235:$H1295,62-20):$H1295)*SQRT(245),"")</f>
        <v/>
      </c>
      <c r="M1295" s="37" t="str">
        <f aca="false">IF(AND(ISNUMBER($G1295),$G1295&gt;=60),MAX(INDEX($D$1095:$D1295,202-60):$D1295),"")</f>
        <v/>
      </c>
      <c r="N1295" s="37" t="str">
        <f aca="false">IF(AND(ISNUMBER($G1295),$G1295&gt;=60),MIN(INDEX($E$1095:$E1295,202-60):$E1295),"")</f>
        <v/>
      </c>
      <c r="O1295" s="38" t="str">
        <f aca="false">IF(OR(NOT(ISNUMBER($C1295)),NOT(ISNUMBER($M1295)),$M1295=0),"",$C1295/$M1295-1)</f>
        <v/>
      </c>
    </row>
    <row r="1296" customFormat="false" ht="15" hidden="false" customHeight="true" outlineLevel="0" collapsed="false">
      <c r="A1296" s="39"/>
      <c r="B1296" s="40"/>
      <c r="C1296" s="41"/>
      <c r="D1296" s="40"/>
      <c r="E1296" s="40"/>
      <c r="F1296" s="40"/>
      <c r="G1296" s="35" t="str">
        <f aca="false">IF($A1296="","",IF(ISNUMBER($G1295),$G1295+1,1))</f>
        <v/>
      </c>
      <c r="H1296" s="36" t="str">
        <f aca="false">IF(OR(NOT(ISNUMBER($G1296)),$G1296&lt;2,NOT(ISNUMBER($C1295)),$C1295=0),"",$C1296/$C1295-1)</f>
        <v/>
      </c>
      <c r="I1296" s="37" t="str">
        <f aca="false">IF(AND(ISNUMBER($G1296),$G1296&gt;=MA_SHORT),AVERAGE(INDEX($C$896:$C1296,402-MA_SHORT):$C1296),"")</f>
        <v/>
      </c>
      <c r="J1296" s="37" t="str">
        <f aca="false">IF(AND(ISNUMBER($G1296),$G1296&gt;=MA_MED),AVERAGE(INDEX($C$896:$C1296,402-MA_MED):$C1296),"")</f>
        <v/>
      </c>
      <c r="K1296" s="37" t="str">
        <f aca="false">IF(AND(ISNUMBER($G1296),$G1296&gt;=MA_LONG2),AVERAGE(INDEX($C$896:$C1296,402-MA_LONG2):$C1296),"")</f>
        <v/>
      </c>
      <c r="L1296" s="38" t="str">
        <f aca="false">IF(AND(ISNUMBER($G1296),$G1296&gt;=21),STDEV(INDEX($H$1236:$H1296,62-20):$H1296)*SQRT(245),"")</f>
        <v/>
      </c>
      <c r="M1296" s="37" t="str">
        <f aca="false">IF(AND(ISNUMBER($G1296),$G1296&gt;=60),MAX(INDEX($D$1096:$D1296,202-60):$D1296),"")</f>
        <v/>
      </c>
      <c r="N1296" s="37" t="str">
        <f aca="false">IF(AND(ISNUMBER($G1296),$G1296&gt;=60),MIN(INDEX($E$1096:$E1296,202-60):$E1296),"")</f>
        <v/>
      </c>
      <c r="O1296" s="38" t="str">
        <f aca="false">IF(OR(NOT(ISNUMBER($C1296)),NOT(ISNUMBER($M1296)),$M1296=0),"",$C1296/$M1296-1)</f>
        <v/>
      </c>
    </row>
    <row r="1297" customFormat="false" ht="15" hidden="false" customHeight="true" outlineLevel="0" collapsed="false">
      <c r="A1297" s="39"/>
      <c r="B1297" s="40"/>
      <c r="C1297" s="41"/>
      <c r="D1297" s="40"/>
      <c r="E1297" s="40"/>
      <c r="F1297" s="40"/>
      <c r="G1297" s="35" t="str">
        <f aca="false">IF($A1297="","",IF(ISNUMBER($G1296),$G1296+1,1))</f>
        <v/>
      </c>
      <c r="H1297" s="36" t="str">
        <f aca="false">IF(OR(NOT(ISNUMBER($G1297)),$G1297&lt;2,NOT(ISNUMBER($C1296)),$C1296=0),"",$C1297/$C1296-1)</f>
        <v/>
      </c>
      <c r="I1297" s="37" t="str">
        <f aca="false">IF(AND(ISNUMBER($G1297),$G1297&gt;=MA_SHORT),AVERAGE(INDEX($C$897:$C1297,402-MA_SHORT):$C1297),"")</f>
        <v/>
      </c>
      <c r="J1297" s="37" t="str">
        <f aca="false">IF(AND(ISNUMBER($G1297),$G1297&gt;=MA_MED),AVERAGE(INDEX($C$897:$C1297,402-MA_MED):$C1297),"")</f>
        <v/>
      </c>
      <c r="K1297" s="37" t="str">
        <f aca="false">IF(AND(ISNUMBER($G1297),$G1297&gt;=MA_LONG2),AVERAGE(INDEX($C$897:$C1297,402-MA_LONG2):$C1297),"")</f>
        <v/>
      </c>
      <c r="L1297" s="38" t="str">
        <f aca="false">IF(AND(ISNUMBER($G1297),$G1297&gt;=21),STDEV(INDEX($H$1237:$H1297,62-20):$H1297)*SQRT(245),"")</f>
        <v/>
      </c>
      <c r="M1297" s="37" t="str">
        <f aca="false">IF(AND(ISNUMBER($G1297),$G1297&gt;=60),MAX(INDEX($D$1097:$D1297,202-60):$D1297),"")</f>
        <v/>
      </c>
      <c r="N1297" s="37" t="str">
        <f aca="false">IF(AND(ISNUMBER($G1297),$G1297&gt;=60),MIN(INDEX($E$1097:$E1297,202-60):$E1297),"")</f>
        <v/>
      </c>
      <c r="O1297" s="38" t="str">
        <f aca="false">IF(OR(NOT(ISNUMBER($C1297)),NOT(ISNUMBER($M1297)),$M1297=0),"",$C1297/$M1297-1)</f>
        <v/>
      </c>
    </row>
    <row r="1298" customFormat="false" ht="15" hidden="false" customHeight="true" outlineLevel="0" collapsed="false">
      <c r="A1298" s="39"/>
      <c r="B1298" s="40"/>
      <c r="C1298" s="41"/>
      <c r="D1298" s="40"/>
      <c r="E1298" s="40"/>
      <c r="F1298" s="40"/>
      <c r="G1298" s="35" t="str">
        <f aca="false">IF($A1298="","",IF(ISNUMBER($G1297),$G1297+1,1))</f>
        <v/>
      </c>
      <c r="H1298" s="36" t="str">
        <f aca="false">IF(OR(NOT(ISNUMBER($G1298)),$G1298&lt;2,NOT(ISNUMBER($C1297)),$C1297=0),"",$C1298/$C1297-1)</f>
        <v/>
      </c>
      <c r="I1298" s="37" t="str">
        <f aca="false">IF(AND(ISNUMBER($G1298),$G1298&gt;=MA_SHORT),AVERAGE(INDEX($C$898:$C1298,402-MA_SHORT):$C1298),"")</f>
        <v/>
      </c>
      <c r="J1298" s="37" t="str">
        <f aca="false">IF(AND(ISNUMBER($G1298),$G1298&gt;=MA_MED),AVERAGE(INDEX($C$898:$C1298,402-MA_MED):$C1298),"")</f>
        <v/>
      </c>
      <c r="K1298" s="37" t="str">
        <f aca="false">IF(AND(ISNUMBER($G1298),$G1298&gt;=MA_LONG2),AVERAGE(INDEX($C$898:$C1298,402-MA_LONG2):$C1298),"")</f>
        <v/>
      </c>
      <c r="L1298" s="38" t="str">
        <f aca="false">IF(AND(ISNUMBER($G1298),$G1298&gt;=21),STDEV(INDEX($H$1238:$H1298,62-20):$H1298)*SQRT(245),"")</f>
        <v/>
      </c>
      <c r="M1298" s="37" t="str">
        <f aca="false">IF(AND(ISNUMBER($G1298),$G1298&gt;=60),MAX(INDEX($D$1098:$D1298,202-60):$D1298),"")</f>
        <v/>
      </c>
      <c r="N1298" s="37" t="str">
        <f aca="false">IF(AND(ISNUMBER($G1298),$G1298&gt;=60),MIN(INDEX($E$1098:$E1298,202-60):$E1298),"")</f>
        <v/>
      </c>
      <c r="O1298" s="38" t="str">
        <f aca="false">IF(OR(NOT(ISNUMBER($C1298)),NOT(ISNUMBER($M1298)),$M1298=0),"",$C1298/$M1298-1)</f>
        <v/>
      </c>
    </row>
    <row r="1299" customFormat="false" ht="15" hidden="false" customHeight="true" outlineLevel="0" collapsed="false">
      <c r="A1299" s="39"/>
      <c r="B1299" s="40"/>
      <c r="C1299" s="41"/>
      <c r="D1299" s="40"/>
      <c r="E1299" s="40"/>
      <c r="F1299" s="40"/>
      <c r="G1299" s="35" t="str">
        <f aca="false">IF($A1299="","",IF(ISNUMBER($G1298),$G1298+1,1))</f>
        <v/>
      </c>
      <c r="H1299" s="36" t="str">
        <f aca="false">IF(OR(NOT(ISNUMBER($G1299)),$G1299&lt;2,NOT(ISNUMBER($C1298)),$C1298=0),"",$C1299/$C1298-1)</f>
        <v/>
      </c>
      <c r="I1299" s="37" t="str">
        <f aca="false">IF(AND(ISNUMBER($G1299),$G1299&gt;=MA_SHORT),AVERAGE(INDEX($C$899:$C1299,402-MA_SHORT):$C1299),"")</f>
        <v/>
      </c>
      <c r="J1299" s="37" t="str">
        <f aca="false">IF(AND(ISNUMBER($G1299),$G1299&gt;=MA_MED),AVERAGE(INDEX($C$899:$C1299,402-MA_MED):$C1299),"")</f>
        <v/>
      </c>
      <c r="K1299" s="37" t="str">
        <f aca="false">IF(AND(ISNUMBER($G1299),$G1299&gt;=MA_LONG2),AVERAGE(INDEX($C$899:$C1299,402-MA_LONG2):$C1299),"")</f>
        <v/>
      </c>
      <c r="L1299" s="38" t="str">
        <f aca="false">IF(AND(ISNUMBER($G1299),$G1299&gt;=21),STDEV(INDEX($H$1239:$H1299,62-20):$H1299)*SQRT(245),"")</f>
        <v/>
      </c>
      <c r="M1299" s="37" t="str">
        <f aca="false">IF(AND(ISNUMBER($G1299),$G1299&gt;=60),MAX(INDEX($D$1099:$D1299,202-60):$D1299),"")</f>
        <v/>
      </c>
      <c r="N1299" s="37" t="str">
        <f aca="false">IF(AND(ISNUMBER($G1299),$G1299&gt;=60),MIN(INDEX($E$1099:$E1299,202-60):$E1299),"")</f>
        <v/>
      </c>
      <c r="O1299" s="38" t="str">
        <f aca="false">IF(OR(NOT(ISNUMBER($C1299)),NOT(ISNUMBER($M1299)),$M1299=0),"",$C1299/$M1299-1)</f>
        <v/>
      </c>
    </row>
    <row r="1300" customFormat="false" ht="15" hidden="false" customHeight="true" outlineLevel="0" collapsed="false">
      <c r="A1300" s="39"/>
      <c r="B1300" s="40"/>
      <c r="C1300" s="41"/>
      <c r="D1300" s="40"/>
      <c r="E1300" s="40"/>
      <c r="F1300" s="40"/>
      <c r="G1300" s="35" t="str">
        <f aca="false">IF($A1300="","",IF(ISNUMBER($G1299),$G1299+1,1))</f>
        <v/>
      </c>
      <c r="H1300" s="36" t="str">
        <f aca="false">IF(OR(NOT(ISNUMBER($G1300)),$G1300&lt;2,NOT(ISNUMBER($C1299)),$C1299=0),"",$C1300/$C1299-1)</f>
        <v/>
      </c>
      <c r="I1300" s="37" t="str">
        <f aca="false">IF(AND(ISNUMBER($G1300),$G1300&gt;=MA_SHORT),AVERAGE(INDEX($C$900:$C1300,402-MA_SHORT):$C1300),"")</f>
        <v/>
      </c>
      <c r="J1300" s="37" t="str">
        <f aca="false">IF(AND(ISNUMBER($G1300),$G1300&gt;=MA_MED),AVERAGE(INDEX($C$900:$C1300,402-MA_MED):$C1300),"")</f>
        <v/>
      </c>
      <c r="K1300" s="37" t="str">
        <f aca="false">IF(AND(ISNUMBER($G1300),$G1300&gt;=MA_LONG2),AVERAGE(INDEX($C$900:$C1300,402-MA_LONG2):$C1300),"")</f>
        <v/>
      </c>
      <c r="L1300" s="38" t="str">
        <f aca="false">IF(AND(ISNUMBER($G1300),$G1300&gt;=21),STDEV(INDEX($H$1240:$H1300,62-20):$H1300)*SQRT(245),"")</f>
        <v/>
      </c>
      <c r="M1300" s="37" t="str">
        <f aca="false">IF(AND(ISNUMBER($G1300),$G1300&gt;=60),MAX(INDEX($D$1100:$D1300,202-60):$D1300),"")</f>
        <v/>
      </c>
      <c r="N1300" s="37" t="str">
        <f aca="false">IF(AND(ISNUMBER($G1300),$G1300&gt;=60),MIN(INDEX($E$1100:$E1300,202-60):$E1300),"")</f>
        <v/>
      </c>
      <c r="O1300" s="38" t="str">
        <f aca="false">IF(OR(NOT(ISNUMBER($C1300)),NOT(ISNUMBER($M1300)),$M1300=0),"",$C1300/$M1300-1)</f>
        <v/>
      </c>
    </row>
    <row r="1301" customFormat="false" ht="15" hidden="false" customHeight="true" outlineLevel="0" collapsed="false">
      <c r="A1301" s="39"/>
      <c r="B1301" s="40"/>
      <c r="C1301" s="41"/>
      <c r="D1301" s="40"/>
      <c r="E1301" s="40"/>
      <c r="F1301" s="40"/>
      <c r="G1301" s="35" t="str">
        <f aca="false">IF($A1301="","",IF(ISNUMBER($G1300),$G1300+1,1))</f>
        <v/>
      </c>
      <c r="H1301" s="36" t="str">
        <f aca="false">IF(OR(NOT(ISNUMBER($G1301)),$G1301&lt;2,NOT(ISNUMBER($C1300)),$C1300=0),"",$C1301/$C1300-1)</f>
        <v/>
      </c>
      <c r="I1301" s="37" t="str">
        <f aca="false">IF(AND(ISNUMBER($G1301),$G1301&gt;=MA_SHORT),AVERAGE(INDEX($C$901:$C1301,402-MA_SHORT):$C1301),"")</f>
        <v/>
      </c>
      <c r="J1301" s="37" t="str">
        <f aca="false">IF(AND(ISNUMBER($G1301),$G1301&gt;=MA_MED),AVERAGE(INDEX($C$901:$C1301,402-MA_MED):$C1301),"")</f>
        <v/>
      </c>
      <c r="K1301" s="37" t="str">
        <f aca="false">IF(AND(ISNUMBER($G1301),$G1301&gt;=MA_LONG2),AVERAGE(INDEX($C$901:$C1301,402-MA_LONG2):$C1301),"")</f>
        <v/>
      </c>
      <c r="L1301" s="38" t="str">
        <f aca="false">IF(AND(ISNUMBER($G1301),$G1301&gt;=21),STDEV(INDEX($H$1241:$H1301,62-20):$H1301)*SQRT(245),"")</f>
        <v/>
      </c>
      <c r="M1301" s="37" t="str">
        <f aca="false">IF(AND(ISNUMBER($G1301),$G1301&gt;=60),MAX(INDEX($D$1101:$D1301,202-60):$D1301),"")</f>
        <v/>
      </c>
      <c r="N1301" s="37" t="str">
        <f aca="false">IF(AND(ISNUMBER($G1301),$G1301&gt;=60),MIN(INDEX($E$1101:$E1301,202-60):$E1301),"")</f>
        <v/>
      </c>
      <c r="O1301" s="38" t="str">
        <f aca="false">IF(OR(NOT(ISNUMBER($C1301)),NOT(ISNUMBER($M1301)),$M1301=0),"",$C1301/$M1301-1)</f>
        <v/>
      </c>
    </row>
    <row r="1302" customFormat="false" ht="15" hidden="false" customHeight="true" outlineLevel="0" collapsed="false">
      <c r="A1302" s="39"/>
      <c r="B1302" s="40"/>
      <c r="C1302" s="41"/>
      <c r="D1302" s="40"/>
      <c r="E1302" s="40"/>
      <c r="F1302" s="40"/>
      <c r="G1302" s="35" t="str">
        <f aca="false">IF($A1302="","",IF(ISNUMBER($G1301),$G1301+1,1))</f>
        <v/>
      </c>
      <c r="H1302" s="36" t="str">
        <f aca="false">IF(OR(NOT(ISNUMBER($G1302)),$G1302&lt;2,NOT(ISNUMBER($C1301)),$C1301=0),"",$C1302/$C1301-1)</f>
        <v/>
      </c>
      <c r="I1302" s="37" t="str">
        <f aca="false">IF(AND(ISNUMBER($G1302),$G1302&gt;=MA_SHORT),AVERAGE(INDEX($C$902:$C1302,402-MA_SHORT):$C1302),"")</f>
        <v/>
      </c>
      <c r="J1302" s="37" t="str">
        <f aca="false">IF(AND(ISNUMBER($G1302),$G1302&gt;=MA_MED),AVERAGE(INDEX($C$902:$C1302,402-MA_MED):$C1302),"")</f>
        <v/>
      </c>
      <c r="K1302" s="37" t="str">
        <f aca="false">IF(AND(ISNUMBER($G1302),$G1302&gt;=MA_LONG2),AVERAGE(INDEX($C$902:$C1302,402-MA_LONG2):$C1302),"")</f>
        <v/>
      </c>
      <c r="L1302" s="38" t="str">
        <f aca="false">IF(AND(ISNUMBER($G1302),$G1302&gt;=21),STDEV(INDEX($H$1242:$H1302,62-20):$H1302)*SQRT(245),"")</f>
        <v/>
      </c>
      <c r="M1302" s="37" t="str">
        <f aca="false">IF(AND(ISNUMBER($G1302),$G1302&gt;=60),MAX(INDEX($D$1102:$D1302,202-60):$D1302),"")</f>
        <v/>
      </c>
      <c r="N1302" s="37" t="str">
        <f aca="false">IF(AND(ISNUMBER($G1302),$G1302&gt;=60),MIN(INDEX($E$1102:$E1302,202-60):$E1302),"")</f>
        <v/>
      </c>
      <c r="O1302" s="38" t="str">
        <f aca="false">IF(OR(NOT(ISNUMBER($C1302)),NOT(ISNUMBER($M1302)),$M1302=0),"",$C1302/$M1302-1)</f>
        <v/>
      </c>
    </row>
    <row r="1303" customFormat="false" ht="15" hidden="false" customHeight="true" outlineLevel="0" collapsed="false">
      <c r="A1303" s="39"/>
      <c r="B1303" s="40"/>
      <c r="C1303" s="41"/>
      <c r="D1303" s="40"/>
      <c r="E1303" s="40"/>
      <c r="F1303" s="40"/>
      <c r="G1303" s="35" t="str">
        <f aca="false">IF($A1303="","",IF(ISNUMBER($G1302),$G1302+1,1))</f>
        <v/>
      </c>
      <c r="H1303" s="36" t="str">
        <f aca="false">IF(OR(NOT(ISNUMBER($G1303)),$G1303&lt;2,NOT(ISNUMBER($C1302)),$C1302=0),"",$C1303/$C1302-1)</f>
        <v/>
      </c>
      <c r="I1303" s="37" t="str">
        <f aca="false">IF(AND(ISNUMBER($G1303),$G1303&gt;=MA_SHORT),AVERAGE(INDEX($C$903:$C1303,402-MA_SHORT):$C1303),"")</f>
        <v/>
      </c>
      <c r="J1303" s="37" t="str">
        <f aca="false">IF(AND(ISNUMBER($G1303),$G1303&gt;=MA_MED),AVERAGE(INDEX($C$903:$C1303,402-MA_MED):$C1303),"")</f>
        <v/>
      </c>
      <c r="K1303" s="37" t="str">
        <f aca="false">IF(AND(ISNUMBER($G1303),$G1303&gt;=MA_LONG2),AVERAGE(INDEX($C$903:$C1303,402-MA_LONG2):$C1303),"")</f>
        <v/>
      </c>
      <c r="L1303" s="38" t="str">
        <f aca="false">IF(AND(ISNUMBER($G1303),$G1303&gt;=21),STDEV(INDEX($H$1243:$H1303,62-20):$H1303)*SQRT(245),"")</f>
        <v/>
      </c>
      <c r="M1303" s="37" t="str">
        <f aca="false">IF(AND(ISNUMBER($G1303),$G1303&gt;=60),MAX(INDEX($D$1103:$D1303,202-60):$D1303),"")</f>
        <v/>
      </c>
      <c r="N1303" s="37" t="str">
        <f aca="false">IF(AND(ISNUMBER($G1303),$G1303&gt;=60),MIN(INDEX($E$1103:$E1303,202-60):$E1303),"")</f>
        <v/>
      </c>
      <c r="O1303" s="38" t="str">
        <f aca="false">IF(OR(NOT(ISNUMBER($C1303)),NOT(ISNUMBER($M1303)),$M1303=0),"",$C1303/$M1303-1)</f>
        <v/>
      </c>
    </row>
    <row r="1304" customFormat="false" ht="15" hidden="false" customHeight="true" outlineLevel="0" collapsed="false">
      <c r="A1304" s="39"/>
      <c r="B1304" s="40"/>
      <c r="C1304" s="41"/>
      <c r="D1304" s="40"/>
      <c r="E1304" s="40"/>
      <c r="F1304" s="40"/>
      <c r="G1304" s="35" t="str">
        <f aca="false">IF($A1304="","",IF(ISNUMBER($G1303),$G1303+1,1))</f>
        <v/>
      </c>
      <c r="H1304" s="36" t="str">
        <f aca="false">IF(OR(NOT(ISNUMBER($G1304)),$G1304&lt;2,NOT(ISNUMBER($C1303)),$C1303=0),"",$C1304/$C1303-1)</f>
        <v/>
      </c>
      <c r="I1304" s="37" t="str">
        <f aca="false">IF(AND(ISNUMBER($G1304),$G1304&gt;=MA_SHORT),AVERAGE(INDEX($C$904:$C1304,402-MA_SHORT):$C1304),"")</f>
        <v/>
      </c>
      <c r="J1304" s="37" t="str">
        <f aca="false">IF(AND(ISNUMBER($G1304),$G1304&gt;=MA_MED),AVERAGE(INDEX($C$904:$C1304,402-MA_MED):$C1304),"")</f>
        <v/>
      </c>
      <c r="K1304" s="37" t="str">
        <f aca="false">IF(AND(ISNUMBER($G1304),$G1304&gt;=MA_LONG2),AVERAGE(INDEX($C$904:$C1304,402-MA_LONG2):$C1304),"")</f>
        <v/>
      </c>
      <c r="L1304" s="38" t="str">
        <f aca="false">IF(AND(ISNUMBER($G1304),$G1304&gt;=21),STDEV(INDEX($H$1244:$H1304,62-20):$H1304)*SQRT(245),"")</f>
        <v/>
      </c>
      <c r="M1304" s="37" t="str">
        <f aca="false">IF(AND(ISNUMBER($G1304),$G1304&gt;=60),MAX(INDEX($D$1104:$D1304,202-60):$D1304),"")</f>
        <v/>
      </c>
      <c r="N1304" s="37" t="str">
        <f aca="false">IF(AND(ISNUMBER($G1304),$G1304&gt;=60),MIN(INDEX($E$1104:$E1304,202-60):$E1304),"")</f>
        <v/>
      </c>
      <c r="O1304" s="38" t="str">
        <f aca="false">IF(OR(NOT(ISNUMBER($C1304)),NOT(ISNUMBER($M1304)),$M1304=0),"",$C1304/$M1304-1)</f>
        <v/>
      </c>
    </row>
    <row r="1305" customFormat="false" ht="15" hidden="false" customHeight="true" outlineLevel="0" collapsed="false">
      <c r="A1305" s="39"/>
      <c r="B1305" s="40"/>
      <c r="C1305" s="41"/>
      <c r="D1305" s="40"/>
      <c r="E1305" s="40"/>
      <c r="F1305" s="40"/>
      <c r="G1305" s="35" t="str">
        <f aca="false">IF($A1305="","",IF(ISNUMBER($G1304),$G1304+1,1))</f>
        <v/>
      </c>
      <c r="H1305" s="36" t="str">
        <f aca="false">IF(OR(NOT(ISNUMBER($G1305)),$G1305&lt;2,NOT(ISNUMBER($C1304)),$C1304=0),"",$C1305/$C1304-1)</f>
        <v/>
      </c>
      <c r="I1305" s="37" t="str">
        <f aca="false">IF(AND(ISNUMBER($G1305),$G1305&gt;=MA_SHORT),AVERAGE(INDEX($C$905:$C1305,402-MA_SHORT):$C1305),"")</f>
        <v/>
      </c>
      <c r="J1305" s="37" t="str">
        <f aca="false">IF(AND(ISNUMBER($G1305),$G1305&gt;=MA_MED),AVERAGE(INDEX($C$905:$C1305,402-MA_MED):$C1305),"")</f>
        <v/>
      </c>
      <c r="K1305" s="37" t="str">
        <f aca="false">IF(AND(ISNUMBER($G1305),$G1305&gt;=MA_LONG2),AVERAGE(INDEX($C$905:$C1305,402-MA_LONG2):$C1305),"")</f>
        <v/>
      </c>
      <c r="L1305" s="38" t="str">
        <f aca="false">IF(AND(ISNUMBER($G1305),$G1305&gt;=21),STDEV(INDEX($H$1245:$H1305,62-20):$H1305)*SQRT(245),"")</f>
        <v/>
      </c>
      <c r="M1305" s="37" t="str">
        <f aca="false">IF(AND(ISNUMBER($G1305),$G1305&gt;=60),MAX(INDEX($D$1105:$D1305,202-60):$D1305),"")</f>
        <v/>
      </c>
      <c r="N1305" s="37" t="str">
        <f aca="false">IF(AND(ISNUMBER($G1305),$G1305&gt;=60),MIN(INDEX($E$1105:$E1305,202-60):$E1305),"")</f>
        <v/>
      </c>
      <c r="O1305" s="38" t="str">
        <f aca="false">IF(OR(NOT(ISNUMBER($C1305)),NOT(ISNUMBER($M1305)),$M1305=0),"",$C1305/$M1305-1)</f>
        <v/>
      </c>
    </row>
    <row r="1306" customFormat="false" ht="15" hidden="false" customHeight="true" outlineLevel="0" collapsed="false">
      <c r="A1306" s="39"/>
      <c r="B1306" s="40"/>
      <c r="C1306" s="41"/>
      <c r="D1306" s="40"/>
      <c r="E1306" s="40"/>
      <c r="F1306" s="40"/>
      <c r="G1306" s="35" t="str">
        <f aca="false">IF($A1306="","",IF(ISNUMBER($G1305),$G1305+1,1))</f>
        <v/>
      </c>
      <c r="H1306" s="36" t="str">
        <f aca="false">IF(OR(NOT(ISNUMBER($G1306)),$G1306&lt;2,NOT(ISNUMBER($C1305)),$C1305=0),"",$C1306/$C1305-1)</f>
        <v/>
      </c>
      <c r="I1306" s="37" t="str">
        <f aca="false">IF(AND(ISNUMBER($G1306),$G1306&gt;=MA_SHORT),AVERAGE(INDEX($C$906:$C1306,402-MA_SHORT):$C1306),"")</f>
        <v/>
      </c>
      <c r="J1306" s="37" t="str">
        <f aca="false">IF(AND(ISNUMBER($G1306),$G1306&gt;=MA_MED),AVERAGE(INDEX($C$906:$C1306,402-MA_MED):$C1306),"")</f>
        <v/>
      </c>
      <c r="K1306" s="37" t="str">
        <f aca="false">IF(AND(ISNUMBER($G1306),$G1306&gt;=MA_LONG2),AVERAGE(INDEX($C$906:$C1306,402-MA_LONG2):$C1306),"")</f>
        <v/>
      </c>
      <c r="L1306" s="38" t="str">
        <f aca="false">IF(AND(ISNUMBER($G1306),$G1306&gt;=21),STDEV(INDEX($H$1246:$H1306,62-20):$H1306)*SQRT(245),"")</f>
        <v/>
      </c>
      <c r="M1306" s="37" t="str">
        <f aca="false">IF(AND(ISNUMBER($G1306),$G1306&gt;=60),MAX(INDEX($D$1106:$D1306,202-60):$D1306),"")</f>
        <v/>
      </c>
      <c r="N1306" s="37" t="str">
        <f aca="false">IF(AND(ISNUMBER($G1306),$G1306&gt;=60),MIN(INDEX($E$1106:$E1306,202-60):$E1306),"")</f>
        <v/>
      </c>
      <c r="O1306" s="38" t="str">
        <f aca="false">IF(OR(NOT(ISNUMBER($C1306)),NOT(ISNUMBER($M1306)),$M1306=0),"",$C1306/$M1306-1)</f>
        <v/>
      </c>
    </row>
    <row r="1307" customFormat="false" ht="15" hidden="false" customHeight="true" outlineLevel="0" collapsed="false">
      <c r="A1307" s="39"/>
      <c r="B1307" s="40"/>
      <c r="C1307" s="41"/>
      <c r="D1307" s="40"/>
      <c r="E1307" s="40"/>
      <c r="F1307" s="40"/>
      <c r="G1307" s="35" t="str">
        <f aca="false">IF($A1307="","",IF(ISNUMBER($G1306),$G1306+1,1))</f>
        <v/>
      </c>
      <c r="H1307" s="36" t="str">
        <f aca="false">IF(OR(NOT(ISNUMBER($G1307)),$G1307&lt;2,NOT(ISNUMBER($C1306)),$C1306=0),"",$C1307/$C1306-1)</f>
        <v/>
      </c>
      <c r="I1307" s="37" t="str">
        <f aca="false">IF(AND(ISNUMBER($G1307),$G1307&gt;=MA_SHORT),AVERAGE(INDEX($C$907:$C1307,402-MA_SHORT):$C1307),"")</f>
        <v/>
      </c>
      <c r="J1307" s="37" t="str">
        <f aca="false">IF(AND(ISNUMBER($G1307),$G1307&gt;=MA_MED),AVERAGE(INDEX($C$907:$C1307,402-MA_MED):$C1307),"")</f>
        <v/>
      </c>
      <c r="K1307" s="37" t="str">
        <f aca="false">IF(AND(ISNUMBER($G1307),$G1307&gt;=MA_LONG2),AVERAGE(INDEX($C$907:$C1307,402-MA_LONG2):$C1307),"")</f>
        <v/>
      </c>
      <c r="L1307" s="38" t="str">
        <f aca="false">IF(AND(ISNUMBER($G1307),$G1307&gt;=21),STDEV(INDEX($H$1247:$H1307,62-20):$H1307)*SQRT(245),"")</f>
        <v/>
      </c>
      <c r="M1307" s="37" t="str">
        <f aca="false">IF(AND(ISNUMBER($G1307),$G1307&gt;=60),MAX(INDEX($D$1107:$D1307,202-60):$D1307),"")</f>
        <v/>
      </c>
      <c r="N1307" s="37" t="str">
        <f aca="false">IF(AND(ISNUMBER($G1307),$G1307&gt;=60),MIN(INDEX($E$1107:$E1307,202-60):$E1307),"")</f>
        <v/>
      </c>
      <c r="O1307" s="38" t="str">
        <f aca="false">IF(OR(NOT(ISNUMBER($C1307)),NOT(ISNUMBER($M1307)),$M1307=0),"",$C1307/$M1307-1)</f>
        <v/>
      </c>
    </row>
    <row r="1308" customFormat="false" ht="15" hidden="false" customHeight="true" outlineLevel="0" collapsed="false">
      <c r="A1308" s="39"/>
      <c r="B1308" s="40"/>
      <c r="C1308" s="41"/>
      <c r="D1308" s="40"/>
      <c r="E1308" s="40"/>
      <c r="F1308" s="40"/>
      <c r="G1308" s="35" t="str">
        <f aca="false">IF($A1308="","",IF(ISNUMBER($G1307),$G1307+1,1))</f>
        <v/>
      </c>
      <c r="H1308" s="36" t="str">
        <f aca="false">IF(OR(NOT(ISNUMBER($G1308)),$G1308&lt;2,NOT(ISNUMBER($C1307)),$C1307=0),"",$C1308/$C1307-1)</f>
        <v/>
      </c>
      <c r="I1308" s="37" t="str">
        <f aca="false">IF(AND(ISNUMBER($G1308),$G1308&gt;=MA_SHORT),AVERAGE(INDEX($C$908:$C1308,402-MA_SHORT):$C1308),"")</f>
        <v/>
      </c>
      <c r="J1308" s="37" t="str">
        <f aca="false">IF(AND(ISNUMBER($G1308),$G1308&gt;=MA_MED),AVERAGE(INDEX($C$908:$C1308,402-MA_MED):$C1308),"")</f>
        <v/>
      </c>
      <c r="K1308" s="37" t="str">
        <f aca="false">IF(AND(ISNUMBER($G1308),$G1308&gt;=MA_LONG2),AVERAGE(INDEX($C$908:$C1308,402-MA_LONG2):$C1308),"")</f>
        <v/>
      </c>
      <c r="L1308" s="38" t="str">
        <f aca="false">IF(AND(ISNUMBER($G1308),$G1308&gt;=21),STDEV(INDEX($H$1248:$H1308,62-20):$H1308)*SQRT(245),"")</f>
        <v/>
      </c>
      <c r="M1308" s="37" t="str">
        <f aca="false">IF(AND(ISNUMBER($G1308),$G1308&gt;=60),MAX(INDEX($D$1108:$D1308,202-60):$D1308),"")</f>
        <v/>
      </c>
      <c r="N1308" s="37" t="str">
        <f aca="false">IF(AND(ISNUMBER($G1308),$G1308&gt;=60),MIN(INDEX($E$1108:$E1308,202-60):$E1308),"")</f>
        <v/>
      </c>
      <c r="O1308" s="38" t="str">
        <f aca="false">IF(OR(NOT(ISNUMBER($C1308)),NOT(ISNUMBER($M1308)),$M1308=0),"",$C1308/$M1308-1)</f>
        <v/>
      </c>
    </row>
    <row r="1309" customFormat="false" ht="15" hidden="false" customHeight="true" outlineLevel="0" collapsed="false">
      <c r="A1309" s="39"/>
      <c r="B1309" s="40"/>
      <c r="C1309" s="41"/>
      <c r="D1309" s="40"/>
      <c r="E1309" s="40"/>
      <c r="F1309" s="40"/>
      <c r="G1309" s="35" t="str">
        <f aca="false">IF($A1309="","",IF(ISNUMBER($G1308),$G1308+1,1))</f>
        <v/>
      </c>
      <c r="H1309" s="36" t="str">
        <f aca="false">IF(OR(NOT(ISNUMBER($G1309)),$G1309&lt;2,NOT(ISNUMBER($C1308)),$C1308=0),"",$C1309/$C1308-1)</f>
        <v/>
      </c>
      <c r="I1309" s="37" t="str">
        <f aca="false">IF(AND(ISNUMBER($G1309),$G1309&gt;=MA_SHORT),AVERAGE(INDEX($C$909:$C1309,402-MA_SHORT):$C1309),"")</f>
        <v/>
      </c>
      <c r="J1309" s="37" t="str">
        <f aca="false">IF(AND(ISNUMBER($G1309),$G1309&gt;=MA_MED),AVERAGE(INDEX($C$909:$C1309,402-MA_MED):$C1309),"")</f>
        <v/>
      </c>
      <c r="K1309" s="37" t="str">
        <f aca="false">IF(AND(ISNUMBER($G1309),$G1309&gt;=MA_LONG2),AVERAGE(INDEX($C$909:$C1309,402-MA_LONG2):$C1309),"")</f>
        <v/>
      </c>
      <c r="L1309" s="38" t="str">
        <f aca="false">IF(AND(ISNUMBER($G1309),$G1309&gt;=21),STDEV(INDEX($H$1249:$H1309,62-20):$H1309)*SQRT(245),"")</f>
        <v/>
      </c>
      <c r="M1309" s="37" t="str">
        <f aca="false">IF(AND(ISNUMBER($G1309),$G1309&gt;=60),MAX(INDEX($D$1109:$D1309,202-60):$D1309),"")</f>
        <v/>
      </c>
      <c r="N1309" s="37" t="str">
        <f aca="false">IF(AND(ISNUMBER($G1309),$G1309&gt;=60),MIN(INDEX($E$1109:$E1309,202-60):$E1309),"")</f>
        <v/>
      </c>
      <c r="O1309" s="38" t="str">
        <f aca="false">IF(OR(NOT(ISNUMBER($C1309)),NOT(ISNUMBER($M1309)),$M1309=0),"",$C1309/$M1309-1)</f>
        <v/>
      </c>
    </row>
    <row r="1310" customFormat="false" ht="15" hidden="false" customHeight="true" outlineLevel="0" collapsed="false">
      <c r="A1310" s="39"/>
      <c r="B1310" s="40"/>
      <c r="C1310" s="41"/>
      <c r="D1310" s="40"/>
      <c r="E1310" s="40"/>
      <c r="F1310" s="40"/>
      <c r="G1310" s="35" t="str">
        <f aca="false">IF($A1310="","",IF(ISNUMBER($G1309),$G1309+1,1))</f>
        <v/>
      </c>
      <c r="H1310" s="36" t="str">
        <f aca="false">IF(OR(NOT(ISNUMBER($G1310)),$G1310&lt;2,NOT(ISNUMBER($C1309)),$C1309=0),"",$C1310/$C1309-1)</f>
        <v/>
      </c>
      <c r="I1310" s="37" t="str">
        <f aca="false">IF(AND(ISNUMBER($G1310),$G1310&gt;=MA_SHORT),AVERAGE(INDEX($C$910:$C1310,402-MA_SHORT):$C1310),"")</f>
        <v/>
      </c>
      <c r="J1310" s="37" t="str">
        <f aca="false">IF(AND(ISNUMBER($G1310),$G1310&gt;=MA_MED),AVERAGE(INDEX($C$910:$C1310,402-MA_MED):$C1310),"")</f>
        <v/>
      </c>
      <c r="K1310" s="37" t="str">
        <f aca="false">IF(AND(ISNUMBER($G1310),$G1310&gt;=MA_LONG2),AVERAGE(INDEX($C$910:$C1310,402-MA_LONG2):$C1310),"")</f>
        <v/>
      </c>
      <c r="L1310" s="38" t="str">
        <f aca="false">IF(AND(ISNUMBER($G1310),$G1310&gt;=21),STDEV(INDEX($H$1250:$H1310,62-20):$H1310)*SQRT(245),"")</f>
        <v/>
      </c>
      <c r="M1310" s="37" t="str">
        <f aca="false">IF(AND(ISNUMBER($G1310),$G1310&gt;=60),MAX(INDEX($D$1110:$D1310,202-60):$D1310),"")</f>
        <v/>
      </c>
      <c r="N1310" s="37" t="str">
        <f aca="false">IF(AND(ISNUMBER($G1310),$G1310&gt;=60),MIN(INDEX($E$1110:$E1310,202-60):$E1310),"")</f>
        <v/>
      </c>
      <c r="O1310" s="38" t="str">
        <f aca="false">IF(OR(NOT(ISNUMBER($C1310)),NOT(ISNUMBER($M1310)),$M1310=0),"",$C1310/$M1310-1)</f>
        <v/>
      </c>
    </row>
    <row r="1311" customFormat="false" ht="15" hidden="false" customHeight="true" outlineLevel="0" collapsed="false">
      <c r="A1311" s="39"/>
      <c r="B1311" s="40"/>
      <c r="C1311" s="41"/>
      <c r="D1311" s="40"/>
      <c r="E1311" s="40"/>
      <c r="F1311" s="40"/>
      <c r="G1311" s="35" t="str">
        <f aca="false">IF($A1311="","",IF(ISNUMBER($G1310),$G1310+1,1))</f>
        <v/>
      </c>
      <c r="H1311" s="36" t="str">
        <f aca="false">IF(OR(NOT(ISNUMBER($G1311)),$G1311&lt;2,NOT(ISNUMBER($C1310)),$C1310=0),"",$C1311/$C1310-1)</f>
        <v/>
      </c>
      <c r="I1311" s="37" t="str">
        <f aca="false">IF(AND(ISNUMBER($G1311),$G1311&gt;=MA_SHORT),AVERAGE(INDEX($C$911:$C1311,402-MA_SHORT):$C1311),"")</f>
        <v/>
      </c>
      <c r="J1311" s="37" t="str">
        <f aca="false">IF(AND(ISNUMBER($G1311),$G1311&gt;=MA_MED),AVERAGE(INDEX($C$911:$C1311,402-MA_MED):$C1311),"")</f>
        <v/>
      </c>
      <c r="K1311" s="37" t="str">
        <f aca="false">IF(AND(ISNUMBER($G1311),$G1311&gt;=MA_LONG2),AVERAGE(INDEX($C$911:$C1311,402-MA_LONG2):$C1311),"")</f>
        <v/>
      </c>
      <c r="L1311" s="38" t="str">
        <f aca="false">IF(AND(ISNUMBER($G1311),$G1311&gt;=21),STDEV(INDEX($H$1251:$H1311,62-20):$H1311)*SQRT(245),"")</f>
        <v/>
      </c>
      <c r="M1311" s="37" t="str">
        <f aca="false">IF(AND(ISNUMBER($G1311),$G1311&gt;=60),MAX(INDEX($D$1111:$D1311,202-60):$D1311),"")</f>
        <v/>
      </c>
      <c r="N1311" s="37" t="str">
        <f aca="false">IF(AND(ISNUMBER($G1311),$G1311&gt;=60),MIN(INDEX($E$1111:$E1311,202-60):$E1311),"")</f>
        <v/>
      </c>
      <c r="O1311" s="38" t="str">
        <f aca="false">IF(OR(NOT(ISNUMBER($C1311)),NOT(ISNUMBER($M1311)),$M1311=0),"",$C1311/$M1311-1)</f>
        <v/>
      </c>
    </row>
    <row r="1312" customFormat="false" ht="15" hidden="false" customHeight="true" outlineLevel="0" collapsed="false">
      <c r="A1312" s="39"/>
      <c r="B1312" s="40"/>
      <c r="C1312" s="41"/>
      <c r="D1312" s="40"/>
      <c r="E1312" s="40"/>
      <c r="F1312" s="40"/>
      <c r="G1312" s="35" t="str">
        <f aca="false">IF($A1312="","",IF(ISNUMBER($G1311),$G1311+1,1))</f>
        <v/>
      </c>
      <c r="H1312" s="36" t="str">
        <f aca="false">IF(OR(NOT(ISNUMBER($G1312)),$G1312&lt;2,NOT(ISNUMBER($C1311)),$C1311=0),"",$C1312/$C1311-1)</f>
        <v/>
      </c>
      <c r="I1312" s="37" t="str">
        <f aca="false">IF(AND(ISNUMBER($G1312),$G1312&gt;=MA_SHORT),AVERAGE(INDEX($C$912:$C1312,402-MA_SHORT):$C1312),"")</f>
        <v/>
      </c>
      <c r="J1312" s="37" t="str">
        <f aca="false">IF(AND(ISNUMBER($G1312),$G1312&gt;=MA_MED),AVERAGE(INDEX($C$912:$C1312,402-MA_MED):$C1312),"")</f>
        <v/>
      </c>
      <c r="K1312" s="37" t="str">
        <f aca="false">IF(AND(ISNUMBER($G1312),$G1312&gt;=MA_LONG2),AVERAGE(INDEX($C$912:$C1312,402-MA_LONG2):$C1312),"")</f>
        <v/>
      </c>
      <c r="L1312" s="38" t="str">
        <f aca="false">IF(AND(ISNUMBER($G1312),$G1312&gt;=21),STDEV(INDEX($H$1252:$H1312,62-20):$H1312)*SQRT(245),"")</f>
        <v/>
      </c>
      <c r="M1312" s="37" t="str">
        <f aca="false">IF(AND(ISNUMBER($G1312),$G1312&gt;=60),MAX(INDEX($D$1112:$D1312,202-60):$D1312),"")</f>
        <v/>
      </c>
      <c r="N1312" s="37" t="str">
        <f aca="false">IF(AND(ISNUMBER($G1312),$G1312&gt;=60),MIN(INDEX($E$1112:$E1312,202-60):$E1312),"")</f>
        <v/>
      </c>
      <c r="O1312" s="38" t="str">
        <f aca="false">IF(OR(NOT(ISNUMBER($C1312)),NOT(ISNUMBER($M1312)),$M1312=0),"",$C1312/$M1312-1)</f>
        <v/>
      </c>
    </row>
    <row r="1313" customFormat="false" ht="15" hidden="false" customHeight="true" outlineLevel="0" collapsed="false">
      <c r="A1313" s="39"/>
      <c r="B1313" s="40"/>
      <c r="C1313" s="41"/>
      <c r="D1313" s="40"/>
      <c r="E1313" s="40"/>
      <c r="F1313" s="40"/>
      <c r="G1313" s="35" t="str">
        <f aca="false">IF($A1313="","",IF(ISNUMBER($G1312),$G1312+1,1))</f>
        <v/>
      </c>
      <c r="H1313" s="36" t="str">
        <f aca="false">IF(OR(NOT(ISNUMBER($G1313)),$G1313&lt;2,NOT(ISNUMBER($C1312)),$C1312=0),"",$C1313/$C1312-1)</f>
        <v/>
      </c>
      <c r="I1313" s="37" t="str">
        <f aca="false">IF(AND(ISNUMBER($G1313),$G1313&gt;=MA_SHORT),AVERAGE(INDEX($C$913:$C1313,402-MA_SHORT):$C1313),"")</f>
        <v/>
      </c>
      <c r="J1313" s="37" t="str">
        <f aca="false">IF(AND(ISNUMBER($G1313),$G1313&gt;=MA_MED),AVERAGE(INDEX($C$913:$C1313,402-MA_MED):$C1313),"")</f>
        <v/>
      </c>
      <c r="K1313" s="37" t="str">
        <f aca="false">IF(AND(ISNUMBER($G1313),$G1313&gt;=MA_LONG2),AVERAGE(INDEX($C$913:$C1313,402-MA_LONG2):$C1313),"")</f>
        <v/>
      </c>
      <c r="L1313" s="38" t="str">
        <f aca="false">IF(AND(ISNUMBER($G1313),$G1313&gt;=21),STDEV(INDEX($H$1253:$H1313,62-20):$H1313)*SQRT(245),"")</f>
        <v/>
      </c>
      <c r="M1313" s="37" t="str">
        <f aca="false">IF(AND(ISNUMBER($G1313),$G1313&gt;=60),MAX(INDEX($D$1113:$D1313,202-60):$D1313),"")</f>
        <v/>
      </c>
      <c r="N1313" s="37" t="str">
        <f aca="false">IF(AND(ISNUMBER($G1313),$G1313&gt;=60),MIN(INDEX($E$1113:$E1313,202-60):$E1313),"")</f>
        <v/>
      </c>
      <c r="O1313" s="38" t="str">
        <f aca="false">IF(OR(NOT(ISNUMBER($C1313)),NOT(ISNUMBER($M1313)),$M1313=0),"",$C1313/$M1313-1)</f>
        <v/>
      </c>
    </row>
    <row r="1314" customFormat="false" ht="15" hidden="false" customHeight="true" outlineLevel="0" collapsed="false">
      <c r="A1314" s="39"/>
      <c r="B1314" s="40"/>
      <c r="C1314" s="41"/>
      <c r="D1314" s="40"/>
      <c r="E1314" s="40"/>
      <c r="F1314" s="40"/>
      <c r="G1314" s="35" t="str">
        <f aca="false">IF($A1314="","",IF(ISNUMBER($G1313),$G1313+1,1))</f>
        <v/>
      </c>
      <c r="H1314" s="36" t="str">
        <f aca="false">IF(OR(NOT(ISNUMBER($G1314)),$G1314&lt;2,NOT(ISNUMBER($C1313)),$C1313=0),"",$C1314/$C1313-1)</f>
        <v/>
      </c>
      <c r="I1314" s="37" t="str">
        <f aca="false">IF(AND(ISNUMBER($G1314),$G1314&gt;=MA_SHORT),AVERAGE(INDEX($C$914:$C1314,402-MA_SHORT):$C1314),"")</f>
        <v/>
      </c>
      <c r="J1314" s="37" t="str">
        <f aca="false">IF(AND(ISNUMBER($G1314),$G1314&gt;=MA_MED),AVERAGE(INDEX($C$914:$C1314,402-MA_MED):$C1314),"")</f>
        <v/>
      </c>
      <c r="K1314" s="37" t="str">
        <f aca="false">IF(AND(ISNUMBER($G1314),$G1314&gt;=MA_LONG2),AVERAGE(INDEX($C$914:$C1314,402-MA_LONG2):$C1314),"")</f>
        <v/>
      </c>
      <c r="L1314" s="38" t="str">
        <f aca="false">IF(AND(ISNUMBER($G1314),$G1314&gt;=21),STDEV(INDEX($H$1254:$H1314,62-20):$H1314)*SQRT(245),"")</f>
        <v/>
      </c>
      <c r="M1314" s="37" t="str">
        <f aca="false">IF(AND(ISNUMBER($G1314),$G1314&gt;=60),MAX(INDEX($D$1114:$D1314,202-60):$D1314),"")</f>
        <v/>
      </c>
      <c r="N1314" s="37" t="str">
        <f aca="false">IF(AND(ISNUMBER($G1314),$G1314&gt;=60),MIN(INDEX($E$1114:$E1314,202-60):$E1314),"")</f>
        <v/>
      </c>
      <c r="O1314" s="38" t="str">
        <f aca="false">IF(OR(NOT(ISNUMBER($C1314)),NOT(ISNUMBER($M1314)),$M1314=0),"",$C1314/$M1314-1)</f>
        <v/>
      </c>
    </row>
    <row r="1315" customFormat="false" ht="15" hidden="false" customHeight="true" outlineLevel="0" collapsed="false">
      <c r="A1315" s="39"/>
      <c r="B1315" s="40"/>
      <c r="C1315" s="41"/>
      <c r="D1315" s="40"/>
      <c r="E1315" s="40"/>
      <c r="F1315" s="40"/>
      <c r="G1315" s="35" t="str">
        <f aca="false">IF($A1315="","",IF(ISNUMBER($G1314),$G1314+1,1))</f>
        <v/>
      </c>
      <c r="H1315" s="36" t="str">
        <f aca="false">IF(OR(NOT(ISNUMBER($G1315)),$G1315&lt;2,NOT(ISNUMBER($C1314)),$C1314=0),"",$C1315/$C1314-1)</f>
        <v/>
      </c>
      <c r="I1315" s="37" t="str">
        <f aca="false">IF(AND(ISNUMBER($G1315),$G1315&gt;=MA_SHORT),AVERAGE(INDEX($C$915:$C1315,402-MA_SHORT):$C1315),"")</f>
        <v/>
      </c>
      <c r="J1315" s="37" t="str">
        <f aca="false">IF(AND(ISNUMBER($G1315),$G1315&gt;=MA_MED),AVERAGE(INDEX($C$915:$C1315,402-MA_MED):$C1315),"")</f>
        <v/>
      </c>
      <c r="K1315" s="37" t="str">
        <f aca="false">IF(AND(ISNUMBER($G1315),$G1315&gt;=MA_LONG2),AVERAGE(INDEX($C$915:$C1315,402-MA_LONG2):$C1315),"")</f>
        <v/>
      </c>
      <c r="L1315" s="38" t="str">
        <f aca="false">IF(AND(ISNUMBER($G1315),$G1315&gt;=21),STDEV(INDEX($H$1255:$H1315,62-20):$H1315)*SQRT(245),"")</f>
        <v/>
      </c>
      <c r="M1315" s="37" t="str">
        <f aca="false">IF(AND(ISNUMBER($G1315),$G1315&gt;=60),MAX(INDEX($D$1115:$D1315,202-60):$D1315),"")</f>
        <v/>
      </c>
      <c r="N1315" s="37" t="str">
        <f aca="false">IF(AND(ISNUMBER($G1315),$G1315&gt;=60),MIN(INDEX($E$1115:$E1315,202-60):$E1315),"")</f>
        <v/>
      </c>
      <c r="O1315" s="38" t="str">
        <f aca="false">IF(OR(NOT(ISNUMBER($C1315)),NOT(ISNUMBER($M1315)),$M1315=0),"",$C1315/$M1315-1)</f>
        <v/>
      </c>
    </row>
    <row r="1316" customFormat="false" ht="15" hidden="false" customHeight="true" outlineLevel="0" collapsed="false">
      <c r="A1316" s="39"/>
      <c r="B1316" s="40"/>
      <c r="C1316" s="41"/>
      <c r="D1316" s="40"/>
      <c r="E1316" s="40"/>
      <c r="F1316" s="40"/>
      <c r="G1316" s="35" t="str">
        <f aca="false">IF($A1316="","",IF(ISNUMBER($G1315),$G1315+1,1))</f>
        <v/>
      </c>
      <c r="H1316" s="36" t="str">
        <f aca="false">IF(OR(NOT(ISNUMBER($G1316)),$G1316&lt;2,NOT(ISNUMBER($C1315)),$C1315=0),"",$C1316/$C1315-1)</f>
        <v/>
      </c>
      <c r="I1316" s="37" t="str">
        <f aca="false">IF(AND(ISNUMBER($G1316),$G1316&gt;=MA_SHORT),AVERAGE(INDEX($C$916:$C1316,402-MA_SHORT):$C1316),"")</f>
        <v/>
      </c>
      <c r="J1316" s="37" t="str">
        <f aca="false">IF(AND(ISNUMBER($G1316),$G1316&gt;=MA_MED),AVERAGE(INDEX($C$916:$C1316,402-MA_MED):$C1316),"")</f>
        <v/>
      </c>
      <c r="K1316" s="37" t="str">
        <f aca="false">IF(AND(ISNUMBER($G1316),$G1316&gt;=MA_LONG2),AVERAGE(INDEX($C$916:$C1316,402-MA_LONG2):$C1316),"")</f>
        <v/>
      </c>
      <c r="L1316" s="38" t="str">
        <f aca="false">IF(AND(ISNUMBER($G1316),$G1316&gt;=21),STDEV(INDEX($H$1256:$H1316,62-20):$H1316)*SQRT(245),"")</f>
        <v/>
      </c>
      <c r="M1316" s="37" t="str">
        <f aca="false">IF(AND(ISNUMBER($G1316),$G1316&gt;=60),MAX(INDEX($D$1116:$D1316,202-60):$D1316),"")</f>
        <v/>
      </c>
      <c r="N1316" s="37" t="str">
        <f aca="false">IF(AND(ISNUMBER($G1316),$G1316&gt;=60),MIN(INDEX($E$1116:$E1316,202-60):$E1316),"")</f>
        <v/>
      </c>
      <c r="O1316" s="38" t="str">
        <f aca="false">IF(OR(NOT(ISNUMBER($C1316)),NOT(ISNUMBER($M1316)),$M1316=0),"",$C1316/$M1316-1)</f>
        <v/>
      </c>
    </row>
    <row r="1317" customFormat="false" ht="15" hidden="false" customHeight="true" outlineLevel="0" collapsed="false">
      <c r="A1317" s="39"/>
      <c r="B1317" s="40"/>
      <c r="C1317" s="41"/>
      <c r="D1317" s="40"/>
      <c r="E1317" s="40"/>
      <c r="F1317" s="40"/>
      <c r="G1317" s="35" t="str">
        <f aca="false">IF($A1317="","",IF(ISNUMBER($G1316),$G1316+1,1))</f>
        <v/>
      </c>
      <c r="H1317" s="36" t="str">
        <f aca="false">IF(OR(NOT(ISNUMBER($G1317)),$G1317&lt;2,NOT(ISNUMBER($C1316)),$C1316=0),"",$C1317/$C1316-1)</f>
        <v/>
      </c>
      <c r="I1317" s="37" t="str">
        <f aca="false">IF(AND(ISNUMBER($G1317),$G1317&gt;=MA_SHORT),AVERAGE(INDEX($C$917:$C1317,402-MA_SHORT):$C1317),"")</f>
        <v/>
      </c>
      <c r="J1317" s="37" t="str">
        <f aca="false">IF(AND(ISNUMBER($G1317),$G1317&gt;=MA_MED),AVERAGE(INDEX($C$917:$C1317,402-MA_MED):$C1317),"")</f>
        <v/>
      </c>
      <c r="K1317" s="37" t="str">
        <f aca="false">IF(AND(ISNUMBER($G1317),$G1317&gt;=MA_LONG2),AVERAGE(INDEX($C$917:$C1317,402-MA_LONG2):$C1317),"")</f>
        <v/>
      </c>
      <c r="L1317" s="38" t="str">
        <f aca="false">IF(AND(ISNUMBER($G1317),$G1317&gt;=21),STDEV(INDEX($H$1257:$H1317,62-20):$H1317)*SQRT(245),"")</f>
        <v/>
      </c>
      <c r="M1317" s="37" t="str">
        <f aca="false">IF(AND(ISNUMBER($G1317),$G1317&gt;=60),MAX(INDEX($D$1117:$D1317,202-60):$D1317),"")</f>
        <v/>
      </c>
      <c r="N1317" s="37" t="str">
        <f aca="false">IF(AND(ISNUMBER($G1317),$G1317&gt;=60),MIN(INDEX($E$1117:$E1317,202-60):$E1317),"")</f>
        <v/>
      </c>
      <c r="O1317" s="38" t="str">
        <f aca="false">IF(OR(NOT(ISNUMBER($C1317)),NOT(ISNUMBER($M1317)),$M1317=0),"",$C1317/$M1317-1)</f>
        <v/>
      </c>
    </row>
    <row r="1318" customFormat="false" ht="15" hidden="false" customHeight="true" outlineLevel="0" collapsed="false">
      <c r="A1318" s="39"/>
      <c r="B1318" s="40"/>
      <c r="C1318" s="41"/>
      <c r="D1318" s="40"/>
      <c r="E1318" s="40"/>
      <c r="F1318" s="40"/>
      <c r="G1318" s="35" t="str">
        <f aca="false">IF($A1318="","",IF(ISNUMBER($G1317),$G1317+1,1))</f>
        <v/>
      </c>
      <c r="H1318" s="36" t="str">
        <f aca="false">IF(OR(NOT(ISNUMBER($G1318)),$G1318&lt;2,NOT(ISNUMBER($C1317)),$C1317=0),"",$C1318/$C1317-1)</f>
        <v/>
      </c>
      <c r="I1318" s="37" t="str">
        <f aca="false">IF(AND(ISNUMBER($G1318),$G1318&gt;=MA_SHORT),AVERAGE(INDEX($C$918:$C1318,402-MA_SHORT):$C1318),"")</f>
        <v/>
      </c>
      <c r="J1318" s="37" t="str">
        <f aca="false">IF(AND(ISNUMBER($G1318),$G1318&gt;=MA_MED),AVERAGE(INDEX($C$918:$C1318,402-MA_MED):$C1318),"")</f>
        <v/>
      </c>
      <c r="K1318" s="37" t="str">
        <f aca="false">IF(AND(ISNUMBER($G1318),$G1318&gt;=MA_LONG2),AVERAGE(INDEX($C$918:$C1318,402-MA_LONG2):$C1318),"")</f>
        <v/>
      </c>
      <c r="L1318" s="38" t="str">
        <f aca="false">IF(AND(ISNUMBER($G1318),$G1318&gt;=21),STDEV(INDEX($H$1258:$H1318,62-20):$H1318)*SQRT(245),"")</f>
        <v/>
      </c>
      <c r="M1318" s="37" t="str">
        <f aca="false">IF(AND(ISNUMBER($G1318),$G1318&gt;=60),MAX(INDEX($D$1118:$D1318,202-60):$D1318),"")</f>
        <v/>
      </c>
      <c r="N1318" s="37" t="str">
        <f aca="false">IF(AND(ISNUMBER($G1318),$G1318&gt;=60),MIN(INDEX($E$1118:$E1318,202-60):$E1318),"")</f>
        <v/>
      </c>
      <c r="O1318" s="38" t="str">
        <f aca="false">IF(OR(NOT(ISNUMBER($C1318)),NOT(ISNUMBER($M1318)),$M1318=0),"",$C1318/$M1318-1)</f>
        <v/>
      </c>
    </row>
    <row r="1319" customFormat="false" ht="15" hidden="false" customHeight="true" outlineLevel="0" collapsed="false">
      <c r="A1319" s="39"/>
      <c r="B1319" s="40"/>
      <c r="C1319" s="41"/>
      <c r="D1319" s="40"/>
      <c r="E1319" s="40"/>
      <c r="F1319" s="40"/>
      <c r="G1319" s="35" t="str">
        <f aca="false">IF($A1319="","",IF(ISNUMBER($G1318),$G1318+1,1))</f>
        <v/>
      </c>
      <c r="H1319" s="36" t="str">
        <f aca="false">IF(OR(NOT(ISNUMBER($G1319)),$G1319&lt;2,NOT(ISNUMBER($C1318)),$C1318=0),"",$C1319/$C1318-1)</f>
        <v/>
      </c>
      <c r="I1319" s="37" t="str">
        <f aca="false">IF(AND(ISNUMBER($G1319),$G1319&gt;=MA_SHORT),AVERAGE(INDEX($C$919:$C1319,402-MA_SHORT):$C1319),"")</f>
        <v/>
      </c>
      <c r="J1319" s="37" t="str">
        <f aca="false">IF(AND(ISNUMBER($G1319),$G1319&gt;=MA_MED),AVERAGE(INDEX($C$919:$C1319,402-MA_MED):$C1319),"")</f>
        <v/>
      </c>
      <c r="K1319" s="37" t="str">
        <f aca="false">IF(AND(ISNUMBER($G1319),$G1319&gt;=MA_LONG2),AVERAGE(INDEX($C$919:$C1319,402-MA_LONG2):$C1319),"")</f>
        <v/>
      </c>
      <c r="L1319" s="38" t="str">
        <f aca="false">IF(AND(ISNUMBER($G1319),$G1319&gt;=21),STDEV(INDEX($H$1259:$H1319,62-20):$H1319)*SQRT(245),"")</f>
        <v/>
      </c>
      <c r="M1319" s="37" t="str">
        <f aca="false">IF(AND(ISNUMBER($G1319),$G1319&gt;=60),MAX(INDEX($D$1119:$D1319,202-60):$D1319),"")</f>
        <v/>
      </c>
      <c r="N1319" s="37" t="str">
        <f aca="false">IF(AND(ISNUMBER($G1319),$G1319&gt;=60),MIN(INDEX($E$1119:$E1319,202-60):$E1319),"")</f>
        <v/>
      </c>
      <c r="O1319" s="38" t="str">
        <f aca="false">IF(OR(NOT(ISNUMBER($C1319)),NOT(ISNUMBER($M1319)),$M1319=0),"",$C1319/$M1319-1)</f>
        <v/>
      </c>
    </row>
    <row r="1320" customFormat="false" ht="15" hidden="false" customHeight="true" outlineLevel="0" collapsed="false">
      <c r="A1320" s="39"/>
      <c r="B1320" s="40"/>
      <c r="C1320" s="41"/>
      <c r="D1320" s="40"/>
      <c r="E1320" s="40"/>
      <c r="F1320" s="40"/>
      <c r="G1320" s="35" t="str">
        <f aca="false">IF($A1320="","",IF(ISNUMBER($G1319),$G1319+1,1))</f>
        <v/>
      </c>
      <c r="H1320" s="36" t="str">
        <f aca="false">IF(OR(NOT(ISNUMBER($G1320)),$G1320&lt;2,NOT(ISNUMBER($C1319)),$C1319=0),"",$C1320/$C1319-1)</f>
        <v/>
      </c>
      <c r="I1320" s="37" t="str">
        <f aca="false">IF(AND(ISNUMBER($G1320),$G1320&gt;=MA_SHORT),AVERAGE(INDEX($C$920:$C1320,402-MA_SHORT):$C1320),"")</f>
        <v/>
      </c>
      <c r="J1320" s="37" t="str">
        <f aca="false">IF(AND(ISNUMBER($G1320),$G1320&gt;=MA_MED),AVERAGE(INDEX($C$920:$C1320,402-MA_MED):$C1320),"")</f>
        <v/>
      </c>
      <c r="K1320" s="37" t="str">
        <f aca="false">IF(AND(ISNUMBER($G1320),$G1320&gt;=MA_LONG2),AVERAGE(INDEX($C$920:$C1320,402-MA_LONG2):$C1320),"")</f>
        <v/>
      </c>
      <c r="L1320" s="38" t="str">
        <f aca="false">IF(AND(ISNUMBER($G1320),$G1320&gt;=21),STDEV(INDEX($H$1260:$H1320,62-20):$H1320)*SQRT(245),"")</f>
        <v/>
      </c>
      <c r="M1320" s="37" t="str">
        <f aca="false">IF(AND(ISNUMBER($G1320),$G1320&gt;=60),MAX(INDEX($D$1120:$D1320,202-60):$D1320),"")</f>
        <v/>
      </c>
      <c r="N1320" s="37" t="str">
        <f aca="false">IF(AND(ISNUMBER($G1320),$G1320&gt;=60),MIN(INDEX($E$1120:$E1320,202-60):$E1320),"")</f>
        <v/>
      </c>
      <c r="O1320" s="38" t="str">
        <f aca="false">IF(OR(NOT(ISNUMBER($C1320)),NOT(ISNUMBER($M1320)),$M1320=0),"",$C1320/$M1320-1)</f>
        <v/>
      </c>
    </row>
    <row r="1321" customFormat="false" ht="15" hidden="false" customHeight="true" outlineLevel="0" collapsed="false">
      <c r="A1321" s="39"/>
      <c r="B1321" s="40"/>
      <c r="C1321" s="41"/>
      <c r="D1321" s="40"/>
      <c r="E1321" s="40"/>
      <c r="F1321" s="40"/>
      <c r="G1321" s="35" t="str">
        <f aca="false">IF($A1321="","",IF(ISNUMBER($G1320),$G1320+1,1))</f>
        <v/>
      </c>
      <c r="H1321" s="36" t="str">
        <f aca="false">IF(OR(NOT(ISNUMBER($G1321)),$G1321&lt;2,NOT(ISNUMBER($C1320)),$C1320=0),"",$C1321/$C1320-1)</f>
        <v/>
      </c>
      <c r="I1321" s="37" t="str">
        <f aca="false">IF(AND(ISNUMBER($G1321),$G1321&gt;=MA_SHORT),AVERAGE(INDEX($C$921:$C1321,402-MA_SHORT):$C1321),"")</f>
        <v/>
      </c>
      <c r="J1321" s="37" t="str">
        <f aca="false">IF(AND(ISNUMBER($G1321),$G1321&gt;=MA_MED),AVERAGE(INDEX($C$921:$C1321,402-MA_MED):$C1321),"")</f>
        <v/>
      </c>
      <c r="K1321" s="37" t="str">
        <f aca="false">IF(AND(ISNUMBER($G1321),$G1321&gt;=MA_LONG2),AVERAGE(INDEX($C$921:$C1321,402-MA_LONG2):$C1321),"")</f>
        <v/>
      </c>
      <c r="L1321" s="38" t="str">
        <f aca="false">IF(AND(ISNUMBER($G1321),$G1321&gt;=21),STDEV(INDEX($H$1261:$H1321,62-20):$H1321)*SQRT(245),"")</f>
        <v/>
      </c>
      <c r="M1321" s="37" t="str">
        <f aca="false">IF(AND(ISNUMBER($G1321),$G1321&gt;=60),MAX(INDEX($D$1121:$D1321,202-60):$D1321),"")</f>
        <v/>
      </c>
      <c r="N1321" s="37" t="str">
        <f aca="false">IF(AND(ISNUMBER($G1321),$G1321&gt;=60),MIN(INDEX($E$1121:$E1321,202-60):$E1321),"")</f>
        <v/>
      </c>
      <c r="O1321" s="38" t="str">
        <f aca="false">IF(OR(NOT(ISNUMBER($C1321)),NOT(ISNUMBER($M1321)),$M1321=0),"",$C1321/$M1321-1)</f>
        <v/>
      </c>
    </row>
    <row r="1322" customFormat="false" ht="15" hidden="false" customHeight="true" outlineLevel="0" collapsed="false">
      <c r="A1322" s="39"/>
      <c r="B1322" s="40"/>
      <c r="C1322" s="41"/>
      <c r="D1322" s="40"/>
      <c r="E1322" s="40"/>
      <c r="F1322" s="40"/>
      <c r="G1322" s="35" t="str">
        <f aca="false">IF($A1322="","",IF(ISNUMBER($G1321),$G1321+1,1))</f>
        <v/>
      </c>
      <c r="H1322" s="36" t="str">
        <f aca="false">IF(OR(NOT(ISNUMBER($G1322)),$G1322&lt;2,NOT(ISNUMBER($C1321)),$C1321=0),"",$C1322/$C1321-1)</f>
        <v/>
      </c>
      <c r="I1322" s="37" t="str">
        <f aca="false">IF(AND(ISNUMBER($G1322),$G1322&gt;=MA_SHORT),AVERAGE(INDEX($C$922:$C1322,402-MA_SHORT):$C1322),"")</f>
        <v/>
      </c>
      <c r="J1322" s="37" t="str">
        <f aca="false">IF(AND(ISNUMBER($G1322),$G1322&gt;=MA_MED),AVERAGE(INDEX($C$922:$C1322,402-MA_MED):$C1322),"")</f>
        <v/>
      </c>
      <c r="K1322" s="37" t="str">
        <f aca="false">IF(AND(ISNUMBER($G1322),$G1322&gt;=MA_LONG2),AVERAGE(INDEX($C$922:$C1322,402-MA_LONG2):$C1322),"")</f>
        <v/>
      </c>
      <c r="L1322" s="38" t="str">
        <f aca="false">IF(AND(ISNUMBER($G1322),$G1322&gt;=21),STDEV(INDEX($H$1262:$H1322,62-20):$H1322)*SQRT(245),"")</f>
        <v/>
      </c>
      <c r="M1322" s="37" t="str">
        <f aca="false">IF(AND(ISNUMBER($G1322),$G1322&gt;=60),MAX(INDEX($D$1122:$D1322,202-60):$D1322),"")</f>
        <v/>
      </c>
      <c r="N1322" s="37" t="str">
        <f aca="false">IF(AND(ISNUMBER($G1322),$G1322&gt;=60),MIN(INDEX($E$1122:$E1322,202-60):$E1322),"")</f>
        <v/>
      </c>
      <c r="O1322" s="38" t="str">
        <f aca="false">IF(OR(NOT(ISNUMBER($C1322)),NOT(ISNUMBER($M1322)),$M1322=0),"",$C1322/$M1322-1)</f>
        <v/>
      </c>
    </row>
    <row r="1323" customFormat="false" ht="15" hidden="false" customHeight="true" outlineLevel="0" collapsed="false">
      <c r="A1323" s="39"/>
      <c r="B1323" s="40"/>
      <c r="C1323" s="41"/>
      <c r="D1323" s="40"/>
      <c r="E1323" s="40"/>
      <c r="F1323" s="40"/>
      <c r="G1323" s="35" t="str">
        <f aca="false">IF($A1323="","",IF(ISNUMBER($G1322),$G1322+1,1))</f>
        <v/>
      </c>
      <c r="H1323" s="36" t="str">
        <f aca="false">IF(OR(NOT(ISNUMBER($G1323)),$G1323&lt;2,NOT(ISNUMBER($C1322)),$C1322=0),"",$C1323/$C1322-1)</f>
        <v/>
      </c>
      <c r="I1323" s="37" t="str">
        <f aca="false">IF(AND(ISNUMBER($G1323),$G1323&gt;=MA_SHORT),AVERAGE(INDEX($C$923:$C1323,402-MA_SHORT):$C1323),"")</f>
        <v/>
      </c>
      <c r="J1323" s="37" t="str">
        <f aca="false">IF(AND(ISNUMBER($G1323),$G1323&gt;=MA_MED),AVERAGE(INDEX($C$923:$C1323,402-MA_MED):$C1323),"")</f>
        <v/>
      </c>
      <c r="K1323" s="37" t="str">
        <f aca="false">IF(AND(ISNUMBER($G1323),$G1323&gt;=MA_LONG2),AVERAGE(INDEX($C$923:$C1323,402-MA_LONG2):$C1323),"")</f>
        <v/>
      </c>
      <c r="L1323" s="38" t="str">
        <f aca="false">IF(AND(ISNUMBER($G1323),$G1323&gt;=21),STDEV(INDEX($H$1263:$H1323,62-20):$H1323)*SQRT(245),"")</f>
        <v/>
      </c>
      <c r="M1323" s="37" t="str">
        <f aca="false">IF(AND(ISNUMBER($G1323),$G1323&gt;=60),MAX(INDEX($D$1123:$D1323,202-60):$D1323),"")</f>
        <v/>
      </c>
      <c r="N1323" s="37" t="str">
        <f aca="false">IF(AND(ISNUMBER($G1323),$G1323&gt;=60),MIN(INDEX($E$1123:$E1323,202-60):$E1323),"")</f>
        <v/>
      </c>
      <c r="O1323" s="38" t="str">
        <f aca="false">IF(OR(NOT(ISNUMBER($C1323)),NOT(ISNUMBER($M1323)),$M1323=0),"",$C1323/$M1323-1)</f>
        <v/>
      </c>
    </row>
    <row r="1324" customFormat="false" ht="15" hidden="false" customHeight="true" outlineLevel="0" collapsed="false">
      <c r="A1324" s="39"/>
      <c r="B1324" s="40"/>
      <c r="C1324" s="41"/>
      <c r="D1324" s="40"/>
      <c r="E1324" s="40"/>
      <c r="F1324" s="40"/>
      <c r="G1324" s="35" t="str">
        <f aca="false">IF($A1324="","",IF(ISNUMBER($G1323),$G1323+1,1))</f>
        <v/>
      </c>
      <c r="H1324" s="36" t="str">
        <f aca="false">IF(OR(NOT(ISNUMBER($G1324)),$G1324&lt;2,NOT(ISNUMBER($C1323)),$C1323=0),"",$C1324/$C1323-1)</f>
        <v/>
      </c>
      <c r="I1324" s="37" t="str">
        <f aca="false">IF(AND(ISNUMBER($G1324),$G1324&gt;=MA_SHORT),AVERAGE(INDEX($C$924:$C1324,402-MA_SHORT):$C1324),"")</f>
        <v/>
      </c>
      <c r="J1324" s="37" t="str">
        <f aca="false">IF(AND(ISNUMBER($G1324),$G1324&gt;=MA_MED),AVERAGE(INDEX($C$924:$C1324,402-MA_MED):$C1324),"")</f>
        <v/>
      </c>
      <c r="K1324" s="37" t="str">
        <f aca="false">IF(AND(ISNUMBER($G1324),$G1324&gt;=MA_LONG2),AVERAGE(INDEX($C$924:$C1324,402-MA_LONG2):$C1324),"")</f>
        <v/>
      </c>
      <c r="L1324" s="38" t="str">
        <f aca="false">IF(AND(ISNUMBER($G1324),$G1324&gt;=21),STDEV(INDEX($H$1264:$H1324,62-20):$H1324)*SQRT(245),"")</f>
        <v/>
      </c>
      <c r="M1324" s="37" t="str">
        <f aca="false">IF(AND(ISNUMBER($G1324),$G1324&gt;=60),MAX(INDEX($D$1124:$D1324,202-60):$D1324),"")</f>
        <v/>
      </c>
      <c r="N1324" s="37" t="str">
        <f aca="false">IF(AND(ISNUMBER($G1324),$G1324&gt;=60),MIN(INDEX($E$1124:$E1324,202-60):$E1324),"")</f>
        <v/>
      </c>
      <c r="O1324" s="38" t="str">
        <f aca="false">IF(OR(NOT(ISNUMBER($C1324)),NOT(ISNUMBER($M1324)),$M1324=0),"",$C1324/$M1324-1)</f>
        <v/>
      </c>
    </row>
    <row r="1325" customFormat="false" ht="15" hidden="false" customHeight="true" outlineLevel="0" collapsed="false">
      <c r="A1325" s="39"/>
      <c r="B1325" s="40"/>
      <c r="C1325" s="41"/>
      <c r="D1325" s="40"/>
      <c r="E1325" s="40"/>
      <c r="F1325" s="40"/>
      <c r="G1325" s="35" t="str">
        <f aca="false">IF($A1325="","",IF(ISNUMBER($G1324),$G1324+1,1))</f>
        <v/>
      </c>
      <c r="H1325" s="36" t="str">
        <f aca="false">IF(OR(NOT(ISNUMBER($G1325)),$G1325&lt;2,NOT(ISNUMBER($C1324)),$C1324=0),"",$C1325/$C1324-1)</f>
        <v/>
      </c>
      <c r="I1325" s="37" t="str">
        <f aca="false">IF(AND(ISNUMBER($G1325),$G1325&gt;=MA_SHORT),AVERAGE(INDEX($C$925:$C1325,402-MA_SHORT):$C1325),"")</f>
        <v/>
      </c>
      <c r="J1325" s="37" t="str">
        <f aca="false">IF(AND(ISNUMBER($G1325),$G1325&gt;=MA_MED),AVERAGE(INDEX($C$925:$C1325,402-MA_MED):$C1325),"")</f>
        <v/>
      </c>
      <c r="K1325" s="37" t="str">
        <f aca="false">IF(AND(ISNUMBER($G1325),$G1325&gt;=MA_LONG2),AVERAGE(INDEX($C$925:$C1325,402-MA_LONG2):$C1325),"")</f>
        <v/>
      </c>
      <c r="L1325" s="38" t="str">
        <f aca="false">IF(AND(ISNUMBER($G1325),$G1325&gt;=21),STDEV(INDEX($H$1265:$H1325,62-20):$H1325)*SQRT(245),"")</f>
        <v/>
      </c>
      <c r="M1325" s="37" t="str">
        <f aca="false">IF(AND(ISNUMBER($G1325),$G1325&gt;=60),MAX(INDEX($D$1125:$D1325,202-60):$D1325),"")</f>
        <v/>
      </c>
      <c r="N1325" s="37" t="str">
        <f aca="false">IF(AND(ISNUMBER($G1325),$G1325&gt;=60),MIN(INDEX($E$1125:$E1325,202-60):$E1325),"")</f>
        <v/>
      </c>
      <c r="O1325" s="38" t="str">
        <f aca="false">IF(OR(NOT(ISNUMBER($C1325)),NOT(ISNUMBER($M1325)),$M1325=0),"",$C1325/$M1325-1)</f>
        <v/>
      </c>
    </row>
    <row r="1326" customFormat="false" ht="15" hidden="false" customHeight="true" outlineLevel="0" collapsed="false">
      <c r="A1326" s="39"/>
      <c r="B1326" s="40"/>
      <c r="C1326" s="41"/>
      <c r="D1326" s="40"/>
      <c r="E1326" s="40"/>
      <c r="F1326" s="40"/>
      <c r="G1326" s="35" t="str">
        <f aca="false">IF($A1326="","",IF(ISNUMBER($G1325),$G1325+1,1))</f>
        <v/>
      </c>
      <c r="H1326" s="36" t="str">
        <f aca="false">IF(OR(NOT(ISNUMBER($G1326)),$G1326&lt;2,NOT(ISNUMBER($C1325)),$C1325=0),"",$C1326/$C1325-1)</f>
        <v/>
      </c>
      <c r="I1326" s="37" t="str">
        <f aca="false">IF(AND(ISNUMBER($G1326),$G1326&gt;=MA_SHORT),AVERAGE(INDEX($C$926:$C1326,402-MA_SHORT):$C1326),"")</f>
        <v/>
      </c>
      <c r="J1326" s="37" t="str">
        <f aca="false">IF(AND(ISNUMBER($G1326),$G1326&gt;=MA_MED),AVERAGE(INDEX($C$926:$C1326,402-MA_MED):$C1326),"")</f>
        <v/>
      </c>
      <c r="K1326" s="37" t="str">
        <f aca="false">IF(AND(ISNUMBER($G1326),$G1326&gt;=MA_LONG2),AVERAGE(INDEX($C$926:$C1326,402-MA_LONG2):$C1326),"")</f>
        <v/>
      </c>
      <c r="L1326" s="38" t="str">
        <f aca="false">IF(AND(ISNUMBER($G1326),$G1326&gt;=21),STDEV(INDEX($H$1266:$H1326,62-20):$H1326)*SQRT(245),"")</f>
        <v/>
      </c>
      <c r="M1326" s="37" t="str">
        <f aca="false">IF(AND(ISNUMBER($G1326),$G1326&gt;=60),MAX(INDEX($D$1126:$D1326,202-60):$D1326),"")</f>
        <v/>
      </c>
      <c r="N1326" s="37" t="str">
        <f aca="false">IF(AND(ISNUMBER($G1326),$G1326&gt;=60),MIN(INDEX($E$1126:$E1326,202-60):$E1326),"")</f>
        <v/>
      </c>
      <c r="O1326" s="38" t="str">
        <f aca="false">IF(OR(NOT(ISNUMBER($C1326)),NOT(ISNUMBER($M1326)),$M1326=0),"",$C1326/$M1326-1)</f>
        <v/>
      </c>
    </row>
    <row r="1327" customFormat="false" ht="15" hidden="false" customHeight="true" outlineLevel="0" collapsed="false">
      <c r="A1327" s="39"/>
      <c r="B1327" s="40"/>
      <c r="C1327" s="41"/>
      <c r="D1327" s="40"/>
      <c r="E1327" s="40"/>
      <c r="F1327" s="40"/>
      <c r="G1327" s="35" t="str">
        <f aca="false">IF($A1327="","",IF(ISNUMBER($G1326),$G1326+1,1))</f>
        <v/>
      </c>
      <c r="H1327" s="36" t="str">
        <f aca="false">IF(OR(NOT(ISNUMBER($G1327)),$G1327&lt;2,NOT(ISNUMBER($C1326)),$C1326=0),"",$C1327/$C1326-1)</f>
        <v/>
      </c>
      <c r="I1327" s="37" t="str">
        <f aca="false">IF(AND(ISNUMBER($G1327),$G1327&gt;=MA_SHORT),AVERAGE(INDEX($C$927:$C1327,402-MA_SHORT):$C1327),"")</f>
        <v/>
      </c>
      <c r="J1327" s="37" t="str">
        <f aca="false">IF(AND(ISNUMBER($G1327),$G1327&gt;=MA_MED),AVERAGE(INDEX($C$927:$C1327,402-MA_MED):$C1327),"")</f>
        <v/>
      </c>
      <c r="K1327" s="37" t="str">
        <f aca="false">IF(AND(ISNUMBER($G1327),$G1327&gt;=MA_LONG2),AVERAGE(INDEX($C$927:$C1327,402-MA_LONG2):$C1327),"")</f>
        <v/>
      </c>
      <c r="L1327" s="38" t="str">
        <f aca="false">IF(AND(ISNUMBER($G1327),$G1327&gt;=21),STDEV(INDEX($H$1267:$H1327,62-20):$H1327)*SQRT(245),"")</f>
        <v/>
      </c>
      <c r="M1327" s="37" t="str">
        <f aca="false">IF(AND(ISNUMBER($G1327),$G1327&gt;=60),MAX(INDEX($D$1127:$D1327,202-60):$D1327),"")</f>
        <v/>
      </c>
      <c r="N1327" s="37" t="str">
        <f aca="false">IF(AND(ISNUMBER($G1327),$G1327&gt;=60),MIN(INDEX($E$1127:$E1327,202-60):$E1327),"")</f>
        <v/>
      </c>
      <c r="O1327" s="38" t="str">
        <f aca="false">IF(OR(NOT(ISNUMBER($C1327)),NOT(ISNUMBER($M1327)),$M1327=0),"",$C1327/$M1327-1)</f>
        <v/>
      </c>
    </row>
    <row r="1328" customFormat="false" ht="15" hidden="false" customHeight="true" outlineLevel="0" collapsed="false">
      <c r="A1328" s="39"/>
      <c r="B1328" s="40"/>
      <c r="C1328" s="41"/>
      <c r="D1328" s="40"/>
      <c r="E1328" s="40"/>
      <c r="F1328" s="40"/>
      <c r="G1328" s="35" t="str">
        <f aca="false">IF($A1328="","",IF(ISNUMBER($G1327),$G1327+1,1))</f>
        <v/>
      </c>
      <c r="H1328" s="36" t="str">
        <f aca="false">IF(OR(NOT(ISNUMBER($G1328)),$G1328&lt;2,NOT(ISNUMBER($C1327)),$C1327=0),"",$C1328/$C1327-1)</f>
        <v/>
      </c>
      <c r="I1328" s="37" t="str">
        <f aca="false">IF(AND(ISNUMBER($G1328),$G1328&gt;=MA_SHORT),AVERAGE(INDEX($C$928:$C1328,402-MA_SHORT):$C1328),"")</f>
        <v/>
      </c>
      <c r="J1328" s="37" t="str">
        <f aca="false">IF(AND(ISNUMBER($G1328),$G1328&gt;=MA_MED),AVERAGE(INDEX($C$928:$C1328,402-MA_MED):$C1328),"")</f>
        <v/>
      </c>
      <c r="K1328" s="37" t="str">
        <f aca="false">IF(AND(ISNUMBER($G1328),$G1328&gt;=MA_LONG2),AVERAGE(INDEX($C$928:$C1328,402-MA_LONG2):$C1328),"")</f>
        <v/>
      </c>
      <c r="L1328" s="38" t="str">
        <f aca="false">IF(AND(ISNUMBER($G1328),$G1328&gt;=21),STDEV(INDEX($H$1268:$H1328,62-20):$H1328)*SQRT(245),"")</f>
        <v/>
      </c>
      <c r="M1328" s="37" t="str">
        <f aca="false">IF(AND(ISNUMBER($G1328),$G1328&gt;=60),MAX(INDEX($D$1128:$D1328,202-60):$D1328),"")</f>
        <v/>
      </c>
      <c r="N1328" s="37" t="str">
        <f aca="false">IF(AND(ISNUMBER($G1328),$G1328&gt;=60),MIN(INDEX($E$1128:$E1328,202-60):$E1328),"")</f>
        <v/>
      </c>
      <c r="O1328" s="38" t="str">
        <f aca="false">IF(OR(NOT(ISNUMBER($C1328)),NOT(ISNUMBER($M1328)),$M1328=0),"",$C1328/$M1328-1)</f>
        <v/>
      </c>
    </row>
    <row r="1329" customFormat="false" ht="15" hidden="false" customHeight="true" outlineLevel="0" collapsed="false">
      <c r="A1329" s="39"/>
      <c r="B1329" s="40"/>
      <c r="C1329" s="41"/>
      <c r="D1329" s="40"/>
      <c r="E1329" s="40"/>
      <c r="F1329" s="40"/>
      <c r="G1329" s="35" t="str">
        <f aca="false">IF($A1329="","",IF(ISNUMBER($G1328),$G1328+1,1))</f>
        <v/>
      </c>
      <c r="H1329" s="36" t="str">
        <f aca="false">IF(OR(NOT(ISNUMBER($G1329)),$G1329&lt;2,NOT(ISNUMBER($C1328)),$C1328=0),"",$C1329/$C1328-1)</f>
        <v/>
      </c>
      <c r="I1329" s="37" t="str">
        <f aca="false">IF(AND(ISNUMBER($G1329),$G1329&gt;=MA_SHORT),AVERAGE(INDEX($C$929:$C1329,402-MA_SHORT):$C1329),"")</f>
        <v/>
      </c>
      <c r="J1329" s="37" t="str">
        <f aca="false">IF(AND(ISNUMBER($G1329),$G1329&gt;=MA_MED),AVERAGE(INDEX($C$929:$C1329,402-MA_MED):$C1329),"")</f>
        <v/>
      </c>
      <c r="K1329" s="37" t="str">
        <f aca="false">IF(AND(ISNUMBER($G1329),$G1329&gt;=MA_LONG2),AVERAGE(INDEX($C$929:$C1329,402-MA_LONG2):$C1329),"")</f>
        <v/>
      </c>
      <c r="L1329" s="38" t="str">
        <f aca="false">IF(AND(ISNUMBER($G1329),$G1329&gt;=21),STDEV(INDEX($H$1269:$H1329,62-20):$H1329)*SQRT(245),"")</f>
        <v/>
      </c>
      <c r="M1329" s="37" t="str">
        <f aca="false">IF(AND(ISNUMBER($G1329),$G1329&gt;=60),MAX(INDEX($D$1129:$D1329,202-60):$D1329),"")</f>
        <v/>
      </c>
      <c r="N1329" s="37" t="str">
        <f aca="false">IF(AND(ISNUMBER($G1329),$G1329&gt;=60),MIN(INDEX($E$1129:$E1329,202-60):$E1329),"")</f>
        <v/>
      </c>
      <c r="O1329" s="38" t="str">
        <f aca="false">IF(OR(NOT(ISNUMBER($C1329)),NOT(ISNUMBER($M1329)),$M1329=0),"",$C1329/$M1329-1)</f>
        <v/>
      </c>
    </row>
    <row r="1330" customFormat="false" ht="15" hidden="false" customHeight="true" outlineLevel="0" collapsed="false">
      <c r="A1330" s="39"/>
      <c r="B1330" s="40"/>
      <c r="C1330" s="41"/>
      <c r="D1330" s="40"/>
      <c r="E1330" s="40"/>
      <c r="F1330" s="40"/>
      <c r="G1330" s="35" t="str">
        <f aca="false">IF($A1330="","",IF(ISNUMBER($G1329),$G1329+1,1))</f>
        <v/>
      </c>
      <c r="H1330" s="36" t="str">
        <f aca="false">IF(OR(NOT(ISNUMBER($G1330)),$G1330&lt;2,NOT(ISNUMBER($C1329)),$C1329=0),"",$C1330/$C1329-1)</f>
        <v/>
      </c>
      <c r="I1330" s="37" t="str">
        <f aca="false">IF(AND(ISNUMBER($G1330),$G1330&gt;=MA_SHORT),AVERAGE(INDEX($C$930:$C1330,402-MA_SHORT):$C1330),"")</f>
        <v/>
      </c>
      <c r="J1330" s="37" t="str">
        <f aca="false">IF(AND(ISNUMBER($G1330),$G1330&gt;=MA_MED),AVERAGE(INDEX($C$930:$C1330,402-MA_MED):$C1330),"")</f>
        <v/>
      </c>
      <c r="K1330" s="37" t="str">
        <f aca="false">IF(AND(ISNUMBER($G1330),$G1330&gt;=MA_LONG2),AVERAGE(INDEX($C$930:$C1330,402-MA_LONG2):$C1330),"")</f>
        <v/>
      </c>
      <c r="L1330" s="38" t="str">
        <f aca="false">IF(AND(ISNUMBER($G1330),$G1330&gt;=21),STDEV(INDEX($H$1270:$H1330,62-20):$H1330)*SQRT(245),"")</f>
        <v/>
      </c>
      <c r="M1330" s="37" t="str">
        <f aca="false">IF(AND(ISNUMBER($G1330),$G1330&gt;=60),MAX(INDEX($D$1130:$D1330,202-60):$D1330),"")</f>
        <v/>
      </c>
      <c r="N1330" s="37" t="str">
        <f aca="false">IF(AND(ISNUMBER($G1330),$G1330&gt;=60),MIN(INDEX($E$1130:$E1330,202-60):$E1330),"")</f>
        <v/>
      </c>
      <c r="O1330" s="38" t="str">
        <f aca="false">IF(OR(NOT(ISNUMBER($C1330)),NOT(ISNUMBER($M1330)),$M1330=0),"",$C1330/$M1330-1)</f>
        <v/>
      </c>
    </row>
    <row r="1331" customFormat="false" ht="15" hidden="false" customHeight="true" outlineLevel="0" collapsed="false">
      <c r="A1331" s="39"/>
      <c r="B1331" s="40"/>
      <c r="C1331" s="41"/>
      <c r="D1331" s="40"/>
      <c r="E1331" s="40"/>
      <c r="F1331" s="40"/>
      <c r="G1331" s="35" t="str">
        <f aca="false">IF($A1331="","",IF(ISNUMBER($G1330),$G1330+1,1))</f>
        <v/>
      </c>
      <c r="H1331" s="36" t="str">
        <f aca="false">IF(OR(NOT(ISNUMBER($G1331)),$G1331&lt;2,NOT(ISNUMBER($C1330)),$C1330=0),"",$C1331/$C1330-1)</f>
        <v/>
      </c>
      <c r="I1331" s="37" t="str">
        <f aca="false">IF(AND(ISNUMBER($G1331),$G1331&gt;=MA_SHORT),AVERAGE(INDEX($C$931:$C1331,402-MA_SHORT):$C1331),"")</f>
        <v/>
      </c>
      <c r="J1331" s="37" t="str">
        <f aca="false">IF(AND(ISNUMBER($G1331),$G1331&gt;=MA_MED),AVERAGE(INDEX($C$931:$C1331,402-MA_MED):$C1331),"")</f>
        <v/>
      </c>
      <c r="K1331" s="37" t="str">
        <f aca="false">IF(AND(ISNUMBER($G1331),$G1331&gt;=MA_LONG2),AVERAGE(INDEX($C$931:$C1331,402-MA_LONG2):$C1331),"")</f>
        <v/>
      </c>
      <c r="L1331" s="38" t="str">
        <f aca="false">IF(AND(ISNUMBER($G1331),$G1331&gt;=21),STDEV(INDEX($H$1271:$H1331,62-20):$H1331)*SQRT(245),"")</f>
        <v/>
      </c>
      <c r="M1331" s="37" t="str">
        <f aca="false">IF(AND(ISNUMBER($G1331),$G1331&gt;=60),MAX(INDEX($D$1131:$D1331,202-60):$D1331),"")</f>
        <v/>
      </c>
      <c r="N1331" s="37" t="str">
        <f aca="false">IF(AND(ISNUMBER($G1331),$G1331&gt;=60),MIN(INDEX($E$1131:$E1331,202-60):$E1331),"")</f>
        <v/>
      </c>
      <c r="O1331" s="38" t="str">
        <f aca="false">IF(OR(NOT(ISNUMBER($C1331)),NOT(ISNUMBER($M1331)),$M1331=0),"",$C1331/$M1331-1)</f>
        <v/>
      </c>
    </row>
    <row r="1332" customFormat="false" ht="15" hidden="false" customHeight="true" outlineLevel="0" collapsed="false">
      <c r="A1332" s="39"/>
      <c r="B1332" s="40"/>
      <c r="C1332" s="41"/>
      <c r="D1332" s="40"/>
      <c r="E1332" s="40"/>
      <c r="F1332" s="40"/>
      <c r="G1332" s="35" t="str">
        <f aca="false">IF($A1332="","",IF(ISNUMBER($G1331),$G1331+1,1))</f>
        <v/>
      </c>
      <c r="H1332" s="36" t="str">
        <f aca="false">IF(OR(NOT(ISNUMBER($G1332)),$G1332&lt;2,NOT(ISNUMBER($C1331)),$C1331=0),"",$C1332/$C1331-1)</f>
        <v/>
      </c>
      <c r="I1332" s="37" t="str">
        <f aca="false">IF(AND(ISNUMBER($G1332),$G1332&gt;=MA_SHORT),AVERAGE(INDEX($C$932:$C1332,402-MA_SHORT):$C1332),"")</f>
        <v/>
      </c>
      <c r="J1332" s="37" t="str">
        <f aca="false">IF(AND(ISNUMBER($G1332),$G1332&gt;=MA_MED),AVERAGE(INDEX($C$932:$C1332,402-MA_MED):$C1332),"")</f>
        <v/>
      </c>
      <c r="K1332" s="37" t="str">
        <f aca="false">IF(AND(ISNUMBER($G1332),$G1332&gt;=MA_LONG2),AVERAGE(INDEX($C$932:$C1332,402-MA_LONG2):$C1332),"")</f>
        <v/>
      </c>
      <c r="L1332" s="38" t="str">
        <f aca="false">IF(AND(ISNUMBER($G1332),$G1332&gt;=21),STDEV(INDEX($H$1272:$H1332,62-20):$H1332)*SQRT(245),"")</f>
        <v/>
      </c>
      <c r="M1332" s="37" t="str">
        <f aca="false">IF(AND(ISNUMBER($G1332),$G1332&gt;=60),MAX(INDEX($D$1132:$D1332,202-60):$D1332),"")</f>
        <v/>
      </c>
      <c r="N1332" s="37" t="str">
        <f aca="false">IF(AND(ISNUMBER($G1332),$G1332&gt;=60),MIN(INDEX($E$1132:$E1332,202-60):$E1332),"")</f>
        <v/>
      </c>
      <c r="O1332" s="38" t="str">
        <f aca="false">IF(OR(NOT(ISNUMBER($C1332)),NOT(ISNUMBER($M1332)),$M1332=0),"",$C1332/$M1332-1)</f>
        <v/>
      </c>
    </row>
    <row r="1333" customFormat="false" ht="15" hidden="false" customHeight="true" outlineLevel="0" collapsed="false">
      <c r="A1333" s="39"/>
      <c r="B1333" s="40"/>
      <c r="C1333" s="41"/>
      <c r="D1333" s="40"/>
      <c r="E1333" s="40"/>
      <c r="F1333" s="40"/>
      <c r="G1333" s="35" t="str">
        <f aca="false">IF($A1333="","",IF(ISNUMBER($G1332),$G1332+1,1))</f>
        <v/>
      </c>
      <c r="H1333" s="36" t="str">
        <f aca="false">IF(OR(NOT(ISNUMBER($G1333)),$G1333&lt;2,NOT(ISNUMBER($C1332)),$C1332=0),"",$C1333/$C1332-1)</f>
        <v/>
      </c>
      <c r="I1333" s="37" t="str">
        <f aca="false">IF(AND(ISNUMBER($G1333),$G1333&gt;=MA_SHORT),AVERAGE(INDEX($C$933:$C1333,402-MA_SHORT):$C1333),"")</f>
        <v/>
      </c>
      <c r="J1333" s="37" t="str">
        <f aca="false">IF(AND(ISNUMBER($G1333),$G1333&gt;=MA_MED),AVERAGE(INDEX($C$933:$C1333,402-MA_MED):$C1333),"")</f>
        <v/>
      </c>
      <c r="K1333" s="37" t="str">
        <f aca="false">IF(AND(ISNUMBER($G1333),$G1333&gt;=MA_LONG2),AVERAGE(INDEX($C$933:$C1333,402-MA_LONG2):$C1333),"")</f>
        <v/>
      </c>
      <c r="L1333" s="38" t="str">
        <f aca="false">IF(AND(ISNUMBER($G1333),$G1333&gt;=21),STDEV(INDEX($H$1273:$H1333,62-20):$H1333)*SQRT(245),"")</f>
        <v/>
      </c>
      <c r="M1333" s="37" t="str">
        <f aca="false">IF(AND(ISNUMBER($G1333),$G1333&gt;=60),MAX(INDEX($D$1133:$D1333,202-60):$D1333),"")</f>
        <v/>
      </c>
      <c r="N1333" s="37" t="str">
        <f aca="false">IF(AND(ISNUMBER($G1333),$G1333&gt;=60),MIN(INDEX($E$1133:$E1333,202-60):$E1333),"")</f>
        <v/>
      </c>
      <c r="O1333" s="38" t="str">
        <f aca="false">IF(OR(NOT(ISNUMBER($C1333)),NOT(ISNUMBER($M1333)),$M1333=0),"",$C1333/$M1333-1)</f>
        <v/>
      </c>
    </row>
    <row r="1334" customFormat="false" ht="15" hidden="false" customHeight="true" outlineLevel="0" collapsed="false">
      <c r="A1334" s="39"/>
      <c r="B1334" s="40"/>
      <c r="C1334" s="41"/>
      <c r="D1334" s="40"/>
      <c r="E1334" s="40"/>
      <c r="F1334" s="40"/>
      <c r="G1334" s="35" t="str">
        <f aca="false">IF($A1334="","",IF(ISNUMBER($G1333),$G1333+1,1))</f>
        <v/>
      </c>
      <c r="H1334" s="36" t="str">
        <f aca="false">IF(OR(NOT(ISNUMBER($G1334)),$G1334&lt;2,NOT(ISNUMBER($C1333)),$C1333=0),"",$C1334/$C1333-1)</f>
        <v/>
      </c>
      <c r="I1334" s="37" t="str">
        <f aca="false">IF(AND(ISNUMBER($G1334),$G1334&gt;=MA_SHORT),AVERAGE(INDEX($C$934:$C1334,402-MA_SHORT):$C1334),"")</f>
        <v/>
      </c>
      <c r="J1334" s="37" t="str">
        <f aca="false">IF(AND(ISNUMBER($G1334),$G1334&gt;=MA_MED),AVERAGE(INDEX($C$934:$C1334,402-MA_MED):$C1334),"")</f>
        <v/>
      </c>
      <c r="K1334" s="37" t="str">
        <f aca="false">IF(AND(ISNUMBER($G1334),$G1334&gt;=MA_LONG2),AVERAGE(INDEX($C$934:$C1334,402-MA_LONG2):$C1334),"")</f>
        <v/>
      </c>
      <c r="L1334" s="38" t="str">
        <f aca="false">IF(AND(ISNUMBER($G1334),$G1334&gt;=21),STDEV(INDEX($H$1274:$H1334,62-20):$H1334)*SQRT(245),"")</f>
        <v/>
      </c>
      <c r="M1334" s="37" t="str">
        <f aca="false">IF(AND(ISNUMBER($G1334),$G1334&gt;=60),MAX(INDEX($D$1134:$D1334,202-60):$D1334),"")</f>
        <v/>
      </c>
      <c r="N1334" s="37" t="str">
        <f aca="false">IF(AND(ISNUMBER($G1334),$G1334&gt;=60),MIN(INDEX($E$1134:$E1334,202-60):$E1334),"")</f>
        <v/>
      </c>
      <c r="O1334" s="38" t="str">
        <f aca="false">IF(OR(NOT(ISNUMBER($C1334)),NOT(ISNUMBER($M1334)),$M1334=0),"",$C1334/$M1334-1)</f>
        <v/>
      </c>
    </row>
    <row r="1335" customFormat="false" ht="15" hidden="false" customHeight="true" outlineLevel="0" collapsed="false">
      <c r="A1335" s="39"/>
      <c r="B1335" s="40"/>
      <c r="C1335" s="41"/>
      <c r="D1335" s="40"/>
      <c r="E1335" s="40"/>
      <c r="F1335" s="40"/>
      <c r="G1335" s="35" t="str">
        <f aca="false">IF($A1335="","",IF(ISNUMBER($G1334),$G1334+1,1))</f>
        <v/>
      </c>
      <c r="H1335" s="36" t="str">
        <f aca="false">IF(OR(NOT(ISNUMBER($G1335)),$G1335&lt;2,NOT(ISNUMBER($C1334)),$C1334=0),"",$C1335/$C1334-1)</f>
        <v/>
      </c>
      <c r="I1335" s="37" t="str">
        <f aca="false">IF(AND(ISNUMBER($G1335),$G1335&gt;=MA_SHORT),AVERAGE(INDEX($C$935:$C1335,402-MA_SHORT):$C1335),"")</f>
        <v/>
      </c>
      <c r="J1335" s="37" t="str">
        <f aca="false">IF(AND(ISNUMBER($G1335),$G1335&gt;=MA_MED),AVERAGE(INDEX($C$935:$C1335,402-MA_MED):$C1335),"")</f>
        <v/>
      </c>
      <c r="K1335" s="37" t="str">
        <f aca="false">IF(AND(ISNUMBER($G1335),$G1335&gt;=MA_LONG2),AVERAGE(INDEX($C$935:$C1335,402-MA_LONG2):$C1335),"")</f>
        <v/>
      </c>
      <c r="L1335" s="38" t="str">
        <f aca="false">IF(AND(ISNUMBER($G1335),$G1335&gt;=21),STDEV(INDEX($H$1275:$H1335,62-20):$H1335)*SQRT(245),"")</f>
        <v/>
      </c>
      <c r="M1335" s="37" t="str">
        <f aca="false">IF(AND(ISNUMBER($G1335),$G1335&gt;=60),MAX(INDEX($D$1135:$D1335,202-60):$D1335),"")</f>
        <v/>
      </c>
      <c r="N1335" s="37" t="str">
        <f aca="false">IF(AND(ISNUMBER($G1335),$G1335&gt;=60),MIN(INDEX($E$1135:$E1335,202-60):$E1335),"")</f>
        <v/>
      </c>
      <c r="O1335" s="38" t="str">
        <f aca="false">IF(OR(NOT(ISNUMBER($C1335)),NOT(ISNUMBER($M1335)),$M1335=0),"",$C1335/$M1335-1)</f>
        <v/>
      </c>
    </row>
    <row r="1336" customFormat="false" ht="15" hidden="false" customHeight="true" outlineLevel="0" collapsed="false">
      <c r="A1336" s="39"/>
      <c r="B1336" s="40"/>
      <c r="C1336" s="41"/>
      <c r="D1336" s="40"/>
      <c r="E1336" s="40"/>
      <c r="F1336" s="40"/>
      <c r="G1336" s="35" t="str">
        <f aca="false">IF($A1336="","",IF(ISNUMBER($G1335),$G1335+1,1))</f>
        <v/>
      </c>
      <c r="H1336" s="36" t="str">
        <f aca="false">IF(OR(NOT(ISNUMBER($G1336)),$G1336&lt;2,NOT(ISNUMBER($C1335)),$C1335=0),"",$C1336/$C1335-1)</f>
        <v/>
      </c>
      <c r="I1336" s="37" t="str">
        <f aca="false">IF(AND(ISNUMBER($G1336),$G1336&gt;=MA_SHORT),AVERAGE(INDEX($C$936:$C1336,402-MA_SHORT):$C1336),"")</f>
        <v/>
      </c>
      <c r="J1336" s="37" t="str">
        <f aca="false">IF(AND(ISNUMBER($G1336),$G1336&gt;=MA_MED),AVERAGE(INDEX($C$936:$C1336,402-MA_MED):$C1336),"")</f>
        <v/>
      </c>
      <c r="K1336" s="37" t="str">
        <f aca="false">IF(AND(ISNUMBER($G1336),$G1336&gt;=MA_LONG2),AVERAGE(INDEX($C$936:$C1336,402-MA_LONG2):$C1336),"")</f>
        <v/>
      </c>
      <c r="L1336" s="38" t="str">
        <f aca="false">IF(AND(ISNUMBER($G1336),$G1336&gt;=21),STDEV(INDEX($H$1276:$H1336,62-20):$H1336)*SQRT(245),"")</f>
        <v/>
      </c>
      <c r="M1336" s="37" t="str">
        <f aca="false">IF(AND(ISNUMBER($G1336),$G1336&gt;=60),MAX(INDEX($D$1136:$D1336,202-60):$D1336),"")</f>
        <v/>
      </c>
      <c r="N1336" s="37" t="str">
        <f aca="false">IF(AND(ISNUMBER($G1336),$G1336&gt;=60),MIN(INDEX($E$1136:$E1336,202-60):$E1336),"")</f>
        <v/>
      </c>
      <c r="O1336" s="38" t="str">
        <f aca="false">IF(OR(NOT(ISNUMBER($C1336)),NOT(ISNUMBER($M1336)),$M1336=0),"",$C1336/$M1336-1)</f>
        <v/>
      </c>
    </row>
    <row r="1337" customFormat="false" ht="15" hidden="false" customHeight="true" outlineLevel="0" collapsed="false">
      <c r="A1337" s="39"/>
      <c r="B1337" s="40"/>
      <c r="C1337" s="41"/>
      <c r="D1337" s="40"/>
      <c r="E1337" s="40"/>
      <c r="F1337" s="40"/>
      <c r="G1337" s="35" t="str">
        <f aca="false">IF($A1337="","",IF(ISNUMBER($G1336),$G1336+1,1))</f>
        <v/>
      </c>
      <c r="H1337" s="36" t="str">
        <f aca="false">IF(OR(NOT(ISNUMBER($G1337)),$G1337&lt;2,NOT(ISNUMBER($C1336)),$C1336=0),"",$C1337/$C1336-1)</f>
        <v/>
      </c>
      <c r="I1337" s="37" t="str">
        <f aca="false">IF(AND(ISNUMBER($G1337),$G1337&gt;=MA_SHORT),AVERAGE(INDEX($C$937:$C1337,402-MA_SHORT):$C1337),"")</f>
        <v/>
      </c>
      <c r="J1337" s="37" t="str">
        <f aca="false">IF(AND(ISNUMBER($G1337),$G1337&gt;=MA_MED),AVERAGE(INDEX($C$937:$C1337,402-MA_MED):$C1337),"")</f>
        <v/>
      </c>
      <c r="K1337" s="37" t="str">
        <f aca="false">IF(AND(ISNUMBER($G1337),$G1337&gt;=MA_LONG2),AVERAGE(INDEX($C$937:$C1337,402-MA_LONG2):$C1337),"")</f>
        <v/>
      </c>
      <c r="L1337" s="38" t="str">
        <f aca="false">IF(AND(ISNUMBER($G1337),$G1337&gt;=21),STDEV(INDEX($H$1277:$H1337,62-20):$H1337)*SQRT(245),"")</f>
        <v/>
      </c>
      <c r="M1337" s="37" t="str">
        <f aca="false">IF(AND(ISNUMBER($G1337),$G1337&gt;=60),MAX(INDEX($D$1137:$D1337,202-60):$D1337),"")</f>
        <v/>
      </c>
      <c r="N1337" s="37" t="str">
        <f aca="false">IF(AND(ISNUMBER($G1337),$G1337&gt;=60),MIN(INDEX($E$1137:$E1337,202-60):$E1337),"")</f>
        <v/>
      </c>
      <c r="O1337" s="38" t="str">
        <f aca="false">IF(OR(NOT(ISNUMBER($C1337)),NOT(ISNUMBER($M1337)),$M1337=0),"",$C1337/$M1337-1)</f>
        <v/>
      </c>
    </row>
    <row r="1338" customFormat="false" ht="15" hidden="false" customHeight="true" outlineLevel="0" collapsed="false">
      <c r="A1338" s="39"/>
      <c r="B1338" s="40"/>
      <c r="C1338" s="41"/>
      <c r="D1338" s="40"/>
      <c r="E1338" s="40"/>
      <c r="F1338" s="40"/>
      <c r="G1338" s="35" t="str">
        <f aca="false">IF($A1338="","",IF(ISNUMBER($G1337),$G1337+1,1))</f>
        <v/>
      </c>
      <c r="H1338" s="36" t="str">
        <f aca="false">IF(OR(NOT(ISNUMBER($G1338)),$G1338&lt;2,NOT(ISNUMBER($C1337)),$C1337=0),"",$C1338/$C1337-1)</f>
        <v/>
      </c>
      <c r="I1338" s="37" t="str">
        <f aca="false">IF(AND(ISNUMBER($G1338),$G1338&gt;=MA_SHORT),AVERAGE(INDEX($C$938:$C1338,402-MA_SHORT):$C1338),"")</f>
        <v/>
      </c>
      <c r="J1338" s="37" t="str">
        <f aca="false">IF(AND(ISNUMBER($G1338),$G1338&gt;=MA_MED),AVERAGE(INDEX($C$938:$C1338,402-MA_MED):$C1338),"")</f>
        <v/>
      </c>
      <c r="K1338" s="37" t="str">
        <f aca="false">IF(AND(ISNUMBER($G1338),$G1338&gt;=MA_LONG2),AVERAGE(INDEX($C$938:$C1338,402-MA_LONG2):$C1338),"")</f>
        <v/>
      </c>
      <c r="L1338" s="38" t="str">
        <f aca="false">IF(AND(ISNUMBER($G1338),$G1338&gt;=21),STDEV(INDEX($H$1278:$H1338,62-20):$H1338)*SQRT(245),"")</f>
        <v/>
      </c>
      <c r="M1338" s="37" t="str">
        <f aca="false">IF(AND(ISNUMBER($G1338),$G1338&gt;=60),MAX(INDEX($D$1138:$D1338,202-60):$D1338),"")</f>
        <v/>
      </c>
      <c r="N1338" s="37" t="str">
        <f aca="false">IF(AND(ISNUMBER($G1338),$G1338&gt;=60),MIN(INDEX($E$1138:$E1338,202-60):$E1338),"")</f>
        <v/>
      </c>
      <c r="O1338" s="38" t="str">
        <f aca="false">IF(OR(NOT(ISNUMBER($C1338)),NOT(ISNUMBER($M1338)),$M1338=0),"",$C1338/$M1338-1)</f>
        <v/>
      </c>
    </row>
    <row r="1339" customFormat="false" ht="15" hidden="false" customHeight="true" outlineLevel="0" collapsed="false">
      <c r="A1339" s="39"/>
      <c r="B1339" s="40"/>
      <c r="C1339" s="41"/>
      <c r="D1339" s="40"/>
      <c r="E1339" s="40"/>
      <c r="F1339" s="40"/>
      <c r="G1339" s="35" t="str">
        <f aca="false">IF($A1339="","",IF(ISNUMBER($G1338),$G1338+1,1))</f>
        <v/>
      </c>
      <c r="H1339" s="36" t="str">
        <f aca="false">IF(OR(NOT(ISNUMBER($G1339)),$G1339&lt;2,NOT(ISNUMBER($C1338)),$C1338=0),"",$C1339/$C1338-1)</f>
        <v/>
      </c>
      <c r="I1339" s="37" t="str">
        <f aca="false">IF(AND(ISNUMBER($G1339),$G1339&gt;=MA_SHORT),AVERAGE(INDEX($C$939:$C1339,402-MA_SHORT):$C1339),"")</f>
        <v/>
      </c>
      <c r="J1339" s="37" t="str">
        <f aca="false">IF(AND(ISNUMBER($G1339),$G1339&gt;=MA_MED),AVERAGE(INDEX($C$939:$C1339,402-MA_MED):$C1339),"")</f>
        <v/>
      </c>
      <c r="K1339" s="37" t="str">
        <f aca="false">IF(AND(ISNUMBER($G1339),$G1339&gt;=MA_LONG2),AVERAGE(INDEX($C$939:$C1339,402-MA_LONG2):$C1339),"")</f>
        <v/>
      </c>
      <c r="L1339" s="38" t="str">
        <f aca="false">IF(AND(ISNUMBER($G1339),$G1339&gt;=21),STDEV(INDEX($H$1279:$H1339,62-20):$H1339)*SQRT(245),"")</f>
        <v/>
      </c>
      <c r="M1339" s="37" t="str">
        <f aca="false">IF(AND(ISNUMBER($G1339),$G1339&gt;=60),MAX(INDEX($D$1139:$D1339,202-60):$D1339),"")</f>
        <v/>
      </c>
      <c r="N1339" s="37" t="str">
        <f aca="false">IF(AND(ISNUMBER($G1339),$G1339&gt;=60),MIN(INDEX($E$1139:$E1339,202-60):$E1339),"")</f>
        <v/>
      </c>
      <c r="O1339" s="38" t="str">
        <f aca="false">IF(OR(NOT(ISNUMBER($C1339)),NOT(ISNUMBER($M1339)),$M1339=0),"",$C1339/$M1339-1)</f>
        <v/>
      </c>
    </row>
    <row r="1340" customFormat="false" ht="15" hidden="false" customHeight="true" outlineLevel="0" collapsed="false">
      <c r="A1340" s="39"/>
      <c r="B1340" s="40"/>
      <c r="C1340" s="41"/>
      <c r="D1340" s="40"/>
      <c r="E1340" s="40"/>
      <c r="F1340" s="40"/>
      <c r="G1340" s="35" t="str">
        <f aca="false">IF($A1340="","",IF(ISNUMBER($G1339),$G1339+1,1))</f>
        <v/>
      </c>
      <c r="H1340" s="36" t="str">
        <f aca="false">IF(OR(NOT(ISNUMBER($G1340)),$G1340&lt;2,NOT(ISNUMBER($C1339)),$C1339=0),"",$C1340/$C1339-1)</f>
        <v/>
      </c>
      <c r="I1340" s="37" t="str">
        <f aca="false">IF(AND(ISNUMBER($G1340),$G1340&gt;=MA_SHORT),AVERAGE(INDEX($C$940:$C1340,402-MA_SHORT):$C1340),"")</f>
        <v/>
      </c>
      <c r="J1340" s="37" t="str">
        <f aca="false">IF(AND(ISNUMBER($G1340),$G1340&gt;=MA_MED),AVERAGE(INDEX($C$940:$C1340,402-MA_MED):$C1340),"")</f>
        <v/>
      </c>
      <c r="K1340" s="37" t="str">
        <f aca="false">IF(AND(ISNUMBER($G1340),$G1340&gt;=MA_LONG2),AVERAGE(INDEX($C$940:$C1340,402-MA_LONG2):$C1340),"")</f>
        <v/>
      </c>
      <c r="L1340" s="38" t="str">
        <f aca="false">IF(AND(ISNUMBER($G1340),$G1340&gt;=21),STDEV(INDEX($H$1280:$H1340,62-20):$H1340)*SQRT(245),"")</f>
        <v/>
      </c>
      <c r="M1340" s="37" t="str">
        <f aca="false">IF(AND(ISNUMBER($G1340),$G1340&gt;=60),MAX(INDEX($D$1140:$D1340,202-60):$D1340),"")</f>
        <v/>
      </c>
      <c r="N1340" s="37" t="str">
        <f aca="false">IF(AND(ISNUMBER($G1340),$G1340&gt;=60),MIN(INDEX($E$1140:$E1340,202-60):$E1340),"")</f>
        <v/>
      </c>
      <c r="O1340" s="38" t="str">
        <f aca="false">IF(OR(NOT(ISNUMBER($C1340)),NOT(ISNUMBER($M1340)),$M1340=0),"",$C1340/$M1340-1)</f>
        <v/>
      </c>
    </row>
    <row r="1341" customFormat="false" ht="15" hidden="false" customHeight="true" outlineLevel="0" collapsed="false">
      <c r="A1341" s="39"/>
      <c r="B1341" s="40"/>
      <c r="C1341" s="41"/>
      <c r="D1341" s="40"/>
      <c r="E1341" s="40"/>
      <c r="F1341" s="40"/>
      <c r="G1341" s="35" t="str">
        <f aca="false">IF($A1341="","",IF(ISNUMBER($G1340),$G1340+1,1))</f>
        <v/>
      </c>
      <c r="H1341" s="36" t="str">
        <f aca="false">IF(OR(NOT(ISNUMBER($G1341)),$G1341&lt;2,NOT(ISNUMBER($C1340)),$C1340=0),"",$C1341/$C1340-1)</f>
        <v/>
      </c>
      <c r="I1341" s="37" t="str">
        <f aca="false">IF(AND(ISNUMBER($G1341),$G1341&gt;=MA_SHORT),AVERAGE(INDEX($C$941:$C1341,402-MA_SHORT):$C1341),"")</f>
        <v/>
      </c>
      <c r="J1341" s="37" t="str">
        <f aca="false">IF(AND(ISNUMBER($G1341),$G1341&gt;=MA_MED),AVERAGE(INDEX($C$941:$C1341,402-MA_MED):$C1341),"")</f>
        <v/>
      </c>
      <c r="K1341" s="37" t="str">
        <f aca="false">IF(AND(ISNUMBER($G1341),$G1341&gt;=MA_LONG2),AVERAGE(INDEX($C$941:$C1341,402-MA_LONG2):$C1341),"")</f>
        <v/>
      </c>
      <c r="L1341" s="38" t="str">
        <f aca="false">IF(AND(ISNUMBER($G1341),$G1341&gt;=21),STDEV(INDEX($H$1281:$H1341,62-20):$H1341)*SQRT(245),"")</f>
        <v/>
      </c>
      <c r="M1341" s="37" t="str">
        <f aca="false">IF(AND(ISNUMBER($G1341),$G1341&gt;=60),MAX(INDEX($D$1141:$D1341,202-60):$D1341),"")</f>
        <v/>
      </c>
      <c r="N1341" s="37" t="str">
        <f aca="false">IF(AND(ISNUMBER($G1341),$G1341&gt;=60),MIN(INDEX($E$1141:$E1341,202-60):$E1341),"")</f>
        <v/>
      </c>
      <c r="O1341" s="38" t="str">
        <f aca="false">IF(OR(NOT(ISNUMBER($C1341)),NOT(ISNUMBER($M1341)),$M1341=0),"",$C1341/$M1341-1)</f>
        <v/>
      </c>
    </row>
    <row r="1342" customFormat="false" ht="15" hidden="false" customHeight="true" outlineLevel="0" collapsed="false">
      <c r="A1342" s="39"/>
      <c r="B1342" s="40"/>
      <c r="C1342" s="41"/>
      <c r="D1342" s="40"/>
      <c r="E1342" s="40"/>
      <c r="F1342" s="40"/>
      <c r="G1342" s="35" t="str">
        <f aca="false">IF($A1342="","",IF(ISNUMBER($G1341),$G1341+1,1))</f>
        <v/>
      </c>
      <c r="H1342" s="36" t="str">
        <f aca="false">IF(OR(NOT(ISNUMBER($G1342)),$G1342&lt;2,NOT(ISNUMBER($C1341)),$C1341=0),"",$C1342/$C1341-1)</f>
        <v/>
      </c>
      <c r="I1342" s="37" t="str">
        <f aca="false">IF(AND(ISNUMBER($G1342),$G1342&gt;=MA_SHORT),AVERAGE(INDEX($C$942:$C1342,402-MA_SHORT):$C1342),"")</f>
        <v/>
      </c>
      <c r="J1342" s="37" t="str">
        <f aca="false">IF(AND(ISNUMBER($G1342),$G1342&gt;=MA_MED),AVERAGE(INDEX($C$942:$C1342,402-MA_MED):$C1342),"")</f>
        <v/>
      </c>
      <c r="K1342" s="37" t="str">
        <f aca="false">IF(AND(ISNUMBER($G1342),$G1342&gt;=MA_LONG2),AVERAGE(INDEX($C$942:$C1342,402-MA_LONG2):$C1342),"")</f>
        <v/>
      </c>
      <c r="L1342" s="38" t="str">
        <f aca="false">IF(AND(ISNUMBER($G1342),$G1342&gt;=21),STDEV(INDEX($H$1282:$H1342,62-20):$H1342)*SQRT(245),"")</f>
        <v/>
      </c>
      <c r="M1342" s="37" t="str">
        <f aca="false">IF(AND(ISNUMBER($G1342),$G1342&gt;=60),MAX(INDEX($D$1142:$D1342,202-60):$D1342),"")</f>
        <v/>
      </c>
      <c r="N1342" s="37" t="str">
        <f aca="false">IF(AND(ISNUMBER($G1342),$G1342&gt;=60),MIN(INDEX($E$1142:$E1342,202-60):$E1342),"")</f>
        <v/>
      </c>
      <c r="O1342" s="38" t="str">
        <f aca="false">IF(OR(NOT(ISNUMBER($C1342)),NOT(ISNUMBER($M1342)),$M1342=0),"",$C1342/$M1342-1)</f>
        <v/>
      </c>
    </row>
    <row r="1343" customFormat="false" ht="15" hidden="false" customHeight="true" outlineLevel="0" collapsed="false">
      <c r="A1343" s="39"/>
      <c r="B1343" s="40"/>
      <c r="C1343" s="41"/>
      <c r="D1343" s="40"/>
      <c r="E1343" s="40"/>
      <c r="F1343" s="40"/>
      <c r="G1343" s="35" t="str">
        <f aca="false">IF($A1343="","",IF(ISNUMBER($G1342),$G1342+1,1))</f>
        <v/>
      </c>
      <c r="H1343" s="36" t="str">
        <f aca="false">IF(OR(NOT(ISNUMBER($G1343)),$G1343&lt;2,NOT(ISNUMBER($C1342)),$C1342=0),"",$C1343/$C1342-1)</f>
        <v/>
      </c>
      <c r="I1343" s="37" t="str">
        <f aca="false">IF(AND(ISNUMBER($G1343),$G1343&gt;=MA_SHORT),AVERAGE(INDEX($C$943:$C1343,402-MA_SHORT):$C1343),"")</f>
        <v/>
      </c>
      <c r="J1343" s="37" t="str">
        <f aca="false">IF(AND(ISNUMBER($G1343),$G1343&gt;=MA_MED),AVERAGE(INDEX($C$943:$C1343,402-MA_MED):$C1343),"")</f>
        <v/>
      </c>
      <c r="K1343" s="37" t="str">
        <f aca="false">IF(AND(ISNUMBER($G1343),$G1343&gt;=MA_LONG2),AVERAGE(INDEX($C$943:$C1343,402-MA_LONG2):$C1343),"")</f>
        <v/>
      </c>
      <c r="L1343" s="38" t="str">
        <f aca="false">IF(AND(ISNUMBER($G1343),$G1343&gt;=21),STDEV(INDEX($H$1283:$H1343,62-20):$H1343)*SQRT(245),"")</f>
        <v/>
      </c>
      <c r="M1343" s="37" t="str">
        <f aca="false">IF(AND(ISNUMBER($G1343),$G1343&gt;=60),MAX(INDEX($D$1143:$D1343,202-60):$D1343),"")</f>
        <v/>
      </c>
      <c r="N1343" s="37" t="str">
        <f aca="false">IF(AND(ISNUMBER($G1343),$G1343&gt;=60),MIN(INDEX($E$1143:$E1343,202-60):$E1343),"")</f>
        <v/>
      </c>
      <c r="O1343" s="38" t="str">
        <f aca="false">IF(OR(NOT(ISNUMBER($C1343)),NOT(ISNUMBER($M1343)),$M1343=0),"",$C1343/$M1343-1)</f>
        <v/>
      </c>
    </row>
    <row r="1344" customFormat="false" ht="15" hidden="false" customHeight="true" outlineLevel="0" collapsed="false">
      <c r="A1344" s="39"/>
      <c r="B1344" s="40"/>
      <c r="C1344" s="41"/>
      <c r="D1344" s="40"/>
      <c r="E1344" s="40"/>
      <c r="F1344" s="40"/>
      <c r="G1344" s="35" t="str">
        <f aca="false">IF($A1344="","",IF(ISNUMBER($G1343),$G1343+1,1))</f>
        <v/>
      </c>
      <c r="H1344" s="36" t="str">
        <f aca="false">IF(OR(NOT(ISNUMBER($G1344)),$G1344&lt;2,NOT(ISNUMBER($C1343)),$C1343=0),"",$C1344/$C1343-1)</f>
        <v/>
      </c>
      <c r="I1344" s="37" t="str">
        <f aca="false">IF(AND(ISNUMBER($G1344),$G1344&gt;=MA_SHORT),AVERAGE(INDEX($C$944:$C1344,402-MA_SHORT):$C1344),"")</f>
        <v/>
      </c>
      <c r="J1344" s="37" t="str">
        <f aca="false">IF(AND(ISNUMBER($G1344),$G1344&gt;=MA_MED),AVERAGE(INDEX($C$944:$C1344,402-MA_MED):$C1344),"")</f>
        <v/>
      </c>
      <c r="K1344" s="37" t="str">
        <f aca="false">IF(AND(ISNUMBER($G1344),$G1344&gt;=MA_LONG2),AVERAGE(INDEX($C$944:$C1344,402-MA_LONG2):$C1344),"")</f>
        <v/>
      </c>
      <c r="L1344" s="38" t="str">
        <f aca="false">IF(AND(ISNUMBER($G1344),$G1344&gt;=21),STDEV(INDEX($H$1284:$H1344,62-20):$H1344)*SQRT(245),"")</f>
        <v/>
      </c>
      <c r="M1344" s="37" t="str">
        <f aca="false">IF(AND(ISNUMBER($G1344),$G1344&gt;=60),MAX(INDEX($D$1144:$D1344,202-60):$D1344),"")</f>
        <v/>
      </c>
      <c r="N1344" s="37" t="str">
        <f aca="false">IF(AND(ISNUMBER($G1344),$G1344&gt;=60),MIN(INDEX($E$1144:$E1344,202-60):$E1344),"")</f>
        <v/>
      </c>
      <c r="O1344" s="38" t="str">
        <f aca="false">IF(OR(NOT(ISNUMBER($C1344)),NOT(ISNUMBER($M1344)),$M1344=0),"",$C1344/$M1344-1)</f>
        <v/>
      </c>
    </row>
    <row r="1345" customFormat="false" ht="15" hidden="false" customHeight="true" outlineLevel="0" collapsed="false">
      <c r="A1345" s="39"/>
      <c r="B1345" s="40"/>
      <c r="C1345" s="41"/>
      <c r="D1345" s="40"/>
      <c r="E1345" s="40"/>
      <c r="F1345" s="40"/>
      <c r="G1345" s="35" t="str">
        <f aca="false">IF($A1345="","",IF(ISNUMBER($G1344),$G1344+1,1))</f>
        <v/>
      </c>
      <c r="H1345" s="36" t="str">
        <f aca="false">IF(OR(NOT(ISNUMBER($G1345)),$G1345&lt;2,NOT(ISNUMBER($C1344)),$C1344=0),"",$C1345/$C1344-1)</f>
        <v/>
      </c>
      <c r="I1345" s="37" t="str">
        <f aca="false">IF(AND(ISNUMBER($G1345),$G1345&gt;=MA_SHORT),AVERAGE(INDEX($C$945:$C1345,402-MA_SHORT):$C1345),"")</f>
        <v/>
      </c>
      <c r="J1345" s="37" t="str">
        <f aca="false">IF(AND(ISNUMBER($G1345),$G1345&gt;=MA_MED),AVERAGE(INDEX($C$945:$C1345,402-MA_MED):$C1345),"")</f>
        <v/>
      </c>
      <c r="K1345" s="37" t="str">
        <f aca="false">IF(AND(ISNUMBER($G1345),$G1345&gt;=MA_LONG2),AVERAGE(INDEX($C$945:$C1345,402-MA_LONG2):$C1345),"")</f>
        <v/>
      </c>
      <c r="L1345" s="38" t="str">
        <f aca="false">IF(AND(ISNUMBER($G1345),$G1345&gt;=21),STDEV(INDEX($H$1285:$H1345,62-20):$H1345)*SQRT(245),"")</f>
        <v/>
      </c>
      <c r="M1345" s="37" t="str">
        <f aca="false">IF(AND(ISNUMBER($G1345),$G1345&gt;=60),MAX(INDEX($D$1145:$D1345,202-60):$D1345),"")</f>
        <v/>
      </c>
      <c r="N1345" s="37" t="str">
        <f aca="false">IF(AND(ISNUMBER($G1345),$G1345&gt;=60),MIN(INDEX($E$1145:$E1345,202-60):$E1345),"")</f>
        <v/>
      </c>
      <c r="O1345" s="38" t="str">
        <f aca="false">IF(OR(NOT(ISNUMBER($C1345)),NOT(ISNUMBER($M1345)),$M1345=0),"",$C1345/$M1345-1)</f>
        <v/>
      </c>
    </row>
    <row r="1346" customFormat="false" ht="15" hidden="false" customHeight="true" outlineLevel="0" collapsed="false">
      <c r="A1346" s="39"/>
      <c r="B1346" s="40"/>
      <c r="C1346" s="41"/>
      <c r="D1346" s="40"/>
      <c r="E1346" s="40"/>
      <c r="F1346" s="40"/>
      <c r="G1346" s="35" t="str">
        <f aca="false">IF($A1346="","",IF(ISNUMBER($G1345),$G1345+1,1))</f>
        <v/>
      </c>
      <c r="H1346" s="36" t="str">
        <f aca="false">IF(OR(NOT(ISNUMBER($G1346)),$G1346&lt;2,NOT(ISNUMBER($C1345)),$C1345=0),"",$C1346/$C1345-1)</f>
        <v/>
      </c>
      <c r="I1346" s="37" t="str">
        <f aca="false">IF(AND(ISNUMBER($G1346),$G1346&gt;=MA_SHORT),AVERAGE(INDEX($C$946:$C1346,402-MA_SHORT):$C1346),"")</f>
        <v/>
      </c>
      <c r="J1346" s="37" t="str">
        <f aca="false">IF(AND(ISNUMBER($G1346),$G1346&gt;=MA_MED),AVERAGE(INDEX($C$946:$C1346,402-MA_MED):$C1346),"")</f>
        <v/>
      </c>
      <c r="K1346" s="37" t="str">
        <f aca="false">IF(AND(ISNUMBER($G1346),$G1346&gt;=MA_LONG2),AVERAGE(INDEX($C$946:$C1346,402-MA_LONG2):$C1346),"")</f>
        <v/>
      </c>
      <c r="L1346" s="38" t="str">
        <f aca="false">IF(AND(ISNUMBER($G1346),$G1346&gt;=21),STDEV(INDEX($H$1286:$H1346,62-20):$H1346)*SQRT(245),"")</f>
        <v/>
      </c>
      <c r="M1346" s="37" t="str">
        <f aca="false">IF(AND(ISNUMBER($G1346),$G1346&gt;=60),MAX(INDEX($D$1146:$D1346,202-60):$D1346),"")</f>
        <v/>
      </c>
      <c r="N1346" s="37" t="str">
        <f aca="false">IF(AND(ISNUMBER($G1346),$G1346&gt;=60),MIN(INDEX($E$1146:$E1346,202-60):$E1346),"")</f>
        <v/>
      </c>
      <c r="O1346" s="38" t="str">
        <f aca="false">IF(OR(NOT(ISNUMBER($C1346)),NOT(ISNUMBER($M1346)),$M1346=0),"",$C1346/$M1346-1)</f>
        <v/>
      </c>
    </row>
    <row r="1347" customFormat="false" ht="15" hidden="false" customHeight="true" outlineLevel="0" collapsed="false">
      <c r="A1347" s="39"/>
      <c r="B1347" s="40"/>
      <c r="C1347" s="41"/>
      <c r="D1347" s="40"/>
      <c r="E1347" s="40"/>
      <c r="F1347" s="40"/>
      <c r="G1347" s="35" t="str">
        <f aca="false">IF($A1347="","",IF(ISNUMBER($G1346),$G1346+1,1))</f>
        <v/>
      </c>
      <c r="H1347" s="36" t="str">
        <f aca="false">IF(OR(NOT(ISNUMBER($G1347)),$G1347&lt;2,NOT(ISNUMBER($C1346)),$C1346=0),"",$C1347/$C1346-1)</f>
        <v/>
      </c>
      <c r="I1347" s="37" t="str">
        <f aca="false">IF(AND(ISNUMBER($G1347),$G1347&gt;=MA_SHORT),AVERAGE(INDEX($C$947:$C1347,402-MA_SHORT):$C1347),"")</f>
        <v/>
      </c>
      <c r="J1347" s="37" t="str">
        <f aca="false">IF(AND(ISNUMBER($G1347),$G1347&gt;=MA_MED),AVERAGE(INDEX($C$947:$C1347,402-MA_MED):$C1347),"")</f>
        <v/>
      </c>
      <c r="K1347" s="37" t="str">
        <f aca="false">IF(AND(ISNUMBER($G1347),$G1347&gt;=MA_LONG2),AVERAGE(INDEX($C$947:$C1347,402-MA_LONG2):$C1347),"")</f>
        <v/>
      </c>
      <c r="L1347" s="38" t="str">
        <f aca="false">IF(AND(ISNUMBER($G1347),$G1347&gt;=21),STDEV(INDEX($H$1287:$H1347,62-20):$H1347)*SQRT(245),"")</f>
        <v/>
      </c>
      <c r="M1347" s="37" t="str">
        <f aca="false">IF(AND(ISNUMBER($G1347),$G1347&gt;=60),MAX(INDEX($D$1147:$D1347,202-60):$D1347),"")</f>
        <v/>
      </c>
      <c r="N1347" s="37" t="str">
        <f aca="false">IF(AND(ISNUMBER($G1347),$G1347&gt;=60),MIN(INDEX($E$1147:$E1347,202-60):$E1347),"")</f>
        <v/>
      </c>
      <c r="O1347" s="38" t="str">
        <f aca="false">IF(OR(NOT(ISNUMBER($C1347)),NOT(ISNUMBER($M1347)),$M1347=0),"",$C1347/$M1347-1)</f>
        <v/>
      </c>
    </row>
    <row r="1348" customFormat="false" ht="15" hidden="false" customHeight="true" outlineLevel="0" collapsed="false">
      <c r="A1348" s="39"/>
      <c r="B1348" s="40"/>
      <c r="C1348" s="41"/>
      <c r="D1348" s="40"/>
      <c r="E1348" s="40"/>
      <c r="F1348" s="40"/>
      <c r="G1348" s="35" t="str">
        <f aca="false">IF($A1348="","",IF(ISNUMBER($G1347),$G1347+1,1))</f>
        <v/>
      </c>
      <c r="H1348" s="36" t="str">
        <f aca="false">IF(OR(NOT(ISNUMBER($G1348)),$G1348&lt;2,NOT(ISNUMBER($C1347)),$C1347=0),"",$C1348/$C1347-1)</f>
        <v/>
      </c>
      <c r="I1348" s="37" t="str">
        <f aca="false">IF(AND(ISNUMBER($G1348),$G1348&gt;=MA_SHORT),AVERAGE(INDEX($C$948:$C1348,402-MA_SHORT):$C1348),"")</f>
        <v/>
      </c>
      <c r="J1348" s="37" t="str">
        <f aca="false">IF(AND(ISNUMBER($G1348),$G1348&gt;=MA_MED),AVERAGE(INDEX($C$948:$C1348,402-MA_MED):$C1348),"")</f>
        <v/>
      </c>
      <c r="K1348" s="37" t="str">
        <f aca="false">IF(AND(ISNUMBER($G1348),$G1348&gt;=MA_LONG2),AVERAGE(INDEX($C$948:$C1348,402-MA_LONG2):$C1348),"")</f>
        <v/>
      </c>
      <c r="L1348" s="38" t="str">
        <f aca="false">IF(AND(ISNUMBER($G1348),$G1348&gt;=21),STDEV(INDEX($H$1288:$H1348,62-20):$H1348)*SQRT(245),"")</f>
        <v/>
      </c>
      <c r="M1348" s="37" t="str">
        <f aca="false">IF(AND(ISNUMBER($G1348),$G1348&gt;=60),MAX(INDEX($D$1148:$D1348,202-60):$D1348),"")</f>
        <v/>
      </c>
      <c r="N1348" s="37" t="str">
        <f aca="false">IF(AND(ISNUMBER($G1348),$G1348&gt;=60),MIN(INDEX($E$1148:$E1348,202-60):$E1348),"")</f>
        <v/>
      </c>
      <c r="O1348" s="38" t="str">
        <f aca="false">IF(OR(NOT(ISNUMBER($C1348)),NOT(ISNUMBER($M1348)),$M1348=0),"",$C1348/$M1348-1)</f>
        <v/>
      </c>
    </row>
    <row r="1349" customFormat="false" ht="15" hidden="false" customHeight="true" outlineLevel="0" collapsed="false">
      <c r="A1349" s="39"/>
      <c r="B1349" s="40"/>
      <c r="C1349" s="41"/>
      <c r="D1349" s="40"/>
      <c r="E1349" s="40"/>
      <c r="F1349" s="40"/>
      <c r="G1349" s="35" t="str">
        <f aca="false">IF($A1349="","",IF(ISNUMBER($G1348),$G1348+1,1))</f>
        <v/>
      </c>
      <c r="H1349" s="36" t="str">
        <f aca="false">IF(OR(NOT(ISNUMBER($G1349)),$G1349&lt;2,NOT(ISNUMBER($C1348)),$C1348=0),"",$C1349/$C1348-1)</f>
        <v/>
      </c>
      <c r="I1349" s="37" t="str">
        <f aca="false">IF(AND(ISNUMBER($G1349),$G1349&gt;=MA_SHORT),AVERAGE(INDEX($C$949:$C1349,402-MA_SHORT):$C1349),"")</f>
        <v/>
      </c>
      <c r="J1349" s="37" t="str">
        <f aca="false">IF(AND(ISNUMBER($G1349),$G1349&gt;=MA_MED),AVERAGE(INDEX($C$949:$C1349,402-MA_MED):$C1349),"")</f>
        <v/>
      </c>
      <c r="K1349" s="37" t="str">
        <f aca="false">IF(AND(ISNUMBER($G1349),$G1349&gt;=MA_LONG2),AVERAGE(INDEX($C$949:$C1349,402-MA_LONG2):$C1349),"")</f>
        <v/>
      </c>
      <c r="L1349" s="38" t="str">
        <f aca="false">IF(AND(ISNUMBER($G1349),$G1349&gt;=21),STDEV(INDEX($H$1289:$H1349,62-20):$H1349)*SQRT(245),"")</f>
        <v/>
      </c>
      <c r="M1349" s="37" t="str">
        <f aca="false">IF(AND(ISNUMBER($G1349),$G1349&gt;=60),MAX(INDEX($D$1149:$D1349,202-60):$D1349),"")</f>
        <v/>
      </c>
      <c r="N1349" s="37" t="str">
        <f aca="false">IF(AND(ISNUMBER($G1349),$G1349&gt;=60),MIN(INDEX($E$1149:$E1349,202-60):$E1349),"")</f>
        <v/>
      </c>
      <c r="O1349" s="38" t="str">
        <f aca="false">IF(OR(NOT(ISNUMBER($C1349)),NOT(ISNUMBER($M1349)),$M1349=0),"",$C1349/$M1349-1)</f>
        <v/>
      </c>
    </row>
    <row r="1350" customFormat="false" ht="15" hidden="false" customHeight="true" outlineLevel="0" collapsed="false">
      <c r="A1350" s="39"/>
      <c r="B1350" s="40"/>
      <c r="C1350" s="41"/>
      <c r="D1350" s="40"/>
      <c r="E1350" s="40"/>
      <c r="F1350" s="40"/>
      <c r="G1350" s="35" t="str">
        <f aca="false">IF($A1350="","",IF(ISNUMBER($G1349),$G1349+1,1))</f>
        <v/>
      </c>
      <c r="H1350" s="36" t="str">
        <f aca="false">IF(OR(NOT(ISNUMBER($G1350)),$G1350&lt;2,NOT(ISNUMBER($C1349)),$C1349=0),"",$C1350/$C1349-1)</f>
        <v/>
      </c>
      <c r="I1350" s="37" t="str">
        <f aca="false">IF(AND(ISNUMBER($G1350),$G1350&gt;=MA_SHORT),AVERAGE(INDEX($C$950:$C1350,402-MA_SHORT):$C1350),"")</f>
        <v/>
      </c>
      <c r="J1350" s="37" t="str">
        <f aca="false">IF(AND(ISNUMBER($G1350),$G1350&gt;=MA_MED),AVERAGE(INDEX($C$950:$C1350,402-MA_MED):$C1350),"")</f>
        <v/>
      </c>
      <c r="K1350" s="37" t="str">
        <f aca="false">IF(AND(ISNUMBER($G1350),$G1350&gt;=MA_LONG2),AVERAGE(INDEX($C$950:$C1350,402-MA_LONG2):$C1350),"")</f>
        <v/>
      </c>
      <c r="L1350" s="38" t="str">
        <f aca="false">IF(AND(ISNUMBER($G1350),$G1350&gt;=21),STDEV(INDEX($H$1290:$H1350,62-20):$H1350)*SQRT(245),"")</f>
        <v/>
      </c>
      <c r="M1350" s="37" t="str">
        <f aca="false">IF(AND(ISNUMBER($G1350),$G1350&gt;=60),MAX(INDEX($D$1150:$D1350,202-60):$D1350),"")</f>
        <v/>
      </c>
      <c r="N1350" s="37" t="str">
        <f aca="false">IF(AND(ISNUMBER($G1350),$G1350&gt;=60),MIN(INDEX($E$1150:$E1350,202-60):$E1350),"")</f>
        <v/>
      </c>
      <c r="O1350" s="38" t="str">
        <f aca="false">IF(OR(NOT(ISNUMBER($C1350)),NOT(ISNUMBER($M1350)),$M1350=0),"",$C1350/$M1350-1)</f>
        <v/>
      </c>
    </row>
    <row r="1351" customFormat="false" ht="15" hidden="false" customHeight="true" outlineLevel="0" collapsed="false">
      <c r="A1351" s="39"/>
      <c r="B1351" s="40"/>
      <c r="C1351" s="41"/>
      <c r="D1351" s="40"/>
      <c r="E1351" s="40"/>
      <c r="F1351" s="40"/>
      <c r="G1351" s="35" t="str">
        <f aca="false">IF($A1351="","",IF(ISNUMBER($G1350),$G1350+1,1))</f>
        <v/>
      </c>
      <c r="H1351" s="36" t="str">
        <f aca="false">IF(OR(NOT(ISNUMBER($G1351)),$G1351&lt;2,NOT(ISNUMBER($C1350)),$C1350=0),"",$C1351/$C1350-1)</f>
        <v/>
      </c>
      <c r="I1351" s="37" t="str">
        <f aca="false">IF(AND(ISNUMBER($G1351),$G1351&gt;=MA_SHORT),AVERAGE(INDEX($C$951:$C1351,402-MA_SHORT):$C1351),"")</f>
        <v/>
      </c>
      <c r="J1351" s="37" t="str">
        <f aca="false">IF(AND(ISNUMBER($G1351),$G1351&gt;=MA_MED),AVERAGE(INDEX($C$951:$C1351,402-MA_MED):$C1351),"")</f>
        <v/>
      </c>
      <c r="K1351" s="37" t="str">
        <f aca="false">IF(AND(ISNUMBER($G1351),$G1351&gt;=MA_LONG2),AVERAGE(INDEX($C$951:$C1351,402-MA_LONG2):$C1351),"")</f>
        <v/>
      </c>
      <c r="L1351" s="38" t="str">
        <f aca="false">IF(AND(ISNUMBER($G1351),$G1351&gt;=21),STDEV(INDEX($H$1291:$H1351,62-20):$H1351)*SQRT(245),"")</f>
        <v/>
      </c>
      <c r="M1351" s="37" t="str">
        <f aca="false">IF(AND(ISNUMBER($G1351),$G1351&gt;=60),MAX(INDEX($D$1151:$D1351,202-60):$D1351),"")</f>
        <v/>
      </c>
      <c r="N1351" s="37" t="str">
        <f aca="false">IF(AND(ISNUMBER($G1351),$G1351&gt;=60),MIN(INDEX($E$1151:$E1351,202-60):$E1351),"")</f>
        <v/>
      </c>
      <c r="O1351" s="38" t="str">
        <f aca="false">IF(OR(NOT(ISNUMBER($C1351)),NOT(ISNUMBER($M1351)),$M1351=0),"",$C1351/$M1351-1)</f>
        <v/>
      </c>
    </row>
    <row r="1352" customFormat="false" ht="15" hidden="false" customHeight="true" outlineLevel="0" collapsed="false">
      <c r="A1352" s="39"/>
      <c r="B1352" s="40"/>
      <c r="C1352" s="41"/>
      <c r="D1352" s="40"/>
      <c r="E1352" s="40"/>
      <c r="F1352" s="40"/>
      <c r="G1352" s="35" t="str">
        <f aca="false">IF($A1352="","",IF(ISNUMBER($G1351),$G1351+1,1))</f>
        <v/>
      </c>
      <c r="H1352" s="36" t="str">
        <f aca="false">IF(OR(NOT(ISNUMBER($G1352)),$G1352&lt;2,NOT(ISNUMBER($C1351)),$C1351=0),"",$C1352/$C1351-1)</f>
        <v/>
      </c>
      <c r="I1352" s="37" t="str">
        <f aca="false">IF(AND(ISNUMBER($G1352),$G1352&gt;=MA_SHORT),AVERAGE(INDEX($C$952:$C1352,402-MA_SHORT):$C1352),"")</f>
        <v/>
      </c>
      <c r="J1352" s="37" t="str">
        <f aca="false">IF(AND(ISNUMBER($G1352),$G1352&gt;=MA_MED),AVERAGE(INDEX($C$952:$C1352,402-MA_MED):$C1352),"")</f>
        <v/>
      </c>
      <c r="K1352" s="37" t="str">
        <f aca="false">IF(AND(ISNUMBER($G1352),$G1352&gt;=MA_LONG2),AVERAGE(INDEX($C$952:$C1352,402-MA_LONG2):$C1352),"")</f>
        <v/>
      </c>
      <c r="L1352" s="38" t="str">
        <f aca="false">IF(AND(ISNUMBER($G1352),$G1352&gt;=21),STDEV(INDEX($H$1292:$H1352,62-20):$H1352)*SQRT(245),"")</f>
        <v/>
      </c>
      <c r="M1352" s="37" t="str">
        <f aca="false">IF(AND(ISNUMBER($G1352),$G1352&gt;=60),MAX(INDEX($D$1152:$D1352,202-60):$D1352),"")</f>
        <v/>
      </c>
      <c r="N1352" s="37" t="str">
        <f aca="false">IF(AND(ISNUMBER($G1352),$G1352&gt;=60),MIN(INDEX($E$1152:$E1352,202-60):$E1352),"")</f>
        <v/>
      </c>
      <c r="O1352" s="38" t="str">
        <f aca="false">IF(OR(NOT(ISNUMBER($C1352)),NOT(ISNUMBER($M1352)),$M1352=0),"",$C1352/$M1352-1)</f>
        <v/>
      </c>
    </row>
    <row r="1353" customFormat="false" ht="15" hidden="false" customHeight="true" outlineLevel="0" collapsed="false">
      <c r="A1353" s="39"/>
      <c r="B1353" s="40"/>
      <c r="C1353" s="41"/>
      <c r="D1353" s="40"/>
      <c r="E1353" s="40"/>
      <c r="F1353" s="40"/>
      <c r="G1353" s="35" t="str">
        <f aca="false">IF($A1353="","",IF(ISNUMBER($G1352),$G1352+1,1))</f>
        <v/>
      </c>
      <c r="H1353" s="36" t="str">
        <f aca="false">IF(OR(NOT(ISNUMBER($G1353)),$G1353&lt;2,NOT(ISNUMBER($C1352)),$C1352=0),"",$C1353/$C1352-1)</f>
        <v/>
      </c>
      <c r="I1353" s="37" t="str">
        <f aca="false">IF(AND(ISNUMBER($G1353),$G1353&gt;=MA_SHORT),AVERAGE(INDEX($C$953:$C1353,402-MA_SHORT):$C1353),"")</f>
        <v/>
      </c>
      <c r="J1353" s="37" t="str">
        <f aca="false">IF(AND(ISNUMBER($G1353),$G1353&gt;=MA_MED),AVERAGE(INDEX($C$953:$C1353,402-MA_MED):$C1353),"")</f>
        <v/>
      </c>
      <c r="K1353" s="37" t="str">
        <f aca="false">IF(AND(ISNUMBER($G1353),$G1353&gt;=MA_LONG2),AVERAGE(INDEX($C$953:$C1353,402-MA_LONG2):$C1353),"")</f>
        <v/>
      </c>
      <c r="L1353" s="38" t="str">
        <f aca="false">IF(AND(ISNUMBER($G1353),$G1353&gt;=21),STDEV(INDEX($H$1293:$H1353,62-20):$H1353)*SQRT(245),"")</f>
        <v/>
      </c>
      <c r="M1353" s="37" t="str">
        <f aca="false">IF(AND(ISNUMBER($G1353),$G1353&gt;=60),MAX(INDEX($D$1153:$D1353,202-60):$D1353),"")</f>
        <v/>
      </c>
      <c r="N1353" s="37" t="str">
        <f aca="false">IF(AND(ISNUMBER($G1353),$G1353&gt;=60),MIN(INDEX($E$1153:$E1353,202-60):$E1353),"")</f>
        <v/>
      </c>
      <c r="O1353" s="38" t="str">
        <f aca="false">IF(OR(NOT(ISNUMBER($C1353)),NOT(ISNUMBER($M1353)),$M1353=0),"",$C1353/$M1353-1)</f>
        <v/>
      </c>
    </row>
    <row r="1354" customFormat="false" ht="15" hidden="false" customHeight="true" outlineLevel="0" collapsed="false">
      <c r="A1354" s="39"/>
      <c r="B1354" s="40"/>
      <c r="C1354" s="41"/>
      <c r="D1354" s="40"/>
      <c r="E1354" s="40"/>
      <c r="F1354" s="40"/>
      <c r="G1354" s="35" t="str">
        <f aca="false">IF($A1354="","",IF(ISNUMBER($G1353),$G1353+1,1))</f>
        <v/>
      </c>
      <c r="H1354" s="36" t="str">
        <f aca="false">IF(OR(NOT(ISNUMBER($G1354)),$G1354&lt;2,NOT(ISNUMBER($C1353)),$C1353=0),"",$C1354/$C1353-1)</f>
        <v/>
      </c>
      <c r="I1354" s="37" t="str">
        <f aca="false">IF(AND(ISNUMBER($G1354),$G1354&gt;=MA_SHORT),AVERAGE(INDEX($C$954:$C1354,402-MA_SHORT):$C1354),"")</f>
        <v/>
      </c>
      <c r="J1354" s="37" t="str">
        <f aca="false">IF(AND(ISNUMBER($G1354),$G1354&gt;=MA_MED),AVERAGE(INDEX($C$954:$C1354,402-MA_MED):$C1354),"")</f>
        <v/>
      </c>
      <c r="K1354" s="37" t="str">
        <f aca="false">IF(AND(ISNUMBER($G1354),$G1354&gt;=MA_LONG2),AVERAGE(INDEX($C$954:$C1354,402-MA_LONG2):$C1354),"")</f>
        <v/>
      </c>
      <c r="L1354" s="38" t="str">
        <f aca="false">IF(AND(ISNUMBER($G1354),$G1354&gt;=21),STDEV(INDEX($H$1294:$H1354,62-20):$H1354)*SQRT(245),"")</f>
        <v/>
      </c>
      <c r="M1354" s="37" t="str">
        <f aca="false">IF(AND(ISNUMBER($G1354),$G1354&gt;=60),MAX(INDEX($D$1154:$D1354,202-60):$D1354),"")</f>
        <v/>
      </c>
      <c r="N1354" s="37" t="str">
        <f aca="false">IF(AND(ISNUMBER($G1354),$G1354&gt;=60),MIN(INDEX($E$1154:$E1354,202-60):$E1354),"")</f>
        <v/>
      </c>
      <c r="O1354" s="38" t="str">
        <f aca="false">IF(OR(NOT(ISNUMBER($C1354)),NOT(ISNUMBER($M1354)),$M1354=0),"",$C1354/$M1354-1)</f>
        <v/>
      </c>
    </row>
    <row r="1355" customFormat="false" ht="15" hidden="false" customHeight="true" outlineLevel="0" collapsed="false">
      <c r="A1355" s="39"/>
      <c r="B1355" s="40"/>
      <c r="C1355" s="41"/>
      <c r="D1355" s="40"/>
      <c r="E1355" s="40"/>
      <c r="F1355" s="40"/>
      <c r="G1355" s="35" t="str">
        <f aca="false">IF($A1355="","",IF(ISNUMBER($G1354),$G1354+1,1))</f>
        <v/>
      </c>
      <c r="H1355" s="36" t="str">
        <f aca="false">IF(OR(NOT(ISNUMBER($G1355)),$G1355&lt;2,NOT(ISNUMBER($C1354)),$C1354=0),"",$C1355/$C1354-1)</f>
        <v/>
      </c>
      <c r="I1355" s="37" t="str">
        <f aca="false">IF(AND(ISNUMBER($G1355),$G1355&gt;=MA_SHORT),AVERAGE(INDEX($C$955:$C1355,402-MA_SHORT):$C1355),"")</f>
        <v/>
      </c>
      <c r="J1355" s="37" t="str">
        <f aca="false">IF(AND(ISNUMBER($G1355),$G1355&gt;=MA_MED),AVERAGE(INDEX($C$955:$C1355,402-MA_MED):$C1355),"")</f>
        <v/>
      </c>
      <c r="K1355" s="37" t="str">
        <f aca="false">IF(AND(ISNUMBER($G1355),$G1355&gt;=MA_LONG2),AVERAGE(INDEX($C$955:$C1355,402-MA_LONG2):$C1355),"")</f>
        <v/>
      </c>
      <c r="L1355" s="38" t="str">
        <f aca="false">IF(AND(ISNUMBER($G1355),$G1355&gt;=21),STDEV(INDEX($H$1295:$H1355,62-20):$H1355)*SQRT(245),"")</f>
        <v/>
      </c>
      <c r="M1355" s="37" t="str">
        <f aca="false">IF(AND(ISNUMBER($G1355),$G1355&gt;=60),MAX(INDEX($D$1155:$D1355,202-60):$D1355),"")</f>
        <v/>
      </c>
      <c r="N1355" s="37" t="str">
        <f aca="false">IF(AND(ISNUMBER($G1355),$G1355&gt;=60),MIN(INDEX($E$1155:$E1355,202-60):$E1355),"")</f>
        <v/>
      </c>
      <c r="O1355" s="38" t="str">
        <f aca="false">IF(OR(NOT(ISNUMBER($C1355)),NOT(ISNUMBER($M1355)),$M1355=0),"",$C1355/$M1355-1)</f>
        <v/>
      </c>
    </row>
    <row r="1356" customFormat="false" ht="15" hidden="false" customHeight="true" outlineLevel="0" collapsed="false">
      <c r="A1356" s="39"/>
      <c r="B1356" s="40"/>
      <c r="C1356" s="41"/>
      <c r="D1356" s="40"/>
      <c r="E1356" s="40"/>
      <c r="F1356" s="40"/>
      <c r="G1356" s="35" t="str">
        <f aca="false">IF($A1356="","",IF(ISNUMBER($G1355),$G1355+1,1))</f>
        <v/>
      </c>
      <c r="H1356" s="36" t="str">
        <f aca="false">IF(OR(NOT(ISNUMBER($G1356)),$G1356&lt;2,NOT(ISNUMBER($C1355)),$C1355=0),"",$C1356/$C1355-1)</f>
        <v/>
      </c>
      <c r="I1356" s="37" t="str">
        <f aca="false">IF(AND(ISNUMBER($G1356),$G1356&gt;=MA_SHORT),AVERAGE(INDEX($C$956:$C1356,402-MA_SHORT):$C1356),"")</f>
        <v/>
      </c>
      <c r="J1356" s="37" t="str">
        <f aca="false">IF(AND(ISNUMBER($G1356),$G1356&gt;=MA_MED),AVERAGE(INDEX($C$956:$C1356,402-MA_MED):$C1356),"")</f>
        <v/>
      </c>
      <c r="K1356" s="37" t="str">
        <f aca="false">IF(AND(ISNUMBER($G1356),$G1356&gt;=MA_LONG2),AVERAGE(INDEX($C$956:$C1356,402-MA_LONG2):$C1356),"")</f>
        <v/>
      </c>
      <c r="L1356" s="38" t="str">
        <f aca="false">IF(AND(ISNUMBER($G1356),$G1356&gt;=21),STDEV(INDEX($H$1296:$H1356,62-20):$H1356)*SQRT(245),"")</f>
        <v/>
      </c>
      <c r="M1356" s="37" t="str">
        <f aca="false">IF(AND(ISNUMBER($G1356),$G1356&gt;=60),MAX(INDEX($D$1156:$D1356,202-60):$D1356),"")</f>
        <v/>
      </c>
      <c r="N1356" s="37" t="str">
        <f aca="false">IF(AND(ISNUMBER($G1356),$G1356&gt;=60),MIN(INDEX($E$1156:$E1356,202-60):$E1356),"")</f>
        <v/>
      </c>
      <c r="O1356" s="38" t="str">
        <f aca="false">IF(OR(NOT(ISNUMBER($C1356)),NOT(ISNUMBER($M1356)),$M1356=0),"",$C1356/$M1356-1)</f>
        <v/>
      </c>
    </row>
    <row r="1357" customFormat="false" ht="15" hidden="false" customHeight="true" outlineLevel="0" collapsed="false">
      <c r="A1357" s="39"/>
      <c r="B1357" s="40"/>
      <c r="C1357" s="41"/>
      <c r="D1357" s="40"/>
      <c r="E1357" s="40"/>
      <c r="F1357" s="40"/>
      <c r="G1357" s="35" t="str">
        <f aca="false">IF($A1357="","",IF(ISNUMBER($G1356),$G1356+1,1))</f>
        <v/>
      </c>
      <c r="H1357" s="36" t="str">
        <f aca="false">IF(OR(NOT(ISNUMBER($G1357)),$G1357&lt;2,NOT(ISNUMBER($C1356)),$C1356=0),"",$C1357/$C1356-1)</f>
        <v/>
      </c>
      <c r="I1357" s="37" t="str">
        <f aca="false">IF(AND(ISNUMBER($G1357),$G1357&gt;=MA_SHORT),AVERAGE(INDEX($C$957:$C1357,402-MA_SHORT):$C1357),"")</f>
        <v/>
      </c>
      <c r="J1357" s="37" t="str">
        <f aca="false">IF(AND(ISNUMBER($G1357),$G1357&gt;=MA_MED),AVERAGE(INDEX($C$957:$C1357,402-MA_MED):$C1357),"")</f>
        <v/>
      </c>
      <c r="K1357" s="37" t="str">
        <f aca="false">IF(AND(ISNUMBER($G1357),$G1357&gt;=MA_LONG2),AVERAGE(INDEX($C$957:$C1357,402-MA_LONG2):$C1357),"")</f>
        <v/>
      </c>
      <c r="L1357" s="38" t="str">
        <f aca="false">IF(AND(ISNUMBER($G1357),$G1357&gt;=21),STDEV(INDEX($H$1297:$H1357,62-20):$H1357)*SQRT(245),"")</f>
        <v/>
      </c>
      <c r="M1357" s="37" t="str">
        <f aca="false">IF(AND(ISNUMBER($G1357),$G1357&gt;=60),MAX(INDEX($D$1157:$D1357,202-60):$D1357),"")</f>
        <v/>
      </c>
      <c r="N1357" s="37" t="str">
        <f aca="false">IF(AND(ISNUMBER($G1357),$G1357&gt;=60),MIN(INDEX($E$1157:$E1357,202-60):$E1357),"")</f>
        <v/>
      </c>
      <c r="O1357" s="38" t="str">
        <f aca="false">IF(OR(NOT(ISNUMBER($C1357)),NOT(ISNUMBER($M1357)),$M1357=0),"",$C1357/$M1357-1)</f>
        <v/>
      </c>
    </row>
    <row r="1358" customFormat="false" ht="15" hidden="false" customHeight="true" outlineLevel="0" collapsed="false">
      <c r="A1358" s="39"/>
      <c r="B1358" s="40"/>
      <c r="C1358" s="41"/>
      <c r="D1358" s="40"/>
      <c r="E1358" s="40"/>
      <c r="F1358" s="40"/>
      <c r="G1358" s="35" t="str">
        <f aca="false">IF($A1358="","",IF(ISNUMBER($G1357),$G1357+1,1))</f>
        <v/>
      </c>
      <c r="H1358" s="36" t="str">
        <f aca="false">IF(OR(NOT(ISNUMBER($G1358)),$G1358&lt;2,NOT(ISNUMBER($C1357)),$C1357=0),"",$C1358/$C1357-1)</f>
        <v/>
      </c>
      <c r="I1358" s="37" t="str">
        <f aca="false">IF(AND(ISNUMBER($G1358),$G1358&gt;=MA_SHORT),AVERAGE(INDEX($C$958:$C1358,402-MA_SHORT):$C1358),"")</f>
        <v/>
      </c>
      <c r="J1358" s="37" t="str">
        <f aca="false">IF(AND(ISNUMBER($G1358),$G1358&gt;=MA_MED),AVERAGE(INDEX($C$958:$C1358,402-MA_MED):$C1358),"")</f>
        <v/>
      </c>
      <c r="K1358" s="37" t="str">
        <f aca="false">IF(AND(ISNUMBER($G1358),$G1358&gt;=MA_LONG2),AVERAGE(INDEX($C$958:$C1358,402-MA_LONG2):$C1358),"")</f>
        <v/>
      </c>
      <c r="L1358" s="38" t="str">
        <f aca="false">IF(AND(ISNUMBER($G1358),$G1358&gt;=21),STDEV(INDEX($H$1298:$H1358,62-20):$H1358)*SQRT(245),"")</f>
        <v/>
      </c>
      <c r="M1358" s="37" t="str">
        <f aca="false">IF(AND(ISNUMBER($G1358),$G1358&gt;=60),MAX(INDEX($D$1158:$D1358,202-60):$D1358),"")</f>
        <v/>
      </c>
      <c r="N1358" s="37" t="str">
        <f aca="false">IF(AND(ISNUMBER($G1358),$G1358&gt;=60),MIN(INDEX($E$1158:$E1358,202-60):$E1358),"")</f>
        <v/>
      </c>
      <c r="O1358" s="38" t="str">
        <f aca="false">IF(OR(NOT(ISNUMBER($C1358)),NOT(ISNUMBER($M1358)),$M1358=0),"",$C1358/$M1358-1)</f>
        <v/>
      </c>
    </row>
    <row r="1359" customFormat="false" ht="15" hidden="false" customHeight="true" outlineLevel="0" collapsed="false">
      <c r="A1359" s="39"/>
      <c r="B1359" s="40"/>
      <c r="C1359" s="41"/>
      <c r="D1359" s="40"/>
      <c r="E1359" s="40"/>
      <c r="F1359" s="40"/>
      <c r="G1359" s="35" t="str">
        <f aca="false">IF($A1359="","",IF(ISNUMBER($G1358),$G1358+1,1))</f>
        <v/>
      </c>
      <c r="H1359" s="36" t="str">
        <f aca="false">IF(OR(NOT(ISNUMBER($G1359)),$G1359&lt;2,NOT(ISNUMBER($C1358)),$C1358=0),"",$C1359/$C1358-1)</f>
        <v/>
      </c>
      <c r="I1359" s="37" t="str">
        <f aca="false">IF(AND(ISNUMBER($G1359),$G1359&gt;=MA_SHORT),AVERAGE(INDEX($C$959:$C1359,402-MA_SHORT):$C1359),"")</f>
        <v/>
      </c>
      <c r="J1359" s="37" t="str">
        <f aca="false">IF(AND(ISNUMBER($G1359),$G1359&gt;=MA_MED),AVERAGE(INDEX($C$959:$C1359,402-MA_MED):$C1359),"")</f>
        <v/>
      </c>
      <c r="K1359" s="37" t="str">
        <f aca="false">IF(AND(ISNUMBER($G1359),$G1359&gt;=MA_LONG2),AVERAGE(INDEX($C$959:$C1359,402-MA_LONG2):$C1359),"")</f>
        <v/>
      </c>
      <c r="L1359" s="38" t="str">
        <f aca="false">IF(AND(ISNUMBER($G1359),$G1359&gt;=21),STDEV(INDEX($H$1299:$H1359,62-20):$H1359)*SQRT(245),"")</f>
        <v/>
      </c>
      <c r="M1359" s="37" t="str">
        <f aca="false">IF(AND(ISNUMBER($G1359),$G1359&gt;=60),MAX(INDEX($D$1159:$D1359,202-60):$D1359),"")</f>
        <v/>
      </c>
      <c r="N1359" s="37" t="str">
        <f aca="false">IF(AND(ISNUMBER($G1359),$G1359&gt;=60),MIN(INDEX($E$1159:$E1359,202-60):$E1359),"")</f>
        <v/>
      </c>
      <c r="O1359" s="38" t="str">
        <f aca="false">IF(OR(NOT(ISNUMBER($C1359)),NOT(ISNUMBER($M1359)),$M1359=0),"",$C1359/$M1359-1)</f>
        <v/>
      </c>
    </row>
    <row r="1360" customFormat="false" ht="15" hidden="false" customHeight="true" outlineLevel="0" collapsed="false">
      <c r="A1360" s="39"/>
      <c r="B1360" s="40"/>
      <c r="C1360" s="41"/>
      <c r="D1360" s="40"/>
      <c r="E1360" s="40"/>
      <c r="F1360" s="40"/>
      <c r="G1360" s="35" t="str">
        <f aca="false">IF($A1360="","",IF(ISNUMBER($G1359),$G1359+1,1))</f>
        <v/>
      </c>
      <c r="H1360" s="36" t="str">
        <f aca="false">IF(OR(NOT(ISNUMBER($G1360)),$G1360&lt;2,NOT(ISNUMBER($C1359)),$C1359=0),"",$C1360/$C1359-1)</f>
        <v/>
      </c>
      <c r="I1360" s="37" t="str">
        <f aca="false">IF(AND(ISNUMBER($G1360),$G1360&gt;=MA_SHORT),AVERAGE(INDEX($C$960:$C1360,402-MA_SHORT):$C1360),"")</f>
        <v/>
      </c>
      <c r="J1360" s="37" t="str">
        <f aca="false">IF(AND(ISNUMBER($G1360),$G1360&gt;=MA_MED),AVERAGE(INDEX($C$960:$C1360,402-MA_MED):$C1360),"")</f>
        <v/>
      </c>
      <c r="K1360" s="37" t="str">
        <f aca="false">IF(AND(ISNUMBER($G1360),$G1360&gt;=MA_LONG2),AVERAGE(INDEX($C$960:$C1360,402-MA_LONG2):$C1360),"")</f>
        <v/>
      </c>
      <c r="L1360" s="38" t="str">
        <f aca="false">IF(AND(ISNUMBER($G1360),$G1360&gt;=21),STDEV(INDEX($H$1300:$H1360,62-20):$H1360)*SQRT(245),"")</f>
        <v/>
      </c>
      <c r="M1360" s="37" t="str">
        <f aca="false">IF(AND(ISNUMBER($G1360),$G1360&gt;=60),MAX(INDEX($D$1160:$D1360,202-60):$D1360),"")</f>
        <v/>
      </c>
      <c r="N1360" s="37" t="str">
        <f aca="false">IF(AND(ISNUMBER($G1360),$G1360&gt;=60),MIN(INDEX($E$1160:$E1360,202-60):$E1360),"")</f>
        <v/>
      </c>
      <c r="O1360" s="38" t="str">
        <f aca="false">IF(OR(NOT(ISNUMBER($C1360)),NOT(ISNUMBER($M1360)),$M1360=0),"",$C1360/$M1360-1)</f>
        <v/>
      </c>
    </row>
    <row r="1361" customFormat="false" ht="15" hidden="false" customHeight="true" outlineLevel="0" collapsed="false">
      <c r="A1361" s="39"/>
      <c r="B1361" s="40"/>
      <c r="C1361" s="41"/>
      <c r="D1361" s="40"/>
      <c r="E1361" s="40"/>
      <c r="F1361" s="40"/>
      <c r="G1361" s="35" t="str">
        <f aca="false">IF($A1361="","",IF(ISNUMBER($G1360),$G1360+1,1))</f>
        <v/>
      </c>
      <c r="H1361" s="36" t="str">
        <f aca="false">IF(OR(NOT(ISNUMBER($G1361)),$G1361&lt;2,NOT(ISNUMBER($C1360)),$C1360=0),"",$C1361/$C1360-1)</f>
        <v/>
      </c>
      <c r="I1361" s="37" t="str">
        <f aca="false">IF(AND(ISNUMBER($G1361),$G1361&gt;=MA_SHORT),AVERAGE(INDEX($C$961:$C1361,402-MA_SHORT):$C1361),"")</f>
        <v/>
      </c>
      <c r="J1361" s="37" t="str">
        <f aca="false">IF(AND(ISNUMBER($G1361),$G1361&gt;=MA_MED),AVERAGE(INDEX($C$961:$C1361,402-MA_MED):$C1361),"")</f>
        <v/>
      </c>
      <c r="K1361" s="37" t="str">
        <f aca="false">IF(AND(ISNUMBER($G1361),$G1361&gt;=MA_LONG2),AVERAGE(INDEX($C$961:$C1361,402-MA_LONG2):$C1361),"")</f>
        <v/>
      </c>
      <c r="L1361" s="38" t="str">
        <f aca="false">IF(AND(ISNUMBER($G1361),$G1361&gt;=21),STDEV(INDEX($H$1301:$H1361,62-20):$H1361)*SQRT(245),"")</f>
        <v/>
      </c>
      <c r="M1361" s="37" t="str">
        <f aca="false">IF(AND(ISNUMBER($G1361),$G1361&gt;=60),MAX(INDEX($D$1161:$D1361,202-60):$D1361),"")</f>
        <v/>
      </c>
      <c r="N1361" s="37" t="str">
        <f aca="false">IF(AND(ISNUMBER($G1361),$G1361&gt;=60),MIN(INDEX($E$1161:$E1361,202-60):$E1361),"")</f>
        <v/>
      </c>
      <c r="O1361" s="38" t="str">
        <f aca="false">IF(OR(NOT(ISNUMBER($C1361)),NOT(ISNUMBER($M1361)),$M1361=0),"",$C1361/$M1361-1)</f>
        <v/>
      </c>
    </row>
    <row r="1362" customFormat="false" ht="15" hidden="false" customHeight="true" outlineLevel="0" collapsed="false">
      <c r="A1362" s="39"/>
      <c r="B1362" s="40"/>
      <c r="C1362" s="41"/>
      <c r="D1362" s="40"/>
      <c r="E1362" s="40"/>
      <c r="F1362" s="40"/>
      <c r="G1362" s="35" t="str">
        <f aca="false">IF($A1362="","",IF(ISNUMBER($G1361),$G1361+1,1))</f>
        <v/>
      </c>
      <c r="H1362" s="36" t="str">
        <f aca="false">IF(OR(NOT(ISNUMBER($G1362)),$G1362&lt;2,NOT(ISNUMBER($C1361)),$C1361=0),"",$C1362/$C1361-1)</f>
        <v/>
      </c>
      <c r="I1362" s="37" t="str">
        <f aca="false">IF(AND(ISNUMBER($G1362),$G1362&gt;=MA_SHORT),AVERAGE(INDEX($C$962:$C1362,402-MA_SHORT):$C1362),"")</f>
        <v/>
      </c>
      <c r="J1362" s="37" t="str">
        <f aca="false">IF(AND(ISNUMBER($G1362),$G1362&gt;=MA_MED),AVERAGE(INDEX($C$962:$C1362,402-MA_MED):$C1362),"")</f>
        <v/>
      </c>
      <c r="K1362" s="37" t="str">
        <f aca="false">IF(AND(ISNUMBER($G1362),$G1362&gt;=MA_LONG2),AVERAGE(INDEX($C$962:$C1362,402-MA_LONG2):$C1362),"")</f>
        <v/>
      </c>
      <c r="L1362" s="38" t="str">
        <f aca="false">IF(AND(ISNUMBER($G1362),$G1362&gt;=21),STDEV(INDEX($H$1302:$H1362,62-20):$H1362)*SQRT(245),"")</f>
        <v/>
      </c>
      <c r="M1362" s="37" t="str">
        <f aca="false">IF(AND(ISNUMBER($G1362),$G1362&gt;=60),MAX(INDEX($D$1162:$D1362,202-60):$D1362),"")</f>
        <v/>
      </c>
      <c r="N1362" s="37" t="str">
        <f aca="false">IF(AND(ISNUMBER($G1362),$G1362&gt;=60),MIN(INDEX($E$1162:$E1362,202-60):$E1362),"")</f>
        <v/>
      </c>
      <c r="O1362" s="38" t="str">
        <f aca="false">IF(OR(NOT(ISNUMBER($C1362)),NOT(ISNUMBER($M1362)),$M1362=0),"",$C1362/$M1362-1)</f>
        <v/>
      </c>
    </row>
    <row r="1363" customFormat="false" ht="15" hidden="false" customHeight="true" outlineLevel="0" collapsed="false">
      <c r="A1363" s="39"/>
      <c r="B1363" s="40"/>
      <c r="C1363" s="41"/>
      <c r="D1363" s="40"/>
      <c r="E1363" s="40"/>
      <c r="F1363" s="40"/>
      <c r="G1363" s="35" t="str">
        <f aca="false">IF($A1363="","",IF(ISNUMBER($G1362),$G1362+1,1))</f>
        <v/>
      </c>
      <c r="H1363" s="36" t="str">
        <f aca="false">IF(OR(NOT(ISNUMBER($G1363)),$G1363&lt;2,NOT(ISNUMBER($C1362)),$C1362=0),"",$C1363/$C1362-1)</f>
        <v/>
      </c>
      <c r="I1363" s="37" t="str">
        <f aca="false">IF(AND(ISNUMBER($G1363),$G1363&gt;=MA_SHORT),AVERAGE(INDEX($C$963:$C1363,402-MA_SHORT):$C1363),"")</f>
        <v/>
      </c>
      <c r="J1363" s="37" t="str">
        <f aca="false">IF(AND(ISNUMBER($G1363),$G1363&gt;=MA_MED),AVERAGE(INDEX($C$963:$C1363,402-MA_MED):$C1363),"")</f>
        <v/>
      </c>
      <c r="K1363" s="37" t="str">
        <f aca="false">IF(AND(ISNUMBER($G1363),$G1363&gt;=MA_LONG2),AVERAGE(INDEX($C$963:$C1363,402-MA_LONG2):$C1363),"")</f>
        <v/>
      </c>
      <c r="L1363" s="38" t="str">
        <f aca="false">IF(AND(ISNUMBER($G1363),$G1363&gt;=21),STDEV(INDEX($H$1303:$H1363,62-20):$H1363)*SQRT(245),"")</f>
        <v/>
      </c>
      <c r="M1363" s="37" t="str">
        <f aca="false">IF(AND(ISNUMBER($G1363),$G1363&gt;=60),MAX(INDEX($D$1163:$D1363,202-60):$D1363),"")</f>
        <v/>
      </c>
      <c r="N1363" s="37" t="str">
        <f aca="false">IF(AND(ISNUMBER($G1363),$G1363&gt;=60),MIN(INDEX($E$1163:$E1363,202-60):$E1363),"")</f>
        <v/>
      </c>
      <c r="O1363" s="38" t="str">
        <f aca="false">IF(OR(NOT(ISNUMBER($C1363)),NOT(ISNUMBER($M1363)),$M1363=0),"",$C1363/$M1363-1)</f>
        <v/>
      </c>
    </row>
    <row r="1364" customFormat="false" ht="15" hidden="false" customHeight="true" outlineLevel="0" collapsed="false">
      <c r="A1364" s="39"/>
      <c r="B1364" s="40"/>
      <c r="C1364" s="41"/>
      <c r="D1364" s="40"/>
      <c r="E1364" s="40"/>
      <c r="F1364" s="40"/>
      <c r="G1364" s="35" t="str">
        <f aca="false">IF($A1364="","",IF(ISNUMBER($G1363),$G1363+1,1))</f>
        <v/>
      </c>
      <c r="H1364" s="36" t="str">
        <f aca="false">IF(OR(NOT(ISNUMBER($G1364)),$G1364&lt;2,NOT(ISNUMBER($C1363)),$C1363=0),"",$C1364/$C1363-1)</f>
        <v/>
      </c>
      <c r="I1364" s="37" t="str">
        <f aca="false">IF(AND(ISNUMBER($G1364),$G1364&gt;=MA_SHORT),AVERAGE(INDEX($C$964:$C1364,402-MA_SHORT):$C1364),"")</f>
        <v/>
      </c>
      <c r="J1364" s="37" t="str">
        <f aca="false">IF(AND(ISNUMBER($G1364),$G1364&gt;=MA_MED),AVERAGE(INDEX($C$964:$C1364,402-MA_MED):$C1364),"")</f>
        <v/>
      </c>
      <c r="K1364" s="37" t="str">
        <f aca="false">IF(AND(ISNUMBER($G1364),$G1364&gt;=MA_LONG2),AVERAGE(INDEX($C$964:$C1364,402-MA_LONG2):$C1364),"")</f>
        <v/>
      </c>
      <c r="L1364" s="38" t="str">
        <f aca="false">IF(AND(ISNUMBER($G1364),$G1364&gt;=21),STDEV(INDEX($H$1304:$H1364,62-20):$H1364)*SQRT(245),"")</f>
        <v/>
      </c>
      <c r="M1364" s="37" t="str">
        <f aca="false">IF(AND(ISNUMBER($G1364),$G1364&gt;=60),MAX(INDEX($D$1164:$D1364,202-60):$D1364),"")</f>
        <v/>
      </c>
      <c r="N1364" s="37" t="str">
        <f aca="false">IF(AND(ISNUMBER($G1364),$G1364&gt;=60),MIN(INDEX($E$1164:$E1364,202-60):$E1364),"")</f>
        <v/>
      </c>
      <c r="O1364" s="38" t="str">
        <f aca="false">IF(OR(NOT(ISNUMBER($C1364)),NOT(ISNUMBER($M1364)),$M1364=0),"",$C1364/$M1364-1)</f>
        <v/>
      </c>
    </row>
    <row r="1365" customFormat="false" ht="15" hidden="false" customHeight="true" outlineLevel="0" collapsed="false">
      <c r="A1365" s="39"/>
      <c r="B1365" s="40"/>
      <c r="C1365" s="41"/>
      <c r="D1365" s="40"/>
      <c r="E1365" s="40"/>
      <c r="F1365" s="40"/>
      <c r="G1365" s="35" t="str">
        <f aca="false">IF($A1365="","",IF(ISNUMBER($G1364),$G1364+1,1))</f>
        <v/>
      </c>
      <c r="H1365" s="36" t="str">
        <f aca="false">IF(OR(NOT(ISNUMBER($G1365)),$G1365&lt;2,NOT(ISNUMBER($C1364)),$C1364=0),"",$C1365/$C1364-1)</f>
        <v/>
      </c>
      <c r="I1365" s="37" t="str">
        <f aca="false">IF(AND(ISNUMBER($G1365),$G1365&gt;=MA_SHORT),AVERAGE(INDEX($C$965:$C1365,402-MA_SHORT):$C1365),"")</f>
        <v/>
      </c>
      <c r="J1365" s="37" t="str">
        <f aca="false">IF(AND(ISNUMBER($G1365),$G1365&gt;=MA_MED),AVERAGE(INDEX($C$965:$C1365,402-MA_MED):$C1365),"")</f>
        <v/>
      </c>
      <c r="K1365" s="37" t="str">
        <f aca="false">IF(AND(ISNUMBER($G1365),$G1365&gt;=MA_LONG2),AVERAGE(INDEX($C$965:$C1365,402-MA_LONG2):$C1365),"")</f>
        <v/>
      </c>
      <c r="L1365" s="38" t="str">
        <f aca="false">IF(AND(ISNUMBER($G1365),$G1365&gt;=21),STDEV(INDEX($H$1305:$H1365,62-20):$H1365)*SQRT(245),"")</f>
        <v/>
      </c>
      <c r="M1365" s="37" t="str">
        <f aca="false">IF(AND(ISNUMBER($G1365),$G1365&gt;=60),MAX(INDEX($D$1165:$D1365,202-60):$D1365),"")</f>
        <v/>
      </c>
      <c r="N1365" s="37" t="str">
        <f aca="false">IF(AND(ISNUMBER($G1365),$G1365&gt;=60),MIN(INDEX($E$1165:$E1365,202-60):$E1365),"")</f>
        <v/>
      </c>
      <c r="O1365" s="38" t="str">
        <f aca="false">IF(OR(NOT(ISNUMBER($C1365)),NOT(ISNUMBER($M1365)),$M1365=0),"",$C1365/$M1365-1)</f>
        <v/>
      </c>
    </row>
    <row r="1366" customFormat="false" ht="15" hidden="false" customHeight="true" outlineLevel="0" collapsed="false">
      <c r="A1366" s="39"/>
      <c r="B1366" s="40"/>
      <c r="C1366" s="41"/>
      <c r="D1366" s="40"/>
      <c r="E1366" s="40"/>
      <c r="F1366" s="40"/>
      <c r="G1366" s="35" t="str">
        <f aca="false">IF($A1366="","",IF(ISNUMBER($G1365),$G1365+1,1))</f>
        <v/>
      </c>
      <c r="H1366" s="36" t="str">
        <f aca="false">IF(OR(NOT(ISNUMBER($G1366)),$G1366&lt;2,NOT(ISNUMBER($C1365)),$C1365=0),"",$C1366/$C1365-1)</f>
        <v/>
      </c>
      <c r="I1366" s="37" t="str">
        <f aca="false">IF(AND(ISNUMBER($G1366),$G1366&gt;=MA_SHORT),AVERAGE(INDEX($C$966:$C1366,402-MA_SHORT):$C1366),"")</f>
        <v/>
      </c>
      <c r="J1366" s="37" t="str">
        <f aca="false">IF(AND(ISNUMBER($G1366),$G1366&gt;=MA_MED),AVERAGE(INDEX($C$966:$C1366,402-MA_MED):$C1366),"")</f>
        <v/>
      </c>
      <c r="K1366" s="37" t="str">
        <f aca="false">IF(AND(ISNUMBER($G1366),$G1366&gt;=MA_LONG2),AVERAGE(INDEX($C$966:$C1366,402-MA_LONG2):$C1366),"")</f>
        <v/>
      </c>
      <c r="L1366" s="38" t="str">
        <f aca="false">IF(AND(ISNUMBER($G1366),$G1366&gt;=21),STDEV(INDEX($H$1306:$H1366,62-20):$H1366)*SQRT(245),"")</f>
        <v/>
      </c>
      <c r="M1366" s="37" t="str">
        <f aca="false">IF(AND(ISNUMBER($G1366),$G1366&gt;=60),MAX(INDEX($D$1166:$D1366,202-60):$D1366),"")</f>
        <v/>
      </c>
      <c r="N1366" s="37" t="str">
        <f aca="false">IF(AND(ISNUMBER($G1366),$G1366&gt;=60),MIN(INDEX($E$1166:$E1366,202-60):$E1366),"")</f>
        <v/>
      </c>
      <c r="O1366" s="38" t="str">
        <f aca="false">IF(OR(NOT(ISNUMBER($C1366)),NOT(ISNUMBER($M1366)),$M1366=0),"",$C1366/$M1366-1)</f>
        <v/>
      </c>
    </row>
    <row r="1367" customFormat="false" ht="15" hidden="false" customHeight="true" outlineLevel="0" collapsed="false">
      <c r="A1367" s="39"/>
      <c r="B1367" s="40"/>
      <c r="C1367" s="41"/>
      <c r="D1367" s="40"/>
      <c r="E1367" s="40"/>
      <c r="F1367" s="40"/>
      <c r="G1367" s="35" t="str">
        <f aca="false">IF($A1367="","",IF(ISNUMBER($G1366),$G1366+1,1))</f>
        <v/>
      </c>
      <c r="H1367" s="36" t="str">
        <f aca="false">IF(OR(NOT(ISNUMBER($G1367)),$G1367&lt;2,NOT(ISNUMBER($C1366)),$C1366=0),"",$C1367/$C1366-1)</f>
        <v/>
      </c>
      <c r="I1367" s="37" t="str">
        <f aca="false">IF(AND(ISNUMBER($G1367),$G1367&gt;=MA_SHORT),AVERAGE(INDEX($C$967:$C1367,402-MA_SHORT):$C1367),"")</f>
        <v/>
      </c>
      <c r="J1367" s="37" t="str">
        <f aca="false">IF(AND(ISNUMBER($G1367),$G1367&gt;=MA_MED),AVERAGE(INDEX($C$967:$C1367,402-MA_MED):$C1367),"")</f>
        <v/>
      </c>
      <c r="K1367" s="37" t="str">
        <f aca="false">IF(AND(ISNUMBER($G1367),$G1367&gt;=MA_LONG2),AVERAGE(INDEX($C$967:$C1367,402-MA_LONG2):$C1367),"")</f>
        <v/>
      </c>
      <c r="L1367" s="38" t="str">
        <f aca="false">IF(AND(ISNUMBER($G1367),$G1367&gt;=21),STDEV(INDEX($H$1307:$H1367,62-20):$H1367)*SQRT(245),"")</f>
        <v/>
      </c>
      <c r="M1367" s="37" t="str">
        <f aca="false">IF(AND(ISNUMBER($G1367),$G1367&gt;=60),MAX(INDEX($D$1167:$D1367,202-60):$D1367),"")</f>
        <v/>
      </c>
      <c r="N1367" s="37" t="str">
        <f aca="false">IF(AND(ISNUMBER($G1367),$G1367&gt;=60),MIN(INDEX($E$1167:$E1367,202-60):$E1367),"")</f>
        <v/>
      </c>
      <c r="O1367" s="38" t="str">
        <f aca="false">IF(OR(NOT(ISNUMBER($C1367)),NOT(ISNUMBER($M1367)),$M1367=0),"",$C1367/$M1367-1)</f>
        <v/>
      </c>
    </row>
    <row r="1368" customFormat="false" ht="15" hidden="false" customHeight="true" outlineLevel="0" collapsed="false">
      <c r="A1368" s="39"/>
      <c r="B1368" s="40"/>
      <c r="C1368" s="41"/>
      <c r="D1368" s="40"/>
      <c r="E1368" s="40"/>
      <c r="F1368" s="40"/>
      <c r="G1368" s="35" t="str">
        <f aca="false">IF($A1368="","",IF(ISNUMBER($G1367),$G1367+1,1))</f>
        <v/>
      </c>
      <c r="H1368" s="36" t="str">
        <f aca="false">IF(OR(NOT(ISNUMBER($G1368)),$G1368&lt;2,NOT(ISNUMBER($C1367)),$C1367=0),"",$C1368/$C1367-1)</f>
        <v/>
      </c>
      <c r="I1368" s="37" t="str">
        <f aca="false">IF(AND(ISNUMBER($G1368),$G1368&gt;=MA_SHORT),AVERAGE(INDEX($C$968:$C1368,402-MA_SHORT):$C1368),"")</f>
        <v/>
      </c>
      <c r="J1368" s="37" t="str">
        <f aca="false">IF(AND(ISNUMBER($G1368),$G1368&gt;=MA_MED),AVERAGE(INDEX($C$968:$C1368,402-MA_MED):$C1368),"")</f>
        <v/>
      </c>
      <c r="K1368" s="37" t="str">
        <f aca="false">IF(AND(ISNUMBER($G1368),$G1368&gt;=MA_LONG2),AVERAGE(INDEX($C$968:$C1368,402-MA_LONG2):$C1368),"")</f>
        <v/>
      </c>
      <c r="L1368" s="38" t="str">
        <f aca="false">IF(AND(ISNUMBER($G1368),$G1368&gt;=21),STDEV(INDEX($H$1308:$H1368,62-20):$H1368)*SQRT(245),"")</f>
        <v/>
      </c>
      <c r="M1368" s="37" t="str">
        <f aca="false">IF(AND(ISNUMBER($G1368),$G1368&gt;=60),MAX(INDEX($D$1168:$D1368,202-60):$D1368),"")</f>
        <v/>
      </c>
      <c r="N1368" s="37" t="str">
        <f aca="false">IF(AND(ISNUMBER($G1368),$G1368&gt;=60),MIN(INDEX($E$1168:$E1368,202-60):$E1368),"")</f>
        <v/>
      </c>
      <c r="O1368" s="38" t="str">
        <f aca="false">IF(OR(NOT(ISNUMBER($C1368)),NOT(ISNUMBER($M1368)),$M1368=0),"",$C1368/$M1368-1)</f>
        <v/>
      </c>
    </row>
    <row r="1369" customFormat="false" ht="15" hidden="false" customHeight="true" outlineLevel="0" collapsed="false">
      <c r="A1369" s="39"/>
      <c r="B1369" s="40"/>
      <c r="C1369" s="41"/>
      <c r="D1369" s="40"/>
      <c r="E1369" s="40"/>
      <c r="F1369" s="40"/>
      <c r="G1369" s="35" t="str">
        <f aca="false">IF($A1369="","",IF(ISNUMBER($G1368),$G1368+1,1))</f>
        <v/>
      </c>
      <c r="H1369" s="36" t="str">
        <f aca="false">IF(OR(NOT(ISNUMBER($G1369)),$G1369&lt;2,NOT(ISNUMBER($C1368)),$C1368=0),"",$C1369/$C1368-1)</f>
        <v/>
      </c>
      <c r="I1369" s="37" t="str">
        <f aca="false">IF(AND(ISNUMBER($G1369),$G1369&gt;=MA_SHORT),AVERAGE(INDEX($C$969:$C1369,402-MA_SHORT):$C1369),"")</f>
        <v/>
      </c>
      <c r="J1369" s="37" t="str">
        <f aca="false">IF(AND(ISNUMBER($G1369),$G1369&gt;=MA_MED),AVERAGE(INDEX($C$969:$C1369,402-MA_MED):$C1369),"")</f>
        <v/>
      </c>
      <c r="K1369" s="37" t="str">
        <f aca="false">IF(AND(ISNUMBER($G1369),$G1369&gt;=MA_LONG2),AVERAGE(INDEX($C$969:$C1369,402-MA_LONG2):$C1369),"")</f>
        <v/>
      </c>
      <c r="L1369" s="38" t="str">
        <f aca="false">IF(AND(ISNUMBER($G1369),$G1369&gt;=21),STDEV(INDEX($H$1309:$H1369,62-20):$H1369)*SQRT(245),"")</f>
        <v/>
      </c>
      <c r="M1369" s="37" t="str">
        <f aca="false">IF(AND(ISNUMBER($G1369),$G1369&gt;=60),MAX(INDEX($D$1169:$D1369,202-60):$D1369),"")</f>
        <v/>
      </c>
      <c r="N1369" s="37" t="str">
        <f aca="false">IF(AND(ISNUMBER($G1369),$G1369&gt;=60),MIN(INDEX($E$1169:$E1369,202-60):$E1369),"")</f>
        <v/>
      </c>
      <c r="O1369" s="38" t="str">
        <f aca="false">IF(OR(NOT(ISNUMBER($C1369)),NOT(ISNUMBER($M1369)),$M1369=0),"",$C1369/$M1369-1)</f>
        <v/>
      </c>
    </row>
    <row r="1370" customFormat="false" ht="15" hidden="false" customHeight="true" outlineLevel="0" collapsed="false">
      <c r="A1370" s="39"/>
      <c r="B1370" s="40"/>
      <c r="C1370" s="41"/>
      <c r="D1370" s="40"/>
      <c r="E1370" s="40"/>
      <c r="F1370" s="40"/>
      <c r="G1370" s="35" t="str">
        <f aca="false">IF($A1370="","",IF(ISNUMBER($G1369),$G1369+1,1))</f>
        <v/>
      </c>
      <c r="H1370" s="36" t="str">
        <f aca="false">IF(OR(NOT(ISNUMBER($G1370)),$G1370&lt;2,NOT(ISNUMBER($C1369)),$C1369=0),"",$C1370/$C1369-1)</f>
        <v/>
      </c>
      <c r="I1370" s="37" t="str">
        <f aca="false">IF(AND(ISNUMBER($G1370),$G1370&gt;=MA_SHORT),AVERAGE(INDEX($C$970:$C1370,402-MA_SHORT):$C1370),"")</f>
        <v/>
      </c>
      <c r="J1370" s="37" t="str">
        <f aca="false">IF(AND(ISNUMBER($G1370),$G1370&gt;=MA_MED),AVERAGE(INDEX($C$970:$C1370,402-MA_MED):$C1370),"")</f>
        <v/>
      </c>
      <c r="K1370" s="37" t="str">
        <f aca="false">IF(AND(ISNUMBER($G1370),$G1370&gt;=MA_LONG2),AVERAGE(INDEX($C$970:$C1370,402-MA_LONG2):$C1370),"")</f>
        <v/>
      </c>
      <c r="L1370" s="38" t="str">
        <f aca="false">IF(AND(ISNUMBER($G1370),$G1370&gt;=21),STDEV(INDEX($H$1310:$H1370,62-20):$H1370)*SQRT(245),"")</f>
        <v/>
      </c>
      <c r="M1370" s="37" t="str">
        <f aca="false">IF(AND(ISNUMBER($G1370),$G1370&gt;=60),MAX(INDEX($D$1170:$D1370,202-60):$D1370),"")</f>
        <v/>
      </c>
      <c r="N1370" s="37" t="str">
        <f aca="false">IF(AND(ISNUMBER($G1370),$G1370&gt;=60),MIN(INDEX($E$1170:$E1370,202-60):$E1370),"")</f>
        <v/>
      </c>
      <c r="O1370" s="38" t="str">
        <f aca="false">IF(OR(NOT(ISNUMBER($C1370)),NOT(ISNUMBER($M1370)),$M1370=0),"",$C1370/$M1370-1)</f>
        <v/>
      </c>
    </row>
    <row r="1371" customFormat="false" ht="15" hidden="false" customHeight="true" outlineLevel="0" collapsed="false">
      <c r="A1371" s="39"/>
      <c r="B1371" s="40"/>
      <c r="C1371" s="41"/>
      <c r="D1371" s="40"/>
      <c r="E1371" s="40"/>
      <c r="F1371" s="40"/>
      <c r="G1371" s="35" t="str">
        <f aca="false">IF($A1371="","",IF(ISNUMBER($G1370),$G1370+1,1))</f>
        <v/>
      </c>
      <c r="H1371" s="36" t="str">
        <f aca="false">IF(OR(NOT(ISNUMBER($G1371)),$G1371&lt;2,NOT(ISNUMBER($C1370)),$C1370=0),"",$C1371/$C1370-1)</f>
        <v/>
      </c>
      <c r="I1371" s="37" t="str">
        <f aca="false">IF(AND(ISNUMBER($G1371),$G1371&gt;=MA_SHORT),AVERAGE(INDEX($C$971:$C1371,402-MA_SHORT):$C1371),"")</f>
        <v/>
      </c>
      <c r="J1371" s="37" t="str">
        <f aca="false">IF(AND(ISNUMBER($G1371),$G1371&gt;=MA_MED),AVERAGE(INDEX($C$971:$C1371,402-MA_MED):$C1371),"")</f>
        <v/>
      </c>
      <c r="K1371" s="37" t="str">
        <f aca="false">IF(AND(ISNUMBER($G1371),$G1371&gt;=MA_LONG2),AVERAGE(INDEX($C$971:$C1371,402-MA_LONG2):$C1371),"")</f>
        <v/>
      </c>
      <c r="L1371" s="38" t="str">
        <f aca="false">IF(AND(ISNUMBER($G1371),$G1371&gt;=21),STDEV(INDEX($H$1311:$H1371,62-20):$H1371)*SQRT(245),"")</f>
        <v/>
      </c>
      <c r="M1371" s="37" t="str">
        <f aca="false">IF(AND(ISNUMBER($G1371),$G1371&gt;=60),MAX(INDEX($D$1171:$D1371,202-60):$D1371),"")</f>
        <v/>
      </c>
      <c r="N1371" s="37" t="str">
        <f aca="false">IF(AND(ISNUMBER($G1371),$G1371&gt;=60),MIN(INDEX($E$1171:$E1371,202-60):$E1371),"")</f>
        <v/>
      </c>
      <c r="O1371" s="38" t="str">
        <f aca="false">IF(OR(NOT(ISNUMBER($C1371)),NOT(ISNUMBER($M1371)),$M1371=0),"",$C1371/$M1371-1)</f>
        <v/>
      </c>
    </row>
    <row r="1372" customFormat="false" ht="15" hidden="false" customHeight="true" outlineLevel="0" collapsed="false">
      <c r="A1372" s="39"/>
      <c r="B1372" s="40"/>
      <c r="C1372" s="41"/>
      <c r="D1372" s="40"/>
      <c r="E1372" s="40"/>
      <c r="F1372" s="40"/>
      <c r="G1372" s="35" t="str">
        <f aca="false">IF($A1372="","",IF(ISNUMBER($G1371),$G1371+1,1))</f>
        <v/>
      </c>
      <c r="H1372" s="36" t="str">
        <f aca="false">IF(OR(NOT(ISNUMBER($G1372)),$G1372&lt;2,NOT(ISNUMBER($C1371)),$C1371=0),"",$C1372/$C1371-1)</f>
        <v/>
      </c>
      <c r="I1372" s="37" t="str">
        <f aca="false">IF(AND(ISNUMBER($G1372),$G1372&gt;=MA_SHORT),AVERAGE(INDEX($C$972:$C1372,402-MA_SHORT):$C1372),"")</f>
        <v/>
      </c>
      <c r="J1372" s="37" t="str">
        <f aca="false">IF(AND(ISNUMBER($G1372),$G1372&gt;=MA_MED),AVERAGE(INDEX($C$972:$C1372,402-MA_MED):$C1372),"")</f>
        <v/>
      </c>
      <c r="K1372" s="37" t="str">
        <f aca="false">IF(AND(ISNUMBER($G1372),$G1372&gt;=MA_LONG2),AVERAGE(INDEX($C$972:$C1372,402-MA_LONG2):$C1372),"")</f>
        <v/>
      </c>
      <c r="L1372" s="38" t="str">
        <f aca="false">IF(AND(ISNUMBER($G1372),$G1372&gt;=21),STDEV(INDEX($H$1312:$H1372,62-20):$H1372)*SQRT(245),"")</f>
        <v/>
      </c>
      <c r="M1372" s="37" t="str">
        <f aca="false">IF(AND(ISNUMBER($G1372),$G1372&gt;=60),MAX(INDEX($D$1172:$D1372,202-60):$D1372),"")</f>
        <v/>
      </c>
      <c r="N1372" s="37" t="str">
        <f aca="false">IF(AND(ISNUMBER($G1372),$G1372&gt;=60),MIN(INDEX($E$1172:$E1372,202-60):$E1372),"")</f>
        <v/>
      </c>
      <c r="O1372" s="38" t="str">
        <f aca="false">IF(OR(NOT(ISNUMBER($C1372)),NOT(ISNUMBER($M1372)),$M1372=0),"",$C1372/$M1372-1)</f>
        <v/>
      </c>
    </row>
    <row r="1373" customFormat="false" ht="15" hidden="false" customHeight="true" outlineLevel="0" collapsed="false">
      <c r="A1373" s="39"/>
      <c r="B1373" s="40"/>
      <c r="C1373" s="41"/>
      <c r="D1373" s="40"/>
      <c r="E1373" s="40"/>
      <c r="F1373" s="40"/>
      <c r="G1373" s="35" t="str">
        <f aca="false">IF($A1373="","",IF(ISNUMBER($G1372),$G1372+1,1))</f>
        <v/>
      </c>
      <c r="H1373" s="36" t="str">
        <f aca="false">IF(OR(NOT(ISNUMBER($G1373)),$G1373&lt;2,NOT(ISNUMBER($C1372)),$C1372=0),"",$C1373/$C1372-1)</f>
        <v/>
      </c>
      <c r="I1373" s="37" t="str">
        <f aca="false">IF(AND(ISNUMBER($G1373),$G1373&gt;=MA_SHORT),AVERAGE(INDEX($C$973:$C1373,402-MA_SHORT):$C1373),"")</f>
        <v/>
      </c>
      <c r="J1373" s="37" t="str">
        <f aca="false">IF(AND(ISNUMBER($G1373),$G1373&gt;=MA_MED),AVERAGE(INDEX($C$973:$C1373,402-MA_MED):$C1373),"")</f>
        <v/>
      </c>
      <c r="K1373" s="37" t="str">
        <f aca="false">IF(AND(ISNUMBER($G1373),$G1373&gt;=MA_LONG2),AVERAGE(INDEX($C$973:$C1373,402-MA_LONG2):$C1373),"")</f>
        <v/>
      </c>
      <c r="L1373" s="38" t="str">
        <f aca="false">IF(AND(ISNUMBER($G1373),$G1373&gt;=21),STDEV(INDEX($H$1313:$H1373,62-20):$H1373)*SQRT(245),"")</f>
        <v/>
      </c>
      <c r="M1373" s="37" t="str">
        <f aca="false">IF(AND(ISNUMBER($G1373),$G1373&gt;=60),MAX(INDEX($D$1173:$D1373,202-60):$D1373),"")</f>
        <v/>
      </c>
      <c r="N1373" s="37" t="str">
        <f aca="false">IF(AND(ISNUMBER($G1373),$G1373&gt;=60),MIN(INDEX($E$1173:$E1373,202-60):$E1373),"")</f>
        <v/>
      </c>
      <c r="O1373" s="38" t="str">
        <f aca="false">IF(OR(NOT(ISNUMBER($C1373)),NOT(ISNUMBER($M1373)),$M1373=0),"",$C1373/$M1373-1)</f>
        <v/>
      </c>
    </row>
    <row r="1374" customFormat="false" ht="15" hidden="false" customHeight="true" outlineLevel="0" collapsed="false">
      <c r="A1374" s="39"/>
      <c r="B1374" s="40"/>
      <c r="C1374" s="41"/>
      <c r="D1374" s="40"/>
      <c r="E1374" s="40"/>
      <c r="F1374" s="40"/>
      <c r="G1374" s="35" t="str">
        <f aca="false">IF($A1374="","",IF(ISNUMBER($G1373),$G1373+1,1))</f>
        <v/>
      </c>
      <c r="H1374" s="36" t="str">
        <f aca="false">IF(OR(NOT(ISNUMBER($G1374)),$G1374&lt;2,NOT(ISNUMBER($C1373)),$C1373=0),"",$C1374/$C1373-1)</f>
        <v/>
      </c>
      <c r="I1374" s="37" t="str">
        <f aca="false">IF(AND(ISNUMBER($G1374),$G1374&gt;=MA_SHORT),AVERAGE(INDEX($C$974:$C1374,402-MA_SHORT):$C1374),"")</f>
        <v/>
      </c>
      <c r="J1374" s="37" t="str">
        <f aca="false">IF(AND(ISNUMBER($G1374),$G1374&gt;=MA_MED),AVERAGE(INDEX($C$974:$C1374,402-MA_MED):$C1374),"")</f>
        <v/>
      </c>
      <c r="K1374" s="37" t="str">
        <f aca="false">IF(AND(ISNUMBER($G1374),$G1374&gt;=MA_LONG2),AVERAGE(INDEX($C$974:$C1374,402-MA_LONG2):$C1374),"")</f>
        <v/>
      </c>
      <c r="L1374" s="38" t="str">
        <f aca="false">IF(AND(ISNUMBER($G1374),$G1374&gt;=21),STDEV(INDEX($H$1314:$H1374,62-20):$H1374)*SQRT(245),"")</f>
        <v/>
      </c>
      <c r="M1374" s="37" t="str">
        <f aca="false">IF(AND(ISNUMBER($G1374),$G1374&gt;=60),MAX(INDEX($D$1174:$D1374,202-60):$D1374),"")</f>
        <v/>
      </c>
      <c r="N1374" s="37" t="str">
        <f aca="false">IF(AND(ISNUMBER($G1374),$G1374&gt;=60),MIN(INDEX($E$1174:$E1374,202-60):$E1374),"")</f>
        <v/>
      </c>
      <c r="O1374" s="38" t="str">
        <f aca="false">IF(OR(NOT(ISNUMBER($C1374)),NOT(ISNUMBER($M1374)),$M1374=0),"",$C1374/$M1374-1)</f>
        <v/>
      </c>
    </row>
    <row r="1375" customFormat="false" ht="15" hidden="false" customHeight="true" outlineLevel="0" collapsed="false">
      <c r="A1375" s="39"/>
      <c r="B1375" s="40"/>
      <c r="C1375" s="41"/>
      <c r="D1375" s="40"/>
      <c r="E1375" s="40"/>
      <c r="F1375" s="40"/>
      <c r="G1375" s="35" t="str">
        <f aca="false">IF($A1375="","",IF(ISNUMBER($G1374),$G1374+1,1))</f>
        <v/>
      </c>
      <c r="H1375" s="36" t="str">
        <f aca="false">IF(OR(NOT(ISNUMBER($G1375)),$G1375&lt;2,NOT(ISNUMBER($C1374)),$C1374=0),"",$C1375/$C1374-1)</f>
        <v/>
      </c>
      <c r="I1375" s="37" t="str">
        <f aca="false">IF(AND(ISNUMBER($G1375),$G1375&gt;=MA_SHORT),AVERAGE(INDEX($C$975:$C1375,402-MA_SHORT):$C1375),"")</f>
        <v/>
      </c>
      <c r="J1375" s="37" t="str">
        <f aca="false">IF(AND(ISNUMBER($G1375),$G1375&gt;=MA_MED),AVERAGE(INDEX($C$975:$C1375,402-MA_MED):$C1375),"")</f>
        <v/>
      </c>
      <c r="K1375" s="37" t="str">
        <f aca="false">IF(AND(ISNUMBER($G1375),$G1375&gt;=MA_LONG2),AVERAGE(INDEX($C$975:$C1375,402-MA_LONG2):$C1375),"")</f>
        <v/>
      </c>
      <c r="L1375" s="38" t="str">
        <f aca="false">IF(AND(ISNUMBER($G1375),$G1375&gt;=21),STDEV(INDEX($H$1315:$H1375,62-20):$H1375)*SQRT(245),"")</f>
        <v/>
      </c>
      <c r="M1375" s="37" t="str">
        <f aca="false">IF(AND(ISNUMBER($G1375),$G1375&gt;=60),MAX(INDEX($D$1175:$D1375,202-60):$D1375),"")</f>
        <v/>
      </c>
      <c r="N1375" s="37" t="str">
        <f aca="false">IF(AND(ISNUMBER($G1375),$G1375&gt;=60),MIN(INDEX($E$1175:$E1375,202-60):$E1375),"")</f>
        <v/>
      </c>
      <c r="O1375" s="38" t="str">
        <f aca="false">IF(OR(NOT(ISNUMBER($C1375)),NOT(ISNUMBER($M1375)),$M1375=0),"",$C1375/$M1375-1)</f>
        <v/>
      </c>
    </row>
    <row r="1376" customFormat="false" ht="15" hidden="false" customHeight="true" outlineLevel="0" collapsed="false">
      <c r="A1376" s="39"/>
      <c r="B1376" s="40"/>
      <c r="C1376" s="41"/>
      <c r="D1376" s="40"/>
      <c r="E1376" s="40"/>
      <c r="F1376" s="40"/>
      <c r="G1376" s="35" t="str">
        <f aca="false">IF($A1376="","",IF(ISNUMBER($G1375),$G1375+1,1))</f>
        <v/>
      </c>
      <c r="H1376" s="36" t="str">
        <f aca="false">IF(OR(NOT(ISNUMBER($G1376)),$G1376&lt;2,NOT(ISNUMBER($C1375)),$C1375=0),"",$C1376/$C1375-1)</f>
        <v/>
      </c>
      <c r="I1376" s="37" t="str">
        <f aca="false">IF(AND(ISNUMBER($G1376),$G1376&gt;=MA_SHORT),AVERAGE(INDEX($C$976:$C1376,402-MA_SHORT):$C1376),"")</f>
        <v/>
      </c>
      <c r="J1376" s="37" t="str">
        <f aca="false">IF(AND(ISNUMBER($G1376),$G1376&gt;=MA_MED),AVERAGE(INDEX($C$976:$C1376,402-MA_MED):$C1376),"")</f>
        <v/>
      </c>
      <c r="K1376" s="37" t="str">
        <f aca="false">IF(AND(ISNUMBER($G1376),$G1376&gt;=MA_LONG2),AVERAGE(INDEX($C$976:$C1376,402-MA_LONG2):$C1376),"")</f>
        <v/>
      </c>
      <c r="L1376" s="38" t="str">
        <f aca="false">IF(AND(ISNUMBER($G1376),$G1376&gt;=21),STDEV(INDEX($H$1316:$H1376,62-20):$H1376)*SQRT(245),"")</f>
        <v/>
      </c>
      <c r="M1376" s="37" t="str">
        <f aca="false">IF(AND(ISNUMBER($G1376),$G1376&gt;=60),MAX(INDEX($D$1176:$D1376,202-60):$D1376),"")</f>
        <v/>
      </c>
      <c r="N1376" s="37" t="str">
        <f aca="false">IF(AND(ISNUMBER($G1376),$G1376&gt;=60),MIN(INDEX($E$1176:$E1376,202-60):$E1376),"")</f>
        <v/>
      </c>
      <c r="O1376" s="38" t="str">
        <f aca="false">IF(OR(NOT(ISNUMBER($C1376)),NOT(ISNUMBER($M1376)),$M1376=0),"",$C1376/$M1376-1)</f>
        <v/>
      </c>
    </row>
    <row r="1377" customFormat="false" ht="15" hidden="false" customHeight="true" outlineLevel="0" collapsed="false">
      <c r="A1377" s="39"/>
      <c r="B1377" s="40"/>
      <c r="C1377" s="41"/>
      <c r="D1377" s="40"/>
      <c r="E1377" s="40"/>
      <c r="F1377" s="40"/>
      <c r="G1377" s="35" t="str">
        <f aca="false">IF($A1377="","",IF(ISNUMBER($G1376),$G1376+1,1))</f>
        <v/>
      </c>
      <c r="H1377" s="36" t="str">
        <f aca="false">IF(OR(NOT(ISNUMBER($G1377)),$G1377&lt;2,NOT(ISNUMBER($C1376)),$C1376=0),"",$C1377/$C1376-1)</f>
        <v/>
      </c>
      <c r="I1377" s="37" t="str">
        <f aca="false">IF(AND(ISNUMBER($G1377),$G1377&gt;=MA_SHORT),AVERAGE(INDEX($C$977:$C1377,402-MA_SHORT):$C1377),"")</f>
        <v/>
      </c>
      <c r="J1377" s="37" t="str">
        <f aca="false">IF(AND(ISNUMBER($G1377),$G1377&gt;=MA_MED),AVERAGE(INDEX($C$977:$C1377,402-MA_MED):$C1377),"")</f>
        <v/>
      </c>
      <c r="K1377" s="37" t="str">
        <f aca="false">IF(AND(ISNUMBER($G1377),$G1377&gt;=MA_LONG2),AVERAGE(INDEX($C$977:$C1377,402-MA_LONG2):$C1377),"")</f>
        <v/>
      </c>
      <c r="L1377" s="38" t="str">
        <f aca="false">IF(AND(ISNUMBER($G1377),$G1377&gt;=21),STDEV(INDEX($H$1317:$H1377,62-20):$H1377)*SQRT(245),"")</f>
        <v/>
      </c>
      <c r="M1377" s="37" t="str">
        <f aca="false">IF(AND(ISNUMBER($G1377),$G1377&gt;=60),MAX(INDEX($D$1177:$D1377,202-60):$D1377),"")</f>
        <v/>
      </c>
      <c r="N1377" s="37" t="str">
        <f aca="false">IF(AND(ISNUMBER($G1377),$G1377&gt;=60),MIN(INDEX($E$1177:$E1377,202-60):$E1377),"")</f>
        <v/>
      </c>
      <c r="O1377" s="38" t="str">
        <f aca="false">IF(OR(NOT(ISNUMBER($C1377)),NOT(ISNUMBER($M1377)),$M1377=0),"",$C1377/$M1377-1)</f>
        <v/>
      </c>
    </row>
    <row r="1378" customFormat="false" ht="15" hidden="false" customHeight="true" outlineLevel="0" collapsed="false">
      <c r="A1378" s="39"/>
      <c r="B1378" s="40"/>
      <c r="C1378" s="41"/>
      <c r="D1378" s="40"/>
      <c r="E1378" s="40"/>
      <c r="F1378" s="40"/>
      <c r="G1378" s="35" t="str">
        <f aca="false">IF($A1378="","",IF(ISNUMBER($G1377),$G1377+1,1))</f>
        <v/>
      </c>
      <c r="H1378" s="36" t="str">
        <f aca="false">IF(OR(NOT(ISNUMBER($G1378)),$G1378&lt;2,NOT(ISNUMBER($C1377)),$C1377=0),"",$C1378/$C1377-1)</f>
        <v/>
      </c>
      <c r="I1378" s="37" t="str">
        <f aca="false">IF(AND(ISNUMBER($G1378),$G1378&gt;=MA_SHORT),AVERAGE(INDEX($C$978:$C1378,402-MA_SHORT):$C1378),"")</f>
        <v/>
      </c>
      <c r="J1378" s="37" t="str">
        <f aca="false">IF(AND(ISNUMBER($G1378),$G1378&gt;=MA_MED),AVERAGE(INDEX($C$978:$C1378,402-MA_MED):$C1378),"")</f>
        <v/>
      </c>
      <c r="K1378" s="37" t="str">
        <f aca="false">IF(AND(ISNUMBER($G1378),$G1378&gt;=MA_LONG2),AVERAGE(INDEX($C$978:$C1378,402-MA_LONG2):$C1378),"")</f>
        <v/>
      </c>
      <c r="L1378" s="38" t="str">
        <f aca="false">IF(AND(ISNUMBER($G1378),$G1378&gt;=21),STDEV(INDEX($H$1318:$H1378,62-20):$H1378)*SQRT(245),"")</f>
        <v/>
      </c>
      <c r="M1378" s="37" t="str">
        <f aca="false">IF(AND(ISNUMBER($G1378),$G1378&gt;=60),MAX(INDEX($D$1178:$D1378,202-60):$D1378),"")</f>
        <v/>
      </c>
      <c r="N1378" s="37" t="str">
        <f aca="false">IF(AND(ISNUMBER($G1378),$G1378&gt;=60),MIN(INDEX($E$1178:$E1378,202-60):$E1378),"")</f>
        <v/>
      </c>
      <c r="O1378" s="38" t="str">
        <f aca="false">IF(OR(NOT(ISNUMBER($C1378)),NOT(ISNUMBER($M1378)),$M1378=0),"",$C1378/$M1378-1)</f>
        <v/>
      </c>
    </row>
    <row r="1379" customFormat="false" ht="15" hidden="false" customHeight="true" outlineLevel="0" collapsed="false">
      <c r="A1379" s="39"/>
      <c r="B1379" s="40"/>
      <c r="C1379" s="41"/>
      <c r="D1379" s="40"/>
      <c r="E1379" s="40"/>
      <c r="F1379" s="40"/>
      <c r="G1379" s="35" t="str">
        <f aca="false">IF($A1379="","",IF(ISNUMBER($G1378),$G1378+1,1))</f>
        <v/>
      </c>
      <c r="H1379" s="36" t="str">
        <f aca="false">IF(OR(NOT(ISNUMBER($G1379)),$G1379&lt;2,NOT(ISNUMBER($C1378)),$C1378=0),"",$C1379/$C1378-1)</f>
        <v/>
      </c>
      <c r="I1379" s="37" t="str">
        <f aca="false">IF(AND(ISNUMBER($G1379),$G1379&gt;=MA_SHORT),AVERAGE(INDEX($C$979:$C1379,402-MA_SHORT):$C1379),"")</f>
        <v/>
      </c>
      <c r="J1379" s="37" t="str">
        <f aca="false">IF(AND(ISNUMBER($G1379),$G1379&gt;=MA_MED),AVERAGE(INDEX($C$979:$C1379,402-MA_MED):$C1379),"")</f>
        <v/>
      </c>
      <c r="K1379" s="37" t="str">
        <f aca="false">IF(AND(ISNUMBER($G1379),$G1379&gt;=MA_LONG2),AVERAGE(INDEX($C$979:$C1379,402-MA_LONG2):$C1379),"")</f>
        <v/>
      </c>
      <c r="L1379" s="38" t="str">
        <f aca="false">IF(AND(ISNUMBER($G1379),$G1379&gt;=21),STDEV(INDEX($H$1319:$H1379,62-20):$H1379)*SQRT(245),"")</f>
        <v/>
      </c>
      <c r="M1379" s="37" t="str">
        <f aca="false">IF(AND(ISNUMBER($G1379),$G1379&gt;=60),MAX(INDEX($D$1179:$D1379,202-60):$D1379),"")</f>
        <v/>
      </c>
      <c r="N1379" s="37" t="str">
        <f aca="false">IF(AND(ISNUMBER($G1379),$G1379&gt;=60),MIN(INDEX($E$1179:$E1379,202-60):$E1379),"")</f>
        <v/>
      </c>
      <c r="O1379" s="38" t="str">
        <f aca="false">IF(OR(NOT(ISNUMBER($C1379)),NOT(ISNUMBER($M1379)),$M1379=0),"",$C1379/$M1379-1)</f>
        <v/>
      </c>
    </row>
    <row r="1380" customFormat="false" ht="15" hidden="false" customHeight="true" outlineLevel="0" collapsed="false">
      <c r="A1380" s="39"/>
      <c r="B1380" s="40"/>
      <c r="C1380" s="41"/>
      <c r="D1380" s="40"/>
      <c r="E1380" s="40"/>
      <c r="F1380" s="40"/>
      <c r="G1380" s="35" t="str">
        <f aca="false">IF($A1380="","",IF(ISNUMBER($G1379),$G1379+1,1))</f>
        <v/>
      </c>
      <c r="H1380" s="36" t="str">
        <f aca="false">IF(OR(NOT(ISNUMBER($G1380)),$G1380&lt;2,NOT(ISNUMBER($C1379)),$C1379=0),"",$C1380/$C1379-1)</f>
        <v/>
      </c>
      <c r="I1380" s="37" t="str">
        <f aca="false">IF(AND(ISNUMBER($G1380),$G1380&gt;=MA_SHORT),AVERAGE(INDEX($C$980:$C1380,402-MA_SHORT):$C1380),"")</f>
        <v/>
      </c>
      <c r="J1380" s="37" t="str">
        <f aca="false">IF(AND(ISNUMBER($G1380),$G1380&gt;=MA_MED),AVERAGE(INDEX($C$980:$C1380,402-MA_MED):$C1380),"")</f>
        <v/>
      </c>
      <c r="K1380" s="37" t="str">
        <f aca="false">IF(AND(ISNUMBER($G1380),$G1380&gt;=MA_LONG2),AVERAGE(INDEX($C$980:$C1380,402-MA_LONG2):$C1380),"")</f>
        <v/>
      </c>
      <c r="L1380" s="38" t="str">
        <f aca="false">IF(AND(ISNUMBER($G1380),$G1380&gt;=21),STDEV(INDEX($H$1320:$H1380,62-20):$H1380)*SQRT(245),"")</f>
        <v/>
      </c>
      <c r="M1380" s="37" t="str">
        <f aca="false">IF(AND(ISNUMBER($G1380),$G1380&gt;=60),MAX(INDEX($D$1180:$D1380,202-60):$D1380),"")</f>
        <v/>
      </c>
      <c r="N1380" s="37" t="str">
        <f aca="false">IF(AND(ISNUMBER($G1380),$G1380&gt;=60),MIN(INDEX($E$1180:$E1380,202-60):$E1380),"")</f>
        <v/>
      </c>
      <c r="O1380" s="38" t="str">
        <f aca="false">IF(OR(NOT(ISNUMBER($C1380)),NOT(ISNUMBER($M1380)),$M1380=0),"",$C1380/$M1380-1)</f>
        <v/>
      </c>
    </row>
    <row r="1381" customFormat="false" ht="15" hidden="false" customHeight="true" outlineLevel="0" collapsed="false">
      <c r="A1381" s="39"/>
      <c r="B1381" s="40"/>
      <c r="C1381" s="41"/>
      <c r="D1381" s="40"/>
      <c r="E1381" s="40"/>
      <c r="F1381" s="40"/>
      <c r="G1381" s="35" t="str">
        <f aca="false">IF($A1381="","",IF(ISNUMBER($G1380),$G1380+1,1))</f>
        <v/>
      </c>
      <c r="H1381" s="36" t="str">
        <f aca="false">IF(OR(NOT(ISNUMBER($G1381)),$G1381&lt;2,NOT(ISNUMBER($C1380)),$C1380=0),"",$C1381/$C1380-1)</f>
        <v/>
      </c>
      <c r="I1381" s="37" t="str">
        <f aca="false">IF(AND(ISNUMBER($G1381),$G1381&gt;=MA_SHORT),AVERAGE(INDEX($C$981:$C1381,402-MA_SHORT):$C1381),"")</f>
        <v/>
      </c>
      <c r="J1381" s="37" t="str">
        <f aca="false">IF(AND(ISNUMBER($G1381),$G1381&gt;=MA_MED),AVERAGE(INDEX($C$981:$C1381,402-MA_MED):$C1381),"")</f>
        <v/>
      </c>
      <c r="K1381" s="37" t="str">
        <f aca="false">IF(AND(ISNUMBER($G1381),$G1381&gt;=MA_LONG2),AVERAGE(INDEX($C$981:$C1381,402-MA_LONG2):$C1381),"")</f>
        <v/>
      </c>
      <c r="L1381" s="38" t="str">
        <f aca="false">IF(AND(ISNUMBER($G1381),$G1381&gt;=21),STDEV(INDEX($H$1321:$H1381,62-20):$H1381)*SQRT(245),"")</f>
        <v/>
      </c>
      <c r="M1381" s="37" t="str">
        <f aca="false">IF(AND(ISNUMBER($G1381),$G1381&gt;=60),MAX(INDEX($D$1181:$D1381,202-60):$D1381),"")</f>
        <v/>
      </c>
      <c r="N1381" s="37" t="str">
        <f aca="false">IF(AND(ISNUMBER($G1381),$G1381&gt;=60),MIN(INDEX($E$1181:$E1381,202-60):$E1381),"")</f>
        <v/>
      </c>
      <c r="O1381" s="38" t="str">
        <f aca="false">IF(OR(NOT(ISNUMBER($C1381)),NOT(ISNUMBER($M1381)),$M1381=0),"",$C1381/$M1381-1)</f>
        <v/>
      </c>
    </row>
    <row r="1382" customFormat="false" ht="15" hidden="false" customHeight="true" outlineLevel="0" collapsed="false">
      <c r="A1382" s="39"/>
      <c r="B1382" s="40"/>
      <c r="C1382" s="41"/>
      <c r="D1382" s="40"/>
      <c r="E1382" s="40"/>
      <c r="F1382" s="40"/>
      <c r="G1382" s="35" t="str">
        <f aca="false">IF($A1382="","",IF(ISNUMBER($G1381),$G1381+1,1))</f>
        <v/>
      </c>
      <c r="H1382" s="36" t="str">
        <f aca="false">IF(OR(NOT(ISNUMBER($G1382)),$G1382&lt;2,NOT(ISNUMBER($C1381)),$C1381=0),"",$C1382/$C1381-1)</f>
        <v/>
      </c>
      <c r="I1382" s="37" t="str">
        <f aca="false">IF(AND(ISNUMBER($G1382),$G1382&gt;=MA_SHORT),AVERAGE(INDEX($C$982:$C1382,402-MA_SHORT):$C1382),"")</f>
        <v/>
      </c>
      <c r="J1382" s="37" t="str">
        <f aca="false">IF(AND(ISNUMBER($G1382),$G1382&gt;=MA_MED),AVERAGE(INDEX($C$982:$C1382,402-MA_MED):$C1382),"")</f>
        <v/>
      </c>
      <c r="K1382" s="37" t="str">
        <f aca="false">IF(AND(ISNUMBER($G1382),$G1382&gt;=MA_LONG2),AVERAGE(INDEX($C$982:$C1382,402-MA_LONG2):$C1382),"")</f>
        <v/>
      </c>
      <c r="L1382" s="38" t="str">
        <f aca="false">IF(AND(ISNUMBER($G1382),$G1382&gt;=21),STDEV(INDEX($H$1322:$H1382,62-20):$H1382)*SQRT(245),"")</f>
        <v/>
      </c>
      <c r="M1382" s="37" t="str">
        <f aca="false">IF(AND(ISNUMBER($G1382),$G1382&gt;=60),MAX(INDEX($D$1182:$D1382,202-60):$D1382),"")</f>
        <v/>
      </c>
      <c r="N1382" s="37" t="str">
        <f aca="false">IF(AND(ISNUMBER($G1382),$G1382&gt;=60),MIN(INDEX($E$1182:$E1382,202-60):$E1382),"")</f>
        <v/>
      </c>
      <c r="O1382" s="38" t="str">
        <f aca="false">IF(OR(NOT(ISNUMBER($C1382)),NOT(ISNUMBER($M1382)),$M1382=0),"",$C1382/$M1382-1)</f>
        <v/>
      </c>
    </row>
    <row r="1383" customFormat="false" ht="15" hidden="false" customHeight="true" outlineLevel="0" collapsed="false">
      <c r="A1383" s="39"/>
      <c r="B1383" s="40"/>
      <c r="C1383" s="41"/>
      <c r="D1383" s="40"/>
      <c r="E1383" s="40"/>
      <c r="F1383" s="40"/>
      <c r="G1383" s="35" t="str">
        <f aca="false">IF($A1383="","",IF(ISNUMBER($G1382),$G1382+1,1))</f>
        <v/>
      </c>
      <c r="H1383" s="36" t="str">
        <f aca="false">IF(OR(NOT(ISNUMBER($G1383)),$G1383&lt;2,NOT(ISNUMBER($C1382)),$C1382=0),"",$C1383/$C1382-1)</f>
        <v/>
      </c>
      <c r="I1383" s="37" t="str">
        <f aca="false">IF(AND(ISNUMBER($G1383),$G1383&gt;=MA_SHORT),AVERAGE(INDEX($C$983:$C1383,402-MA_SHORT):$C1383),"")</f>
        <v/>
      </c>
      <c r="J1383" s="37" t="str">
        <f aca="false">IF(AND(ISNUMBER($G1383),$G1383&gt;=MA_MED),AVERAGE(INDEX($C$983:$C1383,402-MA_MED):$C1383),"")</f>
        <v/>
      </c>
      <c r="K1383" s="37" t="str">
        <f aca="false">IF(AND(ISNUMBER($G1383),$G1383&gt;=MA_LONG2),AVERAGE(INDEX($C$983:$C1383,402-MA_LONG2):$C1383),"")</f>
        <v/>
      </c>
      <c r="L1383" s="38" t="str">
        <f aca="false">IF(AND(ISNUMBER($G1383),$G1383&gt;=21),STDEV(INDEX($H$1323:$H1383,62-20):$H1383)*SQRT(245),"")</f>
        <v/>
      </c>
      <c r="M1383" s="37" t="str">
        <f aca="false">IF(AND(ISNUMBER($G1383),$G1383&gt;=60),MAX(INDEX($D$1183:$D1383,202-60):$D1383),"")</f>
        <v/>
      </c>
      <c r="N1383" s="37" t="str">
        <f aca="false">IF(AND(ISNUMBER($G1383),$G1383&gt;=60),MIN(INDEX($E$1183:$E1383,202-60):$E1383),"")</f>
        <v/>
      </c>
      <c r="O1383" s="38" t="str">
        <f aca="false">IF(OR(NOT(ISNUMBER($C1383)),NOT(ISNUMBER($M1383)),$M1383=0),"",$C1383/$M1383-1)</f>
        <v/>
      </c>
    </row>
    <row r="1384" customFormat="false" ht="15" hidden="false" customHeight="true" outlineLevel="0" collapsed="false">
      <c r="A1384" s="39"/>
      <c r="B1384" s="40"/>
      <c r="C1384" s="41"/>
      <c r="D1384" s="40"/>
      <c r="E1384" s="40"/>
      <c r="F1384" s="40"/>
      <c r="G1384" s="35" t="str">
        <f aca="false">IF($A1384="","",IF(ISNUMBER($G1383),$G1383+1,1))</f>
        <v/>
      </c>
      <c r="H1384" s="36" t="str">
        <f aca="false">IF(OR(NOT(ISNUMBER($G1384)),$G1384&lt;2,NOT(ISNUMBER($C1383)),$C1383=0),"",$C1384/$C1383-1)</f>
        <v/>
      </c>
      <c r="I1384" s="37" t="str">
        <f aca="false">IF(AND(ISNUMBER($G1384),$G1384&gt;=MA_SHORT),AVERAGE(INDEX($C$984:$C1384,402-MA_SHORT):$C1384),"")</f>
        <v/>
      </c>
      <c r="J1384" s="37" t="str">
        <f aca="false">IF(AND(ISNUMBER($G1384),$G1384&gt;=MA_MED),AVERAGE(INDEX($C$984:$C1384,402-MA_MED):$C1384),"")</f>
        <v/>
      </c>
      <c r="K1384" s="37" t="str">
        <f aca="false">IF(AND(ISNUMBER($G1384),$G1384&gt;=MA_LONG2),AVERAGE(INDEX($C$984:$C1384,402-MA_LONG2):$C1384),"")</f>
        <v/>
      </c>
      <c r="L1384" s="38" t="str">
        <f aca="false">IF(AND(ISNUMBER($G1384),$G1384&gt;=21),STDEV(INDEX($H$1324:$H1384,62-20):$H1384)*SQRT(245),"")</f>
        <v/>
      </c>
      <c r="M1384" s="37" t="str">
        <f aca="false">IF(AND(ISNUMBER($G1384),$G1384&gt;=60),MAX(INDEX($D$1184:$D1384,202-60):$D1384),"")</f>
        <v/>
      </c>
      <c r="N1384" s="37" t="str">
        <f aca="false">IF(AND(ISNUMBER($G1384),$G1384&gt;=60),MIN(INDEX($E$1184:$E1384,202-60):$E1384),"")</f>
        <v/>
      </c>
      <c r="O1384" s="38" t="str">
        <f aca="false">IF(OR(NOT(ISNUMBER($C1384)),NOT(ISNUMBER($M1384)),$M1384=0),"",$C1384/$M1384-1)</f>
        <v/>
      </c>
    </row>
    <row r="1385" customFormat="false" ht="15" hidden="false" customHeight="true" outlineLevel="0" collapsed="false">
      <c r="A1385" s="39"/>
      <c r="B1385" s="40"/>
      <c r="C1385" s="41"/>
      <c r="D1385" s="40"/>
      <c r="E1385" s="40"/>
      <c r="F1385" s="40"/>
      <c r="G1385" s="35" t="str">
        <f aca="false">IF($A1385="","",IF(ISNUMBER($G1384),$G1384+1,1))</f>
        <v/>
      </c>
      <c r="H1385" s="36" t="str">
        <f aca="false">IF(OR(NOT(ISNUMBER($G1385)),$G1385&lt;2,NOT(ISNUMBER($C1384)),$C1384=0),"",$C1385/$C1384-1)</f>
        <v/>
      </c>
      <c r="I1385" s="37" t="str">
        <f aca="false">IF(AND(ISNUMBER($G1385),$G1385&gt;=MA_SHORT),AVERAGE(INDEX($C$985:$C1385,402-MA_SHORT):$C1385),"")</f>
        <v/>
      </c>
      <c r="J1385" s="37" t="str">
        <f aca="false">IF(AND(ISNUMBER($G1385),$G1385&gt;=MA_MED),AVERAGE(INDEX($C$985:$C1385,402-MA_MED):$C1385),"")</f>
        <v/>
      </c>
      <c r="K1385" s="37" t="str">
        <f aca="false">IF(AND(ISNUMBER($G1385),$G1385&gt;=MA_LONG2),AVERAGE(INDEX($C$985:$C1385,402-MA_LONG2):$C1385),"")</f>
        <v/>
      </c>
      <c r="L1385" s="38" t="str">
        <f aca="false">IF(AND(ISNUMBER($G1385),$G1385&gt;=21),STDEV(INDEX($H$1325:$H1385,62-20):$H1385)*SQRT(245),"")</f>
        <v/>
      </c>
      <c r="M1385" s="37" t="str">
        <f aca="false">IF(AND(ISNUMBER($G1385),$G1385&gt;=60),MAX(INDEX($D$1185:$D1385,202-60):$D1385),"")</f>
        <v/>
      </c>
      <c r="N1385" s="37" t="str">
        <f aca="false">IF(AND(ISNUMBER($G1385),$G1385&gt;=60),MIN(INDEX($E$1185:$E1385,202-60):$E1385),"")</f>
        <v/>
      </c>
      <c r="O1385" s="38" t="str">
        <f aca="false">IF(OR(NOT(ISNUMBER($C1385)),NOT(ISNUMBER($M1385)),$M1385=0),"",$C1385/$M1385-1)</f>
        <v/>
      </c>
    </row>
    <row r="1386" customFormat="false" ht="15" hidden="false" customHeight="true" outlineLevel="0" collapsed="false">
      <c r="A1386" s="39"/>
      <c r="B1386" s="40"/>
      <c r="C1386" s="41"/>
      <c r="D1386" s="40"/>
      <c r="E1386" s="40"/>
      <c r="F1386" s="40"/>
      <c r="G1386" s="35" t="str">
        <f aca="false">IF($A1386="","",IF(ISNUMBER($G1385),$G1385+1,1))</f>
        <v/>
      </c>
      <c r="H1386" s="36" t="str">
        <f aca="false">IF(OR(NOT(ISNUMBER($G1386)),$G1386&lt;2,NOT(ISNUMBER($C1385)),$C1385=0),"",$C1386/$C1385-1)</f>
        <v/>
      </c>
      <c r="I1386" s="37" t="str">
        <f aca="false">IF(AND(ISNUMBER($G1386),$G1386&gt;=MA_SHORT),AVERAGE(INDEX($C$986:$C1386,402-MA_SHORT):$C1386),"")</f>
        <v/>
      </c>
      <c r="J1386" s="37" t="str">
        <f aca="false">IF(AND(ISNUMBER($G1386),$G1386&gt;=MA_MED),AVERAGE(INDEX($C$986:$C1386,402-MA_MED):$C1386),"")</f>
        <v/>
      </c>
      <c r="K1386" s="37" t="str">
        <f aca="false">IF(AND(ISNUMBER($G1386),$G1386&gt;=MA_LONG2),AVERAGE(INDEX($C$986:$C1386,402-MA_LONG2):$C1386),"")</f>
        <v/>
      </c>
      <c r="L1386" s="38" t="str">
        <f aca="false">IF(AND(ISNUMBER($G1386),$G1386&gt;=21),STDEV(INDEX($H$1326:$H1386,62-20):$H1386)*SQRT(245),"")</f>
        <v/>
      </c>
      <c r="M1386" s="37" t="str">
        <f aca="false">IF(AND(ISNUMBER($G1386),$G1386&gt;=60),MAX(INDEX($D$1186:$D1386,202-60):$D1386),"")</f>
        <v/>
      </c>
      <c r="N1386" s="37" t="str">
        <f aca="false">IF(AND(ISNUMBER($G1386),$G1386&gt;=60),MIN(INDEX($E$1186:$E1386,202-60):$E1386),"")</f>
        <v/>
      </c>
      <c r="O1386" s="38" t="str">
        <f aca="false">IF(OR(NOT(ISNUMBER($C1386)),NOT(ISNUMBER($M1386)),$M1386=0),"",$C1386/$M1386-1)</f>
        <v/>
      </c>
    </row>
    <row r="1387" customFormat="false" ht="15" hidden="false" customHeight="true" outlineLevel="0" collapsed="false">
      <c r="A1387" s="39"/>
      <c r="B1387" s="40"/>
      <c r="C1387" s="41"/>
      <c r="D1387" s="40"/>
      <c r="E1387" s="40"/>
      <c r="F1387" s="40"/>
      <c r="G1387" s="35" t="str">
        <f aca="false">IF($A1387="","",IF(ISNUMBER($G1386),$G1386+1,1))</f>
        <v/>
      </c>
      <c r="H1387" s="36" t="str">
        <f aca="false">IF(OR(NOT(ISNUMBER($G1387)),$G1387&lt;2,NOT(ISNUMBER($C1386)),$C1386=0),"",$C1387/$C1386-1)</f>
        <v/>
      </c>
      <c r="I1387" s="37" t="str">
        <f aca="false">IF(AND(ISNUMBER($G1387),$G1387&gt;=MA_SHORT),AVERAGE(INDEX($C$987:$C1387,402-MA_SHORT):$C1387),"")</f>
        <v/>
      </c>
      <c r="J1387" s="37" t="str">
        <f aca="false">IF(AND(ISNUMBER($G1387),$G1387&gt;=MA_MED),AVERAGE(INDEX($C$987:$C1387,402-MA_MED):$C1387),"")</f>
        <v/>
      </c>
      <c r="K1387" s="37" t="str">
        <f aca="false">IF(AND(ISNUMBER($G1387),$G1387&gt;=MA_LONG2),AVERAGE(INDEX($C$987:$C1387,402-MA_LONG2):$C1387),"")</f>
        <v/>
      </c>
      <c r="L1387" s="38" t="str">
        <f aca="false">IF(AND(ISNUMBER($G1387),$G1387&gt;=21),STDEV(INDEX($H$1327:$H1387,62-20):$H1387)*SQRT(245),"")</f>
        <v/>
      </c>
      <c r="M1387" s="37" t="str">
        <f aca="false">IF(AND(ISNUMBER($G1387),$G1387&gt;=60),MAX(INDEX($D$1187:$D1387,202-60):$D1387),"")</f>
        <v/>
      </c>
      <c r="N1387" s="37" t="str">
        <f aca="false">IF(AND(ISNUMBER($G1387),$G1387&gt;=60),MIN(INDEX($E$1187:$E1387,202-60):$E1387),"")</f>
        <v/>
      </c>
      <c r="O1387" s="38" t="str">
        <f aca="false">IF(OR(NOT(ISNUMBER($C1387)),NOT(ISNUMBER($M1387)),$M1387=0),"",$C1387/$M1387-1)</f>
        <v/>
      </c>
    </row>
    <row r="1388" customFormat="false" ht="15" hidden="false" customHeight="true" outlineLevel="0" collapsed="false">
      <c r="A1388" s="39"/>
      <c r="B1388" s="40"/>
      <c r="C1388" s="41"/>
      <c r="D1388" s="40"/>
      <c r="E1388" s="40"/>
      <c r="F1388" s="40"/>
      <c r="G1388" s="35" t="str">
        <f aca="false">IF($A1388="","",IF(ISNUMBER($G1387),$G1387+1,1))</f>
        <v/>
      </c>
      <c r="H1388" s="36" t="str">
        <f aca="false">IF(OR(NOT(ISNUMBER($G1388)),$G1388&lt;2,NOT(ISNUMBER($C1387)),$C1387=0),"",$C1388/$C1387-1)</f>
        <v/>
      </c>
      <c r="I1388" s="37" t="str">
        <f aca="false">IF(AND(ISNUMBER($G1388),$G1388&gt;=MA_SHORT),AVERAGE(INDEX($C$988:$C1388,402-MA_SHORT):$C1388),"")</f>
        <v/>
      </c>
      <c r="J1388" s="37" t="str">
        <f aca="false">IF(AND(ISNUMBER($G1388),$G1388&gt;=MA_MED),AVERAGE(INDEX($C$988:$C1388,402-MA_MED):$C1388),"")</f>
        <v/>
      </c>
      <c r="K1388" s="37" t="str">
        <f aca="false">IF(AND(ISNUMBER($G1388),$G1388&gt;=MA_LONG2),AVERAGE(INDEX($C$988:$C1388,402-MA_LONG2):$C1388),"")</f>
        <v/>
      </c>
      <c r="L1388" s="38" t="str">
        <f aca="false">IF(AND(ISNUMBER($G1388),$G1388&gt;=21),STDEV(INDEX($H$1328:$H1388,62-20):$H1388)*SQRT(245),"")</f>
        <v/>
      </c>
      <c r="M1388" s="37" t="str">
        <f aca="false">IF(AND(ISNUMBER($G1388),$G1388&gt;=60),MAX(INDEX($D$1188:$D1388,202-60):$D1388),"")</f>
        <v/>
      </c>
      <c r="N1388" s="37" t="str">
        <f aca="false">IF(AND(ISNUMBER($G1388),$G1388&gt;=60),MIN(INDEX($E$1188:$E1388,202-60):$E1388),"")</f>
        <v/>
      </c>
      <c r="O1388" s="38" t="str">
        <f aca="false">IF(OR(NOT(ISNUMBER($C1388)),NOT(ISNUMBER($M1388)),$M1388=0),"",$C1388/$M1388-1)</f>
        <v/>
      </c>
    </row>
    <row r="1389" customFormat="false" ht="15" hidden="false" customHeight="true" outlineLevel="0" collapsed="false">
      <c r="A1389" s="39"/>
      <c r="B1389" s="40"/>
      <c r="C1389" s="41"/>
      <c r="D1389" s="40"/>
      <c r="E1389" s="40"/>
      <c r="F1389" s="40"/>
      <c r="G1389" s="35" t="str">
        <f aca="false">IF($A1389="","",IF(ISNUMBER($G1388),$G1388+1,1))</f>
        <v/>
      </c>
      <c r="H1389" s="36" t="str">
        <f aca="false">IF(OR(NOT(ISNUMBER($G1389)),$G1389&lt;2,NOT(ISNUMBER($C1388)),$C1388=0),"",$C1389/$C1388-1)</f>
        <v/>
      </c>
      <c r="I1389" s="37" t="str">
        <f aca="false">IF(AND(ISNUMBER($G1389),$G1389&gt;=MA_SHORT),AVERAGE(INDEX($C$989:$C1389,402-MA_SHORT):$C1389),"")</f>
        <v/>
      </c>
      <c r="J1389" s="37" t="str">
        <f aca="false">IF(AND(ISNUMBER($G1389),$G1389&gt;=MA_MED),AVERAGE(INDEX($C$989:$C1389,402-MA_MED):$C1389),"")</f>
        <v/>
      </c>
      <c r="K1389" s="37" t="str">
        <f aca="false">IF(AND(ISNUMBER($G1389),$G1389&gt;=MA_LONG2),AVERAGE(INDEX($C$989:$C1389,402-MA_LONG2):$C1389),"")</f>
        <v/>
      </c>
      <c r="L1389" s="38" t="str">
        <f aca="false">IF(AND(ISNUMBER($G1389),$G1389&gt;=21),STDEV(INDEX($H$1329:$H1389,62-20):$H1389)*SQRT(245),"")</f>
        <v/>
      </c>
      <c r="M1389" s="37" t="str">
        <f aca="false">IF(AND(ISNUMBER($G1389),$G1389&gt;=60),MAX(INDEX($D$1189:$D1389,202-60):$D1389),"")</f>
        <v/>
      </c>
      <c r="N1389" s="37" t="str">
        <f aca="false">IF(AND(ISNUMBER($G1389),$G1389&gt;=60),MIN(INDEX($E$1189:$E1389,202-60):$E1389),"")</f>
        <v/>
      </c>
      <c r="O1389" s="38" t="str">
        <f aca="false">IF(OR(NOT(ISNUMBER($C1389)),NOT(ISNUMBER($M1389)),$M1389=0),"",$C1389/$M1389-1)</f>
        <v/>
      </c>
    </row>
    <row r="1390" customFormat="false" ht="15" hidden="false" customHeight="true" outlineLevel="0" collapsed="false">
      <c r="A1390" s="39"/>
      <c r="B1390" s="40"/>
      <c r="C1390" s="41"/>
      <c r="D1390" s="40"/>
      <c r="E1390" s="40"/>
      <c r="F1390" s="40"/>
      <c r="G1390" s="35" t="str">
        <f aca="false">IF($A1390="","",IF(ISNUMBER($G1389),$G1389+1,1))</f>
        <v/>
      </c>
      <c r="H1390" s="36" t="str">
        <f aca="false">IF(OR(NOT(ISNUMBER($G1390)),$G1390&lt;2,NOT(ISNUMBER($C1389)),$C1389=0),"",$C1390/$C1389-1)</f>
        <v/>
      </c>
      <c r="I1390" s="37" t="str">
        <f aca="false">IF(AND(ISNUMBER($G1390),$G1390&gt;=MA_SHORT),AVERAGE(INDEX($C$990:$C1390,402-MA_SHORT):$C1390),"")</f>
        <v/>
      </c>
      <c r="J1390" s="37" t="str">
        <f aca="false">IF(AND(ISNUMBER($G1390),$G1390&gt;=MA_MED),AVERAGE(INDEX($C$990:$C1390,402-MA_MED):$C1390),"")</f>
        <v/>
      </c>
      <c r="K1390" s="37" t="str">
        <f aca="false">IF(AND(ISNUMBER($G1390),$G1390&gt;=MA_LONG2),AVERAGE(INDEX($C$990:$C1390,402-MA_LONG2):$C1390),"")</f>
        <v/>
      </c>
      <c r="L1390" s="38" t="str">
        <f aca="false">IF(AND(ISNUMBER($G1390),$G1390&gt;=21),STDEV(INDEX($H$1330:$H1390,62-20):$H1390)*SQRT(245),"")</f>
        <v/>
      </c>
      <c r="M1390" s="37" t="str">
        <f aca="false">IF(AND(ISNUMBER($G1390),$G1390&gt;=60),MAX(INDEX($D$1190:$D1390,202-60):$D1390),"")</f>
        <v/>
      </c>
      <c r="N1390" s="37" t="str">
        <f aca="false">IF(AND(ISNUMBER($G1390),$G1390&gt;=60),MIN(INDEX($E$1190:$E1390,202-60):$E1390),"")</f>
        <v/>
      </c>
      <c r="O1390" s="38" t="str">
        <f aca="false">IF(OR(NOT(ISNUMBER($C1390)),NOT(ISNUMBER($M1390)),$M1390=0),"",$C1390/$M1390-1)</f>
        <v/>
      </c>
    </row>
    <row r="1391" customFormat="false" ht="15" hidden="false" customHeight="true" outlineLevel="0" collapsed="false">
      <c r="A1391" s="39"/>
      <c r="B1391" s="40"/>
      <c r="C1391" s="41"/>
      <c r="D1391" s="40"/>
      <c r="E1391" s="40"/>
      <c r="F1391" s="40"/>
      <c r="G1391" s="35" t="str">
        <f aca="false">IF($A1391="","",IF(ISNUMBER($G1390),$G1390+1,1))</f>
        <v/>
      </c>
      <c r="H1391" s="36" t="str">
        <f aca="false">IF(OR(NOT(ISNUMBER($G1391)),$G1391&lt;2,NOT(ISNUMBER($C1390)),$C1390=0),"",$C1391/$C1390-1)</f>
        <v/>
      </c>
      <c r="I1391" s="37" t="str">
        <f aca="false">IF(AND(ISNUMBER($G1391),$G1391&gt;=MA_SHORT),AVERAGE(INDEX($C$991:$C1391,402-MA_SHORT):$C1391),"")</f>
        <v/>
      </c>
      <c r="J1391" s="37" t="str">
        <f aca="false">IF(AND(ISNUMBER($G1391),$G1391&gt;=MA_MED),AVERAGE(INDEX($C$991:$C1391,402-MA_MED):$C1391),"")</f>
        <v/>
      </c>
      <c r="K1391" s="37" t="str">
        <f aca="false">IF(AND(ISNUMBER($G1391),$G1391&gt;=MA_LONG2),AVERAGE(INDEX($C$991:$C1391,402-MA_LONG2):$C1391),"")</f>
        <v/>
      </c>
      <c r="L1391" s="38" t="str">
        <f aca="false">IF(AND(ISNUMBER($G1391),$G1391&gt;=21),STDEV(INDEX($H$1331:$H1391,62-20):$H1391)*SQRT(245),"")</f>
        <v/>
      </c>
      <c r="M1391" s="37" t="str">
        <f aca="false">IF(AND(ISNUMBER($G1391),$G1391&gt;=60),MAX(INDEX($D$1191:$D1391,202-60):$D1391),"")</f>
        <v/>
      </c>
      <c r="N1391" s="37" t="str">
        <f aca="false">IF(AND(ISNUMBER($G1391),$G1391&gt;=60),MIN(INDEX($E$1191:$E1391,202-60):$E1391),"")</f>
        <v/>
      </c>
      <c r="O1391" s="38" t="str">
        <f aca="false">IF(OR(NOT(ISNUMBER($C1391)),NOT(ISNUMBER($M1391)),$M1391=0),"",$C1391/$M1391-1)</f>
        <v/>
      </c>
    </row>
    <row r="1392" customFormat="false" ht="15" hidden="false" customHeight="true" outlineLevel="0" collapsed="false">
      <c r="A1392" s="39"/>
      <c r="B1392" s="40"/>
      <c r="C1392" s="41"/>
      <c r="D1392" s="40"/>
      <c r="E1392" s="40"/>
      <c r="F1392" s="40"/>
      <c r="G1392" s="35" t="str">
        <f aca="false">IF($A1392="","",IF(ISNUMBER($G1391),$G1391+1,1))</f>
        <v/>
      </c>
      <c r="H1392" s="36" t="str">
        <f aca="false">IF(OR(NOT(ISNUMBER($G1392)),$G1392&lt;2,NOT(ISNUMBER($C1391)),$C1391=0),"",$C1392/$C1391-1)</f>
        <v/>
      </c>
      <c r="I1392" s="37" t="str">
        <f aca="false">IF(AND(ISNUMBER($G1392),$G1392&gt;=MA_SHORT),AVERAGE(INDEX($C$992:$C1392,402-MA_SHORT):$C1392),"")</f>
        <v/>
      </c>
      <c r="J1392" s="37" t="str">
        <f aca="false">IF(AND(ISNUMBER($G1392),$G1392&gt;=MA_MED),AVERAGE(INDEX($C$992:$C1392,402-MA_MED):$C1392),"")</f>
        <v/>
      </c>
      <c r="K1392" s="37" t="str">
        <f aca="false">IF(AND(ISNUMBER($G1392),$G1392&gt;=MA_LONG2),AVERAGE(INDEX($C$992:$C1392,402-MA_LONG2):$C1392),"")</f>
        <v/>
      </c>
      <c r="L1392" s="38" t="str">
        <f aca="false">IF(AND(ISNUMBER($G1392),$G1392&gt;=21),STDEV(INDEX($H$1332:$H1392,62-20):$H1392)*SQRT(245),"")</f>
        <v/>
      </c>
      <c r="M1392" s="37" t="str">
        <f aca="false">IF(AND(ISNUMBER($G1392),$G1392&gt;=60),MAX(INDEX($D$1192:$D1392,202-60):$D1392),"")</f>
        <v/>
      </c>
      <c r="N1392" s="37" t="str">
        <f aca="false">IF(AND(ISNUMBER($G1392),$G1392&gt;=60),MIN(INDEX($E$1192:$E1392,202-60):$E1392),"")</f>
        <v/>
      </c>
      <c r="O1392" s="38" t="str">
        <f aca="false">IF(OR(NOT(ISNUMBER($C1392)),NOT(ISNUMBER($M1392)),$M1392=0),"",$C1392/$M1392-1)</f>
        <v/>
      </c>
    </row>
    <row r="1393" customFormat="false" ht="15" hidden="false" customHeight="true" outlineLevel="0" collapsed="false">
      <c r="A1393" s="39"/>
      <c r="B1393" s="40"/>
      <c r="C1393" s="41"/>
      <c r="D1393" s="40"/>
      <c r="E1393" s="40"/>
      <c r="F1393" s="40"/>
      <c r="G1393" s="35" t="str">
        <f aca="false">IF($A1393="","",IF(ISNUMBER($G1392),$G1392+1,1))</f>
        <v/>
      </c>
      <c r="H1393" s="36" t="str">
        <f aca="false">IF(OR(NOT(ISNUMBER($G1393)),$G1393&lt;2,NOT(ISNUMBER($C1392)),$C1392=0),"",$C1393/$C1392-1)</f>
        <v/>
      </c>
      <c r="I1393" s="37" t="str">
        <f aca="false">IF(AND(ISNUMBER($G1393),$G1393&gt;=MA_SHORT),AVERAGE(INDEX($C$993:$C1393,402-MA_SHORT):$C1393),"")</f>
        <v/>
      </c>
      <c r="J1393" s="37" t="str">
        <f aca="false">IF(AND(ISNUMBER($G1393),$G1393&gt;=MA_MED),AVERAGE(INDEX($C$993:$C1393,402-MA_MED):$C1393),"")</f>
        <v/>
      </c>
      <c r="K1393" s="37" t="str">
        <f aca="false">IF(AND(ISNUMBER($G1393),$G1393&gt;=MA_LONG2),AVERAGE(INDEX($C$993:$C1393,402-MA_LONG2):$C1393),"")</f>
        <v/>
      </c>
      <c r="L1393" s="38" t="str">
        <f aca="false">IF(AND(ISNUMBER($G1393),$G1393&gt;=21),STDEV(INDEX($H$1333:$H1393,62-20):$H1393)*SQRT(245),"")</f>
        <v/>
      </c>
      <c r="M1393" s="37" t="str">
        <f aca="false">IF(AND(ISNUMBER($G1393),$G1393&gt;=60),MAX(INDEX($D$1193:$D1393,202-60):$D1393),"")</f>
        <v/>
      </c>
      <c r="N1393" s="37" t="str">
        <f aca="false">IF(AND(ISNUMBER($G1393),$G1393&gt;=60),MIN(INDEX($E$1193:$E1393,202-60):$E1393),"")</f>
        <v/>
      </c>
      <c r="O1393" s="38" t="str">
        <f aca="false">IF(OR(NOT(ISNUMBER($C1393)),NOT(ISNUMBER($M1393)),$M1393=0),"",$C1393/$M1393-1)</f>
        <v/>
      </c>
    </row>
    <row r="1394" customFormat="false" ht="15" hidden="false" customHeight="true" outlineLevel="0" collapsed="false">
      <c r="A1394" s="39"/>
      <c r="B1394" s="40"/>
      <c r="C1394" s="41"/>
      <c r="D1394" s="40"/>
      <c r="E1394" s="40"/>
      <c r="F1394" s="40"/>
      <c r="G1394" s="35" t="str">
        <f aca="false">IF($A1394="","",IF(ISNUMBER($G1393),$G1393+1,1))</f>
        <v/>
      </c>
      <c r="H1394" s="36" t="str">
        <f aca="false">IF(OR(NOT(ISNUMBER($G1394)),$G1394&lt;2,NOT(ISNUMBER($C1393)),$C1393=0),"",$C1394/$C1393-1)</f>
        <v/>
      </c>
      <c r="I1394" s="37" t="str">
        <f aca="false">IF(AND(ISNUMBER($G1394),$G1394&gt;=MA_SHORT),AVERAGE(INDEX($C$994:$C1394,402-MA_SHORT):$C1394),"")</f>
        <v/>
      </c>
      <c r="J1394" s="37" t="str">
        <f aca="false">IF(AND(ISNUMBER($G1394),$G1394&gt;=MA_MED),AVERAGE(INDEX($C$994:$C1394,402-MA_MED):$C1394),"")</f>
        <v/>
      </c>
      <c r="K1394" s="37" t="str">
        <f aca="false">IF(AND(ISNUMBER($G1394),$G1394&gt;=MA_LONG2),AVERAGE(INDEX($C$994:$C1394,402-MA_LONG2):$C1394),"")</f>
        <v/>
      </c>
      <c r="L1394" s="38" t="str">
        <f aca="false">IF(AND(ISNUMBER($G1394),$G1394&gt;=21),STDEV(INDEX($H$1334:$H1394,62-20):$H1394)*SQRT(245),"")</f>
        <v/>
      </c>
      <c r="M1394" s="37" t="str">
        <f aca="false">IF(AND(ISNUMBER($G1394),$G1394&gt;=60),MAX(INDEX($D$1194:$D1394,202-60):$D1394),"")</f>
        <v/>
      </c>
      <c r="N1394" s="37" t="str">
        <f aca="false">IF(AND(ISNUMBER($G1394),$G1394&gt;=60),MIN(INDEX($E$1194:$E1394,202-60):$E1394),"")</f>
        <v/>
      </c>
      <c r="O1394" s="38" t="str">
        <f aca="false">IF(OR(NOT(ISNUMBER($C1394)),NOT(ISNUMBER($M1394)),$M1394=0),"",$C1394/$M1394-1)</f>
        <v/>
      </c>
    </row>
    <row r="1395" customFormat="false" ht="15" hidden="false" customHeight="true" outlineLevel="0" collapsed="false">
      <c r="A1395" s="39"/>
      <c r="B1395" s="40"/>
      <c r="C1395" s="41"/>
      <c r="D1395" s="40"/>
      <c r="E1395" s="40"/>
      <c r="F1395" s="40"/>
      <c r="G1395" s="35" t="str">
        <f aca="false">IF($A1395="","",IF(ISNUMBER($G1394),$G1394+1,1))</f>
        <v/>
      </c>
      <c r="H1395" s="36" t="str">
        <f aca="false">IF(OR(NOT(ISNUMBER($G1395)),$G1395&lt;2,NOT(ISNUMBER($C1394)),$C1394=0),"",$C1395/$C1394-1)</f>
        <v/>
      </c>
      <c r="I1395" s="37" t="str">
        <f aca="false">IF(AND(ISNUMBER($G1395),$G1395&gt;=MA_SHORT),AVERAGE(INDEX($C$995:$C1395,402-MA_SHORT):$C1395),"")</f>
        <v/>
      </c>
      <c r="J1395" s="37" t="str">
        <f aca="false">IF(AND(ISNUMBER($G1395),$G1395&gt;=MA_MED),AVERAGE(INDEX($C$995:$C1395,402-MA_MED):$C1395),"")</f>
        <v/>
      </c>
      <c r="K1395" s="37" t="str">
        <f aca="false">IF(AND(ISNUMBER($G1395),$G1395&gt;=MA_LONG2),AVERAGE(INDEX($C$995:$C1395,402-MA_LONG2):$C1395),"")</f>
        <v/>
      </c>
      <c r="L1395" s="38" t="str">
        <f aca="false">IF(AND(ISNUMBER($G1395),$G1395&gt;=21),STDEV(INDEX($H$1335:$H1395,62-20):$H1395)*SQRT(245),"")</f>
        <v/>
      </c>
      <c r="M1395" s="37" t="str">
        <f aca="false">IF(AND(ISNUMBER($G1395),$G1395&gt;=60),MAX(INDEX($D$1195:$D1395,202-60):$D1395),"")</f>
        <v/>
      </c>
      <c r="N1395" s="37" t="str">
        <f aca="false">IF(AND(ISNUMBER($G1395),$G1395&gt;=60),MIN(INDEX($E$1195:$E1395,202-60):$E1395),"")</f>
        <v/>
      </c>
      <c r="O1395" s="38" t="str">
        <f aca="false">IF(OR(NOT(ISNUMBER($C1395)),NOT(ISNUMBER($M1395)),$M1395=0),"",$C1395/$M1395-1)</f>
        <v/>
      </c>
    </row>
    <row r="1396" customFormat="false" ht="15" hidden="false" customHeight="true" outlineLevel="0" collapsed="false">
      <c r="A1396" s="39"/>
      <c r="B1396" s="40"/>
      <c r="C1396" s="41"/>
      <c r="D1396" s="40"/>
      <c r="E1396" s="40"/>
      <c r="F1396" s="40"/>
      <c r="G1396" s="35" t="str">
        <f aca="false">IF($A1396="","",IF(ISNUMBER($G1395),$G1395+1,1))</f>
        <v/>
      </c>
      <c r="H1396" s="36" t="str">
        <f aca="false">IF(OR(NOT(ISNUMBER($G1396)),$G1396&lt;2,NOT(ISNUMBER($C1395)),$C1395=0),"",$C1396/$C1395-1)</f>
        <v/>
      </c>
      <c r="I1396" s="37" t="str">
        <f aca="false">IF(AND(ISNUMBER($G1396),$G1396&gt;=MA_SHORT),AVERAGE(INDEX($C$996:$C1396,402-MA_SHORT):$C1396),"")</f>
        <v/>
      </c>
      <c r="J1396" s="37" t="str">
        <f aca="false">IF(AND(ISNUMBER($G1396),$G1396&gt;=MA_MED),AVERAGE(INDEX($C$996:$C1396,402-MA_MED):$C1396),"")</f>
        <v/>
      </c>
      <c r="K1396" s="37" t="str">
        <f aca="false">IF(AND(ISNUMBER($G1396),$G1396&gt;=MA_LONG2),AVERAGE(INDEX($C$996:$C1396,402-MA_LONG2):$C1396),"")</f>
        <v/>
      </c>
      <c r="L1396" s="38" t="str">
        <f aca="false">IF(AND(ISNUMBER($G1396),$G1396&gt;=21),STDEV(INDEX($H$1336:$H1396,62-20):$H1396)*SQRT(245),"")</f>
        <v/>
      </c>
      <c r="M1396" s="37" t="str">
        <f aca="false">IF(AND(ISNUMBER($G1396),$G1396&gt;=60),MAX(INDEX($D$1196:$D1396,202-60):$D1396),"")</f>
        <v/>
      </c>
      <c r="N1396" s="37" t="str">
        <f aca="false">IF(AND(ISNUMBER($G1396),$G1396&gt;=60),MIN(INDEX($E$1196:$E1396,202-60):$E1396),"")</f>
        <v/>
      </c>
      <c r="O1396" s="38" t="str">
        <f aca="false">IF(OR(NOT(ISNUMBER($C1396)),NOT(ISNUMBER($M1396)),$M1396=0),"",$C1396/$M1396-1)</f>
        <v/>
      </c>
    </row>
    <row r="1397" customFormat="false" ht="15" hidden="false" customHeight="true" outlineLevel="0" collapsed="false">
      <c r="A1397" s="39"/>
      <c r="B1397" s="40"/>
      <c r="C1397" s="41"/>
      <c r="D1397" s="40"/>
      <c r="E1397" s="40"/>
      <c r="F1397" s="40"/>
      <c r="G1397" s="35" t="str">
        <f aca="false">IF($A1397="","",IF(ISNUMBER($G1396),$G1396+1,1))</f>
        <v/>
      </c>
      <c r="H1397" s="36" t="str">
        <f aca="false">IF(OR(NOT(ISNUMBER($G1397)),$G1397&lt;2,NOT(ISNUMBER($C1396)),$C1396=0),"",$C1397/$C1396-1)</f>
        <v/>
      </c>
      <c r="I1397" s="37" t="str">
        <f aca="false">IF(AND(ISNUMBER($G1397),$G1397&gt;=MA_SHORT),AVERAGE(INDEX($C$997:$C1397,402-MA_SHORT):$C1397),"")</f>
        <v/>
      </c>
      <c r="J1397" s="37" t="str">
        <f aca="false">IF(AND(ISNUMBER($G1397),$G1397&gt;=MA_MED),AVERAGE(INDEX($C$997:$C1397,402-MA_MED):$C1397),"")</f>
        <v/>
      </c>
      <c r="K1397" s="37" t="str">
        <f aca="false">IF(AND(ISNUMBER($G1397),$G1397&gt;=MA_LONG2),AVERAGE(INDEX($C$997:$C1397,402-MA_LONG2):$C1397),"")</f>
        <v/>
      </c>
      <c r="L1397" s="38" t="str">
        <f aca="false">IF(AND(ISNUMBER($G1397),$G1397&gt;=21),STDEV(INDEX($H$1337:$H1397,62-20):$H1397)*SQRT(245),"")</f>
        <v/>
      </c>
      <c r="M1397" s="37" t="str">
        <f aca="false">IF(AND(ISNUMBER($G1397),$G1397&gt;=60),MAX(INDEX($D$1197:$D1397,202-60):$D1397),"")</f>
        <v/>
      </c>
      <c r="N1397" s="37" t="str">
        <f aca="false">IF(AND(ISNUMBER($G1397),$G1397&gt;=60),MIN(INDEX($E$1197:$E1397,202-60):$E1397),"")</f>
        <v/>
      </c>
      <c r="O1397" s="38" t="str">
        <f aca="false">IF(OR(NOT(ISNUMBER($C1397)),NOT(ISNUMBER($M1397)),$M1397=0),"",$C1397/$M1397-1)</f>
        <v/>
      </c>
    </row>
    <row r="1398" customFormat="false" ht="15" hidden="false" customHeight="true" outlineLevel="0" collapsed="false">
      <c r="A1398" s="39"/>
      <c r="B1398" s="40"/>
      <c r="C1398" s="41"/>
      <c r="D1398" s="40"/>
      <c r="E1398" s="40"/>
      <c r="F1398" s="40"/>
      <c r="G1398" s="35" t="str">
        <f aca="false">IF($A1398="","",IF(ISNUMBER($G1397),$G1397+1,1))</f>
        <v/>
      </c>
      <c r="H1398" s="36" t="str">
        <f aca="false">IF(OR(NOT(ISNUMBER($G1398)),$G1398&lt;2,NOT(ISNUMBER($C1397)),$C1397=0),"",$C1398/$C1397-1)</f>
        <v/>
      </c>
      <c r="I1398" s="37" t="str">
        <f aca="false">IF(AND(ISNUMBER($G1398),$G1398&gt;=MA_SHORT),AVERAGE(INDEX($C$998:$C1398,402-MA_SHORT):$C1398),"")</f>
        <v/>
      </c>
      <c r="J1398" s="37" t="str">
        <f aca="false">IF(AND(ISNUMBER($G1398),$G1398&gt;=MA_MED),AVERAGE(INDEX($C$998:$C1398,402-MA_MED):$C1398),"")</f>
        <v/>
      </c>
      <c r="K1398" s="37" t="str">
        <f aca="false">IF(AND(ISNUMBER($G1398),$G1398&gt;=MA_LONG2),AVERAGE(INDEX($C$998:$C1398,402-MA_LONG2):$C1398),"")</f>
        <v/>
      </c>
      <c r="L1398" s="38" t="str">
        <f aca="false">IF(AND(ISNUMBER($G1398),$G1398&gt;=21),STDEV(INDEX($H$1338:$H1398,62-20):$H1398)*SQRT(245),"")</f>
        <v/>
      </c>
      <c r="M1398" s="37" t="str">
        <f aca="false">IF(AND(ISNUMBER($G1398),$G1398&gt;=60),MAX(INDEX($D$1198:$D1398,202-60):$D1398),"")</f>
        <v/>
      </c>
      <c r="N1398" s="37" t="str">
        <f aca="false">IF(AND(ISNUMBER($G1398),$G1398&gt;=60),MIN(INDEX($E$1198:$E1398,202-60):$E1398),"")</f>
        <v/>
      </c>
      <c r="O1398" s="38" t="str">
        <f aca="false">IF(OR(NOT(ISNUMBER($C1398)),NOT(ISNUMBER($M1398)),$M1398=0),"",$C1398/$M1398-1)</f>
        <v/>
      </c>
    </row>
    <row r="1399" customFormat="false" ht="15" hidden="false" customHeight="true" outlineLevel="0" collapsed="false">
      <c r="A1399" s="39"/>
      <c r="B1399" s="40"/>
      <c r="C1399" s="41"/>
      <c r="D1399" s="40"/>
      <c r="E1399" s="40"/>
      <c r="F1399" s="40"/>
      <c r="G1399" s="35" t="str">
        <f aca="false">IF($A1399="","",IF(ISNUMBER($G1398),$G1398+1,1))</f>
        <v/>
      </c>
      <c r="H1399" s="36" t="str">
        <f aca="false">IF(OR(NOT(ISNUMBER($G1399)),$G1399&lt;2,NOT(ISNUMBER($C1398)),$C1398=0),"",$C1399/$C1398-1)</f>
        <v/>
      </c>
      <c r="I1399" s="37" t="str">
        <f aca="false">IF(AND(ISNUMBER($G1399),$G1399&gt;=MA_SHORT),AVERAGE(INDEX($C$999:$C1399,402-MA_SHORT):$C1399),"")</f>
        <v/>
      </c>
      <c r="J1399" s="37" t="str">
        <f aca="false">IF(AND(ISNUMBER($G1399),$G1399&gt;=MA_MED),AVERAGE(INDEX($C$999:$C1399,402-MA_MED):$C1399),"")</f>
        <v/>
      </c>
      <c r="K1399" s="37" t="str">
        <f aca="false">IF(AND(ISNUMBER($G1399),$G1399&gt;=MA_LONG2),AVERAGE(INDEX($C$999:$C1399,402-MA_LONG2):$C1399),"")</f>
        <v/>
      </c>
      <c r="L1399" s="38" t="str">
        <f aca="false">IF(AND(ISNUMBER($G1399),$G1399&gt;=21),STDEV(INDEX($H$1339:$H1399,62-20):$H1399)*SQRT(245),"")</f>
        <v/>
      </c>
      <c r="M1399" s="37" t="str">
        <f aca="false">IF(AND(ISNUMBER($G1399),$G1399&gt;=60),MAX(INDEX($D$1199:$D1399,202-60):$D1399),"")</f>
        <v/>
      </c>
      <c r="N1399" s="37" t="str">
        <f aca="false">IF(AND(ISNUMBER($G1399),$G1399&gt;=60),MIN(INDEX($E$1199:$E1399,202-60):$E1399),"")</f>
        <v/>
      </c>
      <c r="O1399" s="38" t="str">
        <f aca="false">IF(OR(NOT(ISNUMBER($C1399)),NOT(ISNUMBER($M1399)),$M1399=0),"",$C1399/$M1399-1)</f>
        <v/>
      </c>
    </row>
    <row r="1400" customFormat="false" ht="15" hidden="false" customHeight="true" outlineLevel="0" collapsed="false">
      <c r="A1400" s="39"/>
      <c r="B1400" s="40"/>
      <c r="C1400" s="41"/>
      <c r="D1400" s="40"/>
      <c r="E1400" s="40"/>
      <c r="F1400" s="40"/>
      <c r="G1400" s="35" t="str">
        <f aca="false">IF($A1400="","",IF(ISNUMBER($G1399),$G1399+1,1))</f>
        <v/>
      </c>
      <c r="H1400" s="36" t="str">
        <f aca="false">IF(OR(NOT(ISNUMBER($G1400)),$G1400&lt;2,NOT(ISNUMBER($C1399)),$C1399=0),"",$C1400/$C1399-1)</f>
        <v/>
      </c>
      <c r="I1400" s="37" t="str">
        <f aca="false">IF(AND(ISNUMBER($G1400),$G1400&gt;=MA_SHORT),AVERAGE(INDEX($C$1000:$C1400,402-MA_SHORT):$C1400),"")</f>
        <v/>
      </c>
      <c r="J1400" s="37" t="str">
        <f aca="false">IF(AND(ISNUMBER($G1400),$G1400&gt;=MA_MED),AVERAGE(INDEX($C$1000:$C1400,402-MA_MED):$C1400),"")</f>
        <v/>
      </c>
      <c r="K1400" s="37" t="str">
        <f aca="false">IF(AND(ISNUMBER($G1400),$G1400&gt;=MA_LONG2),AVERAGE(INDEX($C$1000:$C1400,402-MA_LONG2):$C1400),"")</f>
        <v/>
      </c>
      <c r="L1400" s="38" t="str">
        <f aca="false">IF(AND(ISNUMBER($G1400),$G1400&gt;=21),STDEV(INDEX($H$1340:$H1400,62-20):$H1400)*SQRT(245),"")</f>
        <v/>
      </c>
      <c r="M1400" s="37" t="str">
        <f aca="false">IF(AND(ISNUMBER($G1400),$G1400&gt;=60),MAX(INDEX($D$1200:$D1400,202-60):$D1400),"")</f>
        <v/>
      </c>
      <c r="N1400" s="37" t="str">
        <f aca="false">IF(AND(ISNUMBER($G1400),$G1400&gt;=60),MIN(INDEX($E$1200:$E1400,202-60):$E1400),"")</f>
        <v/>
      </c>
      <c r="O1400" s="38" t="str">
        <f aca="false">IF(OR(NOT(ISNUMBER($C1400)),NOT(ISNUMBER($M1400)),$M1400=0),"",$C1400/$M1400-1)</f>
        <v/>
      </c>
    </row>
    <row r="1401" customFormat="false" ht="15" hidden="false" customHeight="true" outlineLevel="0" collapsed="false">
      <c r="A1401" s="39"/>
      <c r="B1401" s="40"/>
      <c r="C1401" s="41"/>
      <c r="D1401" s="40"/>
      <c r="E1401" s="40"/>
      <c r="F1401" s="40"/>
      <c r="G1401" s="35" t="str">
        <f aca="false">IF($A1401="","",IF(ISNUMBER($G1400),$G1400+1,1))</f>
        <v/>
      </c>
      <c r="H1401" s="36" t="str">
        <f aca="false">IF(OR(NOT(ISNUMBER($G1401)),$G1401&lt;2,NOT(ISNUMBER($C1400)),$C1400=0),"",$C1401/$C1400-1)</f>
        <v/>
      </c>
      <c r="I1401" s="37" t="str">
        <f aca="false">IF(AND(ISNUMBER($G1401),$G1401&gt;=MA_SHORT),AVERAGE(INDEX($C$1001:$C1401,402-MA_SHORT):$C1401),"")</f>
        <v/>
      </c>
      <c r="J1401" s="37" t="str">
        <f aca="false">IF(AND(ISNUMBER($G1401),$G1401&gt;=MA_MED),AVERAGE(INDEX($C$1001:$C1401,402-MA_MED):$C1401),"")</f>
        <v/>
      </c>
      <c r="K1401" s="37" t="str">
        <f aca="false">IF(AND(ISNUMBER($G1401),$G1401&gt;=MA_LONG2),AVERAGE(INDEX($C$1001:$C1401,402-MA_LONG2):$C1401),"")</f>
        <v/>
      </c>
      <c r="L1401" s="38" t="str">
        <f aca="false">IF(AND(ISNUMBER($G1401),$G1401&gt;=21),STDEV(INDEX($H$1341:$H1401,62-20):$H1401)*SQRT(245),"")</f>
        <v/>
      </c>
      <c r="M1401" s="37" t="str">
        <f aca="false">IF(AND(ISNUMBER($G1401),$G1401&gt;=60),MAX(INDEX($D$1201:$D1401,202-60):$D1401),"")</f>
        <v/>
      </c>
      <c r="N1401" s="37" t="str">
        <f aca="false">IF(AND(ISNUMBER($G1401),$G1401&gt;=60),MIN(INDEX($E$1201:$E1401,202-60):$E1401),"")</f>
        <v/>
      </c>
      <c r="O1401" s="38" t="str">
        <f aca="false">IF(OR(NOT(ISNUMBER($C1401)),NOT(ISNUMBER($M1401)),$M1401=0),"",$C1401/$M1401-1)</f>
        <v/>
      </c>
    </row>
    <row r="1402" customFormat="false" ht="15" hidden="false" customHeight="true" outlineLevel="0" collapsed="false">
      <c r="A1402" s="39"/>
      <c r="B1402" s="40"/>
      <c r="C1402" s="41"/>
      <c r="D1402" s="40"/>
      <c r="E1402" s="40"/>
      <c r="F1402" s="40"/>
      <c r="G1402" s="35" t="str">
        <f aca="false">IF($A1402="","",IF(ISNUMBER($G1401),$G1401+1,1))</f>
        <v/>
      </c>
      <c r="H1402" s="36" t="str">
        <f aca="false">IF(OR(NOT(ISNUMBER($G1402)),$G1402&lt;2,NOT(ISNUMBER($C1401)),$C1401=0),"",$C1402/$C1401-1)</f>
        <v/>
      </c>
      <c r="I1402" s="37" t="str">
        <f aca="false">IF(AND(ISNUMBER($G1402),$G1402&gt;=MA_SHORT),AVERAGE(INDEX($C$1002:$C1402,402-MA_SHORT):$C1402),"")</f>
        <v/>
      </c>
      <c r="J1402" s="37" t="str">
        <f aca="false">IF(AND(ISNUMBER($G1402),$G1402&gt;=MA_MED),AVERAGE(INDEX($C$1002:$C1402,402-MA_MED):$C1402),"")</f>
        <v/>
      </c>
      <c r="K1402" s="37" t="str">
        <f aca="false">IF(AND(ISNUMBER($G1402),$G1402&gt;=MA_LONG2),AVERAGE(INDEX($C$1002:$C1402,402-MA_LONG2):$C1402),"")</f>
        <v/>
      </c>
      <c r="L1402" s="38" t="str">
        <f aca="false">IF(AND(ISNUMBER($G1402),$G1402&gt;=21),STDEV(INDEX($H$1342:$H1402,62-20):$H1402)*SQRT(245),"")</f>
        <v/>
      </c>
      <c r="M1402" s="37" t="str">
        <f aca="false">IF(AND(ISNUMBER($G1402),$G1402&gt;=60),MAX(INDEX($D$1202:$D1402,202-60):$D1402),"")</f>
        <v/>
      </c>
      <c r="N1402" s="37" t="str">
        <f aca="false">IF(AND(ISNUMBER($G1402),$G1402&gt;=60),MIN(INDEX($E$1202:$E1402,202-60):$E1402),"")</f>
        <v/>
      </c>
      <c r="O1402" s="38" t="str">
        <f aca="false">IF(OR(NOT(ISNUMBER($C1402)),NOT(ISNUMBER($M1402)),$M1402=0),"",$C1402/$M1402-1)</f>
        <v/>
      </c>
    </row>
    <row r="1403" customFormat="false" ht="15" hidden="false" customHeight="true" outlineLevel="0" collapsed="false">
      <c r="A1403" s="39"/>
      <c r="B1403" s="40"/>
      <c r="C1403" s="41"/>
      <c r="D1403" s="40"/>
      <c r="E1403" s="40"/>
      <c r="F1403" s="40"/>
      <c r="G1403" s="35" t="str">
        <f aca="false">IF($A1403="","",IF(ISNUMBER($G1402),$G1402+1,1))</f>
        <v/>
      </c>
      <c r="H1403" s="36" t="str">
        <f aca="false">IF(OR(NOT(ISNUMBER($G1403)),$G1403&lt;2,NOT(ISNUMBER($C1402)),$C1402=0),"",$C1403/$C1402-1)</f>
        <v/>
      </c>
      <c r="I1403" s="37" t="str">
        <f aca="false">IF(AND(ISNUMBER($G1403),$G1403&gt;=MA_SHORT),AVERAGE(INDEX($C$1003:$C1403,402-MA_SHORT):$C1403),"")</f>
        <v/>
      </c>
      <c r="J1403" s="37" t="str">
        <f aca="false">IF(AND(ISNUMBER($G1403),$G1403&gt;=MA_MED),AVERAGE(INDEX($C$1003:$C1403,402-MA_MED):$C1403),"")</f>
        <v/>
      </c>
      <c r="K1403" s="37" t="str">
        <f aca="false">IF(AND(ISNUMBER($G1403),$G1403&gt;=MA_LONG2),AVERAGE(INDEX($C$1003:$C1403,402-MA_LONG2):$C1403),"")</f>
        <v/>
      </c>
      <c r="L1403" s="38" t="str">
        <f aca="false">IF(AND(ISNUMBER($G1403),$G1403&gt;=21),STDEV(INDEX($H$1343:$H1403,62-20):$H1403)*SQRT(245),"")</f>
        <v/>
      </c>
      <c r="M1403" s="37" t="str">
        <f aca="false">IF(AND(ISNUMBER($G1403),$G1403&gt;=60),MAX(INDEX($D$1203:$D1403,202-60):$D1403),"")</f>
        <v/>
      </c>
      <c r="N1403" s="37" t="str">
        <f aca="false">IF(AND(ISNUMBER($G1403),$G1403&gt;=60),MIN(INDEX($E$1203:$E1403,202-60):$E1403),"")</f>
        <v/>
      </c>
      <c r="O1403" s="38" t="str">
        <f aca="false">IF(OR(NOT(ISNUMBER($C1403)),NOT(ISNUMBER($M1403)),$M1403=0),"",$C1403/$M1403-1)</f>
        <v/>
      </c>
    </row>
    <row r="1404" customFormat="false" ht="15" hidden="false" customHeight="true" outlineLevel="0" collapsed="false">
      <c r="A1404" s="39"/>
      <c r="B1404" s="40"/>
      <c r="C1404" s="41"/>
      <c r="D1404" s="40"/>
      <c r="E1404" s="40"/>
      <c r="F1404" s="40"/>
      <c r="G1404" s="35" t="str">
        <f aca="false">IF($A1404="","",IF(ISNUMBER($G1403),$G1403+1,1))</f>
        <v/>
      </c>
      <c r="H1404" s="36" t="str">
        <f aca="false">IF(OR(NOT(ISNUMBER($G1404)),$G1404&lt;2,NOT(ISNUMBER($C1403)),$C1403=0),"",$C1404/$C1403-1)</f>
        <v/>
      </c>
      <c r="I1404" s="37" t="str">
        <f aca="false">IF(AND(ISNUMBER($G1404),$G1404&gt;=MA_SHORT),AVERAGE(INDEX($C$1004:$C1404,402-MA_SHORT):$C1404),"")</f>
        <v/>
      </c>
      <c r="J1404" s="37" t="str">
        <f aca="false">IF(AND(ISNUMBER($G1404),$G1404&gt;=MA_MED),AVERAGE(INDEX($C$1004:$C1404,402-MA_MED):$C1404),"")</f>
        <v/>
      </c>
      <c r="K1404" s="37" t="str">
        <f aca="false">IF(AND(ISNUMBER($G1404),$G1404&gt;=MA_LONG2),AVERAGE(INDEX($C$1004:$C1404,402-MA_LONG2):$C1404),"")</f>
        <v/>
      </c>
      <c r="L1404" s="38" t="str">
        <f aca="false">IF(AND(ISNUMBER($G1404),$G1404&gt;=21),STDEV(INDEX($H$1344:$H1404,62-20):$H1404)*SQRT(245),"")</f>
        <v/>
      </c>
      <c r="M1404" s="37" t="str">
        <f aca="false">IF(AND(ISNUMBER($G1404),$G1404&gt;=60),MAX(INDEX($D$1204:$D1404,202-60):$D1404),"")</f>
        <v/>
      </c>
      <c r="N1404" s="37" t="str">
        <f aca="false">IF(AND(ISNUMBER($G1404),$G1404&gt;=60),MIN(INDEX($E$1204:$E1404,202-60):$E1404),"")</f>
        <v/>
      </c>
      <c r="O1404" s="38" t="str">
        <f aca="false">IF(OR(NOT(ISNUMBER($C1404)),NOT(ISNUMBER($M1404)),$M1404=0),"",$C1404/$M1404-1)</f>
        <v/>
      </c>
    </row>
    <row r="1405" customFormat="false" ht="15" hidden="false" customHeight="true" outlineLevel="0" collapsed="false">
      <c r="A1405" s="39"/>
      <c r="B1405" s="40"/>
      <c r="C1405" s="41"/>
      <c r="D1405" s="40"/>
      <c r="E1405" s="40"/>
      <c r="F1405" s="40"/>
      <c r="G1405" s="35" t="str">
        <f aca="false">IF($A1405="","",IF(ISNUMBER($G1404),$G1404+1,1))</f>
        <v/>
      </c>
      <c r="H1405" s="36" t="str">
        <f aca="false">IF(OR(NOT(ISNUMBER($G1405)),$G1405&lt;2,NOT(ISNUMBER($C1404)),$C1404=0),"",$C1405/$C1404-1)</f>
        <v/>
      </c>
      <c r="I1405" s="37" t="str">
        <f aca="false">IF(AND(ISNUMBER($G1405),$G1405&gt;=MA_SHORT),AVERAGE(INDEX($C$1005:$C1405,402-MA_SHORT):$C1405),"")</f>
        <v/>
      </c>
      <c r="J1405" s="37" t="str">
        <f aca="false">IF(AND(ISNUMBER($G1405),$G1405&gt;=MA_MED),AVERAGE(INDEX($C$1005:$C1405,402-MA_MED):$C1405),"")</f>
        <v/>
      </c>
      <c r="K1405" s="37" t="str">
        <f aca="false">IF(AND(ISNUMBER($G1405),$G1405&gt;=MA_LONG2),AVERAGE(INDEX($C$1005:$C1405,402-MA_LONG2):$C1405),"")</f>
        <v/>
      </c>
      <c r="L1405" s="38" t="str">
        <f aca="false">IF(AND(ISNUMBER($G1405),$G1405&gt;=21),STDEV(INDEX($H$1345:$H1405,62-20):$H1405)*SQRT(245),"")</f>
        <v/>
      </c>
      <c r="M1405" s="37" t="str">
        <f aca="false">IF(AND(ISNUMBER($G1405),$G1405&gt;=60),MAX(INDEX($D$1205:$D1405,202-60):$D1405),"")</f>
        <v/>
      </c>
      <c r="N1405" s="37" t="str">
        <f aca="false">IF(AND(ISNUMBER($G1405),$G1405&gt;=60),MIN(INDEX($E$1205:$E1405,202-60):$E1405),"")</f>
        <v/>
      </c>
      <c r="O1405" s="38" t="str">
        <f aca="false">IF(OR(NOT(ISNUMBER($C1405)),NOT(ISNUMBER($M1405)),$M1405=0),"",$C1405/$M1405-1)</f>
        <v/>
      </c>
    </row>
    <row r="1406" customFormat="false" ht="15" hidden="false" customHeight="true" outlineLevel="0" collapsed="false">
      <c r="A1406" s="39"/>
      <c r="B1406" s="40"/>
      <c r="C1406" s="41"/>
      <c r="D1406" s="40"/>
      <c r="E1406" s="40"/>
      <c r="F1406" s="40"/>
      <c r="G1406" s="35" t="str">
        <f aca="false">IF($A1406="","",IF(ISNUMBER($G1405),$G1405+1,1))</f>
        <v/>
      </c>
      <c r="H1406" s="36" t="str">
        <f aca="false">IF(OR(NOT(ISNUMBER($G1406)),$G1406&lt;2,NOT(ISNUMBER($C1405)),$C1405=0),"",$C1406/$C1405-1)</f>
        <v/>
      </c>
      <c r="I1406" s="37" t="str">
        <f aca="false">IF(AND(ISNUMBER($G1406),$G1406&gt;=MA_SHORT),AVERAGE(INDEX($C$1006:$C1406,402-MA_SHORT):$C1406),"")</f>
        <v/>
      </c>
      <c r="J1406" s="37" t="str">
        <f aca="false">IF(AND(ISNUMBER($G1406),$G1406&gt;=MA_MED),AVERAGE(INDEX($C$1006:$C1406,402-MA_MED):$C1406),"")</f>
        <v/>
      </c>
      <c r="K1406" s="37" t="str">
        <f aca="false">IF(AND(ISNUMBER($G1406),$G1406&gt;=MA_LONG2),AVERAGE(INDEX($C$1006:$C1406,402-MA_LONG2):$C1406),"")</f>
        <v/>
      </c>
      <c r="L1406" s="38" t="str">
        <f aca="false">IF(AND(ISNUMBER($G1406),$G1406&gt;=21),STDEV(INDEX($H$1346:$H1406,62-20):$H1406)*SQRT(245),"")</f>
        <v/>
      </c>
      <c r="M1406" s="37" t="str">
        <f aca="false">IF(AND(ISNUMBER($G1406),$G1406&gt;=60),MAX(INDEX($D$1206:$D1406,202-60):$D1406),"")</f>
        <v/>
      </c>
      <c r="N1406" s="37" t="str">
        <f aca="false">IF(AND(ISNUMBER($G1406),$G1406&gt;=60),MIN(INDEX($E$1206:$E1406,202-60):$E1406),"")</f>
        <v/>
      </c>
      <c r="O1406" s="38" t="str">
        <f aca="false">IF(OR(NOT(ISNUMBER($C1406)),NOT(ISNUMBER($M1406)),$M1406=0),"",$C1406/$M1406-1)</f>
        <v/>
      </c>
    </row>
    <row r="1407" customFormat="false" ht="15" hidden="false" customHeight="true" outlineLevel="0" collapsed="false">
      <c r="A1407" s="39"/>
      <c r="B1407" s="40"/>
      <c r="C1407" s="41"/>
      <c r="D1407" s="40"/>
      <c r="E1407" s="40"/>
      <c r="F1407" s="40"/>
      <c r="G1407" s="35" t="str">
        <f aca="false">IF($A1407="","",IF(ISNUMBER($G1406),$G1406+1,1))</f>
        <v/>
      </c>
      <c r="H1407" s="36" t="str">
        <f aca="false">IF(OR(NOT(ISNUMBER($G1407)),$G1407&lt;2,NOT(ISNUMBER($C1406)),$C1406=0),"",$C1407/$C1406-1)</f>
        <v/>
      </c>
      <c r="I1407" s="37" t="str">
        <f aca="false">IF(AND(ISNUMBER($G1407),$G1407&gt;=MA_SHORT),AVERAGE(INDEX($C$1007:$C1407,402-MA_SHORT):$C1407),"")</f>
        <v/>
      </c>
      <c r="J1407" s="37" t="str">
        <f aca="false">IF(AND(ISNUMBER($G1407),$G1407&gt;=MA_MED),AVERAGE(INDEX($C$1007:$C1407,402-MA_MED):$C1407),"")</f>
        <v/>
      </c>
      <c r="K1407" s="37" t="str">
        <f aca="false">IF(AND(ISNUMBER($G1407),$G1407&gt;=MA_LONG2),AVERAGE(INDEX($C$1007:$C1407,402-MA_LONG2):$C1407),"")</f>
        <v/>
      </c>
      <c r="L1407" s="38" t="str">
        <f aca="false">IF(AND(ISNUMBER($G1407),$G1407&gt;=21),STDEV(INDEX($H$1347:$H1407,62-20):$H1407)*SQRT(245),"")</f>
        <v/>
      </c>
      <c r="M1407" s="37" t="str">
        <f aca="false">IF(AND(ISNUMBER($G1407),$G1407&gt;=60),MAX(INDEX($D$1207:$D1407,202-60):$D1407),"")</f>
        <v/>
      </c>
      <c r="N1407" s="37" t="str">
        <f aca="false">IF(AND(ISNUMBER($G1407),$G1407&gt;=60),MIN(INDEX($E$1207:$E1407,202-60):$E1407),"")</f>
        <v/>
      </c>
      <c r="O1407" s="38" t="str">
        <f aca="false">IF(OR(NOT(ISNUMBER($C1407)),NOT(ISNUMBER($M1407)),$M1407=0),"",$C1407/$M1407-1)</f>
        <v/>
      </c>
    </row>
    <row r="1408" customFormat="false" ht="15" hidden="false" customHeight="true" outlineLevel="0" collapsed="false">
      <c r="A1408" s="39"/>
      <c r="B1408" s="40"/>
      <c r="C1408" s="41"/>
      <c r="D1408" s="40"/>
      <c r="E1408" s="40"/>
      <c r="F1408" s="40"/>
      <c r="G1408" s="35" t="str">
        <f aca="false">IF($A1408="","",IF(ISNUMBER($G1407),$G1407+1,1))</f>
        <v/>
      </c>
      <c r="H1408" s="36" t="str">
        <f aca="false">IF(OR(NOT(ISNUMBER($G1408)),$G1408&lt;2,NOT(ISNUMBER($C1407)),$C1407=0),"",$C1408/$C1407-1)</f>
        <v/>
      </c>
      <c r="I1408" s="37" t="str">
        <f aca="false">IF(AND(ISNUMBER($G1408),$G1408&gt;=MA_SHORT),AVERAGE(INDEX($C$1008:$C1408,402-MA_SHORT):$C1408),"")</f>
        <v/>
      </c>
      <c r="J1408" s="37" t="str">
        <f aca="false">IF(AND(ISNUMBER($G1408),$G1408&gt;=MA_MED),AVERAGE(INDEX($C$1008:$C1408,402-MA_MED):$C1408),"")</f>
        <v/>
      </c>
      <c r="K1408" s="37" t="str">
        <f aca="false">IF(AND(ISNUMBER($G1408),$G1408&gt;=MA_LONG2),AVERAGE(INDEX($C$1008:$C1408,402-MA_LONG2):$C1408),"")</f>
        <v/>
      </c>
      <c r="L1408" s="38" t="str">
        <f aca="false">IF(AND(ISNUMBER($G1408),$G1408&gt;=21),STDEV(INDEX($H$1348:$H1408,62-20):$H1408)*SQRT(245),"")</f>
        <v/>
      </c>
      <c r="M1408" s="37" t="str">
        <f aca="false">IF(AND(ISNUMBER($G1408),$G1408&gt;=60),MAX(INDEX($D$1208:$D1408,202-60):$D1408),"")</f>
        <v/>
      </c>
      <c r="N1408" s="37" t="str">
        <f aca="false">IF(AND(ISNUMBER($G1408),$G1408&gt;=60),MIN(INDEX($E$1208:$E1408,202-60):$E1408),"")</f>
        <v/>
      </c>
      <c r="O1408" s="38" t="str">
        <f aca="false">IF(OR(NOT(ISNUMBER($C1408)),NOT(ISNUMBER($M1408)),$M1408=0),"",$C1408/$M1408-1)</f>
        <v/>
      </c>
    </row>
    <row r="1409" customFormat="false" ht="15" hidden="false" customHeight="true" outlineLevel="0" collapsed="false">
      <c r="A1409" s="39"/>
      <c r="B1409" s="40"/>
      <c r="C1409" s="41"/>
      <c r="D1409" s="40"/>
      <c r="E1409" s="40"/>
      <c r="F1409" s="40"/>
      <c r="G1409" s="35" t="str">
        <f aca="false">IF($A1409="","",IF(ISNUMBER($G1408),$G1408+1,1))</f>
        <v/>
      </c>
      <c r="H1409" s="36" t="str">
        <f aca="false">IF(OR(NOT(ISNUMBER($G1409)),$G1409&lt;2,NOT(ISNUMBER($C1408)),$C1408=0),"",$C1409/$C1408-1)</f>
        <v/>
      </c>
      <c r="I1409" s="37" t="str">
        <f aca="false">IF(AND(ISNUMBER($G1409),$G1409&gt;=MA_SHORT),AVERAGE(INDEX($C$1009:$C1409,402-MA_SHORT):$C1409),"")</f>
        <v/>
      </c>
      <c r="J1409" s="37" t="str">
        <f aca="false">IF(AND(ISNUMBER($G1409),$G1409&gt;=MA_MED),AVERAGE(INDEX($C$1009:$C1409,402-MA_MED):$C1409),"")</f>
        <v/>
      </c>
      <c r="K1409" s="37" t="str">
        <f aca="false">IF(AND(ISNUMBER($G1409),$G1409&gt;=MA_LONG2),AVERAGE(INDEX($C$1009:$C1409,402-MA_LONG2):$C1409),"")</f>
        <v/>
      </c>
      <c r="L1409" s="38" t="str">
        <f aca="false">IF(AND(ISNUMBER($G1409),$G1409&gt;=21),STDEV(INDEX($H$1349:$H1409,62-20):$H1409)*SQRT(245),"")</f>
        <v/>
      </c>
      <c r="M1409" s="37" t="str">
        <f aca="false">IF(AND(ISNUMBER($G1409),$G1409&gt;=60),MAX(INDEX($D$1209:$D1409,202-60):$D1409),"")</f>
        <v/>
      </c>
      <c r="N1409" s="37" t="str">
        <f aca="false">IF(AND(ISNUMBER($G1409),$G1409&gt;=60),MIN(INDEX($E$1209:$E1409,202-60):$E1409),"")</f>
        <v/>
      </c>
      <c r="O1409" s="38" t="str">
        <f aca="false">IF(OR(NOT(ISNUMBER($C1409)),NOT(ISNUMBER($M1409)),$M1409=0),"",$C1409/$M1409-1)</f>
        <v/>
      </c>
    </row>
    <row r="1410" customFormat="false" ht="15" hidden="false" customHeight="true" outlineLevel="0" collapsed="false">
      <c r="A1410" s="39"/>
      <c r="B1410" s="40"/>
      <c r="C1410" s="41"/>
      <c r="D1410" s="40"/>
      <c r="E1410" s="40"/>
      <c r="F1410" s="40"/>
      <c r="G1410" s="35" t="str">
        <f aca="false">IF($A1410="","",IF(ISNUMBER($G1409),$G1409+1,1))</f>
        <v/>
      </c>
      <c r="H1410" s="36" t="str">
        <f aca="false">IF(OR(NOT(ISNUMBER($G1410)),$G1410&lt;2,NOT(ISNUMBER($C1409)),$C1409=0),"",$C1410/$C1409-1)</f>
        <v/>
      </c>
      <c r="I1410" s="37" t="str">
        <f aca="false">IF(AND(ISNUMBER($G1410),$G1410&gt;=MA_SHORT),AVERAGE(INDEX($C$1010:$C1410,402-MA_SHORT):$C1410),"")</f>
        <v/>
      </c>
      <c r="J1410" s="37" t="str">
        <f aca="false">IF(AND(ISNUMBER($G1410),$G1410&gt;=MA_MED),AVERAGE(INDEX($C$1010:$C1410,402-MA_MED):$C1410),"")</f>
        <v/>
      </c>
      <c r="K1410" s="37" t="str">
        <f aca="false">IF(AND(ISNUMBER($G1410),$G1410&gt;=MA_LONG2),AVERAGE(INDEX($C$1010:$C1410,402-MA_LONG2):$C1410),"")</f>
        <v/>
      </c>
      <c r="L1410" s="38" t="str">
        <f aca="false">IF(AND(ISNUMBER($G1410),$G1410&gt;=21),STDEV(INDEX($H$1350:$H1410,62-20):$H1410)*SQRT(245),"")</f>
        <v/>
      </c>
      <c r="M1410" s="37" t="str">
        <f aca="false">IF(AND(ISNUMBER($G1410),$G1410&gt;=60),MAX(INDEX($D$1210:$D1410,202-60):$D1410),"")</f>
        <v/>
      </c>
      <c r="N1410" s="37" t="str">
        <f aca="false">IF(AND(ISNUMBER($G1410),$G1410&gt;=60),MIN(INDEX($E$1210:$E1410,202-60):$E1410),"")</f>
        <v/>
      </c>
      <c r="O1410" s="38" t="str">
        <f aca="false">IF(OR(NOT(ISNUMBER($C1410)),NOT(ISNUMBER($M1410)),$M1410=0),"",$C1410/$M1410-1)</f>
        <v/>
      </c>
    </row>
    <row r="1411" customFormat="false" ht="15" hidden="false" customHeight="true" outlineLevel="0" collapsed="false">
      <c r="A1411" s="39"/>
      <c r="B1411" s="40"/>
      <c r="C1411" s="41"/>
      <c r="D1411" s="40"/>
      <c r="E1411" s="40"/>
      <c r="F1411" s="40"/>
      <c r="G1411" s="35" t="str">
        <f aca="false">IF($A1411="","",IF(ISNUMBER($G1410),$G1410+1,1))</f>
        <v/>
      </c>
      <c r="H1411" s="36" t="str">
        <f aca="false">IF(OR(NOT(ISNUMBER($G1411)),$G1411&lt;2,NOT(ISNUMBER($C1410)),$C1410=0),"",$C1411/$C1410-1)</f>
        <v/>
      </c>
      <c r="I1411" s="37" t="str">
        <f aca="false">IF(AND(ISNUMBER($G1411),$G1411&gt;=MA_SHORT),AVERAGE(INDEX($C$1011:$C1411,402-MA_SHORT):$C1411),"")</f>
        <v/>
      </c>
      <c r="J1411" s="37" t="str">
        <f aca="false">IF(AND(ISNUMBER($G1411),$G1411&gt;=MA_MED),AVERAGE(INDEX($C$1011:$C1411,402-MA_MED):$C1411),"")</f>
        <v/>
      </c>
      <c r="K1411" s="37" t="str">
        <f aca="false">IF(AND(ISNUMBER($G1411),$G1411&gt;=MA_LONG2),AVERAGE(INDEX($C$1011:$C1411,402-MA_LONG2):$C1411),"")</f>
        <v/>
      </c>
      <c r="L1411" s="38" t="str">
        <f aca="false">IF(AND(ISNUMBER($G1411),$G1411&gt;=21),STDEV(INDEX($H$1351:$H1411,62-20):$H1411)*SQRT(245),"")</f>
        <v/>
      </c>
      <c r="M1411" s="37" t="str">
        <f aca="false">IF(AND(ISNUMBER($G1411),$G1411&gt;=60),MAX(INDEX($D$1211:$D1411,202-60):$D1411),"")</f>
        <v/>
      </c>
      <c r="N1411" s="37" t="str">
        <f aca="false">IF(AND(ISNUMBER($G1411),$G1411&gt;=60),MIN(INDEX($E$1211:$E1411,202-60):$E1411),"")</f>
        <v/>
      </c>
      <c r="O1411" s="38" t="str">
        <f aca="false">IF(OR(NOT(ISNUMBER($C1411)),NOT(ISNUMBER($M1411)),$M1411=0),"",$C1411/$M1411-1)</f>
        <v/>
      </c>
    </row>
    <row r="1412" customFormat="false" ht="15" hidden="false" customHeight="true" outlineLevel="0" collapsed="false">
      <c r="A1412" s="39"/>
      <c r="B1412" s="40"/>
      <c r="C1412" s="41"/>
      <c r="D1412" s="40"/>
      <c r="E1412" s="40"/>
      <c r="F1412" s="40"/>
      <c r="G1412" s="35" t="str">
        <f aca="false">IF($A1412="","",IF(ISNUMBER($G1411),$G1411+1,1))</f>
        <v/>
      </c>
      <c r="H1412" s="36" t="str">
        <f aca="false">IF(OR(NOT(ISNUMBER($G1412)),$G1412&lt;2,NOT(ISNUMBER($C1411)),$C1411=0),"",$C1412/$C1411-1)</f>
        <v/>
      </c>
      <c r="I1412" s="37" t="str">
        <f aca="false">IF(AND(ISNUMBER($G1412),$G1412&gt;=MA_SHORT),AVERAGE(INDEX($C$1012:$C1412,402-MA_SHORT):$C1412),"")</f>
        <v/>
      </c>
      <c r="J1412" s="37" t="str">
        <f aca="false">IF(AND(ISNUMBER($G1412),$G1412&gt;=MA_MED),AVERAGE(INDEX($C$1012:$C1412,402-MA_MED):$C1412),"")</f>
        <v/>
      </c>
      <c r="K1412" s="37" t="str">
        <f aca="false">IF(AND(ISNUMBER($G1412),$G1412&gt;=MA_LONG2),AVERAGE(INDEX($C$1012:$C1412,402-MA_LONG2):$C1412),"")</f>
        <v/>
      </c>
      <c r="L1412" s="38" t="str">
        <f aca="false">IF(AND(ISNUMBER($G1412),$G1412&gt;=21),STDEV(INDEX($H$1352:$H1412,62-20):$H1412)*SQRT(245),"")</f>
        <v/>
      </c>
      <c r="M1412" s="37" t="str">
        <f aca="false">IF(AND(ISNUMBER($G1412),$G1412&gt;=60),MAX(INDEX($D$1212:$D1412,202-60):$D1412),"")</f>
        <v/>
      </c>
      <c r="N1412" s="37" t="str">
        <f aca="false">IF(AND(ISNUMBER($G1412),$G1412&gt;=60),MIN(INDEX($E$1212:$E1412,202-60):$E1412),"")</f>
        <v/>
      </c>
      <c r="O1412" s="38" t="str">
        <f aca="false">IF(OR(NOT(ISNUMBER($C1412)),NOT(ISNUMBER($M1412)),$M1412=0),"",$C1412/$M1412-1)</f>
        <v/>
      </c>
    </row>
    <row r="1413" customFormat="false" ht="15" hidden="false" customHeight="true" outlineLevel="0" collapsed="false">
      <c r="A1413" s="39"/>
      <c r="B1413" s="40"/>
      <c r="C1413" s="41"/>
      <c r="D1413" s="40"/>
      <c r="E1413" s="40"/>
      <c r="F1413" s="40"/>
      <c r="G1413" s="35" t="str">
        <f aca="false">IF($A1413="","",IF(ISNUMBER($G1412),$G1412+1,1))</f>
        <v/>
      </c>
      <c r="H1413" s="36" t="str">
        <f aca="false">IF(OR(NOT(ISNUMBER($G1413)),$G1413&lt;2,NOT(ISNUMBER($C1412)),$C1412=0),"",$C1413/$C1412-1)</f>
        <v/>
      </c>
      <c r="I1413" s="37" t="str">
        <f aca="false">IF(AND(ISNUMBER($G1413),$G1413&gt;=MA_SHORT),AVERAGE(INDEX($C$1013:$C1413,402-MA_SHORT):$C1413),"")</f>
        <v/>
      </c>
      <c r="J1413" s="37" t="str">
        <f aca="false">IF(AND(ISNUMBER($G1413),$G1413&gt;=MA_MED),AVERAGE(INDEX($C$1013:$C1413,402-MA_MED):$C1413),"")</f>
        <v/>
      </c>
      <c r="K1413" s="37" t="str">
        <f aca="false">IF(AND(ISNUMBER($G1413),$G1413&gt;=MA_LONG2),AVERAGE(INDEX($C$1013:$C1413,402-MA_LONG2):$C1413),"")</f>
        <v/>
      </c>
      <c r="L1413" s="38" t="str">
        <f aca="false">IF(AND(ISNUMBER($G1413),$G1413&gt;=21),STDEV(INDEX($H$1353:$H1413,62-20):$H1413)*SQRT(245),"")</f>
        <v/>
      </c>
      <c r="M1413" s="37" t="str">
        <f aca="false">IF(AND(ISNUMBER($G1413),$G1413&gt;=60),MAX(INDEX($D$1213:$D1413,202-60):$D1413),"")</f>
        <v/>
      </c>
      <c r="N1413" s="37" t="str">
        <f aca="false">IF(AND(ISNUMBER($G1413),$G1413&gt;=60),MIN(INDEX($E$1213:$E1413,202-60):$E1413),"")</f>
        <v/>
      </c>
      <c r="O1413" s="38" t="str">
        <f aca="false">IF(OR(NOT(ISNUMBER($C1413)),NOT(ISNUMBER($M1413)),$M1413=0),"",$C1413/$M1413-1)</f>
        <v/>
      </c>
    </row>
    <row r="1414" customFormat="false" ht="15" hidden="false" customHeight="true" outlineLevel="0" collapsed="false">
      <c r="A1414" s="39"/>
      <c r="B1414" s="40"/>
      <c r="C1414" s="41"/>
      <c r="D1414" s="40"/>
      <c r="E1414" s="40"/>
      <c r="F1414" s="40"/>
      <c r="G1414" s="35" t="str">
        <f aca="false">IF($A1414="","",IF(ISNUMBER($G1413),$G1413+1,1))</f>
        <v/>
      </c>
      <c r="H1414" s="36" t="str">
        <f aca="false">IF(OR(NOT(ISNUMBER($G1414)),$G1414&lt;2,NOT(ISNUMBER($C1413)),$C1413=0),"",$C1414/$C1413-1)</f>
        <v/>
      </c>
      <c r="I1414" s="37" t="str">
        <f aca="false">IF(AND(ISNUMBER($G1414),$G1414&gt;=MA_SHORT),AVERAGE(INDEX($C$1014:$C1414,402-MA_SHORT):$C1414),"")</f>
        <v/>
      </c>
      <c r="J1414" s="37" t="str">
        <f aca="false">IF(AND(ISNUMBER($G1414),$G1414&gt;=MA_MED),AVERAGE(INDEX($C$1014:$C1414,402-MA_MED):$C1414),"")</f>
        <v/>
      </c>
      <c r="K1414" s="37" t="str">
        <f aca="false">IF(AND(ISNUMBER($G1414),$G1414&gt;=MA_LONG2),AVERAGE(INDEX($C$1014:$C1414,402-MA_LONG2):$C1414),"")</f>
        <v/>
      </c>
      <c r="L1414" s="38" t="str">
        <f aca="false">IF(AND(ISNUMBER($G1414),$G1414&gt;=21),STDEV(INDEX($H$1354:$H1414,62-20):$H1414)*SQRT(245),"")</f>
        <v/>
      </c>
      <c r="M1414" s="37" t="str">
        <f aca="false">IF(AND(ISNUMBER($G1414),$G1414&gt;=60),MAX(INDEX($D$1214:$D1414,202-60):$D1414),"")</f>
        <v/>
      </c>
      <c r="N1414" s="37" t="str">
        <f aca="false">IF(AND(ISNUMBER($G1414),$G1414&gt;=60),MIN(INDEX($E$1214:$E1414,202-60):$E1414),"")</f>
        <v/>
      </c>
      <c r="O1414" s="38" t="str">
        <f aca="false">IF(OR(NOT(ISNUMBER($C1414)),NOT(ISNUMBER($M1414)),$M1414=0),"",$C1414/$M1414-1)</f>
        <v/>
      </c>
    </row>
    <row r="1415" customFormat="false" ht="15" hidden="false" customHeight="true" outlineLevel="0" collapsed="false">
      <c r="A1415" s="39"/>
      <c r="B1415" s="40"/>
      <c r="C1415" s="41"/>
      <c r="D1415" s="40"/>
      <c r="E1415" s="40"/>
      <c r="F1415" s="40"/>
      <c r="G1415" s="35" t="str">
        <f aca="false">IF($A1415="","",IF(ISNUMBER($G1414),$G1414+1,1))</f>
        <v/>
      </c>
      <c r="H1415" s="36" t="str">
        <f aca="false">IF(OR(NOT(ISNUMBER($G1415)),$G1415&lt;2,NOT(ISNUMBER($C1414)),$C1414=0),"",$C1415/$C1414-1)</f>
        <v/>
      </c>
      <c r="I1415" s="37" t="str">
        <f aca="false">IF(AND(ISNUMBER($G1415),$G1415&gt;=MA_SHORT),AVERAGE(INDEX($C$1015:$C1415,402-MA_SHORT):$C1415),"")</f>
        <v/>
      </c>
      <c r="J1415" s="37" t="str">
        <f aca="false">IF(AND(ISNUMBER($G1415),$G1415&gt;=MA_MED),AVERAGE(INDEX($C$1015:$C1415,402-MA_MED):$C1415),"")</f>
        <v/>
      </c>
      <c r="K1415" s="37" t="str">
        <f aca="false">IF(AND(ISNUMBER($G1415),$G1415&gt;=MA_LONG2),AVERAGE(INDEX($C$1015:$C1415,402-MA_LONG2):$C1415),"")</f>
        <v/>
      </c>
      <c r="L1415" s="38" t="str">
        <f aca="false">IF(AND(ISNUMBER($G1415),$G1415&gt;=21),STDEV(INDEX($H$1355:$H1415,62-20):$H1415)*SQRT(245),"")</f>
        <v/>
      </c>
      <c r="M1415" s="37" t="str">
        <f aca="false">IF(AND(ISNUMBER($G1415),$G1415&gt;=60),MAX(INDEX($D$1215:$D1415,202-60):$D1415),"")</f>
        <v/>
      </c>
      <c r="N1415" s="37" t="str">
        <f aca="false">IF(AND(ISNUMBER($G1415),$G1415&gt;=60),MIN(INDEX($E$1215:$E1415,202-60):$E1415),"")</f>
        <v/>
      </c>
      <c r="O1415" s="38" t="str">
        <f aca="false">IF(OR(NOT(ISNUMBER($C1415)),NOT(ISNUMBER($M1415)),$M1415=0),"",$C1415/$M1415-1)</f>
        <v/>
      </c>
    </row>
    <row r="1416" customFormat="false" ht="15" hidden="false" customHeight="true" outlineLevel="0" collapsed="false">
      <c r="A1416" s="39"/>
      <c r="B1416" s="40"/>
      <c r="C1416" s="41"/>
      <c r="D1416" s="40"/>
      <c r="E1416" s="40"/>
      <c r="F1416" s="40"/>
      <c r="G1416" s="35" t="str">
        <f aca="false">IF($A1416="","",IF(ISNUMBER($G1415),$G1415+1,1))</f>
        <v/>
      </c>
      <c r="H1416" s="36" t="str">
        <f aca="false">IF(OR(NOT(ISNUMBER($G1416)),$G1416&lt;2,NOT(ISNUMBER($C1415)),$C1415=0),"",$C1416/$C1415-1)</f>
        <v/>
      </c>
      <c r="I1416" s="37" t="str">
        <f aca="false">IF(AND(ISNUMBER($G1416),$G1416&gt;=MA_SHORT),AVERAGE(INDEX($C$1016:$C1416,402-MA_SHORT):$C1416),"")</f>
        <v/>
      </c>
      <c r="J1416" s="37" t="str">
        <f aca="false">IF(AND(ISNUMBER($G1416),$G1416&gt;=MA_MED),AVERAGE(INDEX($C$1016:$C1416,402-MA_MED):$C1416),"")</f>
        <v/>
      </c>
      <c r="K1416" s="37" t="str">
        <f aca="false">IF(AND(ISNUMBER($G1416),$G1416&gt;=MA_LONG2),AVERAGE(INDEX($C$1016:$C1416,402-MA_LONG2):$C1416),"")</f>
        <v/>
      </c>
      <c r="L1416" s="38" t="str">
        <f aca="false">IF(AND(ISNUMBER($G1416),$G1416&gt;=21),STDEV(INDEX($H$1356:$H1416,62-20):$H1416)*SQRT(245),"")</f>
        <v/>
      </c>
      <c r="M1416" s="37" t="str">
        <f aca="false">IF(AND(ISNUMBER($G1416),$G1416&gt;=60),MAX(INDEX($D$1216:$D1416,202-60):$D1416),"")</f>
        <v/>
      </c>
      <c r="N1416" s="37" t="str">
        <f aca="false">IF(AND(ISNUMBER($G1416),$G1416&gt;=60),MIN(INDEX($E$1216:$E1416,202-60):$E1416),"")</f>
        <v/>
      </c>
      <c r="O1416" s="38" t="str">
        <f aca="false">IF(OR(NOT(ISNUMBER($C1416)),NOT(ISNUMBER($M1416)),$M1416=0),"",$C1416/$M1416-1)</f>
        <v/>
      </c>
    </row>
    <row r="1417" customFormat="false" ht="15" hidden="false" customHeight="true" outlineLevel="0" collapsed="false">
      <c r="A1417" s="39"/>
      <c r="B1417" s="40"/>
      <c r="C1417" s="41"/>
      <c r="D1417" s="40"/>
      <c r="E1417" s="40"/>
      <c r="F1417" s="40"/>
      <c r="G1417" s="35" t="str">
        <f aca="false">IF($A1417="","",IF(ISNUMBER($G1416),$G1416+1,1))</f>
        <v/>
      </c>
      <c r="H1417" s="36" t="str">
        <f aca="false">IF(OR(NOT(ISNUMBER($G1417)),$G1417&lt;2,NOT(ISNUMBER($C1416)),$C1416=0),"",$C1417/$C1416-1)</f>
        <v/>
      </c>
      <c r="I1417" s="37" t="str">
        <f aca="false">IF(AND(ISNUMBER($G1417),$G1417&gt;=MA_SHORT),AVERAGE(INDEX($C$1017:$C1417,402-MA_SHORT):$C1417),"")</f>
        <v/>
      </c>
      <c r="J1417" s="37" t="str">
        <f aca="false">IF(AND(ISNUMBER($G1417),$G1417&gt;=MA_MED),AVERAGE(INDEX($C$1017:$C1417,402-MA_MED):$C1417),"")</f>
        <v/>
      </c>
      <c r="K1417" s="37" t="str">
        <f aca="false">IF(AND(ISNUMBER($G1417),$G1417&gt;=MA_LONG2),AVERAGE(INDEX($C$1017:$C1417,402-MA_LONG2):$C1417),"")</f>
        <v/>
      </c>
      <c r="L1417" s="38" t="str">
        <f aca="false">IF(AND(ISNUMBER($G1417),$G1417&gt;=21),STDEV(INDEX($H$1357:$H1417,62-20):$H1417)*SQRT(245),"")</f>
        <v/>
      </c>
      <c r="M1417" s="37" t="str">
        <f aca="false">IF(AND(ISNUMBER($G1417),$G1417&gt;=60),MAX(INDEX($D$1217:$D1417,202-60):$D1417),"")</f>
        <v/>
      </c>
      <c r="N1417" s="37" t="str">
        <f aca="false">IF(AND(ISNUMBER($G1417),$G1417&gt;=60),MIN(INDEX($E$1217:$E1417,202-60):$E1417),"")</f>
        <v/>
      </c>
      <c r="O1417" s="38" t="str">
        <f aca="false">IF(OR(NOT(ISNUMBER($C1417)),NOT(ISNUMBER($M1417)),$M1417=0),"",$C1417/$M1417-1)</f>
        <v/>
      </c>
    </row>
    <row r="1418" customFormat="false" ht="15" hidden="false" customHeight="true" outlineLevel="0" collapsed="false">
      <c r="A1418" s="39"/>
      <c r="B1418" s="40"/>
      <c r="C1418" s="41"/>
      <c r="D1418" s="40"/>
      <c r="E1418" s="40"/>
      <c r="F1418" s="40"/>
      <c r="G1418" s="35" t="str">
        <f aca="false">IF($A1418="","",IF(ISNUMBER($G1417),$G1417+1,1))</f>
        <v/>
      </c>
      <c r="H1418" s="36" t="str">
        <f aca="false">IF(OR(NOT(ISNUMBER($G1418)),$G1418&lt;2,NOT(ISNUMBER($C1417)),$C1417=0),"",$C1418/$C1417-1)</f>
        <v/>
      </c>
      <c r="I1418" s="37" t="str">
        <f aca="false">IF(AND(ISNUMBER($G1418),$G1418&gt;=MA_SHORT),AVERAGE(INDEX($C$1018:$C1418,402-MA_SHORT):$C1418),"")</f>
        <v/>
      </c>
      <c r="J1418" s="37" t="str">
        <f aca="false">IF(AND(ISNUMBER($G1418),$G1418&gt;=MA_MED),AVERAGE(INDEX($C$1018:$C1418,402-MA_MED):$C1418),"")</f>
        <v/>
      </c>
      <c r="K1418" s="37" t="str">
        <f aca="false">IF(AND(ISNUMBER($G1418),$G1418&gt;=MA_LONG2),AVERAGE(INDEX($C$1018:$C1418,402-MA_LONG2):$C1418),"")</f>
        <v/>
      </c>
      <c r="L1418" s="38" t="str">
        <f aca="false">IF(AND(ISNUMBER($G1418),$G1418&gt;=21),STDEV(INDEX($H$1358:$H1418,62-20):$H1418)*SQRT(245),"")</f>
        <v/>
      </c>
      <c r="M1418" s="37" t="str">
        <f aca="false">IF(AND(ISNUMBER($G1418),$G1418&gt;=60),MAX(INDEX($D$1218:$D1418,202-60):$D1418),"")</f>
        <v/>
      </c>
      <c r="N1418" s="37" t="str">
        <f aca="false">IF(AND(ISNUMBER($G1418),$G1418&gt;=60),MIN(INDEX($E$1218:$E1418,202-60):$E1418),"")</f>
        <v/>
      </c>
      <c r="O1418" s="38" t="str">
        <f aca="false">IF(OR(NOT(ISNUMBER($C1418)),NOT(ISNUMBER($M1418)),$M1418=0),"",$C1418/$M1418-1)</f>
        <v/>
      </c>
    </row>
    <row r="1419" customFormat="false" ht="15" hidden="false" customHeight="true" outlineLevel="0" collapsed="false">
      <c r="A1419" s="39"/>
      <c r="B1419" s="40"/>
      <c r="C1419" s="41"/>
      <c r="D1419" s="40"/>
      <c r="E1419" s="40"/>
      <c r="F1419" s="40"/>
      <c r="G1419" s="35" t="str">
        <f aca="false">IF($A1419="","",IF(ISNUMBER($G1418),$G1418+1,1))</f>
        <v/>
      </c>
      <c r="H1419" s="36" t="str">
        <f aca="false">IF(OR(NOT(ISNUMBER($G1419)),$G1419&lt;2,NOT(ISNUMBER($C1418)),$C1418=0),"",$C1419/$C1418-1)</f>
        <v/>
      </c>
      <c r="I1419" s="37" t="str">
        <f aca="false">IF(AND(ISNUMBER($G1419),$G1419&gt;=MA_SHORT),AVERAGE(INDEX($C$1019:$C1419,402-MA_SHORT):$C1419),"")</f>
        <v/>
      </c>
      <c r="J1419" s="37" t="str">
        <f aca="false">IF(AND(ISNUMBER($G1419),$G1419&gt;=MA_MED),AVERAGE(INDEX($C$1019:$C1419,402-MA_MED):$C1419),"")</f>
        <v/>
      </c>
      <c r="K1419" s="37" t="str">
        <f aca="false">IF(AND(ISNUMBER($G1419),$G1419&gt;=MA_LONG2),AVERAGE(INDEX($C$1019:$C1419,402-MA_LONG2):$C1419),"")</f>
        <v/>
      </c>
      <c r="L1419" s="38" t="str">
        <f aca="false">IF(AND(ISNUMBER($G1419),$G1419&gt;=21),STDEV(INDEX($H$1359:$H1419,62-20):$H1419)*SQRT(245),"")</f>
        <v/>
      </c>
      <c r="M1419" s="37" t="str">
        <f aca="false">IF(AND(ISNUMBER($G1419),$G1419&gt;=60),MAX(INDEX($D$1219:$D1419,202-60):$D1419),"")</f>
        <v/>
      </c>
      <c r="N1419" s="37" t="str">
        <f aca="false">IF(AND(ISNUMBER($G1419),$G1419&gt;=60),MIN(INDEX($E$1219:$E1419,202-60):$E1419),"")</f>
        <v/>
      </c>
      <c r="O1419" s="38" t="str">
        <f aca="false">IF(OR(NOT(ISNUMBER($C1419)),NOT(ISNUMBER($M1419)),$M1419=0),"",$C1419/$M1419-1)</f>
        <v/>
      </c>
    </row>
    <row r="1420" customFormat="false" ht="15" hidden="false" customHeight="true" outlineLevel="0" collapsed="false">
      <c r="A1420" s="39"/>
      <c r="B1420" s="40"/>
      <c r="C1420" s="41"/>
      <c r="D1420" s="40"/>
      <c r="E1420" s="40"/>
      <c r="F1420" s="40"/>
      <c r="G1420" s="35" t="str">
        <f aca="false">IF($A1420="","",IF(ISNUMBER($G1419),$G1419+1,1))</f>
        <v/>
      </c>
      <c r="H1420" s="36" t="str">
        <f aca="false">IF(OR(NOT(ISNUMBER($G1420)),$G1420&lt;2,NOT(ISNUMBER($C1419)),$C1419=0),"",$C1420/$C1419-1)</f>
        <v/>
      </c>
      <c r="I1420" s="37" t="str">
        <f aca="false">IF(AND(ISNUMBER($G1420),$G1420&gt;=MA_SHORT),AVERAGE(INDEX($C$1020:$C1420,402-MA_SHORT):$C1420),"")</f>
        <v/>
      </c>
      <c r="J1420" s="37" t="str">
        <f aca="false">IF(AND(ISNUMBER($G1420),$G1420&gt;=MA_MED),AVERAGE(INDEX($C$1020:$C1420,402-MA_MED):$C1420),"")</f>
        <v/>
      </c>
      <c r="K1420" s="37" t="str">
        <f aca="false">IF(AND(ISNUMBER($G1420),$G1420&gt;=MA_LONG2),AVERAGE(INDEX($C$1020:$C1420,402-MA_LONG2):$C1420),"")</f>
        <v/>
      </c>
      <c r="L1420" s="38" t="str">
        <f aca="false">IF(AND(ISNUMBER($G1420),$G1420&gt;=21),STDEV(INDEX($H$1360:$H1420,62-20):$H1420)*SQRT(245),"")</f>
        <v/>
      </c>
      <c r="M1420" s="37" t="str">
        <f aca="false">IF(AND(ISNUMBER($G1420),$G1420&gt;=60),MAX(INDEX($D$1220:$D1420,202-60):$D1420),"")</f>
        <v/>
      </c>
      <c r="N1420" s="37" t="str">
        <f aca="false">IF(AND(ISNUMBER($G1420),$G1420&gt;=60),MIN(INDEX($E$1220:$E1420,202-60):$E1420),"")</f>
        <v/>
      </c>
      <c r="O1420" s="38" t="str">
        <f aca="false">IF(OR(NOT(ISNUMBER($C1420)),NOT(ISNUMBER($M1420)),$M1420=0),"",$C1420/$M1420-1)</f>
        <v/>
      </c>
    </row>
    <row r="1421" customFormat="false" ht="15" hidden="false" customHeight="true" outlineLevel="0" collapsed="false">
      <c r="A1421" s="39"/>
      <c r="B1421" s="40"/>
      <c r="C1421" s="41"/>
      <c r="D1421" s="40"/>
      <c r="E1421" s="40"/>
      <c r="F1421" s="40"/>
      <c r="G1421" s="35" t="str">
        <f aca="false">IF($A1421="","",IF(ISNUMBER($G1420),$G1420+1,1))</f>
        <v/>
      </c>
      <c r="H1421" s="36" t="str">
        <f aca="false">IF(OR(NOT(ISNUMBER($G1421)),$G1421&lt;2,NOT(ISNUMBER($C1420)),$C1420=0),"",$C1421/$C1420-1)</f>
        <v/>
      </c>
      <c r="I1421" s="37" t="str">
        <f aca="false">IF(AND(ISNUMBER($G1421),$G1421&gt;=MA_SHORT),AVERAGE(INDEX($C$1021:$C1421,402-MA_SHORT):$C1421),"")</f>
        <v/>
      </c>
      <c r="J1421" s="37" t="str">
        <f aca="false">IF(AND(ISNUMBER($G1421),$G1421&gt;=MA_MED),AVERAGE(INDEX($C$1021:$C1421,402-MA_MED):$C1421),"")</f>
        <v/>
      </c>
      <c r="K1421" s="37" t="str">
        <f aca="false">IF(AND(ISNUMBER($G1421),$G1421&gt;=MA_LONG2),AVERAGE(INDEX($C$1021:$C1421,402-MA_LONG2):$C1421),"")</f>
        <v/>
      </c>
      <c r="L1421" s="38" t="str">
        <f aca="false">IF(AND(ISNUMBER($G1421),$G1421&gt;=21),STDEV(INDEX($H$1361:$H1421,62-20):$H1421)*SQRT(245),"")</f>
        <v/>
      </c>
      <c r="M1421" s="37" t="str">
        <f aca="false">IF(AND(ISNUMBER($G1421),$G1421&gt;=60),MAX(INDEX($D$1221:$D1421,202-60):$D1421),"")</f>
        <v/>
      </c>
      <c r="N1421" s="37" t="str">
        <f aca="false">IF(AND(ISNUMBER($G1421),$G1421&gt;=60),MIN(INDEX($E$1221:$E1421,202-60):$E1421),"")</f>
        <v/>
      </c>
      <c r="O1421" s="38" t="str">
        <f aca="false">IF(OR(NOT(ISNUMBER($C1421)),NOT(ISNUMBER($M1421)),$M1421=0),"",$C1421/$M1421-1)</f>
        <v/>
      </c>
    </row>
    <row r="1422" customFormat="false" ht="15" hidden="false" customHeight="true" outlineLevel="0" collapsed="false">
      <c r="A1422" s="39"/>
      <c r="B1422" s="40"/>
      <c r="C1422" s="41"/>
      <c r="D1422" s="40"/>
      <c r="E1422" s="40"/>
      <c r="F1422" s="40"/>
      <c r="G1422" s="35" t="str">
        <f aca="false">IF($A1422="","",IF(ISNUMBER($G1421),$G1421+1,1))</f>
        <v/>
      </c>
      <c r="H1422" s="36" t="str">
        <f aca="false">IF(OR(NOT(ISNUMBER($G1422)),$G1422&lt;2,NOT(ISNUMBER($C1421)),$C1421=0),"",$C1422/$C1421-1)</f>
        <v/>
      </c>
      <c r="I1422" s="37" t="str">
        <f aca="false">IF(AND(ISNUMBER($G1422),$G1422&gt;=MA_SHORT),AVERAGE(INDEX($C$1022:$C1422,402-MA_SHORT):$C1422),"")</f>
        <v/>
      </c>
      <c r="J1422" s="37" t="str">
        <f aca="false">IF(AND(ISNUMBER($G1422),$G1422&gt;=MA_MED),AVERAGE(INDEX($C$1022:$C1422,402-MA_MED):$C1422),"")</f>
        <v/>
      </c>
      <c r="K1422" s="37" t="str">
        <f aca="false">IF(AND(ISNUMBER($G1422),$G1422&gt;=MA_LONG2),AVERAGE(INDEX($C$1022:$C1422,402-MA_LONG2):$C1422),"")</f>
        <v/>
      </c>
      <c r="L1422" s="38" t="str">
        <f aca="false">IF(AND(ISNUMBER($G1422),$G1422&gt;=21),STDEV(INDEX($H$1362:$H1422,62-20):$H1422)*SQRT(245),"")</f>
        <v/>
      </c>
      <c r="M1422" s="37" t="str">
        <f aca="false">IF(AND(ISNUMBER($G1422),$G1422&gt;=60),MAX(INDEX($D$1222:$D1422,202-60):$D1422),"")</f>
        <v/>
      </c>
      <c r="N1422" s="37" t="str">
        <f aca="false">IF(AND(ISNUMBER($G1422),$G1422&gt;=60),MIN(INDEX($E$1222:$E1422,202-60):$E1422),"")</f>
        <v/>
      </c>
      <c r="O1422" s="38" t="str">
        <f aca="false">IF(OR(NOT(ISNUMBER($C1422)),NOT(ISNUMBER($M1422)),$M1422=0),"",$C1422/$M1422-1)</f>
        <v/>
      </c>
    </row>
    <row r="1423" customFormat="false" ht="15" hidden="false" customHeight="true" outlineLevel="0" collapsed="false">
      <c r="A1423" s="39"/>
      <c r="B1423" s="40"/>
      <c r="C1423" s="41"/>
      <c r="D1423" s="40"/>
      <c r="E1423" s="40"/>
      <c r="F1423" s="40"/>
      <c r="G1423" s="35" t="str">
        <f aca="false">IF($A1423="","",IF(ISNUMBER($G1422),$G1422+1,1))</f>
        <v/>
      </c>
      <c r="H1423" s="36" t="str">
        <f aca="false">IF(OR(NOT(ISNUMBER($G1423)),$G1423&lt;2,NOT(ISNUMBER($C1422)),$C1422=0),"",$C1423/$C1422-1)</f>
        <v/>
      </c>
      <c r="I1423" s="37" t="str">
        <f aca="false">IF(AND(ISNUMBER($G1423),$G1423&gt;=MA_SHORT),AVERAGE(INDEX($C$1023:$C1423,402-MA_SHORT):$C1423),"")</f>
        <v/>
      </c>
      <c r="J1423" s="37" t="str">
        <f aca="false">IF(AND(ISNUMBER($G1423),$G1423&gt;=MA_MED),AVERAGE(INDEX($C$1023:$C1423,402-MA_MED):$C1423),"")</f>
        <v/>
      </c>
      <c r="K1423" s="37" t="str">
        <f aca="false">IF(AND(ISNUMBER($G1423),$G1423&gt;=MA_LONG2),AVERAGE(INDEX($C$1023:$C1423,402-MA_LONG2):$C1423),"")</f>
        <v/>
      </c>
      <c r="L1423" s="38" t="str">
        <f aca="false">IF(AND(ISNUMBER($G1423),$G1423&gt;=21),STDEV(INDEX($H$1363:$H1423,62-20):$H1423)*SQRT(245),"")</f>
        <v/>
      </c>
      <c r="M1423" s="37" t="str">
        <f aca="false">IF(AND(ISNUMBER($G1423),$G1423&gt;=60),MAX(INDEX($D$1223:$D1423,202-60):$D1423),"")</f>
        <v/>
      </c>
      <c r="N1423" s="37" t="str">
        <f aca="false">IF(AND(ISNUMBER($G1423),$G1423&gt;=60),MIN(INDEX($E$1223:$E1423,202-60):$E1423),"")</f>
        <v/>
      </c>
      <c r="O1423" s="38" t="str">
        <f aca="false">IF(OR(NOT(ISNUMBER($C1423)),NOT(ISNUMBER($M1423)),$M1423=0),"",$C1423/$M1423-1)</f>
        <v/>
      </c>
    </row>
    <row r="1424" customFormat="false" ht="15" hidden="false" customHeight="true" outlineLevel="0" collapsed="false">
      <c r="A1424" s="39"/>
      <c r="B1424" s="40"/>
      <c r="C1424" s="41"/>
      <c r="D1424" s="40"/>
      <c r="E1424" s="40"/>
      <c r="F1424" s="40"/>
      <c r="G1424" s="35" t="str">
        <f aca="false">IF($A1424="","",IF(ISNUMBER($G1423),$G1423+1,1))</f>
        <v/>
      </c>
      <c r="H1424" s="36" t="str">
        <f aca="false">IF(OR(NOT(ISNUMBER($G1424)),$G1424&lt;2,NOT(ISNUMBER($C1423)),$C1423=0),"",$C1424/$C1423-1)</f>
        <v/>
      </c>
      <c r="I1424" s="37" t="str">
        <f aca="false">IF(AND(ISNUMBER($G1424),$G1424&gt;=MA_SHORT),AVERAGE(INDEX($C$1024:$C1424,402-MA_SHORT):$C1424),"")</f>
        <v/>
      </c>
      <c r="J1424" s="37" t="str">
        <f aca="false">IF(AND(ISNUMBER($G1424),$G1424&gt;=MA_MED),AVERAGE(INDEX($C$1024:$C1424,402-MA_MED):$C1424),"")</f>
        <v/>
      </c>
      <c r="K1424" s="37" t="str">
        <f aca="false">IF(AND(ISNUMBER($G1424),$G1424&gt;=MA_LONG2),AVERAGE(INDEX($C$1024:$C1424,402-MA_LONG2):$C1424),"")</f>
        <v/>
      </c>
      <c r="L1424" s="38" t="str">
        <f aca="false">IF(AND(ISNUMBER($G1424),$G1424&gt;=21),STDEV(INDEX($H$1364:$H1424,62-20):$H1424)*SQRT(245),"")</f>
        <v/>
      </c>
      <c r="M1424" s="37" t="str">
        <f aca="false">IF(AND(ISNUMBER($G1424),$G1424&gt;=60),MAX(INDEX($D$1224:$D1424,202-60):$D1424),"")</f>
        <v/>
      </c>
      <c r="N1424" s="37" t="str">
        <f aca="false">IF(AND(ISNUMBER($G1424),$G1424&gt;=60),MIN(INDEX($E$1224:$E1424,202-60):$E1424),"")</f>
        <v/>
      </c>
      <c r="O1424" s="38" t="str">
        <f aca="false">IF(OR(NOT(ISNUMBER($C1424)),NOT(ISNUMBER($M1424)),$M1424=0),"",$C1424/$M1424-1)</f>
        <v/>
      </c>
    </row>
    <row r="1425" customFormat="false" ht="15" hidden="false" customHeight="true" outlineLevel="0" collapsed="false">
      <c r="A1425" s="39"/>
      <c r="B1425" s="40"/>
      <c r="C1425" s="41"/>
      <c r="D1425" s="40"/>
      <c r="E1425" s="40"/>
      <c r="F1425" s="40"/>
      <c r="G1425" s="35" t="str">
        <f aca="false">IF($A1425="","",IF(ISNUMBER($G1424),$G1424+1,1))</f>
        <v/>
      </c>
      <c r="H1425" s="36" t="str">
        <f aca="false">IF(OR(NOT(ISNUMBER($G1425)),$G1425&lt;2,NOT(ISNUMBER($C1424)),$C1424=0),"",$C1425/$C1424-1)</f>
        <v/>
      </c>
      <c r="I1425" s="37" t="str">
        <f aca="false">IF(AND(ISNUMBER($G1425),$G1425&gt;=MA_SHORT),AVERAGE(INDEX($C$1025:$C1425,402-MA_SHORT):$C1425),"")</f>
        <v/>
      </c>
      <c r="J1425" s="37" t="str">
        <f aca="false">IF(AND(ISNUMBER($G1425),$G1425&gt;=MA_MED),AVERAGE(INDEX($C$1025:$C1425,402-MA_MED):$C1425),"")</f>
        <v/>
      </c>
      <c r="K1425" s="37" t="str">
        <f aca="false">IF(AND(ISNUMBER($G1425),$G1425&gt;=MA_LONG2),AVERAGE(INDEX($C$1025:$C1425,402-MA_LONG2):$C1425),"")</f>
        <v/>
      </c>
      <c r="L1425" s="38" t="str">
        <f aca="false">IF(AND(ISNUMBER($G1425),$G1425&gt;=21),STDEV(INDEX($H$1365:$H1425,62-20):$H1425)*SQRT(245),"")</f>
        <v/>
      </c>
      <c r="M1425" s="37" t="str">
        <f aca="false">IF(AND(ISNUMBER($G1425),$G1425&gt;=60),MAX(INDEX($D$1225:$D1425,202-60):$D1425),"")</f>
        <v/>
      </c>
      <c r="N1425" s="37" t="str">
        <f aca="false">IF(AND(ISNUMBER($G1425),$G1425&gt;=60),MIN(INDEX($E$1225:$E1425,202-60):$E1425),"")</f>
        <v/>
      </c>
      <c r="O1425" s="38" t="str">
        <f aca="false">IF(OR(NOT(ISNUMBER($C1425)),NOT(ISNUMBER($M1425)),$M1425=0),"",$C1425/$M1425-1)</f>
        <v/>
      </c>
    </row>
    <row r="1426" customFormat="false" ht="15" hidden="false" customHeight="true" outlineLevel="0" collapsed="false">
      <c r="A1426" s="39"/>
      <c r="B1426" s="40"/>
      <c r="C1426" s="41"/>
      <c r="D1426" s="40"/>
      <c r="E1426" s="40"/>
      <c r="F1426" s="40"/>
      <c r="G1426" s="35" t="str">
        <f aca="false">IF($A1426="","",IF(ISNUMBER($G1425),$G1425+1,1))</f>
        <v/>
      </c>
      <c r="H1426" s="36" t="str">
        <f aca="false">IF(OR(NOT(ISNUMBER($G1426)),$G1426&lt;2,NOT(ISNUMBER($C1425)),$C1425=0),"",$C1426/$C1425-1)</f>
        <v/>
      </c>
      <c r="I1426" s="37" t="str">
        <f aca="false">IF(AND(ISNUMBER($G1426),$G1426&gt;=MA_SHORT),AVERAGE(INDEX($C$1026:$C1426,402-MA_SHORT):$C1426),"")</f>
        <v/>
      </c>
      <c r="J1426" s="37" t="str">
        <f aca="false">IF(AND(ISNUMBER($G1426),$G1426&gt;=MA_MED),AVERAGE(INDEX($C$1026:$C1426,402-MA_MED):$C1426),"")</f>
        <v/>
      </c>
      <c r="K1426" s="37" t="str">
        <f aca="false">IF(AND(ISNUMBER($G1426),$G1426&gt;=MA_LONG2),AVERAGE(INDEX($C$1026:$C1426,402-MA_LONG2):$C1426),"")</f>
        <v/>
      </c>
      <c r="L1426" s="38" t="str">
        <f aca="false">IF(AND(ISNUMBER($G1426),$G1426&gt;=21),STDEV(INDEX($H$1366:$H1426,62-20):$H1426)*SQRT(245),"")</f>
        <v/>
      </c>
      <c r="M1426" s="37" t="str">
        <f aca="false">IF(AND(ISNUMBER($G1426),$G1426&gt;=60),MAX(INDEX($D$1226:$D1426,202-60):$D1426),"")</f>
        <v/>
      </c>
      <c r="N1426" s="37" t="str">
        <f aca="false">IF(AND(ISNUMBER($G1426),$G1426&gt;=60),MIN(INDEX($E$1226:$E1426,202-60):$E1426),"")</f>
        <v/>
      </c>
      <c r="O1426" s="38" t="str">
        <f aca="false">IF(OR(NOT(ISNUMBER($C1426)),NOT(ISNUMBER($M1426)),$M1426=0),"",$C1426/$M1426-1)</f>
        <v/>
      </c>
    </row>
    <row r="1427" customFormat="false" ht="15" hidden="false" customHeight="true" outlineLevel="0" collapsed="false">
      <c r="A1427" s="39"/>
      <c r="B1427" s="40"/>
      <c r="C1427" s="41"/>
      <c r="D1427" s="40"/>
      <c r="E1427" s="40"/>
      <c r="F1427" s="40"/>
      <c r="G1427" s="35" t="str">
        <f aca="false">IF($A1427="","",IF(ISNUMBER($G1426),$G1426+1,1))</f>
        <v/>
      </c>
      <c r="H1427" s="36" t="str">
        <f aca="false">IF(OR(NOT(ISNUMBER($G1427)),$G1427&lt;2,NOT(ISNUMBER($C1426)),$C1426=0),"",$C1427/$C1426-1)</f>
        <v/>
      </c>
      <c r="I1427" s="37" t="str">
        <f aca="false">IF(AND(ISNUMBER($G1427),$G1427&gt;=MA_SHORT),AVERAGE(INDEX($C$1027:$C1427,402-MA_SHORT):$C1427),"")</f>
        <v/>
      </c>
      <c r="J1427" s="37" t="str">
        <f aca="false">IF(AND(ISNUMBER($G1427),$G1427&gt;=MA_MED),AVERAGE(INDEX($C$1027:$C1427,402-MA_MED):$C1427),"")</f>
        <v/>
      </c>
      <c r="K1427" s="37" t="str">
        <f aca="false">IF(AND(ISNUMBER($G1427),$G1427&gt;=MA_LONG2),AVERAGE(INDEX($C$1027:$C1427,402-MA_LONG2):$C1427),"")</f>
        <v/>
      </c>
      <c r="L1427" s="38" t="str">
        <f aca="false">IF(AND(ISNUMBER($G1427),$G1427&gt;=21),STDEV(INDEX($H$1367:$H1427,62-20):$H1427)*SQRT(245),"")</f>
        <v/>
      </c>
      <c r="M1427" s="37" t="str">
        <f aca="false">IF(AND(ISNUMBER($G1427),$G1427&gt;=60),MAX(INDEX($D$1227:$D1427,202-60):$D1427),"")</f>
        <v/>
      </c>
      <c r="N1427" s="37" t="str">
        <f aca="false">IF(AND(ISNUMBER($G1427),$G1427&gt;=60),MIN(INDEX($E$1227:$E1427,202-60):$E1427),"")</f>
        <v/>
      </c>
      <c r="O1427" s="38" t="str">
        <f aca="false">IF(OR(NOT(ISNUMBER($C1427)),NOT(ISNUMBER($M1427)),$M1427=0),"",$C1427/$M1427-1)</f>
        <v/>
      </c>
    </row>
    <row r="1428" customFormat="false" ht="15" hidden="false" customHeight="true" outlineLevel="0" collapsed="false">
      <c r="A1428" s="39"/>
      <c r="B1428" s="40"/>
      <c r="C1428" s="41"/>
      <c r="D1428" s="40"/>
      <c r="E1428" s="40"/>
      <c r="F1428" s="40"/>
      <c r="G1428" s="35" t="str">
        <f aca="false">IF($A1428="","",IF(ISNUMBER($G1427),$G1427+1,1))</f>
        <v/>
      </c>
      <c r="H1428" s="36" t="str">
        <f aca="false">IF(OR(NOT(ISNUMBER($G1428)),$G1428&lt;2,NOT(ISNUMBER($C1427)),$C1427=0),"",$C1428/$C1427-1)</f>
        <v/>
      </c>
      <c r="I1428" s="37" t="str">
        <f aca="false">IF(AND(ISNUMBER($G1428),$G1428&gt;=MA_SHORT),AVERAGE(INDEX($C$1028:$C1428,402-MA_SHORT):$C1428),"")</f>
        <v/>
      </c>
      <c r="J1428" s="37" t="str">
        <f aca="false">IF(AND(ISNUMBER($G1428),$G1428&gt;=MA_MED),AVERAGE(INDEX($C$1028:$C1428,402-MA_MED):$C1428),"")</f>
        <v/>
      </c>
      <c r="K1428" s="37" t="str">
        <f aca="false">IF(AND(ISNUMBER($G1428),$G1428&gt;=MA_LONG2),AVERAGE(INDEX($C$1028:$C1428,402-MA_LONG2):$C1428),"")</f>
        <v/>
      </c>
      <c r="L1428" s="38" t="str">
        <f aca="false">IF(AND(ISNUMBER($G1428),$G1428&gt;=21),STDEV(INDEX($H$1368:$H1428,62-20):$H1428)*SQRT(245),"")</f>
        <v/>
      </c>
      <c r="M1428" s="37" t="str">
        <f aca="false">IF(AND(ISNUMBER($G1428),$G1428&gt;=60),MAX(INDEX($D$1228:$D1428,202-60):$D1428),"")</f>
        <v/>
      </c>
      <c r="N1428" s="37" t="str">
        <f aca="false">IF(AND(ISNUMBER($G1428),$G1428&gt;=60),MIN(INDEX($E$1228:$E1428,202-60):$E1428),"")</f>
        <v/>
      </c>
      <c r="O1428" s="38" t="str">
        <f aca="false">IF(OR(NOT(ISNUMBER($C1428)),NOT(ISNUMBER($M1428)),$M1428=0),"",$C1428/$M1428-1)</f>
        <v/>
      </c>
    </row>
    <row r="1429" customFormat="false" ht="15" hidden="false" customHeight="true" outlineLevel="0" collapsed="false">
      <c r="A1429" s="39"/>
      <c r="B1429" s="40"/>
      <c r="C1429" s="41"/>
      <c r="D1429" s="40"/>
      <c r="E1429" s="40"/>
      <c r="F1429" s="40"/>
      <c r="G1429" s="35" t="str">
        <f aca="false">IF($A1429="","",IF(ISNUMBER($G1428),$G1428+1,1))</f>
        <v/>
      </c>
      <c r="H1429" s="36" t="str">
        <f aca="false">IF(OR(NOT(ISNUMBER($G1429)),$G1429&lt;2,NOT(ISNUMBER($C1428)),$C1428=0),"",$C1429/$C1428-1)</f>
        <v/>
      </c>
      <c r="I1429" s="37" t="str">
        <f aca="false">IF(AND(ISNUMBER($G1429),$G1429&gt;=MA_SHORT),AVERAGE(INDEX($C$1029:$C1429,402-MA_SHORT):$C1429),"")</f>
        <v/>
      </c>
      <c r="J1429" s="37" t="str">
        <f aca="false">IF(AND(ISNUMBER($G1429),$G1429&gt;=MA_MED),AVERAGE(INDEX($C$1029:$C1429,402-MA_MED):$C1429),"")</f>
        <v/>
      </c>
      <c r="K1429" s="37" t="str">
        <f aca="false">IF(AND(ISNUMBER($G1429),$G1429&gt;=MA_LONG2),AVERAGE(INDEX($C$1029:$C1429,402-MA_LONG2):$C1429),"")</f>
        <v/>
      </c>
      <c r="L1429" s="38" t="str">
        <f aca="false">IF(AND(ISNUMBER($G1429),$G1429&gt;=21),STDEV(INDEX($H$1369:$H1429,62-20):$H1429)*SQRT(245),"")</f>
        <v/>
      </c>
      <c r="M1429" s="37" t="str">
        <f aca="false">IF(AND(ISNUMBER($G1429),$G1429&gt;=60),MAX(INDEX($D$1229:$D1429,202-60):$D1429),"")</f>
        <v/>
      </c>
      <c r="N1429" s="37" t="str">
        <f aca="false">IF(AND(ISNUMBER($G1429),$G1429&gt;=60),MIN(INDEX($E$1229:$E1429,202-60):$E1429),"")</f>
        <v/>
      </c>
      <c r="O1429" s="38" t="str">
        <f aca="false">IF(OR(NOT(ISNUMBER($C1429)),NOT(ISNUMBER($M1429)),$M1429=0),"",$C1429/$M1429-1)</f>
        <v/>
      </c>
    </row>
    <row r="1430" customFormat="false" ht="15" hidden="false" customHeight="true" outlineLevel="0" collapsed="false">
      <c r="A1430" s="39"/>
      <c r="B1430" s="40"/>
      <c r="C1430" s="41"/>
      <c r="D1430" s="40"/>
      <c r="E1430" s="40"/>
      <c r="F1430" s="40"/>
      <c r="G1430" s="35" t="str">
        <f aca="false">IF($A1430="","",IF(ISNUMBER($G1429),$G1429+1,1))</f>
        <v/>
      </c>
      <c r="H1430" s="36" t="str">
        <f aca="false">IF(OR(NOT(ISNUMBER($G1430)),$G1430&lt;2,NOT(ISNUMBER($C1429)),$C1429=0),"",$C1430/$C1429-1)</f>
        <v/>
      </c>
      <c r="I1430" s="37" t="str">
        <f aca="false">IF(AND(ISNUMBER($G1430),$G1430&gt;=MA_SHORT),AVERAGE(INDEX($C$1030:$C1430,402-MA_SHORT):$C1430),"")</f>
        <v/>
      </c>
      <c r="J1430" s="37" t="str">
        <f aca="false">IF(AND(ISNUMBER($G1430),$G1430&gt;=MA_MED),AVERAGE(INDEX($C$1030:$C1430,402-MA_MED):$C1430),"")</f>
        <v/>
      </c>
      <c r="K1430" s="37" t="str">
        <f aca="false">IF(AND(ISNUMBER($G1430),$G1430&gt;=MA_LONG2),AVERAGE(INDEX($C$1030:$C1430,402-MA_LONG2):$C1430),"")</f>
        <v/>
      </c>
      <c r="L1430" s="38" t="str">
        <f aca="false">IF(AND(ISNUMBER($G1430),$G1430&gt;=21),STDEV(INDEX($H$1370:$H1430,62-20):$H1430)*SQRT(245),"")</f>
        <v/>
      </c>
      <c r="M1430" s="37" t="str">
        <f aca="false">IF(AND(ISNUMBER($G1430),$G1430&gt;=60),MAX(INDEX($D$1230:$D1430,202-60):$D1430),"")</f>
        <v/>
      </c>
      <c r="N1430" s="37" t="str">
        <f aca="false">IF(AND(ISNUMBER($G1430),$G1430&gt;=60),MIN(INDEX($E$1230:$E1430,202-60):$E1430),"")</f>
        <v/>
      </c>
      <c r="O1430" s="38" t="str">
        <f aca="false">IF(OR(NOT(ISNUMBER($C1430)),NOT(ISNUMBER($M1430)),$M1430=0),"",$C1430/$M1430-1)</f>
        <v/>
      </c>
    </row>
    <row r="1431" customFormat="false" ht="15" hidden="false" customHeight="true" outlineLevel="0" collapsed="false">
      <c r="A1431" s="39"/>
      <c r="B1431" s="40"/>
      <c r="C1431" s="41"/>
      <c r="D1431" s="40"/>
      <c r="E1431" s="40"/>
      <c r="F1431" s="40"/>
      <c r="G1431" s="35" t="str">
        <f aca="false">IF($A1431="","",IF(ISNUMBER($G1430),$G1430+1,1))</f>
        <v/>
      </c>
      <c r="H1431" s="36" t="str">
        <f aca="false">IF(OR(NOT(ISNUMBER($G1431)),$G1431&lt;2,NOT(ISNUMBER($C1430)),$C1430=0),"",$C1431/$C1430-1)</f>
        <v/>
      </c>
      <c r="I1431" s="37" t="str">
        <f aca="false">IF(AND(ISNUMBER($G1431),$G1431&gt;=MA_SHORT),AVERAGE(INDEX($C$1031:$C1431,402-MA_SHORT):$C1431),"")</f>
        <v/>
      </c>
      <c r="J1431" s="37" t="str">
        <f aca="false">IF(AND(ISNUMBER($G1431),$G1431&gt;=MA_MED),AVERAGE(INDEX($C$1031:$C1431,402-MA_MED):$C1431),"")</f>
        <v/>
      </c>
      <c r="K1431" s="37" t="str">
        <f aca="false">IF(AND(ISNUMBER($G1431),$G1431&gt;=MA_LONG2),AVERAGE(INDEX($C$1031:$C1431,402-MA_LONG2):$C1431),"")</f>
        <v/>
      </c>
      <c r="L1431" s="38" t="str">
        <f aca="false">IF(AND(ISNUMBER($G1431),$G1431&gt;=21),STDEV(INDEX($H$1371:$H1431,62-20):$H1431)*SQRT(245),"")</f>
        <v/>
      </c>
      <c r="M1431" s="37" t="str">
        <f aca="false">IF(AND(ISNUMBER($G1431),$G1431&gt;=60),MAX(INDEX($D$1231:$D1431,202-60):$D1431),"")</f>
        <v/>
      </c>
      <c r="N1431" s="37" t="str">
        <f aca="false">IF(AND(ISNUMBER($G1431),$G1431&gt;=60),MIN(INDEX($E$1231:$E1431,202-60):$E1431),"")</f>
        <v/>
      </c>
      <c r="O1431" s="38" t="str">
        <f aca="false">IF(OR(NOT(ISNUMBER($C1431)),NOT(ISNUMBER($M1431)),$M1431=0),"",$C1431/$M1431-1)</f>
        <v/>
      </c>
    </row>
    <row r="1432" customFormat="false" ht="15" hidden="false" customHeight="true" outlineLevel="0" collapsed="false">
      <c r="A1432" s="39"/>
      <c r="B1432" s="40"/>
      <c r="C1432" s="41"/>
      <c r="D1432" s="40"/>
      <c r="E1432" s="40"/>
      <c r="F1432" s="40"/>
      <c r="G1432" s="35" t="str">
        <f aca="false">IF($A1432="","",IF(ISNUMBER($G1431),$G1431+1,1))</f>
        <v/>
      </c>
      <c r="H1432" s="36" t="str">
        <f aca="false">IF(OR(NOT(ISNUMBER($G1432)),$G1432&lt;2,NOT(ISNUMBER($C1431)),$C1431=0),"",$C1432/$C1431-1)</f>
        <v/>
      </c>
      <c r="I1432" s="37" t="str">
        <f aca="false">IF(AND(ISNUMBER($G1432),$G1432&gt;=MA_SHORT),AVERAGE(INDEX($C$1032:$C1432,402-MA_SHORT):$C1432),"")</f>
        <v/>
      </c>
      <c r="J1432" s="37" t="str">
        <f aca="false">IF(AND(ISNUMBER($G1432),$G1432&gt;=MA_MED),AVERAGE(INDEX($C$1032:$C1432,402-MA_MED):$C1432),"")</f>
        <v/>
      </c>
      <c r="K1432" s="37" t="str">
        <f aca="false">IF(AND(ISNUMBER($G1432),$G1432&gt;=MA_LONG2),AVERAGE(INDEX($C$1032:$C1432,402-MA_LONG2):$C1432),"")</f>
        <v/>
      </c>
      <c r="L1432" s="38" t="str">
        <f aca="false">IF(AND(ISNUMBER($G1432),$G1432&gt;=21),STDEV(INDEX($H$1372:$H1432,62-20):$H1432)*SQRT(245),"")</f>
        <v/>
      </c>
      <c r="M1432" s="37" t="str">
        <f aca="false">IF(AND(ISNUMBER($G1432),$G1432&gt;=60),MAX(INDEX($D$1232:$D1432,202-60):$D1432),"")</f>
        <v/>
      </c>
      <c r="N1432" s="37" t="str">
        <f aca="false">IF(AND(ISNUMBER($G1432),$G1432&gt;=60),MIN(INDEX($E$1232:$E1432,202-60):$E1432),"")</f>
        <v/>
      </c>
      <c r="O1432" s="38" t="str">
        <f aca="false">IF(OR(NOT(ISNUMBER($C1432)),NOT(ISNUMBER($M1432)),$M1432=0),"",$C1432/$M1432-1)</f>
        <v/>
      </c>
    </row>
    <row r="1433" customFormat="false" ht="15" hidden="false" customHeight="true" outlineLevel="0" collapsed="false">
      <c r="A1433" s="39"/>
      <c r="B1433" s="40"/>
      <c r="C1433" s="41"/>
      <c r="D1433" s="40"/>
      <c r="E1433" s="40"/>
      <c r="F1433" s="40"/>
      <c r="G1433" s="35" t="str">
        <f aca="false">IF($A1433="","",IF(ISNUMBER($G1432),$G1432+1,1))</f>
        <v/>
      </c>
      <c r="H1433" s="36" t="str">
        <f aca="false">IF(OR(NOT(ISNUMBER($G1433)),$G1433&lt;2,NOT(ISNUMBER($C1432)),$C1432=0),"",$C1433/$C1432-1)</f>
        <v/>
      </c>
      <c r="I1433" s="37" t="str">
        <f aca="false">IF(AND(ISNUMBER($G1433),$G1433&gt;=MA_SHORT),AVERAGE(INDEX($C$1033:$C1433,402-MA_SHORT):$C1433),"")</f>
        <v/>
      </c>
      <c r="J1433" s="37" t="str">
        <f aca="false">IF(AND(ISNUMBER($G1433),$G1433&gt;=MA_MED),AVERAGE(INDEX($C$1033:$C1433,402-MA_MED):$C1433),"")</f>
        <v/>
      </c>
      <c r="K1433" s="37" t="str">
        <f aca="false">IF(AND(ISNUMBER($G1433),$G1433&gt;=MA_LONG2),AVERAGE(INDEX($C$1033:$C1433,402-MA_LONG2):$C1433),"")</f>
        <v/>
      </c>
      <c r="L1433" s="38" t="str">
        <f aca="false">IF(AND(ISNUMBER($G1433),$G1433&gt;=21),STDEV(INDEX($H$1373:$H1433,62-20):$H1433)*SQRT(245),"")</f>
        <v/>
      </c>
      <c r="M1433" s="37" t="str">
        <f aca="false">IF(AND(ISNUMBER($G1433),$G1433&gt;=60),MAX(INDEX($D$1233:$D1433,202-60):$D1433),"")</f>
        <v/>
      </c>
      <c r="N1433" s="37" t="str">
        <f aca="false">IF(AND(ISNUMBER($G1433),$G1433&gt;=60),MIN(INDEX($E$1233:$E1433,202-60):$E1433),"")</f>
        <v/>
      </c>
      <c r="O1433" s="38" t="str">
        <f aca="false">IF(OR(NOT(ISNUMBER($C1433)),NOT(ISNUMBER($M1433)),$M1433=0),"",$C1433/$M1433-1)</f>
        <v/>
      </c>
    </row>
    <row r="1434" customFormat="false" ht="15" hidden="false" customHeight="true" outlineLevel="0" collapsed="false">
      <c r="A1434" s="39"/>
      <c r="B1434" s="40"/>
      <c r="C1434" s="41"/>
      <c r="D1434" s="40"/>
      <c r="E1434" s="40"/>
      <c r="F1434" s="40"/>
      <c r="G1434" s="35" t="str">
        <f aca="false">IF($A1434="","",IF(ISNUMBER($G1433),$G1433+1,1))</f>
        <v/>
      </c>
      <c r="H1434" s="36" t="str">
        <f aca="false">IF(OR(NOT(ISNUMBER($G1434)),$G1434&lt;2,NOT(ISNUMBER($C1433)),$C1433=0),"",$C1434/$C1433-1)</f>
        <v/>
      </c>
      <c r="I1434" s="37" t="str">
        <f aca="false">IF(AND(ISNUMBER($G1434),$G1434&gt;=MA_SHORT),AVERAGE(INDEX($C$1034:$C1434,402-MA_SHORT):$C1434),"")</f>
        <v/>
      </c>
      <c r="J1434" s="37" t="str">
        <f aca="false">IF(AND(ISNUMBER($G1434),$G1434&gt;=MA_MED),AVERAGE(INDEX($C$1034:$C1434,402-MA_MED):$C1434),"")</f>
        <v/>
      </c>
      <c r="K1434" s="37" t="str">
        <f aca="false">IF(AND(ISNUMBER($G1434),$G1434&gt;=MA_LONG2),AVERAGE(INDEX($C$1034:$C1434,402-MA_LONG2):$C1434),"")</f>
        <v/>
      </c>
      <c r="L1434" s="38" t="str">
        <f aca="false">IF(AND(ISNUMBER($G1434),$G1434&gt;=21),STDEV(INDEX($H$1374:$H1434,62-20):$H1434)*SQRT(245),"")</f>
        <v/>
      </c>
      <c r="M1434" s="37" t="str">
        <f aca="false">IF(AND(ISNUMBER($G1434),$G1434&gt;=60),MAX(INDEX($D$1234:$D1434,202-60):$D1434),"")</f>
        <v/>
      </c>
      <c r="N1434" s="37" t="str">
        <f aca="false">IF(AND(ISNUMBER($G1434),$G1434&gt;=60),MIN(INDEX($E$1234:$E1434,202-60):$E1434),"")</f>
        <v/>
      </c>
      <c r="O1434" s="38" t="str">
        <f aca="false">IF(OR(NOT(ISNUMBER($C1434)),NOT(ISNUMBER($M1434)),$M1434=0),"",$C1434/$M1434-1)</f>
        <v/>
      </c>
    </row>
    <row r="1435" customFormat="false" ht="15" hidden="false" customHeight="true" outlineLevel="0" collapsed="false">
      <c r="A1435" s="39"/>
      <c r="B1435" s="40"/>
      <c r="C1435" s="41"/>
      <c r="D1435" s="40"/>
      <c r="E1435" s="40"/>
      <c r="F1435" s="40"/>
      <c r="G1435" s="35" t="str">
        <f aca="false">IF($A1435="","",IF(ISNUMBER($G1434),$G1434+1,1))</f>
        <v/>
      </c>
      <c r="H1435" s="36" t="str">
        <f aca="false">IF(OR(NOT(ISNUMBER($G1435)),$G1435&lt;2,NOT(ISNUMBER($C1434)),$C1434=0),"",$C1435/$C1434-1)</f>
        <v/>
      </c>
      <c r="I1435" s="37" t="str">
        <f aca="false">IF(AND(ISNUMBER($G1435),$G1435&gt;=MA_SHORT),AVERAGE(INDEX($C$1035:$C1435,402-MA_SHORT):$C1435),"")</f>
        <v/>
      </c>
      <c r="J1435" s="37" t="str">
        <f aca="false">IF(AND(ISNUMBER($G1435),$G1435&gt;=MA_MED),AVERAGE(INDEX($C$1035:$C1435,402-MA_MED):$C1435),"")</f>
        <v/>
      </c>
      <c r="K1435" s="37" t="str">
        <f aca="false">IF(AND(ISNUMBER($G1435),$G1435&gt;=MA_LONG2),AVERAGE(INDEX($C$1035:$C1435,402-MA_LONG2):$C1435),"")</f>
        <v/>
      </c>
      <c r="L1435" s="38" t="str">
        <f aca="false">IF(AND(ISNUMBER($G1435),$G1435&gt;=21),STDEV(INDEX($H$1375:$H1435,62-20):$H1435)*SQRT(245),"")</f>
        <v/>
      </c>
      <c r="M1435" s="37" t="str">
        <f aca="false">IF(AND(ISNUMBER($G1435),$G1435&gt;=60),MAX(INDEX($D$1235:$D1435,202-60):$D1435),"")</f>
        <v/>
      </c>
      <c r="N1435" s="37" t="str">
        <f aca="false">IF(AND(ISNUMBER($G1435),$G1435&gt;=60),MIN(INDEX($E$1235:$E1435,202-60):$E1435),"")</f>
        <v/>
      </c>
      <c r="O1435" s="38" t="str">
        <f aca="false">IF(OR(NOT(ISNUMBER($C1435)),NOT(ISNUMBER($M1435)),$M1435=0),"",$C1435/$M1435-1)</f>
        <v/>
      </c>
    </row>
    <row r="1436" customFormat="false" ht="15" hidden="false" customHeight="true" outlineLevel="0" collapsed="false">
      <c r="A1436" s="39"/>
      <c r="B1436" s="40"/>
      <c r="C1436" s="41"/>
      <c r="D1436" s="40"/>
      <c r="E1436" s="40"/>
      <c r="F1436" s="40"/>
      <c r="G1436" s="35" t="str">
        <f aca="false">IF($A1436="","",IF(ISNUMBER($G1435),$G1435+1,1))</f>
        <v/>
      </c>
      <c r="H1436" s="36" t="str">
        <f aca="false">IF(OR(NOT(ISNUMBER($G1436)),$G1436&lt;2,NOT(ISNUMBER($C1435)),$C1435=0),"",$C1436/$C1435-1)</f>
        <v/>
      </c>
      <c r="I1436" s="37" t="str">
        <f aca="false">IF(AND(ISNUMBER($G1436),$G1436&gt;=MA_SHORT),AVERAGE(INDEX($C$1036:$C1436,402-MA_SHORT):$C1436),"")</f>
        <v/>
      </c>
      <c r="J1436" s="37" t="str">
        <f aca="false">IF(AND(ISNUMBER($G1436),$G1436&gt;=MA_MED),AVERAGE(INDEX($C$1036:$C1436,402-MA_MED):$C1436),"")</f>
        <v/>
      </c>
      <c r="K1436" s="37" t="str">
        <f aca="false">IF(AND(ISNUMBER($G1436),$G1436&gt;=MA_LONG2),AVERAGE(INDEX($C$1036:$C1436,402-MA_LONG2):$C1436),"")</f>
        <v/>
      </c>
      <c r="L1436" s="38" t="str">
        <f aca="false">IF(AND(ISNUMBER($G1436),$G1436&gt;=21),STDEV(INDEX($H$1376:$H1436,62-20):$H1436)*SQRT(245),"")</f>
        <v/>
      </c>
      <c r="M1436" s="37" t="str">
        <f aca="false">IF(AND(ISNUMBER($G1436),$G1436&gt;=60),MAX(INDEX($D$1236:$D1436,202-60):$D1436),"")</f>
        <v/>
      </c>
      <c r="N1436" s="37" t="str">
        <f aca="false">IF(AND(ISNUMBER($G1436),$G1436&gt;=60),MIN(INDEX($E$1236:$E1436,202-60):$E1436),"")</f>
        <v/>
      </c>
      <c r="O1436" s="38" t="str">
        <f aca="false">IF(OR(NOT(ISNUMBER($C1436)),NOT(ISNUMBER($M1436)),$M1436=0),"",$C1436/$M1436-1)</f>
        <v/>
      </c>
    </row>
    <row r="1437" customFormat="false" ht="15" hidden="false" customHeight="true" outlineLevel="0" collapsed="false">
      <c r="A1437" s="39"/>
      <c r="B1437" s="40"/>
      <c r="C1437" s="41"/>
      <c r="D1437" s="40"/>
      <c r="E1437" s="40"/>
      <c r="F1437" s="40"/>
      <c r="G1437" s="35" t="str">
        <f aca="false">IF($A1437="","",IF(ISNUMBER($G1436),$G1436+1,1))</f>
        <v/>
      </c>
      <c r="H1437" s="36" t="str">
        <f aca="false">IF(OR(NOT(ISNUMBER($G1437)),$G1437&lt;2,NOT(ISNUMBER($C1436)),$C1436=0),"",$C1437/$C1436-1)</f>
        <v/>
      </c>
      <c r="I1437" s="37" t="str">
        <f aca="false">IF(AND(ISNUMBER($G1437),$G1437&gt;=MA_SHORT),AVERAGE(INDEX($C$1037:$C1437,402-MA_SHORT):$C1437),"")</f>
        <v/>
      </c>
      <c r="J1437" s="37" t="str">
        <f aca="false">IF(AND(ISNUMBER($G1437),$G1437&gt;=MA_MED),AVERAGE(INDEX($C$1037:$C1437,402-MA_MED):$C1437),"")</f>
        <v/>
      </c>
      <c r="K1437" s="37" t="str">
        <f aca="false">IF(AND(ISNUMBER($G1437),$G1437&gt;=MA_LONG2),AVERAGE(INDEX($C$1037:$C1437,402-MA_LONG2):$C1437),"")</f>
        <v/>
      </c>
      <c r="L1437" s="38" t="str">
        <f aca="false">IF(AND(ISNUMBER($G1437),$G1437&gt;=21),STDEV(INDEX($H$1377:$H1437,62-20):$H1437)*SQRT(245),"")</f>
        <v/>
      </c>
      <c r="M1437" s="37" t="str">
        <f aca="false">IF(AND(ISNUMBER($G1437),$G1437&gt;=60),MAX(INDEX($D$1237:$D1437,202-60):$D1437),"")</f>
        <v/>
      </c>
      <c r="N1437" s="37" t="str">
        <f aca="false">IF(AND(ISNUMBER($G1437),$G1437&gt;=60),MIN(INDEX($E$1237:$E1437,202-60):$E1437),"")</f>
        <v/>
      </c>
      <c r="O1437" s="38" t="str">
        <f aca="false">IF(OR(NOT(ISNUMBER($C1437)),NOT(ISNUMBER($M1437)),$M1437=0),"",$C1437/$M1437-1)</f>
        <v/>
      </c>
    </row>
    <row r="1438" customFormat="false" ht="15" hidden="false" customHeight="true" outlineLevel="0" collapsed="false">
      <c r="A1438" s="39"/>
      <c r="B1438" s="40"/>
      <c r="C1438" s="41"/>
      <c r="D1438" s="40"/>
      <c r="E1438" s="40"/>
      <c r="F1438" s="40"/>
      <c r="G1438" s="35" t="str">
        <f aca="false">IF($A1438="","",IF(ISNUMBER($G1437),$G1437+1,1))</f>
        <v/>
      </c>
      <c r="H1438" s="36" t="str">
        <f aca="false">IF(OR(NOT(ISNUMBER($G1438)),$G1438&lt;2,NOT(ISNUMBER($C1437)),$C1437=0),"",$C1438/$C1437-1)</f>
        <v/>
      </c>
      <c r="I1438" s="37" t="str">
        <f aca="false">IF(AND(ISNUMBER($G1438),$G1438&gt;=MA_SHORT),AVERAGE(INDEX($C$1038:$C1438,402-MA_SHORT):$C1438),"")</f>
        <v/>
      </c>
      <c r="J1438" s="37" t="str">
        <f aca="false">IF(AND(ISNUMBER($G1438),$G1438&gt;=MA_MED),AVERAGE(INDEX($C$1038:$C1438,402-MA_MED):$C1438),"")</f>
        <v/>
      </c>
      <c r="K1438" s="37" t="str">
        <f aca="false">IF(AND(ISNUMBER($G1438),$G1438&gt;=MA_LONG2),AVERAGE(INDEX($C$1038:$C1438,402-MA_LONG2):$C1438),"")</f>
        <v/>
      </c>
      <c r="L1438" s="38" t="str">
        <f aca="false">IF(AND(ISNUMBER($G1438),$G1438&gt;=21),STDEV(INDEX($H$1378:$H1438,62-20):$H1438)*SQRT(245),"")</f>
        <v/>
      </c>
      <c r="M1438" s="37" t="str">
        <f aca="false">IF(AND(ISNUMBER($G1438),$G1438&gt;=60),MAX(INDEX($D$1238:$D1438,202-60):$D1438),"")</f>
        <v/>
      </c>
      <c r="N1438" s="37" t="str">
        <f aca="false">IF(AND(ISNUMBER($G1438),$G1438&gt;=60),MIN(INDEX($E$1238:$E1438,202-60):$E1438),"")</f>
        <v/>
      </c>
      <c r="O1438" s="38" t="str">
        <f aca="false">IF(OR(NOT(ISNUMBER($C1438)),NOT(ISNUMBER($M1438)),$M1438=0),"",$C1438/$M1438-1)</f>
        <v/>
      </c>
    </row>
    <row r="1439" customFormat="false" ht="15" hidden="false" customHeight="true" outlineLevel="0" collapsed="false">
      <c r="A1439" s="39"/>
      <c r="B1439" s="40"/>
      <c r="C1439" s="41"/>
      <c r="D1439" s="40"/>
      <c r="E1439" s="40"/>
      <c r="F1439" s="40"/>
      <c r="G1439" s="35" t="str">
        <f aca="false">IF($A1439="","",IF(ISNUMBER($G1438),$G1438+1,1))</f>
        <v/>
      </c>
      <c r="H1439" s="36" t="str">
        <f aca="false">IF(OR(NOT(ISNUMBER($G1439)),$G1439&lt;2,NOT(ISNUMBER($C1438)),$C1438=0),"",$C1439/$C1438-1)</f>
        <v/>
      </c>
      <c r="I1439" s="37" t="str">
        <f aca="false">IF(AND(ISNUMBER($G1439),$G1439&gt;=MA_SHORT),AVERAGE(INDEX($C$1039:$C1439,402-MA_SHORT):$C1439),"")</f>
        <v/>
      </c>
      <c r="J1439" s="37" t="str">
        <f aca="false">IF(AND(ISNUMBER($G1439),$G1439&gt;=MA_MED),AVERAGE(INDEX($C$1039:$C1439,402-MA_MED):$C1439),"")</f>
        <v/>
      </c>
      <c r="K1439" s="37" t="str">
        <f aca="false">IF(AND(ISNUMBER($G1439),$G1439&gt;=MA_LONG2),AVERAGE(INDEX($C$1039:$C1439,402-MA_LONG2):$C1439),"")</f>
        <v/>
      </c>
      <c r="L1439" s="38" t="str">
        <f aca="false">IF(AND(ISNUMBER($G1439),$G1439&gt;=21),STDEV(INDEX($H$1379:$H1439,62-20):$H1439)*SQRT(245),"")</f>
        <v/>
      </c>
      <c r="M1439" s="37" t="str">
        <f aca="false">IF(AND(ISNUMBER($G1439),$G1439&gt;=60),MAX(INDEX($D$1239:$D1439,202-60):$D1439),"")</f>
        <v/>
      </c>
      <c r="N1439" s="37" t="str">
        <f aca="false">IF(AND(ISNUMBER($G1439),$G1439&gt;=60),MIN(INDEX($E$1239:$E1439,202-60):$E1439),"")</f>
        <v/>
      </c>
      <c r="O1439" s="38" t="str">
        <f aca="false">IF(OR(NOT(ISNUMBER($C1439)),NOT(ISNUMBER($M1439)),$M1439=0),"",$C1439/$M1439-1)</f>
        <v/>
      </c>
    </row>
    <row r="1440" customFormat="false" ht="15" hidden="false" customHeight="true" outlineLevel="0" collapsed="false">
      <c r="A1440" s="39"/>
      <c r="B1440" s="40"/>
      <c r="C1440" s="41"/>
      <c r="D1440" s="40"/>
      <c r="E1440" s="40"/>
      <c r="F1440" s="40"/>
      <c r="G1440" s="35" t="str">
        <f aca="false">IF($A1440="","",IF(ISNUMBER($G1439),$G1439+1,1))</f>
        <v/>
      </c>
      <c r="H1440" s="36" t="str">
        <f aca="false">IF(OR(NOT(ISNUMBER($G1440)),$G1440&lt;2,NOT(ISNUMBER($C1439)),$C1439=0),"",$C1440/$C1439-1)</f>
        <v/>
      </c>
      <c r="I1440" s="37" t="str">
        <f aca="false">IF(AND(ISNUMBER($G1440),$G1440&gt;=MA_SHORT),AVERAGE(INDEX($C$1040:$C1440,402-MA_SHORT):$C1440),"")</f>
        <v/>
      </c>
      <c r="J1440" s="37" t="str">
        <f aca="false">IF(AND(ISNUMBER($G1440),$G1440&gt;=MA_MED),AVERAGE(INDEX($C$1040:$C1440,402-MA_MED):$C1440),"")</f>
        <v/>
      </c>
      <c r="K1440" s="37" t="str">
        <f aca="false">IF(AND(ISNUMBER($G1440),$G1440&gt;=MA_LONG2),AVERAGE(INDEX($C$1040:$C1440,402-MA_LONG2):$C1440),"")</f>
        <v/>
      </c>
      <c r="L1440" s="38" t="str">
        <f aca="false">IF(AND(ISNUMBER($G1440),$G1440&gt;=21),STDEV(INDEX($H$1380:$H1440,62-20):$H1440)*SQRT(245),"")</f>
        <v/>
      </c>
      <c r="M1440" s="37" t="str">
        <f aca="false">IF(AND(ISNUMBER($G1440),$G1440&gt;=60),MAX(INDEX($D$1240:$D1440,202-60):$D1440),"")</f>
        <v/>
      </c>
      <c r="N1440" s="37" t="str">
        <f aca="false">IF(AND(ISNUMBER($G1440),$G1440&gt;=60),MIN(INDEX($E$1240:$E1440,202-60):$E1440),"")</f>
        <v/>
      </c>
      <c r="O1440" s="38" t="str">
        <f aca="false">IF(OR(NOT(ISNUMBER($C1440)),NOT(ISNUMBER($M1440)),$M1440=0),"",$C1440/$M1440-1)</f>
        <v/>
      </c>
    </row>
    <row r="1441" customFormat="false" ht="15" hidden="false" customHeight="true" outlineLevel="0" collapsed="false">
      <c r="A1441" s="39"/>
      <c r="B1441" s="40"/>
      <c r="C1441" s="41"/>
      <c r="D1441" s="40"/>
      <c r="E1441" s="40"/>
      <c r="F1441" s="40"/>
      <c r="G1441" s="35" t="str">
        <f aca="false">IF($A1441="","",IF(ISNUMBER($G1440),$G1440+1,1))</f>
        <v/>
      </c>
      <c r="H1441" s="36" t="str">
        <f aca="false">IF(OR(NOT(ISNUMBER($G1441)),$G1441&lt;2,NOT(ISNUMBER($C1440)),$C1440=0),"",$C1441/$C1440-1)</f>
        <v/>
      </c>
      <c r="I1441" s="37" t="str">
        <f aca="false">IF(AND(ISNUMBER($G1441),$G1441&gt;=MA_SHORT),AVERAGE(INDEX($C$1041:$C1441,402-MA_SHORT):$C1441),"")</f>
        <v/>
      </c>
      <c r="J1441" s="37" t="str">
        <f aca="false">IF(AND(ISNUMBER($G1441),$G1441&gt;=MA_MED),AVERAGE(INDEX($C$1041:$C1441,402-MA_MED):$C1441),"")</f>
        <v/>
      </c>
      <c r="K1441" s="37" t="str">
        <f aca="false">IF(AND(ISNUMBER($G1441),$G1441&gt;=MA_LONG2),AVERAGE(INDEX($C$1041:$C1441,402-MA_LONG2):$C1441),"")</f>
        <v/>
      </c>
      <c r="L1441" s="38" t="str">
        <f aca="false">IF(AND(ISNUMBER($G1441),$G1441&gt;=21),STDEV(INDEX($H$1381:$H1441,62-20):$H1441)*SQRT(245),"")</f>
        <v/>
      </c>
      <c r="M1441" s="37" t="str">
        <f aca="false">IF(AND(ISNUMBER($G1441),$G1441&gt;=60),MAX(INDEX($D$1241:$D1441,202-60):$D1441),"")</f>
        <v/>
      </c>
      <c r="N1441" s="37" t="str">
        <f aca="false">IF(AND(ISNUMBER($G1441),$G1441&gt;=60),MIN(INDEX($E$1241:$E1441,202-60):$E1441),"")</f>
        <v/>
      </c>
      <c r="O1441" s="38" t="str">
        <f aca="false">IF(OR(NOT(ISNUMBER($C1441)),NOT(ISNUMBER($M1441)),$M1441=0),"",$C1441/$M1441-1)</f>
        <v/>
      </c>
    </row>
    <row r="1442" customFormat="false" ht="15" hidden="false" customHeight="true" outlineLevel="0" collapsed="false">
      <c r="A1442" s="39"/>
      <c r="B1442" s="40"/>
      <c r="C1442" s="41"/>
      <c r="D1442" s="40"/>
      <c r="E1442" s="40"/>
      <c r="F1442" s="40"/>
      <c r="G1442" s="35" t="str">
        <f aca="false">IF($A1442="","",IF(ISNUMBER($G1441),$G1441+1,1))</f>
        <v/>
      </c>
      <c r="H1442" s="36" t="str">
        <f aca="false">IF(OR(NOT(ISNUMBER($G1442)),$G1442&lt;2,NOT(ISNUMBER($C1441)),$C1441=0),"",$C1442/$C1441-1)</f>
        <v/>
      </c>
      <c r="I1442" s="37" t="str">
        <f aca="false">IF(AND(ISNUMBER($G1442),$G1442&gt;=MA_SHORT),AVERAGE(INDEX($C$1042:$C1442,402-MA_SHORT):$C1442),"")</f>
        <v/>
      </c>
      <c r="J1442" s="37" t="str">
        <f aca="false">IF(AND(ISNUMBER($G1442),$G1442&gt;=MA_MED),AVERAGE(INDEX($C$1042:$C1442,402-MA_MED):$C1442),"")</f>
        <v/>
      </c>
      <c r="K1442" s="37" t="str">
        <f aca="false">IF(AND(ISNUMBER($G1442),$G1442&gt;=MA_LONG2),AVERAGE(INDEX($C$1042:$C1442,402-MA_LONG2):$C1442),"")</f>
        <v/>
      </c>
      <c r="L1442" s="38" t="str">
        <f aca="false">IF(AND(ISNUMBER($G1442),$G1442&gt;=21),STDEV(INDEX($H$1382:$H1442,62-20):$H1442)*SQRT(245),"")</f>
        <v/>
      </c>
      <c r="M1442" s="37" t="str">
        <f aca="false">IF(AND(ISNUMBER($G1442),$G1442&gt;=60),MAX(INDEX($D$1242:$D1442,202-60):$D1442),"")</f>
        <v/>
      </c>
      <c r="N1442" s="37" t="str">
        <f aca="false">IF(AND(ISNUMBER($G1442),$G1442&gt;=60),MIN(INDEX($E$1242:$E1442,202-60):$E1442),"")</f>
        <v/>
      </c>
      <c r="O1442" s="38" t="str">
        <f aca="false">IF(OR(NOT(ISNUMBER($C1442)),NOT(ISNUMBER($M1442)),$M1442=0),"",$C1442/$M1442-1)</f>
        <v/>
      </c>
    </row>
    <row r="1443" customFormat="false" ht="15" hidden="false" customHeight="true" outlineLevel="0" collapsed="false">
      <c r="A1443" s="39"/>
      <c r="B1443" s="40"/>
      <c r="C1443" s="41"/>
      <c r="D1443" s="40"/>
      <c r="E1443" s="40"/>
      <c r="F1443" s="40"/>
      <c r="G1443" s="35" t="str">
        <f aca="false">IF($A1443="","",IF(ISNUMBER($G1442),$G1442+1,1))</f>
        <v/>
      </c>
      <c r="H1443" s="36" t="str">
        <f aca="false">IF(OR(NOT(ISNUMBER($G1443)),$G1443&lt;2,NOT(ISNUMBER($C1442)),$C1442=0),"",$C1443/$C1442-1)</f>
        <v/>
      </c>
      <c r="I1443" s="37" t="str">
        <f aca="false">IF(AND(ISNUMBER($G1443),$G1443&gt;=MA_SHORT),AVERAGE(INDEX($C$1043:$C1443,402-MA_SHORT):$C1443),"")</f>
        <v/>
      </c>
      <c r="J1443" s="37" t="str">
        <f aca="false">IF(AND(ISNUMBER($G1443),$G1443&gt;=MA_MED),AVERAGE(INDEX($C$1043:$C1443,402-MA_MED):$C1443),"")</f>
        <v/>
      </c>
      <c r="K1443" s="37" t="str">
        <f aca="false">IF(AND(ISNUMBER($G1443),$G1443&gt;=MA_LONG2),AVERAGE(INDEX($C$1043:$C1443,402-MA_LONG2):$C1443),"")</f>
        <v/>
      </c>
      <c r="L1443" s="38" t="str">
        <f aca="false">IF(AND(ISNUMBER($G1443),$G1443&gt;=21),STDEV(INDEX($H$1383:$H1443,62-20):$H1443)*SQRT(245),"")</f>
        <v/>
      </c>
      <c r="M1443" s="37" t="str">
        <f aca="false">IF(AND(ISNUMBER($G1443),$G1443&gt;=60),MAX(INDEX($D$1243:$D1443,202-60):$D1443),"")</f>
        <v/>
      </c>
      <c r="N1443" s="37" t="str">
        <f aca="false">IF(AND(ISNUMBER($G1443),$G1443&gt;=60),MIN(INDEX($E$1243:$E1443,202-60):$E1443),"")</f>
        <v/>
      </c>
      <c r="O1443" s="38" t="str">
        <f aca="false">IF(OR(NOT(ISNUMBER($C1443)),NOT(ISNUMBER($M1443)),$M1443=0),"",$C1443/$M1443-1)</f>
        <v/>
      </c>
    </row>
    <row r="1444" customFormat="false" ht="15" hidden="false" customHeight="true" outlineLevel="0" collapsed="false">
      <c r="A1444" s="39"/>
      <c r="B1444" s="40"/>
      <c r="C1444" s="41"/>
      <c r="D1444" s="40"/>
      <c r="E1444" s="40"/>
      <c r="F1444" s="40"/>
      <c r="G1444" s="35" t="str">
        <f aca="false">IF($A1444="","",IF(ISNUMBER($G1443),$G1443+1,1))</f>
        <v/>
      </c>
      <c r="H1444" s="36" t="str">
        <f aca="false">IF(OR(NOT(ISNUMBER($G1444)),$G1444&lt;2,NOT(ISNUMBER($C1443)),$C1443=0),"",$C1444/$C1443-1)</f>
        <v/>
      </c>
      <c r="I1444" s="37" t="str">
        <f aca="false">IF(AND(ISNUMBER($G1444),$G1444&gt;=MA_SHORT),AVERAGE(INDEX($C$1044:$C1444,402-MA_SHORT):$C1444),"")</f>
        <v/>
      </c>
      <c r="J1444" s="37" t="str">
        <f aca="false">IF(AND(ISNUMBER($G1444),$G1444&gt;=MA_MED),AVERAGE(INDEX($C$1044:$C1444,402-MA_MED):$C1444),"")</f>
        <v/>
      </c>
      <c r="K1444" s="37" t="str">
        <f aca="false">IF(AND(ISNUMBER($G1444),$G1444&gt;=MA_LONG2),AVERAGE(INDEX($C$1044:$C1444,402-MA_LONG2):$C1444),"")</f>
        <v/>
      </c>
      <c r="L1444" s="38" t="str">
        <f aca="false">IF(AND(ISNUMBER($G1444),$G1444&gt;=21),STDEV(INDEX($H$1384:$H1444,62-20):$H1444)*SQRT(245),"")</f>
        <v/>
      </c>
      <c r="M1444" s="37" t="str">
        <f aca="false">IF(AND(ISNUMBER($G1444),$G1444&gt;=60),MAX(INDEX($D$1244:$D1444,202-60):$D1444),"")</f>
        <v/>
      </c>
      <c r="N1444" s="37" t="str">
        <f aca="false">IF(AND(ISNUMBER($G1444),$G1444&gt;=60),MIN(INDEX($E$1244:$E1444,202-60):$E1444),"")</f>
        <v/>
      </c>
      <c r="O1444" s="38" t="str">
        <f aca="false">IF(OR(NOT(ISNUMBER($C1444)),NOT(ISNUMBER($M1444)),$M1444=0),"",$C1444/$M1444-1)</f>
        <v/>
      </c>
    </row>
    <row r="1445" customFormat="false" ht="15" hidden="false" customHeight="true" outlineLevel="0" collapsed="false">
      <c r="A1445" s="39"/>
      <c r="B1445" s="40"/>
      <c r="C1445" s="41"/>
      <c r="D1445" s="40"/>
      <c r="E1445" s="40"/>
      <c r="F1445" s="40"/>
      <c r="G1445" s="35" t="str">
        <f aca="false">IF($A1445="","",IF(ISNUMBER($G1444),$G1444+1,1))</f>
        <v/>
      </c>
      <c r="H1445" s="36" t="str">
        <f aca="false">IF(OR(NOT(ISNUMBER($G1445)),$G1445&lt;2,NOT(ISNUMBER($C1444)),$C1444=0),"",$C1445/$C1444-1)</f>
        <v/>
      </c>
      <c r="I1445" s="37" t="str">
        <f aca="false">IF(AND(ISNUMBER($G1445),$G1445&gt;=MA_SHORT),AVERAGE(INDEX($C$1045:$C1445,402-MA_SHORT):$C1445),"")</f>
        <v/>
      </c>
      <c r="J1445" s="37" t="str">
        <f aca="false">IF(AND(ISNUMBER($G1445),$G1445&gt;=MA_MED),AVERAGE(INDEX($C$1045:$C1445,402-MA_MED):$C1445),"")</f>
        <v/>
      </c>
      <c r="K1445" s="37" t="str">
        <f aca="false">IF(AND(ISNUMBER($G1445),$G1445&gt;=MA_LONG2),AVERAGE(INDEX($C$1045:$C1445,402-MA_LONG2):$C1445),"")</f>
        <v/>
      </c>
      <c r="L1445" s="38" t="str">
        <f aca="false">IF(AND(ISNUMBER($G1445),$G1445&gt;=21),STDEV(INDEX($H$1385:$H1445,62-20):$H1445)*SQRT(245),"")</f>
        <v/>
      </c>
      <c r="M1445" s="37" t="str">
        <f aca="false">IF(AND(ISNUMBER($G1445),$G1445&gt;=60),MAX(INDEX($D$1245:$D1445,202-60):$D1445),"")</f>
        <v/>
      </c>
      <c r="N1445" s="37" t="str">
        <f aca="false">IF(AND(ISNUMBER($G1445),$G1445&gt;=60),MIN(INDEX($E$1245:$E1445,202-60):$E1445),"")</f>
        <v/>
      </c>
      <c r="O1445" s="38" t="str">
        <f aca="false">IF(OR(NOT(ISNUMBER($C1445)),NOT(ISNUMBER($M1445)),$M1445=0),"",$C1445/$M1445-1)</f>
        <v/>
      </c>
    </row>
    <row r="1446" customFormat="false" ht="15" hidden="false" customHeight="true" outlineLevel="0" collapsed="false">
      <c r="A1446" s="39"/>
      <c r="B1446" s="40"/>
      <c r="C1446" s="41"/>
      <c r="D1446" s="40"/>
      <c r="E1446" s="40"/>
      <c r="F1446" s="40"/>
      <c r="G1446" s="35" t="str">
        <f aca="false">IF($A1446="","",IF(ISNUMBER($G1445),$G1445+1,1))</f>
        <v/>
      </c>
      <c r="H1446" s="36" t="str">
        <f aca="false">IF(OR(NOT(ISNUMBER($G1446)),$G1446&lt;2,NOT(ISNUMBER($C1445)),$C1445=0),"",$C1446/$C1445-1)</f>
        <v/>
      </c>
      <c r="I1446" s="37" t="str">
        <f aca="false">IF(AND(ISNUMBER($G1446),$G1446&gt;=MA_SHORT),AVERAGE(INDEX($C$1046:$C1446,402-MA_SHORT):$C1446),"")</f>
        <v/>
      </c>
      <c r="J1446" s="37" t="str">
        <f aca="false">IF(AND(ISNUMBER($G1446),$G1446&gt;=MA_MED),AVERAGE(INDEX($C$1046:$C1446,402-MA_MED):$C1446),"")</f>
        <v/>
      </c>
      <c r="K1446" s="37" t="str">
        <f aca="false">IF(AND(ISNUMBER($G1446),$G1446&gt;=MA_LONG2),AVERAGE(INDEX($C$1046:$C1446,402-MA_LONG2):$C1446),"")</f>
        <v/>
      </c>
      <c r="L1446" s="38" t="str">
        <f aca="false">IF(AND(ISNUMBER($G1446),$G1446&gt;=21),STDEV(INDEX($H$1386:$H1446,62-20):$H1446)*SQRT(245),"")</f>
        <v/>
      </c>
      <c r="M1446" s="37" t="str">
        <f aca="false">IF(AND(ISNUMBER($G1446),$G1446&gt;=60),MAX(INDEX($D$1246:$D1446,202-60):$D1446),"")</f>
        <v/>
      </c>
      <c r="N1446" s="37" t="str">
        <f aca="false">IF(AND(ISNUMBER($G1446),$G1446&gt;=60),MIN(INDEX($E$1246:$E1446,202-60):$E1446),"")</f>
        <v/>
      </c>
      <c r="O1446" s="38" t="str">
        <f aca="false">IF(OR(NOT(ISNUMBER($C1446)),NOT(ISNUMBER($M1446)),$M1446=0),"",$C1446/$M1446-1)</f>
        <v/>
      </c>
    </row>
    <row r="1447" customFormat="false" ht="15" hidden="false" customHeight="true" outlineLevel="0" collapsed="false">
      <c r="A1447" s="39"/>
      <c r="B1447" s="40"/>
      <c r="C1447" s="41"/>
      <c r="D1447" s="40"/>
      <c r="E1447" s="40"/>
      <c r="F1447" s="40"/>
      <c r="G1447" s="35" t="str">
        <f aca="false">IF($A1447="","",IF(ISNUMBER($G1446),$G1446+1,1))</f>
        <v/>
      </c>
      <c r="H1447" s="36" t="str">
        <f aca="false">IF(OR(NOT(ISNUMBER($G1447)),$G1447&lt;2,NOT(ISNUMBER($C1446)),$C1446=0),"",$C1447/$C1446-1)</f>
        <v/>
      </c>
      <c r="I1447" s="37" t="str">
        <f aca="false">IF(AND(ISNUMBER($G1447),$G1447&gt;=MA_SHORT),AVERAGE(INDEX($C$1047:$C1447,402-MA_SHORT):$C1447),"")</f>
        <v/>
      </c>
      <c r="J1447" s="37" t="str">
        <f aca="false">IF(AND(ISNUMBER($G1447),$G1447&gt;=MA_MED),AVERAGE(INDEX($C$1047:$C1447,402-MA_MED):$C1447),"")</f>
        <v/>
      </c>
      <c r="K1447" s="37" t="str">
        <f aca="false">IF(AND(ISNUMBER($G1447),$G1447&gt;=MA_LONG2),AVERAGE(INDEX($C$1047:$C1447,402-MA_LONG2):$C1447),"")</f>
        <v/>
      </c>
      <c r="L1447" s="38" t="str">
        <f aca="false">IF(AND(ISNUMBER($G1447),$G1447&gt;=21),STDEV(INDEX($H$1387:$H1447,62-20):$H1447)*SQRT(245),"")</f>
        <v/>
      </c>
      <c r="M1447" s="37" t="str">
        <f aca="false">IF(AND(ISNUMBER($G1447),$G1447&gt;=60),MAX(INDEX($D$1247:$D1447,202-60):$D1447),"")</f>
        <v/>
      </c>
      <c r="N1447" s="37" t="str">
        <f aca="false">IF(AND(ISNUMBER($G1447),$G1447&gt;=60),MIN(INDEX($E$1247:$E1447,202-60):$E1447),"")</f>
        <v/>
      </c>
      <c r="O1447" s="38" t="str">
        <f aca="false">IF(OR(NOT(ISNUMBER($C1447)),NOT(ISNUMBER($M1447)),$M1447=0),"",$C1447/$M1447-1)</f>
        <v/>
      </c>
    </row>
    <row r="1448" customFormat="false" ht="15" hidden="false" customHeight="true" outlineLevel="0" collapsed="false">
      <c r="A1448" s="39"/>
      <c r="B1448" s="40"/>
      <c r="C1448" s="41"/>
      <c r="D1448" s="40"/>
      <c r="E1448" s="40"/>
      <c r="F1448" s="40"/>
      <c r="G1448" s="35" t="str">
        <f aca="false">IF($A1448="","",IF(ISNUMBER($G1447),$G1447+1,1))</f>
        <v/>
      </c>
      <c r="H1448" s="36" t="str">
        <f aca="false">IF(OR(NOT(ISNUMBER($G1448)),$G1448&lt;2,NOT(ISNUMBER($C1447)),$C1447=0),"",$C1448/$C1447-1)</f>
        <v/>
      </c>
      <c r="I1448" s="37" t="str">
        <f aca="false">IF(AND(ISNUMBER($G1448),$G1448&gt;=MA_SHORT),AVERAGE(INDEX($C$1048:$C1448,402-MA_SHORT):$C1448),"")</f>
        <v/>
      </c>
      <c r="J1448" s="37" t="str">
        <f aca="false">IF(AND(ISNUMBER($G1448),$G1448&gt;=MA_MED),AVERAGE(INDEX($C$1048:$C1448,402-MA_MED):$C1448),"")</f>
        <v/>
      </c>
      <c r="K1448" s="37" t="str">
        <f aca="false">IF(AND(ISNUMBER($G1448),$G1448&gt;=MA_LONG2),AVERAGE(INDEX($C$1048:$C1448,402-MA_LONG2):$C1448),"")</f>
        <v/>
      </c>
      <c r="L1448" s="38" t="str">
        <f aca="false">IF(AND(ISNUMBER($G1448),$G1448&gt;=21),STDEV(INDEX($H$1388:$H1448,62-20):$H1448)*SQRT(245),"")</f>
        <v/>
      </c>
      <c r="M1448" s="37" t="str">
        <f aca="false">IF(AND(ISNUMBER($G1448),$G1448&gt;=60),MAX(INDEX($D$1248:$D1448,202-60):$D1448),"")</f>
        <v/>
      </c>
      <c r="N1448" s="37" t="str">
        <f aca="false">IF(AND(ISNUMBER($G1448),$G1448&gt;=60),MIN(INDEX($E$1248:$E1448,202-60):$E1448),"")</f>
        <v/>
      </c>
      <c r="O1448" s="38" t="str">
        <f aca="false">IF(OR(NOT(ISNUMBER($C1448)),NOT(ISNUMBER($M1448)),$M1448=0),"",$C1448/$M1448-1)</f>
        <v/>
      </c>
    </row>
    <row r="1449" customFormat="false" ht="15" hidden="false" customHeight="true" outlineLevel="0" collapsed="false">
      <c r="A1449" s="39"/>
      <c r="B1449" s="40"/>
      <c r="C1449" s="41"/>
      <c r="D1449" s="40"/>
      <c r="E1449" s="40"/>
      <c r="F1449" s="40"/>
      <c r="G1449" s="35" t="str">
        <f aca="false">IF($A1449="","",IF(ISNUMBER($G1448),$G1448+1,1))</f>
        <v/>
      </c>
      <c r="H1449" s="36" t="str">
        <f aca="false">IF(OR(NOT(ISNUMBER($G1449)),$G1449&lt;2,NOT(ISNUMBER($C1448)),$C1448=0),"",$C1449/$C1448-1)</f>
        <v/>
      </c>
      <c r="I1449" s="37" t="str">
        <f aca="false">IF(AND(ISNUMBER($G1449),$G1449&gt;=MA_SHORT),AVERAGE(INDEX($C$1049:$C1449,402-MA_SHORT):$C1449),"")</f>
        <v/>
      </c>
      <c r="J1449" s="37" t="str">
        <f aca="false">IF(AND(ISNUMBER($G1449),$G1449&gt;=MA_MED),AVERAGE(INDEX($C$1049:$C1449,402-MA_MED):$C1449),"")</f>
        <v/>
      </c>
      <c r="K1449" s="37" t="str">
        <f aca="false">IF(AND(ISNUMBER($G1449),$G1449&gt;=MA_LONG2),AVERAGE(INDEX($C$1049:$C1449,402-MA_LONG2):$C1449),"")</f>
        <v/>
      </c>
      <c r="L1449" s="38" t="str">
        <f aca="false">IF(AND(ISNUMBER($G1449),$G1449&gt;=21),STDEV(INDEX($H$1389:$H1449,62-20):$H1449)*SQRT(245),"")</f>
        <v/>
      </c>
      <c r="M1449" s="37" t="str">
        <f aca="false">IF(AND(ISNUMBER($G1449),$G1449&gt;=60),MAX(INDEX($D$1249:$D1449,202-60):$D1449),"")</f>
        <v/>
      </c>
      <c r="N1449" s="37" t="str">
        <f aca="false">IF(AND(ISNUMBER($G1449),$G1449&gt;=60),MIN(INDEX($E$1249:$E1449,202-60):$E1449),"")</f>
        <v/>
      </c>
      <c r="O1449" s="38" t="str">
        <f aca="false">IF(OR(NOT(ISNUMBER($C1449)),NOT(ISNUMBER($M1449)),$M1449=0),"",$C1449/$M1449-1)</f>
        <v/>
      </c>
    </row>
    <row r="1450" customFormat="false" ht="15" hidden="false" customHeight="true" outlineLevel="0" collapsed="false">
      <c r="A1450" s="39"/>
      <c r="B1450" s="40"/>
      <c r="C1450" s="41"/>
      <c r="D1450" s="40"/>
      <c r="E1450" s="40"/>
      <c r="F1450" s="40"/>
      <c r="G1450" s="35" t="str">
        <f aca="false">IF($A1450="","",IF(ISNUMBER($G1449),$G1449+1,1))</f>
        <v/>
      </c>
      <c r="H1450" s="36" t="str">
        <f aca="false">IF(OR(NOT(ISNUMBER($G1450)),$G1450&lt;2,NOT(ISNUMBER($C1449)),$C1449=0),"",$C1450/$C1449-1)</f>
        <v/>
      </c>
      <c r="I1450" s="37" t="str">
        <f aca="false">IF(AND(ISNUMBER($G1450),$G1450&gt;=MA_SHORT),AVERAGE(INDEX($C$1050:$C1450,402-MA_SHORT):$C1450),"")</f>
        <v/>
      </c>
      <c r="J1450" s="37" t="str">
        <f aca="false">IF(AND(ISNUMBER($G1450),$G1450&gt;=MA_MED),AVERAGE(INDEX($C$1050:$C1450,402-MA_MED):$C1450),"")</f>
        <v/>
      </c>
      <c r="K1450" s="37" t="str">
        <f aca="false">IF(AND(ISNUMBER($G1450),$G1450&gt;=MA_LONG2),AVERAGE(INDEX($C$1050:$C1450,402-MA_LONG2):$C1450),"")</f>
        <v/>
      </c>
      <c r="L1450" s="38" t="str">
        <f aca="false">IF(AND(ISNUMBER($G1450),$G1450&gt;=21),STDEV(INDEX($H$1390:$H1450,62-20):$H1450)*SQRT(245),"")</f>
        <v/>
      </c>
      <c r="M1450" s="37" t="str">
        <f aca="false">IF(AND(ISNUMBER($G1450),$G1450&gt;=60),MAX(INDEX($D$1250:$D1450,202-60):$D1450),"")</f>
        <v/>
      </c>
      <c r="N1450" s="37" t="str">
        <f aca="false">IF(AND(ISNUMBER($G1450),$G1450&gt;=60),MIN(INDEX($E$1250:$E1450,202-60):$E1450),"")</f>
        <v/>
      </c>
      <c r="O1450" s="38" t="str">
        <f aca="false">IF(OR(NOT(ISNUMBER($C1450)),NOT(ISNUMBER($M1450)),$M1450=0),"",$C1450/$M1450-1)</f>
        <v/>
      </c>
    </row>
    <row r="1451" customFormat="false" ht="15" hidden="false" customHeight="true" outlineLevel="0" collapsed="false">
      <c r="A1451" s="39"/>
      <c r="B1451" s="40"/>
      <c r="C1451" s="41"/>
      <c r="D1451" s="40"/>
      <c r="E1451" s="40"/>
      <c r="F1451" s="40"/>
      <c r="G1451" s="35" t="str">
        <f aca="false">IF($A1451="","",IF(ISNUMBER($G1450),$G1450+1,1))</f>
        <v/>
      </c>
      <c r="H1451" s="36" t="str">
        <f aca="false">IF(OR(NOT(ISNUMBER($G1451)),$G1451&lt;2,NOT(ISNUMBER($C1450)),$C1450=0),"",$C1451/$C1450-1)</f>
        <v/>
      </c>
      <c r="I1451" s="37" t="str">
        <f aca="false">IF(AND(ISNUMBER($G1451),$G1451&gt;=MA_SHORT),AVERAGE(INDEX($C$1051:$C1451,402-MA_SHORT):$C1451),"")</f>
        <v/>
      </c>
      <c r="J1451" s="37" t="str">
        <f aca="false">IF(AND(ISNUMBER($G1451),$G1451&gt;=MA_MED),AVERAGE(INDEX($C$1051:$C1451,402-MA_MED):$C1451),"")</f>
        <v/>
      </c>
      <c r="K1451" s="37" t="str">
        <f aca="false">IF(AND(ISNUMBER($G1451),$G1451&gt;=MA_LONG2),AVERAGE(INDEX($C$1051:$C1451,402-MA_LONG2):$C1451),"")</f>
        <v/>
      </c>
      <c r="L1451" s="38" t="str">
        <f aca="false">IF(AND(ISNUMBER($G1451),$G1451&gt;=21),STDEV(INDEX($H$1391:$H1451,62-20):$H1451)*SQRT(245),"")</f>
        <v/>
      </c>
      <c r="M1451" s="37" t="str">
        <f aca="false">IF(AND(ISNUMBER($G1451),$G1451&gt;=60),MAX(INDEX($D$1251:$D1451,202-60):$D1451),"")</f>
        <v/>
      </c>
      <c r="N1451" s="37" t="str">
        <f aca="false">IF(AND(ISNUMBER($G1451),$G1451&gt;=60),MIN(INDEX($E$1251:$E1451,202-60):$E1451),"")</f>
        <v/>
      </c>
      <c r="O1451" s="38" t="str">
        <f aca="false">IF(OR(NOT(ISNUMBER($C1451)),NOT(ISNUMBER($M1451)),$M1451=0),"",$C1451/$M1451-1)</f>
        <v/>
      </c>
    </row>
    <row r="1452" customFormat="false" ht="15" hidden="false" customHeight="true" outlineLevel="0" collapsed="false">
      <c r="A1452" s="39"/>
      <c r="B1452" s="40"/>
      <c r="C1452" s="41"/>
      <c r="D1452" s="40"/>
      <c r="E1452" s="40"/>
      <c r="F1452" s="40"/>
      <c r="G1452" s="35" t="str">
        <f aca="false">IF($A1452="","",IF(ISNUMBER($G1451),$G1451+1,1))</f>
        <v/>
      </c>
      <c r="H1452" s="36" t="str">
        <f aca="false">IF(OR(NOT(ISNUMBER($G1452)),$G1452&lt;2,NOT(ISNUMBER($C1451)),$C1451=0),"",$C1452/$C1451-1)</f>
        <v/>
      </c>
      <c r="I1452" s="37" t="str">
        <f aca="false">IF(AND(ISNUMBER($G1452),$G1452&gt;=MA_SHORT),AVERAGE(INDEX($C$1052:$C1452,402-MA_SHORT):$C1452),"")</f>
        <v/>
      </c>
      <c r="J1452" s="37" t="str">
        <f aca="false">IF(AND(ISNUMBER($G1452),$G1452&gt;=MA_MED),AVERAGE(INDEX($C$1052:$C1452,402-MA_MED):$C1452),"")</f>
        <v/>
      </c>
      <c r="K1452" s="37" t="str">
        <f aca="false">IF(AND(ISNUMBER($G1452),$G1452&gt;=MA_LONG2),AVERAGE(INDEX($C$1052:$C1452,402-MA_LONG2):$C1452),"")</f>
        <v/>
      </c>
      <c r="L1452" s="38" t="str">
        <f aca="false">IF(AND(ISNUMBER($G1452),$G1452&gt;=21),STDEV(INDEX($H$1392:$H1452,62-20):$H1452)*SQRT(245),"")</f>
        <v/>
      </c>
      <c r="M1452" s="37" t="str">
        <f aca="false">IF(AND(ISNUMBER($G1452),$G1452&gt;=60),MAX(INDEX($D$1252:$D1452,202-60):$D1452),"")</f>
        <v/>
      </c>
      <c r="N1452" s="37" t="str">
        <f aca="false">IF(AND(ISNUMBER($G1452),$G1452&gt;=60),MIN(INDEX($E$1252:$E1452,202-60):$E1452),"")</f>
        <v/>
      </c>
      <c r="O1452" s="38" t="str">
        <f aca="false">IF(OR(NOT(ISNUMBER($C1452)),NOT(ISNUMBER($M1452)),$M1452=0),"",$C1452/$M1452-1)</f>
        <v/>
      </c>
    </row>
    <row r="1453" customFormat="false" ht="15" hidden="false" customHeight="true" outlineLevel="0" collapsed="false">
      <c r="A1453" s="39"/>
      <c r="B1453" s="40"/>
      <c r="C1453" s="41"/>
      <c r="D1453" s="40"/>
      <c r="E1453" s="40"/>
      <c r="F1453" s="40"/>
      <c r="G1453" s="35" t="str">
        <f aca="false">IF($A1453="","",IF(ISNUMBER($G1452),$G1452+1,1))</f>
        <v/>
      </c>
      <c r="H1453" s="36" t="str">
        <f aca="false">IF(OR(NOT(ISNUMBER($G1453)),$G1453&lt;2,NOT(ISNUMBER($C1452)),$C1452=0),"",$C1453/$C1452-1)</f>
        <v/>
      </c>
      <c r="I1453" s="37" t="str">
        <f aca="false">IF(AND(ISNUMBER($G1453),$G1453&gt;=MA_SHORT),AVERAGE(INDEX($C$1053:$C1453,402-MA_SHORT):$C1453),"")</f>
        <v/>
      </c>
      <c r="J1453" s="37" t="str">
        <f aca="false">IF(AND(ISNUMBER($G1453),$G1453&gt;=MA_MED),AVERAGE(INDEX($C$1053:$C1453,402-MA_MED):$C1453),"")</f>
        <v/>
      </c>
      <c r="K1453" s="37" t="str">
        <f aca="false">IF(AND(ISNUMBER($G1453),$G1453&gt;=MA_LONG2),AVERAGE(INDEX($C$1053:$C1453,402-MA_LONG2):$C1453),"")</f>
        <v/>
      </c>
      <c r="L1453" s="38" t="str">
        <f aca="false">IF(AND(ISNUMBER($G1453),$G1453&gt;=21),STDEV(INDEX($H$1393:$H1453,62-20):$H1453)*SQRT(245),"")</f>
        <v/>
      </c>
      <c r="M1453" s="37" t="str">
        <f aca="false">IF(AND(ISNUMBER($G1453),$G1453&gt;=60),MAX(INDEX($D$1253:$D1453,202-60):$D1453),"")</f>
        <v/>
      </c>
      <c r="N1453" s="37" t="str">
        <f aca="false">IF(AND(ISNUMBER($G1453),$G1453&gt;=60),MIN(INDEX($E$1253:$E1453,202-60):$E1453),"")</f>
        <v/>
      </c>
      <c r="O1453" s="38" t="str">
        <f aca="false">IF(OR(NOT(ISNUMBER($C1453)),NOT(ISNUMBER($M1453)),$M1453=0),"",$C1453/$M1453-1)</f>
        <v/>
      </c>
    </row>
    <row r="1454" customFormat="false" ht="15" hidden="false" customHeight="true" outlineLevel="0" collapsed="false">
      <c r="A1454" s="39"/>
      <c r="B1454" s="40"/>
      <c r="C1454" s="41"/>
      <c r="D1454" s="40"/>
      <c r="E1454" s="40"/>
      <c r="F1454" s="40"/>
      <c r="G1454" s="35" t="str">
        <f aca="false">IF($A1454="","",IF(ISNUMBER($G1453),$G1453+1,1))</f>
        <v/>
      </c>
      <c r="H1454" s="36" t="str">
        <f aca="false">IF(OR(NOT(ISNUMBER($G1454)),$G1454&lt;2,NOT(ISNUMBER($C1453)),$C1453=0),"",$C1454/$C1453-1)</f>
        <v/>
      </c>
      <c r="I1454" s="37" t="str">
        <f aca="false">IF(AND(ISNUMBER($G1454),$G1454&gt;=MA_SHORT),AVERAGE(INDEX($C$1054:$C1454,402-MA_SHORT):$C1454),"")</f>
        <v/>
      </c>
      <c r="J1454" s="37" t="str">
        <f aca="false">IF(AND(ISNUMBER($G1454),$G1454&gt;=MA_MED),AVERAGE(INDEX($C$1054:$C1454,402-MA_MED):$C1454),"")</f>
        <v/>
      </c>
      <c r="K1454" s="37" t="str">
        <f aca="false">IF(AND(ISNUMBER($G1454),$G1454&gt;=MA_LONG2),AVERAGE(INDEX($C$1054:$C1454,402-MA_LONG2):$C1454),"")</f>
        <v/>
      </c>
      <c r="L1454" s="38" t="str">
        <f aca="false">IF(AND(ISNUMBER($G1454),$G1454&gt;=21),STDEV(INDEX($H$1394:$H1454,62-20):$H1454)*SQRT(245),"")</f>
        <v/>
      </c>
      <c r="M1454" s="37" t="str">
        <f aca="false">IF(AND(ISNUMBER($G1454),$G1454&gt;=60),MAX(INDEX($D$1254:$D1454,202-60):$D1454),"")</f>
        <v/>
      </c>
      <c r="N1454" s="37" t="str">
        <f aca="false">IF(AND(ISNUMBER($G1454),$G1454&gt;=60),MIN(INDEX($E$1254:$E1454,202-60):$E1454),"")</f>
        <v/>
      </c>
      <c r="O1454" s="38" t="str">
        <f aca="false">IF(OR(NOT(ISNUMBER($C1454)),NOT(ISNUMBER($M1454)),$M1454=0),"",$C1454/$M1454-1)</f>
        <v/>
      </c>
    </row>
    <row r="1455" customFormat="false" ht="15" hidden="false" customHeight="true" outlineLevel="0" collapsed="false">
      <c r="A1455" s="39"/>
      <c r="B1455" s="40"/>
      <c r="C1455" s="41"/>
      <c r="D1455" s="40"/>
      <c r="E1455" s="40"/>
      <c r="F1455" s="40"/>
      <c r="G1455" s="35" t="str">
        <f aca="false">IF($A1455="","",IF(ISNUMBER($G1454),$G1454+1,1))</f>
        <v/>
      </c>
      <c r="H1455" s="36" t="str">
        <f aca="false">IF(OR(NOT(ISNUMBER($G1455)),$G1455&lt;2,NOT(ISNUMBER($C1454)),$C1454=0),"",$C1455/$C1454-1)</f>
        <v/>
      </c>
      <c r="I1455" s="37" t="str">
        <f aca="false">IF(AND(ISNUMBER($G1455),$G1455&gt;=MA_SHORT),AVERAGE(INDEX($C$1055:$C1455,402-MA_SHORT):$C1455),"")</f>
        <v/>
      </c>
      <c r="J1455" s="37" t="str">
        <f aca="false">IF(AND(ISNUMBER($G1455),$G1455&gt;=MA_MED),AVERAGE(INDEX($C$1055:$C1455,402-MA_MED):$C1455),"")</f>
        <v/>
      </c>
      <c r="K1455" s="37" t="str">
        <f aca="false">IF(AND(ISNUMBER($G1455),$G1455&gt;=MA_LONG2),AVERAGE(INDEX($C$1055:$C1455,402-MA_LONG2):$C1455),"")</f>
        <v/>
      </c>
      <c r="L1455" s="38" t="str">
        <f aca="false">IF(AND(ISNUMBER($G1455),$G1455&gt;=21),STDEV(INDEX($H$1395:$H1455,62-20):$H1455)*SQRT(245),"")</f>
        <v/>
      </c>
      <c r="M1455" s="37" t="str">
        <f aca="false">IF(AND(ISNUMBER($G1455),$G1455&gt;=60),MAX(INDEX($D$1255:$D1455,202-60):$D1455),"")</f>
        <v/>
      </c>
      <c r="N1455" s="37" t="str">
        <f aca="false">IF(AND(ISNUMBER($G1455),$G1455&gt;=60),MIN(INDEX($E$1255:$E1455,202-60):$E1455),"")</f>
        <v/>
      </c>
      <c r="O1455" s="38" t="str">
        <f aca="false">IF(OR(NOT(ISNUMBER($C1455)),NOT(ISNUMBER($M1455)),$M1455=0),"",$C1455/$M1455-1)</f>
        <v/>
      </c>
    </row>
    <row r="1456" customFormat="false" ht="15" hidden="false" customHeight="true" outlineLevel="0" collapsed="false">
      <c r="A1456" s="39"/>
      <c r="B1456" s="40"/>
      <c r="C1456" s="41"/>
      <c r="D1456" s="40"/>
      <c r="E1456" s="40"/>
      <c r="F1456" s="40"/>
      <c r="G1456" s="35" t="str">
        <f aca="false">IF($A1456="","",IF(ISNUMBER($G1455),$G1455+1,1))</f>
        <v/>
      </c>
      <c r="H1456" s="36" t="str">
        <f aca="false">IF(OR(NOT(ISNUMBER($G1456)),$G1456&lt;2,NOT(ISNUMBER($C1455)),$C1455=0),"",$C1456/$C1455-1)</f>
        <v/>
      </c>
      <c r="I1456" s="37" t="str">
        <f aca="false">IF(AND(ISNUMBER($G1456),$G1456&gt;=MA_SHORT),AVERAGE(INDEX($C$1056:$C1456,402-MA_SHORT):$C1456),"")</f>
        <v/>
      </c>
      <c r="J1456" s="37" t="str">
        <f aca="false">IF(AND(ISNUMBER($G1456),$G1456&gt;=MA_MED),AVERAGE(INDEX($C$1056:$C1456,402-MA_MED):$C1456),"")</f>
        <v/>
      </c>
      <c r="K1456" s="37" t="str">
        <f aca="false">IF(AND(ISNUMBER($G1456),$G1456&gt;=MA_LONG2),AVERAGE(INDEX($C$1056:$C1456,402-MA_LONG2):$C1456),"")</f>
        <v/>
      </c>
      <c r="L1456" s="38" t="str">
        <f aca="false">IF(AND(ISNUMBER($G1456),$G1456&gt;=21),STDEV(INDEX($H$1396:$H1456,62-20):$H1456)*SQRT(245),"")</f>
        <v/>
      </c>
      <c r="M1456" s="37" t="str">
        <f aca="false">IF(AND(ISNUMBER($G1456),$G1456&gt;=60),MAX(INDEX($D$1256:$D1456,202-60):$D1456),"")</f>
        <v/>
      </c>
      <c r="N1456" s="37" t="str">
        <f aca="false">IF(AND(ISNUMBER($G1456),$G1456&gt;=60),MIN(INDEX($E$1256:$E1456,202-60):$E1456),"")</f>
        <v/>
      </c>
      <c r="O1456" s="38" t="str">
        <f aca="false">IF(OR(NOT(ISNUMBER($C1456)),NOT(ISNUMBER($M1456)),$M1456=0),"",$C1456/$M1456-1)</f>
        <v/>
      </c>
    </row>
    <row r="1457" customFormat="false" ht="15" hidden="false" customHeight="true" outlineLevel="0" collapsed="false">
      <c r="A1457" s="39"/>
      <c r="B1457" s="40"/>
      <c r="C1457" s="41"/>
      <c r="D1457" s="40"/>
      <c r="E1457" s="40"/>
      <c r="F1457" s="40"/>
      <c r="G1457" s="35" t="str">
        <f aca="false">IF($A1457="","",IF(ISNUMBER($G1456),$G1456+1,1))</f>
        <v/>
      </c>
      <c r="H1457" s="36" t="str">
        <f aca="false">IF(OR(NOT(ISNUMBER($G1457)),$G1457&lt;2,NOT(ISNUMBER($C1456)),$C1456=0),"",$C1457/$C1456-1)</f>
        <v/>
      </c>
      <c r="I1457" s="37" t="str">
        <f aca="false">IF(AND(ISNUMBER($G1457),$G1457&gt;=MA_SHORT),AVERAGE(INDEX($C$1057:$C1457,402-MA_SHORT):$C1457),"")</f>
        <v/>
      </c>
      <c r="J1457" s="37" t="str">
        <f aca="false">IF(AND(ISNUMBER($G1457),$G1457&gt;=MA_MED),AVERAGE(INDEX($C$1057:$C1457,402-MA_MED):$C1457),"")</f>
        <v/>
      </c>
      <c r="K1457" s="37" t="str">
        <f aca="false">IF(AND(ISNUMBER($G1457),$G1457&gt;=MA_LONG2),AVERAGE(INDEX($C$1057:$C1457,402-MA_LONG2):$C1457),"")</f>
        <v/>
      </c>
      <c r="L1457" s="38" t="str">
        <f aca="false">IF(AND(ISNUMBER($G1457),$G1457&gt;=21),STDEV(INDEX($H$1397:$H1457,62-20):$H1457)*SQRT(245),"")</f>
        <v/>
      </c>
      <c r="M1457" s="37" t="str">
        <f aca="false">IF(AND(ISNUMBER($G1457),$G1457&gt;=60),MAX(INDEX($D$1257:$D1457,202-60):$D1457),"")</f>
        <v/>
      </c>
      <c r="N1457" s="37" t="str">
        <f aca="false">IF(AND(ISNUMBER($G1457),$G1457&gt;=60),MIN(INDEX($E$1257:$E1457,202-60):$E1457),"")</f>
        <v/>
      </c>
      <c r="O1457" s="38" t="str">
        <f aca="false">IF(OR(NOT(ISNUMBER($C1457)),NOT(ISNUMBER($M1457)),$M1457=0),"",$C1457/$M1457-1)</f>
        <v/>
      </c>
    </row>
    <row r="1458" customFormat="false" ht="15" hidden="false" customHeight="true" outlineLevel="0" collapsed="false">
      <c r="A1458" s="39"/>
      <c r="B1458" s="40"/>
      <c r="C1458" s="41"/>
      <c r="D1458" s="40"/>
      <c r="E1458" s="40"/>
      <c r="F1458" s="40"/>
      <c r="G1458" s="35" t="str">
        <f aca="false">IF($A1458="","",IF(ISNUMBER($G1457),$G1457+1,1))</f>
        <v/>
      </c>
      <c r="H1458" s="36" t="str">
        <f aca="false">IF(OR(NOT(ISNUMBER($G1458)),$G1458&lt;2,NOT(ISNUMBER($C1457)),$C1457=0),"",$C1458/$C1457-1)</f>
        <v/>
      </c>
      <c r="I1458" s="37" t="str">
        <f aca="false">IF(AND(ISNUMBER($G1458),$G1458&gt;=MA_SHORT),AVERAGE(INDEX($C$1058:$C1458,402-MA_SHORT):$C1458),"")</f>
        <v/>
      </c>
      <c r="J1458" s="37" t="str">
        <f aca="false">IF(AND(ISNUMBER($G1458),$G1458&gt;=MA_MED),AVERAGE(INDEX($C$1058:$C1458,402-MA_MED):$C1458),"")</f>
        <v/>
      </c>
      <c r="K1458" s="37" t="str">
        <f aca="false">IF(AND(ISNUMBER($G1458),$G1458&gt;=MA_LONG2),AVERAGE(INDEX($C$1058:$C1458,402-MA_LONG2):$C1458),"")</f>
        <v/>
      </c>
      <c r="L1458" s="38" t="str">
        <f aca="false">IF(AND(ISNUMBER($G1458),$G1458&gt;=21),STDEV(INDEX($H$1398:$H1458,62-20):$H1458)*SQRT(245),"")</f>
        <v/>
      </c>
      <c r="M1458" s="37" t="str">
        <f aca="false">IF(AND(ISNUMBER($G1458),$G1458&gt;=60),MAX(INDEX($D$1258:$D1458,202-60):$D1458),"")</f>
        <v/>
      </c>
      <c r="N1458" s="37" t="str">
        <f aca="false">IF(AND(ISNUMBER($G1458),$G1458&gt;=60),MIN(INDEX($E$1258:$E1458,202-60):$E1458),"")</f>
        <v/>
      </c>
      <c r="O1458" s="38" t="str">
        <f aca="false">IF(OR(NOT(ISNUMBER($C1458)),NOT(ISNUMBER($M1458)),$M1458=0),"",$C1458/$M1458-1)</f>
        <v/>
      </c>
    </row>
    <row r="1459" customFormat="false" ht="15" hidden="false" customHeight="true" outlineLevel="0" collapsed="false">
      <c r="A1459" s="39"/>
      <c r="B1459" s="40"/>
      <c r="C1459" s="41"/>
      <c r="D1459" s="40"/>
      <c r="E1459" s="40"/>
      <c r="F1459" s="40"/>
      <c r="G1459" s="35" t="str">
        <f aca="false">IF($A1459="","",IF(ISNUMBER($G1458),$G1458+1,1))</f>
        <v/>
      </c>
      <c r="H1459" s="36" t="str">
        <f aca="false">IF(OR(NOT(ISNUMBER($G1459)),$G1459&lt;2,NOT(ISNUMBER($C1458)),$C1458=0),"",$C1459/$C1458-1)</f>
        <v/>
      </c>
      <c r="I1459" s="37" t="str">
        <f aca="false">IF(AND(ISNUMBER($G1459),$G1459&gt;=MA_SHORT),AVERAGE(INDEX($C$1059:$C1459,402-MA_SHORT):$C1459),"")</f>
        <v/>
      </c>
      <c r="J1459" s="37" t="str">
        <f aca="false">IF(AND(ISNUMBER($G1459),$G1459&gt;=MA_MED),AVERAGE(INDEX($C$1059:$C1459,402-MA_MED):$C1459),"")</f>
        <v/>
      </c>
      <c r="K1459" s="37" t="str">
        <f aca="false">IF(AND(ISNUMBER($G1459),$G1459&gt;=MA_LONG2),AVERAGE(INDEX($C$1059:$C1459,402-MA_LONG2):$C1459),"")</f>
        <v/>
      </c>
      <c r="L1459" s="38" t="str">
        <f aca="false">IF(AND(ISNUMBER($G1459),$G1459&gt;=21),STDEV(INDEX($H$1399:$H1459,62-20):$H1459)*SQRT(245),"")</f>
        <v/>
      </c>
      <c r="M1459" s="37" t="str">
        <f aca="false">IF(AND(ISNUMBER($G1459),$G1459&gt;=60),MAX(INDEX($D$1259:$D1459,202-60):$D1459),"")</f>
        <v/>
      </c>
      <c r="N1459" s="37" t="str">
        <f aca="false">IF(AND(ISNUMBER($G1459),$G1459&gt;=60),MIN(INDEX($E$1259:$E1459,202-60):$E1459),"")</f>
        <v/>
      </c>
      <c r="O1459" s="38" t="str">
        <f aca="false">IF(OR(NOT(ISNUMBER($C1459)),NOT(ISNUMBER($M1459)),$M1459=0),"",$C1459/$M1459-1)</f>
        <v/>
      </c>
    </row>
    <row r="1460" customFormat="false" ht="15" hidden="false" customHeight="true" outlineLevel="0" collapsed="false">
      <c r="A1460" s="39"/>
      <c r="B1460" s="40"/>
      <c r="C1460" s="41"/>
      <c r="D1460" s="40"/>
      <c r="E1460" s="40"/>
      <c r="F1460" s="40"/>
      <c r="G1460" s="35" t="str">
        <f aca="false">IF($A1460="","",IF(ISNUMBER($G1459),$G1459+1,1))</f>
        <v/>
      </c>
      <c r="H1460" s="36" t="str">
        <f aca="false">IF(OR(NOT(ISNUMBER($G1460)),$G1460&lt;2,NOT(ISNUMBER($C1459)),$C1459=0),"",$C1460/$C1459-1)</f>
        <v/>
      </c>
      <c r="I1460" s="37" t="str">
        <f aca="false">IF(AND(ISNUMBER($G1460),$G1460&gt;=MA_SHORT),AVERAGE(INDEX($C$1060:$C1460,402-MA_SHORT):$C1460),"")</f>
        <v/>
      </c>
      <c r="J1460" s="37" t="str">
        <f aca="false">IF(AND(ISNUMBER($G1460),$G1460&gt;=MA_MED),AVERAGE(INDEX($C$1060:$C1460,402-MA_MED):$C1460),"")</f>
        <v/>
      </c>
      <c r="K1460" s="37" t="str">
        <f aca="false">IF(AND(ISNUMBER($G1460),$G1460&gt;=MA_LONG2),AVERAGE(INDEX($C$1060:$C1460,402-MA_LONG2):$C1460),"")</f>
        <v/>
      </c>
      <c r="L1460" s="38" t="str">
        <f aca="false">IF(AND(ISNUMBER($G1460),$G1460&gt;=21),STDEV(INDEX($H$1400:$H1460,62-20):$H1460)*SQRT(245),"")</f>
        <v/>
      </c>
      <c r="M1460" s="37" t="str">
        <f aca="false">IF(AND(ISNUMBER($G1460),$G1460&gt;=60),MAX(INDEX($D$1260:$D1460,202-60):$D1460),"")</f>
        <v/>
      </c>
      <c r="N1460" s="37" t="str">
        <f aca="false">IF(AND(ISNUMBER($G1460),$G1460&gt;=60),MIN(INDEX($E$1260:$E1460,202-60):$E1460),"")</f>
        <v/>
      </c>
      <c r="O1460" s="38" t="str">
        <f aca="false">IF(OR(NOT(ISNUMBER($C1460)),NOT(ISNUMBER($M1460)),$M1460=0),"",$C1460/$M1460-1)</f>
        <v/>
      </c>
    </row>
    <row r="1461" customFormat="false" ht="15" hidden="false" customHeight="true" outlineLevel="0" collapsed="false">
      <c r="A1461" s="39"/>
      <c r="B1461" s="40"/>
      <c r="C1461" s="41"/>
      <c r="D1461" s="40"/>
      <c r="E1461" s="40"/>
      <c r="F1461" s="40"/>
      <c r="G1461" s="35" t="str">
        <f aca="false">IF($A1461="","",IF(ISNUMBER($G1460),$G1460+1,1))</f>
        <v/>
      </c>
      <c r="H1461" s="36" t="str">
        <f aca="false">IF(OR(NOT(ISNUMBER($G1461)),$G1461&lt;2,NOT(ISNUMBER($C1460)),$C1460=0),"",$C1461/$C1460-1)</f>
        <v/>
      </c>
      <c r="I1461" s="37" t="str">
        <f aca="false">IF(AND(ISNUMBER($G1461),$G1461&gt;=MA_SHORT),AVERAGE(INDEX($C$1061:$C1461,402-MA_SHORT):$C1461),"")</f>
        <v/>
      </c>
      <c r="J1461" s="37" t="str">
        <f aca="false">IF(AND(ISNUMBER($G1461),$G1461&gt;=MA_MED),AVERAGE(INDEX($C$1061:$C1461,402-MA_MED):$C1461),"")</f>
        <v/>
      </c>
      <c r="K1461" s="37" t="str">
        <f aca="false">IF(AND(ISNUMBER($G1461),$G1461&gt;=MA_LONG2),AVERAGE(INDEX($C$1061:$C1461,402-MA_LONG2):$C1461),"")</f>
        <v/>
      </c>
      <c r="L1461" s="38" t="str">
        <f aca="false">IF(AND(ISNUMBER($G1461),$G1461&gt;=21),STDEV(INDEX($H$1401:$H1461,62-20):$H1461)*SQRT(245),"")</f>
        <v/>
      </c>
      <c r="M1461" s="37" t="str">
        <f aca="false">IF(AND(ISNUMBER($G1461),$G1461&gt;=60),MAX(INDEX($D$1261:$D1461,202-60):$D1461),"")</f>
        <v/>
      </c>
      <c r="N1461" s="37" t="str">
        <f aca="false">IF(AND(ISNUMBER($G1461),$G1461&gt;=60),MIN(INDEX($E$1261:$E1461,202-60):$E1461),"")</f>
        <v/>
      </c>
      <c r="O1461" s="38" t="str">
        <f aca="false">IF(OR(NOT(ISNUMBER($C1461)),NOT(ISNUMBER($M1461)),$M1461=0),"",$C1461/$M1461-1)</f>
        <v/>
      </c>
    </row>
    <row r="1462" customFormat="false" ht="15" hidden="false" customHeight="true" outlineLevel="0" collapsed="false">
      <c r="A1462" s="39"/>
      <c r="B1462" s="40"/>
      <c r="C1462" s="41"/>
      <c r="D1462" s="40"/>
      <c r="E1462" s="40"/>
      <c r="F1462" s="40"/>
      <c r="G1462" s="35" t="str">
        <f aca="false">IF($A1462="","",IF(ISNUMBER($G1461),$G1461+1,1))</f>
        <v/>
      </c>
      <c r="H1462" s="36" t="str">
        <f aca="false">IF(OR(NOT(ISNUMBER($G1462)),$G1462&lt;2,NOT(ISNUMBER($C1461)),$C1461=0),"",$C1462/$C1461-1)</f>
        <v/>
      </c>
      <c r="I1462" s="37" t="str">
        <f aca="false">IF(AND(ISNUMBER($G1462),$G1462&gt;=MA_SHORT),AVERAGE(INDEX($C$1062:$C1462,402-MA_SHORT):$C1462),"")</f>
        <v/>
      </c>
      <c r="J1462" s="37" t="str">
        <f aca="false">IF(AND(ISNUMBER($G1462),$G1462&gt;=MA_MED),AVERAGE(INDEX($C$1062:$C1462,402-MA_MED):$C1462),"")</f>
        <v/>
      </c>
      <c r="K1462" s="37" t="str">
        <f aca="false">IF(AND(ISNUMBER($G1462),$G1462&gt;=MA_LONG2),AVERAGE(INDEX($C$1062:$C1462,402-MA_LONG2):$C1462),"")</f>
        <v/>
      </c>
      <c r="L1462" s="38" t="str">
        <f aca="false">IF(AND(ISNUMBER($G1462),$G1462&gt;=21),STDEV(INDEX($H$1402:$H1462,62-20):$H1462)*SQRT(245),"")</f>
        <v/>
      </c>
      <c r="M1462" s="37" t="str">
        <f aca="false">IF(AND(ISNUMBER($G1462),$G1462&gt;=60),MAX(INDEX($D$1262:$D1462,202-60):$D1462),"")</f>
        <v/>
      </c>
      <c r="N1462" s="37" t="str">
        <f aca="false">IF(AND(ISNUMBER($G1462),$G1462&gt;=60),MIN(INDEX($E$1262:$E1462,202-60):$E1462),"")</f>
        <v/>
      </c>
      <c r="O1462" s="38" t="str">
        <f aca="false">IF(OR(NOT(ISNUMBER($C1462)),NOT(ISNUMBER($M1462)),$M1462=0),"",$C1462/$M1462-1)</f>
        <v/>
      </c>
    </row>
    <row r="1463" customFormat="false" ht="15" hidden="false" customHeight="true" outlineLevel="0" collapsed="false">
      <c r="A1463" s="39"/>
      <c r="B1463" s="40"/>
      <c r="C1463" s="41"/>
      <c r="D1463" s="40"/>
      <c r="E1463" s="40"/>
      <c r="F1463" s="40"/>
      <c r="G1463" s="35" t="str">
        <f aca="false">IF($A1463="","",IF(ISNUMBER($G1462),$G1462+1,1))</f>
        <v/>
      </c>
      <c r="H1463" s="36" t="str">
        <f aca="false">IF(OR(NOT(ISNUMBER($G1463)),$G1463&lt;2,NOT(ISNUMBER($C1462)),$C1462=0),"",$C1463/$C1462-1)</f>
        <v/>
      </c>
      <c r="I1463" s="37" t="str">
        <f aca="false">IF(AND(ISNUMBER($G1463),$G1463&gt;=MA_SHORT),AVERAGE(INDEX($C$1063:$C1463,402-MA_SHORT):$C1463),"")</f>
        <v/>
      </c>
      <c r="J1463" s="37" t="str">
        <f aca="false">IF(AND(ISNUMBER($G1463),$G1463&gt;=MA_MED),AVERAGE(INDEX($C$1063:$C1463,402-MA_MED):$C1463),"")</f>
        <v/>
      </c>
      <c r="K1463" s="37" t="str">
        <f aca="false">IF(AND(ISNUMBER($G1463),$G1463&gt;=MA_LONG2),AVERAGE(INDEX($C$1063:$C1463,402-MA_LONG2):$C1463),"")</f>
        <v/>
      </c>
      <c r="L1463" s="38" t="str">
        <f aca="false">IF(AND(ISNUMBER($G1463),$G1463&gt;=21),STDEV(INDEX($H$1403:$H1463,62-20):$H1463)*SQRT(245),"")</f>
        <v/>
      </c>
      <c r="M1463" s="37" t="str">
        <f aca="false">IF(AND(ISNUMBER($G1463),$G1463&gt;=60),MAX(INDEX($D$1263:$D1463,202-60):$D1463),"")</f>
        <v/>
      </c>
      <c r="N1463" s="37" t="str">
        <f aca="false">IF(AND(ISNUMBER($G1463),$G1463&gt;=60),MIN(INDEX($E$1263:$E1463,202-60):$E1463),"")</f>
        <v/>
      </c>
      <c r="O1463" s="38" t="str">
        <f aca="false">IF(OR(NOT(ISNUMBER($C1463)),NOT(ISNUMBER($M1463)),$M1463=0),"",$C1463/$M1463-1)</f>
        <v/>
      </c>
    </row>
    <row r="1464" customFormat="false" ht="15" hidden="false" customHeight="true" outlineLevel="0" collapsed="false">
      <c r="A1464" s="39"/>
      <c r="B1464" s="40"/>
      <c r="C1464" s="41"/>
      <c r="D1464" s="40"/>
      <c r="E1464" s="40"/>
      <c r="F1464" s="40"/>
      <c r="G1464" s="35" t="str">
        <f aca="false">IF($A1464="","",IF(ISNUMBER($G1463),$G1463+1,1))</f>
        <v/>
      </c>
      <c r="H1464" s="36" t="str">
        <f aca="false">IF(OR(NOT(ISNUMBER($G1464)),$G1464&lt;2,NOT(ISNUMBER($C1463)),$C1463=0),"",$C1464/$C1463-1)</f>
        <v/>
      </c>
      <c r="I1464" s="37" t="str">
        <f aca="false">IF(AND(ISNUMBER($G1464),$G1464&gt;=MA_SHORT),AVERAGE(INDEX($C$1064:$C1464,402-MA_SHORT):$C1464),"")</f>
        <v/>
      </c>
      <c r="J1464" s="37" t="str">
        <f aca="false">IF(AND(ISNUMBER($G1464),$G1464&gt;=MA_MED),AVERAGE(INDEX($C$1064:$C1464,402-MA_MED):$C1464),"")</f>
        <v/>
      </c>
      <c r="K1464" s="37" t="str">
        <f aca="false">IF(AND(ISNUMBER($G1464),$G1464&gt;=MA_LONG2),AVERAGE(INDEX($C$1064:$C1464,402-MA_LONG2):$C1464),"")</f>
        <v/>
      </c>
      <c r="L1464" s="38" t="str">
        <f aca="false">IF(AND(ISNUMBER($G1464),$G1464&gt;=21),STDEV(INDEX($H$1404:$H1464,62-20):$H1464)*SQRT(245),"")</f>
        <v/>
      </c>
      <c r="M1464" s="37" t="str">
        <f aca="false">IF(AND(ISNUMBER($G1464),$G1464&gt;=60),MAX(INDEX($D$1264:$D1464,202-60):$D1464),"")</f>
        <v/>
      </c>
      <c r="N1464" s="37" t="str">
        <f aca="false">IF(AND(ISNUMBER($G1464),$G1464&gt;=60),MIN(INDEX($E$1264:$E1464,202-60):$E1464),"")</f>
        <v/>
      </c>
      <c r="O1464" s="38" t="str">
        <f aca="false">IF(OR(NOT(ISNUMBER($C1464)),NOT(ISNUMBER($M1464)),$M1464=0),"",$C1464/$M1464-1)</f>
        <v/>
      </c>
    </row>
    <row r="1465" customFormat="false" ht="15" hidden="false" customHeight="true" outlineLevel="0" collapsed="false">
      <c r="A1465" s="39"/>
      <c r="B1465" s="40"/>
      <c r="C1465" s="41"/>
      <c r="D1465" s="40"/>
      <c r="E1465" s="40"/>
      <c r="F1465" s="40"/>
      <c r="G1465" s="35" t="str">
        <f aca="false">IF($A1465="","",IF(ISNUMBER($G1464),$G1464+1,1))</f>
        <v/>
      </c>
      <c r="H1465" s="36" t="str">
        <f aca="false">IF(OR(NOT(ISNUMBER($G1465)),$G1465&lt;2,NOT(ISNUMBER($C1464)),$C1464=0),"",$C1465/$C1464-1)</f>
        <v/>
      </c>
      <c r="I1465" s="37" t="str">
        <f aca="false">IF(AND(ISNUMBER($G1465),$G1465&gt;=MA_SHORT),AVERAGE(INDEX($C$1065:$C1465,402-MA_SHORT):$C1465),"")</f>
        <v/>
      </c>
      <c r="J1465" s="37" t="str">
        <f aca="false">IF(AND(ISNUMBER($G1465),$G1465&gt;=MA_MED),AVERAGE(INDEX($C$1065:$C1465,402-MA_MED):$C1465),"")</f>
        <v/>
      </c>
      <c r="K1465" s="37" t="str">
        <f aca="false">IF(AND(ISNUMBER($G1465),$G1465&gt;=MA_LONG2),AVERAGE(INDEX($C$1065:$C1465,402-MA_LONG2):$C1465),"")</f>
        <v/>
      </c>
      <c r="L1465" s="38" t="str">
        <f aca="false">IF(AND(ISNUMBER($G1465),$G1465&gt;=21),STDEV(INDEX($H$1405:$H1465,62-20):$H1465)*SQRT(245),"")</f>
        <v/>
      </c>
      <c r="M1465" s="37" t="str">
        <f aca="false">IF(AND(ISNUMBER($G1465),$G1465&gt;=60),MAX(INDEX($D$1265:$D1465,202-60):$D1465),"")</f>
        <v/>
      </c>
      <c r="N1465" s="37" t="str">
        <f aca="false">IF(AND(ISNUMBER($G1465),$G1465&gt;=60),MIN(INDEX($E$1265:$E1465,202-60):$E1465),"")</f>
        <v/>
      </c>
      <c r="O1465" s="38" t="str">
        <f aca="false">IF(OR(NOT(ISNUMBER($C1465)),NOT(ISNUMBER($M1465)),$M1465=0),"",$C1465/$M1465-1)</f>
        <v/>
      </c>
    </row>
    <row r="1466" customFormat="false" ht="15" hidden="false" customHeight="true" outlineLevel="0" collapsed="false">
      <c r="A1466" s="39"/>
      <c r="B1466" s="40"/>
      <c r="C1466" s="41"/>
      <c r="D1466" s="40"/>
      <c r="E1466" s="40"/>
      <c r="F1466" s="40"/>
      <c r="G1466" s="35" t="str">
        <f aca="false">IF($A1466="","",IF(ISNUMBER($G1465),$G1465+1,1))</f>
        <v/>
      </c>
      <c r="H1466" s="36" t="str">
        <f aca="false">IF(OR(NOT(ISNUMBER($G1466)),$G1466&lt;2,NOT(ISNUMBER($C1465)),$C1465=0),"",$C1466/$C1465-1)</f>
        <v/>
      </c>
      <c r="I1466" s="37" t="str">
        <f aca="false">IF(AND(ISNUMBER($G1466),$G1466&gt;=MA_SHORT),AVERAGE(INDEX($C$1066:$C1466,402-MA_SHORT):$C1466),"")</f>
        <v/>
      </c>
      <c r="J1466" s="37" t="str">
        <f aca="false">IF(AND(ISNUMBER($G1466),$G1466&gt;=MA_MED),AVERAGE(INDEX($C$1066:$C1466,402-MA_MED):$C1466),"")</f>
        <v/>
      </c>
      <c r="K1466" s="37" t="str">
        <f aca="false">IF(AND(ISNUMBER($G1466),$G1466&gt;=MA_LONG2),AVERAGE(INDEX($C$1066:$C1466,402-MA_LONG2):$C1466),"")</f>
        <v/>
      </c>
      <c r="L1466" s="38" t="str">
        <f aca="false">IF(AND(ISNUMBER($G1466),$G1466&gt;=21),STDEV(INDEX($H$1406:$H1466,62-20):$H1466)*SQRT(245),"")</f>
        <v/>
      </c>
      <c r="M1466" s="37" t="str">
        <f aca="false">IF(AND(ISNUMBER($G1466),$G1466&gt;=60),MAX(INDEX($D$1266:$D1466,202-60):$D1466),"")</f>
        <v/>
      </c>
      <c r="N1466" s="37" t="str">
        <f aca="false">IF(AND(ISNUMBER($G1466),$G1466&gt;=60),MIN(INDEX($E$1266:$E1466,202-60):$E1466),"")</f>
        <v/>
      </c>
      <c r="O1466" s="38" t="str">
        <f aca="false">IF(OR(NOT(ISNUMBER($C1466)),NOT(ISNUMBER($M1466)),$M1466=0),"",$C1466/$M1466-1)</f>
        <v/>
      </c>
    </row>
    <row r="1467" customFormat="false" ht="15" hidden="false" customHeight="true" outlineLevel="0" collapsed="false">
      <c r="A1467" s="39"/>
      <c r="B1467" s="40"/>
      <c r="C1467" s="41"/>
      <c r="D1467" s="40"/>
      <c r="E1467" s="40"/>
      <c r="F1467" s="40"/>
      <c r="G1467" s="35" t="str">
        <f aca="false">IF($A1467="","",IF(ISNUMBER($G1466),$G1466+1,1))</f>
        <v/>
      </c>
      <c r="H1467" s="36" t="str">
        <f aca="false">IF(OR(NOT(ISNUMBER($G1467)),$G1467&lt;2,NOT(ISNUMBER($C1466)),$C1466=0),"",$C1467/$C1466-1)</f>
        <v/>
      </c>
      <c r="I1467" s="37" t="str">
        <f aca="false">IF(AND(ISNUMBER($G1467),$G1467&gt;=MA_SHORT),AVERAGE(INDEX($C$1067:$C1467,402-MA_SHORT):$C1467),"")</f>
        <v/>
      </c>
      <c r="J1467" s="37" t="str">
        <f aca="false">IF(AND(ISNUMBER($G1467),$G1467&gt;=MA_MED),AVERAGE(INDEX($C$1067:$C1467,402-MA_MED):$C1467),"")</f>
        <v/>
      </c>
      <c r="K1467" s="37" t="str">
        <f aca="false">IF(AND(ISNUMBER($G1467),$G1467&gt;=MA_LONG2),AVERAGE(INDEX($C$1067:$C1467,402-MA_LONG2):$C1467),"")</f>
        <v/>
      </c>
      <c r="L1467" s="38" t="str">
        <f aca="false">IF(AND(ISNUMBER($G1467),$G1467&gt;=21),STDEV(INDEX($H$1407:$H1467,62-20):$H1467)*SQRT(245),"")</f>
        <v/>
      </c>
      <c r="M1467" s="37" t="str">
        <f aca="false">IF(AND(ISNUMBER($G1467),$G1467&gt;=60),MAX(INDEX($D$1267:$D1467,202-60):$D1467),"")</f>
        <v/>
      </c>
      <c r="N1467" s="37" t="str">
        <f aca="false">IF(AND(ISNUMBER($G1467),$G1467&gt;=60),MIN(INDEX($E$1267:$E1467,202-60):$E1467),"")</f>
        <v/>
      </c>
      <c r="O1467" s="38" t="str">
        <f aca="false">IF(OR(NOT(ISNUMBER($C1467)),NOT(ISNUMBER($M1467)),$M1467=0),"",$C1467/$M1467-1)</f>
        <v/>
      </c>
    </row>
    <row r="1468" customFormat="false" ht="15" hidden="false" customHeight="true" outlineLevel="0" collapsed="false">
      <c r="A1468" s="39"/>
      <c r="B1468" s="40"/>
      <c r="C1468" s="41"/>
      <c r="D1468" s="40"/>
      <c r="E1468" s="40"/>
      <c r="F1468" s="40"/>
      <c r="G1468" s="35" t="str">
        <f aca="false">IF($A1468="","",IF(ISNUMBER($G1467),$G1467+1,1))</f>
        <v/>
      </c>
      <c r="H1468" s="36" t="str">
        <f aca="false">IF(OR(NOT(ISNUMBER($G1468)),$G1468&lt;2,NOT(ISNUMBER($C1467)),$C1467=0),"",$C1468/$C1467-1)</f>
        <v/>
      </c>
      <c r="I1468" s="37" t="str">
        <f aca="false">IF(AND(ISNUMBER($G1468),$G1468&gt;=MA_SHORT),AVERAGE(INDEX($C$1068:$C1468,402-MA_SHORT):$C1468),"")</f>
        <v/>
      </c>
      <c r="J1468" s="37" t="str">
        <f aca="false">IF(AND(ISNUMBER($G1468),$G1468&gt;=MA_MED),AVERAGE(INDEX($C$1068:$C1468,402-MA_MED):$C1468),"")</f>
        <v/>
      </c>
      <c r="K1468" s="37" t="str">
        <f aca="false">IF(AND(ISNUMBER($G1468),$G1468&gt;=MA_LONG2),AVERAGE(INDEX($C$1068:$C1468,402-MA_LONG2):$C1468),"")</f>
        <v/>
      </c>
      <c r="L1468" s="38" t="str">
        <f aca="false">IF(AND(ISNUMBER($G1468),$G1468&gt;=21),STDEV(INDEX($H$1408:$H1468,62-20):$H1468)*SQRT(245),"")</f>
        <v/>
      </c>
      <c r="M1468" s="37" t="str">
        <f aca="false">IF(AND(ISNUMBER($G1468),$G1468&gt;=60),MAX(INDEX($D$1268:$D1468,202-60):$D1468),"")</f>
        <v/>
      </c>
      <c r="N1468" s="37" t="str">
        <f aca="false">IF(AND(ISNUMBER($G1468),$G1468&gt;=60),MIN(INDEX($E$1268:$E1468,202-60):$E1468),"")</f>
        <v/>
      </c>
      <c r="O1468" s="38" t="str">
        <f aca="false">IF(OR(NOT(ISNUMBER($C1468)),NOT(ISNUMBER($M1468)),$M1468=0),"",$C1468/$M1468-1)</f>
        <v/>
      </c>
    </row>
    <row r="1469" customFormat="false" ht="15" hidden="false" customHeight="true" outlineLevel="0" collapsed="false">
      <c r="A1469" s="39"/>
      <c r="B1469" s="40"/>
      <c r="C1469" s="41"/>
      <c r="D1469" s="40"/>
      <c r="E1469" s="40"/>
      <c r="F1469" s="40"/>
      <c r="G1469" s="35" t="str">
        <f aca="false">IF($A1469="","",IF(ISNUMBER($G1468),$G1468+1,1))</f>
        <v/>
      </c>
      <c r="H1469" s="36" t="str">
        <f aca="false">IF(OR(NOT(ISNUMBER($G1469)),$G1469&lt;2,NOT(ISNUMBER($C1468)),$C1468=0),"",$C1469/$C1468-1)</f>
        <v/>
      </c>
      <c r="I1469" s="37" t="str">
        <f aca="false">IF(AND(ISNUMBER($G1469),$G1469&gt;=MA_SHORT),AVERAGE(INDEX($C$1069:$C1469,402-MA_SHORT):$C1469),"")</f>
        <v/>
      </c>
      <c r="J1469" s="37" t="str">
        <f aca="false">IF(AND(ISNUMBER($G1469),$G1469&gt;=MA_MED),AVERAGE(INDEX($C$1069:$C1469,402-MA_MED):$C1469),"")</f>
        <v/>
      </c>
      <c r="K1469" s="37" t="str">
        <f aca="false">IF(AND(ISNUMBER($G1469),$G1469&gt;=MA_LONG2),AVERAGE(INDEX($C$1069:$C1469,402-MA_LONG2):$C1469),"")</f>
        <v/>
      </c>
      <c r="L1469" s="38" t="str">
        <f aca="false">IF(AND(ISNUMBER($G1469),$G1469&gt;=21),STDEV(INDEX($H$1409:$H1469,62-20):$H1469)*SQRT(245),"")</f>
        <v/>
      </c>
      <c r="M1469" s="37" t="str">
        <f aca="false">IF(AND(ISNUMBER($G1469),$G1469&gt;=60),MAX(INDEX($D$1269:$D1469,202-60):$D1469),"")</f>
        <v/>
      </c>
      <c r="N1469" s="37" t="str">
        <f aca="false">IF(AND(ISNUMBER($G1469),$G1469&gt;=60),MIN(INDEX($E$1269:$E1469,202-60):$E1469),"")</f>
        <v/>
      </c>
      <c r="O1469" s="38" t="str">
        <f aca="false">IF(OR(NOT(ISNUMBER($C1469)),NOT(ISNUMBER($M1469)),$M1469=0),"",$C1469/$M1469-1)</f>
        <v/>
      </c>
    </row>
    <row r="1470" customFormat="false" ht="15" hidden="false" customHeight="true" outlineLevel="0" collapsed="false">
      <c r="A1470" s="39"/>
      <c r="B1470" s="40"/>
      <c r="C1470" s="41"/>
      <c r="D1470" s="40"/>
      <c r="E1470" s="40"/>
      <c r="F1470" s="40"/>
      <c r="G1470" s="35" t="str">
        <f aca="false">IF($A1470="","",IF(ISNUMBER($G1469),$G1469+1,1))</f>
        <v/>
      </c>
      <c r="H1470" s="36" t="str">
        <f aca="false">IF(OR(NOT(ISNUMBER($G1470)),$G1470&lt;2,NOT(ISNUMBER($C1469)),$C1469=0),"",$C1470/$C1469-1)</f>
        <v/>
      </c>
      <c r="I1470" s="37" t="str">
        <f aca="false">IF(AND(ISNUMBER($G1470),$G1470&gt;=MA_SHORT),AVERAGE(INDEX($C$1070:$C1470,402-MA_SHORT):$C1470),"")</f>
        <v/>
      </c>
      <c r="J1470" s="37" t="str">
        <f aca="false">IF(AND(ISNUMBER($G1470),$G1470&gt;=MA_MED),AVERAGE(INDEX($C$1070:$C1470,402-MA_MED):$C1470),"")</f>
        <v/>
      </c>
      <c r="K1470" s="37" t="str">
        <f aca="false">IF(AND(ISNUMBER($G1470),$G1470&gt;=MA_LONG2),AVERAGE(INDEX($C$1070:$C1470,402-MA_LONG2):$C1470),"")</f>
        <v/>
      </c>
      <c r="L1470" s="38" t="str">
        <f aca="false">IF(AND(ISNUMBER($G1470),$G1470&gt;=21),STDEV(INDEX($H$1410:$H1470,62-20):$H1470)*SQRT(245),"")</f>
        <v/>
      </c>
      <c r="M1470" s="37" t="str">
        <f aca="false">IF(AND(ISNUMBER($G1470),$G1470&gt;=60),MAX(INDEX($D$1270:$D1470,202-60):$D1470),"")</f>
        <v/>
      </c>
      <c r="N1470" s="37" t="str">
        <f aca="false">IF(AND(ISNUMBER($G1470),$G1470&gt;=60),MIN(INDEX($E$1270:$E1470,202-60):$E1470),"")</f>
        <v/>
      </c>
      <c r="O1470" s="38" t="str">
        <f aca="false">IF(OR(NOT(ISNUMBER($C1470)),NOT(ISNUMBER($M1470)),$M1470=0),"",$C1470/$M1470-1)</f>
        <v/>
      </c>
    </row>
    <row r="1471" customFormat="false" ht="15" hidden="false" customHeight="true" outlineLevel="0" collapsed="false">
      <c r="A1471" s="39"/>
      <c r="B1471" s="40"/>
      <c r="C1471" s="41"/>
      <c r="D1471" s="40"/>
      <c r="E1471" s="40"/>
      <c r="F1471" s="40"/>
      <c r="G1471" s="35" t="str">
        <f aca="false">IF($A1471="","",IF(ISNUMBER($G1470),$G1470+1,1))</f>
        <v/>
      </c>
      <c r="H1471" s="36" t="str">
        <f aca="false">IF(OR(NOT(ISNUMBER($G1471)),$G1471&lt;2,NOT(ISNUMBER($C1470)),$C1470=0),"",$C1471/$C1470-1)</f>
        <v/>
      </c>
      <c r="I1471" s="37" t="str">
        <f aca="false">IF(AND(ISNUMBER($G1471),$G1471&gt;=MA_SHORT),AVERAGE(INDEX($C$1071:$C1471,402-MA_SHORT):$C1471),"")</f>
        <v/>
      </c>
      <c r="J1471" s="37" t="str">
        <f aca="false">IF(AND(ISNUMBER($G1471),$G1471&gt;=MA_MED),AVERAGE(INDEX($C$1071:$C1471,402-MA_MED):$C1471),"")</f>
        <v/>
      </c>
      <c r="K1471" s="37" t="str">
        <f aca="false">IF(AND(ISNUMBER($G1471),$G1471&gt;=MA_LONG2),AVERAGE(INDEX($C$1071:$C1471,402-MA_LONG2):$C1471),"")</f>
        <v/>
      </c>
      <c r="L1471" s="38" t="str">
        <f aca="false">IF(AND(ISNUMBER($G1471),$G1471&gt;=21),STDEV(INDEX($H$1411:$H1471,62-20):$H1471)*SQRT(245),"")</f>
        <v/>
      </c>
      <c r="M1471" s="37" t="str">
        <f aca="false">IF(AND(ISNUMBER($G1471),$G1471&gt;=60),MAX(INDEX($D$1271:$D1471,202-60):$D1471),"")</f>
        <v/>
      </c>
      <c r="N1471" s="37" t="str">
        <f aca="false">IF(AND(ISNUMBER($G1471),$G1471&gt;=60),MIN(INDEX($E$1271:$E1471,202-60):$E1471),"")</f>
        <v/>
      </c>
      <c r="O1471" s="38" t="str">
        <f aca="false">IF(OR(NOT(ISNUMBER($C1471)),NOT(ISNUMBER($M1471)),$M1471=0),"",$C1471/$M1471-1)</f>
        <v/>
      </c>
    </row>
    <row r="1472" customFormat="false" ht="15" hidden="false" customHeight="true" outlineLevel="0" collapsed="false">
      <c r="A1472" s="39"/>
      <c r="B1472" s="40"/>
      <c r="C1472" s="41"/>
      <c r="D1472" s="40"/>
      <c r="E1472" s="40"/>
      <c r="F1472" s="40"/>
      <c r="G1472" s="35" t="str">
        <f aca="false">IF($A1472="","",IF(ISNUMBER($G1471),$G1471+1,1))</f>
        <v/>
      </c>
      <c r="H1472" s="36" t="str">
        <f aca="false">IF(OR(NOT(ISNUMBER($G1472)),$G1472&lt;2,NOT(ISNUMBER($C1471)),$C1471=0),"",$C1472/$C1471-1)</f>
        <v/>
      </c>
      <c r="I1472" s="37" t="str">
        <f aca="false">IF(AND(ISNUMBER($G1472),$G1472&gt;=MA_SHORT),AVERAGE(INDEX($C$1072:$C1472,402-MA_SHORT):$C1472),"")</f>
        <v/>
      </c>
      <c r="J1472" s="37" t="str">
        <f aca="false">IF(AND(ISNUMBER($G1472),$G1472&gt;=MA_MED),AVERAGE(INDEX($C$1072:$C1472,402-MA_MED):$C1472),"")</f>
        <v/>
      </c>
      <c r="K1472" s="37" t="str">
        <f aca="false">IF(AND(ISNUMBER($G1472),$G1472&gt;=MA_LONG2),AVERAGE(INDEX($C$1072:$C1472,402-MA_LONG2):$C1472),"")</f>
        <v/>
      </c>
      <c r="L1472" s="38" t="str">
        <f aca="false">IF(AND(ISNUMBER($G1472),$G1472&gt;=21),STDEV(INDEX($H$1412:$H1472,62-20):$H1472)*SQRT(245),"")</f>
        <v/>
      </c>
      <c r="M1472" s="37" t="str">
        <f aca="false">IF(AND(ISNUMBER($G1472),$G1472&gt;=60),MAX(INDEX($D$1272:$D1472,202-60):$D1472),"")</f>
        <v/>
      </c>
      <c r="N1472" s="37" t="str">
        <f aca="false">IF(AND(ISNUMBER($G1472),$G1472&gt;=60),MIN(INDEX($E$1272:$E1472,202-60):$E1472),"")</f>
        <v/>
      </c>
      <c r="O1472" s="38" t="str">
        <f aca="false">IF(OR(NOT(ISNUMBER($C1472)),NOT(ISNUMBER($M1472)),$M1472=0),"",$C1472/$M1472-1)</f>
        <v/>
      </c>
    </row>
    <row r="1473" customFormat="false" ht="15" hidden="false" customHeight="true" outlineLevel="0" collapsed="false">
      <c r="A1473" s="39"/>
      <c r="B1473" s="40"/>
      <c r="C1473" s="41"/>
      <c r="D1473" s="40"/>
      <c r="E1473" s="40"/>
      <c r="F1473" s="40"/>
      <c r="G1473" s="35" t="str">
        <f aca="false">IF($A1473="","",IF(ISNUMBER($G1472),$G1472+1,1))</f>
        <v/>
      </c>
      <c r="H1473" s="36" t="str">
        <f aca="false">IF(OR(NOT(ISNUMBER($G1473)),$G1473&lt;2,NOT(ISNUMBER($C1472)),$C1472=0),"",$C1473/$C1472-1)</f>
        <v/>
      </c>
      <c r="I1473" s="37" t="str">
        <f aca="false">IF(AND(ISNUMBER($G1473),$G1473&gt;=MA_SHORT),AVERAGE(INDEX($C$1073:$C1473,402-MA_SHORT):$C1473),"")</f>
        <v/>
      </c>
      <c r="J1473" s="37" t="str">
        <f aca="false">IF(AND(ISNUMBER($G1473),$G1473&gt;=MA_MED),AVERAGE(INDEX($C$1073:$C1473,402-MA_MED):$C1473),"")</f>
        <v/>
      </c>
      <c r="K1473" s="37" t="str">
        <f aca="false">IF(AND(ISNUMBER($G1473),$G1473&gt;=MA_LONG2),AVERAGE(INDEX($C$1073:$C1473,402-MA_LONG2):$C1473),"")</f>
        <v/>
      </c>
      <c r="L1473" s="38" t="str">
        <f aca="false">IF(AND(ISNUMBER($G1473),$G1473&gt;=21),STDEV(INDEX($H$1413:$H1473,62-20):$H1473)*SQRT(245),"")</f>
        <v/>
      </c>
      <c r="M1473" s="37" t="str">
        <f aca="false">IF(AND(ISNUMBER($G1473),$G1473&gt;=60),MAX(INDEX($D$1273:$D1473,202-60):$D1473),"")</f>
        <v/>
      </c>
      <c r="N1473" s="37" t="str">
        <f aca="false">IF(AND(ISNUMBER($G1473),$G1473&gt;=60),MIN(INDEX($E$1273:$E1473,202-60):$E1473),"")</f>
        <v/>
      </c>
      <c r="O1473" s="38" t="str">
        <f aca="false">IF(OR(NOT(ISNUMBER($C1473)),NOT(ISNUMBER($M1473)),$M1473=0),"",$C1473/$M1473-1)</f>
        <v/>
      </c>
    </row>
    <row r="1474" customFormat="false" ht="15" hidden="false" customHeight="true" outlineLevel="0" collapsed="false">
      <c r="A1474" s="39"/>
      <c r="B1474" s="40"/>
      <c r="C1474" s="41"/>
      <c r="D1474" s="40"/>
      <c r="E1474" s="40"/>
      <c r="F1474" s="40"/>
      <c r="G1474" s="35" t="str">
        <f aca="false">IF($A1474="","",IF(ISNUMBER($G1473),$G1473+1,1))</f>
        <v/>
      </c>
      <c r="H1474" s="36" t="str">
        <f aca="false">IF(OR(NOT(ISNUMBER($G1474)),$G1474&lt;2,NOT(ISNUMBER($C1473)),$C1473=0),"",$C1474/$C1473-1)</f>
        <v/>
      </c>
      <c r="I1474" s="37" t="str">
        <f aca="false">IF(AND(ISNUMBER($G1474),$G1474&gt;=MA_SHORT),AVERAGE(INDEX($C$1074:$C1474,402-MA_SHORT):$C1474),"")</f>
        <v/>
      </c>
      <c r="J1474" s="37" t="str">
        <f aca="false">IF(AND(ISNUMBER($G1474),$G1474&gt;=MA_MED),AVERAGE(INDEX($C$1074:$C1474,402-MA_MED):$C1474),"")</f>
        <v/>
      </c>
      <c r="K1474" s="37" t="str">
        <f aca="false">IF(AND(ISNUMBER($G1474),$G1474&gt;=MA_LONG2),AVERAGE(INDEX($C$1074:$C1474,402-MA_LONG2):$C1474),"")</f>
        <v/>
      </c>
      <c r="L1474" s="38" t="str">
        <f aca="false">IF(AND(ISNUMBER($G1474),$G1474&gt;=21),STDEV(INDEX($H$1414:$H1474,62-20):$H1474)*SQRT(245),"")</f>
        <v/>
      </c>
      <c r="M1474" s="37" t="str">
        <f aca="false">IF(AND(ISNUMBER($G1474),$G1474&gt;=60),MAX(INDEX($D$1274:$D1474,202-60):$D1474),"")</f>
        <v/>
      </c>
      <c r="N1474" s="37" t="str">
        <f aca="false">IF(AND(ISNUMBER($G1474),$G1474&gt;=60),MIN(INDEX($E$1274:$E1474,202-60):$E1474),"")</f>
        <v/>
      </c>
      <c r="O1474" s="38" t="str">
        <f aca="false">IF(OR(NOT(ISNUMBER($C1474)),NOT(ISNUMBER($M1474)),$M1474=0),"",$C1474/$M1474-1)</f>
        <v/>
      </c>
    </row>
    <row r="1475" customFormat="false" ht="15" hidden="false" customHeight="true" outlineLevel="0" collapsed="false">
      <c r="A1475" s="39"/>
      <c r="B1475" s="40"/>
      <c r="C1475" s="41"/>
      <c r="D1475" s="40"/>
      <c r="E1475" s="40"/>
      <c r="F1475" s="40"/>
      <c r="G1475" s="35" t="str">
        <f aca="false">IF($A1475="","",IF(ISNUMBER($G1474),$G1474+1,1))</f>
        <v/>
      </c>
      <c r="H1475" s="36" t="str">
        <f aca="false">IF(OR(NOT(ISNUMBER($G1475)),$G1475&lt;2,NOT(ISNUMBER($C1474)),$C1474=0),"",$C1475/$C1474-1)</f>
        <v/>
      </c>
      <c r="I1475" s="37" t="str">
        <f aca="false">IF(AND(ISNUMBER($G1475),$G1475&gt;=MA_SHORT),AVERAGE(INDEX($C$1075:$C1475,402-MA_SHORT):$C1475),"")</f>
        <v/>
      </c>
      <c r="J1475" s="37" t="str">
        <f aca="false">IF(AND(ISNUMBER($G1475),$G1475&gt;=MA_MED),AVERAGE(INDEX($C$1075:$C1475,402-MA_MED):$C1475),"")</f>
        <v/>
      </c>
      <c r="K1475" s="37" t="str">
        <f aca="false">IF(AND(ISNUMBER($G1475),$G1475&gt;=MA_LONG2),AVERAGE(INDEX($C$1075:$C1475,402-MA_LONG2):$C1475),"")</f>
        <v/>
      </c>
      <c r="L1475" s="38" t="str">
        <f aca="false">IF(AND(ISNUMBER($G1475),$G1475&gt;=21),STDEV(INDEX($H$1415:$H1475,62-20):$H1475)*SQRT(245),"")</f>
        <v/>
      </c>
      <c r="M1475" s="37" t="str">
        <f aca="false">IF(AND(ISNUMBER($G1475),$G1475&gt;=60),MAX(INDEX($D$1275:$D1475,202-60):$D1475),"")</f>
        <v/>
      </c>
      <c r="N1475" s="37" t="str">
        <f aca="false">IF(AND(ISNUMBER($G1475),$G1475&gt;=60),MIN(INDEX($E$1275:$E1475,202-60):$E1475),"")</f>
        <v/>
      </c>
      <c r="O1475" s="38" t="str">
        <f aca="false">IF(OR(NOT(ISNUMBER($C1475)),NOT(ISNUMBER($M1475)),$M1475=0),"",$C1475/$M1475-1)</f>
        <v/>
      </c>
    </row>
    <row r="1476" customFormat="false" ht="15" hidden="false" customHeight="true" outlineLevel="0" collapsed="false">
      <c r="A1476" s="39"/>
      <c r="B1476" s="40"/>
      <c r="C1476" s="41"/>
      <c r="D1476" s="40"/>
      <c r="E1476" s="40"/>
      <c r="F1476" s="40"/>
      <c r="G1476" s="35" t="str">
        <f aca="false">IF($A1476="","",IF(ISNUMBER($G1475),$G1475+1,1))</f>
        <v/>
      </c>
      <c r="H1476" s="36" t="str">
        <f aca="false">IF(OR(NOT(ISNUMBER($G1476)),$G1476&lt;2,NOT(ISNUMBER($C1475)),$C1475=0),"",$C1476/$C1475-1)</f>
        <v/>
      </c>
      <c r="I1476" s="37" t="str">
        <f aca="false">IF(AND(ISNUMBER($G1476),$G1476&gt;=MA_SHORT),AVERAGE(INDEX($C$1076:$C1476,402-MA_SHORT):$C1476),"")</f>
        <v/>
      </c>
      <c r="J1476" s="37" t="str">
        <f aca="false">IF(AND(ISNUMBER($G1476),$G1476&gt;=MA_MED),AVERAGE(INDEX($C$1076:$C1476,402-MA_MED):$C1476),"")</f>
        <v/>
      </c>
      <c r="K1476" s="37" t="str">
        <f aca="false">IF(AND(ISNUMBER($G1476),$G1476&gt;=MA_LONG2),AVERAGE(INDEX($C$1076:$C1476,402-MA_LONG2):$C1476),"")</f>
        <v/>
      </c>
      <c r="L1476" s="38" t="str">
        <f aca="false">IF(AND(ISNUMBER($G1476),$G1476&gt;=21),STDEV(INDEX($H$1416:$H1476,62-20):$H1476)*SQRT(245),"")</f>
        <v/>
      </c>
      <c r="M1476" s="37" t="str">
        <f aca="false">IF(AND(ISNUMBER($G1476),$G1476&gt;=60),MAX(INDEX($D$1276:$D1476,202-60):$D1476),"")</f>
        <v/>
      </c>
      <c r="N1476" s="37" t="str">
        <f aca="false">IF(AND(ISNUMBER($G1476),$G1476&gt;=60),MIN(INDEX($E$1276:$E1476,202-60):$E1476),"")</f>
        <v/>
      </c>
      <c r="O1476" s="38" t="str">
        <f aca="false">IF(OR(NOT(ISNUMBER($C1476)),NOT(ISNUMBER($M1476)),$M1476=0),"",$C1476/$M1476-1)</f>
        <v/>
      </c>
    </row>
    <row r="1477" customFormat="false" ht="15" hidden="false" customHeight="true" outlineLevel="0" collapsed="false">
      <c r="A1477" s="39"/>
      <c r="B1477" s="40"/>
      <c r="C1477" s="41"/>
      <c r="D1477" s="40"/>
      <c r="E1477" s="40"/>
      <c r="F1477" s="40"/>
      <c r="G1477" s="35" t="str">
        <f aca="false">IF($A1477="","",IF(ISNUMBER($G1476),$G1476+1,1))</f>
        <v/>
      </c>
      <c r="H1477" s="36" t="str">
        <f aca="false">IF(OR(NOT(ISNUMBER($G1477)),$G1477&lt;2,NOT(ISNUMBER($C1476)),$C1476=0),"",$C1477/$C1476-1)</f>
        <v/>
      </c>
      <c r="I1477" s="37" t="str">
        <f aca="false">IF(AND(ISNUMBER($G1477),$G1477&gt;=MA_SHORT),AVERAGE(INDEX($C$1077:$C1477,402-MA_SHORT):$C1477),"")</f>
        <v/>
      </c>
      <c r="J1477" s="37" t="str">
        <f aca="false">IF(AND(ISNUMBER($G1477),$G1477&gt;=MA_MED),AVERAGE(INDEX($C$1077:$C1477,402-MA_MED):$C1477),"")</f>
        <v/>
      </c>
      <c r="K1477" s="37" t="str">
        <f aca="false">IF(AND(ISNUMBER($G1477),$G1477&gt;=MA_LONG2),AVERAGE(INDEX($C$1077:$C1477,402-MA_LONG2):$C1477),"")</f>
        <v/>
      </c>
      <c r="L1477" s="38" t="str">
        <f aca="false">IF(AND(ISNUMBER($G1477),$G1477&gt;=21),STDEV(INDEX($H$1417:$H1477,62-20):$H1477)*SQRT(245),"")</f>
        <v/>
      </c>
      <c r="M1477" s="37" t="str">
        <f aca="false">IF(AND(ISNUMBER($G1477),$G1477&gt;=60),MAX(INDEX($D$1277:$D1477,202-60):$D1477),"")</f>
        <v/>
      </c>
      <c r="N1477" s="37" t="str">
        <f aca="false">IF(AND(ISNUMBER($G1477),$G1477&gt;=60),MIN(INDEX($E$1277:$E1477,202-60):$E1477),"")</f>
        <v/>
      </c>
      <c r="O1477" s="38" t="str">
        <f aca="false">IF(OR(NOT(ISNUMBER($C1477)),NOT(ISNUMBER($M1477)),$M1477=0),"",$C1477/$M1477-1)</f>
        <v/>
      </c>
    </row>
    <row r="1478" customFormat="false" ht="15" hidden="false" customHeight="true" outlineLevel="0" collapsed="false">
      <c r="A1478" s="39"/>
      <c r="B1478" s="40"/>
      <c r="C1478" s="41"/>
      <c r="D1478" s="40"/>
      <c r="E1478" s="40"/>
      <c r="F1478" s="40"/>
      <c r="G1478" s="35" t="str">
        <f aca="false">IF($A1478="","",IF(ISNUMBER($G1477),$G1477+1,1))</f>
        <v/>
      </c>
      <c r="H1478" s="36" t="str">
        <f aca="false">IF(OR(NOT(ISNUMBER($G1478)),$G1478&lt;2,NOT(ISNUMBER($C1477)),$C1477=0),"",$C1478/$C1477-1)</f>
        <v/>
      </c>
      <c r="I1478" s="37" t="str">
        <f aca="false">IF(AND(ISNUMBER($G1478),$G1478&gt;=MA_SHORT),AVERAGE(INDEX($C$1078:$C1478,402-MA_SHORT):$C1478),"")</f>
        <v/>
      </c>
      <c r="J1478" s="37" t="str">
        <f aca="false">IF(AND(ISNUMBER($G1478),$G1478&gt;=MA_MED),AVERAGE(INDEX($C$1078:$C1478,402-MA_MED):$C1478),"")</f>
        <v/>
      </c>
      <c r="K1478" s="37" t="str">
        <f aca="false">IF(AND(ISNUMBER($G1478),$G1478&gt;=MA_LONG2),AVERAGE(INDEX($C$1078:$C1478,402-MA_LONG2):$C1478),"")</f>
        <v/>
      </c>
      <c r="L1478" s="38" t="str">
        <f aca="false">IF(AND(ISNUMBER($G1478),$G1478&gt;=21),STDEV(INDEX($H$1418:$H1478,62-20):$H1478)*SQRT(245),"")</f>
        <v/>
      </c>
      <c r="M1478" s="37" t="str">
        <f aca="false">IF(AND(ISNUMBER($G1478),$G1478&gt;=60),MAX(INDEX($D$1278:$D1478,202-60):$D1478),"")</f>
        <v/>
      </c>
      <c r="N1478" s="37" t="str">
        <f aca="false">IF(AND(ISNUMBER($G1478),$G1478&gt;=60),MIN(INDEX($E$1278:$E1478,202-60):$E1478),"")</f>
        <v/>
      </c>
      <c r="O1478" s="38" t="str">
        <f aca="false">IF(OR(NOT(ISNUMBER($C1478)),NOT(ISNUMBER($M1478)),$M1478=0),"",$C1478/$M1478-1)</f>
        <v/>
      </c>
    </row>
    <row r="1479" customFormat="false" ht="15" hidden="false" customHeight="true" outlineLevel="0" collapsed="false">
      <c r="A1479" s="39"/>
      <c r="B1479" s="40"/>
      <c r="C1479" s="41"/>
      <c r="D1479" s="40"/>
      <c r="E1479" s="40"/>
      <c r="F1479" s="40"/>
      <c r="G1479" s="35" t="str">
        <f aca="false">IF($A1479="","",IF(ISNUMBER($G1478),$G1478+1,1))</f>
        <v/>
      </c>
      <c r="H1479" s="36" t="str">
        <f aca="false">IF(OR(NOT(ISNUMBER($G1479)),$G1479&lt;2,NOT(ISNUMBER($C1478)),$C1478=0),"",$C1479/$C1478-1)</f>
        <v/>
      </c>
      <c r="I1479" s="37" t="str">
        <f aca="false">IF(AND(ISNUMBER($G1479),$G1479&gt;=MA_SHORT),AVERAGE(INDEX($C$1079:$C1479,402-MA_SHORT):$C1479),"")</f>
        <v/>
      </c>
      <c r="J1479" s="37" t="str">
        <f aca="false">IF(AND(ISNUMBER($G1479),$G1479&gt;=MA_MED),AVERAGE(INDEX($C$1079:$C1479,402-MA_MED):$C1479),"")</f>
        <v/>
      </c>
      <c r="K1479" s="37" t="str">
        <f aca="false">IF(AND(ISNUMBER($G1479),$G1479&gt;=MA_LONG2),AVERAGE(INDEX($C$1079:$C1479,402-MA_LONG2):$C1479),"")</f>
        <v/>
      </c>
      <c r="L1479" s="38" t="str">
        <f aca="false">IF(AND(ISNUMBER($G1479),$G1479&gt;=21),STDEV(INDEX($H$1419:$H1479,62-20):$H1479)*SQRT(245),"")</f>
        <v/>
      </c>
      <c r="M1479" s="37" t="str">
        <f aca="false">IF(AND(ISNUMBER($G1479),$G1479&gt;=60),MAX(INDEX($D$1279:$D1479,202-60):$D1479),"")</f>
        <v/>
      </c>
      <c r="N1479" s="37" t="str">
        <f aca="false">IF(AND(ISNUMBER($G1479),$G1479&gt;=60),MIN(INDEX($E$1279:$E1479,202-60):$E1479),"")</f>
        <v/>
      </c>
      <c r="O1479" s="38" t="str">
        <f aca="false">IF(OR(NOT(ISNUMBER($C1479)),NOT(ISNUMBER($M1479)),$M1479=0),"",$C1479/$M1479-1)</f>
        <v/>
      </c>
    </row>
    <row r="1480" customFormat="false" ht="15" hidden="false" customHeight="true" outlineLevel="0" collapsed="false">
      <c r="A1480" s="39"/>
      <c r="B1480" s="40"/>
      <c r="C1480" s="41"/>
      <c r="D1480" s="40"/>
      <c r="E1480" s="40"/>
      <c r="F1480" s="40"/>
      <c r="G1480" s="35" t="str">
        <f aca="false">IF($A1480="","",IF(ISNUMBER($G1479),$G1479+1,1))</f>
        <v/>
      </c>
      <c r="H1480" s="36" t="str">
        <f aca="false">IF(OR(NOT(ISNUMBER($G1480)),$G1480&lt;2,NOT(ISNUMBER($C1479)),$C1479=0),"",$C1480/$C1479-1)</f>
        <v/>
      </c>
      <c r="I1480" s="37" t="str">
        <f aca="false">IF(AND(ISNUMBER($G1480),$G1480&gt;=MA_SHORT),AVERAGE(INDEX($C$1080:$C1480,402-MA_SHORT):$C1480),"")</f>
        <v/>
      </c>
      <c r="J1480" s="37" t="str">
        <f aca="false">IF(AND(ISNUMBER($G1480),$G1480&gt;=MA_MED),AVERAGE(INDEX($C$1080:$C1480,402-MA_MED):$C1480),"")</f>
        <v/>
      </c>
      <c r="K1480" s="37" t="str">
        <f aca="false">IF(AND(ISNUMBER($G1480),$G1480&gt;=MA_LONG2),AVERAGE(INDEX($C$1080:$C1480,402-MA_LONG2):$C1480),"")</f>
        <v/>
      </c>
      <c r="L1480" s="38" t="str">
        <f aca="false">IF(AND(ISNUMBER($G1480),$G1480&gt;=21),STDEV(INDEX($H$1420:$H1480,62-20):$H1480)*SQRT(245),"")</f>
        <v/>
      </c>
      <c r="M1480" s="37" t="str">
        <f aca="false">IF(AND(ISNUMBER($G1480),$G1480&gt;=60),MAX(INDEX($D$1280:$D1480,202-60):$D1480),"")</f>
        <v/>
      </c>
      <c r="N1480" s="37" t="str">
        <f aca="false">IF(AND(ISNUMBER($G1480),$G1480&gt;=60),MIN(INDEX($E$1280:$E1480,202-60):$E1480),"")</f>
        <v/>
      </c>
      <c r="O1480" s="38" t="str">
        <f aca="false">IF(OR(NOT(ISNUMBER($C1480)),NOT(ISNUMBER($M1480)),$M1480=0),"",$C1480/$M1480-1)</f>
        <v/>
      </c>
    </row>
    <row r="1481" customFormat="false" ht="15" hidden="false" customHeight="true" outlineLevel="0" collapsed="false">
      <c r="A1481" s="39"/>
      <c r="B1481" s="40"/>
      <c r="C1481" s="41"/>
      <c r="D1481" s="40"/>
      <c r="E1481" s="40"/>
      <c r="F1481" s="40"/>
      <c r="G1481" s="35" t="str">
        <f aca="false">IF($A1481="","",IF(ISNUMBER($G1480),$G1480+1,1))</f>
        <v/>
      </c>
      <c r="H1481" s="36" t="str">
        <f aca="false">IF(OR(NOT(ISNUMBER($G1481)),$G1481&lt;2,NOT(ISNUMBER($C1480)),$C1480=0),"",$C1481/$C1480-1)</f>
        <v/>
      </c>
      <c r="I1481" s="37" t="str">
        <f aca="false">IF(AND(ISNUMBER($G1481),$G1481&gt;=MA_SHORT),AVERAGE(INDEX($C$1081:$C1481,402-MA_SHORT):$C1481),"")</f>
        <v/>
      </c>
      <c r="J1481" s="37" t="str">
        <f aca="false">IF(AND(ISNUMBER($G1481),$G1481&gt;=MA_MED),AVERAGE(INDEX($C$1081:$C1481,402-MA_MED):$C1481),"")</f>
        <v/>
      </c>
      <c r="K1481" s="37" t="str">
        <f aca="false">IF(AND(ISNUMBER($G1481),$G1481&gt;=MA_LONG2),AVERAGE(INDEX($C$1081:$C1481,402-MA_LONG2):$C1481),"")</f>
        <v/>
      </c>
      <c r="L1481" s="38" t="str">
        <f aca="false">IF(AND(ISNUMBER($G1481),$G1481&gt;=21),STDEV(INDEX($H$1421:$H1481,62-20):$H1481)*SQRT(245),"")</f>
        <v/>
      </c>
      <c r="M1481" s="37" t="str">
        <f aca="false">IF(AND(ISNUMBER($G1481),$G1481&gt;=60),MAX(INDEX($D$1281:$D1481,202-60):$D1481),"")</f>
        <v/>
      </c>
      <c r="N1481" s="37" t="str">
        <f aca="false">IF(AND(ISNUMBER($G1481),$G1481&gt;=60),MIN(INDEX($E$1281:$E1481,202-60):$E1481),"")</f>
        <v/>
      </c>
      <c r="O1481" s="38" t="str">
        <f aca="false">IF(OR(NOT(ISNUMBER($C1481)),NOT(ISNUMBER($M1481)),$M1481=0),"",$C1481/$M1481-1)</f>
        <v/>
      </c>
    </row>
    <row r="1482" customFormat="false" ht="15" hidden="false" customHeight="true" outlineLevel="0" collapsed="false">
      <c r="A1482" s="39"/>
      <c r="B1482" s="40"/>
      <c r="C1482" s="41"/>
      <c r="D1482" s="40"/>
      <c r="E1482" s="40"/>
      <c r="F1482" s="40"/>
      <c r="G1482" s="35" t="str">
        <f aca="false">IF($A1482="","",IF(ISNUMBER($G1481),$G1481+1,1))</f>
        <v/>
      </c>
      <c r="H1482" s="36" t="str">
        <f aca="false">IF(OR(NOT(ISNUMBER($G1482)),$G1482&lt;2,NOT(ISNUMBER($C1481)),$C1481=0),"",$C1482/$C1481-1)</f>
        <v/>
      </c>
      <c r="I1482" s="37" t="str">
        <f aca="false">IF(AND(ISNUMBER($G1482),$G1482&gt;=MA_SHORT),AVERAGE(INDEX($C$1082:$C1482,402-MA_SHORT):$C1482),"")</f>
        <v/>
      </c>
      <c r="J1482" s="37" t="str">
        <f aca="false">IF(AND(ISNUMBER($G1482),$G1482&gt;=MA_MED),AVERAGE(INDEX($C$1082:$C1482,402-MA_MED):$C1482),"")</f>
        <v/>
      </c>
      <c r="K1482" s="37" t="str">
        <f aca="false">IF(AND(ISNUMBER($G1482),$G1482&gt;=MA_LONG2),AVERAGE(INDEX($C$1082:$C1482,402-MA_LONG2):$C1482),"")</f>
        <v/>
      </c>
      <c r="L1482" s="38" t="str">
        <f aca="false">IF(AND(ISNUMBER($G1482),$G1482&gt;=21),STDEV(INDEX($H$1422:$H1482,62-20):$H1482)*SQRT(245),"")</f>
        <v/>
      </c>
      <c r="M1482" s="37" t="str">
        <f aca="false">IF(AND(ISNUMBER($G1482),$G1482&gt;=60),MAX(INDEX($D$1282:$D1482,202-60):$D1482),"")</f>
        <v/>
      </c>
      <c r="N1482" s="37" t="str">
        <f aca="false">IF(AND(ISNUMBER($G1482),$G1482&gt;=60),MIN(INDEX($E$1282:$E1482,202-60):$E1482),"")</f>
        <v/>
      </c>
      <c r="O1482" s="38" t="str">
        <f aca="false">IF(OR(NOT(ISNUMBER($C1482)),NOT(ISNUMBER($M1482)),$M1482=0),"",$C1482/$M1482-1)</f>
        <v/>
      </c>
    </row>
    <row r="1483" customFormat="false" ht="15" hidden="false" customHeight="true" outlineLevel="0" collapsed="false">
      <c r="A1483" s="39"/>
      <c r="B1483" s="40"/>
      <c r="C1483" s="41"/>
      <c r="D1483" s="40"/>
      <c r="E1483" s="40"/>
      <c r="F1483" s="40"/>
      <c r="G1483" s="35" t="str">
        <f aca="false">IF($A1483="","",IF(ISNUMBER($G1482),$G1482+1,1))</f>
        <v/>
      </c>
      <c r="H1483" s="36" t="str">
        <f aca="false">IF(OR(NOT(ISNUMBER($G1483)),$G1483&lt;2,NOT(ISNUMBER($C1482)),$C1482=0),"",$C1483/$C1482-1)</f>
        <v/>
      </c>
      <c r="I1483" s="37" t="str">
        <f aca="false">IF(AND(ISNUMBER($G1483),$G1483&gt;=MA_SHORT),AVERAGE(INDEX($C$1083:$C1483,402-MA_SHORT):$C1483),"")</f>
        <v/>
      </c>
      <c r="J1483" s="37" t="str">
        <f aca="false">IF(AND(ISNUMBER($G1483),$G1483&gt;=MA_MED),AVERAGE(INDEX($C$1083:$C1483,402-MA_MED):$C1483),"")</f>
        <v/>
      </c>
      <c r="K1483" s="37" t="str">
        <f aca="false">IF(AND(ISNUMBER($G1483),$G1483&gt;=MA_LONG2),AVERAGE(INDEX($C$1083:$C1483,402-MA_LONG2):$C1483),"")</f>
        <v/>
      </c>
      <c r="L1483" s="38" t="str">
        <f aca="false">IF(AND(ISNUMBER($G1483),$G1483&gt;=21),STDEV(INDEX($H$1423:$H1483,62-20):$H1483)*SQRT(245),"")</f>
        <v/>
      </c>
      <c r="M1483" s="37" t="str">
        <f aca="false">IF(AND(ISNUMBER($G1483),$G1483&gt;=60),MAX(INDEX($D$1283:$D1483,202-60):$D1483),"")</f>
        <v/>
      </c>
      <c r="N1483" s="37" t="str">
        <f aca="false">IF(AND(ISNUMBER($G1483),$G1483&gt;=60),MIN(INDEX($E$1283:$E1483,202-60):$E1483),"")</f>
        <v/>
      </c>
      <c r="O1483" s="38" t="str">
        <f aca="false">IF(OR(NOT(ISNUMBER($C1483)),NOT(ISNUMBER($M1483)),$M1483=0),"",$C1483/$M1483-1)</f>
        <v/>
      </c>
    </row>
    <row r="1484" customFormat="false" ht="15" hidden="false" customHeight="true" outlineLevel="0" collapsed="false">
      <c r="A1484" s="39"/>
      <c r="B1484" s="40"/>
      <c r="C1484" s="41"/>
      <c r="D1484" s="40"/>
      <c r="E1484" s="40"/>
      <c r="F1484" s="40"/>
      <c r="G1484" s="35" t="str">
        <f aca="false">IF($A1484="","",IF(ISNUMBER($G1483),$G1483+1,1))</f>
        <v/>
      </c>
      <c r="H1484" s="36" t="str">
        <f aca="false">IF(OR(NOT(ISNUMBER($G1484)),$G1484&lt;2,NOT(ISNUMBER($C1483)),$C1483=0),"",$C1484/$C1483-1)</f>
        <v/>
      </c>
      <c r="I1484" s="37" t="str">
        <f aca="false">IF(AND(ISNUMBER($G1484),$G1484&gt;=MA_SHORT),AVERAGE(INDEX($C$1084:$C1484,402-MA_SHORT):$C1484),"")</f>
        <v/>
      </c>
      <c r="J1484" s="37" t="str">
        <f aca="false">IF(AND(ISNUMBER($G1484),$G1484&gt;=MA_MED),AVERAGE(INDEX($C$1084:$C1484,402-MA_MED):$C1484),"")</f>
        <v/>
      </c>
      <c r="K1484" s="37" t="str">
        <f aca="false">IF(AND(ISNUMBER($G1484),$G1484&gt;=MA_LONG2),AVERAGE(INDEX($C$1084:$C1484,402-MA_LONG2):$C1484),"")</f>
        <v/>
      </c>
      <c r="L1484" s="38" t="str">
        <f aca="false">IF(AND(ISNUMBER($G1484),$G1484&gt;=21),STDEV(INDEX($H$1424:$H1484,62-20):$H1484)*SQRT(245),"")</f>
        <v/>
      </c>
      <c r="M1484" s="37" t="str">
        <f aca="false">IF(AND(ISNUMBER($G1484),$G1484&gt;=60),MAX(INDEX($D$1284:$D1484,202-60):$D1484),"")</f>
        <v/>
      </c>
      <c r="N1484" s="37" t="str">
        <f aca="false">IF(AND(ISNUMBER($G1484),$G1484&gt;=60),MIN(INDEX($E$1284:$E1484,202-60):$E1484),"")</f>
        <v/>
      </c>
      <c r="O1484" s="38" t="str">
        <f aca="false">IF(OR(NOT(ISNUMBER($C1484)),NOT(ISNUMBER($M1484)),$M1484=0),"",$C1484/$M1484-1)</f>
        <v/>
      </c>
    </row>
    <row r="1485" customFormat="false" ht="15" hidden="false" customHeight="true" outlineLevel="0" collapsed="false">
      <c r="A1485" s="39"/>
      <c r="B1485" s="40"/>
      <c r="C1485" s="41"/>
      <c r="D1485" s="40"/>
      <c r="E1485" s="40"/>
      <c r="F1485" s="40"/>
      <c r="G1485" s="35" t="str">
        <f aca="false">IF($A1485="","",IF(ISNUMBER($G1484),$G1484+1,1))</f>
        <v/>
      </c>
      <c r="H1485" s="36" t="str">
        <f aca="false">IF(OR(NOT(ISNUMBER($G1485)),$G1485&lt;2,NOT(ISNUMBER($C1484)),$C1484=0),"",$C1485/$C1484-1)</f>
        <v/>
      </c>
      <c r="I1485" s="37" t="str">
        <f aca="false">IF(AND(ISNUMBER($G1485),$G1485&gt;=MA_SHORT),AVERAGE(INDEX($C$1085:$C1485,402-MA_SHORT):$C1485),"")</f>
        <v/>
      </c>
      <c r="J1485" s="37" t="str">
        <f aca="false">IF(AND(ISNUMBER($G1485),$G1485&gt;=MA_MED),AVERAGE(INDEX($C$1085:$C1485,402-MA_MED):$C1485),"")</f>
        <v/>
      </c>
      <c r="K1485" s="37" t="str">
        <f aca="false">IF(AND(ISNUMBER($G1485),$G1485&gt;=MA_LONG2),AVERAGE(INDEX($C$1085:$C1485,402-MA_LONG2):$C1485),"")</f>
        <v/>
      </c>
      <c r="L1485" s="38" t="str">
        <f aca="false">IF(AND(ISNUMBER($G1485),$G1485&gt;=21),STDEV(INDEX($H$1425:$H1485,62-20):$H1485)*SQRT(245),"")</f>
        <v/>
      </c>
      <c r="M1485" s="37" t="str">
        <f aca="false">IF(AND(ISNUMBER($G1485),$G1485&gt;=60),MAX(INDEX($D$1285:$D1485,202-60):$D1485),"")</f>
        <v/>
      </c>
      <c r="N1485" s="37" t="str">
        <f aca="false">IF(AND(ISNUMBER($G1485),$G1485&gt;=60),MIN(INDEX($E$1285:$E1485,202-60):$E1485),"")</f>
        <v/>
      </c>
      <c r="O1485" s="38" t="str">
        <f aca="false">IF(OR(NOT(ISNUMBER($C1485)),NOT(ISNUMBER($M1485)),$M1485=0),"",$C1485/$M1485-1)</f>
        <v/>
      </c>
    </row>
    <row r="1486" customFormat="false" ht="15" hidden="false" customHeight="true" outlineLevel="0" collapsed="false">
      <c r="A1486" s="39"/>
      <c r="B1486" s="40"/>
      <c r="C1486" s="41"/>
      <c r="D1486" s="40"/>
      <c r="E1486" s="40"/>
      <c r="F1486" s="40"/>
      <c r="G1486" s="35" t="str">
        <f aca="false">IF($A1486="","",IF(ISNUMBER($G1485),$G1485+1,1))</f>
        <v/>
      </c>
      <c r="H1486" s="36" t="str">
        <f aca="false">IF(OR(NOT(ISNUMBER($G1486)),$G1486&lt;2,NOT(ISNUMBER($C1485)),$C1485=0),"",$C1486/$C1485-1)</f>
        <v/>
      </c>
      <c r="I1486" s="37" t="str">
        <f aca="false">IF(AND(ISNUMBER($G1486),$G1486&gt;=MA_SHORT),AVERAGE(INDEX($C$1086:$C1486,402-MA_SHORT):$C1486),"")</f>
        <v/>
      </c>
      <c r="J1486" s="37" t="str">
        <f aca="false">IF(AND(ISNUMBER($G1486),$G1486&gt;=MA_MED),AVERAGE(INDEX($C$1086:$C1486,402-MA_MED):$C1486),"")</f>
        <v/>
      </c>
      <c r="K1486" s="37" t="str">
        <f aca="false">IF(AND(ISNUMBER($G1486),$G1486&gt;=MA_LONG2),AVERAGE(INDEX($C$1086:$C1486,402-MA_LONG2):$C1486),"")</f>
        <v/>
      </c>
      <c r="L1486" s="38" t="str">
        <f aca="false">IF(AND(ISNUMBER($G1486),$G1486&gt;=21),STDEV(INDEX($H$1426:$H1486,62-20):$H1486)*SQRT(245),"")</f>
        <v/>
      </c>
      <c r="M1486" s="37" t="str">
        <f aca="false">IF(AND(ISNUMBER($G1486),$G1486&gt;=60),MAX(INDEX($D$1286:$D1486,202-60):$D1486),"")</f>
        <v/>
      </c>
      <c r="N1486" s="37" t="str">
        <f aca="false">IF(AND(ISNUMBER($G1486),$G1486&gt;=60),MIN(INDEX($E$1286:$E1486,202-60):$E1486),"")</f>
        <v/>
      </c>
      <c r="O1486" s="38" t="str">
        <f aca="false">IF(OR(NOT(ISNUMBER($C1486)),NOT(ISNUMBER($M1486)),$M1486=0),"",$C1486/$M1486-1)</f>
        <v/>
      </c>
    </row>
    <row r="1487" customFormat="false" ht="15" hidden="false" customHeight="true" outlineLevel="0" collapsed="false">
      <c r="A1487" s="39"/>
      <c r="B1487" s="40"/>
      <c r="C1487" s="41"/>
      <c r="D1487" s="40"/>
      <c r="E1487" s="40"/>
      <c r="F1487" s="40"/>
      <c r="G1487" s="35" t="str">
        <f aca="false">IF($A1487="","",IF(ISNUMBER($G1486),$G1486+1,1))</f>
        <v/>
      </c>
      <c r="H1487" s="36" t="str">
        <f aca="false">IF(OR(NOT(ISNUMBER($G1487)),$G1487&lt;2,NOT(ISNUMBER($C1486)),$C1486=0),"",$C1487/$C1486-1)</f>
        <v/>
      </c>
      <c r="I1487" s="37" t="str">
        <f aca="false">IF(AND(ISNUMBER($G1487),$G1487&gt;=MA_SHORT),AVERAGE(INDEX($C$1087:$C1487,402-MA_SHORT):$C1487),"")</f>
        <v/>
      </c>
      <c r="J1487" s="37" t="str">
        <f aca="false">IF(AND(ISNUMBER($G1487),$G1487&gt;=MA_MED),AVERAGE(INDEX($C$1087:$C1487,402-MA_MED):$C1487),"")</f>
        <v/>
      </c>
      <c r="K1487" s="37" t="str">
        <f aca="false">IF(AND(ISNUMBER($G1487),$G1487&gt;=MA_LONG2),AVERAGE(INDEX($C$1087:$C1487,402-MA_LONG2):$C1487),"")</f>
        <v/>
      </c>
      <c r="L1487" s="38" t="str">
        <f aca="false">IF(AND(ISNUMBER($G1487),$G1487&gt;=21),STDEV(INDEX($H$1427:$H1487,62-20):$H1487)*SQRT(245),"")</f>
        <v/>
      </c>
      <c r="M1487" s="37" t="str">
        <f aca="false">IF(AND(ISNUMBER($G1487),$G1487&gt;=60),MAX(INDEX($D$1287:$D1487,202-60):$D1487),"")</f>
        <v/>
      </c>
      <c r="N1487" s="37" t="str">
        <f aca="false">IF(AND(ISNUMBER($G1487),$G1487&gt;=60),MIN(INDEX($E$1287:$E1487,202-60):$E1487),"")</f>
        <v/>
      </c>
      <c r="O1487" s="38" t="str">
        <f aca="false">IF(OR(NOT(ISNUMBER($C1487)),NOT(ISNUMBER($M1487)),$M1487=0),"",$C1487/$M1487-1)</f>
        <v/>
      </c>
    </row>
    <row r="1488" customFormat="false" ht="15" hidden="false" customHeight="true" outlineLevel="0" collapsed="false">
      <c r="A1488" s="39"/>
      <c r="B1488" s="40"/>
      <c r="C1488" s="41"/>
      <c r="D1488" s="40"/>
      <c r="E1488" s="40"/>
      <c r="F1488" s="40"/>
      <c r="G1488" s="35" t="str">
        <f aca="false">IF($A1488="","",IF(ISNUMBER($G1487),$G1487+1,1))</f>
        <v/>
      </c>
      <c r="H1488" s="36" t="str">
        <f aca="false">IF(OR(NOT(ISNUMBER($G1488)),$G1488&lt;2,NOT(ISNUMBER($C1487)),$C1487=0),"",$C1488/$C1487-1)</f>
        <v/>
      </c>
      <c r="I1488" s="37" t="str">
        <f aca="false">IF(AND(ISNUMBER($G1488),$G1488&gt;=MA_SHORT),AVERAGE(INDEX($C$1088:$C1488,402-MA_SHORT):$C1488),"")</f>
        <v/>
      </c>
      <c r="J1488" s="37" t="str">
        <f aca="false">IF(AND(ISNUMBER($G1488),$G1488&gt;=MA_MED),AVERAGE(INDEX($C$1088:$C1488,402-MA_MED):$C1488),"")</f>
        <v/>
      </c>
      <c r="K1488" s="37" t="str">
        <f aca="false">IF(AND(ISNUMBER($G1488),$G1488&gt;=MA_LONG2),AVERAGE(INDEX($C$1088:$C1488,402-MA_LONG2):$C1488),"")</f>
        <v/>
      </c>
      <c r="L1488" s="38" t="str">
        <f aca="false">IF(AND(ISNUMBER($G1488),$G1488&gt;=21),STDEV(INDEX($H$1428:$H1488,62-20):$H1488)*SQRT(245),"")</f>
        <v/>
      </c>
      <c r="M1488" s="37" t="str">
        <f aca="false">IF(AND(ISNUMBER($G1488),$G1488&gt;=60),MAX(INDEX($D$1288:$D1488,202-60):$D1488),"")</f>
        <v/>
      </c>
      <c r="N1488" s="37" t="str">
        <f aca="false">IF(AND(ISNUMBER($G1488),$G1488&gt;=60),MIN(INDEX($E$1288:$E1488,202-60):$E1488),"")</f>
        <v/>
      </c>
      <c r="O1488" s="38" t="str">
        <f aca="false">IF(OR(NOT(ISNUMBER($C1488)),NOT(ISNUMBER($M1488)),$M1488=0),"",$C1488/$M1488-1)</f>
        <v/>
      </c>
    </row>
    <row r="1489" customFormat="false" ht="15" hidden="false" customHeight="true" outlineLevel="0" collapsed="false">
      <c r="A1489" s="39"/>
      <c r="B1489" s="40"/>
      <c r="C1489" s="41"/>
      <c r="D1489" s="40"/>
      <c r="E1489" s="40"/>
      <c r="F1489" s="40"/>
      <c r="G1489" s="35" t="str">
        <f aca="false">IF($A1489="","",IF(ISNUMBER($G1488),$G1488+1,1))</f>
        <v/>
      </c>
      <c r="H1489" s="36" t="str">
        <f aca="false">IF(OR(NOT(ISNUMBER($G1489)),$G1489&lt;2,NOT(ISNUMBER($C1488)),$C1488=0),"",$C1489/$C1488-1)</f>
        <v/>
      </c>
      <c r="I1489" s="37" t="str">
        <f aca="false">IF(AND(ISNUMBER($G1489),$G1489&gt;=MA_SHORT),AVERAGE(INDEX($C$1089:$C1489,402-MA_SHORT):$C1489),"")</f>
        <v/>
      </c>
      <c r="J1489" s="37" t="str">
        <f aca="false">IF(AND(ISNUMBER($G1489),$G1489&gt;=MA_MED),AVERAGE(INDEX($C$1089:$C1489,402-MA_MED):$C1489),"")</f>
        <v/>
      </c>
      <c r="K1489" s="37" t="str">
        <f aca="false">IF(AND(ISNUMBER($G1489),$G1489&gt;=MA_LONG2),AVERAGE(INDEX($C$1089:$C1489,402-MA_LONG2):$C1489),"")</f>
        <v/>
      </c>
      <c r="L1489" s="38" t="str">
        <f aca="false">IF(AND(ISNUMBER($G1489),$G1489&gt;=21),STDEV(INDEX($H$1429:$H1489,62-20):$H1489)*SQRT(245),"")</f>
        <v/>
      </c>
      <c r="M1489" s="37" t="str">
        <f aca="false">IF(AND(ISNUMBER($G1489),$G1489&gt;=60),MAX(INDEX($D$1289:$D1489,202-60):$D1489),"")</f>
        <v/>
      </c>
      <c r="N1489" s="37" t="str">
        <f aca="false">IF(AND(ISNUMBER($G1489),$G1489&gt;=60),MIN(INDEX($E$1289:$E1489,202-60):$E1489),"")</f>
        <v/>
      </c>
      <c r="O1489" s="38" t="str">
        <f aca="false">IF(OR(NOT(ISNUMBER($C1489)),NOT(ISNUMBER($M1489)),$M1489=0),"",$C1489/$M1489-1)</f>
        <v/>
      </c>
    </row>
    <row r="1490" customFormat="false" ht="15" hidden="false" customHeight="true" outlineLevel="0" collapsed="false">
      <c r="A1490" s="39"/>
      <c r="B1490" s="40"/>
      <c r="C1490" s="41"/>
      <c r="D1490" s="40"/>
      <c r="E1490" s="40"/>
      <c r="F1490" s="40"/>
      <c r="G1490" s="35" t="str">
        <f aca="false">IF($A1490="","",IF(ISNUMBER($G1489),$G1489+1,1))</f>
        <v/>
      </c>
      <c r="H1490" s="36" t="str">
        <f aca="false">IF(OR(NOT(ISNUMBER($G1490)),$G1490&lt;2,NOT(ISNUMBER($C1489)),$C1489=0),"",$C1490/$C1489-1)</f>
        <v/>
      </c>
      <c r="I1490" s="37" t="str">
        <f aca="false">IF(AND(ISNUMBER($G1490),$G1490&gt;=MA_SHORT),AVERAGE(INDEX($C$1090:$C1490,402-MA_SHORT):$C1490),"")</f>
        <v/>
      </c>
      <c r="J1490" s="37" t="str">
        <f aca="false">IF(AND(ISNUMBER($G1490),$G1490&gt;=MA_MED),AVERAGE(INDEX($C$1090:$C1490,402-MA_MED):$C1490),"")</f>
        <v/>
      </c>
      <c r="K1490" s="37" t="str">
        <f aca="false">IF(AND(ISNUMBER($G1490),$G1490&gt;=MA_LONG2),AVERAGE(INDEX($C$1090:$C1490,402-MA_LONG2):$C1490),"")</f>
        <v/>
      </c>
      <c r="L1490" s="38" t="str">
        <f aca="false">IF(AND(ISNUMBER($G1490),$G1490&gt;=21),STDEV(INDEX($H$1430:$H1490,62-20):$H1490)*SQRT(245),"")</f>
        <v/>
      </c>
      <c r="M1490" s="37" t="str">
        <f aca="false">IF(AND(ISNUMBER($G1490),$G1490&gt;=60),MAX(INDEX($D$1290:$D1490,202-60):$D1490),"")</f>
        <v/>
      </c>
      <c r="N1490" s="37" t="str">
        <f aca="false">IF(AND(ISNUMBER($G1490),$G1490&gt;=60),MIN(INDEX($E$1290:$E1490,202-60):$E1490),"")</f>
        <v/>
      </c>
      <c r="O1490" s="38" t="str">
        <f aca="false">IF(OR(NOT(ISNUMBER($C1490)),NOT(ISNUMBER($M1490)),$M1490=0),"",$C1490/$M1490-1)</f>
        <v/>
      </c>
    </row>
    <row r="1491" customFormat="false" ht="15" hidden="false" customHeight="true" outlineLevel="0" collapsed="false">
      <c r="A1491" s="39"/>
      <c r="B1491" s="40"/>
      <c r="C1491" s="41"/>
      <c r="D1491" s="40"/>
      <c r="E1491" s="40"/>
      <c r="F1491" s="40"/>
      <c r="G1491" s="35" t="str">
        <f aca="false">IF($A1491="","",IF(ISNUMBER($G1490),$G1490+1,1))</f>
        <v/>
      </c>
      <c r="H1491" s="36" t="str">
        <f aca="false">IF(OR(NOT(ISNUMBER($G1491)),$G1491&lt;2,NOT(ISNUMBER($C1490)),$C1490=0),"",$C1491/$C1490-1)</f>
        <v/>
      </c>
      <c r="I1491" s="37" t="str">
        <f aca="false">IF(AND(ISNUMBER($G1491),$G1491&gt;=MA_SHORT),AVERAGE(INDEX($C$1091:$C1491,402-MA_SHORT):$C1491),"")</f>
        <v/>
      </c>
      <c r="J1491" s="37" t="str">
        <f aca="false">IF(AND(ISNUMBER($G1491),$G1491&gt;=MA_MED),AVERAGE(INDEX($C$1091:$C1491,402-MA_MED):$C1491),"")</f>
        <v/>
      </c>
      <c r="K1491" s="37" t="str">
        <f aca="false">IF(AND(ISNUMBER($G1491),$G1491&gt;=MA_LONG2),AVERAGE(INDEX($C$1091:$C1491,402-MA_LONG2):$C1491),"")</f>
        <v/>
      </c>
      <c r="L1491" s="38" t="str">
        <f aca="false">IF(AND(ISNUMBER($G1491),$G1491&gt;=21),STDEV(INDEX($H$1431:$H1491,62-20):$H1491)*SQRT(245),"")</f>
        <v/>
      </c>
      <c r="M1491" s="37" t="str">
        <f aca="false">IF(AND(ISNUMBER($G1491),$G1491&gt;=60),MAX(INDEX($D$1291:$D1491,202-60):$D1491),"")</f>
        <v/>
      </c>
      <c r="N1491" s="37" t="str">
        <f aca="false">IF(AND(ISNUMBER($G1491),$G1491&gt;=60),MIN(INDEX($E$1291:$E1491,202-60):$E1491),"")</f>
        <v/>
      </c>
      <c r="O1491" s="38" t="str">
        <f aca="false">IF(OR(NOT(ISNUMBER($C1491)),NOT(ISNUMBER($M1491)),$M1491=0),"",$C1491/$M1491-1)</f>
        <v/>
      </c>
    </row>
    <row r="1492" customFormat="false" ht="15" hidden="false" customHeight="true" outlineLevel="0" collapsed="false">
      <c r="A1492" s="39"/>
      <c r="B1492" s="40"/>
      <c r="C1492" s="41"/>
      <c r="D1492" s="40"/>
      <c r="E1492" s="40"/>
      <c r="F1492" s="40"/>
      <c r="G1492" s="35" t="str">
        <f aca="false">IF($A1492="","",IF(ISNUMBER($G1491),$G1491+1,1))</f>
        <v/>
      </c>
      <c r="H1492" s="36" t="str">
        <f aca="false">IF(OR(NOT(ISNUMBER($G1492)),$G1492&lt;2,NOT(ISNUMBER($C1491)),$C1491=0),"",$C1492/$C1491-1)</f>
        <v/>
      </c>
      <c r="I1492" s="37" t="str">
        <f aca="false">IF(AND(ISNUMBER($G1492),$G1492&gt;=MA_SHORT),AVERAGE(INDEX($C$1092:$C1492,402-MA_SHORT):$C1492),"")</f>
        <v/>
      </c>
      <c r="J1492" s="37" t="str">
        <f aca="false">IF(AND(ISNUMBER($G1492),$G1492&gt;=MA_MED),AVERAGE(INDEX($C$1092:$C1492,402-MA_MED):$C1492),"")</f>
        <v/>
      </c>
      <c r="K1492" s="37" t="str">
        <f aca="false">IF(AND(ISNUMBER($G1492),$G1492&gt;=MA_LONG2),AVERAGE(INDEX($C$1092:$C1492,402-MA_LONG2):$C1492),"")</f>
        <v/>
      </c>
      <c r="L1492" s="38" t="str">
        <f aca="false">IF(AND(ISNUMBER($G1492),$G1492&gt;=21),STDEV(INDEX($H$1432:$H1492,62-20):$H1492)*SQRT(245),"")</f>
        <v/>
      </c>
      <c r="M1492" s="37" t="str">
        <f aca="false">IF(AND(ISNUMBER($G1492),$G1492&gt;=60),MAX(INDEX($D$1292:$D1492,202-60):$D1492),"")</f>
        <v/>
      </c>
      <c r="N1492" s="37" t="str">
        <f aca="false">IF(AND(ISNUMBER($G1492),$G1492&gt;=60),MIN(INDEX($E$1292:$E1492,202-60):$E1492),"")</f>
        <v/>
      </c>
      <c r="O1492" s="38" t="str">
        <f aca="false">IF(OR(NOT(ISNUMBER($C1492)),NOT(ISNUMBER($M1492)),$M1492=0),"",$C1492/$M1492-1)</f>
        <v/>
      </c>
    </row>
    <row r="1493" customFormat="false" ht="15" hidden="false" customHeight="true" outlineLevel="0" collapsed="false">
      <c r="A1493" s="39"/>
      <c r="B1493" s="40"/>
      <c r="C1493" s="41"/>
      <c r="D1493" s="40"/>
      <c r="E1493" s="40"/>
      <c r="F1493" s="40"/>
      <c r="G1493" s="35" t="str">
        <f aca="false">IF($A1493="","",IF(ISNUMBER($G1492),$G1492+1,1))</f>
        <v/>
      </c>
      <c r="H1493" s="36" t="str">
        <f aca="false">IF(OR(NOT(ISNUMBER($G1493)),$G1493&lt;2,NOT(ISNUMBER($C1492)),$C1492=0),"",$C1493/$C1492-1)</f>
        <v/>
      </c>
      <c r="I1493" s="37" t="str">
        <f aca="false">IF(AND(ISNUMBER($G1493),$G1493&gt;=MA_SHORT),AVERAGE(INDEX($C$1093:$C1493,402-MA_SHORT):$C1493),"")</f>
        <v/>
      </c>
      <c r="J1493" s="37" t="str">
        <f aca="false">IF(AND(ISNUMBER($G1493),$G1493&gt;=MA_MED),AVERAGE(INDEX($C$1093:$C1493,402-MA_MED):$C1493),"")</f>
        <v/>
      </c>
      <c r="K1493" s="37" t="str">
        <f aca="false">IF(AND(ISNUMBER($G1493),$G1493&gt;=MA_LONG2),AVERAGE(INDEX($C$1093:$C1493,402-MA_LONG2):$C1493),"")</f>
        <v/>
      </c>
      <c r="L1493" s="38" t="str">
        <f aca="false">IF(AND(ISNUMBER($G1493),$G1493&gt;=21),STDEV(INDEX($H$1433:$H1493,62-20):$H1493)*SQRT(245),"")</f>
        <v/>
      </c>
      <c r="M1493" s="37" t="str">
        <f aca="false">IF(AND(ISNUMBER($G1493),$G1493&gt;=60),MAX(INDEX($D$1293:$D1493,202-60):$D1493),"")</f>
        <v/>
      </c>
      <c r="N1493" s="37" t="str">
        <f aca="false">IF(AND(ISNUMBER($G1493),$G1493&gt;=60),MIN(INDEX($E$1293:$E1493,202-60):$E1493),"")</f>
        <v/>
      </c>
      <c r="O1493" s="38" t="str">
        <f aca="false">IF(OR(NOT(ISNUMBER($C1493)),NOT(ISNUMBER($M1493)),$M1493=0),"",$C1493/$M1493-1)</f>
        <v/>
      </c>
    </row>
    <row r="1494" customFormat="false" ht="15" hidden="false" customHeight="true" outlineLevel="0" collapsed="false">
      <c r="A1494" s="39"/>
      <c r="B1494" s="40"/>
      <c r="C1494" s="41"/>
      <c r="D1494" s="40"/>
      <c r="E1494" s="40"/>
      <c r="F1494" s="40"/>
      <c r="G1494" s="35" t="str">
        <f aca="false">IF($A1494="","",IF(ISNUMBER($G1493),$G1493+1,1))</f>
        <v/>
      </c>
      <c r="H1494" s="36" t="str">
        <f aca="false">IF(OR(NOT(ISNUMBER($G1494)),$G1494&lt;2,NOT(ISNUMBER($C1493)),$C1493=0),"",$C1494/$C1493-1)</f>
        <v/>
      </c>
      <c r="I1494" s="37" t="str">
        <f aca="false">IF(AND(ISNUMBER($G1494),$G1494&gt;=MA_SHORT),AVERAGE(INDEX($C$1094:$C1494,402-MA_SHORT):$C1494),"")</f>
        <v/>
      </c>
      <c r="J1494" s="37" t="str">
        <f aca="false">IF(AND(ISNUMBER($G1494),$G1494&gt;=MA_MED),AVERAGE(INDEX($C$1094:$C1494,402-MA_MED):$C1494),"")</f>
        <v/>
      </c>
      <c r="K1494" s="37" t="str">
        <f aca="false">IF(AND(ISNUMBER($G1494),$G1494&gt;=MA_LONG2),AVERAGE(INDEX($C$1094:$C1494,402-MA_LONG2):$C1494),"")</f>
        <v/>
      </c>
      <c r="L1494" s="38" t="str">
        <f aca="false">IF(AND(ISNUMBER($G1494),$G1494&gt;=21),STDEV(INDEX($H$1434:$H1494,62-20):$H1494)*SQRT(245),"")</f>
        <v/>
      </c>
      <c r="M1494" s="37" t="str">
        <f aca="false">IF(AND(ISNUMBER($G1494),$G1494&gt;=60),MAX(INDEX($D$1294:$D1494,202-60):$D1494),"")</f>
        <v/>
      </c>
      <c r="N1494" s="37" t="str">
        <f aca="false">IF(AND(ISNUMBER($G1494),$G1494&gt;=60),MIN(INDEX($E$1294:$E1494,202-60):$E1494),"")</f>
        <v/>
      </c>
      <c r="O1494" s="38" t="str">
        <f aca="false">IF(OR(NOT(ISNUMBER($C1494)),NOT(ISNUMBER($M1494)),$M1494=0),"",$C1494/$M1494-1)</f>
        <v/>
      </c>
    </row>
    <row r="1495" customFormat="false" ht="15" hidden="false" customHeight="true" outlineLevel="0" collapsed="false">
      <c r="A1495" s="39"/>
      <c r="B1495" s="40"/>
      <c r="C1495" s="41"/>
      <c r="D1495" s="40"/>
      <c r="E1495" s="40"/>
      <c r="F1495" s="40"/>
      <c r="G1495" s="35" t="str">
        <f aca="false">IF($A1495="","",IF(ISNUMBER($G1494),$G1494+1,1))</f>
        <v/>
      </c>
      <c r="H1495" s="36" t="str">
        <f aca="false">IF(OR(NOT(ISNUMBER($G1495)),$G1495&lt;2,NOT(ISNUMBER($C1494)),$C1494=0),"",$C1495/$C1494-1)</f>
        <v/>
      </c>
      <c r="I1495" s="37" t="str">
        <f aca="false">IF(AND(ISNUMBER($G1495),$G1495&gt;=MA_SHORT),AVERAGE(INDEX($C$1095:$C1495,402-MA_SHORT):$C1495),"")</f>
        <v/>
      </c>
      <c r="J1495" s="37" t="str">
        <f aca="false">IF(AND(ISNUMBER($G1495),$G1495&gt;=MA_MED),AVERAGE(INDEX($C$1095:$C1495,402-MA_MED):$C1495),"")</f>
        <v/>
      </c>
      <c r="K1495" s="37" t="str">
        <f aca="false">IF(AND(ISNUMBER($G1495),$G1495&gt;=MA_LONG2),AVERAGE(INDEX($C$1095:$C1495,402-MA_LONG2):$C1495),"")</f>
        <v/>
      </c>
      <c r="L1495" s="38" t="str">
        <f aca="false">IF(AND(ISNUMBER($G1495),$G1495&gt;=21),STDEV(INDEX($H$1435:$H1495,62-20):$H1495)*SQRT(245),"")</f>
        <v/>
      </c>
      <c r="M1495" s="37" t="str">
        <f aca="false">IF(AND(ISNUMBER($G1495),$G1495&gt;=60),MAX(INDEX($D$1295:$D1495,202-60):$D1495),"")</f>
        <v/>
      </c>
      <c r="N1495" s="37" t="str">
        <f aca="false">IF(AND(ISNUMBER($G1495),$G1495&gt;=60),MIN(INDEX($E$1295:$E1495,202-60):$E1495),"")</f>
        <v/>
      </c>
      <c r="O1495" s="38" t="str">
        <f aca="false">IF(OR(NOT(ISNUMBER($C1495)),NOT(ISNUMBER($M1495)),$M1495=0),"",$C1495/$M1495-1)</f>
        <v/>
      </c>
    </row>
    <row r="1496" customFormat="false" ht="15" hidden="false" customHeight="true" outlineLevel="0" collapsed="false">
      <c r="A1496" s="39"/>
      <c r="B1496" s="40"/>
      <c r="C1496" s="41"/>
      <c r="D1496" s="40"/>
      <c r="E1496" s="40"/>
      <c r="F1496" s="40"/>
      <c r="G1496" s="35" t="str">
        <f aca="false">IF($A1496="","",IF(ISNUMBER($G1495),$G1495+1,1))</f>
        <v/>
      </c>
      <c r="H1496" s="36" t="str">
        <f aca="false">IF(OR(NOT(ISNUMBER($G1496)),$G1496&lt;2,NOT(ISNUMBER($C1495)),$C1495=0),"",$C1496/$C1495-1)</f>
        <v/>
      </c>
      <c r="I1496" s="37" t="str">
        <f aca="false">IF(AND(ISNUMBER($G1496),$G1496&gt;=MA_SHORT),AVERAGE(INDEX($C$1096:$C1496,402-MA_SHORT):$C1496),"")</f>
        <v/>
      </c>
      <c r="J1496" s="37" t="str">
        <f aca="false">IF(AND(ISNUMBER($G1496),$G1496&gt;=MA_MED),AVERAGE(INDEX($C$1096:$C1496,402-MA_MED):$C1496),"")</f>
        <v/>
      </c>
      <c r="K1496" s="37" t="str">
        <f aca="false">IF(AND(ISNUMBER($G1496),$G1496&gt;=MA_LONG2),AVERAGE(INDEX($C$1096:$C1496,402-MA_LONG2):$C1496),"")</f>
        <v/>
      </c>
      <c r="L1496" s="38" t="str">
        <f aca="false">IF(AND(ISNUMBER($G1496),$G1496&gt;=21),STDEV(INDEX($H$1436:$H1496,62-20):$H1496)*SQRT(245),"")</f>
        <v/>
      </c>
      <c r="M1496" s="37" t="str">
        <f aca="false">IF(AND(ISNUMBER($G1496),$G1496&gt;=60),MAX(INDEX($D$1296:$D1496,202-60):$D1496),"")</f>
        <v/>
      </c>
      <c r="N1496" s="37" t="str">
        <f aca="false">IF(AND(ISNUMBER($G1496),$G1496&gt;=60),MIN(INDEX($E$1296:$E1496,202-60):$E1496),"")</f>
        <v/>
      </c>
      <c r="O1496" s="38" t="str">
        <f aca="false">IF(OR(NOT(ISNUMBER($C1496)),NOT(ISNUMBER($M1496)),$M1496=0),"",$C1496/$M1496-1)</f>
        <v/>
      </c>
    </row>
    <row r="1497" customFormat="false" ht="15" hidden="false" customHeight="true" outlineLevel="0" collapsed="false">
      <c r="A1497" s="39"/>
      <c r="B1497" s="40"/>
      <c r="C1497" s="41"/>
      <c r="D1497" s="40"/>
      <c r="E1497" s="40"/>
      <c r="F1497" s="40"/>
      <c r="G1497" s="35" t="str">
        <f aca="false">IF($A1497="","",IF(ISNUMBER($G1496),$G1496+1,1))</f>
        <v/>
      </c>
      <c r="H1497" s="36" t="str">
        <f aca="false">IF(OR(NOT(ISNUMBER($G1497)),$G1497&lt;2,NOT(ISNUMBER($C1496)),$C1496=0),"",$C1497/$C1496-1)</f>
        <v/>
      </c>
      <c r="I1497" s="37" t="str">
        <f aca="false">IF(AND(ISNUMBER($G1497),$G1497&gt;=MA_SHORT),AVERAGE(INDEX($C$1097:$C1497,402-MA_SHORT):$C1497),"")</f>
        <v/>
      </c>
      <c r="J1497" s="37" t="str">
        <f aca="false">IF(AND(ISNUMBER($G1497),$G1497&gt;=MA_MED),AVERAGE(INDEX($C$1097:$C1497,402-MA_MED):$C1497),"")</f>
        <v/>
      </c>
      <c r="K1497" s="37" t="str">
        <f aca="false">IF(AND(ISNUMBER($G1497),$G1497&gt;=MA_LONG2),AVERAGE(INDEX($C$1097:$C1497,402-MA_LONG2):$C1497),"")</f>
        <v/>
      </c>
      <c r="L1497" s="38" t="str">
        <f aca="false">IF(AND(ISNUMBER($G1497),$G1497&gt;=21),STDEV(INDEX($H$1437:$H1497,62-20):$H1497)*SQRT(245),"")</f>
        <v/>
      </c>
      <c r="M1497" s="37" t="str">
        <f aca="false">IF(AND(ISNUMBER($G1497),$G1497&gt;=60),MAX(INDEX($D$1297:$D1497,202-60):$D1497),"")</f>
        <v/>
      </c>
      <c r="N1497" s="37" t="str">
        <f aca="false">IF(AND(ISNUMBER($G1497),$G1497&gt;=60),MIN(INDEX($E$1297:$E1497,202-60):$E1497),"")</f>
        <v/>
      </c>
      <c r="O1497" s="38" t="str">
        <f aca="false">IF(OR(NOT(ISNUMBER($C1497)),NOT(ISNUMBER($M1497)),$M1497=0),"",$C1497/$M1497-1)</f>
        <v/>
      </c>
    </row>
    <row r="1498" customFormat="false" ht="15" hidden="false" customHeight="true" outlineLevel="0" collapsed="false">
      <c r="A1498" s="39"/>
      <c r="B1498" s="40"/>
      <c r="C1498" s="41"/>
      <c r="D1498" s="40"/>
      <c r="E1498" s="40"/>
      <c r="F1498" s="40"/>
      <c r="G1498" s="35" t="str">
        <f aca="false">IF($A1498="","",IF(ISNUMBER($G1497),$G1497+1,1))</f>
        <v/>
      </c>
      <c r="H1498" s="36" t="str">
        <f aca="false">IF(OR(NOT(ISNUMBER($G1498)),$G1498&lt;2,NOT(ISNUMBER($C1497)),$C1497=0),"",$C1498/$C1497-1)</f>
        <v/>
      </c>
      <c r="I1498" s="37" t="str">
        <f aca="false">IF(AND(ISNUMBER($G1498),$G1498&gt;=MA_SHORT),AVERAGE(INDEX($C$1098:$C1498,402-MA_SHORT):$C1498),"")</f>
        <v/>
      </c>
      <c r="J1498" s="37" t="str">
        <f aca="false">IF(AND(ISNUMBER($G1498),$G1498&gt;=MA_MED),AVERAGE(INDEX($C$1098:$C1498,402-MA_MED):$C1498),"")</f>
        <v/>
      </c>
      <c r="K1498" s="37" t="str">
        <f aca="false">IF(AND(ISNUMBER($G1498),$G1498&gt;=MA_LONG2),AVERAGE(INDEX($C$1098:$C1498,402-MA_LONG2):$C1498),"")</f>
        <v/>
      </c>
      <c r="L1498" s="38" t="str">
        <f aca="false">IF(AND(ISNUMBER($G1498),$G1498&gt;=21),STDEV(INDEX($H$1438:$H1498,62-20):$H1498)*SQRT(245),"")</f>
        <v/>
      </c>
      <c r="M1498" s="37" t="str">
        <f aca="false">IF(AND(ISNUMBER($G1498),$G1498&gt;=60),MAX(INDEX($D$1298:$D1498,202-60):$D1498),"")</f>
        <v/>
      </c>
      <c r="N1498" s="37" t="str">
        <f aca="false">IF(AND(ISNUMBER($G1498),$G1498&gt;=60),MIN(INDEX($E$1298:$E1498,202-60):$E1498),"")</f>
        <v/>
      </c>
      <c r="O1498" s="38" t="str">
        <f aca="false">IF(OR(NOT(ISNUMBER($C1498)),NOT(ISNUMBER($M1498)),$M1498=0),"",$C1498/$M1498-1)</f>
        <v/>
      </c>
    </row>
    <row r="1499" customFormat="false" ht="15" hidden="false" customHeight="true" outlineLevel="0" collapsed="false">
      <c r="A1499" s="39"/>
      <c r="B1499" s="40"/>
      <c r="C1499" s="41"/>
      <c r="D1499" s="40"/>
      <c r="E1499" s="40"/>
      <c r="F1499" s="40"/>
      <c r="G1499" s="35" t="str">
        <f aca="false">IF($A1499="","",IF(ISNUMBER($G1498),$G1498+1,1))</f>
        <v/>
      </c>
      <c r="H1499" s="36" t="str">
        <f aca="false">IF(OR(NOT(ISNUMBER($G1499)),$G1499&lt;2,NOT(ISNUMBER($C1498)),$C1498=0),"",$C1499/$C1498-1)</f>
        <v/>
      </c>
      <c r="I1499" s="37" t="str">
        <f aca="false">IF(AND(ISNUMBER($G1499),$G1499&gt;=MA_SHORT),AVERAGE(INDEX($C$1099:$C1499,402-MA_SHORT):$C1499),"")</f>
        <v/>
      </c>
      <c r="J1499" s="37" t="str">
        <f aca="false">IF(AND(ISNUMBER($G1499),$G1499&gt;=MA_MED),AVERAGE(INDEX($C$1099:$C1499,402-MA_MED):$C1499),"")</f>
        <v/>
      </c>
      <c r="K1499" s="37" t="str">
        <f aca="false">IF(AND(ISNUMBER($G1499),$G1499&gt;=MA_LONG2),AVERAGE(INDEX($C$1099:$C1499,402-MA_LONG2):$C1499),"")</f>
        <v/>
      </c>
      <c r="L1499" s="38" t="str">
        <f aca="false">IF(AND(ISNUMBER($G1499),$G1499&gt;=21),STDEV(INDEX($H$1439:$H1499,62-20):$H1499)*SQRT(245),"")</f>
        <v/>
      </c>
      <c r="M1499" s="37" t="str">
        <f aca="false">IF(AND(ISNUMBER($G1499),$G1499&gt;=60),MAX(INDEX($D$1299:$D1499,202-60):$D1499),"")</f>
        <v/>
      </c>
      <c r="N1499" s="37" t="str">
        <f aca="false">IF(AND(ISNUMBER($G1499),$G1499&gt;=60),MIN(INDEX($E$1299:$E1499,202-60):$E1499),"")</f>
        <v/>
      </c>
      <c r="O1499" s="38" t="str">
        <f aca="false">IF(OR(NOT(ISNUMBER($C1499)),NOT(ISNUMBER($M1499)),$M1499=0),"",$C1499/$M1499-1)</f>
        <v/>
      </c>
    </row>
    <row r="1500" customFormat="false" ht="15" hidden="false" customHeight="true" outlineLevel="0" collapsed="false">
      <c r="A1500" s="39"/>
      <c r="B1500" s="40"/>
      <c r="C1500" s="41"/>
      <c r="D1500" s="40"/>
      <c r="E1500" s="40"/>
      <c r="F1500" s="40"/>
      <c r="G1500" s="35" t="str">
        <f aca="false">IF($A1500="","",IF(ISNUMBER($G1499),$G1499+1,1))</f>
        <v/>
      </c>
      <c r="H1500" s="36" t="str">
        <f aca="false">IF(OR(NOT(ISNUMBER($G1500)),$G1500&lt;2,NOT(ISNUMBER($C1499)),$C1499=0),"",$C1500/$C1499-1)</f>
        <v/>
      </c>
      <c r="I1500" s="37" t="str">
        <f aca="false">IF(AND(ISNUMBER($G1500),$G1500&gt;=MA_SHORT),AVERAGE(INDEX($C$1100:$C1500,402-MA_SHORT):$C1500),"")</f>
        <v/>
      </c>
      <c r="J1500" s="37" t="str">
        <f aca="false">IF(AND(ISNUMBER($G1500),$G1500&gt;=MA_MED),AVERAGE(INDEX($C$1100:$C1500,402-MA_MED):$C1500),"")</f>
        <v/>
      </c>
      <c r="K1500" s="37" t="str">
        <f aca="false">IF(AND(ISNUMBER($G1500),$G1500&gt;=MA_LONG2),AVERAGE(INDEX($C$1100:$C1500,402-MA_LONG2):$C1500),"")</f>
        <v/>
      </c>
      <c r="L1500" s="38" t="str">
        <f aca="false">IF(AND(ISNUMBER($G1500),$G1500&gt;=21),STDEV(INDEX($H$1440:$H1500,62-20):$H1500)*SQRT(245),"")</f>
        <v/>
      </c>
      <c r="M1500" s="37" t="str">
        <f aca="false">IF(AND(ISNUMBER($G1500),$G1500&gt;=60),MAX(INDEX($D$1300:$D1500,202-60):$D1500),"")</f>
        <v/>
      </c>
      <c r="N1500" s="37" t="str">
        <f aca="false">IF(AND(ISNUMBER($G1500),$G1500&gt;=60),MIN(INDEX($E$1300:$E1500,202-60):$E1500),"")</f>
        <v/>
      </c>
      <c r="O1500" s="38" t="str">
        <f aca="false">IF(OR(NOT(ISNUMBER($C1500)),NOT(ISNUMBER($M1500)),$M1500=0),"",$C1500/$M1500-1)</f>
        <v/>
      </c>
    </row>
    <row r="1501" customFormat="false" ht="15" hidden="false" customHeight="true" outlineLevel="0" collapsed="false">
      <c r="A1501" s="39"/>
      <c r="B1501" s="40"/>
      <c r="C1501" s="41"/>
      <c r="D1501" s="40"/>
      <c r="E1501" s="40"/>
      <c r="F1501" s="40"/>
      <c r="G1501" s="35" t="str">
        <f aca="false">IF($A1501="","",IF(ISNUMBER($G1500),$G1500+1,1))</f>
        <v/>
      </c>
      <c r="H1501" s="36" t="str">
        <f aca="false">IF(OR(NOT(ISNUMBER($G1501)),$G1501&lt;2,NOT(ISNUMBER($C1500)),$C1500=0),"",$C1501/$C1500-1)</f>
        <v/>
      </c>
      <c r="I1501" s="37" t="str">
        <f aca="false">IF(AND(ISNUMBER($G1501),$G1501&gt;=MA_SHORT),AVERAGE(INDEX($C$1101:$C1501,402-MA_SHORT):$C1501),"")</f>
        <v/>
      </c>
      <c r="J1501" s="37" t="str">
        <f aca="false">IF(AND(ISNUMBER($G1501),$G1501&gt;=MA_MED),AVERAGE(INDEX($C$1101:$C1501,402-MA_MED):$C1501),"")</f>
        <v/>
      </c>
      <c r="K1501" s="37" t="str">
        <f aca="false">IF(AND(ISNUMBER($G1501),$G1501&gt;=MA_LONG2),AVERAGE(INDEX($C$1101:$C1501,402-MA_LONG2):$C1501),"")</f>
        <v/>
      </c>
      <c r="L1501" s="38" t="str">
        <f aca="false">IF(AND(ISNUMBER($G1501),$G1501&gt;=21),STDEV(INDEX($H$1441:$H1501,62-20):$H1501)*SQRT(245),"")</f>
        <v/>
      </c>
      <c r="M1501" s="37" t="str">
        <f aca="false">IF(AND(ISNUMBER($G1501),$G1501&gt;=60),MAX(INDEX($D$1301:$D1501,202-60):$D1501),"")</f>
        <v/>
      </c>
      <c r="N1501" s="37" t="str">
        <f aca="false">IF(AND(ISNUMBER($G1501),$G1501&gt;=60),MIN(INDEX($E$1301:$E1501,202-60):$E1501),"")</f>
        <v/>
      </c>
      <c r="O1501" s="38" t="str">
        <f aca="false">IF(OR(NOT(ISNUMBER($C1501)),NOT(ISNUMBER($M1501)),$M1501=0),"",$C1501/$M1501-1)</f>
        <v/>
      </c>
    </row>
    <row r="1502" customFormat="false" ht="15" hidden="false" customHeight="true" outlineLevel="0" collapsed="false">
      <c r="A1502" s="39"/>
      <c r="B1502" s="40"/>
      <c r="C1502" s="41"/>
      <c r="D1502" s="40"/>
      <c r="E1502" s="40"/>
      <c r="F1502" s="40"/>
      <c r="G1502" s="35" t="str">
        <f aca="false">IF($A1502="","",IF(ISNUMBER($G1501),$G1501+1,1))</f>
        <v/>
      </c>
      <c r="H1502" s="36" t="str">
        <f aca="false">IF(OR(NOT(ISNUMBER($G1502)),$G1502&lt;2,NOT(ISNUMBER($C1501)),$C1501=0),"",$C1502/$C1501-1)</f>
        <v/>
      </c>
      <c r="I1502" s="37" t="str">
        <f aca="false">IF(AND(ISNUMBER($G1502),$G1502&gt;=MA_SHORT),AVERAGE(INDEX($C$1102:$C1502,402-MA_SHORT):$C1502),"")</f>
        <v/>
      </c>
      <c r="J1502" s="37" t="str">
        <f aca="false">IF(AND(ISNUMBER($G1502),$G1502&gt;=MA_MED),AVERAGE(INDEX($C$1102:$C1502,402-MA_MED):$C1502),"")</f>
        <v/>
      </c>
      <c r="K1502" s="37" t="str">
        <f aca="false">IF(AND(ISNUMBER($G1502),$G1502&gt;=MA_LONG2),AVERAGE(INDEX($C$1102:$C1502,402-MA_LONG2):$C1502),"")</f>
        <v/>
      </c>
      <c r="L1502" s="38" t="str">
        <f aca="false">IF(AND(ISNUMBER($G1502),$G1502&gt;=21),STDEV(INDEX($H$1442:$H1502,62-20):$H1502)*SQRT(245),"")</f>
        <v/>
      </c>
      <c r="M1502" s="37" t="str">
        <f aca="false">IF(AND(ISNUMBER($G1502),$G1502&gt;=60),MAX(INDEX($D$1302:$D1502,202-60):$D1502),"")</f>
        <v/>
      </c>
      <c r="N1502" s="37" t="str">
        <f aca="false">IF(AND(ISNUMBER($G1502),$G1502&gt;=60),MIN(INDEX($E$1302:$E1502,202-60):$E1502),"")</f>
        <v/>
      </c>
      <c r="O1502" s="38" t="str">
        <f aca="false">IF(OR(NOT(ISNUMBER($C1502)),NOT(ISNUMBER($M1502)),$M1502=0),"",$C1502/$M1502-1)</f>
        <v/>
      </c>
    </row>
    <row r="1503" customFormat="false" ht="15" hidden="false" customHeight="true" outlineLevel="0" collapsed="false">
      <c r="A1503" s="39"/>
      <c r="B1503" s="40"/>
      <c r="C1503" s="41"/>
      <c r="D1503" s="40"/>
      <c r="E1503" s="40"/>
      <c r="F1503" s="40"/>
      <c r="G1503" s="35" t="str">
        <f aca="false">IF($A1503="","",IF(ISNUMBER($G1502),$G1502+1,1))</f>
        <v/>
      </c>
      <c r="H1503" s="36" t="str">
        <f aca="false">IF(OR(NOT(ISNUMBER($G1503)),$G1503&lt;2,NOT(ISNUMBER($C1502)),$C1502=0),"",$C1503/$C1502-1)</f>
        <v/>
      </c>
      <c r="I1503" s="37" t="str">
        <f aca="false">IF(AND(ISNUMBER($G1503),$G1503&gt;=MA_SHORT),AVERAGE(INDEX($C$1103:$C1503,402-MA_SHORT):$C1503),"")</f>
        <v/>
      </c>
      <c r="J1503" s="37" t="str">
        <f aca="false">IF(AND(ISNUMBER($G1503),$G1503&gt;=MA_MED),AVERAGE(INDEX($C$1103:$C1503,402-MA_MED):$C1503),"")</f>
        <v/>
      </c>
      <c r="K1503" s="37" t="str">
        <f aca="false">IF(AND(ISNUMBER($G1503),$G1503&gt;=MA_LONG2),AVERAGE(INDEX($C$1103:$C1503,402-MA_LONG2):$C1503),"")</f>
        <v/>
      </c>
      <c r="L1503" s="38" t="str">
        <f aca="false">IF(AND(ISNUMBER($G1503),$G1503&gt;=21),STDEV(INDEX($H$1443:$H1503,62-20):$H1503)*SQRT(245),"")</f>
        <v/>
      </c>
      <c r="M1503" s="37" t="str">
        <f aca="false">IF(AND(ISNUMBER($G1503),$G1503&gt;=60),MAX(INDEX($D$1303:$D1503,202-60):$D1503),"")</f>
        <v/>
      </c>
      <c r="N1503" s="37" t="str">
        <f aca="false">IF(AND(ISNUMBER($G1503),$G1503&gt;=60),MIN(INDEX($E$1303:$E1503,202-60):$E1503),"")</f>
        <v/>
      </c>
      <c r="O1503" s="38" t="str">
        <f aca="false">IF(OR(NOT(ISNUMBER($C1503)),NOT(ISNUMBER($M1503)),$M1503=0),"",$C1503/$M1503-1)</f>
        <v/>
      </c>
    </row>
    <row r="1504" customFormat="false" ht="15" hidden="false" customHeight="true" outlineLevel="0" collapsed="false">
      <c r="A1504" s="39"/>
      <c r="B1504" s="40"/>
      <c r="C1504" s="41"/>
      <c r="D1504" s="40"/>
      <c r="E1504" s="40"/>
      <c r="F1504" s="40"/>
      <c r="G1504" s="35" t="str">
        <f aca="false">IF($A1504="","",IF(ISNUMBER($G1503),$G1503+1,1))</f>
        <v/>
      </c>
      <c r="H1504" s="36" t="str">
        <f aca="false">IF(OR(NOT(ISNUMBER($G1504)),$G1504&lt;2,NOT(ISNUMBER($C1503)),$C1503=0),"",$C1504/$C1503-1)</f>
        <v/>
      </c>
      <c r="I1504" s="37" t="str">
        <f aca="false">IF(AND(ISNUMBER($G1504),$G1504&gt;=MA_SHORT),AVERAGE(INDEX($C$1104:$C1504,402-MA_SHORT):$C1504),"")</f>
        <v/>
      </c>
      <c r="J1504" s="37" t="str">
        <f aca="false">IF(AND(ISNUMBER($G1504),$G1504&gt;=MA_MED),AVERAGE(INDEX($C$1104:$C1504,402-MA_MED):$C1504),"")</f>
        <v/>
      </c>
      <c r="K1504" s="37" t="str">
        <f aca="false">IF(AND(ISNUMBER($G1504),$G1504&gt;=MA_LONG2),AVERAGE(INDEX($C$1104:$C1504,402-MA_LONG2):$C1504),"")</f>
        <v/>
      </c>
      <c r="L1504" s="38" t="str">
        <f aca="false">IF(AND(ISNUMBER($G1504),$G1504&gt;=21),STDEV(INDEX($H$1444:$H1504,62-20):$H1504)*SQRT(245),"")</f>
        <v/>
      </c>
      <c r="M1504" s="37" t="str">
        <f aca="false">IF(AND(ISNUMBER($G1504),$G1504&gt;=60),MAX(INDEX($D$1304:$D1504,202-60):$D1504),"")</f>
        <v/>
      </c>
      <c r="N1504" s="37" t="str">
        <f aca="false">IF(AND(ISNUMBER($G1504),$G1504&gt;=60),MIN(INDEX($E$1304:$E1504,202-60):$E1504),"")</f>
        <v/>
      </c>
      <c r="O1504" s="38" t="str">
        <f aca="false">IF(OR(NOT(ISNUMBER($C1504)),NOT(ISNUMBER($M1504)),$M1504=0),"",$C1504/$M1504-1)</f>
        <v/>
      </c>
    </row>
    <row r="1505" customFormat="false" ht="15" hidden="false" customHeight="true" outlineLevel="0" collapsed="false">
      <c r="A1505" s="39"/>
      <c r="B1505" s="40"/>
      <c r="C1505" s="41"/>
      <c r="D1505" s="40"/>
      <c r="E1505" s="40"/>
      <c r="F1505" s="40"/>
      <c r="G1505" s="35" t="str">
        <f aca="false">IF($A1505="","",IF(ISNUMBER($G1504),$G1504+1,1))</f>
        <v/>
      </c>
      <c r="H1505" s="36" t="str">
        <f aca="false">IF(OR(NOT(ISNUMBER($G1505)),$G1505&lt;2,NOT(ISNUMBER($C1504)),$C1504=0),"",$C1505/$C1504-1)</f>
        <v/>
      </c>
      <c r="I1505" s="37" t="str">
        <f aca="false">IF(AND(ISNUMBER($G1505),$G1505&gt;=MA_SHORT),AVERAGE(INDEX($C$1105:$C1505,402-MA_SHORT):$C1505),"")</f>
        <v/>
      </c>
      <c r="J1505" s="37" t="str">
        <f aca="false">IF(AND(ISNUMBER($G1505),$G1505&gt;=MA_MED),AVERAGE(INDEX($C$1105:$C1505,402-MA_MED):$C1505),"")</f>
        <v/>
      </c>
      <c r="K1505" s="37" t="str">
        <f aca="false">IF(AND(ISNUMBER($G1505),$G1505&gt;=MA_LONG2),AVERAGE(INDEX($C$1105:$C1505,402-MA_LONG2):$C1505),"")</f>
        <v/>
      </c>
      <c r="L1505" s="38" t="str">
        <f aca="false">IF(AND(ISNUMBER($G1505),$G1505&gt;=21),STDEV(INDEX($H$1445:$H1505,62-20):$H1505)*SQRT(245),"")</f>
        <v/>
      </c>
      <c r="M1505" s="37" t="str">
        <f aca="false">IF(AND(ISNUMBER($G1505),$G1505&gt;=60),MAX(INDEX($D$1305:$D1505,202-60):$D1505),"")</f>
        <v/>
      </c>
      <c r="N1505" s="37" t="str">
        <f aca="false">IF(AND(ISNUMBER($G1505),$G1505&gt;=60),MIN(INDEX($E$1305:$E1505,202-60):$E1505),"")</f>
        <v/>
      </c>
      <c r="O1505" s="38" t="str">
        <f aca="false">IF(OR(NOT(ISNUMBER($C1505)),NOT(ISNUMBER($M1505)),$M1505=0),"",$C1505/$M1505-1)</f>
        <v/>
      </c>
    </row>
    <row r="1506" customFormat="false" ht="15" hidden="false" customHeight="true" outlineLevel="0" collapsed="false">
      <c r="A1506" s="39"/>
      <c r="B1506" s="40"/>
      <c r="C1506" s="41"/>
      <c r="D1506" s="40"/>
      <c r="E1506" s="40"/>
      <c r="F1506" s="40"/>
      <c r="G1506" s="35" t="str">
        <f aca="false">IF($A1506="","",IF(ISNUMBER($G1505),$G1505+1,1))</f>
        <v/>
      </c>
      <c r="H1506" s="36" t="str">
        <f aca="false">IF(OR(NOT(ISNUMBER($G1506)),$G1506&lt;2,NOT(ISNUMBER($C1505)),$C1505=0),"",$C1506/$C1505-1)</f>
        <v/>
      </c>
      <c r="I1506" s="37" t="str">
        <f aca="false">IF(AND(ISNUMBER($G1506),$G1506&gt;=MA_SHORT),AVERAGE(INDEX($C$1106:$C1506,402-MA_SHORT):$C1506),"")</f>
        <v/>
      </c>
      <c r="J1506" s="37" t="str">
        <f aca="false">IF(AND(ISNUMBER($G1506),$G1506&gt;=MA_MED),AVERAGE(INDEX($C$1106:$C1506,402-MA_MED):$C1506),"")</f>
        <v/>
      </c>
      <c r="K1506" s="37" t="str">
        <f aca="false">IF(AND(ISNUMBER($G1506),$G1506&gt;=MA_LONG2),AVERAGE(INDEX($C$1106:$C1506,402-MA_LONG2):$C1506),"")</f>
        <v/>
      </c>
      <c r="L1506" s="38" t="str">
        <f aca="false">IF(AND(ISNUMBER($G1506),$G1506&gt;=21),STDEV(INDEX($H$1446:$H1506,62-20):$H1506)*SQRT(245),"")</f>
        <v/>
      </c>
      <c r="M1506" s="37" t="str">
        <f aca="false">IF(AND(ISNUMBER($G1506),$G1506&gt;=60),MAX(INDEX($D$1306:$D1506,202-60):$D1506),"")</f>
        <v/>
      </c>
      <c r="N1506" s="37" t="str">
        <f aca="false">IF(AND(ISNUMBER($G1506),$G1506&gt;=60),MIN(INDEX($E$1306:$E1506,202-60):$E1506),"")</f>
        <v/>
      </c>
      <c r="O1506" s="38" t="str">
        <f aca="false">IF(OR(NOT(ISNUMBER($C1506)),NOT(ISNUMBER($M1506)),$M1506=0),"",$C1506/$M1506-1)</f>
        <v/>
      </c>
    </row>
    <row r="1507" customFormat="false" ht="15" hidden="false" customHeight="true" outlineLevel="0" collapsed="false">
      <c r="A1507" s="39"/>
      <c r="B1507" s="40"/>
      <c r="C1507" s="41"/>
      <c r="D1507" s="40"/>
      <c r="E1507" s="40"/>
      <c r="F1507" s="40"/>
      <c r="G1507" s="35" t="str">
        <f aca="false">IF($A1507="","",IF(ISNUMBER($G1506),$G1506+1,1))</f>
        <v/>
      </c>
      <c r="H1507" s="36" t="str">
        <f aca="false">IF(OR(NOT(ISNUMBER($G1507)),$G1507&lt;2,NOT(ISNUMBER($C1506)),$C1506=0),"",$C1507/$C1506-1)</f>
        <v/>
      </c>
      <c r="I1507" s="37" t="str">
        <f aca="false">IF(AND(ISNUMBER($G1507),$G1507&gt;=MA_SHORT),AVERAGE(INDEX($C$1107:$C1507,402-MA_SHORT):$C1507),"")</f>
        <v/>
      </c>
      <c r="J1507" s="37" t="str">
        <f aca="false">IF(AND(ISNUMBER($G1507),$G1507&gt;=MA_MED),AVERAGE(INDEX($C$1107:$C1507,402-MA_MED):$C1507),"")</f>
        <v/>
      </c>
      <c r="K1507" s="37" t="str">
        <f aca="false">IF(AND(ISNUMBER($G1507),$G1507&gt;=MA_LONG2),AVERAGE(INDEX($C$1107:$C1507,402-MA_LONG2):$C1507),"")</f>
        <v/>
      </c>
      <c r="L1507" s="38" t="str">
        <f aca="false">IF(AND(ISNUMBER($G1507),$G1507&gt;=21),STDEV(INDEX($H$1447:$H1507,62-20):$H1507)*SQRT(245),"")</f>
        <v/>
      </c>
      <c r="M1507" s="37" t="str">
        <f aca="false">IF(AND(ISNUMBER($G1507),$G1507&gt;=60),MAX(INDEX($D$1307:$D1507,202-60):$D1507),"")</f>
        <v/>
      </c>
      <c r="N1507" s="37" t="str">
        <f aca="false">IF(AND(ISNUMBER($G1507),$G1507&gt;=60),MIN(INDEX($E$1307:$E1507,202-60):$E1507),"")</f>
        <v/>
      </c>
      <c r="O1507" s="38" t="str">
        <f aca="false">IF(OR(NOT(ISNUMBER($C1507)),NOT(ISNUMBER($M1507)),$M1507=0),"",$C1507/$M1507-1)</f>
        <v/>
      </c>
    </row>
    <row r="1508" customFormat="false" ht="15" hidden="false" customHeight="true" outlineLevel="0" collapsed="false">
      <c r="A1508" s="39"/>
      <c r="B1508" s="40"/>
      <c r="C1508" s="41"/>
      <c r="D1508" s="40"/>
      <c r="E1508" s="40"/>
      <c r="F1508" s="40"/>
      <c r="G1508" s="35" t="str">
        <f aca="false">IF($A1508="","",IF(ISNUMBER($G1507),$G1507+1,1))</f>
        <v/>
      </c>
      <c r="H1508" s="36" t="str">
        <f aca="false">IF(OR(NOT(ISNUMBER($G1508)),$G1508&lt;2,NOT(ISNUMBER($C1507)),$C1507=0),"",$C1508/$C1507-1)</f>
        <v/>
      </c>
      <c r="I1508" s="37" t="str">
        <f aca="false">IF(AND(ISNUMBER($G1508),$G1508&gt;=MA_SHORT),AVERAGE(INDEX($C$1108:$C1508,402-MA_SHORT):$C1508),"")</f>
        <v/>
      </c>
      <c r="J1508" s="37" t="str">
        <f aca="false">IF(AND(ISNUMBER($G1508),$G1508&gt;=MA_MED),AVERAGE(INDEX($C$1108:$C1508,402-MA_MED):$C1508),"")</f>
        <v/>
      </c>
      <c r="K1508" s="37" t="str">
        <f aca="false">IF(AND(ISNUMBER($G1508),$G1508&gt;=MA_LONG2),AVERAGE(INDEX($C$1108:$C1508,402-MA_LONG2):$C1508),"")</f>
        <v/>
      </c>
      <c r="L1508" s="38" t="str">
        <f aca="false">IF(AND(ISNUMBER($G1508),$G1508&gt;=21),STDEV(INDEX($H$1448:$H1508,62-20):$H1508)*SQRT(245),"")</f>
        <v/>
      </c>
      <c r="M1508" s="37" t="str">
        <f aca="false">IF(AND(ISNUMBER($G1508),$G1508&gt;=60),MAX(INDEX($D$1308:$D1508,202-60):$D1508),"")</f>
        <v/>
      </c>
      <c r="N1508" s="37" t="str">
        <f aca="false">IF(AND(ISNUMBER($G1508),$G1508&gt;=60),MIN(INDEX($E$1308:$E1508,202-60):$E1508),"")</f>
        <v/>
      </c>
      <c r="O1508" s="38" t="str">
        <f aca="false">IF(OR(NOT(ISNUMBER($C1508)),NOT(ISNUMBER($M1508)),$M1508=0),"",$C1508/$M1508-1)</f>
        <v/>
      </c>
    </row>
    <row r="1509" customFormat="false" ht="15" hidden="false" customHeight="true" outlineLevel="0" collapsed="false">
      <c r="A1509" s="39"/>
      <c r="B1509" s="40"/>
      <c r="C1509" s="41"/>
      <c r="D1509" s="40"/>
      <c r="E1509" s="40"/>
      <c r="F1509" s="40"/>
      <c r="G1509" s="35" t="str">
        <f aca="false">IF($A1509="","",IF(ISNUMBER($G1508),$G1508+1,1))</f>
        <v/>
      </c>
      <c r="H1509" s="36" t="str">
        <f aca="false">IF(OR(NOT(ISNUMBER($G1509)),$G1509&lt;2,NOT(ISNUMBER($C1508)),$C1508=0),"",$C1509/$C1508-1)</f>
        <v/>
      </c>
      <c r="I1509" s="37" t="str">
        <f aca="false">IF(AND(ISNUMBER($G1509),$G1509&gt;=MA_SHORT),AVERAGE(INDEX($C$1109:$C1509,402-MA_SHORT):$C1509),"")</f>
        <v/>
      </c>
      <c r="J1509" s="37" t="str">
        <f aca="false">IF(AND(ISNUMBER($G1509),$G1509&gt;=MA_MED),AVERAGE(INDEX($C$1109:$C1509,402-MA_MED):$C1509),"")</f>
        <v/>
      </c>
      <c r="K1509" s="37" t="str">
        <f aca="false">IF(AND(ISNUMBER($G1509),$G1509&gt;=MA_LONG2),AVERAGE(INDEX($C$1109:$C1509,402-MA_LONG2):$C1509),"")</f>
        <v/>
      </c>
      <c r="L1509" s="38" t="str">
        <f aca="false">IF(AND(ISNUMBER($G1509),$G1509&gt;=21),STDEV(INDEX($H$1449:$H1509,62-20):$H1509)*SQRT(245),"")</f>
        <v/>
      </c>
      <c r="M1509" s="37" t="str">
        <f aca="false">IF(AND(ISNUMBER($G1509),$G1509&gt;=60),MAX(INDEX($D$1309:$D1509,202-60):$D1509),"")</f>
        <v/>
      </c>
      <c r="N1509" s="37" t="str">
        <f aca="false">IF(AND(ISNUMBER($G1509),$G1509&gt;=60),MIN(INDEX($E$1309:$E1509,202-60):$E1509),"")</f>
        <v/>
      </c>
      <c r="O1509" s="38" t="str">
        <f aca="false">IF(OR(NOT(ISNUMBER($C1509)),NOT(ISNUMBER($M1509)),$M1509=0),"",$C1509/$M1509-1)</f>
        <v/>
      </c>
    </row>
    <row r="1510" customFormat="false" ht="15" hidden="false" customHeight="true" outlineLevel="0" collapsed="false">
      <c r="A1510" s="39"/>
      <c r="B1510" s="40"/>
      <c r="C1510" s="41"/>
      <c r="D1510" s="40"/>
      <c r="E1510" s="40"/>
      <c r="F1510" s="40"/>
      <c r="G1510" s="35" t="str">
        <f aca="false">IF($A1510="","",IF(ISNUMBER($G1509),$G1509+1,1))</f>
        <v/>
      </c>
      <c r="H1510" s="36" t="str">
        <f aca="false">IF(OR(NOT(ISNUMBER($G1510)),$G1510&lt;2,NOT(ISNUMBER($C1509)),$C1509=0),"",$C1510/$C1509-1)</f>
        <v/>
      </c>
      <c r="I1510" s="37" t="str">
        <f aca="false">IF(AND(ISNUMBER($G1510),$G1510&gt;=MA_SHORT),AVERAGE(INDEX($C$1110:$C1510,402-MA_SHORT):$C1510),"")</f>
        <v/>
      </c>
      <c r="J1510" s="37" t="str">
        <f aca="false">IF(AND(ISNUMBER($G1510),$G1510&gt;=MA_MED),AVERAGE(INDEX($C$1110:$C1510,402-MA_MED):$C1510),"")</f>
        <v/>
      </c>
      <c r="K1510" s="37" t="str">
        <f aca="false">IF(AND(ISNUMBER($G1510),$G1510&gt;=MA_LONG2),AVERAGE(INDEX($C$1110:$C1510,402-MA_LONG2):$C1510),"")</f>
        <v/>
      </c>
      <c r="L1510" s="38" t="str">
        <f aca="false">IF(AND(ISNUMBER($G1510),$G1510&gt;=21),STDEV(INDEX($H$1450:$H1510,62-20):$H1510)*SQRT(245),"")</f>
        <v/>
      </c>
      <c r="M1510" s="37" t="str">
        <f aca="false">IF(AND(ISNUMBER($G1510),$G1510&gt;=60),MAX(INDEX($D$1310:$D1510,202-60):$D1510),"")</f>
        <v/>
      </c>
      <c r="N1510" s="37" t="str">
        <f aca="false">IF(AND(ISNUMBER($G1510),$G1510&gt;=60),MIN(INDEX($E$1310:$E1510,202-60):$E1510),"")</f>
        <v/>
      </c>
      <c r="O1510" s="38" t="str">
        <f aca="false">IF(OR(NOT(ISNUMBER($C1510)),NOT(ISNUMBER($M1510)),$M1510=0),"",$C1510/$M1510-1)</f>
        <v/>
      </c>
    </row>
    <row r="1511" customFormat="false" ht="15" hidden="false" customHeight="true" outlineLevel="0" collapsed="false">
      <c r="A1511" s="39"/>
      <c r="B1511" s="40"/>
      <c r="C1511" s="41"/>
      <c r="D1511" s="40"/>
      <c r="E1511" s="40"/>
      <c r="F1511" s="40"/>
      <c r="G1511" s="35" t="str">
        <f aca="false">IF($A1511="","",IF(ISNUMBER($G1510),$G1510+1,1))</f>
        <v/>
      </c>
      <c r="H1511" s="36" t="str">
        <f aca="false">IF(OR(NOT(ISNUMBER($G1511)),$G1511&lt;2,NOT(ISNUMBER($C1510)),$C1510=0),"",$C1511/$C1510-1)</f>
        <v/>
      </c>
      <c r="I1511" s="37" t="str">
        <f aca="false">IF(AND(ISNUMBER($G1511),$G1511&gt;=MA_SHORT),AVERAGE(INDEX($C$1111:$C1511,402-MA_SHORT):$C1511),"")</f>
        <v/>
      </c>
      <c r="J1511" s="37" t="str">
        <f aca="false">IF(AND(ISNUMBER($G1511),$G1511&gt;=MA_MED),AVERAGE(INDEX($C$1111:$C1511,402-MA_MED):$C1511),"")</f>
        <v/>
      </c>
      <c r="K1511" s="37" t="str">
        <f aca="false">IF(AND(ISNUMBER($G1511),$G1511&gt;=MA_LONG2),AVERAGE(INDEX($C$1111:$C1511,402-MA_LONG2):$C1511),"")</f>
        <v/>
      </c>
      <c r="L1511" s="38" t="str">
        <f aca="false">IF(AND(ISNUMBER($G1511),$G1511&gt;=21),STDEV(INDEX($H$1451:$H1511,62-20):$H1511)*SQRT(245),"")</f>
        <v/>
      </c>
      <c r="M1511" s="37" t="str">
        <f aca="false">IF(AND(ISNUMBER($G1511),$G1511&gt;=60),MAX(INDEX($D$1311:$D1511,202-60):$D1511),"")</f>
        <v/>
      </c>
      <c r="N1511" s="37" t="str">
        <f aca="false">IF(AND(ISNUMBER($G1511),$G1511&gt;=60),MIN(INDEX($E$1311:$E1511,202-60):$E1511),"")</f>
        <v/>
      </c>
      <c r="O1511" s="38" t="str">
        <f aca="false">IF(OR(NOT(ISNUMBER($C1511)),NOT(ISNUMBER($M1511)),$M1511=0),"",$C1511/$M1511-1)</f>
        <v/>
      </c>
    </row>
    <row r="1512" customFormat="false" ht="15" hidden="false" customHeight="true" outlineLevel="0" collapsed="false">
      <c r="A1512" s="39"/>
      <c r="B1512" s="40"/>
      <c r="C1512" s="41"/>
      <c r="D1512" s="40"/>
      <c r="E1512" s="40"/>
      <c r="F1512" s="40"/>
      <c r="G1512" s="35" t="str">
        <f aca="false">IF($A1512="","",IF(ISNUMBER($G1511),$G1511+1,1))</f>
        <v/>
      </c>
      <c r="H1512" s="36" t="str">
        <f aca="false">IF(OR(NOT(ISNUMBER($G1512)),$G1512&lt;2,NOT(ISNUMBER($C1511)),$C1511=0),"",$C1512/$C1511-1)</f>
        <v/>
      </c>
      <c r="I1512" s="37" t="str">
        <f aca="false">IF(AND(ISNUMBER($G1512),$G1512&gt;=MA_SHORT),AVERAGE(INDEX($C$1112:$C1512,402-MA_SHORT):$C1512),"")</f>
        <v/>
      </c>
      <c r="J1512" s="37" t="str">
        <f aca="false">IF(AND(ISNUMBER($G1512),$G1512&gt;=MA_MED),AVERAGE(INDEX($C$1112:$C1512,402-MA_MED):$C1512),"")</f>
        <v/>
      </c>
      <c r="K1512" s="37" t="str">
        <f aca="false">IF(AND(ISNUMBER($G1512),$G1512&gt;=MA_LONG2),AVERAGE(INDEX($C$1112:$C1512,402-MA_LONG2):$C1512),"")</f>
        <v/>
      </c>
      <c r="L1512" s="38" t="str">
        <f aca="false">IF(AND(ISNUMBER($G1512),$G1512&gt;=21),STDEV(INDEX($H$1452:$H1512,62-20):$H1512)*SQRT(245),"")</f>
        <v/>
      </c>
      <c r="M1512" s="37" t="str">
        <f aca="false">IF(AND(ISNUMBER($G1512),$G1512&gt;=60),MAX(INDEX($D$1312:$D1512,202-60):$D1512),"")</f>
        <v/>
      </c>
      <c r="N1512" s="37" t="str">
        <f aca="false">IF(AND(ISNUMBER($G1512),$G1512&gt;=60),MIN(INDEX($E$1312:$E1512,202-60):$E1512),"")</f>
        <v/>
      </c>
      <c r="O1512" s="38" t="str">
        <f aca="false">IF(OR(NOT(ISNUMBER($C1512)),NOT(ISNUMBER($M1512)),$M1512=0),"",$C1512/$M1512-1)</f>
        <v/>
      </c>
    </row>
    <row r="1513" customFormat="false" ht="15" hidden="false" customHeight="true" outlineLevel="0" collapsed="false">
      <c r="A1513" s="39"/>
      <c r="B1513" s="40"/>
      <c r="C1513" s="41"/>
      <c r="D1513" s="40"/>
      <c r="E1513" s="40"/>
      <c r="F1513" s="40"/>
      <c r="G1513" s="35" t="str">
        <f aca="false">IF($A1513="","",IF(ISNUMBER($G1512),$G1512+1,1))</f>
        <v/>
      </c>
      <c r="H1513" s="36" t="str">
        <f aca="false">IF(OR(NOT(ISNUMBER($G1513)),$G1513&lt;2,NOT(ISNUMBER($C1512)),$C1512=0),"",$C1513/$C1512-1)</f>
        <v/>
      </c>
      <c r="I1513" s="37" t="str">
        <f aca="false">IF(AND(ISNUMBER($G1513),$G1513&gt;=MA_SHORT),AVERAGE(INDEX($C$1113:$C1513,402-MA_SHORT):$C1513),"")</f>
        <v/>
      </c>
      <c r="J1513" s="37" t="str">
        <f aca="false">IF(AND(ISNUMBER($G1513),$G1513&gt;=MA_MED),AVERAGE(INDEX($C$1113:$C1513,402-MA_MED):$C1513),"")</f>
        <v/>
      </c>
      <c r="K1513" s="37" t="str">
        <f aca="false">IF(AND(ISNUMBER($G1513),$G1513&gt;=MA_LONG2),AVERAGE(INDEX($C$1113:$C1513,402-MA_LONG2):$C1513),"")</f>
        <v/>
      </c>
      <c r="L1513" s="38" t="str">
        <f aca="false">IF(AND(ISNUMBER($G1513),$G1513&gt;=21),STDEV(INDEX($H$1453:$H1513,62-20):$H1513)*SQRT(245),"")</f>
        <v/>
      </c>
      <c r="M1513" s="37" t="str">
        <f aca="false">IF(AND(ISNUMBER($G1513),$G1513&gt;=60),MAX(INDEX($D$1313:$D1513,202-60):$D1513),"")</f>
        <v/>
      </c>
      <c r="N1513" s="37" t="str">
        <f aca="false">IF(AND(ISNUMBER($G1513),$G1513&gt;=60),MIN(INDEX($E$1313:$E1513,202-60):$E1513),"")</f>
        <v/>
      </c>
      <c r="O1513" s="38" t="str">
        <f aca="false">IF(OR(NOT(ISNUMBER($C1513)),NOT(ISNUMBER($M1513)),$M1513=0),"",$C1513/$M1513-1)</f>
        <v/>
      </c>
    </row>
    <row r="1514" customFormat="false" ht="15" hidden="false" customHeight="true" outlineLevel="0" collapsed="false">
      <c r="A1514" s="39"/>
      <c r="B1514" s="40"/>
      <c r="C1514" s="41"/>
      <c r="D1514" s="40"/>
      <c r="E1514" s="40"/>
      <c r="F1514" s="40"/>
      <c r="G1514" s="35" t="str">
        <f aca="false">IF($A1514="","",IF(ISNUMBER($G1513),$G1513+1,1))</f>
        <v/>
      </c>
      <c r="H1514" s="36" t="str">
        <f aca="false">IF(OR(NOT(ISNUMBER($G1514)),$G1514&lt;2,NOT(ISNUMBER($C1513)),$C1513=0),"",$C1514/$C1513-1)</f>
        <v/>
      </c>
      <c r="I1514" s="37" t="str">
        <f aca="false">IF(AND(ISNUMBER($G1514),$G1514&gt;=MA_SHORT),AVERAGE(INDEX($C$1114:$C1514,402-MA_SHORT):$C1514),"")</f>
        <v/>
      </c>
      <c r="J1514" s="37" t="str">
        <f aca="false">IF(AND(ISNUMBER($G1514),$G1514&gt;=MA_MED),AVERAGE(INDEX($C$1114:$C1514,402-MA_MED):$C1514),"")</f>
        <v/>
      </c>
      <c r="K1514" s="37" t="str">
        <f aca="false">IF(AND(ISNUMBER($G1514),$G1514&gt;=MA_LONG2),AVERAGE(INDEX($C$1114:$C1514,402-MA_LONG2):$C1514),"")</f>
        <v/>
      </c>
      <c r="L1514" s="38" t="str">
        <f aca="false">IF(AND(ISNUMBER($G1514),$G1514&gt;=21),STDEV(INDEX($H$1454:$H1514,62-20):$H1514)*SQRT(245),"")</f>
        <v/>
      </c>
      <c r="M1514" s="37" t="str">
        <f aca="false">IF(AND(ISNUMBER($G1514),$G1514&gt;=60),MAX(INDEX($D$1314:$D1514,202-60):$D1514),"")</f>
        <v/>
      </c>
      <c r="N1514" s="37" t="str">
        <f aca="false">IF(AND(ISNUMBER($G1514),$G1514&gt;=60),MIN(INDEX($E$1314:$E1514,202-60):$E1514),"")</f>
        <v/>
      </c>
      <c r="O1514" s="38" t="str">
        <f aca="false">IF(OR(NOT(ISNUMBER($C1514)),NOT(ISNUMBER($M1514)),$M1514=0),"",$C1514/$M1514-1)</f>
        <v/>
      </c>
    </row>
    <row r="1515" customFormat="false" ht="15" hidden="false" customHeight="true" outlineLevel="0" collapsed="false">
      <c r="A1515" s="39"/>
      <c r="B1515" s="40"/>
      <c r="C1515" s="41"/>
      <c r="D1515" s="40"/>
      <c r="E1515" s="40"/>
      <c r="F1515" s="40"/>
      <c r="G1515" s="35" t="str">
        <f aca="false">IF($A1515="","",IF(ISNUMBER($G1514),$G1514+1,1))</f>
        <v/>
      </c>
      <c r="H1515" s="36" t="str">
        <f aca="false">IF(OR(NOT(ISNUMBER($G1515)),$G1515&lt;2,NOT(ISNUMBER($C1514)),$C1514=0),"",$C1515/$C1514-1)</f>
        <v/>
      </c>
      <c r="I1515" s="37" t="str">
        <f aca="false">IF(AND(ISNUMBER($G1515),$G1515&gt;=MA_SHORT),AVERAGE(INDEX($C$1115:$C1515,402-MA_SHORT):$C1515),"")</f>
        <v/>
      </c>
      <c r="J1515" s="37" t="str">
        <f aca="false">IF(AND(ISNUMBER($G1515),$G1515&gt;=MA_MED),AVERAGE(INDEX($C$1115:$C1515,402-MA_MED):$C1515),"")</f>
        <v/>
      </c>
      <c r="K1515" s="37" t="str">
        <f aca="false">IF(AND(ISNUMBER($G1515),$G1515&gt;=MA_LONG2),AVERAGE(INDEX($C$1115:$C1515,402-MA_LONG2):$C1515),"")</f>
        <v/>
      </c>
      <c r="L1515" s="38" t="str">
        <f aca="false">IF(AND(ISNUMBER($G1515),$G1515&gt;=21),STDEV(INDEX($H$1455:$H1515,62-20):$H1515)*SQRT(245),"")</f>
        <v/>
      </c>
      <c r="M1515" s="37" t="str">
        <f aca="false">IF(AND(ISNUMBER($G1515),$G1515&gt;=60),MAX(INDEX($D$1315:$D1515,202-60):$D1515),"")</f>
        <v/>
      </c>
      <c r="N1515" s="37" t="str">
        <f aca="false">IF(AND(ISNUMBER($G1515),$G1515&gt;=60),MIN(INDEX($E$1315:$E1515,202-60):$E1515),"")</f>
        <v/>
      </c>
      <c r="O1515" s="38" t="str">
        <f aca="false">IF(OR(NOT(ISNUMBER($C1515)),NOT(ISNUMBER($M1515)),$M1515=0),"",$C1515/$M1515-1)</f>
        <v/>
      </c>
    </row>
    <row r="1516" customFormat="false" ht="15" hidden="false" customHeight="true" outlineLevel="0" collapsed="false">
      <c r="A1516" s="39"/>
      <c r="B1516" s="40"/>
      <c r="C1516" s="41"/>
      <c r="D1516" s="40"/>
      <c r="E1516" s="40"/>
      <c r="F1516" s="40"/>
      <c r="G1516" s="35" t="str">
        <f aca="false">IF($A1516="","",IF(ISNUMBER($G1515),$G1515+1,1))</f>
        <v/>
      </c>
      <c r="H1516" s="36" t="str">
        <f aca="false">IF(OR(NOT(ISNUMBER($G1516)),$G1516&lt;2,NOT(ISNUMBER($C1515)),$C1515=0),"",$C1516/$C1515-1)</f>
        <v/>
      </c>
      <c r="I1516" s="37" t="str">
        <f aca="false">IF(AND(ISNUMBER($G1516),$G1516&gt;=MA_SHORT),AVERAGE(INDEX($C$1116:$C1516,402-MA_SHORT):$C1516),"")</f>
        <v/>
      </c>
      <c r="J1516" s="37" t="str">
        <f aca="false">IF(AND(ISNUMBER($G1516),$G1516&gt;=MA_MED),AVERAGE(INDEX($C$1116:$C1516,402-MA_MED):$C1516),"")</f>
        <v/>
      </c>
      <c r="K1516" s="37" t="str">
        <f aca="false">IF(AND(ISNUMBER($G1516),$G1516&gt;=MA_LONG2),AVERAGE(INDEX($C$1116:$C1516,402-MA_LONG2):$C1516),"")</f>
        <v/>
      </c>
      <c r="L1516" s="38" t="str">
        <f aca="false">IF(AND(ISNUMBER($G1516),$G1516&gt;=21),STDEV(INDEX($H$1456:$H1516,62-20):$H1516)*SQRT(245),"")</f>
        <v/>
      </c>
      <c r="M1516" s="37" t="str">
        <f aca="false">IF(AND(ISNUMBER($G1516),$G1516&gt;=60),MAX(INDEX($D$1316:$D1516,202-60):$D1516),"")</f>
        <v/>
      </c>
      <c r="N1516" s="37" t="str">
        <f aca="false">IF(AND(ISNUMBER($G1516),$G1516&gt;=60),MIN(INDEX($E$1316:$E1516,202-60):$E1516),"")</f>
        <v/>
      </c>
      <c r="O1516" s="38" t="str">
        <f aca="false">IF(OR(NOT(ISNUMBER($C1516)),NOT(ISNUMBER($M1516)),$M1516=0),"",$C1516/$M1516-1)</f>
        <v/>
      </c>
    </row>
    <row r="1517" customFormat="false" ht="15" hidden="false" customHeight="true" outlineLevel="0" collapsed="false">
      <c r="A1517" s="39"/>
      <c r="B1517" s="40"/>
      <c r="C1517" s="41"/>
      <c r="D1517" s="40"/>
      <c r="E1517" s="40"/>
      <c r="F1517" s="40"/>
      <c r="G1517" s="35" t="str">
        <f aca="false">IF($A1517="","",IF(ISNUMBER($G1516),$G1516+1,1))</f>
        <v/>
      </c>
      <c r="H1517" s="36" t="str">
        <f aca="false">IF(OR(NOT(ISNUMBER($G1517)),$G1517&lt;2,NOT(ISNUMBER($C1516)),$C1516=0),"",$C1517/$C1516-1)</f>
        <v/>
      </c>
      <c r="I1517" s="37" t="str">
        <f aca="false">IF(AND(ISNUMBER($G1517),$G1517&gt;=MA_SHORT),AVERAGE(INDEX($C$1117:$C1517,402-MA_SHORT):$C1517),"")</f>
        <v/>
      </c>
      <c r="J1517" s="37" t="str">
        <f aca="false">IF(AND(ISNUMBER($G1517),$G1517&gt;=MA_MED),AVERAGE(INDEX($C$1117:$C1517,402-MA_MED):$C1517),"")</f>
        <v/>
      </c>
      <c r="K1517" s="37" t="str">
        <f aca="false">IF(AND(ISNUMBER($G1517),$G1517&gt;=MA_LONG2),AVERAGE(INDEX($C$1117:$C1517,402-MA_LONG2):$C1517),"")</f>
        <v/>
      </c>
      <c r="L1517" s="38" t="str">
        <f aca="false">IF(AND(ISNUMBER($G1517),$G1517&gt;=21),STDEV(INDEX($H$1457:$H1517,62-20):$H1517)*SQRT(245),"")</f>
        <v/>
      </c>
      <c r="M1517" s="37" t="str">
        <f aca="false">IF(AND(ISNUMBER($G1517),$G1517&gt;=60),MAX(INDEX($D$1317:$D1517,202-60):$D1517),"")</f>
        <v/>
      </c>
      <c r="N1517" s="37" t="str">
        <f aca="false">IF(AND(ISNUMBER($G1517),$G1517&gt;=60),MIN(INDEX($E$1317:$E1517,202-60):$E1517),"")</f>
        <v/>
      </c>
      <c r="O1517" s="38" t="str">
        <f aca="false">IF(OR(NOT(ISNUMBER($C1517)),NOT(ISNUMBER($M1517)),$M1517=0),"",$C1517/$M1517-1)</f>
        <v/>
      </c>
    </row>
    <row r="1518" customFormat="false" ht="15" hidden="false" customHeight="true" outlineLevel="0" collapsed="false">
      <c r="A1518" s="39"/>
      <c r="B1518" s="40"/>
      <c r="C1518" s="41"/>
      <c r="D1518" s="40"/>
      <c r="E1518" s="40"/>
      <c r="F1518" s="40"/>
      <c r="G1518" s="35" t="str">
        <f aca="false">IF($A1518="","",IF(ISNUMBER($G1517),$G1517+1,1))</f>
        <v/>
      </c>
      <c r="H1518" s="36" t="str">
        <f aca="false">IF(OR(NOT(ISNUMBER($G1518)),$G1518&lt;2,NOT(ISNUMBER($C1517)),$C1517=0),"",$C1518/$C1517-1)</f>
        <v/>
      </c>
      <c r="I1518" s="37" t="str">
        <f aca="false">IF(AND(ISNUMBER($G1518),$G1518&gt;=MA_SHORT),AVERAGE(INDEX($C$1118:$C1518,402-MA_SHORT):$C1518),"")</f>
        <v/>
      </c>
      <c r="J1518" s="37" t="str">
        <f aca="false">IF(AND(ISNUMBER($G1518),$G1518&gt;=MA_MED),AVERAGE(INDEX($C$1118:$C1518,402-MA_MED):$C1518),"")</f>
        <v/>
      </c>
      <c r="K1518" s="37" t="str">
        <f aca="false">IF(AND(ISNUMBER($G1518),$G1518&gt;=MA_LONG2),AVERAGE(INDEX($C$1118:$C1518,402-MA_LONG2):$C1518),"")</f>
        <v/>
      </c>
      <c r="L1518" s="38" t="str">
        <f aca="false">IF(AND(ISNUMBER($G1518),$G1518&gt;=21),STDEV(INDEX($H$1458:$H1518,62-20):$H1518)*SQRT(245),"")</f>
        <v/>
      </c>
      <c r="M1518" s="37" t="str">
        <f aca="false">IF(AND(ISNUMBER($G1518),$G1518&gt;=60),MAX(INDEX($D$1318:$D1518,202-60):$D1518),"")</f>
        <v/>
      </c>
      <c r="N1518" s="37" t="str">
        <f aca="false">IF(AND(ISNUMBER($G1518),$G1518&gt;=60),MIN(INDEX($E$1318:$E1518,202-60):$E1518),"")</f>
        <v/>
      </c>
      <c r="O1518" s="38" t="str">
        <f aca="false">IF(OR(NOT(ISNUMBER($C1518)),NOT(ISNUMBER($M1518)),$M1518=0),"",$C1518/$M1518-1)</f>
        <v/>
      </c>
    </row>
    <row r="1519" customFormat="false" ht="15" hidden="false" customHeight="true" outlineLevel="0" collapsed="false">
      <c r="A1519" s="39"/>
      <c r="B1519" s="40"/>
      <c r="C1519" s="41"/>
      <c r="D1519" s="40"/>
      <c r="E1519" s="40"/>
      <c r="F1519" s="40"/>
      <c r="G1519" s="35" t="str">
        <f aca="false">IF($A1519="","",IF(ISNUMBER($G1518),$G1518+1,1))</f>
        <v/>
      </c>
      <c r="H1519" s="36" t="str">
        <f aca="false">IF(OR(NOT(ISNUMBER($G1519)),$G1519&lt;2,NOT(ISNUMBER($C1518)),$C1518=0),"",$C1519/$C1518-1)</f>
        <v/>
      </c>
      <c r="I1519" s="37" t="str">
        <f aca="false">IF(AND(ISNUMBER($G1519),$G1519&gt;=MA_SHORT),AVERAGE(INDEX($C$1119:$C1519,402-MA_SHORT):$C1519),"")</f>
        <v/>
      </c>
      <c r="J1519" s="37" t="str">
        <f aca="false">IF(AND(ISNUMBER($G1519),$G1519&gt;=MA_MED),AVERAGE(INDEX($C$1119:$C1519,402-MA_MED):$C1519),"")</f>
        <v/>
      </c>
      <c r="K1519" s="37" t="str">
        <f aca="false">IF(AND(ISNUMBER($G1519),$G1519&gt;=MA_LONG2),AVERAGE(INDEX($C$1119:$C1519,402-MA_LONG2):$C1519),"")</f>
        <v/>
      </c>
      <c r="L1519" s="38" t="str">
        <f aca="false">IF(AND(ISNUMBER($G1519),$G1519&gt;=21),STDEV(INDEX($H$1459:$H1519,62-20):$H1519)*SQRT(245),"")</f>
        <v/>
      </c>
      <c r="M1519" s="37" t="str">
        <f aca="false">IF(AND(ISNUMBER($G1519),$G1519&gt;=60),MAX(INDEX($D$1319:$D1519,202-60):$D1519),"")</f>
        <v/>
      </c>
      <c r="N1519" s="37" t="str">
        <f aca="false">IF(AND(ISNUMBER($G1519),$G1519&gt;=60),MIN(INDEX($E$1319:$E1519,202-60):$E1519),"")</f>
        <v/>
      </c>
      <c r="O1519" s="38" t="str">
        <f aca="false">IF(OR(NOT(ISNUMBER($C1519)),NOT(ISNUMBER($M1519)),$M1519=0),"",$C1519/$M1519-1)</f>
        <v/>
      </c>
    </row>
    <row r="1520" customFormat="false" ht="15" hidden="false" customHeight="true" outlineLevel="0" collapsed="false">
      <c r="A1520" s="39"/>
      <c r="B1520" s="40"/>
      <c r="C1520" s="41"/>
      <c r="D1520" s="40"/>
      <c r="E1520" s="40"/>
      <c r="F1520" s="40"/>
      <c r="G1520" s="35" t="str">
        <f aca="false">IF($A1520="","",IF(ISNUMBER($G1519),$G1519+1,1))</f>
        <v/>
      </c>
      <c r="H1520" s="36" t="str">
        <f aca="false">IF(OR(NOT(ISNUMBER($G1520)),$G1520&lt;2,NOT(ISNUMBER($C1519)),$C1519=0),"",$C1520/$C1519-1)</f>
        <v/>
      </c>
      <c r="I1520" s="37" t="str">
        <f aca="false">IF(AND(ISNUMBER($G1520),$G1520&gt;=MA_SHORT),AVERAGE(INDEX($C$1120:$C1520,402-MA_SHORT):$C1520),"")</f>
        <v/>
      </c>
      <c r="J1520" s="37" t="str">
        <f aca="false">IF(AND(ISNUMBER($G1520),$G1520&gt;=MA_MED),AVERAGE(INDEX($C$1120:$C1520,402-MA_MED):$C1520),"")</f>
        <v/>
      </c>
      <c r="K1520" s="37" t="str">
        <f aca="false">IF(AND(ISNUMBER($G1520),$G1520&gt;=MA_LONG2),AVERAGE(INDEX($C$1120:$C1520,402-MA_LONG2):$C1520),"")</f>
        <v/>
      </c>
      <c r="L1520" s="38" t="str">
        <f aca="false">IF(AND(ISNUMBER($G1520),$G1520&gt;=21),STDEV(INDEX($H$1460:$H1520,62-20):$H1520)*SQRT(245),"")</f>
        <v/>
      </c>
      <c r="M1520" s="37" t="str">
        <f aca="false">IF(AND(ISNUMBER($G1520),$G1520&gt;=60),MAX(INDEX($D$1320:$D1520,202-60):$D1520),"")</f>
        <v/>
      </c>
      <c r="N1520" s="37" t="str">
        <f aca="false">IF(AND(ISNUMBER($G1520),$G1520&gt;=60),MIN(INDEX($E$1320:$E1520,202-60):$E1520),"")</f>
        <v/>
      </c>
      <c r="O1520" s="38" t="str">
        <f aca="false">IF(OR(NOT(ISNUMBER($C1520)),NOT(ISNUMBER($M1520)),$M1520=0),"",$C1520/$M1520-1)</f>
        <v/>
      </c>
    </row>
    <row r="1521" customFormat="false" ht="15" hidden="false" customHeight="true" outlineLevel="0" collapsed="false">
      <c r="A1521" s="39"/>
      <c r="B1521" s="40"/>
      <c r="C1521" s="41"/>
      <c r="D1521" s="40"/>
      <c r="E1521" s="40"/>
      <c r="F1521" s="40"/>
      <c r="G1521" s="35" t="str">
        <f aca="false">IF($A1521="","",IF(ISNUMBER($G1520),$G1520+1,1))</f>
        <v/>
      </c>
      <c r="H1521" s="36" t="str">
        <f aca="false">IF(OR(NOT(ISNUMBER($G1521)),$G1521&lt;2,NOT(ISNUMBER($C1520)),$C1520=0),"",$C1521/$C1520-1)</f>
        <v/>
      </c>
      <c r="I1521" s="37" t="str">
        <f aca="false">IF(AND(ISNUMBER($G1521),$G1521&gt;=MA_SHORT),AVERAGE(INDEX($C$1121:$C1521,402-MA_SHORT):$C1521),"")</f>
        <v/>
      </c>
      <c r="J1521" s="37" t="str">
        <f aca="false">IF(AND(ISNUMBER($G1521),$G1521&gt;=MA_MED),AVERAGE(INDEX($C$1121:$C1521,402-MA_MED):$C1521),"")</f>
        <v/>
      </c>
      <c r="K1521" s="37" t="str">
        <f aca="false">IF(AND(ISNUMBER($G1521),$G1521&gt;=MA_LONG2),AVERAGE(INDEX($C$1121:$C1521,402-MA_LONG2):$C1521),"")</f>
        <v/>
      </c>
      <c r="L1521" s="38" t="str">
        <f aca="false">IF(AND(ISNUMBER($G1521),$G1521&gt;=21),STDEV(INDEX($H$1461:$H1521,62-20):$H1521)*SQRT(245),"")</f>
        <v/>
      </c>
      <c r="M1521" s="37" t="str">
        <f aca="false">IF(AND(ISNUMBER($G1521),$G1521&gt;=60),MAX(INDEX($D$1321:$D1521,202-60):$D1521),"")</f>
        <v/>
      </c>
      <c r="N1521" s="37" t="str">
        <f aca="false">IF(AND(ISNUMBER($G1521),$G1521&gt;=60),MIN(INDEX($E$1321:$E1521,202-60):$E1521),"")</f>
        <v/>
      </c>
      <c r="O1521" s="38" t="str">
        <f aca="false">IF(OR(NOT(ISNUMBER($C1521)),NOT(ISNUMBER($M1521)),$M1521=0),"",$C1521/$M1521-1)</f>
        <v/>
      </c>
    </row>
    <row r="1522" customFormat="false" ht="15" hidden="false" customHeight="true" outlineLevel="0" collapsed="false">
      <c r="A1522" s="39"/>
      <c r="B1522" s="40"/>
      <c r="C1522" s="41"/>
      <c r="D1522" s="40"/>
      <c r="E1522" s="40"/>
      <c r="F1522" s="40"/>
      <c r="G1522" s="35" t="str">
        <f aca="false">IF($A1522="","",IF(ISNUMBER($G1521),$G1521+1,1))</f>
        <v/>
      </c>
      <c r="H1522" s="36" t="str">
        <f aca="false">IF(OR(NOT(ISNUMBER($G1522)),$G1522&lt;2,NOT(ISNUMBER($C1521)),$C1521=0),"",$C1522/$C1521-1)</f>
        <v/>
      </c>
      <c r="I1522" s="37" t="str">
        <f aca="false">IF(AND(ISNUMBER($G1522),$G1522&gt;=MA_SHORT),AVERAGE(INDEX($C$1122:$C1522,402-MA_SHORT):$C1522),"")</f>
        <v/>
      </c>
      <c r="J1522" s="37" t="str">
        <f aca="false">IF(AND(ISNUMBER($G1522),$G1522&gt;=MA_MED),AVERAGE(INDEX($C$1122:$C1522,402-MA_MED):$C1522),"")</f>
        <v/>
      </c>
      <c r="K1522" s="37" t="str">
        <f aca="false">IF(AND(ISNUMBER($G1522),$G1522&gt;=MA_LONG2),AVERAGE(INDEX($C$1122:$C1522,402-MA_LONG2):$C1522),"")</f>
        <v/>
      </c>
      <c r="L1522" s="38" t="str">
        <f aca="false">IF(AND(ISNUMBER($G1522),$G1522&gt;=21),STDEV(INDEX($H$1462:$H1522,62-20):$H1522)*SQRT(245),"")</f>
        <v/>
      </c>
      <c r="M1522" s="37" t="str">
        <f aca="false">IF(AND(ISNUMBER($G1522),$G1522&gt;=60),MAX(INDEX($D$1322:$D1522,202-60):$D1522),"")</f>
        <v/>
      </c>
      <c r="N1522" s="37" t="str">
        <f aca="false">IF(AND(ISNUMBER($G1522),$G1522&gt;=60),MIN(INDEX($E$1322:$E1522,202-60):$E1522),"")</f>
        <v/>
      </c>
      <c r="O1522" s="38" t="str">
        <f aca="false">IF(OR(NOT(ISNUMBER($C1522)),NOT(ISNUMBER($M1522)),$M1522=0),"",$C1522/$M1522-1)</f>
        <v/>
      </c>
    </row>
    <row r="1523" customFormat="false" ht="15" hidden="false" customHeight="true" outlineLevel="0" collapsed="false">
      <c r="A1523" s="39"/>
      <c r="B1523" s="40"/>
      <c r="C1523" s="41"/>
      <c r="D1523" s="40"/>
      <c r="E1523" s="40"/>
      <c r="F1523" s="40"/>
      <c r="G1523" s="35" t="str">
        <f aca="false">IF($A1523="","",IF(ISNUMBER($G1522),$G1522+1,1))</f>
        <v/>
      </c>
      <c r="H1523" s="36" t="str">
        <f aca="false">IF(OR(NOT(ISNUMBER($G1523)),$G1523&lt;2,NOT(ISNUMBER($C1522)),$C1522=0),"",$C1523/$C1522-1)</f>
        <v/>
      </c>
      <c r="I1523" s="37" t="str">
        <f aca="false">IF(AND(ISNUMBER($G1523),$G1523&gt;=MA_SHORT),AVERAGE(INDEX($C$1123:$C1523,402-MA_SHORT):$C1523),"")</f>
        <v/>
      </c>
      <c r="J1523" s="37" t="str">
        <f aca="false">IF(AND(ISNUMBER($G1523),$G1523&gt;=MA_MED),AVERAGE(INDEX($C$1123:$C1523,402-MA_MED):$C1523),"")</f>
        <v/>
      </c>
      <c r="K1523" s="37" t="str">
        <f aca="false">IF(AND(ISNUMBER($G1523),$G1523&gt;=MA_LONG2),AVERAGE(INDEX($C$1123:$C1523,402-MA_LONG2):$C1523),"")</f>
        <v/>
      </c>
      <c r="L1523" s="38" t="str">
        <f aca="false">IF(AND(ISNUMBER($G1523),$G1523&gt;=21),STDEV(INDEX($H$1463:$H1523,62-20):$H1523)*SQRT(245),"")</f>
        <v/>
      </c>
      <c r="M1523" s="37" t="str">
        <f aca="false">IF(AND(ISNUMBER($G1523),$G1523&gt;=60),MAX(INDEX($D$1323:$D1523,202-60):$D1523),"")</f>
        <v/>
      </c>
      <c r="N1523" s="37" t="str">
        <f aca="false">IF(AND(ISNUMBER($G1523),$G1523&gt;=60),MIN(INDEX($E$1323:$E1523,202-60):$E1523),"")</f>
        <v/>
      </c>
      <c r="O1523" s="38" t="str">
        <f aca="false">IF(OR(NOT(ISNUMBER($C1523)),NOT(ISNUMBER($M1523)),$M1523=0),"",$C1523/$M1523-1)</f>
        <v/>
      </c>
    </row>
    <row r="1524" customFormat="false" ht="15" hidden="false" customHeight="true" outlineLevel="0" collapsed="false">
      <c r="A1524" s="39"/>
      <c r="B1524" s="40"/>
      <c r="C1524" s="41"/>
      <c r="D1524" s="40"/>
      <c r="E1524" s="40"/>
      <c r="F1524" s="40"/>
      <c r="G1524" s="35" t="str">
        <f aca="false">IF($A1524="","",IF(ISNUMBER($G1523),$G1523+1,1))</f>
        <v/>
      </c>
      <c r="H1524" s="36" t="str">
        <f aca="false">IF(OR(NOT(ISNUMBER($G1524)),$G1524&lt;2,NOT(ISNUMBER($C1523)),$C1523=0),"",$C1524/$C1523-1)</f>
        <v/>
      </c>
      <c r="I1524" s="37" t="str">
        <f aca="false">IF(AND(ISNUMBER($G1524),$G1524&gt;=MA_SHORT),AVERAGE(INDEX($C$1124:$C1524,402-MA_SHORT):$C1524),"")</f>
        <v/>
      </c>
      <c r="J1524" s="37" t="str">
        <f aca="false">IF(AND(ISNUMBER($G1524),$G1524&gt;=MA_MED),AVERAGE(INDEX($C$1124:$C1524,402-MA_MED):$C1524),"")</f>
        <v/>
      </c>
      <c r="K1524" s="37" t="str">
        <f aca="false">IF(AND(ISNUMBER($G1524),$G1524&gt;=MA_LONG2),AVERAGE(INDEX($C$1124:$C1524,402-MA_LONG2):$C1524),"")</f>
        <v/>
      </c>
      <c r="L1524" s="38" t="str">
        <f aca="false">IF(AND(ISNUMBER($G1524),$G1524&gt;=21),STDEV(INDEX($H$1464:$H1524,62-20):$H1524)*SQRT(245),"")</f>
        <v/>
      </c>
      <c r="M1524" s="37" t="str">
        <f aca="false">IF(AND(ISNUMBER($G1524),$G1524&gt;=60),MAX(INDEX($D$1324:$D1524,202-60):$D1524),"")</f>
        <v/>
      </c>
      <c r="N1524" s="37" t="str">
        <f aca="false">IF(AND(ISNUMBER($G1524),$G1524&gt;=60),MIN(INDEX($E$1324:$E1524,202-60):$E1524),"")</f>
        <v/>
      </c>
      <c r="O1524" s="38" t="str">
        <f aca="false">IF(OR(NOT(ISNUMBER($C1524)),NOT(ISNUMBER($M1524)),$M1524=0),"",$C1524/$M1524-1)</f>
        <v/>
      </c>
    </row>
    <row r="1525" customFormat="false" ht="15" hidden="false" customHeight="true" outlineLevel="0" collapsed="false">
      <c r="A1525" s="39"/>
      <c r="B1525" s="40"/>
      <c r="C1525" s="41"/>
      <c r="D1525" s="40"/>
      <c r="E1525" s="40"/>
      <c r="F1525" s="40"/>
      <c r="G1525" s="35" t="str">
        <f aca="false">IF($A1525="","",IF(ISNUMBER($G1524),$G1524+1,1))</f>
        <v/>
      </c>
      <c r="H1525" s="36" t="str">
        <f aca="false">IF(OR(NOT(ISNUMBER($G1525)),$G1525&lt;2,NOT(ISNUMBER($C1524)),$C1524=0),"",$C1525/$C1524-1)</f>
        <v/>
      </c>
      <c r="I1525" s="37" t="str">
        <f aca="false">IF(AND(ISNUMBER($G1525),$G1525&gt;=MA_SHORT),AVERAGE(INDEX($C$1125:$C1525,402-MA_SHORT):$C1525),"")</f>
        <v/>
      </c>
      <c r="J1525" s="37" t="str">
        <f aca="false">IF(AND(ISNUMBER($G1525),$G1525&gt;=MA_MED),AVERAGE(INDEX($C$1125:$C1525,402-MA_MED):$C1525),"")</f>
        <v/>
      </c>
      <c r="K1525" s="37" t="str">
        <f aca="false">IF(AND(ISNUMBER($G1525),$G1525&gt;=MA_LONG2),AVERAGE(INDEX($C$1125:$C1525,402-MA_LONG2):$C1525),"")</f>
        <v/>
      </c>
      <c r="L1525" s="38" t="str">
        <f aca="false">IF(AND(ISNUMBER($G1525),$G1525&gt;=21),STDEV(INDEX($H$1465:$H1525,62-20):$H1525)*SQRT(245),"")</f>
        <v/>
      </c>
      <c r="M1525" s="37" t="str">
        <f aca="false">IF(AND(ISNUMBER($G1525),$G1525&gt;=60),MAX(INDEX($D$1325:$D1525,202-60):$D1525),"")</f>
        <v/>
      </c>
      <c r="N1525" s="37" t="str">
        <f aca="false">IF(AND(ISNUMBER($G1525),$G1525&gt;=60),MIN(INDEX($E$1325:$E1525,202-60):$E1525),"")</f>
        <v/>
      </c>
      <c r="O1525" s="38" t="str">
        <f aca="false">IF(OR(NOT(ISNUMBER($C1525)),NOT(ISNUMBER($M1525)),$M1525=0),"",$C1525/$M1525-1)</f>
        <v/>
      </c>
    </row>
    <row r="1526" customFormat="false" ht="15" hidden="false" customHeight="true" outlineLevel="0" collapsed="false">
      <c r="A1526" s="39"/>
      <c r="B1526" s="40"/>
      <c r="C1526" s="41"/>
      <c r="D1526" s="40"/>
      <c r="E1526" s="40"/>
      <c r="F1526" s="40"/>
      <c r="G1526" s="35" t="str">
        <f aca="false">IF($A1526="","",IF(ISNUMBER($G1525),$G1525+1,1))</f>
        <v/>
      </c>
      <c r="H1526" s="36" t="str">
        <f aca="false">IF(OR(NOT(ISNUMBER($G1526)),$G1526&lt;2,NOT(ISNUMBER($C1525)),$C1525=0),"",$C1526/$C1525-1)</f>
        <v/>
      </c>
      <c r="I1526" s="37" t="str">
        <f aca="false">IF(AND(ISNUMBER($G1526),$G1526&gt;=MA_SHORT),AVERAGE(INDEX($C$1126:$C1526,402-MA_SHORT):$C1526),"")</f>
        <v/>
      </c>
      <c r="J1526" s="37" t="str">
        <f aca="false">IF(AND(ISNUMBER($G1526),$G1526&gt;=MA_MED),AVERAGE(INDEX($C$1126:$C1526,402-MA_MED):$C1526),"")</f>
        <v/>
      </c>
      <c r="K1526" s="37" t="str">
        <f aca="false">IF(AND(ISNUMBER($G1526),$G1526&gt;=MA_LONG2),AVERAGE(INDEX($C$1126:$C1526,402-MA_LONG2):$C1526),"")</f>
        <v/>
      </c>
      <c r="L1526" s="38" t="str">
        <f aca="false">IF(AND(ISNUMBER($G1526),$G1526&gt;=21),STDEV(INDEX($H$1466:$H1526,62-20):$H1526)*SQRT(245),"")</f>
        <v/>
      </c>
      <c r="M1526" s="37" t="str">
        <f aca="false">IF(AND(ISNUMBER($G1526),$G1526&gt;=60),MAX(INDEX($D$1326:$D1526,202-60):$D1526),"")</f>
        <v/>
      </c>
      <c r="N1526" s="37" t="str">
        <f aca="false">IF(AND(ISNUMBER($G1526),$G1526&gt;=60),MIN(INDEX($E$1326:$E1526,202-60):$E1526),"")</f>
        <v/>
      </c>
      <c r="O1526" s="38" t="str">
        <f aca="false">IF(OR(NOT(ISNUMBER($C1526)),NOT(ISNUMBER($M1526)),$M1526=0),"",$C1526/$M1526-1)</f>
        <v/>
      </c>
    </row>
    <row r="1527" customFormat="false" ht="15" hidden="false" customHeight="true" outlineLevel="0" collapsed="false">
      <c r="A1527" s="39"/>
      <c r="B1527" s="40"/>
      <c r="C1527" s="41"/>
      <c r="D1527" s="40"/>
      <c r="E1527" s="40"/>
      <c r="F1527" s="40"/>
      <c r="G1527" s="35" t="str">
        <f aca="false">IF($A1527="","",IF(ISNUMBER($G1526),$G1526+1,1))</f>
        <v/>
      </c>
      <c r="H1527" s="36" t="str">
        <f aca="false">IF(OR(NOT(ISNUMBER($G1527)),$G1527&lt;2,NOT(ISNUMBER($C1526)),$C1526=0),"",$C1527/$C1526-1)</f>
        <v/>
      </c>
      <c r="I1527" s="37" t="str">
        <f aca="false">IF(AND(ISNUMBER($G1527),$G1527&gt;=MA_SHORT),AVERAGE(INDEX($C$1127:$C1527,402-MA_SHORT):$C1527),"")</f>
        <v/>
      </c>
      <c r="J1527" s="37" t="str">
        <f aca="false">IF(AND(ISNUMBER($G1527),$G1527&gt;=MA_MED),AVERAGE(INDEX($C$1127:$C1527,402-MA_MED):$C1527),"")</f>
        <v/>
      </c>
      <c r="K1527" s="37" t="str">
        <f aca="false">IF(AND(ISNUMBER($G1527),$G1527&gt;=MA_LONG2),AVERAGE(INDEX($C$1127:$C1527,402-MA_LONG2):$C1527),"")</f>
        <v/>
      </c>
      <c r="L1527" s="38" t="str">
        <f aca="false">IF(AND(ISNUMBER($G1527),$G1527&gt;=21),STDEV(INDEX($H$1467:$H1527,62-20):$H1527)*SQRT(245),"")</f>
        <v/>
      </c>
      <c r="M1527" s="37" t="str">
        <f aca="false">IF(AND(ISNUMBER($G1527),$G1527&gt;=60),MAX(INDEX($D$1327:$D1527,202-60):$D1527),"")</f>
        <v/>
      </c>
      <c r="N1527" s="37" t="str">
        <f aca="false">IF(AND(ISNUMBER($G1527),$G1527&gt;=60),MIN(INDEX($E$1327:$E1527,202-60):$E1527),"")</f>
        <v/>
      </c>
      <c r="O1527" s="38" t="str">
        <f aca="false">IF(OR(NOT(ISNUMBER($C1527)),NOT(ISNUMBER($M1527)),$M1527=0),"",$C1527/$M1527-1)</f>
        <v/>
      </c>
    </row>
    <row r="1528" customFormat="false" ht="15" hidden="false" customHeight="true" outlineLevel="0" collapsed="false">
      <c r="A1528" s="39"/>
      <c r="B1528" s="40"/>
      <c r="C1528" s="41"/>
      <c r="D1528" s="40"/>
      <c r="E1528" s="40"/>
      <c r="F1528" s="40"/>
      <c r="G1528" s="35" t="str">
        <f aca="false">IF($A1528="","",IF(ISNUMBER($G1527),$G1527+1,1))</f>
        <v/>
      </c>
      <c r="H1528" s="36" t="str">
        <f aca="false">IF(OR(NOT(ISNUMBER($G1528)),$G1528&lt;2,NOT(ISNUMBER($C1527)),$C1527=0),"",$C1528/$C1527-1)</f>
        <v/>
      </c>
      <c r="I1528" s="37" t="str">
        <f aca="false">IF(AND(ISNUMBER($G1528),$G1528&gt;=MA_SHORT),AVERAGE(INDEX($C$1128:$C1528,402-MA_SHORT):$C1528),"")</f>
        <v/>
      </c>
      <c r="J1528" s="37" t="str">
        <f aca="false">IF(AND(ISNUMBER($G1528),$G1528&gt;=MA_MED),AVERAGE(INDEX($C$1128:$C1528,402-MA_MED):$C1528),"")</f>
        <v/>
      </c>
      <c r="K1528" s="37" t="str">
        <f aca="false">IF(AND(ISNUMBER($G1528),$G1528&gt;=MA_LONG2),AVERAGE(INDEX($C$1128:$C1528,402-MA_LONG2):$C1528),"")</f>
        <v/>
      </c>
      <c r="L1528" s="38" t="str">
        <f aca="false">IF(AND(ISNUMBER($G1528),$G1528&gt;=21),STDEV(INDEX($H$1468:$H1528,62-20):$H1528)*SQRT(245),"")</f>
        <v/>
      </c>
      <c r="M1528" s="37" t="str">
        <f aca="false">IF(AND(ISNUMBER($G1528),$G1528&gt;=60),MAX(INDEX($D$1328:$D1528,202-60):$D1528),"")</f>
        <v/>
      </c>
      <c r="N1528" s="37" t="str">
        <f aca="false">IF(AND(ISNUMBER($G1528),$G1528&gt;=60),MIN(INDEX($E$1328:$E1528,202-60):$E1528),"")</f>
        <v/>
      </c>
      <c r="O1528" s="38" t="str">
        <f aca="false">IF(OR(NOT(ISNUMBER($C1528)),NOT(ISNUMBER($M1528)),$M1528=0),"",$C1528/$M1528-1)</f>
        <v/>
      </c>
    </row>
    <row r="1529" customFormat="false" ht="15" hidden="false" customHeight="true" outlineLevel="0" collapsed="false">
      <c r="A1529" s="39"/>
      <c r="B1529" s="40"/>
      <c r="C1529" s="41"/>
      <c r="D1529" s="40"/>
      <c r="E1529" s="40"/>
      <c r="F1529" s="40"/>
      <c r="G1529" s="35" t="str">
        <f aca="false">IF($A1529="","",IF(ISNUMBER($G1528),$G1528+1,1))</f>
        <v/>
      </c>
      <c r="H1529" s="36" t="str">
        <f aca="false">IF(OR(NOT(ISNUMBER($G1529)),$G1529&lt;2,NOT(ISNUMBER($C1528)),$C1528=0),"",$C1529/$C1528-1)</f>
        <v/>
      </c>
      <c r="I1529" s="37" t="str">
        <f aca="false">IF(AND(ISNUMBER($G1529),$G1529&gt;=MA_SHORT),AVERAGE(INDEX($C$1129:$C1529,402-MA_SHORT):$C1529),"")</f>
        <v/>
      </c>
      <c r="J1529" s="37" t="str">
        <f aca="false">IF(AND(ISNUMBER($G1529),$G1529&gt;=MA_MED),AVERAGE(INDEX($C$1129:$C1529,402-MA_MED):$C1529),"")</f>
        <v/>
      </c>
      <c r="K1529" s="37" t="str">
        <f aca="false">IF(AND(ISNUMBER($G1529),$G1529&gt;=MA_LONG2),AVERAGE(INDEX($C$1129:$C1529,402-MA_LONG2):$C1529),"")</f>
        <v/>
      </c>
      <c r="L1529" s="38" t="str">
        <f aca="false">IF(AND(ISNUMBER($G1529),$G1529&gt;=21),STDEV(INDEX($H$1469:$H1529,62-20):$H1529)*SQRT(245),"")</f>
        <v/>
      </c>
      <c r="M1529" s="37" t="str">
        <f aca="false">IF(AND(ISNUMBER($G1529),$G1529&gt;=60),MAX(INDEX($D$1329:$D1529,202-60):$D1529),"")</f>
        <v/>
      </c>
      <c r="N1529" s="37" t="str">
        <f aca="false">IF(AND(ISNUMBER($G1529),$G1529&gt;=60),MIN(INDEX($E$1329:$E1529,202-60):$E1529),"")</f>
        <v/>
      </c>
      <c r="O1529" s="38" t="str">
        <f aca="false">IF(OR(NOT(ISNUMBER($C1529)),NOT(ISNUMBER($M1529)),$M1529=0),"",$C1529/$M1529-1)</f>
        <v/>
      </c>
    </row>
    <row r="1530" customFormat="false" ht="15" hidden="false" customHeight="true" outlineLevel="0" collapsed="false">
      <c r="A1530" s="39"/>
      <c r="B1530" s="40"/>
      <c r="C1530" s="41"/>
      <c r="D1530" s="40"/>
      <c r="E1530" s="40"/>
      <c r="F1530" s="40"/>
      <c r="G1530" s="35" t="str">
        <f aca="false">IF($A1530="","",IF(ISNUMBER($G1529),$G1529+1,1))</f>
        <v/>
      </c>
      <c r="H1530" s="36" t="str">
        <f aca="false">IF(OR(NOT(ISNUMBER($G1530)),$G1530&lt;2,NOT(ISNUMBER($C1529)),$C1529=0),"",$C1530/$C1529-1)</f>
        <v/>
      </c>
      <c r="I1530" s="37" t="str">
        <f aca="false">IF(AND(ISNUMBER($G1530),$G1530&gt;=MA_SHORT),AVERAGE(INDEX($C$1130:$C1530,402-MA_SHORT):$C1530),"")</f>
        <v/>
      </c>
      <c r="J1530" s="37" t="str">
        <f aca="false">IF(AND(ISNUMBER($G1530),$G1530&gt;=MA_MED),AVERAGE(INDEX($C$1130:$C1530,402-MA_MED):$C1530),"")</f>
        <v/>
      </c>
      <c r="K1530" s="37" t="str">
        <f aca="false">IF(AND(ISNUMBER($G1530),$G1530&gt;=MA_LONG2),AVERAGE(INDEX($C$1130:$C1530,402-MA_LONG2):$C1530),"")</f>
        <v/>
      </c>
      <c r="L1530" s="38" t="str">
        <f aca="false">IF(AND(ISNUMBER($G1530),$G1530&gt;=21),STDEV(INDEX($H$1470:$H1530,62-20):$H1530)*SQRT(245),"")</f>
        <v/>
      </c>
      <c r="M1530" s="37" t="str">
        <f aca="false">IF(AND(ISNUMBER($G1530),$G1530&gt;=60),MAX(INDEX($D$1330:$D1530,202-60):$D1530),"")</f>
        <v/>
      </c>
      <c r="N1530" s="37" t="str">
        <f aca="false">IF(AND(ISNUMBER($G1530),$G1530&gt;=60),MIN(INDEX($E$1330:$E1530,202-60):$E1530),"")</f>
        <v/>
      </c>
      <c r="O1530" s="38" t="str">
        <f aca="false">IF(OR(NOT(ISNUMBER($C1530)),NOT(ISNUMBER($M1530)),$M1530=0),"",$C1530/$M1530-1)</f>
        <v/>
      </c>
    </row>
    <row r="1531" customFormat="false" ht="15" hidden="false" customHeight="true" outlineLevel="0" collapsed="false">
      <c r="A1531" s="39"/>
      <c r="B1531" s="40"/>
      <c r="C1531" s="41"/>
      <c r="D1531" s="40"/>
      <c r="E1531" s="40"/>
      <c r="F1531" s="40"/>
      <c r="G1531" s="35" t="str">
        <f aca="false">IF($A1531="","",IF(ISNUMBER($G1530),$G1530+1,1))</f>
        <v/>
      </c>
      <c r="H1531" s="36" t="str">
        <f aca="false">IF(OR(NOT(ISNUMBER($G1531)),$G1531&lt;2,NOT(ISNUMBER($C1530)),$C1530=0),"",$C1531/$C1530-1)</f>
        <v/>
      </c>
      <c r="I1531" s="37" t="str">
        <f aca="false">IF(AND(ISNUMBER($G1531),$G1531&gt;=MA_SHORT),AVERAGE(INDEX($C$1131:$C1531,402-MA_SHORT):$C1531),"")</f>
        <v/>
      </c>
      <c r="J1531" s="37" t="str">
        <f aca="false">IF(AND(ISNUMBER($G1531),$G1531&gt;=MA_MED),AVERAGE(INDEX($C$1131:$C1531,402-MA_MED):$C1531),"")</f>
        <v/>
      </c>
      <c r="K1531" s="37" t="str">
        <f aca="false">IF(AND(ISNUMBER($G1531),$G1531&gt;=MA_LONG2),AVERAGE(INDEX($C$1131:$C1531,402-MA_LONG2):$C1531),"")</f>
        <v/>
      </c>
      <c r="L1531" s="38" t="str">
        <f aca="false">IF(AND(ISNUMBER($G1531),$G1531&gt;=21),STDEV(INDEX($H$1471:$H1531,62-20):$H1531)*SQRT(245),"")</f>
        <v/>
      </c>
      <c r="M1531" s="37" t="str">
        <f aca="false">IF(AND(ISNUMBER($G1531),$G1531&gt;=60),MAX(INDEX($D$1331:$D1531,202-60):$D1531),"")</f>
        <v/>
      </c>
      <c r="N1531" s="37" t="str">
        <f aca="false">IF(AND(ISNUMBER($G1531),$G1531&gt;=60),MIN(INDEX($E$1331:$E1531,202-60):$E1531),"")</f>
        <v/>
      </c>
      <c r="O1531" s="38" t="str">
        <f aca="false">IF(OR(NOT(ISNUMBER($C1531)),NOT(ISNUMBER($M1531)),$M1531=0),"",$C1531/$M1531-1)</f>
        <v/>
      </c>
    </row>
    <row r="1532" customFormat="false" ht="15" hidden="false" customHeight="true" outlineLevel="0" collapsed="false">
      <c r="A1532" s="39"/>
      <c r="B1532" s="40"/>
      <c r="C1532" s="41"/>
      <c r="D1532" s="40"/>
      <c r="E1532" s="40"/>
      <c r="F1532" s="40"/>
      <c r="G1532" s="35" t="str">
        <f aca="false">IF($A1532="","",IF(ISNUMBER($G1531),$G1531+1,1))</f>
        <v/>
      </c>
      <c r="H1532" s="36" t="str">
        <f aca="false">IF(OR(NOT(ISNUMBER($G1532)),$G1532&lt;2,NOT(ISNUMBER($C1531)),$C1531=0),"",$C1532/$C1531-1)</f>
        <v/>
      </c>
      <c r="I1532" s="37" t="str">
        <f aca="false">IF(AND(ISNUMBER($G1532),$G1532&gt;=MA_SHORT),AVERAGE(INDEX($C$1132:$C1532,402-MA_SHORT):$C1532),"")</f>
        <v/>
      </c>
      <c r="J1532" s="37" t="str">
        <f aca="false">IF(AND(ISNUMBER($G1532),$G1532&gt;=MA_MED),AVERAGE(INDEX($C$1132:$C1532,402-MA_MED):$C1532),"")</f>
        <v/>
      </c>
      <c r="K1532" s="37" t="str">
        <f aca="false">IF(AND(ISNUMBER($G1532),$G1532&gt;=MA_LONG2),AVERAGE(INDEX($C$1132:$C1532,402-MA_LONG2):$C1532),"")</f>
        <v/>
      </c>
      <c r="L1532" s="38" t="str">
        <f aca="false">IF(AND(ISNUMBER($G1532),$G1532&gt;=21),STDEV(INDEX($H$1472:$H1532,62-20):$H1532)*SQRT(245),"")</f>
        <v/>
      </c>
      <c r="M1532" s="37" t="str">
        <f aca="false">IF(AND(ISNUMBER($G1532),$G1532&gt;=60),MAX(INDEX($D$1332:$D1532,202-60):$D1532),"")</f>
        <v/>
      </c>
      <c r="N1532" s="37" t="str">
        <f aca="false">IF(AND(ISNUMBER($G1532),$G1532&gt;=60),MIN(INDEX($E$1332:$E1532,202-60):$E1532),"")</f>
        <v/>
      </c>
      <c r="O1532" s="38" t="str">
        <f aca="false">IF(OR(NOT(ISNUMBER($C1532)),NOT(ISNUMBER($M1532)),$M1532=0),"",$C1532/$M1532-1)</f>
        <v/>
      </c>
    </row>
    <row r="1533" customFormat="false" ht="15" hidden="false" customHeight="true" outlineLevel="0" collapsed="false">
      <c r="A1533" s="39"/>
      <c r="B1533" s="40"/>
      <c r="C1533" s="41"/>
      <c r="D1533" s="40"/>
      <c r="E1533" s="40"/>
      <c r="F1533" s="40"/>
      <c r="G1533" s="35" t="str">
        <f aca="false">IF($A1533="","",IF(ISNUMBER($G1532),$G1532+1,1))</f>
        <v/>
      </c>
      <c r="H1533" s="36" t="str">
        <f aca="false">IF(OR(NOT(ISNUMBER($G1533)),$G1533&lt;2,NOT(ISNUMBER($C1532)),$C1532=0),"",$C1533/$C1532-1)</f>
        <v/>
      </c>
      <c r="I1533" s="37" t="str">
        <f aca="false">IF(AND(ISNUMBER($G1533),$G1533&gt;=MA_SHORT),AVERAGE(INDEX($C$1133:$C1533,402-MA_SHORT):$C1533),"")</f>
        <v/>
      </c>
      <c r="J1533" s="37" t="str">
        <f aca="false">IF(AND(ISNUMBER($G1533),$G1533&gt;=MA_MED),AVERAGE(INDEX($C$1133:$C1533,402-MA_MED):$C1533),"")</f>
        <v/>
      </c>
      <c r="K1533" s="37" t="str">
        <f aca="false">IF(AND(ISNUMBER($G1533),$G1533&gt;=MA_LONG2),AVERAGE(INDEX($C$1133:$C1533,402-MA_LONG2):$C1533),"")</f>
        <v/>
      </c>
      <c r="L1533" s="38" t="str">
        <f aca="false">IF(AND(ISNUMBER($G1533),$G1533&gt;=21),STDEV(INDEX($H$1473:$H1533,62-20):$H1533)*SQRT(245),"")</f>
        <v/>
      </c>
      <c r="M1533" s="37" t="str">
        <f aca="false">IF(AND(ISNUMBER($G1533),$G1533&gt;=60),MAX(INDEX($D$1333:$D1533,202-60):$D1533),"")</f>
        <v/>
      </c>
      <c r="N1533" s="37" t="str">
        <f aca="false">IF(AND(ISNUMBER($G1533),$G1533&gt;=60),MIN(INDEX($E$1333:$E1533,202-60):$E1533),"")</f>
        <v/>
      </c>
      <c r="O1533" s="38" t="str">
        <f aca="false">IF(OR(NOT(ISNUMBER($C1533)),NOT(ISNUMBER($M1533)),$M1533=0),"",$C1533/$M1533-1)</f>
        <v/>
      </c>
    </row>
    <row r="1534" customFormat="false" ht="15" hidden="false" customHeight="true" outlineLevel="0" collapsed="false">
      <c r="A1534" s="39"/>
      <c r="B1534" s="40"/>
      <c r="C1534" s="41"/>
      <c r="D1534" s="40"/>
      <c r="E1534" s="40"/>
      <c r="F1534" s="40"/>
      <c r="G1534" s="35" t="str">
        <f aca="false">IF($A1534="","",IF(ISNUMBER($G1533),$G1533+1,1))</f>
        <v/>
      </c>
      <c r="H1534" s="36" t="str">
        <f aca="false">IF(OR(NOT(ISNUMBER($G1534)),$G1534&lt;2,NOT(ISNUMBER($C1533)),$C1533=0),"",$C1534/$C1533-1)</f>
        <v/>
      </c>
      <c r="I1534" s="37" t="str">
        <f aca="false">IF(AND(ISNUMBER($G1534),$G1534&gt;=MA_SHORT),AVERAGE(INDEX($C$1134:$C1534,402-MA_SHORT):$C1534),"")</f>
        <v/>
      </c>
      <c r="J1534" s="37" t="str">
        <f aca="false">IF(AND(ISNUMBER($G1534),$G1534&gt;=MA_MED),AVERAGE(INDEX($C$1134:$C1534,402-MA_MED):$C1534),"")</f>
        <v/>
      </c>
      <c r="K1534" s="37" t="str">
        <f aca="false">IF(AND(ISNUMBER($G1534),$G1534&gt;=MA_LONG2),AVERAGE(INDEX($C$1134:$C1534,402-MA_LONG2):$C1534),"")</f>
        <v/>
      </c>
      <c r="L1534" s="38" t="str">
        <f aca="false">IF(AND(ISNUMBER($G1534),$G1534&gt;=21),STDEV(INDEX($H$1474:$H1534,62-20):$H1534)*SQRT(245),"")</f>
        <v/>
      </c>
      <c r="M1534" s="37" t="str">
        <f aca="false">IF(AND(ISNUMBER($G1534),$G1534&gt;=60),MAX(INDEX($D$1334:$D1534,202-60):$D1534),"")</f>
        <v/>
      </c>
      <c r="N1534" s="37" t="str">
        <f aca="false">IF(AND(ISNUMBER($G1534),$G1534&gt;=60),MIN(INDEX($E$1334:$E1534,202-60):$E1534),"")</f>
        <v/>
      </c>
      <c r="O1534" s="38" t="str">
        <f aca="false">IF(OR(NOT(ISNUMBER($C1534)),NOT(ISNUMBER($M1534)),$M1534=0),"",$C1534/$M1534-1)</f>
        <v/>
      </c>
    </row>
    <row r="1535" customFormat="false" ht="15" hidden="false" customHeight="true" outlineLevel="0" collapsed="false">
      <c r="A1535" s="39"/>
      <c r="B1535" s="40"/>
      <c r="C1535" s="41"/>
      <c r="D1535" s="40"/>
      <c r="E1535" s="40"/>
      <c r="F1535" s="40"/>
      <c r="G1535" s="35" t="str">
        <f aca="false">IF($A1535="","",IF(ISNUMBER($G1534),$G1534+1,1))</f>
        <v/>
      </c>
      <c r="H1535" s="36" t="str">
        <f aca="false">IF(OR(NOT(ISNUMBER($G1535)),$G1535&lt;2,NOT(ISNUMBER($C1534)),$C1534=0),"",$C1535/$C1534-1)</f>
        <v/>
      </c>
      <c r="I1535" s="37" t="str">
        <f aca="false">IF(AND(ISNUMBER($G1535),$G1535&gt;=MA_SHORT),AVERAGE(INDEX($C$1135:$C1535,402-MA_SHORT):$C1535),"")</f>
        <v/>
      </c>
      <c r="J1535" s="37" t="str">
        <f aca="false">IF(AND(ISNUMBER($G1535),$G1535&gt;=MA_MED),AVERAGE(INDEX($C$1135:$C1535,402-MA_MED):$C1535),"")</f>
        <v/>
      </c>
      <c r="K1535" s="37" t="str">
        <f aca="false">IF(AND(ISNUMBER($G1535),$G1535&gt;=MA_LONG2),AVERAGE(INDEX($C$1135:$C1535,402-MA_LONG2):$C1535),"")</f>
        <v/>
      </c>
      <c r="L1535" s="38" t="str">
        <f aca="false">IF(AND(ISNUMBER($G1535),$G1535&gt;=21),STDEV(INDEX($H$1475:$H1535,62-20):$H1535)*SQRT(245),"")</f>
        <v/>
      </c>
      <c r="M1535" s="37" t="str">
        <f aca="false">IF(AND(ISNUMBER($G1535),$G1535&gt;=60),MAX(INDEX($D$1335:$D1535,202-60):$D1535),"")</f>
        <v/>
      </c>
      <c r="N1535" s="37" t="str">
        <f aca="false">IF(AND(ISNUMBER($G1535),$G1535&gt;=60),MIN(INDEX($E$1335:$E1535,202-60):$E1535),"")</f>
        <v/>
      </c>
      <c r="O1535" s="38" t="str">
        <f aca="false">IF(OR(NOT(ISNUMBER($C1535)),NOT(ISNUMBER($M1535)),$M1535=0),"",$C1535/$M1535-1)</f>
        <v/>
      </c>
    </row>
    <row r="1536" customFormat="false" ht="15" hidden="false" customHeight="true" outlineLevel="0" collapsed="false">
      <c r="A1536" s="39"/>
      <c r="B1536" s="40"/>
      <c r="C1536" s="41"/>
      <c r="D1536" s="40"/>
      <c r="E1536" s="40"/>
      <c r="F1536" s="40"/>
      <c r="G1536" s="35" t="str">
        <f aca="false">IF($A1536="","",IF(ISNUMBER($G1535),$G1535+1,1))</f>
        <v/>
      </c>
      <c r="H1536" s="36" t="str">
        <f aca="false">IF(OR(NOT(ISNUMBER($G1536)),$G1536&lt;2,NOT(ISNUMBER($C1535)),$C1535=0),"",$C1536/$C1535-1)</f>
        <v/>
      </c>
      <c r="I1536" s="37" t="str">
        <f aca="false">IF(AND(ISNUMBER($G1536),$G1536&gt;=MA_SHORT),AVERAGE(INDEX($C$1136:$C1536,402-MA_SHORT):$C1536),"")</f>
        <v/>
      </c>
      <c r="J1536" s="37" t="str">
        <f aca="false">IF(AND(ISNUMBER($G1536),$G1536&gt;=MA_MED),AVERAGE(INDEX($C$1136:$C1536,402-MA_MED):$C1536),"")</f>
        <v/>
      </c>
      <c r="K1536" s="37" t="str">
        <f aca="false">IF(AND(ISNUMBER($G1536),$G1536&gt;=MA_LONG2),AVERAGE(INDEX($C$1136:$C1536,402-MA_LONG2):$C1536),"")</f>
        <v/>
      </c>
      <c r="L1536" s="38" t="str">
        <f aca="false">IF(AND(ISNUMBER($G1536),$G1536&gt;=21),STDEV(INDEX($H$1476:$H1536,62-20):$H1536)*SQRT(245),"")</f>
        <v/>
      </c>
      <c r="M1536" s="37" t="str">
        <f aca="false">IF(AND(ISNUMBER($G1536),$G1536&gt;=60),MAX(INDEX($D$1336:$D1536,202-60):$D1536),"")</f>
        <v/>
      </c>
      <c r="N1536" s="37" t="str">
        <f aca="false">IF(AND(ISNUMBER($G1536),$G1536&gt;=60),MIN(INDEX($E$1336:$E1536,202-60):$E1536),"")</f>
        <v/>
      </c>
      <c r="O1536" s="38" t="str">
        <f aca="false">IF(OR(NOT(ISNUMBER($C1536)),NOT(ISNUMBER($M1536)),$M1536=0),"",$C1536/$M1536-1)</f>
        <v/>
      </c>
    </row>
    <row r="1537" customFormat="false" ht="15" hidden="false" customHeight="true" outlineLevel="0" collapsed="false">
      <c r="A1537" s="39"/>
      <c r="B1537" s="40"/>
      <c r="C1537" s="41"/>
      <c r="D1537" s="40"/>
      <c r="E1537" s="40"/>
      <c r="F1537" s="40"/>
      <c r="G1537" s="35" t="str">
        <f aca="false">IF($A1537="","",IF(ISNUMBER($G1536),$G1536+1,1))</f>
        <v/>
      </c>
      <c r="H1537" s="36" t="str">
        <f aca="false">IF(OR(NOT(ISNUMBER($G1537)),$G1537&lt;2,NOT(ISNUMBER($C1536)),$C1536=0),"",$C1537/$C1536-1)</f>
        <v/>
      </c>
      <c r="I1537" s="37" t="str">
        <f aca="false">IF(AND(ISNUMBER($G1537),$G1537&gt;=MA_SHORT),AVERAGE(INDEX($C$1137:$C1537,402-MA_SHORT):$C1537),"")</f>
        <v/>
      </c>
      <c r="J1537" s="37" t="str">
        <f aca="false">IF(AND(ISNUMBER($G1537),$G1537&gt;=MA_MED),AVERAGE(INDEX($C$1137:$C1537,402-MA_MED):$C1537),"")</f>
        <v/>
      </c>
      <c r="K1537" s="37" t="str">
        <f aca="false">IF(AND(ISNUMBER($G1537),$G1537&gt;=MA_LONG2),AVERAGE(INDEX($C$1137:$C1537,402-MA_LONG2):$C1537),"")</f>
        <v/>
      </c>
      <c r="L1537" s="38" t="str">
        <f aca="false">IF(AND(ISNUMBER($G1537),$G1537&gt;=21),STDEV(INDEX($H$1477:$H1537,62-20):$H1537)*SQRT(245),"")</f>
        <v/>
      </c>
      <c r="M1537" s="37" t="str">
        <f aca="false">IF(AND(ISNUMBER($G1537),$G1537&gt;=60),MAX(INDEX($D$1337:$D1537,202-60):$D1537),"")</f>
        <v/>
      </c>
      <c r="N1537" s="37" t="str">
        <f aca="false">IF(AND(ISNUMBER($G1537),$G1537&gt;=60),MIN(INDEX($E$1337:$E1537,202-60):$E1537),"")</f>
        <v/>
      </c>
      <c r="O1537" s="38" t="str">
        <f aca="false">IF(OR(NOT(ISNUMBER($C1537)),NOT(ISNUMBER($M1537)),$M1537=0),"",$C1537/$M1537-1)</f>
        <v/>
      </c>
    </row>
    <row r="1538" customFormat="false" ht="15" hidden="false" customHeight="true" outlineLevel="0" collapsed="false">
      <c r="A1538" s="39"/>
      <c r="B1538" s="40"/>
      <c r="C1538" s="41"/>
      <c r="D1538" s="40"/>
      <c r="E1538" s="40"/>
      <c r="F1538" s="40"/>
      <c r="G1538" s="35" t="str">
        <f aca="false">IF($A1538="","",IF(ISNUMBER($G1537),$G1537+1,1))</f>
        <v/>
      </c>
      <c r="H1538" s="36" t="str">
        <f aca="false">IF(OR(NOT(ISNUMBER($G1538)),$G1538&lt;2,NOT(ISNUMBER($C1537)),$C1537=0),"",$C1538/$C1537-1)</f>
        <v/>
      </c>
      <c r="I1538" s="37" t="str">
        <f aca="false">IF(AND(ISNUMBER($G1538),$G1538&gt;=MA_SHORT),AVERAGE(INDEX($C$1138:$C1538,402-MA_SHORT):$C1538),"")</f>
        <v/>
      </c>
      <c r="J1538" s="37" t="str">
        <f aca="false">IF(AND(ISNUMBER($G1538),$G1538&gt;=MA_MED),AVERAGE(INDEX($C$1138:$C1538,402-MA_MED):$C1538),"")</f>
        <v/>
      </c>
      <c r="K1538" s="37" t="str">
        <f aca="false">IF(AND(ISNUMBER($G1538),$G1538&gt;=MA_LONG2),AVERAGE(INDEX($C$1138:$C1538,402-MA_LONG2):$C1538),"")</f>
        <v/>
      </c>
      <c r="L1538" s="38" t="str">
        <f aca="false">IF(AND(ISNUMBER($G1538),$G1538&gt;=21),STDEV(INDEX($H$1478:$H1538,62-20):$H1538)*SQRT(245),"")</f>
        <v/>
      </c>
      <c r="M1538" s="37" t="str">
        <f aca="false">IF(AND(ISNUMBER($G1538),$G1538&gt;=60),MAX(INDEX($D$1338:$D1538,202-60):$D1538),"")</f>
        <v/>
      </c>
      <c r="N1538" s="37" t="str">
        <f aca="false">IF(AND(ISNUMBER($G1538),$G1538&gt;=60),MIN(INDEX($E$1338:$E1538,202-60):$E1538),"")</f>
        <v/>
      </c>
      <c r="O1538" s="38" t="str">
        <f aca="false">IF(OR(NOT(ISNUMBER($C1538)),NOT(ISNUMBER($M1538)),$M1538=0),"",$C1538/$M1538-1)</f>
        <v/>
      </c>
    </row>
    <row r="1539" customFormat="false" ht="15" hidden="false" customHeight="true" outlineLevel="0" collapsed="false">
      <c r="A1539" s="39"/>
      <c r="B1539" s="40"/>
      <c r="C1539" s="41"/>
      <c r="D1539" s="40"/>
      <c r="E1539" s="40"/>
      <c r="F1539" s="40"/>
      <c r="G1539" s="35" t="str">
        <f aca="false">IF($A1539="","",IF(ISNUMBER($G1538),$G1538+1,1))</f>
        <v/>
      </c>
      <c r="H1539" s="36" t="str">
        <f aca="false">IF(OR(NOT(ISNUMBER($G1539)),$G1539&lt;2,NOT(ISNUMBER($C1538)),$C1538=0),"",$C1539/$C1538-1)</f>
        <v/>
      </c>
      <c r="I1539" s="37" t="str">
        <f aca="false">IF(AND(ISNUMBER($G1539),$G1539&gt;=MA_SHORT),AVERAGE(INDEX($C$1139:$C1539,402-MA_SHORT):$C1539),"")</f>
        <v/>
      </c>
      <c r="J1539" s="37" t="str">
        <f aca="false">IF(AND(ISNUMBER($G1539),$G1539&gt;=MA_MED),AVERAGE(INDEX($C$1139:$C1539,402-MA_MED):$C1539),"")</f>
        <v/>
      </c>
      <c r="K1539" s="37" t="str">
        <f aca="false">IF(AND(ISNUMBER($G1539),$G1539&gt;=MA_LONG2),AVERAGE(INDEX($C$1139:$C1539,402-MA_LONG2):$C1539),"")</f>
        <v/>
      </c>
      <c r="L1539" s="38" t="str">
        <f aca="false">IF(AND(ISNUMBER($G1539),$G1539&gt;=21),STDEV(INDEX($H$1479:$H1539,62-20):$H1539)*SQRT(245),"")</f>
        <v/>
      </c>
      <c r="M1539" s="37" t="str">
        <f aca="false">IF(AND(ISNUMBER($G1539),$G1539&gt;=60),MAX(INDEX($D$1339:$D1539,202-60):$D1539),"")</f>
        <v/>
      </c>
      <c r="N1539" s="37" t="str">
        <f aca="false">IF(AND(ISNUMBER($G1539),$G1539&gt;=60),MIN(INDEX($E$1339:$E1539,202-60):$E1539),"")</f>
        <v/>
      </c>
      <c r="O1539" s="38" t="str">
        <f aca="false">IF(OR(NOT(ISNUMBER($C1539)),NOT(ISNUMBER($M1539)),$M1539=0),"",$C1539/$M1539-1)</f>
        <v/>
      </c>
    </row>
    <row r="1540" customFormat="false" ht="15" hidden="false" customHeight="true" outlineLevel="0" collapsed="false">
      <c r="A1540" s="39"/>
      <c r="B1540" s="40"/>
      <c r="C1540" s="41"/>
      <c r="D1540" s="40"/>
      <c r="E1540" s="40"/>
      <c r="F1540" s="40"/>
      <c r="G1540" s="35" t="str">
        <f aca="false">IF($A1540="","",IF(ISNUMBER($G1539),$G1539+1,1))</f>
        <v/>
      </c>
      <c r="H1540" s="36" t="str">
        <f aca="false">IF(OR(NOT(ISNUMBER($G1540)),$G1540&lt;2,NOT(ISNUMBER($C1539)),$C1539=0),"",$C1540/$C1539-1)</f>
        <v/>
      </c>
      <c r="I1540" s="37" t="str">
        <f aca="false">IF(AND(ISNUMBER($G1540),$G1540&gt;=MA_SHORT),AVERAGE(INDEX($C$1140:$C1540,402-MA_SHORT):$C1540),"")</f>
        <v/>
      </c>
      <c r="J1540" s="37" t="str">
        <f aca="false">IF(AND(ISNUMBER($G1540),$G1540&gt;=MA_MED),AVERAGE(INDEX($C$1140:$C1540,402-MA_MED):$C1540),"")</f>
        <v/>
      </c>
      <c r="K1540" s="37" t="str">
        <f aca="false">IF(AND(ISNUMBER($G1540),$G1540&gt;=MA_LONG2),AVERAGE(INDEX($C$1140:$C1540,402-MA_LONG2):$C1540),"")</f>
        <v/>
      </c>
      <c r="L1540" s="38" t="str">
        <f aca="false">IF(AND(ISNUMBER($G1540),$G1540&gt;=21),STDEV(INDEX($H$1480:$H1540,62-20):$H1540)*SQRT(245),"")</f>
        <v/>
      </c>
      <c r="M1540" s="37" t="str">
        <f aca="false">IF(AND(ISNUMBER($G1540),$G1540&gt;=60),MAX(INDEX($D$1340:$D1540,202-60):$D1540),"")</f>
        <v/>
      </c>
      <c r="N1540" s="37" t="str">
        <f aca="false">IF(AND(ISNUMBER($G1540),$G1540&gt;=60),MIN(INDEX($E$1340:$E1540,202-60):$E1540),"")</f>
        <v/>
      </c>
      <c r="O1540" s="38" t="str">
        <f aca="false">IF(OR(NOT(ISNUMBER($C1540)),NOT(ISNUMBER($M1540)),$M1540=0),"",$C1540/$M1540-1)</f>
        <v/>
      </c>
    </row>
    <row r="1541" customFormat="false" ht="15" hidden="false" customHeight="true" outlineLevel="0" collapsed="false">
      <c r="A1541" s="39"/>
      <c r="B1541" s="40"/>
      <c r="C1541" s="41"/>
      <c r="D1541" s="40"/>
      <c r="E1541" s="40"/>
      <c r="F1541" s="40"/>
      <c r="G1541" s="35" t="str">
        <f aca="false">IF($A1541="","",IF(ISNUMBER($G1540),$G1540+1,1))</f>
        <v/>
      </c>
      <c r="H1541" s="36" t="str">
        <f aca="false">IF(OR(NOT(ISNUMBER($G1541)),$G1541&lt;2,NOT(ISNUMBER($C1540)),$C1540=0),"",$C1541/$C1540-1)</f>
        <v/>
      </c>
      <c r="I1541" s="37" t="str">
        <f aca="false">IF(AND(ISNUMBER($G1541),$G1541&gt;=MA_SHORT),AVERAGE(INDEX($C$1141:$C1541,402-MA_SHORT):$C1541),"")</f>
        <v/>
      </c>
      <c r="J1541" s="37" t="str">
        <f aca="false">IF(AND(ISNUMBER($G1541),$G1541&gt;=MA_MED),AVERAGE(INDEX($C$1141:$C1541,402-MA_MED):$C1541),"")</f>
        <v/>
      </c>
      <c r="K1541" s="37" t="str">
        <f aca="false">IF(AND(ISNUMBER($G1541),$G1541&gt;=MA_LONG2),AVERAGE(INDEX($C$1141:$C1541,402-MA_LONG2):$C1541),"")</f>
        <v/>
      </c>
      <c r="L1541" s="38" t="str">
        <f aca="false">IF(AND(ISNUMBER($G1541),$G1541&gt;=21),STDEV(INDEX($H$1481:$H1541,62-20):$H1541)*SQRT(245),"")</f>
        <v/>
      </c>
      <c r="M1541" s="37" t="str">
        <f aca="false">IF(AND(ISNUMBER($G1541),$G1541&gt;=60),MAX(INDEX($D$1341:$D1541,202-60):$D1541),"")</f>
        <v/>
      </c>
      <c r="N1541" s="37" t="str">
        <f aca="false">IF(AND(ISNUMBER($G1541),$G1541&gt;=60),MIN(INDEX($E$1341:$E1541,202-60):$E1541),"")</f>
        <v/>
      </c>
      <c r="O1541" s="38" t="str">
        <f aca="false">IF(OR(NOT(ISNUMBER($C1541)),NOT(ISNUMBER($M1541)),$M1541=0),"",$C1541/$M1541-1)</f>
        <v/>
      </c>
    </row>
    <row r="1542" customFormat="false" ht="15" hidden="false" customHeight="true" outlineLevel="0" collapsed="false">
      <c r="A1542" s="39"/>
      <c r="B1542" s="40"/>
      <c r="C1542" s="41"/>
      <c r="D1542" s="40"/>
      <c r="E1542" s="40"/>
      <c r="F1542" s="40"/>
      <c r="G1542" s="35" t="str">
        <f aca="false">IF($A1542="","",IF(ISNUMBER($G1541),$G1541+1,1))</f>
        <v/>
      </c>
      <c r="H1542" s="36" t="str">
        <f aca="false">IF(OR(NOT(ISNUMBER($G1542)),$G1542&lt;2,NOT(ISNUMBER($C1541)),$C1541=0),"",$C1542/$C1541-1)</f>
        <v/>
      </c>
      <c r="I1542" s="37" t="str">
        <f aca="false">IF(AND(ISNUMBER($G1542),$G1542&gt;=MA_SHORT),AVERAGE(INDEX($C$1142:$C1542,402-MA_SHORT):$C1542),"")</f>
        <v/>
      </c>
      <c r="J1542" s="37" t="str">
        <f aca="false">IF(AND(ISNUMBER($G1542),$G1542&gt;=MA_MED),AVERAGE(INDEX($C$1142:$C1542,402-MA_MED):$C1542),"")</f>
        <v/>
      </c>
      <c r="K1542" s="37" t="str">
        <f aca="false">IF(AND(ISNUMBER($G1542),$G1542&gt;=MA_LONG2),AVERAGE(INDEX($C$1142:$C1542,402-MA_LONG2):$C1542),"")</f>
        <v/>
      </c>
      <c r="L1542" s="38" t="str">
        <f aca="false">IF(AND(ISNUMBER($G1542),$G1542&gt;=21),STDEV(INDEX($H$1482:$H1542,62-20):$H1542)*SQRT(245),"")</f>
        <v/>
      </c>
      <c r="M1542" s="37" t="str">
        <f aca="false">IF(AND(ISNUMBER($G1542),$G1542&gt;=60),MAX(INDEX($D$1342:$D1542,202-60):$D1542),"")</f>
        <v/>
      </c>
      <c r="N1542" s="37" t="str">
        <f aca="false">IF(AND(ISNUMBER($G1542),$G1542&gt;=60),MIN(INDEX($E$1342:$E1542,202-60):$E1542),"")</f>
        <v/>
      </c>
      <c r="O1542" s="38" t="str">
        <f aca="false">IF(OR(NOT(ISNUMBER($C1542)),NOT(ISNUMBER($M1542)),$M1542=0),"",$C1542/$M1542-1)</f>
        <v/>
      </c>
    </row>
    <row r="1543" customFormat="false" ht="15" hidden="false" customHeight="true" outlineLevel="0" collapsed="false">
      <c r="A1543" s="39"/>
      <c r="B1543" s="40"/>
      <c r="C1543" s="41"/>
      <c r="D1543" s="40"/>
      <c r="E1543" s="40"/>
      <c r="F1543" s="40"/>
      <c r="G1543" s="35" t="str">
        <f aca="false">IF($A1543="","",IF(ISNUMBER($G1542),$G1542+1,1))</f>
        <v/>
      </c>
      <c r="H1543" s="36" t="str">
        <f aca="false">IF(OR(NOT(ISNUMBER($G1543)),$G1543&lt;2,NOT(ISNUMBER($C1542)),$C1542=0),"",$C1543/$C1542-1)</f>
        <v/>
      </c>
      <c r="I1543" s="37" t="str">
        <f aca="false">IF(AND(ISNUMBER($G1543),$G1543&gt;=MA_SHORT),AVERAGE(INDEX($C$1143:$C1543,402-MA_SHORT):$C1543),"")</f>
        <v/>
      </c>
      <c r="J1543" s="37" t="str">
        <f aca="false">IF(AND(ISNUMBER($G1543),$G1543&gt;=MA_MED),AVERAGE(INDEX($C$1143:$C1543,402-MA_MED):$C1543),"")</f>
        <v/>
      </c>
      <c r="K1543" s="37" t="str">
        <f aca="false">IF(AND(ISNUMBER($G1543),$G1543&gt;=MA_LONG2),AVERAGE(INDEX($C$1143:$C1543,402-MA_LONG2):$C1543),"")</f>
        <v/>
      </c>
      <c r="L1543" s="38" t="str">
        <f aca="false">IF(AND(ISNUMBER($G1543),$G1543&gt;=21),STDEV(INDEX($H$1483:$H1543,62-20):$H1543)*SQRT(245),"")</f>
        <v/>
      </c>
      <c r="M1543" s="37" t="str">
        <f aca="false">IF(AND(ISNUMBER($G1543),$G1543&gt;=60),MAX(INDEX($D$1343:$D1543,202-60):$D1543),"")</f>
        <v/>
      </c>
      <c r="N1543" s="37" t="str">
        <f aca="false">IF(AND(ISNUMBER($G1543),$G1543&gt;=60),MIN(INDEX($E$1343:$E1543,202-60):$E1543),"")</f>
        <v/>
      </c>
      <c r="O1543" s="38" t="str">
        <f aca="false">IF(OR(NOT(ISNUMBER($C1543)),NOT(ISNUMBER($M1543)),$M1543=0),"",$C1543/$M1543-1)</f>
        <v/>
      </c>
    </row>
    <row r="1544" customFormat="false" ht="15" hidden="false" customHeight="true" outlineLevel="0" collapsed="false">
      <c r="A1544" s="39"/>
      <c r="B1544" s="40"/>
      <c r="C1544" s="41"/>
      <c r="D1544" s="40"/>
      <c r="E1544" s="40"/>
      <c r="F1544" s="40"/>
      <c r="G1544" s="35" t="str">
        <f aca="false">IF($A1544="","",IF(ISNUMBER($G1543),$G1543+1,1))</f>
        <v/>
      </c>
      <c r="H1544" s="36" t="str">
        <f aca="false">IF(OR(NOT(ISNUMBER($G1544)),$G1544&lt;2,NOT(ISNUMBER($C1543)),$C1543=0),"",$C1544/$C1543-1)</f>
        <v/>
      </c>
      <c r="I1544" s="37" t="str">
        <f aca="false">IF(AND(ISNUMBER($G1544),$G1544&gt;=MA_SHORT),AVERAGE(INDEX($C$1144:$C1544,402-MA_SHORT):$C1544),"")</f>
        <v/>
      </c>
      <c r="J1544" s="37" t="str">
        <f aca="false">IF(AND(ISNUMBER($G1544),$G1544&gt;=MA_MED),AVERAGE(INDEX($C$1144:$C1544,402-MA_MED):$C1544),"")</f>
        <v/>
      </c>
      <c r="K1544" s="37" t="str">
        <f aca="false">IF(AND(ISNUMBER($G1544),$G1544&gt;=MA_LONG2),AVERAGE(INDEX($C$1144:$C1544,402-MA_LONG2):$C1544),"")</f>
        <v/>
      </c>
      <c r="L1544" s="38" t="str">
        <f aca="false">IF(AND(ISNUMBER($G1544),$G1544&gt;=21),STDEV(INDEX($H$1484:$H1544,62-20):$H1544)*SQRT(245),"")</f>
        <v/>
      </c>
      <c r="M1544" s="37" t="str">
        <f aca="false">IF(AND(ISNUMBER($G1544),$G1544&gt;=60),MAX(INDEX($D$1344:$D1544,202-60):$D1544),"")</f>
        <v/>
      </c>
      <c r="N1544" s="37" t="str">
        <f aca="false">IF(AND(ISNUMBER($G1544),$G1544&gt;=60),MIN(INDEX($E$1344:$E1544,202-60):$E1544),"")</f>
        <v/>
      </c>
      <c r="O1544" s="38" t="str">
        <f aca="false">IF(OR(NOT(ISNUMBER($C1544)),NOT(ISNUMBER($M1544)),$M1544=0),"",$C1544/$M1544-1)</f>
        <v/>
      </c>
    </row>
    <row r="1545" customFormat="false" ht="15" hidden="false" customHeight="true" outlineLevel="0" collapsed="false">
      <c r="A1545" s="39"/>
      <c r="B1545" s="40"/>
      <c r="C1545" s="41"/>
      <c r="D1545" s="40"/>
      <c r="E1545" s="40"/>
      <c r="F1545" s="40"/>
      <c r="G1545" s="35" t="str">
        <f aca="false">IF($A1545="","",IF(ISNUMBER($G1544),$G1544+1,1))</f>
        <v/>
      </c>
      <c r="H1545" s="36" t="str">
        <f aca="false">IF(OR(NOT(ISNUMBER($G1545)),$G1545&lt;2,NOT(ISNUMBER($C1544)),$C1544=0),"",$C1545/$C1544-1)</f>
        <v/>
      </c>
      <c r="I1545" s="37" t="str">
        <f aca="false">IF(AND(ISNUMBER($G1545),$G1545&gt;=MA_SHORT),AVERAGE(INDEX($C$1145:$C1545,402-MA_SHORT):$C1545),"")</f>
        <v/>
      </c>
      <c r="J1545" s="37" t="str">
        <f aca="false">IF(AND(ISNUMBER($G1545),$G1545&gt;=MA_MED),AVERAGE(INDEX($C$1145:$C1545,402-MA_MED):$C1545),"")</f>
        <v/>
      </c>
      <c r="K1545" s="37" t="str">
        <f aca="false">IF(AND(ISNUMBER($G1545),$G1545&gt;=MA_LONG2),AVERAGE(INDEX($C$1145:$C1545,402-MA_LONG2):$C1545),"")</f>
        <v/>
      </c>
      <c r="L1545" s="38" t="str">
        <f aca="false">IF(AND(ISNUMBER($G1545),$G1545&gt;=21),STDEV(INDEX($H$1485:$H1545,62-20):$H1545)*SQRT(245),"")</f>
        <v/>
      </c>
      <c r="M1545" s="37" t="str">
        <f aca="false">IF(AND(ISNUMBER($G1545),$G1545&gt;=60),MAX(INDEX($D$1345:$D1545,202-60):$D1545),"")</f>
        <v/>
      </c>
      <c r="N1545" s="37" t="str">
        <f aca="false">IF(AND(ISNUMBER($G1545),$G1545&gt;=60),MIN(INDEX($E$1345:$E1545,202-60):$E1545),"")</f>
        <v/>
      </c>
      <c r="O1545" s="38" t="str">
        <f aca="false">IF(OR(NOT(ISNUMBER($C1545)),NOT(ISNUMBER($M1545)),$M1545=0),"",$C1545/$M1545-1)</f>
        <v/>
      </c>
    </row>
    <row r="1546" customFormat="false" ht="15" hidden="false" customHeight="true" outlineLevel="0" collapsed="false">
      <c r="A1546" s="39"/>
      <c r="B1546" s="40"/>
      <c r="C1546" s="41"/>
      <c r="D1546" s="40"/>
      <c r="E1546" s="40"/>
      <c r="F1546" s="40"/>
      <c r="G1546" s="35" t="str">
        <f aca="false">IF($A1546="","",IF(ISNUMBER($G1545),$G1545+1,1))</f>
        <v/>
      </c>
      <c r="H1546" s="36" t="str">
        <f aca="false">IF(OR(NOT(ISNUMBER($G1546)),$G1546&lt;2,NOT(ISNUMBER($C1545)),$C1545=0),"",$C1546/$C1545-1)</f>
        <v/>
      </c>
      <c r="I1546" s="37" t="str">
        <f aca="false">IF(AND(ISNUMBER($G1546),$G1546&gt;=MA_SHORT),AVERAGE(INDEX($C$1146:$C1546,402-MA_SHORT):$C1546),"")</f>
        <v/>
      </c>
      <c r="J1546" s="37" t="str">
        <f aca="false">IF(AND(ISNUMBER($G1546),$G1546&gt;=MA_MED),AVERAGE(INDEX($C$1146:$C1546,402-MA_MED):$C1546),"")</f>
        <v/>
      </c>
      <c r="K1546" s="37" t="str">
        <f aca="false">IF(AND(ISNUMBER($G1546),$G1546&gt;=MA_LONG2),AVERAGE(INDEX($C$1146:$C1546,402-MA_LONG2):$C1546),"")</f>
        <v/>
      </c>
      <c r="L1546" s="38" t="str">
        <f aca="false">IF(AND(ISNUMBER($G1546),$G1546&gt;=21),STDEV(INDEX($H$1486:$H1546,62-20):$H1546)*SQRT(245),"")</f>
        <v/>
      </c>
      <c r="M1546" s="37" t="str">
        <f aca="false">IF(AND(ISNUMBER($G1546),$G1546&gt;=60),MAX(INDEX($D$1346:$D1546,202-60):$D1546),"")</f>
        <v/>
      </c>
      <c r="N1546" s="37" t="str">
        <f aca="false">IF(AND(ISNUMBER($G1546),$G1546&gt;=60),MIN(INDEX($E$1346:$E1546,202-60):$E1546),"")</f>
        <v/>
      </c>
      <c r="O1546" s="38" t="str">
        <f aca="false">IF(OR(NOT(ISNUMBER($C1546)),NOT(ISNUMBER($M1546)),$M1546=0),"",$C1546/$M1546-1)</f>
        <v/>
      </c>
    </row>
    <row r="1547" customFormat="false" ht="15" hidden="false" customHeight="true" outlineLevel="0" collapsed="false">
      <c r="A1547" s="39"/>
      <c r="B1547" s="40"/>
      <c r="C1547" s="41"/>
      <c r="D1547" s="40"/>
      <c r="E1547" s="40"/>
      <c r="F1547" s="40"/>
      <c r="G1547" s="35" t="str">
        <f aca="false">IF($A1547="","",IF(ISNUMBER($G1546),$G1546+1,1))</f>
        <v/>
      </c>
      <c r="H1547" s="36" t="str">
        <f aca="false">IF(OR(NOT(ISNUMBER($G1547)),$G1547&lt;2,NOT(ISNUMBER($C1546)),$C1546=0),"",$C1547/$C1546-1)</f>
        <v/>
      </c>
      <c r="I1547" s="37" t="str">
        <f aca="false">IF(AND(ISNUMBER($G1547),$G1547&gt;=MA_SHORT),AVERAGE(INDEX($C$1147:$C1547,402-MA_SHORT):$C1547),"")</f>
        <v/>
      </c>
      <c r="J1547" s="37" t="str">
        <f aca="false">IF(AND(ISNUMBER($G1547),$G1547&gt;=MA_MED),AVERAGE(INDEX($C$1147:$C1547,402-MA_MED):$C1547),"")</f>
        <v/>
      </c>
      <c r="K1547" s="37" t="str">
        <f aca="false">IF(AND(ISNUMBER($G1547),$G1547&gt;=MA_LONG2),AVERAGE(INDEX($C$1147:$C1547,402-MA_LONG2):$C1547),"")</f>
        <v/>
      </c>
      <c r="L1547" s="38" t="str">
        <f aca="false">IF(AND(ISNUMBER($G1547),$G1547&gt;=21),STDEV(INDEX($H$1487:$H1547,62-20):$H1547)*SQRT(245),"")</f>
        <v/>
      </c>
      <c r="M1547" s="37" t="str">
        <f aca="false">IF(AND(ISNUMBER($G1547),$G1547&gt;=60),MAX(INDEX($D$1347:$D1547,202-60):$D1547),"")</f>
        <v/>
      </c>
      <c r="N1547" s="37" t="str">
        <f aca="false">IF(AND(ISNUMBER($G1547),$G1547&gt;=60),MIN(INDEX($E$1347:$E1547,202-60):$E1547),"")</f>
        <v/>
      </c>
      <c r="O1547" s="38" t="str">
        <f aca="false">IF(OR(NOT(ISNUMBER($C1547)),NOT(ISNUMBER($M1547)),$M1547=0),"",$C1547/$M1547-1)</f>
        <v/>
      </c>
    </row>
    <row r="1548" customFormat="false" ht="15" hidden="false" customHeight="true" outlineLevel="0" collapsed="false">
      <c r="A1548" s="39"/>
      <c r="B1548" s="40"/>
      <c r="C1548" s="41"/>
      <c r="D1548" s="40"/>
      <c r="E1548" s="40"/>
      <c r="F1548" s="40"/>
      <c r="G1548" s="35" t="str">
        <f aca="false">IF($A1548="","",IF(ISNUMBER($G1547),$G1547+1,1))</f>
        <v/>
      </c>
      <c r="H1548" s="36" t="str">
        <f aca="false">IF(OR(NOT(ISNUMBER($G1548)),$G1548&lt;2,NOT(ISNUMBER($C1547)),$C1547=0),"",$C1548/$C1547-1)</f>
        <v/>
      </c>
      <c r="I1548" s="37" t="str">
        <f aca="false">IF(AND(ISNUMBER($G1548),$G1548&gt;=MA_SHORT),AVERAGE(INDEX($C$1148:$C1548,402-MA_SHORT):$C1548),"")</f>
        <v/>
      </c>
      <c r="J1548" s="37" t="str">
        <f aca="false">IF(AND(ISNUMBER($G1548),$G1548&gt;=MA_MED),AVERAGE(INDEX($C$1148:$C1548,402-MA_MED):$C1548),"")</f>
        <v/>
      </c>
      <c r="K1548" s="37" t="str">
        <f aca="false">IF(AND(ISNUMBER($G1548),$G1548&gt;=MA_LONG2),AVERAGE(INDEX($C$1148:$C1548,402-MA_LONG2):$C1548),"")</f>
        <v/>
      </c>
      <c r="L1548" s="38" t="str">
        <f aca="false">IF(AND(ISNUMBER($G1548),$G1548&gt;=21),STDEV(INDEX($H$1488:$H1548,62-20):$H1548)*SQRT(245),"")</f>
        <v/>
      </c>
      <c r="M1548" s="37" t="str">
        <f aca="false">IF(AND(ISNUMBER($G1548),$G1548&gt;=60),MAX(INDEX($D$1348:$D1548,202-60):$D1548),"")</f>
        <v/>
      </c>
      <c r="N1548" s="37" t="str">
        <f aca="false">IF(AND(ISNUMBER($G1548),$G1548&gt;=60),MIN(INDEX($E$1348:$E1548,202-60):$E1548),"")</f>
        <v/>
      </c>
      <c r="O1548" s="38" t="str">
        <f aca="false">IF(OR(NOT(ISNUMBER($C1548)),NOT(ISNUMBER($M1548)),$M1548=0),"",$C1548/$M1548-1)</f>
        <v/>
      </c>
    </row>
    <row r="1549" customFormat="false" ht="15" hidden="false" customHeight="true" outlineLevel="0" collapsed="false">
      <c r="A1549" s="39"/>
      <c r="B1549" s="40"/>
      <c r="C1549" s="41"/>
      <c r="D1549" s="40"/>
      <c r="E1549" s="40"/>
      <c r="F1549" s="40"/>
      <c r="G1549" s="35" t="str">
        <f aca="false">IF($A1549="","",IF(ISNUMBER($G1548),$G1548+1,1))</f>
        <v/>
      </c>
      <c r="H1549" s="36" t="str">
        <f aca="false">IF(OR(NOT(ISNUMBER($G1549)),$G1549&lt;2,NOT(ISNUMBER($C1548)),$C1548=0),"",$C1549/$C1548-1)</f>
        <v/>
      </c>
      <c r="I1549" s="37" t="str">
        <f aca="false">IF(AND(ISNUMBER($G1549),$G1549&gt;=MA_SHORT),AVERAGE(INDEX($C$1149:$C1549,402-MA_SHORT):$C1549),"")</f>
        <v/>
      </c>
      <c r="J1549" s="37" t="str">
        <f aca="false">IF(AND(ISNUMBER($G1549),$G1549&gt;=MA_MED),AVERAGE(INDEX($C$1149:$C1549,402-MA_MED):$C1549),"")</f>
        <v/>
      </c>
      <c r="K1549" s="37" t="str">
        <f aca="false">IF(AND(ISNUMBER($G1549),$G1549&gt;=MA_LONG2),AVERAGE(INDEX($C$1149:$C1549,402-MA_LONG2):$C1549),"")</f>
        <v/>
      </c>
      <c r="L1549" s="38" t="str">
        <f aca="false">IF(AND(ISNUMBER($G1549),$G1549&gt;=21),STDEV(INDEX($H$1489:$H1549,62-20):$H1549)*SQRT(245),"")</f>
        <v/>
      </c>
      <c r="M1549" s="37" t="str">
        <f aca="false">IF(AND(ISNUMBER($G1549),$G1549&gt;=60),MAX(INDEX($D$1349:$D1549,202-60):$D1549),"")</f>
        <v/>
      </c>
      <c r="N1549" s="37" t="str">
        <f aca="false">IF(AND(ISNUMBER($G1549),$G1549&gt;=60),MIN(INDEX($E$1349:$E1549,202-60):$E1549),"")</f>
        <v/>
      </c>
      <c r="O1549" s="38" t="str">
        <f aca="false">IF(OR(NOT(ISNUMBER($C1549)),NOT(ISNUMBER($M1549)),$M1549=0),"",$C1549/$M1549-1)</f>
        <v/>
      </c>
    </row>
    <row r="1550" customFormat="false" ht="15" hidden="false" customHeight="true" outlineLevel="0" collapsed="false">
      <c r="A1550" s="39"/>
      <c r="B1550" s="40"/>
      <c r="C1550" s="41"/>
      <c r="D1550" s="40"/>
      <c r="E1550" s="40"/>
      <c r="F1550" s="40"/>
      <c r="G1550" s="35" t="str">
        <f aca="false">IF($A1550="","",IF(ISNUMBER($G1549),$G1549+1,1))</f>
        <v/>
      </c>
      <c r="H1550" s="36" t="str">
        <f aca="false">IF(OR(NOT(ISNUMBER($G1550)),$G1550&lt;2,NOT(ISNUMBER($C1549)),$C1549=0),"",$C1550/$C1549-1)</f>
        <v/>
      </c>
      <c r="I1550" s="37" t="str">
        <f aca="false">IF(AND(ISNUMBER($G1550),$G1550&gt;=MA_SHORT),AVERAGE(INDEX($C$1150:$C1550,402-MA_SHORT):$C1550),"")</f>
        <v/>
      </c>
      <c r="J1550" s="37" t="str">
        <f aca="false">IF(AND(ISNUMBER($G1550),$G1550&gt;=MA_MED),AVERAGE(INDEX($C$1150:$C1550,402-MA_MED):$C1550),"")</f>
        <v/>
      </c>
      <c r="K1550" s="37" t="str">
        <f aca="false">IF(AND(ISNUMBER($G1550),$G1550&gt;=MA_LONG2),AVERAGE(INDEX($C$1150:$C1550,402-MA_LONG2):$C1550),"")</f>
        <v/>
      </c>
      <c r="L1550" s="38" t="str">
        <f aca="false">IF(AND(ISNUMBER($G1550),$G1550&gt;=21),STDEV(INDEX($H$1490:$H1550,62-20):$H1550)*SQRT(245),"")</f>
        <v/>
      </c>
      <c r="M1550" s="37" t="str">
        <f aca="false">IF(AND(ISNUMBER($G1550),$G1550&gt;=60),MAX(INDEX($D$1350:$D1550,202-60):$D1550),"")</f>
        <v/>
      </c>
      <c r="N1550" s="37" t="str">
        <f aca="false">IF(AND(ISNUMBER($G1550),$G1550&gt;=60),MIN(INDEX($E$1350:$E1550,202-60):$E1550),"")</f>
        <v/>
      </c>
      <c r="O1550" s="38" t="str">
        <f aca="false">IF(OR(NOT(ISNUMBER($C1550)),NOT(ISNUMBER($M1550)),$M1550=0),"",$C1550/$M1550-1)</f>
        <v/>
      </c>
    </row>
    <row r="1551" customFormat="false" ht="15" hidden="false" customHeight="true" outlineLevel="0" collapsed="false">
      <c r="A1551" s="39"/>
      <c r="B1551" s="40"/>
      <c r="C1551" s="41"/>
      <c r="D1551" s="40"/>
      <c r="E1551" s="40"/>
      <c r="F1551" s="40"/>
      <c r="G1551" s="35" t="str">
        <f aca="false">IF($A1551="","",IF(ISNUMBER($G1550),$G1550+1,1))</f>
        <v/>
      </c>
      <c r="H1551" s="36" t="str">
        <f aca="false">IF(OR(NOT(ISNUMBER($G1551)),$G1551&lt;2,NOT(ISNUMBER($C1550)),$C1550=0),"",$C1551/$C1550-1)</f>
        <v/>
      </c>
      <c r="I1551" s="37" t="str">
        <f aca="false">IF(AND(ISNUMBER($G1551),$G1551&gt;=MA_SHORT),AVERAGE(INDEX($C$1151:$C1551,402-MA_SHORT):$C1551),"")</f>
        <v/>
      </c>
      <c r="J1551" s="37" t="str">
        <f aca="false">IF(AND(ISNUMBER($G1551),$G1551&gt;=MA_MED),AVERAGE(INDEX($C$1151:$C1551,402-MA_MED):$C1551),"")</f>
        <v/>
      </c>
      <c r="K1551" s="37" t="str">
        <f aca="false">IF(AND(ISNUMBER($G1551),$G1551&gt;=MA_LONG2),AVERAGE(INDEX($C$1151:$C1551,402-MA_LONG2):$C1551),"")</f>
        <v/>
      </c>
      <c r="L1551" s="38" t="str">
        <f aca="false">IF(AND(ISNUMBER($G1551),$G1551&gt;=21),STDEV(INDEX($H$1491:$H1551,62-20):$H1551)*SQRT(245),"")</f>
        <v/>
      </c>
      <c r="M1551" s="37" t="str">
        <f aca="false">IF(AND(ISNUMBER($G1551),$G1551&gt;=60),MAX(INDEX($D$1351:$D1551,202-60):$D1551),"")</f>
        <v/>
      </c>
      <c r="N1551" s="37" t="str">
        <f aca="false">IF(AND(ISNUMBER($G1551),$G1551&gt;=60),MIN(INDEX($E$1351:$E1551,202-60):$E1551),"")</f>
        <v/>
      </c>
      <c r="O1551" s="38" t="str">
        <f aca="false">IF(OR(NOT(ISNUMBER($C1551)),NOT(ISNUMBER($M1551)),$M1551=0),"",$C1551/$M1551-1)</f>
        <v/>
      </c>
    </row>
    <row r="1552" customFormat="false" ht="15" hidden="false" customHeight="true" outlineLevel="0" collapsed="false">
      <c r="A1552" s="39"/>
      <c r="B1552" s="40"/>
      <c r="C1552" s="41"/>
      <c r="D1552" s="40"/>
      <c r="E1552" s="40"/>
      <c r="F1552" s="40"/>
      <c r="G1552" s="35" t="str">
        <f aca="false">IF($A1552="","",IF(ISNUMBER($G1551),$G1551+1,1))</f>
        <v/>
      </c>
      <c r="H1552" s="36" t="str">
        <f aca="false">IF(OR(NOT(ISNUMBER($G1552)),$G1552&lt;2,NOT(ISNUMBER($C1551)),$C1551=0),"",$C1552/$C1551-1)</f>
        <v/>
      </c>
      <c r="I1552" s="37" t="str">
        <f aca="false">IF(AND(ISNUMBER($G1552),$G1552&gt;=MA_SHORT),AVERAGE(INDEX($C$1152:$C1552,402-MA_SHORT):$C1552),"")</f>
        <v/>
      </c>
      <c r="J1552" s="37" t="str">
        <f aca="false">IF(AND(ISNUMBER($G1552),$G1552&gt;=MA_MED),AVERAGE(INDEX($C$1152:$C1552,402-MA_MED):$C1552),"")</f>
        <v/>
      </c>
      <c r="K1552" s="37" t="str">
        <f aca="false">IF(AND(ISNUMBER($G1552),$G1552&gt;=MA_LONG2),AVERAGE(INDEX($C$1152:$C1552,402-MA_LONG2):$C1552),"")</f>
        <v/>
      </c>
      <c r="L1552" s="38" t="str">
        <f aca="false">IF(AND(ISNUMBER($G1552),$G1552&gt;=21),STDEV(INDEX($H$1492:$H1552,62-20):$H1552)*SQRT(245),"")</f>
        <v/>
      </c>
      <c r="M1552" s="37" t="str">
        <f aca="false">IF(AND(ISNUMBER($G1552),$G1552&gt;=60),MAX(INDEX($D$1352:$D1552,202-60):$D1552),"")</f>
        <v/>
      </c>
      <c r="N1552" s="37" t="str">
        <f aca="false">IF(AND(ISNUMBER($G1552),$G1552&gt;=60),MIN(INDEX($E$1352:$E1552,202-60):$E1552),"")</f>
        <v/>
      </c>
      <c r="O1552" s="38" t="str">
        <f aca="false">IF(OR(NOT(ISNUMBER($C1552)),NOT(ISNUMBER($M1552)),$M1552=0),"",$C1552/$M1552-1)</f>
        <v/>
      </c>
    </row>
    <row r="1553" customFormat="false" ht="15" hidden="false" customHeight="true" outlineLevel="0" collapsed="false">
      <c r="A1553" s="39"/>
      <c r="B1553" s="40"/>
      <c r="C1553" s="41"/>
      <c r="D1553" s="40"/>
      <c r="E1553" s="40"/>
      <c r="F1553" s="40"/>
      <c r="G1553" s="35" t="str">
        <f aca="false">IF($A1553="","",IF(ISNUMBER($G1552),$G1552+1,1))</f>
        <v/>
      </c>
      <c r="H1553" s="36" t="str">
        <f aca="false">IF(OR(NOT(ISNUMBER($G1553)),$G1553&lt;2,NOT(ISNUMBER($C1552)),$C1552=0),"",$C1553/$C1552-1)</f>
        <v/>
      </c>
      <c r="I1553" s="37" t="str">
        <f aca="false">IF(AND(ISNUMBER($G1553),$G1553&gt;=MA_SHORT),AVERAGE(INDEX($C$1153:$C1553,402-MA_SHORT):$C1553),"")</f>
        <v/>
      </c>
      <c r="J1553" s="37" t="str">
        <f aca="false">IF(AND(ISNUMBER($G1553),$G1553&gt;=MA_MED),AVERAGE(INDEX($C$1153:$C1553,402-MA_MED):$C1553),"")</f>
        <v/>
      </c>
      <c r="K1553" s="37" t="str">
        <f aca="false">IF(AND(ISNUMBER($G1553),$G1553&gt;=MA_LONG2),AVERAGE(INDEX($C$1153:$C1553,402-MA_LONG2):$C1553),"")</f>
        <v/>
      </c>
      <c r="L1553" s="38" t="str">
        <f aca="false">IF(AND(ISNUMBER($G1553),$G1553&gt;=21),STDEV(INDEX($H$1493:$H1553,62-20):$H1553)*SQRT(245),"")</f>
        <v/>
      </c>
      <c r="M1553" s="37" t="str">
        <f aca="false">IF(AND(ISNUMBER($G1553),$G1553&gt;=60),MAX(INDEX($D$1353:$D1553,202-60):$D1553),"")</f>
        <v/>
      </c>
      <c r="N1553" s="37" t="str">
        <f aca="false">IF(AND(ISNUMBER($G1553),$G1553&gt;=60),MIN(INDEX($E$1353:$E1553,202-60):$E1553),"")</f>
        <v/>
      </c>
      <c r="O1553" s="38" t="str">
        <f aca="false">IF(OR(NOT(ISNUMBER($C1553)),NOT(ISNUMBER($M1553)),$M1553=0),"",$C1553/$M1553-1)</f>
        <v/>
      </c>
    </row>
    <row r="1554" customFormat="false" ht="15" hidden="false" customHeight="true" outlineLevel="0" collapsed="false">
      <c r="A1554" s="39"/>
      <c r="B1554" s="40"/>
      <c r="C1554" s="41"/>
      <c r="D1554" s="40"/>
      <c r="E1554" s="40"/>
      <c r="F1554" s="40"/>
      <c r="G1554" s="35" t="str">
        <f aca="false">IF($A1554="","",IF(ISNUMBER($G1553),$G1553+1,1))</f>
        <v/>
      </c>
      <c r="H1554" s="36" t="str">
        <f aca="false">IF(OR(NOT(ISNUMBER($G1554)),$G1554&lt;2,NOT(ISNUMBER($C1553)),$C1553=0),"",$C1554/$C1553-1)</f>
        <v/>
      </c>
      <c r="I1554" s="37" t="str">
        <f aca="false">IF(AND(ISNUMBER($G1554),$G1554&gt;=MA_SHORT),AVERAGE(INDEX($C$1154:$C1554,402-MA_SHORT):$C1554),"")</f>
        <v/>
      </c>
      <c r="J1554" s="37" t="str">
        <f aca="false">IF(AND(ISNUMBER($G1554),$G1554&gt;=MA_MED),AVERAGE(INDEX($C$1154:$C1554,402-MA_MED):$C1554),"")</f>
        <v/>
      </c>
      <c r="K1554" s="37" t="str">
        <f aca="false">IF(AND(ISNUMBER($G1554),$G1554&gt;=MA_LONG2),AVERAGE(INDEX($C$1154:$C1554,402-MA_LONG2):$C1554),"")</f>
        <v/>
      </c>
      <c r="L1554" s="38" t="str">
        <f aca="false">IF(AND(ISNUMBER($G1554),$G1554&gt;=21),STDEV(INDEX($H$1494:$H1554,62-20):$H1554)*SQRT(245),"")</f>
        <v/>
      </c>
      <c r="M1554" s="37" t="str">
        <f aca="false">IF(AND(ISNUMBER($G1554),$G1554&gt;=60),MAX(INDEX($D$1354:$D1554,202-60):$D1554),"")</f>
        <v/>
      </c>
      <c r="N1554" s="37" t="str">
        <f aca="false">IF(AND(ISNUMBER($G1554),$G1554&gt;=60),MIN(INDEX($E$1354:$E1554,202-60):$E1554),"")</f>
        <v/>
      </c>
      <c r="O1554" s="38" t="str">
        <f aca="false">IF(OR(NOT(ISNUMBER($C1554)),NOT(ISNUMBER($M1554)),$M1554=0),"",$C1554/$M1554-1)</f>
        <v/>
      </c>
    </row>
    <row r="1555" customFormat="false" ht="15" hidden="false" customHeight="true" outlineLevel="0" collapsed="false">
      <c r="A1555" s="39"/>
      <c r="B1555" s="40"/>
      <c r="C1555" s="41"/>
      <c r="D1555" s="40"/>
      <c r="E1555" s="40"/>
      <c r="F1555" s="40"/>
      <c r="G1555" s="35" t="str">
        <f aca="false">IF($A1555="","",IF(ISNUMBER($G1554),$G1554+1,1))</f>
        <v/>
      </c>
      <c r="H1555" s="36" t="str">
        <f aca="false">IF(OR(NOT(ISNUMBER($G1555)),$G1555&lt;2,NOT(ISNUMBER($C1554)),$C1554=0),"",$C1555/$C1554-1)</f>
        <v/>
      </c>
      <c r="I1555" s="37" t="str">
        <f aca="false">IF(AND(ISNUMBER($G1555),$G1555&gt;=MA_SHORT),AVERAGE(INDEX($C$1155:$C1555,402-MA_SHORT):$C1555),"")</f>
        <v/>
      </c>
      <c r="J1555" s="37" t="str">
        <f aca="false">IF(AND(ISNUMBER($G1555),$G1555&gt;=MA_MED),AVERAGE(INDEX($C$1155:$C1555,402-MA_MED):$C1555),"")</f>
        <v/>
      </c>
      <c r="K1555" s="37" t="str">
        <f aca="false">IF(AND(ISNUMBER($G1555),$G1555&gt;=MA_LONG2),AVERAGE(INDEX($C$1155:$C1555,402-MA_LONG2):$C1555),"")</f>
        <v/>
      </c>
      <c r="L1555" s="38" t="str">
        <f aca="false">IF(AND(ISNUMBER($G1555),$G1555&gt;=21),STDEV(INDEX($H$1495:$H1555,62-20):$H1555)*SQRT(245),"")</f>
        <v/>
      </c>
      <c r="M1555" s="37" t="str">
        <f aca="false">IF(AND(ISNUMBER($G1555),$G1555&gt;=60),MAX(INDEX($D$1355:$D1555,202-60):$D1555),"")</f>
        <v/>
      </c>
      <c r="N1555" s="37" t="str">
        <f aca="false">IF(AND(ISNUMBER($G1555),$G1555&gt;=60),MIN(INDEX($E$1355:$E1555,202-60):$E1555),"")</f>
        <v/>
      </c>
      <c r="O1555" s="38" t="str">
        <f aca="false">IF(OR(NOT(ISNUMBER($C1555)),NOT(ISNUMBER($M1555)),$M1555=0),"",$C1555/$M1555-1)</f>
        <v/>
      </c>
    </row>
    <row r="1556" customFormat="false" ht="15" hidden="false" customHeight="true" outlineLevel="0" collapsed="false">
      <c r="A1556" s="39"/>
      <c r="B1556" s="40"/>
      <c r="C1556" s="41"/>
      <c r="D1556" s="40"/>
      <c r="E1556" s="40"/>
      <c r="F1556" s="40"/>
      <c r="G1556" s="35" t="str">
        <f aca="false">IF($A1556="","",IF(ISNUMBER($G1555),$G1555+1,1))</f>
        <v/>
      </c>
      <c r="H1556" s="36" t="str">
        <f aca="false">IF(OR(NOT(ISNUMBER($G1556)),$G1556&lt;2,NOT(ISNUMBER($C1555)),$C1555=0),"",$C1556/$C1555-1)</f>
        <v/>
      </c>
      <c r="I1556" s="37" t="str">
        <f aca="false">IF(AND(ISNUMBER($G1556),$G1556&gt;=MA_SHORT),AVERAGE(INDEX($C$1156:$C1556,402-MA_SHORT):$C1556),"")</f>
        <v/>
      </c>
      <c r="J1556" s="37" t="str">
        <f aca="false">IF(AND(ISNUMBER($G1556),$G1556&gt;=MA_MED),AVERAGE(INDEX($C$1156:$C1556,402-MA_MED):$C1556),"")</f>
        <v/>
      </c>
      <c r="K1556" s="37" t="str">
        <f aca="false">IF(AND(ISNUMBER($G1556),$G1556&gt;=MA_LONG2),AVERAGE(INDEX($C$1156:$C1556,402-MA_LONG2):$C1556),"")</f>
        <v/>
      </c>
      <c r="L1556" s="38" t="str">
        <f aca="false">IF(AND(ISNUMBER($G1556),$G1556&gt;=21),STDEV(INDEX($H$1496:$H1556,62-20):$H1556)*SQRT(245),"")</f>
        <v/>
      </c>
      <c r="M1556" s="37" t="str">
        <f aca="false">IF(AND(ISNUMBER($G1556),$G1556&gt;=60),MAX(INDEX($D$1356:$D1556,202-60):$D1556),"")</f>
        <v/>
      </c>
      <c r="N1556" s="37" t="str">
        <f aca="false">IF(AND(ISNUMBER($G1556),$G1556&gt;=60),MIN(INDEX($E$1356:$E1556,202-60):$E1556),"")</f>
        <v/>
      </c>
      <c r="O1556" s="38" t="str">
        <f aca="false">IF(OR(NOT(ISNUMBER($C1556)),NOT(ISNUMBER($M1556)),$M1556=0),"",$C1556/$M1556-1)</f>
        <v/>
      </c>
    </row>
    <row r="1557" customFormat="false" ht="15" hidden="false" customHeight="true" outlineLevel="0" collapsed="false">
      <c r="A1557" s="39"/>
      <c r="B1557" s="40"/>
      <c r="C1557" s="41"/>
      <c r="D1557" s="40"/>
      <c r="E1557" s="40"/>
      <c r="F1557" s="40"/>
      <c r="G1557" s="35" t="str">
        <f aca="false">IF($A1557="","",IF(ISNUMBER($G1556),$G1556+1,1))</f>
        <v/>
      </c>
      <c r="H1557" s="36" t="str">
        <f aca="false">IF(OR(NOT(ISNUMBER($G1557)),$G1557&lt;2,NOT(ISNUMBER($C1556)),$C1556=0),"",$C1557/$C1556-1)</f>
        <v/>
      </c>
      <c r="I1557" s="37" t="str">
        <f aca="false">IF(AND(ISNUMBER($G1557),$G1557&gt;=MA_SHORT),AVERAGE(INDEX($C$1157:$C1557,402-MA_SHORT):$C1557),"")</f>
        <v/>
      </c>
      <c r="J1557" s="37" t="str">
        <f aca="false">IF(AND(ISNUMBER($G1557),$G1557&gt;=MA_MED),AVERAGE(INDEX($C$1157:$C1557,402-MA_MED):$C1557),"")</f>
        <v/>
      </c>
      <c r="K1557" s="37" t="str">
        <f aca="false">IF(AND(ISNUMBER($G1557),$G1557&gt;=MA_LONG2),AVERAGE(INDEX($C$1157:$C1557,402-MA_LONG2):$C1557),"")</f>
        <v/>
      </c>
      <c r="L1557" s="38" t="str">
        <f aca="false">IF(AND(ISNUMBER($G1557),$G1557&gt;=21),STDEV(INDEX($H$1497:$H1557,62-20):$H1557)*SQRT(245),"")</f>
        <v/>
      </c>
      <c r="M1557" s="37" t="str">
        <f aca="false">IF(AND(ISNUMBER($G1557),$G1557&gt;=60),MAX(INDEX($D$1357:$D1557,202-60):$D1557),"")</f>
        <v/>
      </c>
      <c r="N1557" s="37" t="str">
        <f aca="false">IF(AND(ISNUMBER($G1557),$G1557&gt;=60),MIN(INDEX($E$1357:$E1557,202-60):$E1557),"")</f>
        <v/>
      </c>
      <c r="O1557" s="38" t="str">
        <f aca="false">IF(OR(NOT(ISNUMBER($C1557)),NOT(ISNUMBER($M1557)),$M1557=0),"",$C1557/$M1557-1)</f>
        <v/>
      </c>
    </row>
    <row r="1558" customFormat="false" ht="15" hidden="false" customHeight="true" outlineLevel="0" collapsed="false">
      <c r="A1558" s="39"/>
      <c r="B1558" s="40"/>
      <c r="C1558" s="41"/>
      <c r="D1558" s="40"/>
      <c r="E1558" s="40"/>
      <c r="F1558" s="40"/>
      <c r="G1558" s="35" t="str">
        <f aca="false">IF($A1558="","",IF(ISNUMBER($G1557),$G1557+1,1))</f>
        <v/>
      </c>
      <c r="H1558" s="36" t="str">
        <f aca="false">IF(OR(NOT(ISNUMBER($G1558)),$G1558&lt;2,NOT(ISNUMBER($C1557)),$C1557=0),"",$C1558/$C1557-1)</f>
        <v/>
      </c>
      <c r="I1558" s="37" t="str">
        <f aca="false">IF(AND(ISNUMBER($G1558),$G1558&gt;=MA_SHORT),AVERAGE(INDEX($C$1158:$C1558,402-MA_SHORT):$C1558),"")</f>
        <v/>
      </c>
      <c r="J1558" s="37" t="str">
        <f aca="false">IF(AND(ISNUMBER($G1558),$G1558&gt;=MA_MED),AVERAGE(INDEX($C$1158:$C1558,402-MA_MED):$C1558),"")</f>
        <v/>
      </c>
      <c r="K1558" s="37" t="str">
        <f aca="false">IF(AND(ISNUMBER($G1558),$G1558&gt;=MA_LONG2),AVERAGE(INDEX($C$1158:$C1558,402-MA_LONG2):$C1558),"")</f>
        <v/>
      </c>
      <c r="L1558" s="38" t="str">
        <f aca="false">IF(AND(ISNUMBER($G1558),$G1558&gt;=21),STDEV(INDEX($H$1498:$H1558,62-20):$H1558)*SQRT(245),"")</f>
        <v/>
      </c>
      <c r="M1558" s="37" t="str">
        <f aca="false">IF(AND(ISNUMBER($G1558),$G1558&gt;=60),MAX(INDEX($D$1358:$D1558,202-60):$D1558),"")</f>
        <v/>
      </c>
      <c r="N1558" s="37" t="str">
        <f aca="false">IF(AND(ISNUMBER($G1558),$G1558&gt;=60),MIN(INDEX($E$1358:$E1558,202-60):$E1558),"")</f>
        <v/>
      </c>
      <c r="O1558" s="38" t="str">
        <f aca="false">IF(OR(NOT(ISNUMBER($C1558)),NOT(ISNUMBER($M1558)),$M1558=0),"",$C1558/$M1558-1)</f>
        <v/>
      </c>
    </row>
    <row r="1559" customFormat="false" ht="15" hidden="false" customHeight="true" outlineLevel="0" collapsed="false">
      <c r="A1559" s="39"/>
      <c r="B1559" s="40"/>
      <c r="C1559" s="41"/>
      <c r="D1559" s="40"/>
      <c r="E1559" s="40"/>
      <c r="F1559" s="40"/>
      <c r="G1559" s="35" t="str">
        <f aca="false">IF($A1559="","",IF(ISNUMBER($G1558),$G1558+1,1))</f>
        <v/>
      </c>
      <c r="H1559" s="36" t="str">
        <f aca="false">IF(OR(NOT(ISNUMBER($G1559)),$G1559&lt;2,NOT(ISNUMBER($C1558)),$C1558=0),"",$C1559/$C1558-1)</f>
        <v/>
      </c>
      <c r="I1559" s="37" t="str">
        <f aca="false">IF(AND(ISNUMBER($G1559),$G1559&gt;=MA_SHORT),AVERAGE(INDEX($C$1159:$C1559,402-MA_SHORT):$C1559),"")</f>
        <v/>
      </c>
      <c r="J1559" s="37" t="str">
        <f aca="false">IF(AND(ISNUMBER($G1559),$G1559&gt;=MA_MED),AVERAGE(INDEX($C$1159:$C1559,402-MA_MED):$C1559),"")</f>
        <v/>
      </c>
      <c r="K1559" s="37" t="str">
        <f aca="false">IF(AND(ISNUMBER($G1559),$G1559&gt;=MA_LONG2),AVERAGE(INDEX($C$1159:$C1559,402-MA_LONG2):$C1559),"")</f>
        <v/>
      </c>
      <c r="L1559" s="38" t="str">
        <f aca="false">IF(AND(ISNUMBER($G1559),$G1559&gt;=21),STDEV(INDEX($H$1499:$H1559,62-20):$H1559)*SQRT(245),"")</f>
        <v/>
      </c>
      <c r="M1559" s="37" t="str">
        <f aca="false">IF(AND(ISNUMBER($G1559),$G1559&gt;=60),MAX(INDEX($D$1359:$D1559,202-60):$D1559),"")</f>
        <v/>
      </c>
      <c r="N1559" s="37" t="str">
        <f aca="false">IF(AND(ISNUMBER($G1559),$G1559&gt;=60),MIN(INDEX($E$1359:$E1559,202-60):$E1559),"")</f>
        <v/>
      </c>
      <c r="O1559" s="38" t="str">
        <f aca="false">IF(OR(NOT(ISNUMBER($C1559)),NOT(ISNUMBER($M1559)),$M1559=0),"",$C1559/$M1559-1)</f>
        <v/>
      </c>
    </row>
    <row r="1560" customFormat="false" ht="15" hidden="false" customHeight="true" outlineLevel="0" collapsed="false">
      <c r="A1560" s="39"/>
      <c r="B1560" s="40"/>
      <c r="C1560" s="41"/>
      <c r="D1560" s="40"/>
      <c r="E1560" s="40"/>
      <c r="F1560" s="40"/>
      <c r="G1560" s="35" t="str">
        <f aca="false">IF($A1560="","",IF(ISNUMBER($G1559),$G1559+1,1))</f>
        <v/>
      </c>
      <c r="H1560" s="36" t="str">
        <f aca="false">IF(OR(NOT(ISNUMBER($G1560)),$G1560&lt;2,NOT(ISNUMBER($C1559)),$C1559=0),"",$C1560/$C1559-1)</f>
        <v/>
      </c>
      <c r="I1560" s="37" t="str">
        <f aca="false">IF(AND(ISNUMBER($G1560),$G1560&gt;=MA_SHORT),AVERAGE(INDEX($C$1160:$C1560,402-MA_SHORT):$C1560),"")</f>
        <v/>
      </c>
      <c r="J1560" s="37" t="str">
        <f aca="false">IF(AND(ISNUMBER($G1560),$G1560&gt;=MA_MED),AVERAGE(INDEX($C$1160:$C1560,402-MA_MED):$C1560),"")</f>
        <v/>
      </c>
      <c r="K1560" s="37" t="str">
        <f aca="false">IF(AND(ISNUMBER($G1560),$G1560&gt;=MA_LONG2),AVERAGE(INDEX($C$1160:$C1560,402-MA_LONG2):$C1560),"")</f>
        <v/>
      </c>
      <c r="L1560" s="38" t="str">
        <f aca="false">IF(AND(ISNUMBER($G1560),$G1560&gt;=21),STDEV(INDEX($H$1500:$H1560,62-20):$H1560)*SQRT(245),"")</f>
        <v/>
      </c>
      <c r="M1560" s="37" t="str">
        <f aca="false">IF(AND(ISNUMBER($G1560),$G1560&gt;=60),MAX(INDEX($D$1360:$D1560,202-60):$D1560),"")</f>
        <v/>
      </c>
      <c r="N1560" s="37" t="str">
        <f aca="false">IF(AND(ISNUMBER($G1560),$G1560&gt;=60),MIN(INDEX($E$1360:$E1560,202-60):$E1560),"")</f>
        <v/>
      </c>
      <c r="O1560" s="38" t="str">
        <f aca="false">IF(OR(NOT(ISNUMBER($C1560)),NOT(ISNUMBER($M1560)),$M1560=0),"",$C1560/$M1560-1)</f>
        <v/>
      </c>
    </row>
    <row r="1561" customFormat="false" ht="15" hidden="false" customHeight="true" outlineLevel="0" collapsed="false">
      <c r="A1561" s="39"/>
      <c r="B1561" s="40"/>
      <c r="C1561" s="41"/>
      <c r="D1561" s="40"/>
      <c r="E1561" s="40"/>
      <c r="F1561" s="40"/>
      <c r="G1561" s="35" t="str">
        <f aca="false">IF($A1561="","",IF(ISNUMBER($G1560),$G1560+1,1))</f>
        <v/>
      </c>
      <c r="H1561" s="36" t="str">
        <f aca="false">IF(OR(NOT(ISNUMBER($G1561)),$G1561&lt;2,NOT(ISNUMBER($C1560)),$C1560=0),"",$C1561/$C1560-1)</f>
        <v/>
      </c>
      <c r="I1561" s="37" t="str">
        <f aca="false">IF(AND(ISNUMBER($G1561),$G1561&gt;=MA_SHORT),AVERAGE(INDEX($C$1161:$C1561,402-MA_SHORT):$C1561),"")</f>
        <v/>
      </c>
      <c r="J1561" s="37" t="str">
        <f aca="false">IF(AND(ISNUMBER($G1561),$G1561&gt;=MA_MED),AVERAGE(INDEX($C$1161:$C1561,402-MA_MED):$C1561),"")</f>
        <v/>
      </c>
      <c r="K1561" s="37" t="str">
        <f aca="false">IF(AND(ISNUMBER($G1561),$G1561&gt;=MA_LONG2),AVERAGE(INDEX($C$1161:$C1561,402-MA_LONG2):$C1561),"")</f>
        <v/>
      </c>
      <c r="L1561" s="38" t="str">
        <f aca="false">IF(AND(ISNUMBER($G1561),$G1561&gt;=21),STDEV(INDEX($H$1501:$H1561,62-20):$H1561)*SQRT(245),"")</f>
        <v/>
      </c>
      <c r="M1561" s="37" t="str">
        <f aca="false">IF(AND(ISNUMBER($G1561),$G1561&gt;=60),MAX(INDEX($D$1361:$D1561,202-60):$D1561),"")</f>
        <v/>
      </c>
      <c r="N1561" s="37" t="str">
        <f aca="false">IF(AND(ISNUMBER($G1561),$G1561&gt;=60),MIN(INDEX($E$1361:$E1561,202-60):$E1561),"")</f>
        <v/>
      </c>
      <c r="O1561" s="38" t="str">
        <f aca="false">IF(OR(NOT(ISNUMBER($C1561)),NOT(ISNUMBER($M1561)),$M1561=0),"",$C1561/$M1561-1)</f>
        <v/>
      </c>
    </row>
    <row r="1562" customFormat="false" ht="15" hidden="false" customHeight="true" outlineLevel="0" collapsed="false">
      <c r="A1562" s="39"/>
      <c r="B1562" s="40"/>
      <c r="C1562" s="41"/>
      <c r="D1562" s="40"/>
      <c r="E1562" s="40"/>
      <c r="F1562" s="40"/>
      <c r="G1562" s="35" t="str">
        <f aca="false">IF($A1562="","",IF(ISNUMBER($G1561),$G1561+1,1))</f>
        <v/>
      </c>
      <c r="H1562" s="36" t="str">
        <f aca="false">IF(OR(NOT(ISNUMBER($G1562)),$G1562&lt;2,NOT(ISNUMBER($C1561)),$C1561=0),"",$C1562/$C1561-1)</f>
        <v/>
      </c>
      <c r="I1562" s="37" t="str">
        <f aca="false">IF(AND(ISNUMBER($G1562),$G1562&gt;=MA_SHORT),AVERAGE(INDEX($C$1162:$C1562,402-MA_SHORT):$C1562),"")</f>
        <v/>
      </c>
      <c r="J1562" s="37" t="str">
        <f aca="false">IF(AND(ISNUMBER($G1562),$G1562&gt;=MA_MED),AVERAGE(INDEX($C$1162:$C1562,402-MA_MED):$C1562),"")</f>
        <v/>
      </c>
      <c r="K1562" s="37" t="str">
        <f aca="false">IF(AND(ISNUMBER($G1562),$G1562&gt;=MA_LONG2),AVERAGE(INDEX($C$1162:$C1562,402-MA_LONG2):$C1562),"")</f>
        <v/>
      </c>
      <c r="L1562" s="38" t="str">
        <f aca="false">IF(AND(ISNUMBER($G1562),$G1562&gt;=21),STDEV(INDEX($H$1502:$H1562,62-20):$H1562)*SQRT(245),"")</f>
        <v/>
      </c>
      <c r="M1562" s="37" t="str">
        <f aca="false">IF(AND(ISNUMBER($G1562),$G1562&gt;=60),MAX(INDEX($D$1362:$D1562,202-60):$D1562),"")</f>
        <v/>
      </c>
      <c r="N1562" s="37" t="str">
        <f aca="false">IF(AND(ISNUMBER($G1562),$G1562&gt;=60),MIN(INDEX($E$1362:$E1562,202-60):$E1562),"")</f>
        <v/>
      </c>
      <c r="O1562" s="38" t="str">
        <f aca="false">IF(OR(NOT(ISNUMBER($C1562)),NOT(ISNUMBER($M1562)),$M1562=0),"",$C1562/$M1562-1)</f>
        <v/>
      </c>
    </row>
    <row r="1563" customFormat="false" ht="15" hidden="false" customHeight="true" outlineLevel="0" collapsed="false">
      <c r="A1563" s="39"/>
      <c r="B1563" s="40"/>
      <c r="C1563" s="41"/>
      <c r="D1563" s="40"/>
      <c r="E1563" s="40"/>
      <c r="F1563" s="40"/>
      <c r="G1563" s="35" t="str">
        <f aca="false">IF($A1563="","",IF(ISNUMBER($G1562),$G1562+1,1))</f>
        <v/>
      </c>
      <c r="H1563" s="36" t="str">
        <f aca="false">IF(OR(NOT(ISNUMBER($G1563)),$G1563&lt;2,NOT(ISNUMBER($C1562)),$C1562=0),"",$C1563/$C1562-1)</f>
        <v/>
      </c>
      <c r="I1563" s="37" t="str">
        <f aca="false">IF(AND(ISNUMBER($G1563),$G1563&gt;=MA_SHORT),AVERAGE(INDEX($C$1163:$C1563,402-MA_SHORT):$C1563),"")</f>
        <v/>
      </c>
      <c r="J1563" s="37" t="str">
        <f aca="false">IF(AND(ISNUMBER($G1563),$G1563&gt;=MA_MED),AVERAGE(INDEX($C$1163:$C1563,402-MA_MED):$C1563),"")</f>
        <v/>
      </c>
      <c r="K1563" s="37" t="str">
        <f aca="false">IF(AND(ISNUMBER($G1563),$G1563&gt;=MA_LONG2),AVERAGE(INDEX($C$1163:$C1563,402-MA_LONG2):$C1563),"")</f>
        <v/>
      </c>
      <c r="L1563" s="38" t="str">
        <f aca="false">IF(AND(ISNUMBER($G1563),$G1563&gt;=21),STDEV(INDEX($H$1503:$H1563,62-20):$H1563)*SQRT(245),"")</f>
        <v/>
      </c>
      <c r="M1563" s="37" t="str">
        <f aca="false">IF(AND(ISNUMBER($G1563),$G1563&gt;=60),MAX(INDEX($D$1363:$D1563,202-60):$D1563),"")</f>
        <v/>
      </c>
      <c r="N1563" s="37" t="str">
        <f aca="false">IF(AND(ISNUMBER($G1563),$G1563&gt;=60),MIN(INDEX($E$1363:$E1563,202-60):$E1563),"")</f>
        <v/>
      </c>
      <c r="O1563" s="38" t="str">
        <f aca="false">IF(OR(NOT(ISNUMBER($C1563)),NOT(ISNUMBER($M1563)),$M1563=0),"",$C1563/$M1563-1)</f>
        <v/>
      </c>
    </row>
    <row r="1564" customFormat="false" ht="15" hidden="false" customHeight="true" outlineLevel="0" collapsed="false">
      <c r="A1564" s="39"/>
      <c r="B1564" s="40"/>
      <c r="C1564" s="41"/>
      <c r="D1564" s="40"/>
      <c r="E1564" s="40"/>
      <c r="F1564" s="40"/>
      <c r="G1564" s="35" t="str">
        <f aca="false">IF($A1564="","",IF(ISNUMBER($G1563),$G1563+1,1))</f>
        <v/>
      </c>
      <c r="H1564" s="36" t="str">
        <f aca="false">IF(OR(NOT(ISNUMBER($G1564)),$G1564&lt;2,NOT(ISNUMBER($C1563)),$C1563=0),"",$C1564/$C1563-1)</f>
        <v/>
      </c>
      <c r="I1564" s="37" t="str">
        <f aca="false">IF(AND(ISNUMBER($G1564),$G1564&gt;=MA_SHORT),AVERAGE(INDEX($C$1164:$C1564,402-MA_SHORT):$C1564),"")</f>
        <v/>
      </c>
      <c r="J1564" s="37" t="str">
        <f aca="false">IF(AND(ISNUMBER($G1564),$G1564&gt;=MA_MED),AVERAGE(INDEX($C$1164:$C1564,402-MA_MED):$C1564),"")</f>
        <v/>
      </c>
      <c r="K1564" s="37" t="str">
        <f aca="false">IF(AND(ISNUMBER($G1564),$G1564&gt;=MA_LONG2),AVERAGE(INDEX($C$1164:$C1564,402-MA_LONG2):$C1564),"")</f>
        <v/>
      </c>
      <c r="L1564" s="38" t="str">
        <f aca="false">IF(AND(ISNUMBER($G1564),$G1564&gt;=21),STDEV(INDEX($H$1504:$H1564,62-20):$H1564)*SQRT(245),"")</f>
        <v/>
      </c>
      <c r="M1564" s="37" t="str">
        <f aca="false">IF(AND(ISNUMBER($G1564),$G1564&gt;=60),MAX(INDEX($D$1364:$D1564,202-60):$D1564),"")</f>
        <v/>
      </c>
      <c r="N1564" s="37" t="str">
        <f aca="false">IF(AND(ISNUMBER($G1564),$G1564&gt;=60),MIN(INDEX($E$1364:$E1564,202-60):$E1564),"")</f>
        <v/>
      </c>
      <c r="O1564" s="38" t="str">
        <f aca="false">IF(OR(NOT(ISNUMBER($C1564)),NOT(ISNUMBER($M1564)),$M1564=0),"",$C1564/$M1564-1)</f>
        <v/>
      </c>
    </row>
    <row r="1565" customFormat="false" ht="15" hidden="false" customHeight="true" outlineLevel="0" collapsed="false">
      <c r="A1565" s="39"/>
      <c r="B1565" s="40"/>
      <c r="C1565" s="41"/>
      <c r="D1565" s="40"/>
      <c r="E1565" s="40"/>
      <c r="F1565" s="40"/>
      <c r="G1565" s="35" t="str">
        <f aca="false">IF($A1565="","",IF(ISNUMBER($G1564),$G1564+1,1))</f>
        <v/>
      </c>
      <c r="H1565" s="36" t="str">
        <f aca="false">IF(OR(NOT(ISNUMBER($G1565)),$G1565&lt;2,NOT(ISNUMBER($C1564)),$C1564=0),"",$C1565/$C1564-1)</f>
        <v/>
      </c>
      <c r="I1565" s="37" t="str">
        <f aca="false">IF(AND(ISNUMBER($G1565),$G1565&gt;=MA_SHORT),AVERAGE(INDEX($C$1165:$C1565,402-MA_SHORT):$C1565),"")</f>
        <v/>
      </c>
      <c r="J1565" s="37" t="str">
        <f aca="false">IF(AND(ISNUMBER($G1565),$G1565&gt;=MA_MED),AVERAGE(INDEX($C$1165:$C1565,402-MA_MED):$C1565),"")</f>
        <v/>
      </c>
      <c r="K1565" s="37" t="str">
        <f aca="false">IF(AND(ISNUMBER($G1565),$G1565&gt;=MA_LONG2),AVERAGE(INDEX($C$1165:$C1565,402-MA_LONG2):$C1565),"")</f>
        <v/>
      </c>
      <c r="L1565" s="38" t="str">
        <f aca="false">IF(AND(ISNUMBER($G1565),$G1565&gt;=21),STDEV(INDEX($H$1505:$H1565,62-20):$H1565)*SQRT(245),"")</f>
        <v/>
      </c>
      <c r="M1565" s="37" t="str">
        <f aca="false">IF(AND(ISNUMBER($G1565),$G1565&gt;=60),MAX(INDEX($D$1365:$D1565,202-60):$D1565),"")</f>
        <v/>
      </c>
      <c r="N1565" s="37" t="str">
        <f aca="false">IF(AND(ISNUMBER($G1565),$G1565&gt;=60),MIN(INDEX($E$1365:$E1565,202-60):$E1565),"")</f>
        <v/>
      </c>
      <c r="O1565" s="38" t="str">
        <f aca="false">IF(OR(NOT(ISNUMBER($C1565)),NOT(ISNUMBER($M1565)),$M1565=0),"",$C1565/$M1565-1)</f>
        <v/>
      </c>
    </row>
    <row r="1566" customFormat="false" ht="15" hidden="false" customHeight="true" outlineLevel="0" collapsed="false">
      <c r="A1566" s="39"/>
      <c r="B1566" s="40"/>
      <c r="C1566" s="41"/>
      <c r="D1566" s="40"/>
      <c r="E1566" s="40"/>
      <c r="F1566" s="40"/>
      <c r="G1566" s="35" t="str">
        <f aca="false">IF($A1566="","",IF(ISNUMBER($G1565),$G1565+1,1))</f>
        <v/>
      </c>
      <c r="H1566" s="36" t="str">
        <f aca="false">IF(OR(NOT(ISNUMBER($G1566)),$G1566&lt;2,NOT(ISNUMBER($C1565)),$C1565=0),"",$C1566/$C1565-1)</f>
        <v/>
      </c>
      <c r="I1566" s="37" t="str">
        <f aca="false">IF(AND(ISNUMBER($G1566),$G1566&gt;=MA_SHORT),AVERAGE(INDEX($C$1166:$C1566,402-MA_SHORT):$C1566),"")</f>
        <v/>
      </c>
      <c r="J1566" s="37" t="str">
        <f aca="false">IF(AND(ISNUMBER($G1566),$G1566&gt;=MA_MED),AVERAGE(INDEX($C$1166:$C1566,402-MA_MED):$C1566),"")</f>
        <v/>
      </c>
      <c r="K1566" s="37" t="str">
        <f aca="false">IF(AND(ISNUMBER($G1566),$G1566&gt;=MA_LONG2),AVERAGE(INDEX($C$1166:$C1566,402-MA_LONG2):$C1566),"")</f>
        <v/>
      </c>
      <c r="L1566" s="38" t="str">
        <f aca="false">IF(AND(ISNUMBER($G1566),$G1566&gt;=21),STDEV(INDEX($H$1506:$H1566,62-20):$H1566)*SQRT(245),"")</f>
        <v/>
      </c>
      <c r="M1566" s="37" t="str">
        <f aca="false">IF(AND(ISNUMBER($G1566),$G1566&gt;=60),MAX(INDEX($D$1366:$D1566,202-60):$D1566),"")</f>
        <v/>
      </c>
      <c r="N1566" s="37" t="str">
        <f aca="false">IF(AND(ISNUMBER($G1566),$G1566&gt;=60),MIN(INDEX($E$1366:$E1566,202-60):$E1566),"")</f>
        <v/>
      </c>
      <c r="O1566" s="38" t="str">
        <f aca="false">IF(OR(NOT(ISNUMBER($C1566)),NOT(ISNUMBER($M1566)),$M1566=0),"",$C1566/$M1566-1)</f>
        <v/>
      </c>
    </row>
    <row r="1567" customFormat="false" ht="15" hidden="false" customHeight="true" outlineLevel="0" collapsed="false">
      <c r="A1567" s="39"/>
      <c r="B1567" s="40"/>
      <c r="C1567" s="41"/>
      <c r="D1567" s="40"/>
      <c r="E1567" s="40"/>
      <c r="F1567" s="40"/>
      <c r="G1567" s="35" t="str">
        <f aca="false">IF($A1567="","",IF(ISNUMBER($G1566),$G1566+1,1))</f>
        <v/>
      </c>
      <c r="H1567" s="36" t="str">
        <f aca="false">IF(OR(NOT(ISNUMBER($G1567)),$G1567&lt;2,NOT(ISNUMBER($C1566)),$C1566=0),"",$C1567/$C1566-1)</f>
        <v/>
      </c>
      <c r="I1567" s="37" t="str">
        <f aca="false">IF(AND(ISNUMBER($G1567),$G1567&gt;=MA_SHORT),AVERAGE(INDEX($C$1167:$C1567,402-MA_SHORT):$C1567),"")</f>
        <v/>
      </c>
      <c r="J1567" s="37" t="str">
        <f aca="false">IF(AND(ISNUMBER($G1567),$G1567&gt;=MA_MED),AVERAGE(INDEX($C$1167:$C1567,402-MA_MED):$C1567),"")</f>
        <v/>
      </c>
      <c r="K1567" s="37" t="str">
        <f aca="false">IF(AND(ISNUMBER($G1567),$G1567&gt;=MA_LONG2),AVERAGE(INDEX($C$1167:$C1567,402-MA_LONG2):$C1567),"")</f>
        <v/>
      </c>
      <c r="L1567" s="38" t="str">
        <f aca="false">IF(AND(ISNUMBER($G1567),$G1567&gt;=21),STDEV(INDEX($H$1507:$H1567,62-20):$H1567)*SQRT(245),"")</f>
        <v/>
      </c>
      <c r="M1567" s="37" t="str">
        <f aca="false">IF(AND(ISNUMBER($G1567),$G1567&gt;=60),MAX(INDEX($D$1367:$D1567,202-60):$D1567),"")</f>
        <v/>
      </c>
      <c r="N1567" s="37" t="str">
        <f aca="false">IF(AND(ISNUMBER($G1567),$G1567&gt;=60),MIN(INDEX($E$1367:$E1567,202-60):$E1567),"")</f>
        <v/>
      </c>
      <c r="O1567" s="38" t="str">
        <f aca="false">IF(OR(NOT(ISNUMBER($C1567)),NOT(ISNUMBER($M1567)),$M1567=0),"",$C1567/$M1567-1)</f>
        <v/>
      </c>
    </row>
    <row r="1568" customFormat="false" ht="15" hidden="false" customHeight="true" outlineLevel="0" collapsed="false">
      <c r="A1568" s="39"/>
      <c r="B1568" s="40"/>
      <c r="C1568" s="41"/>
      <c r="D1568" s="40"/>
      <c r="E1568" s="40"/>
      <c r="F1568" s="40"/>
      <c r="G1568" s="35" t="str">
        <f aca="false">IF($A1568="","",IF(ISNUMBER($G1567),$G1567+1,1))</f>
        <v/>
      </c>
      <c r="H1568" s="36" t="str">
        <f aca="false">IF(OR(NOT(ISNUMBER($G1568)),$G1568&lt;2,NOT(ISNUMBER($C1567)),$C1567=0),"",$C1568/$C1567-1)</f>
        <v/>
      </c>
      <c r="I1568" s="37" t="str">
        <f aca="false">IF(AND(ISNUMBER($G1568),$G1568&gt;=MA_SHORT),AVERAGE(INDEX($C$1168:$C1568,402-MA_SHORT):$C1568),"")</f>
        <v/>
      </c>
      <c r="J1568" s="37" t="str">
        <f aca="false">IF(AND(ISNUMBER($G1568),$G1568&gt;=MA_MED),AVERAGE(INDEX($C$1168:$C1568,402-MA_MED):$C1568),"")</f>
        <v/>
      </c>
      <c r="K1568" s="37" t="str">
        <f aca="false">IF(AND(ISNUMBER($G1568),$G1568&gt;=MA_LONG2),AVERAGE(INDEX($C$1168:$C1568,402-MA_LONG2):$C1568),"")</f>
        <v/>
      </c>
      <c r="L1568" s="38" t="str">
        <f aca="false">IF(AND(ISNUMBER($G1568),$G1568&gt;=21),STDEV(INDEX($H$1508:$H1568,62-20):$H1568)*SQRT(245),"")</f>
        <v/>
      </c>
      <c r="M1568" s="37" t="str">
        <f aca="false">IF(AND(ISNUMBER($G1568),$G1568&gt;=60),MAX(INDEX($D$1368:$D1568,202-60):$D1568),"")</f>
        <v/>
      </c>
      <c r="N1568" s="37" t="str">
        <f aca="false">IF(AND(ISNUMBER($G1568),$G1568&gt;=60),MIN(INDEX($E$1368:$E1568,202-60):$E1568),"")</f>
        <v/>
      </c>
      <c r="O1568" s="38" t="str">
        <f aca="false">IF(OR(NOT(ISNUMBER($C1568)),NOT(ISNUMBER($M1568)),$M1568=0),"",$C1568/$M1568-1)</f>
        <v/>
      </c>
    </row>
    <row r="1569" customFormat="false" ht="15" hidden="false" customHeight="true" outlineLevel="0" collapsed="false">
      <c r="A1569" s="39"/>
      <c r="B1569" s="40"/>
      <c r="C1569" s="41"/>
      <c r="D1569" s="40"/>
      <c r="E1569" s="40"/>
      <c r="F1569" s="40"/>
      <c r="G1569" s="35" t="str">
        <f aca="false">IF($A1569="","",IF(ISNUMBER($G1568),$G1568+1,1))</f>
        <v/>
      </c>
      <c r="H1569" s="36" t="str">
        <f aca="false">IF(OR(NOT(ISNUMBER($G1569)),$G1569&lt;2,NOT(ISNUMBER($C1568)),$C1568=0),"",$C1569/$C1568-1)</f>
        <v/>
      </c>
      <c r="I1569" s="37" t="str">
        <f aca="false">IF(AND(ISNUMBER($G1569),$G1569&gt;=MA_SHORT),AVERAGE(INDEX($C$1169:$C1569,402-MA_SHORT):$C1569),"")</f>
        <v/>
      </c>
      <c r="J1569" s="37" t="str">
        <f aca="false">IF(AND(ISNUMBER($G1569),$G1569&gt;=MA_MED),AVERAGE(INDEX($C$1169:$C1569,402-MA_MED):$C1569),"")</f>
        <v/>
      </c>
      <c r="K1569" s="37" t="str">
        <f aca="false">IF(AND(ISNUMBER($G1569),$G1569&gt;=MA_LONG2),AVERAGE(INDEX($C$1169:$C1569,402-MA_LONG2):$C1569),"")</f>
        <v/>
      </c>
      <c r="L1569" s="38" t="str">
        <f aca="false">IF(AND(ISNUMBER($G1569),$G1569&gt;=21),STDEV(INDEX($H$1509:$H1569,62-20):$H1569)*SQRT(245),"")</f>
        <v/>
      </c>
      <c r="M1569" s="37" t="str">
        <f aca="false">IF(AND(ISNUMBER($G1569),$G1569&gt;=60),MAX(INDEX($D$1369:$D1569,202-60):$D1569),"")</f>
        <v/>
      </c>
      <c r="N1569" s="37" t="str">
        <f aca="false">IF(AND(ISNUMBER($G1569),$G1569&gt;=60),MIN(INDEX($E$1369:$E1569,202-60):$E1569),"")</f>
        <v/>
      </c>
      <c r="O1569" s="38" t="str">
        <f aca="false">IF(OR(NOT(ISNUMBER($C1569)),NOT(ISNUMBER($M1569)),$M1569=0),"",$C1569/$M1569-1)</f>
        <v/>
      </c>
    </row>
    <row r="1570" customFormat="false" ht="15" hidden="false" customHeight="true" outlineLevel="0" collapsed="false">
      <c r="A1570" s="39"/>
      <c r="B1570" s="40"/>
      <c r="C1570" s="41"/>
      <c r="D1570" s="40"/>
      <c r="E1570" s="40"/>
      <c r="F1570" s="40"/>
      <c r="G1570" s="35" t="str">
        <f aca="false">IF($A1570="","",IF(ISNUMBER($G1569),$G1569+1,1))</f>
        <v/>
      </c>
      <c r="H1570" s="36" t="str">
        <f aca="false">IF(OR(NOT(ISNUMBER($G1570)),$G1570&lt;2,NOT(ISNUMBER($C1569)),$C1569=0),"",$C1570/$C1569-1)</f>
        <v/>
      </c>
      <c r="I1570" s="37" t="str">
        <f aca="false">IF(AND(ISNUMBER($G1570),$G1570&gt;=MA_SHORT),AVERAGE(INDEX($C$1170:$C1570,402-MA_SHORT):$C1570),"")</f>
        <v/>
      </c>
      <c r="J1570" s="37" t="str">
        <f aca="false">IF(AND(ISNUMBER($G1570),$G1570&gt;=MA_MED),AVERAGE(INDEX($C$1170:$C1570,402-MA_MED):$C1570),"")</f>
        <v/>
      </c>
      <c r="K1570" s="37" t="str">
        <f aca="false">IF(AND(ISNUMBER($G1570),$G1570&gt;=MA_LONG2),AVERAGE(INDEX($C$1170:$C1570,402-MA_LONG2):$C1570),"")</f>
        <v/>
      </c>
      <c r="L1570" s="38" t="str">
        <f aca="false">IF(AND(ISNUMBER($G1570),$G1570&gt;=21),STDEV(INDEX($H$1510:$H1570,62-20):$H1570)*SQRT(245),"")</f>
        <v/>
      </c>
      <c r="M1570" s="37" t="str">
        <f aca="false">IF(AND(ISNUMBER($G1570),$G1570&gt;=60),MAX(INDEX($D$1370:$D1570,202-60):$D1570),"")</f>
        <v/>
      </c>
      <c r="N1570" s="37" t="str">
        <f aca="false">IF(AND(ISNUMBER($G1570),$G1570&gt;=60),MIN(INDEX($E$1370:$E1570,202-60):$E1570),"")</f>
        <v/>
      </c>
      <c r="O1570" s="38" t="str">
        <f aca="false">IF(OR(NOT(ISNUMBER($C1570)),NOT(ISNUMBER($M1570)),$M1570=0),"",$C1570/$M1570-1)</f>
        <v/>
      </c>
    </row>
    <row r="1571" customFormat="false" ht="15" hidden="false" customHeight="true" outlineLevel="0" collapsed="false">
      <c r="A1571" s="39"/>
      <c r="B1571" s="40"/>
      <c r="C1571" s="41"/>
      <c r="D1571" s="40"/>
      <c r="E1571" s="40"/>
      <c r="F1571" s="40"/>
      <c r="G1571" s="35" t="str">
        <f aca="false">IF($A1571="","",IF(ISNUMBER($G1570),$G1570+1,1))</f>
        <v/>
      </c>
      <c r="H1571" s="36" t="str">
        <f aca="false">IF(OR(NOT(ISNUMBER($G1571)),$G1571&lt;2,NOT(ISNUMBER($C1570)),$C1570=0),"",$C1571/$C1570-1)</f>
        <v/>
      </c>
      <c r="I1571" s="37" t="str">
        <f aca="false">IF(AND(ISNUMBER($G1571),$G1571&gt;=MA_SHORT),AVERAGE(INDEX($C$1171:$C1571,402-MA_SHORT):$C1571),"")</f>
        <v/>
      </c>
      <c r="J1571" s="37" t="str">
        <f aca="false">IF(AND(ISNUMBER($G1571),$G1571&gt;=MA_MED),AVERAGE(INDEX($C$1171:$C1571,402-MA_MED):$C1571),"")</f>
        <v/>
      </c>
      <c r="K1571" s="37" t="str">
        <f aca="false">IF(AND(ISNUMBER($G1571),$G1571&gt;=MA_LONG2),AVERAGE(INDEX($C$1171:$C1571,402-MA_LONG2):$C1571),"")</f>
        <v/>
      </c>
      <c r="L1571" s="38" t="str">
        <f aca="false">IF(AND(ISNUMBER($G1571),$G1571&gt;=21),STDEV(INDEX($H$1511:$H1571,62-20):$H1571)*SQRT(245),"")</f>
        <v/>
      </c>
      <c r="M1571" s="37" t="str">
        <f aca="false">IF(AND(ISNUMBER($G1571),$G1571&gt;=60),MAX(INDEX($D$1371:$D1571,202-60):$D1571),"")</f>
        <v/>
      </c>
      <c r="N1571" s="37" t="str">
        <f aca="false">IF(AND(ISNUMBER($G1571),$G1571&gt;=60),MIN(INDEX($E$1371:$E1571,202-60):$E1571),"")</f>
        <v/>
      </c>
      <c r="O1571" s="38" t="str">
        <f aca="false">IF(OR(NOT(ISNUMBER($C1571)),NOT(ISNUMBER($M1571)),$M1571=0),"",$C1571/$M1571-1)</f>
        <v/>
      </c>
    </row>
    <row r="1572" customFormat="false" ht="15" hidden="false" customHeight="true" outlineLevel="0" collapsed="false">
      <c r="A1572" s="39"/>
      <c r="B1572" s="40"/>
      <c r="C1572" s="41"/>
      <c r="D1572" s="40"/>
      <c r="E1572" s="40"/>
      <c r="F1572" s="40"/>
      <c r="G1572" s="35" t="str">
        <f aca="false">IF($A1572="","",IF(ISNUMBER($G1571),$G1571+1,1))</f>
        <v/>
      </c>
      <c r="H1572" s="36" t="str">
        <f aca="false">IF(OR(NOT(ISNUMBER($G1572)),$G1572&lt;2,NOT(ISNUMBER($C1571)),$C1571=0),"",$C1572/$C1571-1)</f>
        <v/>
      </c>
      <c r="I1572" s="37" t="str">
        <f aca="false">IF(AND(ISNUMBER($G1572),$G1572&gt;=MA_SHORT),AVERAGE(INDEX($C$1172:$C1572,402-MA_SHORT):$C1572),"")</f>
        <v/>
      </c>
      <c r="J1572" s="37" t="str">
        <f aca="false">IF(AND(ISNUMBER($G1572),$G1572&gt;=MA_MED),AVERAGE(INDEX($C$1172:$C1572,402-MA_MED):$C1572),"")</f>
        <v/>
      </c>
      <c r="K1572" s="37" t="str">
        <f aca="false">IF(AND(ISNUMBER($G1572),$G1572&gt;=MA_LONG2),AVERAGE(INDEX($C$1172:$C1572,402-MA_LONG2):$C1572),"")</f>
        <v/>
      </c>
      <c r="L1572" s="38" t="str">
        <f aca="false">IF(AND(ISNUMBER($G1572),$G1572&gt;=21),STDEV(INDEX($H$1512:$H1572,62-20):$H1572)*SQRT(245),"")</f>
        <v/>
      </c>
      <c r="M1572" s="37" t="str">
        <f aca="false">IF(AND(ISNUMBER($G1572),$G1572&gt;=60),MAX(INDEX($D$1372:$D1572,202-60):$D1572),"")</f>
        <v/>
      </c>
      <c r="N1572" s="37" t="str">
        <f aca="false">IF(AND(ISNUMBER($G1572),$G1572&gt;=60),MIN(INDEX($E$1372:$E1572,202-60):$E1572),"")</f>
        <v/>
      </c>
      <c r="O1572" s="38" t="str">
        <f aca="false">IF(OR(NOT(ISNUMBER($C1572)),NOT(ISNUMBER($M1572)),$M1572=0),"",$C1572/$M1572-1)</f>
        <v/>
      </c>
    </row>
    <row r="1573" customFormat="false" ht="15" hidden="false" customHeight="true" outlineLevel="0" collapsed="false">
      <c r="A1573" s="39"/>
      <c r="B1573" s="40"/>
      <c r="C1573" s="41"/>
      <c r="D1573" s="40"/>
      <c r="E1573" s="40"/>
      <c r="F1573" s="40"/>
      <c r="G1573" s="35" t="str">
        <f aca="false">IF($A1573="","",IF(ISNUMBER($G1572),$G1572+1,1))</f>
        <v/>
      </c>
      <c r="H1573" s="36" t="str">
        <f aca="false">IF(OR(NOT(ISNUMBER($G1573)),$G1573&lt;2,NOT(ISNUMBER($C1572)),$C1572=0),"",$C1573/$C1572-1)</f>
        <v/>
      </c>
      <c r="I1573" s="37" t="str">
        <f aca="false">IF(AND(ISNUMBER($G1573),$G1573&gt;=MA_SHORT),AVERAGE(INDEX($C$1173:$C1573,402-MA_SHORT):$C1573),"")</f>
        <v/>
      </c>
      <c r="J1573" s="37" t="str">
        <f aca="false">IF(AND(ISNUMBER($G1573),$G1573&gt;=MA_MED),AVERAGE(INDEX($C$1173:$C1573,402-MA_MED):$C1573),"")</f>
        <v/>
      </c>
      <c r="K1573" s="37" t="str">
        <f aca="false">IF(AND(ISNUMBER($G1573),$G1573&gt;=MA_LONG2),AVERAGE(INDEX($C$1173:$C1573,402-MA_LONG2):$C1573),"")</f>
        <v/>
      </c>
      <c r="L1573" s="38" t="str">
        <f aca="false">IF(AND(ISNUMBER($G1573),$G1573&gt;=21),STDEV(INDEX($H$1513:$H1573,62-20):$H1573)*SQRT(245),"")</f>
        <v/>
      </c>
      <c r="M1573" s="37" t="str">
        <f aca="false">IF(AND(ISNUMBER($G1573),$G1573&gt;=60),MAX(INDEX($D$1373:$D1573,202-60):$D1573),"")</f>
        <v/>
      </c>
      <c r="N1573" s="37" t="str">
        <f aca="false">IF(AND(ISNUMBER($G1573),$G1573&gt;=60),MIN(INDEX($E$1373:$E1573,202-60):$E1573),"")</f>
        <v/>
      </c>
      <c r="O1573" s="38" t="str">
        <f aca="false">IF(OR(NOT(ISNUMBER($C1573)),NOT(ISNUMBER($M1573)),$M1573=0),"",$C1573/$M1573-1)</f>
        <v/>
      </c>
    </row>
    <row r="1574" customFormat="false" ht="15" hidden="false" customHeight="true" outlineLevel="0" collapsed="false">
      <c r="A1574" s="39"/>
      <c r="B1574" s="40"/>
      <c r="C1574" s="41"/>
      <c r="D1574" s="40"/>
      <c r="E1574" s="40"/>
      <c r="F1574" s="40"/>
      <c r="G1574" s="35" t="str">
        <f aca="false">IF($A1574="","",IF(ISNUMBER($G1573),$G1573+1,1))</f>
        <v/>
      </c>
      <c r="H1574" s="36" t="str">
        <f aca="false">IF(OR(NOT(ISNUMBER($G1574)),$G1574&lt;2,NOT(ISNUMBER($C1573)),$C1573=0),"",$C1574/$C1573-1)</f>
        <v/>
      </c>
      <c r="I1574" s="37" t="str">
        <f aca="false">IF(AND(ISNUMBER($G1574),$G1574&gt;=MA_SHORT),AVERAGE(INDEX($C$1174:$C1574,402-MA_SHORT):$C1574),"")</f>
        <v/>
      </c>
      <c r="J1574" s="37" t="str">
        <f aca="false">IF(AND(ISNUMBER($G1574),$G1574&gt;=MA_MED),AVERAGE(INDEX($C$1174:$C1574,402-MA_MED):$C1574),"")</f>
        <v/>
      </c>
      <c r="K1574" s="37" t="str">
        <f aca="false">IF(AND(ISNUMBER($G1574),$G1574&gt;=MA_LONG2),AVERAGE(INDEX($C$1174:$C1574,402-MA_LONG2):$C1574),"")</f>
        <v/>
      </c>
      <c r="L1574" s="38" t="str">
        <f aca="false">IF(AND(ISNUMBER($G1574),$G1574&gt;=21),STDEV(INDEX($H$1514:$H1574,62-20):$H1574)*SQRT(245),"")</f>
        <v/>
      </c>
      <c r="M1574" s="37" t="str">
        <f aca="false">IF(AND(ISNUMBER($G1574),$G1574&gt;=60),MAX(INDEX($D$1374:$D1574,202-60):$D1574),"")</f>
        <v/>
      </c>
      <c r="N1574" s="37" t="str">
        <f aca="false">IF(AND(ISNUMBER($G1574),$G1574&gt;=60),MIN(INDEX($E$1374:$E1574,202-60):$E1574),"")</f>
        <v/>
      </c>
      <c r="O1574" s="38" t="str">
        <f aca="false">IF(OR(NOT(ISNUMBER($C1574)),NOT(ISNUMBER($M1574)),$M1574=0),"",$C1574/$M1574-1)</f>
        <v/>
      </c>
    </row>
    <row r="1575" customFormat="false" ht="15" hidden="false" customHeight="true" outlineLevel="0" collapsed="false">
      <c r="A1575" s="39"/>
      <c r="B1575" s="40"/>
      <c r="C1575" s="41"/>
      <c r="D1575" s="40"/>
      <c r="E1575" s="40"/>
      <c r="F1575" s="40"/>
      <c r="G1575" s="35" t="str">
        <f aca="false">IF($A1575="","",IF(ISNUMBER($G1574),$G1574+1,1))</f>
        <v/>
      </c>
      <c r="H1575" s="36" t="str">
        <f aca="false">IF(OR(NOT(ISNUMBER($G1575)),$G1575&lt;2,NOT(ISNUMBER($C1574)),$C1574=0),"",$C1575/$C1574-1)</f>
        <v/>
      </c>
      <c r="I1575" s="37" t="str">
        <f aca="false">IF(AND(ISNUMBER($G1575),$G1575&gt;=MA_SHORT),AVERAGE(INDEX($C$1175:$C1575,402-MA_SHORT):$C1575),"")</f>
        <v/>
      </c>
      <c r="J1575" s="37" t="str">
        <f aca="false">IF(AND(ISNUMBER($G1575),$G1575&gt;=MA_MED),AVERAGE(INDEX($C$1175:$C1575,402-MA_MED):$C1575),"")</f>
        <v/>
      </c>
      <c r="K1575" s="37" t="str">
        <f aca="false">IF(AND(ISNUMBER($G1575),$G1575&gt;=MA_LONG2),AVERAGE(INDEX($C$1175:$C1575,402-MA_LONG2):$C1575),"")</f>
        <v/>
      </c>
      <c r="L1575" s="38" t="str">
        <f aca="false">IF(AND(ISNUMBER($G1575),$G1575&gt;=21),STDEV(INDEX($H$1515:$H1575,62-20):$H1575)*SQRT(245),"")</f>
        <v/>
      </c>
      <c r="M1575" s="37" t="str">
        <f aca="false">IF(AND(ISNUMBER($G1575),$G1575&gt;=60),MAX(INDEX($D$1375:$D1575,202-60):$D1575),"")</f>
        <v/>
      </c>
      <c r="N1575" s="37" t="str">
        <f aca="false">IF(AND(ISNUMBER($G1575),$G1575&gt;=60),MIN(INDEX($E$1375:$E1575,202-60):$E1575),"")</f>
        <v/>
      </c>
      <c r="O1575" s="38" t="str">
        <f aca="false">IF(OR(NOT(ISNUMBER($C1575)),NOT(ISNUMBER($M1575)),$M1575=0),"",$C1575/$M1575-1)</f>
        <v/>
      </c>
    </row>
    <row r="1576" customFormat="false" ht="15" hidden="false" customHeight="true" outlineLevel="0" collapsed="false">
      <c r="A1576" s="39"/>
      <c r="B1576" s="40"/>
      <c r="C1576" s="41"/>
      <c r="D1576" s="40"/>
      <c r="E1576" s="40"/>
      <c r="F1576" s="40"/>
      <c r="G1576" s="35" t="str">
        <f aca="false">IF($A1576="","",IF(ISNUMBER($G1575),$G1575+1,1))</f>
        <v/>
      </c>
      <c r="H1576" s="36" t="str">
        <f aca="false">IF(OR(NOT(ISNUMBER($G1576)),$G1576&lt;2,NOT(ISNUMBER($C1575)),$C1575=0),"",$C1576/$C1575-1)</f>
        <v/>
      </c>
      <c r="I1576" s="37" t="str">
        <f aca="false">IF(AND(ISNUMBER($G1576),$G1576&gt;=MA_SHORT),AVERAGE(INDEX($C$1176:$C1576,402-MA_SHORT):$C1576),"")</f>
        <v/>
      </c>
      <c r="J1576" s="37" t="str">
        <f aca="false">IF(AND(ISNUMBER($G1576),$G1576&gt;=MA_MED),AVERAGE(INDEX($C$1176:$C1576,402-MA_MED):$C1576),"")</f>
        <v/>
      </c>
      <c r="K1576" s="37" t="str">
        <f aca="false">IF(AND(ISNUMBER($G1576),$G1576&gt;=MA_LONG2),AVERAGE(INDEX($C$1176:$C1576,402-MA_LONG2):$C1576),"")</f>
        <v/>
      </c>
      <c r="L1576" s="38" t="str">
        <f aca="false">IF(AND(ISNUMBER($G1576),$G1576&gt;=21),STDEV(INDEX($H$1516:$H1576,62-20):$H1576)*SQRT(245),"")</f>
        <v/>
      </c>
      <c r="M1576" s="37" t="str">
        <f aca="false">IF(AND(ISNUMBER($G1576),$G1576&gt;=60),MAX(INDEX($D$1376:$D1576,202-60):$D1576),"")</f>
        <v/>
      </c>
      <c r="N1576" s="37" t="str">
        <f aca="false">IF(AND(ISNUMBER($G1576),$G1576&gt;=60),MIN(INDEX($E$1376:$E1576,202-60):$E1576),"")</f>
        <v/>
      </c>
      <c r="O1576" s="38" t="str">
        <f aca="false">IF(OR(NOT(ISNUMBER($C1576)),NOT(ISNUMBER($M1576)),$M1576=0),"",$C1576/$M1576-1)</f>
        <v/>
      </c>
    </row>
    <row r="1577" customFormat="false" ht="15" hidden="false" customHeight="true" outlineLevel="0" collapsed="false">
      <c r="A1577" s="39"/>
      <c r="B1577" s="40"/>
      <c r="C1577" s="41"/>
      <c r="D1577" s="40"/>
      <c r="E1577" s="40"/>
      <c r="F1577" s="40"/>
      <c r="G1577" s="35" t="str">
        <f aca="false">IF($A1577="","",IF(ISNUMBER($G1576),$G1576+1,1))</f>
        <v/>
      </c>
      <c r="H1577" s="36" t="str">
        <f aca="false">IF(OR(NOT(ISNUMBER($G1577)),$G1577&lt;2,NOT(ISNUMBER($C1576)),$C1576=0),"",$C1577/$C1576-1)</f>
        <v/>
      </c>
      <c r="I1577" s="37" t="str">
        <f aca="false">IF(AND(ISNUMBER($G1577),$G1577&gt;=MA_SHORT),AVERAGE(INDEX($C$1177:$C1577,402-MA_SHORT):$C1577),"")</f>
        <v/>
      </c>
      <c r="J1577" s="37" t="str">
        <f aca="false">IF(AND(ISNUMBER($G1577),$G1577&gt;=MA_MED),AVERAGE(INDEX($C$1177:$C1577,402-MA_MED):$C1577),"")</f>
        <v/>
      </c>
      <c r="K1577" s="37" t="str">
        <f aca="false">IF(AND(ISNUMBER($G1577),$G1577&gt;=MA_LONG2),AVERAGE(INDEX($C$1177:$C1577,402-MA_LONG2):$C1577),"")</f>
        <v/>
      </c>
      <c r="L1577" s="38" t="str">
        <f aca="false">IF(AND(ISNUMBER($G1577),$G1577&gt;=21),STDEV(INDEX($H$1517:$H1577,62-20):$H1577)*SQRT(245),"")</f>
        <v/>
      </c>
      <c r="M1577" s="37" t="str">
        <f aca="false">IF(AND(ISNUMBER($G1577),$G1577&gt;=60),MAX(INDEX($D$1377:$D1577,202-60):$D1577),"")</f>
        <v/>
      </c>
      <c r="N1577" s="37" t="str">
        <f aca="false">IF(AND(ISNUMBER($G1577),$G1577&gt;=60),MIN(INDEX($E$1377:$E1577,202-60):$E1577),"")</f>
        <v/>
      </c>
      <c r="O1577" s="38" t="str">
        <f aca="false">IF(OR(NOT(ISNUMBER($C1577)),NOT(ISNUMBER($M1577)),$M1577=0),"",$C1577/$M1577-1)</f>
        <v/>
      </c>
    </row>
    <row r="1578" customFormat="false" ht="15" hidden="false" customHeight="true" outlineLevel="0" collapsed="false">
      <c r="A1578" s="39"/>
      <c r="B1578" s="40"/>
      <c r="C1578" s="41"/>
      <c r="D1578" s="40"/>
      <c r="E1578" s="40"/>
      <c r="F1578" s="40"/>
      <c r="G1578" s="35" t="str">
        <f aca="false">IF($A1578="","",IF(ISNUMBER($G1577),$G1577+1,1))</f>
        <v/>
      </c>
      <c r="H1578" s="36" t="str">
        <f aca="false">IF(OR(NOT(ISNUMBER($G1578)),$G1578&lt;2,NOT(ISNUMBER($C1577)),$C1577=0),"",$C1578/$C1577-1)</f>
        <v/>
      </c>
      <c r="I1578" s="37" t="str">
        <f aca="false">IF(AND(ISNUMBER($G1578),$G1578&gt;=MA_SHORT),AVERAGE(INDEX($C$1178:$C1578,402-MA_SHORT):$C1578),"")</f>
        <v/>
      </c>
      <c r="J1578" s="37" t="str">
        <f aca="false">IF(AND(ISNUMBER($G1578),$G1578&gt;=MA_MED),AVERAGE(INDEX($C$1178:$C1578,402-MA_MED):$C1578),"")</f>
        <v/>
      </c>
      <c r="K1578" s="37" t="str">
        <f aca="false">IF(AND(ISNUMBER($G1578),$G1578&gt;=MA_LONG2),AVERAGE(INDEX($C$1178:$C1578,402-MA_LONG2):$C1578),"")</f>
        <v/>
      </c>
      <c r="L1578" s="38" t="str">
        <f aca="false">IF(AND(ISNUMBER($G1578),$G1578&gt;=21),STDEV(INDEX($H$1518:$H1578,62-20):$H1578)*SQRT(245),"")</f>
        <v/>
      </c>
      <c r="M1578" s="37" t="str">
        <f aca="false">IF(AND(ISNUMBER($G1578),$G1578&gt;=60),MAX(INDEX($D$1378:$D1578,202-60):$D1578),"")</f>
        <v/>
      </c>
      <c r="N1578" s="37" t="str">
        <f aca="false">IF(AND(ISNUMBER($G1578),$G1578&gt;=60),MIN(INDEX($E$1378:$E1578,202-60):$E1578),"")</f>
        <v/>
      </c>
      <c r="O1578" s="38" t="str">
        <f aca="false">IF(OR(NOT(ISNUMBER($C1578)),NOT(ISNUMBER($M1578)),$M1578=0),"",$C1578/$M1578-1)</f>
        <v/>
      </c>
    </row>
    <row r="1579" customFormat="false" ht="15" hidden="false" customHeight="true" outlineLevel="0" collapsed="false">
      <c r="A1579" s="39"/>
      <c r="B1579" s="40"/>
      <c r="C1579" s="41"/>
      <c r="D1579" s="40"/>
      <c r="E1579" s="40"/>
      <c r="F1579" s="40"/>
      <c r="G1579" s="35" t="str">
        <f aca="false">IF($A1579="","",IF(ISNUMBER($G1578),$G1578+1,1))</f>
        <v/>
      </c>
      <c r="H1579" s="36" t="str">
        <f aca="false">IF(OR(NOT(ISNUMBER($G1579)),$G1579&lt;2,NOT(ISNUMBER($C1578)),$C1578=0),"",$C1579/$C1578-1)</f>
        <v/>
      </c>
      <c r="I1579" s="37" t="str">
        <f aca="false">IF(AND(ISNUMBER($G1579),$G1579&gt;=MA_SHORT),AVERAGE(INDEX($C$1179:$C1579,402-MA_SHORT):$C1579),"")</f>
        <v/>
      </c>
      <c r="J1579" s="37" t="str">
        <f aca="false">IF(AND(ISNUMBER($G1579),$G1579&gt;=MA_MED),AVERAGE(INDEX($C$1179:$C1579,402-MA_MED):$C1579),"")</f>
        <v/>
      </c>
      <c r="K1579" s="37" t="str">
        <f aca="false">IF(AND(ISNUMBER($G1579),$G1579&gt;=MA_LONG2),AVERAGE(INDEX($C$1179:$C1579,402-MA_LONG2):$C1579),"")</f>
        <v/>
      </c>
      <c r="L1579" s="38" t="str">
        <f aca="false">IF(AND(ISNUMBER($G1579),$G1579&gt;=21),STDEV(INDEX($H$1519:$H1579,62-20):$H1579)*SQRT(245),"")</f>
        <v/>
      </c>
      <c r="M1579" s="37" t="str">
        <f aca="false">IF(AND(ISNUMBER($G1579),$G1579&gt;=60),MAX(INDEX($D$1379:$D1579,202-60):$D1579),"")</f>
        <v/>
      </c>
      <c r="N1579" s="37" t="str">
        <f aca="false">IF(AND(ISNUMBER($G1579),$G1579&gt;=60),MIN(INDEX($E$1379:$E1579,202-60):$E1579),"")</f>
        <v/>
      </c>
      <c r="O1579" s="38" t="str">
        <f aca="false">IF(OR(NOT(ISNUMBER($C1579)),NOT(ISNUMBER($M1579)),$M1579=0),"",$C1579/$M1579-1)</f>
        <v/>
      </c>
    </row>
    <row r="1580" customFormat="false" ht="15" hidden="false" customHeight="true" outlineLevel="0" collapsed="false">
      <c r="A1580" s="39"/>
      <c r="B1580" s="40"/>
      <c r="C1580" s="41"/>
      <c r="D1580" s="40"/>
      <c r="E1580" s="40"/>
      <c r="F1580" s="40"/>
      <c r="G1580" s="35" t="str">
        <f aca="false">IF($A1580="","",IF(ISNUMBER($G1579),$G1579+1,1))</f>
        <v/>
      </c>
      <c r="H1580" s="36" t="str">
        <f aca="false">IF(OR(NOT(ISNUMBER($G1580)),$G1580&lt;2,NOT(ISNUMBER($C1579)),$C1579=0),"",$C1580/$C1579-1)</f>
        <v/>
      </c>
      <c r="I1580" s="37" t="str">
        <f aca="false">IF(AND(ISNUMBER($G1580),$G1580&gt;=MA_SHORT),AVERAGE(INDEX($C$1180:$C1580,402-MA_SHORT):$C1580),"")</f>
        <v/>
      </c>
      <c r="J1580" s="37" t="str">
        <f aca="false">IF(AND(ISNUMBER($G1580),$G1580&gt;=MA_MED),AVERAGE(INDEX($C$1180:$C1580,402-MA_MED):$C1580),"")</f>
        <v/>
      </c>
      <c r="K1580" s="37" t="str">
        <f aca="false">IF(AND(ISNUMBER($G1580),$G1580&gt;=MA_LONG2),AVERAGE(INDEX($C$1180:$C1580,402-MA_LONG2):$C1580),"")</f>
        <v/>
      </c>
      <c r="L1580" s="38" t="str">
        <f aca="false">IF(AND(ISNUMBER($G1580),$G1580&gt;=21),STDEV(INDEX($H$1520:$H1580,62-20):$H1580)*SQRT(245),"")</f>
        <v/>
      </c>
      <c r="M1580" s="37" t="str">
        <f aca="false">IF(AND(ISNUMBER($G1580),$G1580&gt;=60),MAX(INDEX($D$1380:$D1580,202-60):$D1580),"")</f>
        <v/>
      </c>
      <c r="N1580" s="37" t="str">
        <f aca="false">IF(AND(ISNUMBER($G1580),$G1580&gt;=60),MIN(INDEX($E$1380:$E1580,202-60):$E1580),"")</f>
        <v/>
      </c>
      <c r="O1580" s="38" t="str">
        <f aca="false">IF(OR(NOT(ISNUMBER($C1580)),NOT(ISNUMBER($M1580)),$M1580=0),"",$C1580/$M1580-1)</f>
        <v/>
      </c>
    </row>
    <row r="1581" customFormat="false" ht="15" hidden="false" customHeight="true" outlineLevel="0" collapsed="false">
      <c r="A1581" s="39"/>
      <c r="B1581" s="40"/>
      <c r="C1581" s="41"/>
      <c r="D1581" s="40"/>
      <c r="E1581" s="40"/>
      <c r="F1581" s="40"/>
      <c r="G1581" s="35" t="str">
        <f aca="false">IF($A1581="","",IF(ISNUMBER($G1580),$G1580+1,1))</f>
        <v/>
      </c>
      <c r="H1581" s="36" t="str">
        <f aca="false">IF(OR(NOT(ISNUMBER($G1581)),$G1581&lt;2,NOT(ISNUMBER($C1580)),$C1580=0),"",$C1581/$C1580-1)</f>
        <v/>
      </c>
      <c r="I1581" s="37" t="str">
        <f aca="false">IF(AND(ISNUMBER($G1581),$G1581&gt;=MA_SHORT),AVERAGE(INDEX($C$1181:$C1581,402-MA_SHORT):$C1581),"")</f>
        <v/>
      </c>
      <c r="J1581" s="37" t="str">
        <f aca="false">IF(AND(ISNUMBER($G1581),$G1581&gt;=MA_MED),AVERAGE(INDEX($C$1181:$C1581,402-MA_MED):$C1581),"")</f>
        <v/>
      </c>
      <c r="K1581" s="37" t="str">
        <f aca="false">IF(AND(ISNUMBER($G1581),$G1581&gt;=MA_LONG2),AVERAGE(INDEX($C$1181:$C1581,402-MA_LONG2):$C1581),"")</f>
        <v/>
      </c>
      <c r="L1581" s="38" t="str">
        <f aca="false">IF(AND(ISNUMBER($G1581),$G1581&gt;=21),STDEV(INDEX($H$1521:$H1581,62-20):$H1581)*SQRT(245),"")</f>
        <v/>
      </c>
      <c r="M1581" s="37" t="str">
        <f aca="false">IF(AND(ISNUMBER($G1581),$G1581&gt;=60),MAX(INDEX($D$1381:$D1581,202-60):$D1581),"")</f>
        <v/>
      </c>
      <c r="N1581" s="37" t="str">
        <f aca="false">IF(AND(ISNUMBER($G1581),$G1581&gt;=60),MIN(INDEX($E$1381:$E1581,202-60):$E1581),"")</f>
        <v/>
      </c>
      <c r="O1581" s="38" t="str">
        <f aca="false">IF(OR(NOT(ISNUMBER($C1581)),NOT(ISNUMBER($M1581)),$M1581=0),"",$C1581/$M1581-1)</f>
        <v/>
      </c>
    </row>
    <row r="1582" customFormat="false" ht="15" hidden="false" customHeight="true" outlineLevel="0" collapsed="false">
      <c r="A1582" s="39"/>
      <c r="B1582" s="40"/>
      <c r="C1582" s="41"/>
      <c r="D1582" s="40"/>
      <c r="E1582" s="40"/>
      <c r="F1582" s="40"/>
      <c r="G1582" s="35" t="str">
        <f aca="false">IF($A1582="","",IF(ISNUMBER($G1581),$G1581+1,1))</f>
        <v/>
      </c>
      <c r="H1582" s="36" t="str">
        <f aca="false">IF(OR(NOT(ISNUMBER($G1582)),$G1582&lt;2,NOT(ISNUMBER($C1581)),$C1581=0),"",$C1582/$C1581-1)</f>
        <v/>
      </c>
      <c r="I1582" s="37" t="str">
        <f aca="false">IF(AND(ISNUMBER($G1582),$G1582&gt;=MA_SHORT),AVERAGE(INDEX($C$1182:$C1582,402-MA_SHORT):$C1582),"")</f>
        <v/>
      </c>
      <c r="J1582" s="37" t="str">
        <f aca="false">IF(AND(ISNUMBER($G1582),$G1582&gt;=MA_MED),AVERAGE(INDEX($C$1182:$C1582,402-MA_MED):$C1582),"")</f>
        <v/>
      </c>
      <c r="K1582" s="37" t="str">
        <f aca="false">IF(AND(ISNUMBER($G1582),$G1582&gt;=MA_LONG2),AVERAGE(INDEX($C$1182:$C1582,402-MA_LONG2):$C1582),"")</f>
        <v/>
      </c>
      <c r="L1582" s="38" t="str">
        <f aca="false">IF(AND(ISNUMBER($G1582),$G1582&gt;=21),STDEV(INDEX($H$1522:$H1582,62-20):$H1582)*SQRT(245),"")</f>
        <v/>
      </c>
      <c r="M1582" s="37" t="str">
        <f aca="false">IF(AND(ISNUMBER($G1582),$G1582&gt;=60),MAX(INDEX($D$1382:$D1582,202-60):$D1582),"")</f>
        <v/>
      </c>
      <c r="N1582" s="37" t="str">
        <f aca="false">IF(AND(ISNUMBER($G1582),$G1582&gt;=60),MIN(INDEX($E$1382:$E1582,202-60):$E1582),"")</f>
        <v/>
      </c>
      <c r="O1582" s="38" t="str">
        <f aca="false">IF(OR(NOT(ISNUMBER($C1582)),NOT(ISNUMBER($M1582)),$M1582=0),"",$C1582/$M1582-1)</f>
        <v/>
      </c>
    </row>
    <row r="1583" customFormat="false" ht="15" hidden="false" customHeight="true" outlineLevel="0" collapsed="false">
      <c r="A1583" s="39"/>
      <c r="B1583" s="40"/>
      <c r="C1583" s="41"/>
      <c r="D1583" s="40"/>
      <c r="E1583" s="40"/>
      <c r="F1583" s="40"/>
      <c r="G1583" s="35" t="str">
        <f aca="false">IF($A1583="","",IF(ISNUMBER($G1582),$G1582+1,1))</f>
        <v/>
      </c>
      <c r="H1583" s="36" t="str">
        <f aca="false">IF(OR(NOT(ISNUMBER($G1583)),$G1583&lt;2,NOT(ISNUMBER($C1582)),$C1582=0),"",$C1583/$C1582-1)</f>
        <v/>
      </c>
      <c r="I1583" s="37" t="str">
        <f aca="false">IF(AND(ISNUMBER($G1583),$G1583&gt;=MA_SHORT),AVERAGE(INDEX($C$1183:$C1583,402-MA_SHORT):$C1583),"")</f>
        <v/>
      </c>
      <c r="J1583" s="37" t="str">
        <f aca="false">IF(AND(ISNUMBER($G1583),$G1583&gt;=MA_MED),AVERAGE(INDEX($C$1183:$C1583,402-MA_MED):$C1583),"")</f>
        <v/>
      </c>
      <c r="K1583" s="37" t="str">
        <f aca="false">IF(AND(ISNUMBER($G1583),$G1583&gt;=MA_LONG2),AVERAGE(INDEX($C$1183:$C1583,402-MA_LONG2):$C1583),"")</f>
        <v/>
      </c>
      <c r="L1583" s="38" t="str">
        <f aca="false">IF(AND(ISNUMBER($G1583),$G1583&gt;=21),STDEV(INDEX($H$1523:$H1583,62-20):$H1583)*SQRT(245),"")</f>
        <v/>
      </c>
      <c r="M1583" s="37" t="str">
        <f aca="false">IF(AND(ISNUMBER($G1583),$G1583&gt;=60),MAX(INDEX($D$1383:$D1583,202-60):$D1583),"")</f>
        <v/>
      </c>
      <c r="N1583" s="37" t="str">
        <f aca="false">IF(AND(ISNUMBER($G1583),$G1583&gt;=60),MIN(INDEX($E$1383:$E1583,202-60):$E1583),"")</f>
        <v/>
      </c>
      <c r="O1583" s="38" t="str">
        <f aca="false">IF(OR(NOT(ISNUMBER($C1583)),NOT(ISNUMBER($M1583)),$M1583=0),"",$C1583/$M1583-1)</f>
        <v/>
      </c>
    </row>
    <row r="1584" customFormat="false" ht="15" hidden="false" customHeight="true" outlineLevel="0" collapsed="false">
      <c r="A1584" s="39"/>
      <c r="B1584" s="40"/>
      <c r="C1584" s="41"/>
      <c r="D1584" s="40"/>
      <c r="E1584" s="40"/>
      <c r="F1584" s="40"/>
      <c r="G1584" s="35" t="str">
        <f aca="false">IF($A1584="","",IF(ISNUMBER($G1583),$G1583+1,1))</f>
        <v/>
      </c>
      <c r="H1584" s="36" t="str">
        <f aca="false">IF(OR(NOT(ISNUMBER($G1584)),$G1584&lt;2,NOT(ISNUMBER($C1583)),$C1583=0),"",$C1584/$C1583-1)</f>
        <v/>
      </c>
      <c r="I1584" s="37" t="str">
        <f aca="false">IF(AND(ISNUMBER($G1584),$G1584&gt;=MA_SHORT),AVERAGE(INDEX($C$1184:$C1584,402-MA_SHORT):$C1584),"")</f>
        <v/>
      </c>
      <c r="J1584" s="37" t="str">
        <f aca="false">IF(AND(ISNUMBER($G1584),$G1584&gt;=MA_MED),AVERAGE(INDEX($C$1184:$C1584,402-MA_MED):$C1584),"")</f>
        <v/>
      </c>
      <c r="K1584" s="37" t="str">
        <f aca="false">IF(AND(ISNUMBER($G1584),$G1584&gt;=MA_LONG2),AVERAGE(INDEX($C$1184:$C1584,402-MA_LONG2):$C1584),"")</f>
        <v/>
      </c>
      <c r="L1584" s="38" t="str">
        <f aca="false">IF(AND(ISNUMBER($G1584),$G1584&gt;=21),STDEV(INDEX($H$1524:$H1584,62-20):$H1584)*SQRT(245),"")</f>
        <v/>
      </c>
      <c r="M1584" s="37" t="str">
        <f aca="false">IF(AND(ISNUMBER($G1584),$G1584&gt;=60),MAX(INDEX($D$1384:$D1584,202-60):$D1584),"")</f>
        <v/>
      </c>
      <c r="N1584" s="37" t="str">
        <f aca="false">IF(AND(ISNUMBER($G1584),$G1584&gt;=60),MIN(INDEX($E$1384:$E1584,202-60):$E1584),"")</f>
        <v/>
      </c>
      <c r="O1584" s="38" t="str">
        <f aca="false">IF(OR(NOT(ISNUMBER($C1584)),NOT(ISNUMBER($M1584)),$M1584=0),"",$C1584/$M1584-1)</f>
        <v/>
      </c>
    </row>
    <row r="1585" customFormat="false" ht="15" hidden="false" customHeight="true" outlineLevel="0" collapsed="false">
      <c r="A1585" s="39"/>
      <c r="B1585" s="40"/>
      <c r="C1585" s="41"/>
      <c r="D1585" s="40"/>
      <c r="E1585" s="40"/>
      <c r="F1585" s="40"/>
      <c r="G1585" s="35" t="str">
        <f aca="false">IF($A1585="","",IF(ISNUMBER($G1584),$G1584+1,1))</f>
        <v/>
      </c>
      <c r="H1585" s="36" t="str">
        <f aca="false">IF(OR(NOT(ISNUMBER($G1585)),$G1585&lt;2,NOT(ISNUMBER($C1584)),$C1584=0),"",$C1585/$C1584-1)</f>
        <v/>
      </c>
      <c r="I1585" s="37" t="str">
        <f aca="false">IF(AND(ISNUMBER($G1585),$G1585&gt;=MA_SHORT),AVERAGE(INDEX($C$1185:$C1585,402-MA_SHORT):$C1585),"")</f>
        <v/>
      </c>
      <c r="J1585" s="37" t="str">
        <f aca="false">IF(AND(ISNUMBER($G1585),$G1585&gt;=MA_MED),AVERAGE(INDEX($C$1185:$C1585,402-MA_MED):$C1585),"")</f>
        <v/>
      </c>
      <c r="K1585" s="37" t="str">
        <f aca="false">IF(AND(ISNUMBER($G1585),$G1585&gt;=MA_LONG2),AVERAGE(INDEX($C$1185:$C1585,402-MA_LONG2):$C1585),"")</f>
        <v/>
      </c>
      <c r="L1585" s="38" t="str">
        <f aca="false">IF(AND(ISNUMBER($G1585),$G1585&gt;=21),STDEV(INDEX($H$1525:$H1585,62-20):$H1585)*SQRT(245),"")</f>
        <v/>
      </c>
      <c r="M1585" s="37" t="str">
        <f aca="false">IF(AND(ISNUMBER($G1585),$G1585&gt;=60),MAX(INDEX($D$1385:$D1585,202-60):$D1585),"")</f>
        <v/>
      </c>
      <c r="N1585" s="37" t="str">
        <f aca="false">IF(AND(ISNUMBER($G1585),$G1585&gt;=60),MIN(INDEX($E$1385:$E1585,202-60):$E1585),"")</f>
        <v/>
      </c>
      <c r="O1585" s="38" t="str">
        <f aca="false">IF(OR(NOT(ISNUMBER($C1585)),NOT(ISNUMBER($M1585)),$M1585=0),"",$C1585/$M1585-1)</f>
        <v/>
      </c>
    </row>
    <row r="1586" customFormat="false" ht="15" hidden="false" customHeight="true" outlineLevel="0" collapsed="false">
      <c r="A1586" s="39"/>
      <c r="B1586" s="40"/>
      <c r="C1586" s="41"/>
      <c r="D1586" s="40"/>
      <c r="E1586" s="40"/>
      <c r="F1586" s="40"/>
      <c r="G1586" s="35" t="str">
        <f aca="false">IF($A1586="","",IF(ISNUMBER($G1585),$G1585+1,1))</f>
        <v/>
      </c>
      <c r="H1586" s="36" t="str">
        <f aca="false">IF(OR(NOT(ISNUMBER($G1586)),$G1586&lt;2,NOT(ISNUMBER($C1585)),$C1585=0),"",$C1586/$C1585-1)</f>
        <v/>
      </c>
      <c r="I1586" s="37" t="str">
        <f aca="false">IF(AND(ISNUMBER($G1586),$G1586&gt;=MA_SHORT),AVERAGE(INDEX($C$1186:$C1586,402-MA_SHORT):$C1586),"")</f>
        <v/>
      </c>
      <c r="J1586" s="37" t="str">
        <f aca="false">IF(AND(ISNUMBER($G1586),$G1586&gt;=MA_MED),AVERAGE(INDEX($C$1186:$C1586,402-MA_MED):$C1586),"")</f>
        <v/>
      </c>
      <c r="K1586" s="37" t="str">
        <f aca="false">IF(AND(ISNUMBER($G1586),$G1586&gt;=MA_LONG2),AVERAGE(INDEX($C$1186:$C1586,402-MA_LONG2):$C1586),"")</f>
        <v/>
      </c>
      <c r="L1586" s="38" t="str">
        <f aca="false">IF(AND(ISNUMBER($G1586),$G1586&gt;=21),STDEV(INDEX($H$1526:$H1586,62-20):$H1586)*SQRT(245),"")</f>
        <v/>
      </c>
      <c r="M1586" s="37" t="str">
        <f aca="false">IF(AND(ISNUMBER($G1586),$G1586&gt;=60),MAX(INDEX($D$1386:$D1586,202-60):$D1586),"")</f>
        <v/>
      </c>
      <c r="N1586" s="37" t="str">
        <f aca="false">IF(AND(ISNUMBER($G1586),$G1586&gt;=60),MIN(INDEX($E$1386:$E1586,202-60):$E1586),"")</f>
        <v/>
      </c>
      <c r="O1586" s="38" t="str">
        <f aca="false">IF(OR(NOT(ISNUMBER($C1586)),NOT(ISNUMBER($M1586)),$M1586=0),"",$C1586/$M1586-1)</f>
        <v/>
      </c>
    </row>
    <row r="1587" customFormat="false" ht="15" hidden="false" customHeight="true" outlineLevel="0" collapsed="false">
      <c r="A1587" s="39"/>
      <c r="B1587" s="40"/>
      <c r="C1587" s="41"/>
      <c r="D1587" s="40"/>
      <c r="E1587" s="40"/>
      <c r="F1587" s="40"/>
      <c r="G1587" s="35" t="str">
        <f aca="false">IF($A1587="","",IF(ISNUMBER($G1586),$G1586+1,1))</f>
        <v/>
      </c>
      <c r="H1587" s="36" t="str">
        <f aca="false">IF(OR(NOT(ISNUMBER($G1587)),$G1587&lt;2,NOT(ISNUMBER($C1586)),$C1586=0),"",$C1587/$C1586-1)</f>
        <v/>
      </c>
      <c r="I1587" s="37" t="str">
        <f aca="false">IF(AND(ISNUMBER($G1587),$G1587&gt;=MA_SHORT),AVERAGE(INDEX($C$1187:$C1587,402-MA_SHORT):$C1587),"")</f>
        <v/>
      </c>
      <c r="J1587" s="37" t="str">
        <f aca="false">IF(AND(ISNUMBER($G1587),$G1587&gt;=MA_MED),AVERAGE(INDEX($C$1187:$C1587,402-MA_MED):$C1587),"")</f>
        <v/>
      </c>
      <c r="K1587" s="37" t="str">
        <f aca="false">IF(AND(ISNUMBER($G1587),$G1587&gt;=MA_LONG2),AVERAGE(INDEX($C$1187:$C1587,402-MA_LONG2):$C1587),"")</f>
        <v/>
      </c>
      <c r="L1587" s="38" t="str">
        <f aca="false">IF(AND(ISNUMBER($G1587),$G1587&gt;=21),STDEV(INDEX($H$1527:$H1587,62-20):$H1587)*SQRT(245),"")</f>
        <v/>
      </c>
      <c r="M1587" s="37" t="str">
        <f aca="false">IF(AND(ISNUMBER($G1587),$G1587&gt;=60),MAX(INDEX($D$1387:$D1587,202-60):$D1587),"")</f>
        <v/>
      </c>
      <c r="N1587" s="37" t="str">
        <f aca="false">IF(AND(ISNUMBER($G1587),$G1587&gt;=60),MIN(INDEX($E$1387:$E1587,202-60):$E1587),"")</f>
        <v/>
      </c>
      <c r="O1587" s="38" t="str">
        <f aca="false">IF(OR(NOT(ISNUMBER($C1587)),NOT(ISNUMBER($M1587)),$M1587=0),"",$C1587/$M1587-1)</f>
        <v/>
      </c>
    </row>
    <row r="1588" customFormat="false" ht="15" hidden="false" customHeight="true" outlineLevel="0" collapsed="false">
      <c r="A1588" s="39"/>
      <c r="B1588" s="40"/>
      <c r="C1588" s="41"/>
      <c r="D1588" s="40"/>
      <c r="E1588" s="40"/>
      <c r="F1588" s="40"/>
      <c r="G1588" s="35" t="str">
        <f aca="false">IF($A1588="","",IF(ISNUMBER($G1587),$G1587+1,1))</f>
        <v/>
      </c>
      <c r="H1588" s="36" t="str">
        <f aca="false">IF(OR(NOT(ISNUMBER($G1588)),$G1588&lt;2,NOT(ISNUMBER($C1587)),$C1587=0),"",$C1588/$C1587-1)</f>
        <v/>
      </c>
      <c r="I1588" s="37" t="str">
        <f aca="false">IF(AND(ISNUMBER($G1588),$G1588&gt;=MA_SHORT),AVERAGE(INDEX($C$1188:$C1588,402-MA_SHORT):$C1588),"")</f>
        <v/>
      </c>
      <c r="J1588" s="37" t="str">
        <f aca="false">IF(AND(ISNUMBER($G1588),$G1588&gt;=MA_MED),AVERAGE(INDEX($C$1188:$C1588,402-MA_MED):$C1588),"")</f>
        <v/>
      </c>
      <c r="K1588" s="37" t="str">
        <f aca="false">IF(AND(ISNUMBER($G1588),$G1588&gt;=MA_LONG2),AVERAGE(INDEX($C$1188:$C1588,402-MA_LONG2):$C1588),"")</f>
        <v/>
      </c>
      <c r="L1588" s="38" t="str">
        <f aca="false">IF(AND(ISNUMBER($G1588),$G1588&gt;=21),STDEV(INDEX($H$1528:$H1588,62-20):$H1588)*SQRT(245),"")</f>
        <v/>
      </c>
      <c r="M1588" s="37" t="str">
        <f aca="false">IF(AND(ISNUMBER($G1588),$G1588&gt;=60),MAX(INDEX($D$1388:$D1588,202-60):$D1588),"")</f>
        <v/>
      </c>
      <c r="N1588" s="37" t="str">
        <f aca="false">IF(AND(ISNUMBER($G1588),$G1588&gt;=60),MIN(INDEX($E$1388:$E1588,202-60):$E1588),"")</f>
        <v/>
      </c>
      <c r="O1588" s="38" t="str">
        <f aca="false">IF(OR(NOT(ISNUMBER($C1588)),NOT(ISNUMBER($M1588)),$M1588=0),"",$C1588/$M1588-1)</f>
        <v/>
      </c>
    </row>
    <row r="1589" customFormat="false" ht="15" hidden="false" customHeight="true" outlineLevel="0" collapsed="false">
      <c r="A1589" s="39"/>
      <c r="B1589" s="40"/>
      <c r="C1589" s="41"/>
      <c r="D1589" s="40"/>
      <c r="E1589" s="40"/>
      <c r="F1589" s="40"/>
      <c r="G1589" s="35" t="str">
        <f aca="false">IF($A1589="","",IF(ISNUMBER($G1588),$G1588+1,1))</f>
        <v/>
      </c>
      <c r="H1589" s="36" t="str">
        <f aca="false">IF(OR(NOT(ISNUMBER($G1589)),$G1589&lt;2,NOT(ISNUMBER($C1588)),$C1588=0),"",$C1589/$C1588-1)</f>
        <v/>
      </c>
      <c r="I1589" s="37" t="str">
        <f aca="false">IF(AND(ISNUMBER($G1589),$G1589&gt;=MA_SHORT),AVERAGE(INDEX($C$1189:$C1589,402-MA_SHORT):$C1589),"")</f>
        <v/>
      </c>
      <c r="J1589" s="37" t="str">
        <f aca="false">IF(AND(ISNUMBER($G1589),$G1589&gt;=MA_MED),AVERAGE(INDEX($C$1189:$C1589,402-MA_MED):$C1589),"")</f>
        <v/>
      </c>
      <c r="K1589" s="37" t="str">
        <f aca="false">IF(AND(ISNUMBER($G1589),$G1589&gt;=MA_LONG2),AVERAGE(INDEX($C$1189:$C1589,402-MA_LONG2):$C1589),"")</f>
        <v/>
      </c>
      <c r="L1589" s="38" t="str">
        <f aca="false">IF(AND(ISNUMBER($G1589),$G1589&gt;=21),STDEV(INDEX($H$1529:$H1589,62-20):$H1589)*SQRT(245),"")</f>
        <v/>
      </c>
      <c r="M1589" s="37" t="str">
        <f aca="false">IF(AND(ISNUMBER($G1589),$G1589&gt;=60),MAX(INDEX($D$1389:$D1589,202-60):$D1589),"")</f>
        <v/>
      </c>
      <c r="N1589" s="37" t="str">
        <f aca="false">IF(AND(ISNUMBER($G1589),$G1589&gt;=60),MIN(INDEX($E$1389:$E1589,202-60):$E1589),"")</f>
        <v/>
      </c>
      <c r="O1589" s="38" t="str">
        <f aca="false">IF(OR(NOT(ISNUMBER($C1589)),NOT(ISNUMBER($M1589)),$M1589=0),"",$C1589/$M1589-1)</f>
        <v/>
      </c>
    </row>
    <row r="1590" customFormat="false" ht="15" hidden="false" customHeight="true" outlineLevel="0" collapsed="false">
      <c r="A1590" s="39"/>
      <c r="B1590" s="40"/>
      <c r="C1590" s="41"/>
      <c r="D1590" s="40"/>
      <c r="E1590" s="40"/>
      <c r="F1590" s="40"/>
      <c r="G1590" s="35" t="str">
        <f aca="false">IF($A1590="","",IF(ISNUMBER($G1589),$G1589+1,1))</f>
        <v/>
      </c>
      <c r="H1590" s="36" t="str">
        <f aca="false">IF(OR(NOT(ISNUMBER($G1590)),$G1590&lt;2,NOT(ISNUMBER($C1589)),$C1589=0),"",$C1590/$C1589-1)</f>
        <v/>
      </c>
      <c r="I1590" s="37" t="str">
        <f aca="false">IF(AND(ISNUMBER($G1590),$G1590&gt;=MA_SHORT),AVERAGE(INDEX($C$1190:$C1590,402-MA_SHORT):$C1590),"")</f>
        <v/>
      </c>
      <c r="J1590" s="37" t="str">
        <f aca="false">IF(AND(ISNUMBER($G1590),$G1590&gt;=MA_MED),AVERAGE(INDEX($C$1190:$C1590,402-MA_MED):$C1590),"")</f>
        <v/>
      </c>
      <c r="K1590" s="37" t="str">
        <f aca="false">IF(AND(ISNUMBER($G1590),$G1590&gt;=MA_LONG2),AVERAGE(INDEX($C$1190:$C1590,402-MA_LONG2):$C1590),"")</f>
        <v/>
      </c>
      <c r="L1590" s="38" t="str">
        <f aca="false">IF(AND(ISNUMBER($G1590),$G1590&gt;=21),STDEV(INDEX($H$1530:$H1590,62-20):$H1590)*SQRT(245),"")</f>
        <v/>
      </c>
      <c r="M1590" s="37" t="str">
        <f aca="false">IF(AND(ISNUMBER($G1590),$G1590&gt;=60),MAX(INDEX($D$1390:$D1590,202-60):$D1590),"")</f>
        <v/>
      </c>
      <c r="N1590" s="37" t="str">
        <f aca="false">IF(AND(ISNUMBER($G1590),$G1590&gt;=60),MIN(INDEX($E$1390:$E1590,202-60):$E1590),"")</f>
        <v/>
      </c>
      <c r="O1590" s="38" t="str">
        <f aca="false">IF(OR(NOT(ISNUMBER($C1590)),NOT(ISNUMBER($M1590)),$M1590=0),"",$C1590/$M1590-1)</f>
        <v/>
      </c>
    </row>
    <row r="1591" customFormat="false" ht="15" hidden="false" customHeight="true" outlineLevel="0" collapsed="false">
      <c r="A1591" s="39"/>
      <c r="B1591" s="40"/>
      <c r="C1591" s="41"/>
      <c r="D1591" s="40"/>
      <c r="E1591" s="40"/>
      <c r="F1591" s="40"/>
      <c r="G1591" s="35" t="str">
        <f aca="false">IF($A1591="","",IF(ISNUMBER($G1590),$G1590+1,1))</f>
        <v/>
      </c>
      <c r="H1591" s="36" t="str">
        <f aca="false">IF(OR(NOT(ISNUMBER($G1591)),$G1591&lt;2,NOT(ISNUMBER($C1590)),$C1590=0),"",$C1591/$C1590-1)</f>
        <v/>
      </c>
      <c r="I1591" s="37" t="str">
        <f aca="false">IF(AND(ISNUMBER($G1591),$G1591&gt;=MA_SHORT),AVERAGE(INDEX($C$1191:$C1591,402-MA_SHORT):$C1591),"")</f>
        <v/>
      </c>
      <c r="J1591" s="37" t="str">
        <f aca="false">IF(AND(ISNUMBER($G1591),$G1591&gt;=MA_MED),AVERAGE(INDEX($C$1191:$C1591,402-MA_MED):$C1591),"")</f>
        <v/>
      </c>
      <c r="K1591" s="37" t="str">
        <f aca="false">IF(AND(ISNUMBER($G1591),$G1591&gt;=MA_LONG2),AVERAGE(INDEX($C$1191:$C1591,402-MA_LONG2):$C1591),"")</f>
        <v/>
      </c>
      <c r="L1591" s="38" t="str">
        <f aca="false">IF(AND(ISNUMBER($G1591),$G1591&gt;=21),STDEV(INDEX($H$1531:$H1591,62-20):$H1591)*SQRT(245),"")</f>
        <v/>
      </c>
      <c r="M1591" s="37" t="str">
        <f aca="false">IF(AND(ISNUMBER($G1591),$G1591&gt;=60),MAX(INDEX($D$1391:$D1591,202-60):$D1591),"")</f>
        <v/>
      </c>
      <c r="N1591" s="37" t="str">
        <f aca="false">IF(AND(ISNUMBER($G1591),$G1591&gt;=60),MIN(INDEX($E$1391:$E1591,202-60):$E1591),"")</f>
        <v/>
      </c>
      <c r="O1591" s="38" t="str">
        <f aca="false">IF(OR(NOT(ISNUMBER($C1591)),NOT(ISNUMBER($M1591)),$M1591=0),"",$C1591/$M1591-1)</f>
        <v/>
      </c>
    </row>
    <row r="1592" customFormat="false" ht="15" hidden="false" customHeight="true" outlineLevel="0" collapsed="false">
      <c r="A1592" s="39"/>
      <c r="B1592" s="40"/>
      <c r="C1592" s="41"/>
      <c r="D1592" s="40"/>
      <c r="E1592" s="40"/>
      <c r="F1592" s="40"/>
      <c r="G1592" s="35" t="str">
        <f aca="false">IF($A1592="","",IF(ISNUMBER($G1591),$G1591+1,1))</f>
        <v/>
      </c>
      <c r="H1592" s="36" t="str">
        <f aca="false">IF(OR(NOT(ISNUMBER($G1592)),$G1592&lt;2,NOT(ISNUMBER($C1591)),$C1591=0),"",$C1592/$C1591-1)</f>
        <v/>
      </c>
      <c r="I1592" s="37" t="str">
        <f aca="false">IF(AND(ISNUMBER($G1592),$G1592&gt;=MA_SHORT),AVERAGE(INDEX($C$1192:$C1592,402-MA_SHORT):$C1592),"")</f>
        <v/>
      </c>
      <c r="J1592" s="37" t="str">
        <f aca="false">IF(AND(ISNUMBER($G1592),$G1592&gt;=MA_MED),AVERAGE(INDEX($C$1192:$C1592,402-MA_MED):$C1592),"")</f>
        <v/>
      </c>
      <c r="K1592" s="37" t="str">
        <f aca="false">IF(AND(ISNUMBER($G1592),$G1592&gt;=MA_LONG2),AVERAGE(INDEX($C$1192:$C1592,402-MA_LONG2):$C1592),"")</f>
        <v/>
      </c>
      <c r="L1592" s="38" t="str">
        <f aca="false">IF(AND(ISNUMBER($G1592),$G1592&gt;=21),STDEV(INDEX($H$1532:$H1592,62-20):$H1592)*SQRT(245),"")</f>
        <v/>
      </c>
      <c r="M1592" s="37" t="str">
        <f aca="false">IF(AND(ISNUMBER($G1592),$G1592&gt;=60),MAX(INDEX($D$1392:$D1592,202-60):$D1592),"")</f>
        <v/>
      </c>
      <c r="N1592" s="37" t="str">
        <f aca="false">IF(AND(ISNUMBER($G1592),$G1592&gt;=60),MIN(INDEX($E$1392:$E1592,202-60):$E1592),"")</f>
        <v/>
      </c>
      <c r="O1592" s="38" t="str">
        <f aca="false">IF(OR(NOT(ISNUMBER($C1592)),NOT(ISNUMBER($M1592)),$M1592=0),"",$C1592/$M1592-1)</f>
        <v/>
      </c>
    </row>
    <row r="1593" customFormat="false" ht="15" hidden="false" customHeight="true" outlineLevel="0" collapsed="false">
      <c r="A1593" s="39"/>
      <c r="B1593" s="40"/>
      <c r="C1593" s="41"/>
      <c r="D1593" s="40"/>
      <c r="E1593" s="40"/>
      <c r="F1593" s="40"/>
      <c r="G1593" s="35" t="str">
        <f aca="false">IF($A1593="","",IF(ISNUMBER($G1592),$G1592+1,1))</f>
        <v/>
      </c>
      <c r="H1593" s="36" t="str">
        <f aca="false">IF(OR(NOT(ISNUMBER($G1593)),$G1593&lt;2,NOT(ISNUMBER($C1592)),$C1592=0),"",$C1593/$C1592-1)</f>
        <v/>
      </c>
      <c r="I1593" s="37" t="str">
        <f aca="false">IF(AND(ISNUMBER($G1593),$G1593&gt;=MA_SHORT),AVERAGE(INDEX($C$1193:$C1593,402-MA_SHORT):$C1593),"")</f>
        <v/>
      </c>
      <c r="J1593" s="37" t="str">
        <f aca="false">IF(AND(ISNUMBER($G1593),$G1593&gt;=MA_MED),AVERAGE(INDEX($C$1193:$C1593,402-MA_MED):$C1593),"")</f>
        <v/>
      </c>
      <c r="K1593" s="37" t="str">
        <f aca="false">IF(AND(ISNUMBER($G1593),$G1593&gt;=MA_LONG2),AVERAGE(INDEX($C$1193:$C1593,402-MA_LONG2):$C1593),"")</f>
        <v/>
      </c>
      <c r="L1593" s="38" t="str">
        <f aca="false">IF(AND(ISNUMBER($G1593),$G1593&gt;=21),STDEV(INDEX($H$1533:$H1593,62-20):$H1593)*SQRT(245),"")</f>
        <v/>
      </c>
      <c r="M1593" s="37" t="str">
        <f aca="false">IF(AND(ISNUMBER($G1593),$G1593&gt;=60),MAX(INDEX($D$1393:$D1593,202-60):$D1593),"")</f>
        <v/>
      </c>
      <c r="N1593" s="37" t="str">
        <f aca="false">IF(AND(ISNUMBER($G1593),$G1593&gt;=60),MIN(INDEX($E$1393:$E1593,202-60):$E1593),"")</f>
        <v/>
      </c>
      <c r="O1593" s="38" t="str">
        <f aca="false">IF(OR(NOT(ISNUMBER($C1593)),NOT(ISNUMBER($M1593)),$M1593=0),"",$C1593/$M1593-1)</f>
        <v/>
      </c>
    </row>
    <row r="1594" customFormat="false" ht="15" hidden="false" customHeight="true" outlineLevel="0" collapsed="false">
      <c r="A1594" s="39"/>
      <c r="B1594" s="40"/>
      <c r="C1594" s="41"/>
      <c r="D1594" s="40"/>
      <c r="E1594" s="40"/>
      <c r="F1594" s="40"/>
      <c r="G1594" s="35" t="str">
        <f aca="false">IF($A1594="","",IF(ISNUMBER($G1593),$G1593+1,1))</f>
        <v/>
      </c>
      <c r="H1594" s="36" t="str">
        <f aca="false">IF(OR(NOT(ISNUMBER($G1594)),$G1594&lt;2,NOT(ISNUMBER($C1593)),$C1593=0),"",$C1594/$C1593-1)</f>
        <v/>
      </c>
      <c r="I1594" s="37" t="str">
        <f aca="false">IF(AND(ISNUMBER($G1594),$G1594&gt;=MA_SHORT),AVERAGE(INDEX($C$1194:$C1594,402-MA_SHORT):$C1594),"")</f>
        <v/>
      </c>
      <c r="J1594" s="37" t="str">
        <f aca="false">IF(AND(ISNUMBER($G1594),$G1594&gt;=MA_MED),AVERAGE(INDEX($C$1194:$C1594,402-MA_MED):$C1594),"")</f>
        <v/>
      </c>
      <c r="K1594" s="37" t="str">
        <f aca="false">IF(AND(ISNUMBER($G1594),$G1594&gt;=MA_LONG2),AVERAGE(INDEX($C$1194:$C1594,402-MA_LONG2):$C1594),"")</f>
        <v/>
      </c>
      <c r="L1594" s="38" t="str">
        <f aca="false">IF(AND(ISNUMBER($G1594),$G1594&gt;=21),STDEV(INDEX($H$1534:$H1594,62-20):$H1594)*SQRT(245),"")</f>
        <v/>
      </c>
      <c r="M1594" s="37" t="str">
        <f aca="false">IF(AND(ISNUMBER($G1594),$G1594&gt;=60),MAX(INDEX($D$1394:$D1594,202-60):$D1594),"")</f>
        <v/>
      </c>
      <c r="N1594" s="37" t="str">
        <f aca="false">IF(AND(ISNUMBER($G1594),$G1594&gt;=60),MIN(INDEX($E$1394:$E1594,202-60):$E1594),"")</f>
        <v/>
      </c>
      <c r="O1594" s="38" t="str">
        <f aca="false">IF(OR(NOT(ISNUMBER($C1594)),NOT(ISNUMBER($M1594)),$M1594=0),"",$C1594/$M1594-1)</f>
        <v/>
      </c>
    </row>
    <row r="1595" customFormat="false" ht="15" hidden="false" customHeight="true" outlineLevel="0" collapsed="false">
      <c r="A1595" s="39"/>
      <c r="B1595" s="40"/>
      <c r="C1595" s="41"/>
      <c r="D1595" s="40"/>
      <c r="E1595" s="40"/>
      <c r="F1595" s="40"/>
      <c r="G1595" s="35" t="str">
        <f aca="false">IF($A1595="","",IF(ISNUMBER($G1594),$G1594+1,1))</f>
        <v/>
      </c>
      <c r="H1595" s="36" t="str">
        <f aca="false">IF(OR(NOT(ISNUMBER($G1595)),$G1595&lt;2,NOT(ISNUMBER($C1594)),$C1594=0),"",$C1595/$C1594-1)</f>
        <v/>
      </c>
      <c r="I1595" s="37" t="str">
        <f aca="false">IF(AND(ISNUMBER($G1595),$G1595&gt;=MA_SHORT),AVERAGE(INDEX($C$1195:$C1595,402-MA_SHORT):$C1595),"")</f>
        <v/>
      </c>
      <c r="J1595" s="37" t="str">
        <f aca="false">IF(AND(ISNUMBER($G1595),$G1595&gt;=MA_MED),AVERAGE(INDEX($C$1195:$C1595,402-MA_MED):$C1595),"")</f>
        <v/>
      </c>
      <c r="K1595" s="37" t="str">
        <f aca="false">IF(AND(ISNUMBER($G1595),$G1595&gt;=MA_LONG2),AVERAGE(INDEX($C$1195:$C1595,402-MA_LONG2):$C1595),"")</f>
        <v/>
      </c>
      <c r="L1595" s="38" t="str">
        <f aca="false">IF(AND(ISNUMBER($G1595),$G1595&gt;=21),STDEV(INDEX($H$1535:$H1595,62-20):$H1595)*SQRT(245),"")</f>
        <v/>
      </c>
      <c r="M1595" s="37" t="str">
        <f aca="false">IF(AND(ISNUMBER($G1595),$G1595&gt;=60),MAX(INDEX($D$1395:$D1595,202-60):$D1595),"")</f>
        <v/>
      </c>
      <c r="N1595" s="37" t="str">
        <f aca="false">IF(AND(ISNUMBER($G1595),$G1595&gt;=60),MIN(INDEX($E$1395:$E1595,202-60):$E1595),"")</f>
        <v/>
      </c>
      <c r="O1595" s="38" t="str">
        <f aca="false">IF(OR(NOT(ISNUMBER($C1595)),NOT(ISNUMBER($M1595)),$M1595=0),"",$C1595/$M1595-1)</f>
        <v/>
      </c>
    </row>
    <row r="1596" customFormat="false" ht="15" hidden="false" customHeight="true" outlineLevel="0" collapsed="false">
      <c r="A1596" s="39"/>
      <c r="B1596" s="40"/>
      <c r="C1596" s="41"/>
      <c r="D1596" s="40"/>
      <c r="E1596" s="40"/>
      <c r="F1596" s="40"/>
      <c r="G1596" s="35" t="str">
        <f aca="false">IF($A1596="","",IF(ISNUMBER($G1595),$G1595+1,1))</f>
        <v/>
      </c>
      <c r="H1596" s="36" t="str">
        <f aca="false">IF(OR(NOT(ISNUMBER($G1596)),$G1596&lt;2,NOT(ISNUMBER($C1595)),$C1595=0),"",$C1596/$C1595-1)</f>
        <v/>
      </c>
      <c r="I1596" s="37" t="str">
        <f aca="false">IF(AND(ISNUMBER($G1596),$G1596&gt;=MA_SHORT),AVERAGE(INDEX($C$1196:$C1596,402-MA_SHORT):$C1596),"")</f>
        <v/>
      </c>
      <c r="J1596" s="37" t="str">
        <f aca="false">IF(AND(ISNUMBER($G1596),$G1596&gt;=MA_MED),AVERAGE(INDEX($C$1196:$C1596,402-MA_MED):$C1596),"")</f>
        <v/>
      </c>
      <c r="K1596" s="37" t="str">
        <f aca="false">IF(AND(ISNUMBER($G1596),$G1596&gt;=MA_LONG2),AVERAGE(INDEX($C$1196:$C1596,402-MA_LONG2):$C1596),"")</f>
        <v/>
      </c>
      <c r="L1596" s="38" t="str">
        <f aca="false">IF(AND(ISNUMBER($G1596),$G1596&gt;=21),STDEV(INDEX($H$1536:$H1596,62-20):$H1596)*SQRT(245),"")</f>
        <v/>
      </c>
      <c r="M1596" s="37" t="str">
        <f aca="false">IF(AND(ISNUMBER($G1596),$G1596&gt;=60),MAX(INDEX($D$1396:$D1596,202-60):$D1596),"")</f>
        <v/>
      </c>
      <c r="N1596" s="37" t="str">
        <f aca="false">IF(AND(ISNUMBER($G1596),$G1596&gt;=60),MIN(INDEX($E$1396:$E1596,202-60):$E1596),"")</f>
        <v/>
      </c>
      <c r="O1596" s="38" t="str">
        <f aca="false">IF(OR(NOT(ISNUMBER($C1596)),NOT(ISNUMBER($M1596)),$M1596=0),"",$C1596/$M1596-1)</f>
        <v/>
      </c>
    </row>
    <row r="1597" customFormat="false" ht="15" hidden="false" customHeight="true" outlineLevel="0" collapsed="false">
      <c r="A1597" s="39"/>
      <c r="B1597" s="40"/>
      <c r="C1597" s="41"/>
      <c r="D1597" s="40"/>
      <c r="E1597" s="40"/>
      <c r="F1597" s="40"/>
      <c r="G1597" s="35" t="str">
        <f aca="false">IF($A1597="","",IF(ISNUMBER($G1596),$G1596+1,1))</f>
        <v/>
      </c>
      <c r="H1597" s="36" t="str">
        <f aca="false">IF(OR(NOT(ISNUMBER($G1597)),$G1597&lt;2,NOT(ISNUMBER($C1596)),$C1596=0),"",$C1597/$C1596-1)</f>
        <v/>
      </c>
      <c r="I1597" s="37" t="str">
        <f aca="false">IF(AND(ISNUMBER($G1597),$G1597&gt;=MA_SHORT),AVERAGE(INDEX($C$1197:$C1597,402-MA_SHORT):$C1597),"")</f>
        <v/>
      </c>
      <c r="J1597" s="37" t="str">
        <f aca="false">IF(AND(ISNUMBER($G1597),$G1597&gt;=MA_MED),AVERAGE(INDEX($C$1197:$C1597,402-MA_MED):$C1597),"")</f>
        <v/>
      </c>
      <c r="K1597" s="37" t="str">
        <f aca="false">IF(AND(ISNUMBER($G1597),$G1597&gt;=MA_LONG2),AVERAGE(INDEX($C$1197:$C1597,402-MA_LONG2):$C1597),"")</f>
        <v/>
      </c>
      <c r="L1597" s="38" t="str">
        <f aca="false">IF(AND(ISNUMBER($G1597),$G1597&gt;=21),STDEV(INDEX($H$1537:$H1597,62-20):$H1597)*SQRT(245),"")</f>
        <v/>
      </c>
      <c r="M1597" s="37" t="str">
        <f aca="false">IF(AND(ISNUMBER($G1597),$G1597&gt;=60),MAX(INDEX($D$1397:$D1597,202-60):$D1597),"")</f>
        <v/>
      </c>
      <c r="N1597" s="37" t="str">
        <f aca="false">IF(AND(ISNUMBER($G1597),$G1597&gt;=60),MIN(INDEX($E$1397:$E1597,202-60):$E1597),"")</f>
        <v/>
      </c>
      <c r="O1597" s="38" t="str">
        <f aca="false">IF(OR(NOT(ISNUMBER($C1597)),NOT(ISNUMBER($M1597)),$M1597=0),"",$C1597/$M1597-1)</f>
        <v/>
      </c>
    </row>
    <row r="1598" customFormat="false" ht="15" hidden="false" customHeight="true" outlineLevel="0" collapsed="false">
      <c r="A1598" s="39"/>
      <c r="B1598" s="40"/>
      <c r="C1598" s="41"/>
      <c r="D1598" s="40"/>
      <c r="E1598" s="40"/>
      <c r="F1598" s="40"/>
      <c r="G1598" s="35" t="str">
        <f aca="false">IF($A1598="","",IF(ISNUMBER($G1597),$G1597+1,1))</f>
        <v/>
      </c>
      <c r="H1598" s="36" t="str">
        <f aca="false">IF(OR(NOT(ISNUMBER($G1598)),$G1598&lt;2,NOT(ISNUMBER($C1597)),$C1597=0),"",$C1598/$C1597-1)</f>
        <v/>
      </c>
      <c r="I1598" s="37" t="str">
        <f aca="false">IF(AND(ISNUMBER($G1598),$G1598&gt;=MA_SHORT),AVERAGE(INDEX($C$1198:$C1598,402-MA_SHORT):$C1598),"")</f>
        <v/>
      </c>
      <c r="J1598" s="37" t="str">
        <f aca="false">IF(AND(ISNUMBER($G1598),$G1598&gt;=MA_MED),AVERAGE(INDEX($C$1198:$C1598,402-MA_MED):$C1598),"")</f>
        <v/>
      </c>
      <c r="K1598" s="37" t="str">
        <f aca="false">IF(AND(ISNUMBER($G1598),$G1598&gt;=MA_LONG2),AVERAGE(INDEX($C$1198:$C1598,402-MA_LONG2):$C1598),"")</f>
        <v/>
      </c>
      <c r="L1598" s="38" t="str">
        <f aca="false">IF(AND(ISNUMBER($G1598),$G1598&gt;=21),STDEV(INDEX($H$1538:$H1598,62-20):$H1598)*SQRT(245),"")</f>
        <v/>
      </c>
      <c r="M1598" s="37" t="str">
        <f aca="false">IF(AND(ISNUMBER($G1598),$G1598&gt;=60),MAX(INDEX($D$1398:$D1598,202-60):$D1598),"")</f>
        <v/>
      </c>
      <c r="N1598" s="37" t="str">
        <f aca="false">IF(AND(ISNUMBER($G1598),$G1598&gt;=60),MIN(INDEX($E$1398:$E1598,202-60):$E1598),"")</f>
        <v/>
      </c>
      <c r="O1598" s="38" t="str">
        <f aca="false">IF(OR(NOT(ISNUMBER($C1598)),NOT(ISNUMBER($M1598)),$M1598=0),"",$C1598/$M1598-1)</f>
        <v/>
      </c>
    </row>
    <row r="1599" customFormat="false" ht="15" hidden="false" customHeight="true" outlineLevel="0" collapsed="false">
      <c r="A1599" s="39"/>
      <c r="B1599" s="40"/>
      <c r="C1599" s="41"/>
      <c r="D1599" s="40"/>
      <c r="E1599" s="40"/>
      <c r="F1599" s="40"/>
      <c r="G1599" s="35" t="str">
        <f aca="false">IF($A1599="","",IF(ISNUMBER($G1598),$G1598+1,1))</f>
        <v/>
      </c>
      <c r="H1599" s="36" t="str">
        <f aca="false">IF(OR(NOT(ISNUMBER($G1599)),$G1599&lt;2,NOT(ISNUMBER($C1598)),$C1598=0),"",$C1599/$C1598-1)</f>
        <v/>
      </c>
      <c r="I1599" s="37" t="str">
        <f aca="false">IF(AND(ISNUMBER($G1599),$G1599&gt;=MA_SHORT),AVERAGE(INDEX($C$1199:$C1599,402-MA_SHORT):$C1599),"")</f>
        <v/>
      </c>
      <c r="J1599" s="37" t="str">
        <f aca="false">IF(AND(ISNUMBER($G1599),$G1599&gt;=MA_MED),AVERAGE(INDEX($C$1199:$C1599,402-MA_MED):$C1599),"")</f>
        <v/>
      </c>
      <c r="K1599" s="37" t="str">
        <f aca="false">IF(AND(ISNUMBER($G1599),$G1599&gt;=MA_LONG2),AVERAGE(INDEX($C$1199:$C1599,402-MA_LONG2):$C1599),"")</f>
        <v/>
      </c>
      <c r="L1599" s="38" t="str">
        <f aca="false">IF(AND(ISNUMBER($G1599),$G1599&gt;=21),STDEV(INDEX($H$1539:$H1599,62-20):$H1599)*SQRT(245),"")</f>
        <v/>
      </c>
      <c r="M1599" s="37" t="str">
        <f aca="false">IF(AND(ISNUMBER($G1599),$G1599&gt;=60),MAX(INDEX($D$1399:$D1599,202-60):$D1599),"")</f>
        <v/>
      </c>
      <c r="N1599" s="37" t="str">
        <f aca="false">IF(AND(ISNUMBER($G1599),$G1599&gt;=60),MIN(INDEX($E$1399:$E1599,202-60):$E1599),"")</f>
        <v/>
      </c>
      <c r="O1599" s="38" t="str">
        <f aca="false">IF(OR(NOT(ISNUMBER($C1599)),NOT(ISNUMBER($M1599)),$M1599=0),"",$C1599/$M1599-1)</f>
        <v/>
      </c>
    </row>
    <row r="1600" customFormat="false" ht="15" hidden="false" customHeight="true" outlineLevel="0" collapsed="false">
      <c r="A1600" s="39"/>
      <c r="B1600" s="40"/>
      <c r="C1600" s="41"/>
      <c r="D1600" s="40"/>
      <c r="E1600" s="40"/>
      <c r="F1600" s="40"/>
      <c r="G1600" s="35" t="str">
        <f aca="false">IF($A1600="","",IF(ISNUMBER($G1599),$G1599+1,1))</f>
        <v/>
      </c>
      <c r="H1600" s="36" t="str">
        <f aca="false">IF(OR(NOT(ISNUMBER($G1600)),$G1600&lt;2,NOT(ISNUMBER($C1599)),$C1599=0),"",$C1600/$C1599-1)</f>
        <v/>
      </c>
      <c r="I1600" s="37" t="str">
        <f aca="false">IF(AND(ISNUMBER($G1600),$G1600&gt;=MA_SHORT),AVERAGE(INDEX($C$1200:$C1600,402-MA_SHORT):$C1600),"")</f>
        <v/>
      </c>
      <c r="J1600" s="37" t="str">
        <f aca="false">IF(AND(ISNUMBER($G1600),$G1600&gt;=MA_MED),AVERAGE(INDEX($C$1200:$C1600,402-MA_MED):$C1600),"")</f>
        <v/>
      </c>
      <c r="K1600" s="37" t="str">
        <f aca="false">IF(AND(ISNUMBER($G1600),$G1600&gt;=MA_LONG2),AVERAGE(INDEX($C$1200:$C1600,402-MA_LONG2):$C1600),"")</f>
        <v/>
      </c>
      <c r="L1600" s="38" t="str">
        <f aca="false">IF(AND(ISNUMBER($G1600),$G1600&gt;=21),STDEV(INDEX($H$1540:$H1600,62-20):$H1600)*SQRT(245),"")</f>
        <v/>
      </c>
      <c r="M1600" s="37" t="str">
        <f aca="false">IF(AND(ISNUMBER($G1600),$G1600&gt;=60),MAX(INDEX($D$1400:$D1600,202-60):$D1600),"")</f>
        <v/>
      </c>
      <c r="N1600" s="37" t="str">
        <f aca="false">IF(AND(ISNUMBER($G1600),$G1600&gt;=60),MIN(INDEX($E$1400:$E1600,202-60):$E1600),"")</f>
        <v/>
      </c>
      <c r="O1600" s="38" t="str">
        <f aca="false">IF(OR(NOT(ISNUMBER($C1600)),NOT(ISNUMBER($M1600)),$M1600=0),"",$C1600/$M1600-1)</f>
        <v/>
      </c>
    </row>
    <row r="1601" customFormat="false" ht="15" hidden="false" customHeight="true" outlineLevel="0" collapsed="false">
      <c r="A1601" s="39"/>
      <c r="B1601" s="40"/>
      <c r="C1601" s="41"/>
      <c r="D1601" s="40"/>
      <c r="E1601" s="40"/>
      <c r="F1601" s="40"/>
      <c r="G1601" s="35" t="str">
        <f aca="false">IF($A1601="","",IF(ISNUMBER($G1600),$G1600+1,1))</f>
        <v/>
      </c>
      <c r="H1601" s="36" t="str">
        <f aca="false">IF(OR(NOT(ISNUMBER($G1601)),$G1601&lt;2,NOT(ISNUMBER($C1600)),$C1600=0),"",$C1601/$C1600-1)</f>
        <v/>
      </c>
      <c r="I1601" s="37" t="str">
        <f aca="false">IF(AND(ISNUMBER($G1601),$G1601&gt;=MA_SHORT),AVERAGE(INDEX($C$1201:$C1601,402-MA_SHORT):$C1601),"")</f>
        <v/>
      </c>
      <c r="J1601" s="37" t="str">
        <f aca="false">IF(AND(ISNUMBER($G1601),$G1601&gt;=MA_MED),AVERAGE(INDEX($C$1201:$C1601,402-MA_MED):$C1601),"")</f>
        <v/>
      </c>
      <c r="K1601" s="37" t="str">
        <f aca="false">IF(AND(ISNUMBER($G1601),$G1601&gt;=MA_LONG2),AVERAGE(INDEX($C$1201:$C1601,402-MA_LONG2):$C1601),"")</f>
        <v/>
      </c>
      <c r="L1601" s="38" t="str">
        <f aca="false">IF(AND(ISNUMBER($G1601),$G1601&gt;=21),STDEV(INDEX($H$1541:$H1601,62-20):$H1601)*SQRT(245),"")</f>
        <v/>
      </c>
      <c r="M1601" s="37" t="str">
        <f aca="false">IF(AND(ISNUMBER($G1601),$G1601&gt;=60),MAX(INDEX($D$1401:$D1601,202-60):$D1601),"")</f>
        <v/>
      </c>
      <c r="N1601" s="37" t="str">
        <f aca="false">IF(AND(ISNUMBER($G1601),$G1601&gt;=60),MIN(INDEX($E$1401:$E1601,202-60):$E1601),"")</f>
        <v/>
      </c>
      <c r="O1601" s="38" t="str">
        <f aca="false">IF(OR(NOT(ISNUMBER($C1601)),NOT(ISNUMBER($M1601)),$M1601=0),"",$C1601/$M1601-1)</f>
        <v/>
      </c>
    </row>
    <row r="1602" customFormat="false" ht="15" hidden="false" customHeight="true" outlineLevel="0" collapsed="false">
      <c r="A1602" s="39"/>
      <c r="B1602" s="40"/>
      <c r="C1602" s="41"/>
      <c r="D1602" s="40"/>
      <c r="E1602" s="40"/>
      <c r="F1602" s="40"/>
      <c r="G1602" s="35" t="str">
        <f aca="false">IF($A1602="","",IF(ISNUMBER($G1601),$G1601+1,1))</f>
        <v/>
      </c>
      <c r="H1602" s="36" t="str">
        <f aca="false">IF(OR(NOT(ISNUMBER($G1602)),$G1602&lt;2,NOT(ISNUMBER($C1601)),$C1601=0),"",$C1602/$C1601-1)</f>
        <v/>
      </c>
      <c r="I1602" s="37" t="str">
        <f aca="false">IF(AND(ISNUMBER($G1602),$G1602&gt;=MA_SHORT),AVERAGE(INDEX($C$1202:$C1602,402-MA_SHORT):$C1602),"")</f>
        <v/>
      </c>
      <c r="J1602" s="37" t="str">
        <f aca="false">IF(AND(ISNUMBER($G1602),$G1602&gt;=MA_MED),AVERAGE(INDEX($C$1202:$C1602,402-MA_MED):$C1602),"")</f>
        <v/>
      </c>
      <c r="K1602" s="37" t="str">
        <f aca="false">IF(AND(ISNUMBER($G1602),$G1602&gt;=MA_LONG2),AVERAGE(INDEX($C$1202:$C1602,402-MA_LONG2):$C1602),"")</f>
        <v/>
      </c>
      <c r="L1602" s="38" t="str">
        <f aca="false">IF(AND(ISNUMBER($G1602),$G1602&gt;=21),STDEV(INDEX($H$1542:$H1602,62-20):$H1602)*SQRT(245),"")</f>
        <v/>
      </c>
      <c r="M1602" s="37" t="str">
        <f aca="false">IF(AND(ISNUMBER($G1602),$G1602&gt;=60),MAX(INDEX($D$1402:$D1602,202-60):$D1602),"")</f>
        <v/>
      </c>
      <c r="N1602" s="37" t="str">
        <f aca="false">IF(AND(ISNUMBER($G1602),$G1602&gt;=60),MIN(INDEX($E$1402:$E1602,202-60):$E1602),"")</f>
        <v/>
      </c>
      <c r="O1602" s="38" t="str">
        <f aca="false">IF(OR(NOT(ISNUMBER($C1602)),NOT(ISNUMBER($M1602)),$M1602=0),"",$C1602/$M1602-1)</f>
        <v/>
      </c>
    </row>
    <row r="1603" customFormat="false" ht="15" hidden="false" customHeight="true" outlineLevel="0" collapsed="false">
      <c r="A1603" s="39"/>
      <c r="B1603" s="40"/>
      <c r="C1603" s="41"/>
      <c r="D1603" s="40"/>
      <c r="E1603" s="40"/>
      <c r="F1603" s="40"/>
      <c r="G1603" s="35" t="str">
        <f aca="false">IF($A1603="","",IF(ISNUMBER($G1602),$G1602+1,1))</f>
        <v/>
      </c>
      <c r="H1603" s="36" t="str">
        <f aca="false">IF(OR(NOT(ISNUMBER($G1603)),$G1603&lt;2,NOT(ISNUMBER($C1602)),$C1602=0),"",$C1603/$C1602-1)</f>
        <v/>
      </c>
      <c r="I1603" s="37" t="str">
        <f aca="false">IF(AND(ISNUMBER($G1603),$G1603&gt;=MA_SHORT),AVERAGE(INDEX($C$1203:$C1603,402-MA_SHORT):$C1603),"")</f>
        <v/>
      </c>
      <c r="J1603" s="37" t="str">
        <f aca="false">IF(AND(ISNUMBER($G1603),$G1603&gt;=MA_MED),AVERAGE(INDEX($C$1203:$C1603,402-MA_MED):$C1603),"")</f>
        <v/>
      </c>
      <c r="K1603" s="37" t="str">
        <f aca="false">IF(AND(ISNUMBER($G1603),$G1603&gt;=MA_LONG2),AVERAGE(INDEX($C$1203:$C1603,402-MA_LONG2):$C1603),"")</f>
        <v/>
      </c>
      <c r="L1603" s="38" t="str">
        <f aca="false">IF(AND(ISNUMBER($G1603),$G1603&gt;=21),STDEV(INDEX($H$1543:$H1603,62-20):$H1603)*SQRT(245),"")</f>
        <v/>
      </c>
      <c r="M1603" s="37" t="str">
        <f aca="false">IF(AND(ISNUMBER($G1603),$G1603&gt;=60),MAX(INDEX($D$1403:$D1603,202-60):$D1603),"")</f>
        <v/>
      </c>
      <c r="N1603" s="37" t="str">
        <f aca="false">IF(AND(ISNUMBER($G1603),$G1603&gt;=60),MIN(INDEX($E$1403:$E1603,202-60):$E1603),"")</f>
        <v/>
      </c>
      <c r="O1603" s="38" t="str">
        <f aca="false">IF(OR(NOT(ISNUMBER($C1603)),NOT(ISNUMBER($M1603)),$M1603=0),"",$C1603/$M1603-1)</f>
        <v/>
      </c>
    </row>
    <row r="1604" customFormat="false" ht="15" hidden="false" customHeight="true" outlineLevel="0" collapsed="false">
      <c r="A1604" s="39"/>
      <c r="B1604" s="40"/>
      <c r="C1604" s="41"/>
      <c r="D1604" s="40"/>
      <c r="E1604" s="40"/>
      <c r="F1604" s="40"/>
      <c r="G1604" s="35" t="str">
        <f aca="false">IF($A1604="","",IF(ISNUMBER($G1603),$G1603+1,1))</f>
        <v/>
      </c>
      <c r="H1604" s="36" t="str">
        <f aca="false">IF(OR(NOT(ISNUMBER($G1604)),$G1604&lt;2,NOT(ISNUMBER($C1603)),$C1603=0),"",$C1604/$C1603-1)</f>
        <v/>
      </c>
      <c r="I1604" s="37" t="str">
        <f aca="false">IF(AND(ISNUMBER($G1604),$G1604&gt;=MA_SHORT),AVERAGE(INDEX($C$1204:$C1604,402-MA_SHORT):$C1604),"")</f>
        <v/>
      </c>
      <c r="J1604" s="37" t="str">
        <f aca="false">IF(AND(ISNUMBER($G1604),$G1604&gt;=MA_MED),AVERAGE(INDEX($C$1204:$C1604,402-MA_MED):$C1604),"")</f>
        <v/>
      </c>
      <c r="K1604" s="37" t="str">
        <f aca="false">IF(AND(ISNUMBER($G1604),$G1604&gt;=MA_LONG2),AVERAGE(INDEX($C$1204:$C1604,402-MA_LONG2):$C1604),"")</f>
        <v/>
      </c>
      <c r="L1604" s="38" t="str">
        <f aca="false">IF(AND(ISNUMBER($G1604),$G1604&gt;=21),STDEV(INDEX($H$1544:$H1604,62-20):$H1604)*SQRT(245),"")</f>
        <v/>
      </c>
      <c r="M1604" s="37" t="str">
        <f aca="false">IF(AND(ISNUMBER($G1604),$G1604&gt;=60),MAX(INDEX($D$1404:$D1604,202-60):$D1604),"")</f>
        <v/>
      </c>
      <c r="N1604" s="37" t="str">
        <f aca="false">IF(AND(ISNUMBER($G1604),$G1604&gt;=60),MIN(INDEX($E$1404:$E1604,202-60):$E1604),"")</f>
        <v/>
      </c>
      <c r="O1604" s="38" t="str">
        <f aca="false">IF(OR(NOT(ISNUMBER($C1604)),NOT(ISNUMBER($M1604)),$M1604=0),"",$C1604/$M1604-1)</f>
        <v/>
      </c>
    </row>
    <row r="1605" customFormat="false" ht="15" hidden="false" customHeight="true" outlineLevel="0" collapsed="false">
      <c r="A1605" s="39"/>
      <c r="B1605" s="40"/>
      <c r="C1605" s="41"/>
      <c r="D1605" s="40"/>
      <c r="E1605" s="40"/>
      <c r="F1605" s="40"/>
      <c r="G1605" s="35" t="str">
        <f aca="false">IF($A1605="","",IF(ISNUMBER($G1604),$G1604+1,1))</f>
        <v/>
      </c>
      <c r="H1605" s="36" t="str">
        <f aca="false">IF(OR(NOT(ISNUMBER($G1605)),$G1605&lt;2,NOT(ISNUMBER($C1604)),$C1604=0),"",$C1605/$C1604-1)</f>
        <v/>
      </c>
      <c r="I1605" s="37" t="str">
        <f aca="false">IF(AND(ISNUMBER($G1605),$G1605&gt;=MA_SHORT),AVERAGE(INDEX($C$1205:$C1605,402-MA_SHORT):$C1605),"")</f>
        <v/>
      </c>
      <c r="J1605" s="37" t="str">
        <f aca="false">IF(AND(ISNUMBER($G1605),$G1605&gt;=MA_MED),AVERAGE(INDEX($C$1205:$C1605,402-MA_MED):$C1605),"")</f>
        <v/>
      </c>
      <c r="K1605" s="37" t="str">
        <f aca="false">IF(AND(ISNUMBER($G1605),$G1605&gt;=MA_LONG2),AVERAGE(INDEX($C$1205:$C1605,402-MA_LONG2):$C1605),"")</f>
        <v/>
      </c>
      <c r="L1605" s="38" t="str">
        <f aca="false">IF(AND(ISNUMBER($G1605),$G1605&gt;=21),STDEV(INDEX($H$1545:$H1605,62-20):$H1605)*SQRT(245),"")</f>
        <v/>
      </c>
      <c r="M1605" s="37" t="str">
        <f aca="false">IF(AND(ISNUMBER($G1605),$G1605&gt;=60),MAX(INDEX($D$1405:$D1605,202-60):$D1605),"")</f>
        <v/>
      </c>
      <c r="N1605" s="37" t="str">
        <f aca="false">IF(AND(ISNUMBER($G1605),$G1605&gt;=60),MIN(INDEX($E$1405:$E1605,202-60):$E1605),"")</f>
        <v/>
      </c>
      <c r="O1605" s="38" t="str">
        <f aca="false">IF(OR(NOT(ISNUMBER($C1605)),NOT(ISNUMBER($M1605)),$M1605=0),"",$C1605/$M1605-1)</f>
        <v/>
      </c>
    </row>
    <row r="1606" customFormat="false" ht="15" hidden="false" customHeight="true" outlineLevel="0" collapsed="false">
      <c r="A1606" s="39"/>
      <c r="B1606" s="40"/>
      <c r="C1606" s="41"/>
      <c r="D1606" s="40"/>
      <c r="E1606" s="40"/>
      <c r="F1606" s="40"/>
      <c r="G1606" s="35" t="str">
        <f aca="false">IF($A1606="","",IF(ISNUMBER($G1605),$G1605+1,1))</f>
        <v/>
      </c>
      <c r="H1606" s="36" t="str">
        <f aca="false">IF(OR(NOT(ISNUMBER($G1606)),$G1606&lt;2,NOT(ISNUMBER($C1605)),$C1605=0),"",$C1606/$C1605-1)</f>
        <v/>
      </c>
      <c r="I1606" s="37" t="str">
        <f aca="false">IF(AND(ISNUMBER($G1606),$G1606&gt;=MA_SHORT),AVERAGE(INDEX($C$1206:$C1606,402-MA_SHORT):$C1606),"")</f>
        <v/>
      </c>
      <c r="J1606" s="37" t="str">
        <f aca="false">IF(AND(ISNUMBER($G1606),$G1606&gt;=MA_MED),AVERAGE(INDEX($C$1206:$C1606,402-MA_MED):$C1606),"")</f>
        <v/>
      </c>
      <c r="K1606" s="37" t="str">
        <f aca="false">IF(AND(ISNUMBER($G1606),$G1606&gt;=MA_LONG2),AVERAGE(INDEX($C$1206:$C1606,402-MA_LONG2):$C1606),"")</f>
        <v/>
      </c>
      <c r="L1606" s="38" t="str">
        <f aca="false">IF(AND(ISNUMBER($G1606),$G1606&gt;=21),STDEV(INDEX($H$1546:$H1606,62-20):$H1606)*SQRT(245),"")</f>
        <v/>
      </c>
      <c r="M1606" s="37" t="str">
        <f aca="false">IF(AND(ISNUMBER($G1606),$G1606&gt;=60),MAX(INDEX($D$1406:$D1606,202-60):$D1606),"")</f>
        <v/>
      </c>
      <c r="N1606" s="37" t="str">
        <f aca="false">IF(AND(ISNUMBER($G1606),$G1606&gt;=60),MIN(INDEX($E$1406:$E1606,202-60):$E1606),"")</f>
        <v/>
      </c>
      <c r="O1606" s="38" t="str">
        <f aca="false">IF(OR(NOT(ISNUMBER($C1606)),NOT(ISNUMBER($M1606)),$M1606=0),"",$C1606/$M1606-1)</f>
        <v/>
      </c>
    </row>
    <row r="1607" customFormat="false" ht="15" hidden="false" customHeight="true" outlineLevel="0" collapsed="false">
      <c r="A1607" s="39"/>
      <c r="B1607" s="40"/>
      <c r="C1607" s="41"/>
      <c r="D1607" s="40"/>
      <c r="E1607" s="40"/>
      <c r="F1607" s="40"/>
      <c r="G1607" s="35" t="str">
        <f aca="false">IF($A1607="","",IF(ISNUMBER($G1606),$G1606+1,1))</f>
        <v/>
      </c>
      <c r="H1607" s="36" t="str">
        <f aca="false">IF(OR(NOT(ISNUMBER($G1607)),$G1607&lt;2,NOT(ISNUMBER($C1606)),$C1606=0),"",$C1607/$C1606-1)</f>
        <v/>
      </c>
      <c r="I1607" s="37" t="str">
        <f aca="false">IF(AND(ISNUMBER($G1607),$G1607&gt;=MA_SHORT),AVERAGE(INDEX($C$1207:$C1607,402-MA_SHORT):$C1607),"")</f>
        <v/>
      </c>
      <c r="J1607" s="37" t="str">
        <f aca="false">IF(AND(ISNUMBER($G1607),$G1607&gt;=MA_MED),AVERAGE(INDEX($C$1207:$C1607,402-MA_MED):$C1607),"")</f>
        <v/>
      </c>
      <c r="K1607" s="37" t="str">
        <f aca="false">IF(AND(ISNUMBER($G1607),$G1607&gt;=MA_LONG2),AVERAGE(INDEX($C$1207:$C1607,402-MA_LONG2):$C1607),"")</f>
        <v/>
      </c>
      <c r="L1607" s="38" t="str">
        <f aca="false">IF(AND(ISNUMBER($G1607),$G1607&gt;=21),STDEV(INDEX($H$1547:$H1607,62-20):$H1607)*SQRT(245),"")</f>
        <v/>
      </c>
      <c r="M1607" s="37" t="str">
        <f aca="false">IF(AND(ISNUMBER($G1607),$G1607&gt;=60),MAX(INDEX($D$1407:$D1607,202-60):$D1607),"")</f>
        <v/>
      </c>
      <c r="N1607" s="37" t="str">
        <f aca="false">IF(AND(ISNUMBER($G1607),$G1607&gt;=60),MIN(INDEX($E$1407:$E1607,202-60):$E1607),"")</f>
        <v/>
      </c>
      <c r="O1607" s="38" t="str">
        <f aca="false">IF(OR(NOT(ISNUMBER($C1607)),NOT(ISNUMBER($M1607)),$M1607=0),"",$C1607/$M1607-1)</f>
        <v/>
      </c>
    </row>
    <row r="1608" customFormat="false" ht="15" hidden="false" customHeight="true" outlineLevel="0" collapsed="false">
      <c r="A1608" s="39"/>
      <c r="B1608" s="40"/>
      <c r="C1608" s="41"/>
      <c r="D1608" s="40"/>
      <c r="E1608" s="40"/>
      <c r="F1608" s="40"/>
      <c r="G1608" s="35" t="str">
        <f aca="false">IF($A1608="","",IF(ISNUMBER($G1607),$G1607+1,1))</f>
        <v/>
      </c>
      <c r="H1608" s="36" t="str">
        <f aca="false">IF(OR(NOT(ISNUMBER($G1608)),$G1608&lt;2,NOT(ISNUMBER($C1607)),$C1607=0),"",$C1608/$C1607-1)</f>
        <v/>
      </c>
      <c r="I1608" s="37" t="str">
        <f aca="false">IF(AND(ISNUMBER($G1608),$G1608&gt;=MA_SHORT),AVERAGE(INDEX($C$1208:$C1608,402-MA_SHORT):$C1608),"")</f>
        <v/>
      </c>
      <c r="J1608" s="37" t="str">
        <f aca="false">IF(AND(ISNUMBER($G1608),$G1608&gt;=MA_MED),AVERAGE(INDEX($C$1208:$C1608,402-MA_MED):$C1608),"")</f>
        <v/>
      </c>
      <c r="K1608" s="37" t="str">
        <f aca="false">IF(AND(ISNUMBER($G1608),$G1608&gt;=MA_LONG2),AVERAGE(INDEX($C$1208:$C1608,402-MA_LONG2):$C1608),"")</f>
        <v/>
      </c>
      <c r="L1608" s="38" t="str">
        <f aca="false">IF(AND(ISNUMBER($G1608),$G1608&gt;=21),STDEV(INDEX($H$1548:$H1608,62-20):$H1608)*SQRT(245),"")</f>
        <v/>
      </c>
      <c r="M1608" s="37" t="str">
        <f aca="false">IF(AND(ISNUMBER($G1608),$G1608&gt;=60),MAX(INDEX($D$1408:$D1608,202-60):$D1608),"")</f>
        <v/>
      </c>
      <c r="N1608" s="37" t="str">
        <f aca="false">IF(AND(ISNUMBER($G1608),$G1608&gt;=60),MIN(INDEX($E$1408:$E1608,202-60):$E1608),"")</f>
        <v/>
      </c>
      <c r="O1608" s="38" t="str">
        <f aca="false">IF(OR(NOT(ISNUMBER($C1608)),NOT(ISNUMBER($M1608)),$M1608=0),"",$C1608/$M1608-1)</f>
        <v/>
      </c>
    </row>
    <row r="1609" customFormat="false" ht="15" hidden="false" customHeight="true" outlineLevel="0" collapsed="false">
      <c r="A1609" s="39"/>
      <c r="B1609" s="40"/>
      <c r="C1609" s="41"/>
      <c r="D1609" s="40"/>
      <c r="E1609" s="40"/>
      <c r="F1609" s="40"/>
      <c r="G1609" s="35" t="str">
        <f aca="false">IF($A1609="","",IF(ISNUMBER($G1608),$G1608+1,1))</f>
        <v/>
      </c>
      <c r="H1609" s="36" t="str">
        <f aca="false">IF(OR(NOT(ISNUMBER($G1609)),$G1609&lt;2,NOT(ISNUMBER($C1608)),$C1608=0),"",$C1609/$C1608-1)</f>
        <v/>
      </c>
      <c r="I1609" s="37" t="str">
        <f aca="false">IF(AND(ISNUMBER($G1609),$G1609&gt;=MA_SHORT),AVERAGE(INDEX($C$1209:$C1609,402-MA_SHORT):$C1609),"")</f>
        <v/>
      </c>
      <c r="J1609" s="37" t="str">
        <f aca="false">IF(AND(ISNUMBER($G1609),$G1609&gt;=MA_MED),AVERAGE(INDEX($C$1209:$C1609,402-MA_MED):$C1609),"")</f>
        <v/>
      </c>
      <c r="K1609" s="37" t="str">
        <f aca="false">IF(AND(ISNUMBER($G1609),$G1609&gt;=MA_LONG2),AVERAGE(INDEX($C$1209:$C1609,402-MA_LONG2):$C1609),"")</f>
        <v/>
      </c>
      <c r="L1609" s="38" t="str">
        <f aca="false">IF(AND(ISNUMBER($G1609),$G1609&gt;=21),STDEV(INDEX($H$1549:$H1609,62-20):$H1609)*SQRT(245),"")</f>
        <v/>
      </c>
      <c r="M1609" s="37" t="str">
        <f aca="false">IF(AND(ISNUMBER($G1609),$G1609&gt;=60),MAX(INDEX($D$1409:$D1609,202-60):$D1609),"")</f>
        <v/>
      </c>
      <c r="N1609" s="37" t="str">
        <f aca="false">IF(AND(ISNUMBER($G1609),$G1609&gt;=60),MIN(INDEX($E$1409:$E1609,202-60):$E1609),"")</f>
        <v/>
      </c>
      <c r="O1609" s="38" t="str">
        <f aca="false">IF(OR(NOT(ISNUMBER($C1609)),NOT(ISNUMBER($M1609)),$M1609=0),"",$C1609/$M1609-1)</f>
        <v/>
      </c>
    </row>
    <row r="1610" customFormat="false" ht="15" hidden="false" customHeight="true" outlineLevel="0" collapsed="false">
      <c r="A1610" s="39"/>
      <c r="B1610" s="40"/>
      <c r="C1610" s="41"/>
      <c r="D1610" s="40"/>
      <c r="E1610" s="40"/>
      <c r="F1610" s="40"/>
      <c r="G1610" s="35" t="str">
        <f aca="false">IF($A1610="","",IF(ISNUMBER($G1609),$G1609+1,1))</f>
        <v/>
      </c>
      <c r="H1610" s="36" t="str">
        <f aca="false">IF(OR(NOT(ISNUMBER($G1610)),$G1610&lt;2,NOT(ISNUMBER($C1609)),$C1609=0),"",$C1610/$C1609-1)</f>
        <v/>
      </c>
      <c r="I1610" s="37" t="str">
        <f aca="false">IF(AND(ISNUMBER($G1610),$G1610&gt;=MA_SHORT),AVERAGE(INDEX($C$1210:$C1610,402-MA_SHORT):$C1610),"")</f>
        <v/>
      </c>
      <c r="J1610" s="37" t="str">
        <f aca="false">IF(AND(ISNUMBER($G1610),$G1610&gt;=MA_MED),AVERAGE(INDEX($C$1210:$C1610,402-MA_MED):$C1610),"")</f>
        <v/>
      </c>
      <c r="K1610" s="37" t="str">
        <f aca="false">IF(AND(ISNUMBER($G1610),$G1610&gt;=MA_LONG2),AVERAGE(INDEX($C$1210:$C1610,402-MA_LONG2):$C1610),"")</f>
        <v/>
      </c>
      <c r="L1610" s="38" t="str">
        <f aca="false">IF(AND(ISNUMBER($G1610),$G1610&gt;=21),STDEV(INDEX($H$1550:$H1610,62-20):$H1610)*SQRT(245),"")</f>
        <v/>
      </c>
      <c r="M1610" s="37" t="str">
        <f aca="false">IF(AND(ISNUMBER($G1610),$G1610&gt;=60),MAX(INDEX($D$1410:$D1610,202-60):$D1610),"")</f>
        <v/>
      </c>
      <c r="N1610" s="37" t="str">
        <f aca="false">IF(AND(ISNUMBER($G1610),$G1610&gt;=60),MIN(INDEX($E$1410:$E1610,202-60):$E1610),"")</f>
        <v/>
      </c>
      <c r="O1610" s="38" t="str">
        <f aca="false">IF(OR(NOT(ISNUMBER($C1610)),NOT(ISNUMBER($M1610)),$M1610=0),"",$C1610/$M1610-1)</f>
        <v/>
      </c>
    </row>
    <row r="1611" customFormat="false" ht="15" hidden="false" customHeight="true" outlineLevel="0" collapsed="false">
      <c r="A1611" s="39"/>
      <c r="B1611" s="40"/>
      <c r="C1611" s="41"/>
      <c r="D1611" s="40"/>
      <c r="E1611" s="40"/>
      <c r="F1611" s="40"/>
      <c r="G1611" s="35" t="str">
        <f aca="false">IF($A1611="","",IF(ISNUMBER($G1610),$G1610+1,1))</f>
        <v/>
      </c>
      <c r="H1611" s="36" t="str">
        <f aca="false">IF(OR(NOT(ISNUMBER($G1611)),$G1611&lt;2,NOT(ISNUMBER($C1610)),$C1610=0),"",$C1611/$C1610-1)</f>
        <v/>
      </c>
      <c r="I1611" s="37" t="str">
        <f aca="false">IF(AND(ISNUMBER($G1611),$G1611&gt;=MA_SHORT),AVERAGE(INDEX($C$1211:$C1611,402-MA_SHORT):$C1611),"")</f>
        <v/>
      </c>
      <c r="J1611" s="37" t="str">
        <f aca="false">IF(AND(ISNUMBER($G1611),$G1611&gt;=MA_MED),AVERAGE(INDEX($C$1211:$C1611,402-MA_MED):$C1611),"")</f>
        <v/>
      </c>
      <c r="K1611" s="37" t="str">
        <f aca="false">IF(AND(ISNUMBER($G1611),$G1611&gt;=MA_LONG2),AVERAGE(INDEX($C$1211:$C1611,402-MA_LONG2):$C1611),"")</f>
        <v/>
      </c>
      <c r="L1611" s="38" t="str">
        <f aca="false">IF(AND(ISNUMBER($G1611),$G1611&gt;=21),STDEV(INDEX($H$1551:$H1611,62-20):$H1611)*SQRT(245),"")</f>
        <v/>
      </c>
      <c r="M1611" s="37" t="str">
        <f aca="false">IF(AND(ISNUMBER($G1611),$G1611&gt;=60),MAX(INDEX($D$1411:$D1611,202-60):$D1611),"")</f>
        <v/>
      </c>
      <c r="N1611" s="37" t="str">
        <f aca="false">IF(AND(ISNUMBER($G1611),$G1611&gt;=60),MIN(INDEX($E$1411:$E1611,202-60):$E1611),"")</f>
        <v/>
      </c>
      <c r="O1611" s="38" t="str">
        <f aca="false">IF(OR(NOT(ISNUMBER($C1611)),NOT(ISNUMBER($M1611)),$M1611=0),"",$C1611/$M1611-1)</f>
        <v/>
      </c>
    </row>
    <row r="1612" customFormat="false" ht="15" hidden="false" customHeight="true" outlineLevel="0" collapsed="false">
      <c r="A1612" s="39"/>
      <c r="B1612" s="40"/>
      <c r="C1612" s="41"/>
      <c r="D1612" s="40"/>
      <c r="E1612" s="40"/>
      <c r="F1612" s="40"/>
      <c r="G1612" s="35" t="str">
        <f aca="false">IF($A1612="","",IF(ISNUMBER($G1611),$G1611+1,1))</f>
        <v/>
      </c>
      <c r="H1612" s="36" t="str">
        <f aca="false">IF(OR(NOT(ISNUMBER($G1612)),$G1612&lt;2,NOT(ISNUMBER($C1611)),$C1611=0),"",$C1612/$C1611-1)</f>
        <v/>
      </c>
      <c r="I1612" s="37" t="str">
        <f aca="false">IF(AND(ISNUMBER($G1612),$G1612&gt;=MA_SHORT),AVERAGE(INDEX($C$1212:$C1612,402-MA_SHORT):$C1612),"")</f>
        <v/>
      </c>
      <c r="J1612" s="37" t="str">
        <f aca="false">IF(AND(ISNUMBER($G1612),$G1612&gt;=MA_MED),AVERAGE(INDEX($C$1212:$C1612,402-MA_MED):$C1612),"")</f>
        <v/>
      </c>
      <c r="K1612" s="37" t="str">
        <f aca="false">IF(AND(ISNUMBER($G1612),$G1612&gt;=MA_LONG2),AVERAGE(INDEX($C$1212:$C1612,402-MA_LONG2):$C1612),"")</f>
        <v/>
      </c>
      <c r="L1612" s="38" t="str">
        <f aca="false">IF(AND(ISNUMBER($G1612),$G1612&gt;=21),STDEV(INDEX($H$1552:$H1612,62-20):$H1612)*SQRT(245),"")</f>
        <v/>
      </c>
      <c r="M1612" s="37" t="str">
        <f aca="false">IF(AND(ISNUMBER($G1612),$G1612&gt;=60),MAX(INDEX($D$1412:$D1612,202-60):$D1612),"")</f>
        <v/>
      </c>
      <c r="N1612" s="37" t="str">
        <f aca="false">IF(AND(ISNUMBER($G1612),$G1612&gt;=60),MIN(INDEX($E$1412:$E1612,202-60):$E1612),"")</f>
        <v/>
      </c>
      <c r="O1612" s="38" t="str">
        <f aca="false">IF(OR(NOT(ISNUMBER($C1612)),NOT(ISNUMBER($M1612)),$M1612=0),"",$C1612/$M1612-1)</f>
        <v/>
      </c>
    </row>
    <row r="1613" customFormat="false" ht="15" hidden="false" customHeight="true" outlineLevel="0" collapsed="false">
      <c r="A1613" s="39"/>
      <c r="B1613" s="40"/>
      <c r="C1613" s="41"/>
      <c r="D1613" s="40"/>
      <c r="E1613" s="40"/>
      <c r="F1613" s="40"/>
      <c r="G1613" s="35" t="str">
        <f aca="false">IF($A1613="","",IF(ISNUMBER($G1612),$G1612+1,1))</f>
        <v/>
      </c>
      <c r="H1613" s="36" t="str">
        <f aca="false">IF(OR(NOT(ISNUMBER($G1613)),$G1613&lt;2,NOT(ISNUMBER($C1612)),$C1612=0),"",$C1613/$C1612-1)</f>
        <v/>
      </c>
      <c r="I1613" s="37" t="str">
        <f aca="false">IF(AND(ISNUMBER($G1613),$G1613&gt;=MA_SHORT),AVERAGE(INDEX($C$1213:$C1613,402-MA_SHORT):$C1613),"")</f>
        <v/>
      </c>
      <c r="J1613" s="37" t="str">
        <f aca="false">IF(AND(ISNUMBER($G1613),$G1613&gt;=MA_MED),AVERAGE(INDEX($C$1213:$C1613,402-MA_MED):$C1613),"")</f>
        <v/>
      </c>
      <c r="K1613" s="37" t="str">
        <f aca="false">IF(AND(ISNUMBER($G1613),$G1613&gt;=MA_LONG2),AVERAGE(INDEX($C$1213:$C1613,402-MA_LONG2):$C1613),"")</f>
        <v/>
      </c>
      <c r="L1613" s="38" t="str">
        <f aca="false">IF(AND(ISNUMBER($G1613),$G1613&gt;=21),STDEV(INDEX($H$1553:$H1613,62-20):$H1613)*SQRT(245),"")</f>
        <v/>
      </c>
      <c r="M1613" s="37" t="str">
        <f aca="false">IF(AND(ISNUMBER($G1613),$G1613&gt;=60),MAX(INDEX($D$1413:$D1613,202-60):$D1613),"")</f>
        <v/>
      </c>
      <c r="N1613" s="37" t="str">
        <f aca="false">IF(AND(ISNUMBER($G1613),$G1613&gt;=60),MIN(INDEX($E$1413:$E1613,202-60):$E1613),"")</f>
        <v/>
      </c>
      <c r="O1613" s="38" t="str">
        <f aca="false">IF(OR(NOT(ISNUMBER($C1613)),NOT(ISNUMBER($M1613)),$M1613=0),"",$C1613/$M1613-1)</f>
        <v/>
      </c>
    </row>
    <row r="1614" customFormat="false" ht="15" hidden="false" customHeight="true" outlineLevel="0" collapsed="false">
      <c r="A1614" s="39"/>
      <c r="B1614" s="40"/>
      <c r="C1614" s="41"/>
      <c r="D1614" s="40"/>
      <c r="E1614" s="40"/>
      <c r="F1614" s="40"/>
      <c r="G1614" s="35" t="str">
        <f aca="false">IF($A1614="","",IF(ISNUMBER($G1613),$G1613+1,1))</f>
        <v/>
      </c>
      <c r="H1614" s="36" t="str">
        <f aca="false">IF(OR(NOT(ISNUMBER($G1614)),$G1614&lt;2,NOT(ISNUMBER($C1613)),$C1613=0),"",$C1614/$C1613-1)</f>
        <v/>
      </c>
      <c r="I1614" s="37" t="str">
        <f aca="false">IF(AND(ISNUMBER($G1614),$G1614&gt;=MA_SHORT),AVERAGE(INDEX($C$1214:$C1614,402-MA_SHORT):$C1614),"")</f>
        <v/>
      </c>
      <c r="J1614" s="37" t="str">
        <f aca="false">IF(AND(ISNUMBER($G1614),$G1614&gt;=MA_MED),AVERAGE(INDEX($C$1214:$C1614,402-MA_MED):$C1614),"")</f>
        <v/>
      </c>
      <c r="K1614" s="37" t="str">
        <f aca="false">IF(AND(ISNUMBER($G1614),$G1614&gt;=MA_LONG2),AVERAGE(INDEX($C$1214:$C1614,402-MA_LONG2):$C1614),"")</f>
        <v/>
      </c>
      <c r="L1614" s="38" t="str">
        <f aca="false">IF(AND(ISNUMBER($G1614),$G1614&gt;=21),STDEV(INDEX($H$1554:$H1614,62-20):$H1614)*SQRT(245),"")</f>
        <v/>
      </c>
      <c r="M1614" s="37" t="str">
        <f aca="false">IF(AND(ISNUMBER($G1614),$G1614&gt;=60),MAX(INDEX($D$1414:$D1614,202-60):$D1614),"")</f>
        <v/>
      </c>
      <c r="N1614" s="37" t="str">
        <f aca="false">IF(AND(ISNUMBER($G1614),$G1614&gt;=60),MIN(INDEX($E$1414:$E1614,202-60):$E1614),"")</f>
        <v/>
      </c>
      <c r="O1614" s="38" t="str">
        <f aca="false">IF(OR(NOT(ISNUMBER($C1614)),NOT(ISNUMBER($M1614)),$M1614=0),"",$C1614/$M1614-1)</f>
        <v/>
      </c>
    </row>
    <row r="1615" customFormat="false" ht="15" hidden="false" customHeight="true" outlineLevel="0" collapsed="false">
      <c r="A1615" s="39"/>
      <c r="B1615" s="40"/>
      <c r="C1615" s="41"/>
      <c r="D1615" s="40"/>
      <c r="E1615" s="40"/>
      <c r="F1615" s="40"/>
      <c r="G1615" s="35" t="str">
        <f aca="false">IF($A1615="","",IF(ISNUMBER($G1614),$G1614+1,1))</f>
        <v/>
      </c>
      <c r="H1615" s="36" t="str">
        <f aca="false">IF(OR(NOT(ISNUMBER($G1615)),$G1615&lt;2,NOT(ISNUMBER($C1614)),$C1614=0),"",$C1615/$C1614-1)</f>
        <v/>
      </c>
      <c r="I1615" s="37" t="str">
        <f aca="false">IF(AND(ISNUMBER($G1615),$G1615&gt;=MA_SHORT),AVERAGE(INDEX($C$1215:$C1615,402-MA_SHORT):$C1615),"")</f>
        <v/>
      </c>
      <c r="J1615" s="37" t="str">
        <f aca="false">IF(AND(ISNUMBER($G1615),$G1615&gt;=MA_MED),AVERAGE(INDEX($C$1215:$C1615,402-MA_MED):$C1615),"")</f>
        <v/>
      </c>
      <c r="K1615" s="37" t="str">
        <f aca="false">IF(AND(ISNUMBER($G1615),$G1615&gt;=MA_LONG2),AVERAGE(INDEX($C$1215:$C1615,402-MA_LONG2):$C1615),"")</f>
        <v/>
      </c>
      <c r="L1615" s="38" t="str">
        <f aca="false">IF(AND(ISNUMBER($G1615),$G1615&gt;=21),STDEV(INDEX($H$1555:$H1615,62-20):$H1615)*SQRT(245),"")</f>
        <v/>
      </c>
      <c r="M1615" s="37" t="str">
        <f aca="false">IF(AND(ISNUMBER($G1615),$G1615&gt;=60),MAX(INDEX($D$1415:$D1615,202-60):$D1615),"")</f>
        <v/>
      </c>
      <c r="N1615" s="37" t="str">
        <f aca="false">IF(AND(ISNUMBER($G1615),$G1615&gt;=60),MIN(INDEX($E$1415:$E1615,202-60):$E1615),"")</f>
        <v/>
      </c>
      <c r="O1615" s="38" t="str">
        <f aca="false">IF(OR(NOT(ISNUMBER($C1615)),NOT(ISNUMBER($M1615)),$M1615=0),"",$C1615/$M1615-1)</f>
        <v/>
      </c>
    </row>
    <row r="1616" customFormat="false" ht="15" hidden="false" customHeight="true" outlineLevel="0" collapsed="false">
      <c r="A1616" s="39"/>
      <c r="B1616" s="40"/>
      <c r="C1616" s="41"/>
      <c r="D1616" s="40"/>
      <c r="E1616" s="40"/>
      <c r="F1616" s="40"/>
      <c r="G1616" s="35" t="str">
        <f aca="false">IF($A1616="","",IF(ISNUMBER($G1615),$G1615+1,1))</f>
        <v/>
      </c>
      <c r="H1616" s="36" t="str">
        <f aca="false">IF(OR(NOT(ISNUMBER($G1616)),$G1616&lt;2,NOT(ISNUMBER($C1615)),$C1615=0),"",$C1616/$C1615-1)</f>
        <v/>
      </c>
      <c r="I1616" s="37" t="str">
        <f aca="false">IF(AND(ISNUMBER($G1616),$G1616&gt;=MA_SHORT),AVERAGE(INDEX($C$1216:$C1616,402-MA_SHORT):$C1616),"")</f>
        <v/>
      </c>
      <c r="J1616" s="37" t="str">
        <f aca="false">IF(AND(ISNUMBER($G1616),$G1616&gt;=MA_MED),AVERAGE(INDEX($C$1216:$C1616,402-MA_MED):$C1616),"")</f>
        <v/>
      </c>
      <c r="K1616" s="37" t="str">
        <f aca="false">IF(AND(ISNUMBER($G1616),$G1616&gt;=MA_LONG2),AVERAGE(INDEX($C$1216:$C1616,402-MA_LONG2):$C1616),"")</f>
        <v/>
      </c>
      <c r="L1616" s="38" t="str">
        <f aca="false">IF(AND(ISNUMBER($G1616),$G1616&gt;=21),STDEV(INDEX($H$1556:$H1616,62-20):$H1616)*SQRT(245),"")</f>
        <v/>
      </c>
      <c r="M1616" s="37" t="str">
        <f aca="false">IF(AND(ISNUMBER($G1616),$G1616&gt;=60),MAX(INDEX($D$1416:$D1616,202-60):$D1616),"")</f>
        <v/>
      </c>
      <c r="N1616" s="37" t="str">
        <f aca="false">IF(AND(ISNUMBER($G1616),$G1616&gt;=60),MIN(INDEX($E$1416:$E1616,202-60):$E1616),"")</f>
        <v/>
      </c>
      <c r="O1616" s="38" t="str">
        <f aca="false">IF(OR(NOT(ISNUMBER($C1616)),NOT(ISNUMBER($M1616)),$M1616=0),"",$C1616/$M1616-1)</f>
        <v/>
      </c>
    </row>
    <row r="1617" customFormat="false" ht="15" hidden="false" customHeight="true" outlineLevel="0" collapsed="false">
      <c r="A1617" s="39"/>
      <c r="B1617" s="40"/>
      <c r="C1617" s="41"/>
      <c r="D1617" s="40"/>
      <c r="E1617" s="40"/>
      <c r="F1617" s="40"/>
      <c r="G1617" s="35" t="str">
        <f aca="false">IF($A1617="","",IF(ISNUMBER($G1616),$G1616+1,1))</f>
        <v/>
      </c>
      <c r="H1617" s="36" t="str">
        <f aca="false">IF(OR(NOT(ISNUMBER($G1617)),$G1617&lt;2,NOT(ISNUMBER($C1616)),$C1616=0),"",$C1617/$C1616-1)</f>
        <v/>
      </c>
      <c r="I1617" s="37" t="str">
        <f aca="false">IF(AND(ISNUMBER($G1617),$G1617&gt;=MA_SHORT),AVERAGE(INDEX($C$1217:$C1617,402-MA_SHORT):$C1617),"")</f>
        <v/>
      </c>
      <c r="J1617" s="37" t="str">
        <f aca="false">IF(AND(ISNUMBER($G1617),$G1617&gt;=MA_MED),AVERAGE(INDEX($C$1217:$C1617,402-MA_MED):$C1617),"")</f>
        <v/>
      </c>
      <c r="K1617" s="37" t="str">
        <f aca="false">IF(AND(ISNUMBER($G1617),$G1617&gt;=MA_LONG2),AVERAGE(INDEX($C$1217:$C1617,402-MA_LONG2):$C1617),"")</f>
        <v/>
      </c>
      <c r="L1617" s="38" t="str">
        <f aca="false">IF(AND(ISNUMBER($G1617),$G1617&gt;=21),STDEV(INDEX($H$1557:$H1617,62-20):$H1617)*SQRT(245),"")</f>
        <v/>
      </c>
      <c r="M1617" s="37" t="str">
        <f aca="false">IF(AND(ISNUMBER($G1617),$G1617&gt;=60),MAX(INDEX($D$1417:$D1617,202-60):$D1617),"")</f>
        <v/>
      </c>
      <c r="N1617" s="37" t="str">
        <f aca="false">IF(AND(ISNUMBER($G1617),$G1617&gt;=60),MIN(INDEX($E$1417:$E1617,202-60):$E1617),"")</f>
        <v/>
      </c>
      <c r="O1617" s="38" t="str">
        <f aca="false">IF(OR(NOT(ISNUMBER($C1617)),NOT(ISNUMBER($M1617)),$M1617=0),"",$C1617/$M1617-1)</f>
        <v/>
      </c>
    </row>
    <row r="1618" customFormat="false" ht="15" hidden="false" customHeight="true" outlineLevel="0" collapsed="false">
      <c r="A1618" s="39"/>
      <c r="B1618" s="40"/>
      <c r="C1618" s="41"/>
      <c r="D1618" s="40"/>
      <c r="E1618" s="40"/>
      <c r="F1618" s="40"/>
      <c r="G1618" s="35" t="str">
        <f aca="false">IF($A1618="","",IF(ISNUMBER($G1617),$G1617+1,1))</f>
        <v/>
      </c>
      <c r="H1618" s="36" t="str">
        <f aca="false">IF(OR(NOT(ISNUMBER($G1618)),$G1618&lt;2,NOT(ISNUMBER($C1617)),$C1617=0),"",$C1618/$C1617-1)</f>
        <v/>
      </c>
      <c r="I1618" s="37" t="str">
        <f aca="false">IF(AND(ISNUMBER($G1618),$G1618&gt;=MA_SHORT),AVERAGE(INDEX($C$1218:$C1618,402-MA_SHORT):$C1618),"")</f>
        <v/>
      </c>
      <c r="J1618" s="37" t="str">
        <f aca="false">IF(AND(ISNUMBER($G1618),$G1618&gt;=MA_MED),AVERAGE(INDEX($C$1218:$C1618,402-MA_MED):$C1618),"")</f>
        <v/>
      </c>
      <c r="K1618" s="37" t="str">
        <f aca="false">IF(AND(ISNUMBER($G1618),$G1618&gt;=MA_LONG2),AVERAGE(INDEX($C$1218:$C1618,402-MA_LONG2):$C1618),"")</f>
        <v/>
      </c>
      <c r="L1618" s="38" t="str">
        <f aca="false">IF(AND(ISNUMBER($G1618),$G1618&gt;=21),STDEV(INDEX($H$1558:$H1618,62-20):$H1618)*SQRT(245),"")</f>
        <v/>
      </c>
      <c r="M1618" s="37" t="str">
        <f aca="false">IF(AND(ISNUMBER($G1618),$G1618&gt;=60),MAX(INDEX($D$1418:$D1618,202-60):$D1618),"")</f>
        <v/>
      </c>
      <c r="N1618" s="37" t="str">
        <f aca="false">IF(AND(ISNUMBER($G1618),$G1618&gt;=60),MIN(INDEX($E$1418:$E1618,202-60):$E1618),"")</f>
        <v/>
      </c>
      <c r="O1618" s="38" t="str">
        <f aca="false">IF(OR(NOT(ISNUMBER($C1618)),NOT(ISNUMBER($M1618)),$M1618=0),"",$C1618/$M1618-1)</f>
        <v/>
      </c>
    </row>
    <row r="1619" customFormat="false" ht="15" hidden="false" customHeight="true" outlineLevel="0" collapsed="false">
      <c r="A1619" s="39"/>
      <c r="B1619" s="40"/>
      <c r="C1619" s="41"/>
      <c r="D1619" s="40"/>
      <c r="E1619" s="40"/>
      <c r="F1619" s="40"/>
      <c r="G1619" s="35" t="str">
        <f aca="false">IF($A1619="","",IF(ISNUMBER($G1618),$G1618+1,1))</f>
        <v/>
      </c>
      <c r="H1619" s="36" t="str">
        <f aca="false">IF(OR(NOT(ISNUMBER($G1619)),$G1619&lt;2,NOT(ISNUMBER($C1618)),$C1618=0),"",$C1619/$C1618-1)</f>
        <v/>
      </c>
      <c r="I1619" s="37" t="str">
        <f aca="false">IF(AND(ISNUMBER($G1619),$G1619&gt;=MA_SHORT),AVERAGE(INDEX($C$1219:$C1619,402-MA_SHORT):$C1619),"")</f>
        <v/>
      </c>
      <c r="J1619" s="37" t="str">
        <f aca="false">IF(AND(ISNUMBER($G1619),$G1619&gt;=MA_MED),AVERAGE(INDEX($C$1219:$C1619,402-MA_MED):$C1619),"")</f>
        <v/>
      </c>
      <c r="K1619" s="37" t="str">
        <f aca="false">IF(AND(ISNUMBER($G1619),$G1619&gt;=MA_LONG2),AVERAGE(INDEX($C$1219:$C1619,402-MA_LONG2):$C1619),"")</f>
        <v/>
      </c>
      <c r="L1619" s="38" t="str">
        <f aca="false">IF(AND(ISNUMBER($G1619),$G1619&gt;=21),STDEV(INDEX($H$1559:$H1619,62-20):$H1619)*SQRT(245),"")</f>
        <v/>
      </c>
      <c r="M1619" s="37" t="str">
        <f aca="false">IF(AND(ISNUMBER($G1619),$G1619&gt;=60),MAX(INDEX($D$1419:$D1619,202-60):$D1619),"")</f>
        <v/>
      </c>
      <c r="N1619" s="37" t="str">
        <f aca="false">IF(AND(ISNUMBER($G1619),$G1619&gt;=60),MIN(INDEX($E$1419:$E1619,202-60):$E1619),"")</f>
        <v/>
      </c>
      <c r="O1619" s="38" t="str">
        <f aca="false">IF(OR(NOT(ISNUMBER($C1619)),NOT(ISNUMBER($M1619)),$M1619=0),"",$C1619/$M1619-1)</f>
        <v/>
      </c>
    </row>
    <row r="1620" customFormat="false" ht="15" hidden="false" customHeight="true" outlineLevel="0" collapsed="false">
      <c r="A1620" s="39"/>
      <c r="B1620" s="40"/>
      <c r="C1620" s="41"/>
      <c r="D1620" s="40"/>
      <c r="E1620" s="40"/>
      <c r="F1620" s="40"/>
      <c r="G1620" s="35" t="str">
        <f aca="false">IF($A1620="","",IF(ISNUMBER($G1619),$G1619+1,1))</f>
        <v/>
      </c>
      <c r="H1620" s="36" t="str">
        <f aca="false">IF(OR(NOT(ISNUMBER($G1620)),$G1620&lt;2,NOT(ISNUMBER($C1619)),$C1619=0),"",$C1620/$C1619-1)</f>
        <v/>
      </c>
      <c r="I1620" s="37" t="str">
        <f aca="false">IF(AND(ISNUMBER($G1620),$G1620&gt;=MA_SHORT),AVERAGE(INDEX($C$1220:$C1620,402-MA_SHORT):$C1620),"")</f>
        <v/>
      </c>
      <c r="J1620" s="37" t="str">
        <f aca="false">IF(AND(ISNUMBER($G1620),$G1620&gt;=MA_MED),AVERAGE(INDEX($C$1220:$C1620,402-MA_MED):$C1620),"")</f>
        <v/>
      </c>
      <c r="K1620" s="37" t="str">
        <f aca="false">IF(AND(ISNUMBER($G1620),$G1620&gt;=MA_LONG2),AVERAGE(INDEX($C$1220:$C1620,402-MA_LONG2):$C1620),"")</f>
        <v/>
      </c>
      <c r="L1620" s="38" t="str">
        <f aca="false">IF(AND(ISNUMBER($G1620),$G1620&gt;=21),STDEV(INDEX($H$1560:$H1620,62-20):$H1620)*SQRT(245),"")</f>
        <v/>
      </c>
      <c r="M1620" s="37" t="str">
        <f aca="false">IF(AND(ISNUMBER($G1620),$G1620&gt;=60),MAX(INDEX($D$1420:$D1620,202-60):$D1620),"")</f>
        <v/>
      </c>
      <c r="N1620" s="37" t="str">
        <f aca="false">IF(AND(ISNUMBER($G1620),$G1620&gt;=60),MIN(INDEX($E$1420:$E1620,202-60):$E1620),"")</f>
        <v/>
      </c>
      <c r="O1620" s="38" t="str">
        <f aca="false">IF(OR(NOT(ISNUMBER($C1620)),NOT(ISNUMBER($M1620)),$M1620=0),"",$C1620/$M1620-1)</f>
        <v/>
      </c>
    </row>
    <row r="1621" customFormat="false" ht="15" hidden="false" customHeight="true" outlineLevel="0" collapsed="false">
      <c r="A1621" s="39"/>
      <c r="B1621" s="40"/>
      <c r="C1621" s="41"/>
      <c r="D1621" s="40"/>
      <c r="E1621" s="40"/>
      <c r="F1621" s="40"/>
      <c r="G1621" s="35" t="str">
        <f aca="false">IF($A1621="","",IF(ISNUMBER($G1620),$G1620+1,1))</f>
        <v/>
      </c>
      <c r="H1621" s="36" t="str">
        <f aca="false">IF(OR(NOT(ISNUMBER($G1621)),$G1621&lt;2,NOT(ISNUMBER($C1620)),$C1620=0),"",$C1621/$C1620-1)</f>
        <v/>
      </c>
      <c r="I1621" s="37" t="str">
        <f aca="false">IF(AND(ISNUMBER($G1621),$G1621&gt;=MA_SHORT),AVERAGE(INDEX($C$1221:$C1621,402-MA_SHORT):$C1621),"")</f>
        <v/>
      </c>
      <c r="J1621" s="37" t="str">
        <f aca="false">IF(AND(ISNUMBER($G1621),$G1621&gt;=MA_MED),AVERAGE(INDEX($C$1221:$C1621,402-MA_MED):$C1621),"")</f>
        <v/>
      </c>
      <c r="K1621" s="37" t="str">
        <f aca="false">IF(AND(ISNUMBER($G1621),$G1621&gt;=MA_LONG2),AVERAGE(INDEX($C$1221:$C1621,402-MA_LONG2):$C1621),"")</f>
        <v/>
      </c>
      <c r="L1621" s="38" t="str">
        <f aca="false">IF(AND(ISNUMBER($G1621),$G1621&gt;=21),STDEV(INDEX($H$1561:$H1621,62-20):$H1621)*SQRT(245),"")</f>
        <v/>
      </c>
      <c r="M1621" s="37" t="str">
        <f aca="false">IF(AND(ISNUMBER($G1621),$G1621&gt;=60),MAX(INDEX($D$1421:$D1621,202-60):$D1621),"")</f>
        <v/>
      </c>
      <c r="N1621" s="37" t="str">
        <f aca="false">IF(AND(ISNUMBER($G1621),$G1621&gt;=60),MIN(INDEX($E$1421:$E1621,202-60):$E1621),"")</f>
        <v/>
      </c>
      <c r="O1621" s="38" t="str">
        <f aca="false">IF(OR(NOT(ISNUMBER($C1621)),NOT(ISNUMBER($M1621)),$M1621=0),"",$C1621/$M1621-1)</f>
        <v/>
      </c>
    </row>
    <row r="1622" customFormat="false" ht="15" hidden="false" customHeight="true" outlineLevel="0" collapsed="false">
      <c r="A1622" s="39"/>
      <c r="B1622" s="40"/>
      <c r="C1622" s="41"/>
      <c r="D1622" s="40"/>
      <c r="E1622" s="40"/>
      <c r="F1622" s="40"/>
      <c r="G1622" s="35" t="str">
        <f aca="false">IF($A1622="","",IF(ISNUMBER($G1621),$G1621+1,1))</f>
        <v/>
      </c>
      <c r="H1622" s="36" t="str">
        <f aca="false">IF(OR(NOT(ISNUMBER($G1622)),$G1622&lt;2,NOT(ISNUMBER($C1621)),$C1621=0),"",$C1622/$C1621-1)</f>
        <v/>
      </c>
      <c r="I1622" s="37" t="str">
        <f aca="false">IF(AND(ISNUMBER($G1622),$G1622&gt;=MA_SHORT),AVERAGE(INDEX($C$1222:$C1622,402-MA_SHORT):$C1622),"")</f>
        <v/>
      </c>
      <c r="J1622" s="37" t="str">
        <f aca="false">IF(AND(ISNUMBER($G1622),$G1622&gt;=MA_MED),AVERAGE(INDEX($C$1222:$C1622,402-MA_MED):$C1622),"")</f>
        <v/>
      </c>
      <c r="K1622" s="37" t="str">
        <f aca="false">IF(AND(ISNUMBER($G1622),$G1622&gt;=MA_LONG2),AVERAGE(INDEX($C$1222:$C1622,402-MA_LONG2):$C1622),"")</f>
        <v/>
      </c>
      <c r="L1622" s="38" t="str">
        <f aca="false">IF(AND(ISNUMBER($G1622),$G1622&gt;=21),STDEV(INDEX($H$1562:$H1622,62-20):$H1622)*SQRT(245),"")</f>
        <v/>
      </c>
      <c r="M1622" s="37" t="str">
        <f aca="false">IF(AND(ISNUMBER($G1622),$G1622&gt;=60),MAX(INDEX($D$1422:$D1622,202-60):$D1622),"")</f>
        <v/>
      </c>
      <c r="N1622" s="37" t="str">
        <f aca="false">IF(AND(ISNUMBER($G1622),$G1622&gt;=60),MIN(INDEX($E$1422:$E1622,202-60):$E1622),"")</f>
        <v/>
      </c>
      <c r="O1622" s="38" t="str">
        <f aca="false">IF(OR(NOT(ISNUMBER($C1622)),NOT(ISNUMBER($M1622)),$M1622=0),"",$C1622/$M1622-1)</f>
        <v/>
      </c>
    </row>
    <row r="1623" customFormat="false" ht="15" hidden="false" customHeight="true" outlineLevel="0" collapsed="false">
      <c r="A1623" s="39"/>
      <c r="B1623" s="40"/>
      <c r="C1623" s="41"/>
      <c r="D1623" s="40"/>
      <c r="E1623" s="40"/>
      <c r="F1623" s="40"/>
      <c r="G1623" s="35" t="str">
        <f aca="false">IF($A1623="","",IF(ISNUMBER($G1622),$G1622+1,1))</f>
        <v/>
      </c>
      <c r="H1623" s="36" t="str">
        <f aca="false">IF(OR(NOT(ISNUMBER($G1623)),$G1623&lt;2,NOT(ISNUMBER($C1622)),$C1622=0),"",$C1623/$C1622-1)</f>
        <v/>
      </c>
      <c r="I1623" s="37" t="str">
        <f aca="false">IF(AND(ISNUMBER($G1623),$G1623&gt;=MA_SHORT),AVERAGE(INDEX($C$1223:$C1623,402-MA_SHORT):$C1623),"")</f>
        <v/>
      </c>
      <c r="J1623" s="37" t="str">
        <f aca="false">IF(AND(ISNUMBER($G1623),$G1623&gt;=MA_MED),AVERAGE(INDEX($C$1223:$C1623,402-MA_MED):$C1623),"")</f>
        <v/>
      </c>
      <c r="K1623" s="37" t="str">
        <f aca="false">IF(AND(ISNUMBER($G1623),$G1623&gt;=MA_LONG2),AVERAGE(INDEX($C$1223:$C1623,402-MA_LONG2):$C1623),"")</f>
        <v/>
      </c>
      <c r="L1623" s="38" t="str">
        <f aca="false">IF(AND(ISNUMBER($G1623),$G1623&gt;=21),STDEV(INDEX($H$1563:$H1623,62-20):$H1623)*SQRT(245),"")</f>
        <v/>
      </c>
      <c r="M1623" s="37" t="str">
        <f aca="false">IF(AND(ISNUMBER($G1623),$G1623&gt;=60),MAX(INDEX($D$1423:$D1623,202-60):$D1623),"")</f>
        <v/>
      </c>
      <c r="N1623" s="37" t="str">
        <f aca="false">IF(AND(ISNUMBER($G1623),$G1623&gt;=60),MIN(INDEX($E$1423:$E1623,202-60):$E1623),"")</f>
        <v/>
      </c>
      <c r="O1623" s="38" t="str">
        <f aca="false">IF(OR(NOT(ISNUMBER($C1623)),NOT(ISNUMBER($M1623)),$M1623=0),"",$C1623/$M1623-1)</f>
        <v/>
      </c>
    </row>
    <row r="1624" customFormat="false" ht="15" hidden="false" customHeight="true" outlineLevel="0" collapsed="false">
      <c r="A1624" s="39"/>
      <c r="B1624" s="40"/>
      <c r="C1624" s="41"/>
      <c r="D1624" s="40"/>
      <c r="E1624" s="40"/>
      <c r="F1624" s="40"/>
      <c r="G1624" s="35" t="str">
        <f aca="false">IF($A1624="","",IF(ISNUMBER($G1623),$G1623+1,1))</f>
        <v/>
      </c>
      <c r="H1624" s="36" t="str">
        <f aca="false">IF(OR(NOT(ISNUMBER($G1624)),$G1624&lt;2,NOT(ISNUMBER($C1623)),$C1623=0),"",$C1624/$C1623-1)</f>
        <v/>
      </c>
      <c r="I1624" s="37" t="str">
        <f aca="false">IF(AND(ISNUMBER($G1624),$G1624&gt;=MA_SHORT),AVERAGE(INDEX($C$1224:$C1624,402-MA_SHORT):$C1624),"")</f>
        <v/>
      </c>
      <c r="J1624" s="37" t="str">
        <f aca="false">IF(AND(ISNUMBER($G1624),$G1624&gt;=MA_MED),AVERAGE(INDEX($C$1224:$C1624,402-MA_MED):$C1624),"")</f>
        <v/>
      </c>
      <c r="K1624" s="37" t="str">
        <f aca="false">IF(AND(ISNUMBER($G1624),$G1624&gt;=MA_LONG2),AVERAGE(INDEX($C$1224:$C1624,402-MA_LONG2):$C1624),"")</f>
        <v/>
      </c>
      <c r="L1624" s="38" t="str">
        <f aca="false">IF(AND(ISNUMBER($G1624),$G1624&gt;=21),STDEV(INDEX($H$1564:$H1624,62-20):$H1624)*SQRT(245),"")</f>
        <v/>
      </c>
      <c r="M1624" s="37" t="str">
        <f aca="false">IF(AND(ISNUMBER($G1624),$G1624&gt;=60),MAX(INDEX($D$1424:$D1624,202-60):$D1624),"")</f>
        <v/>
      </c>
      <c r="N1624" s="37" t="str">
        <f aca="false">IF(AND(ISNUMBER($G1624),$G1624&gt;=60),MIN(INDEX($E$1424:$E1624,202-60):$E1624),"")</f>
        <v/>
      </c>
      <c r="O1624" s="38" t="str">
        <f aca="false">IF(OR(NOT(ISNUMBER($C1624)),NOT(ISNUMBER($M1624)),$M1624=0),"",$C1624/$M1624-1)</f>
        <v/>
      </c>
    </row>
    <row r="1625" customFormat="false" ht="15" hidden="false" customHeight="true" outlineLevel="0" collapsed="false">
      <c r="A1625" s="39"/>
      <c r="B1625" s="40"/>
      <c r="C1625" s="41"/>
      <c r="D1625" s="40"/>
      <c r="E1625" s="40"/>
      <c r="F1625" s="40"/>
      <c r="G1625" s="35" t="str">
        <f aca="false">IF($A1625="","",IF(ISNUMBER($G1624),$G1624+1,1))</f>
        <v/>
      </c>
      <c r="H1625" s="36" t="str">
        <f aca="false">IF(OR(NOT(ISNUMBER($G1625)),$G1625&lt;2,NOT(ISNUMBER($C1624)),$C1624=0),"",$C1625/$C1624-1)</f>
        <v/>
      </c>
      <c r="I1625" s="37" t="str">
        <f aca="false">IF(AND(ISNUMBER($G1625),$G1625&gt;=MA_SHORT),AVERAGE(INDEX($C$1225:$C1625,402-MA_SHORT):$C1625),"")</f>
        <v/>
      </c>
      <c r="J1625" s="37" t="str">
        <f aca="false">IF(AND(ISNUMBER($G1625),$G1625&gt;=MA_MED),AVERAGE(INDEX($C$1225:$C1625,402-MA_MED):$C1625),"")</f>
        <v/>
      </c>
      <c r="K1625" s="37" t="str">
        <f aca="false">IF(AND(ISNUMBER($G1625),$G1625&gt;=MA_LONG2),AVERAGE(INDEX($C$1225:$C1625,402-MA_LONG2):$C1625),"")</f>
        <v/>
      </c>
      <c r="L1625" s="38" t="str">
        <f aca="false">IF(AND(ISNUMBER($G1625),$G1625&gt;=21),STDEV(INDEX($H$1565:$H1625,62-20):$H1625)*SQRT(245),"")</f>
        <v/>
      </c>
      <c r="M1625" s="37" t="str">
        <f aca="false">IF(AND(ISNUMBER($G1625),$G1625&gt;=60),MAX(INDEX($D$1425:$D1625,202-60):$D1625),"")</f>
        <v/>
      </c>
      <c r="N1625" s="37" t="str">
        <f aca="false">IF(AND(ISNUMBER($G1625),$G1625&gt;=60),MIN(INDEX($E$1425:$E1625,202-60):$E1625),"")</f>
        <v/>
      </c>
      <c r="O1625" s="38" t="str">
        <f aca="false">IF(OR(NOT(ISNUMBER($C1625)),NOT(ISNUMBER($M1625)),$M1625=0),"",$C1625/$M1625-1)</f>
        <v/>
      </c>
    </row>
    <row r="1626" customFormat="false" ht="15" hidden="false" customHeight="true" outlineLevel="0" collapsed="false">
      <c r="A1626" s="39"/>
      <c r="B1626" s="40"/>
      <c r="C1626" s="41"/>
      <c r="D1626" s="40"/>
      <c r="E1626" s="40"/>
      <c r="F1626" s="40"/>
      <c r="G1626" s="35" t="str">
        <f aca="false">IF($A1626="","",IF(ISNUMBER($G1625),$G1625+1,1))</f>
        <v/>
      </c>
      <c r="H1626" s="36" t="str">
        <f aca="false">IF(OR(NOT(ISNUMBER($G1626)),$G1626&lt;2,NOT(ISNUMBER($C1625)),$C1625=0),"",$C1626/$C1625-1)</f>
        <v/>
      </c>
      <c r="I1626" s="37" t="str">
        <f aca="false">IF(AND(ISNUMBER($G1626),$G1626&gt;=MA_SHORT),AVERAGE(INDEX($C$1226:$C1626,402-MA_SHORT):$C1626),"")</f>
        <v/>
      </c>
      <c r="J1626" s="37" t="str">
        <f aca="false">IF(AND(ISNUMBER($G1626),$G1626&gt;=MA_MED),AVERAGE(INDEX($C$1226:$C1626,402-MA_MED):$C1626),"")</f>
        <v/>
      </c>
      <c r="K1626" s="37" t="str">
        <f aca="false">IF(AND(ISNUMBER($G1626),$G1626&gt;=MA_LONG2),AVERAGE(INDEX($C$1226:$C1626,402-MA_LONG2):$C1626),"")</f>
        <v/>
      </c>
      <c r="L1626" s="38" t="str">
        <f aca="false">IF(AND(ISNUMBER($G1626),$G1626&gt;=21),STDEV(INDEX($H$1566:$H1626,62-20):$H1626)*SQRT(245),"")</f>
        <v/>
      </c>
      <c r="M1626" s="37" t="str">
        <f aca="false">IF(AND(ISNUMBER($G1626),$G1626&gt;=60),MAX(INDEX($D$1426:$D1626,202-60):$D1626),"")</f>
        <v/>
      </c>
      <c r="N1626" s="37" t="str">
        <f aca="false">IF(AND(ISNUMBER($G1626),$G1626&gt;=60),MIN(INDEX($E$1426:$E1626,202-60):$E1626),"")</f>
        <v/>
      </c>
      <c r="O1626" s="38" t="str">
        <f aca="false">IF(OR(NOT(ISNUMBER($C1626)),NOT(ISNUMBER($M1626)),$M1626=0),"",$C1626/$M1626-1)</f>
        <v/>
      </c>
    </row>
    <row r="1627" customFormat="false" ht="15" hidden="false" customHeight="true" outlineLevel="0" collapsed="false">
      <c r="A1627" s="39"/>
      <c r="B1627" s="40"/>
      <c r="C1627" s="41"/>
      <c r="D1627" s="40"/>
      <c r="E1627" s="40"/>
      <c r="F1627" s="40"/>
      <c r="G1627" s="35" t="str">
        <f aca="false">IF($A1627="","",IF(ISNUMBER($G1626),$G1626+1,1))</f>
        <v/>
      </c>
      <c r="H1627" s="36" t="str">
        <f aca="false">IF(OR(NOT(ISNUMBER($G1627)),$G1627&lt;2,NOT(ISNUMBER($C1626)),$C1626=0),"",$C1627/$C1626-1)</f>
        <v/>
      </c>
      <c r="I1627" s="37" t="str">
        <f aca="false">IF(AND(ISNUMBER($G1627),$G1627&gt;=MA_SHORT),AVERAGE(INDEX($C$1227:$C1627,402-MA_SHORT):$C1627),"")</f>
        <v/>
      </c>
      <c r="J1627" s="37" t="str">
        <f aca="false">IF(AND(ISNUMBER($G1627),$G1627&gt;=MA_MED),AVERAGE(INDEX($C$1227:$C1627,402-MA_MED):$C1627),"")</f>
        <v/>
      </c>
      <c r="K1627" s="37" t="str">
        <f aca="false">IF(AND(ISNUMBER($G1627),$G1627&gt;=MA_LONG2),AVERAGE(INDEX($C$1227:$C1627,402-MA_LONG2):$C1627),"")</f>
        <v/>
      </c>
      <c r="L1627" s="38" t="str">
        <f aca="false">IF(AND(ISNUMBER($G1627),$G1627&gt;=21),STDEV(INDEX($H$1567:$H1627,62-20):$H1627)*SQRT(245),"")</f>
        <v/>
      </c>
      <c r="M1627" s="37" t="str">
        <f aca="false">IF(AND(ISNUMBER($G1627),$G1627&gt;=60),MAX(INDEX($D$1427:$D1627,202-60):$D1627),"")</f>
        <v/>
      </c>
      <c r="N1627" s="37" t="str">
        <f aca="false">IF(AND(ISNUMBER($G1627),$G1627&gt;=60),MIN(INDEX($E$1427:$E1627,202-60):$E1627),"")</f>
        <v/>
      </c>
      <c r="O1627" s="38" t="str">
        <f aca="false">IF(OR(NOT(ISNUMBER($C1627)),NOT(ISNUMBER($M1627)),$M1627=0),"",$C1627/$M1627-1)</f>
        <v/>
      </c>
    </row>
    <row r="1628" customFormat="false" ht="15" hidden="false" customHeight="true" outlineLevel="0" collapsed="false">
      <c r="A1628" s="39"/>
      <c r="B1628" s="40"/>
      <c r="C1628" s="41"/>
      <c r="D1628" s="40"/>
      <c r="E1628" s="40"/>
      <c r="F1628" s="40"/>
      <c r="G1628" s="35" t="str">
        <f aca="false">IF($A1628="","",IF(ISNUMBER($G1627),$G1627+1,1))</f>
        <v/>
      </c>
      <c r="H1628" s="36" t="str">
        <f aca="false">IF(OR(NOT(ISNUMBER($G1628)),$G1628&lt;2,NOT(ISNUMBER($C1627)),$C1627=0),"",$C1628/$C1627-1)</f>
        <v/>
      </c>
      <c r="I1628" s="37" t="str">
        <f aca="false">IF(AND(ISNUMBER($G1628),$G1628&gt;=MA_SHORT),AVERAGE(INDEX($C$1228:$C1628,402-MA_SHORT):$C1628),"")</f>
        <v/>
      </c>
      <c r="J1628" s="37" t="str">
        <f aca="false">IF(AND(ISNUMBER($G1628),$G1628&gt;=MA_MED),AVERAGE(INDEX($C$1228:$C1628,402-MA_MED):$C1628),"")</f>
        <v/>
      </c>
      <c r="K1628" s="37" t="str">
        <f aca="false">IF(AND(ISNUMBER($G1628),$G1628&gt;=MA_LONG2),AVERAGE(INDEX($C$1228:$C1628,402-MA_LONG2):$C1628),"")</f>
        <v/>
      </c>
      <c r="L1628" s="38" t="str">
        <f aca="false">IF(AND(ISNUMBER($G1628),$G1628&gt;=21),STDEV(INDEX($H$1568:$H1628,62-20):$H1628)*SQRT(245),"")</f>
        <v/>
      </c>
      <c r="M1628" s="37" t="str">
        <f aca="false">IF(AND(ISNUMBER($G1628),$G1628&gt;=60),MAX(INDEX($D$1428:$D1628,202-60):$D1628),"")</f>
        <v/>
      </c>
      <c r="N1628" s="37" t="str">
        <f aca="false">IF(AND(ISNUMBER($G1628),$G1628&gt;=60),MIN(INDEX($E$1428:$E1628,202-60):$E1628),"")</f>
        <v/>
      </c>
      <c r="O1628" s="38" t="str">
        <f aca="false">IF(OR(NOT(ISNUMBER($C1628)),NOT(ISNUMBER($M1628)),$M1628=0),"",$C1628/$M1628-1)</f>
        <v/>
      </c>
    </row>
    <row r="1629" customFormat="false" ht="15" hidden="false" customHeight="true" outlineLevel="0" collapsed="false">
      <c r="A1629" s="39"/>
      <c r="B1629" s="40"/>
      <c r="C1629" s="41"/>
      <c r="D1629" s="40"/>
      <c r="E1629" s="40"/>
      <c r="F1629" s="40"/>
      <c r="G1629" s="35" t="str">
        <f aca="false">IF($A1629="","",IF(ISNUMBER($G1628),$G1628+1,1))</f>
        <v/>
      </c>
      <c r="H1629" s="36" t="str">
        <f aca="false">IF(OR(NOT(ISNUMBER($G1629)),$G1629&lt;2,NOT(ISNUMBER($C1628)),$C1628=0),"",$C1629/$C1628-1)</f>
        <v/>
      </c>
      <c r="I1629" s="37" t="str">
        <f aca="false">IF(AND(ISNUMBER($G1629),$G1629&gt;=MA_SHORT),AVERAGE(INDEX($C$1229:$C1629,402-MA_SHORT):$C1629),"")</f>
        <v/>
      </c>
      <c r="J1629" s="37" t="str">
        <f aca="false">IF(AND(ISNUMBER($G1629),$G1629&gt;=MA_MED),AVERAGE(INDEX($C$1229:$C1629,402-MA_MED):$C1629),"")</f>
        <v/>
      </c>
      <c r="K1629" s="37" t="str">
        <f aca="false">IF(AND(ISNUMBER($G1629),$G1629&gt;=MA_LONG2),AVERAGE(INDEX($C$1229:$C1629,402-MA_LONG2):$C1629),"")</f>
        <v/>
      </c>
      <c r="L1629" s="38" t="str">
        <f aca="false">IF(AND(ISNUMBER($G1629),$G1629&gt;=21),STDEV(INDEX($H$1569:$H1629,62-20):$H1629)*SQRT(245),"")</f>
        <v/>
      </c>
      <c r="M1629" s="37" t="str">
        <f aca="false">IF(AND(ISNUMBER($G1629),$G1629&gt;=60),MAX(INDEX($D$1429:$D1629,202-60):$D1629),"")</f>
        <v/>
      </c>
      <c r="N1629" s="37" t="str">
        <f aca="false">IF(AND(ISNUMBER($G1629),$G1629&gt;=60),MIN(INDEX($E$1429:$E1629,202-60):$E1629),"")</f>
        <v/>
      </c>
      <c r="O1629" s="38" t="str">
        <f aca="false">IF(OR(NOT(ISNUMBER($C1629)),NOT(ISNUMBER($M1629)),$M1629=0),"",$C1629/$M1629-1)</f>
        <v/>
      </c>
    </row>
    <row r="1630" customFormat="false" ht="15" hidden="false" customHeight="true" outlineLevel="0" collapsed="false">
      <c r="A1630" s="39"/>
      <c r="B1630" s="40"/>
      <c r="C1630" s="41"/>
      <c r="D1630" s="40"/>
      <c r="E1630" s="40"/>
      <c r="F1630" s="40"/>
      <c r="G1630" s="35" t="str">
        <f aca="false">IF($A1630="","",IF(ISNUMBER($G1629),$G1629+1,1))</f>
        <v/>
      </c>
      <c r="H1630" s="36" t="str">
        <f aca="false">IF(OR(NOT(ISNUMBER($G1630)),$G1630&lt;2,NOT(ISNUMBER($C1629)),$C1629=0),"",$C1630/$C1629-1)</f>
        <v/>
      </c>
      <c r="I1630" s="37" t="str">
        <f aca="false">IF(AND(ISNUMBER($G1630),$G1630&gt;=MA_SHORT),AVERAGE(INDEX($C$1230:$C1630,402-MA_SHORT):$C1630),"")</f>
        <v/>
      </c>
      <c r="J1630" s="37" t="str">
        <f aca="false">IF(AND(ISNUMBER($G1630),$G1630&gt;=MA_MED),AVERAGE(INDEX($C$1230:$C1630,402-MA_MED):$C1630),"")</f>
        <v/>
      </c>
      <c r="K1630" s="37" t="str">
        <f aca="false">IF(AND(ISNUMBER($G1630),$G1630&gt;=MA_LONG2),AVERAGE(INDEX($C$1230:$C1630,402-MA_LONG2):$C1630),"")</f>
        <v/>
      </c>
      <c r="L1630" s="38" t="str">
        <f aca="false">IF(AND(ISNUMBER($G1630),$G1630&gt;=21),STDEV(INDEX($H$1570:$H1630,62-20):$H1630)*SQRT(245),"")</f>
        <v/>
      </c>
      <c r="M1630" s="37" t="str">
        <f aca="false">IF(AND(ISNUMBER($G1630),$G1630&gt;=60),MAX(INDEX($D$1430:$D1630,202-60):$D1630),"")</f>
        <v/>
      </c>
      <c r="N1630" s="37" t="str">
        <f aca="false">IF(AND(ISNUMBER($G1630),$G1630&gt;=60),MIN(INDEX($E$1430:$E1630,202-60):$E1630),"")</f>
        <v/>
      </c>
      <c r="O1630" s="38" t="str">
        <f aca="false">IF(OR(NOT(ISNUMBER($C1630)),NOT(ISNUMBER($M1630)),$M1630=0),"",$C1630/$M1630-1)</f>
        <v/>
      </c>
    </row>
    <row r="1631" customFormat="false" ht="15" hidden="false" customHeight="true" outlineLevel="0" collapsed="false">
      <c r="A1631" s="39"/>
      <c r="B1631" s="40"/>
      <c r="C1631" s="41"/>
      <c r="D1631" s="40"/>
      <c r="E1631" s="40"/>
      <c r="F1631" s="40"/>
      <c r="G1631" s="35" t="str">
        <f aca="false">IF($A1631="","",IF(ISNUMBER($G1630),$G1630+1,1))</f>
        <v/>
      </c>
      <c r="H1631" s="36" t="str">
        <f aca="false">IF(OR(NOT(ISNUMBER($G1631)),$G1631&lt;2,NOT(ISNUMBER($C1630)),$C1630=0),"",$C1631/$C1630-1)</f>
        <v/>
      </c>
      <c r="I1631" s="37" t="str">
        <f aca="false">IF(AND(ISNUMBER($G1631),$G1631&gt;=MA_SHORT),AVERAGE(INDEX($C$1231:$C1631,402-MA_SHORT):$C1631),"")</f>
        <v/>
      </c>
      <c r="J1631" s="37" t="str">
        <f aca="false">IF(AND(ISNUMBER($G1631),$G1631&gt;=MA_MED),AVERAGE(INDEX($C$1231:$C1631,402-MA_MED):$C1631),"")</f>
        <v/>
      </c>
      <c r="K1631" s="37" t="str">
        <f aca="false">IF(AND(ISNUMBER($G1631),$G1631&gt;=MA_LONG2),AVERAGE(INDEX($C$1231:$C1631,402-MA_LONG2):$C1631),"")</f>
        <v/>
      </c>
      <c r="L1631" s="38" t="str">
        <f aca="false">IF(AND(ISNUMBER($G1631),$G1631&gt;=21),STDEV(INDEX($H$1571:$H1631,62-20):$H1631)*SQRT(245),"")</f>
        <v/>
      </c>
      <c r="M1631" s="37" t="str">
        <f aca="false">IF(AND(ISNUMBER($G1631),$G1631&gt;=60),MAX(INDEX($D$1431:$D1631,202-60):$D1631),"")</f>
        <v/>
      </c>
      <c r="N1631" s="37" t="str">
        <f aca="false">IF(AND(ISNUMBER($G1631),$G1631&gt;=60),MIN(INDEX($E$1431:$E1631,202-60):$E1631),"")</f>
        <v/>
      </c>
      <c r="O1631" s="38" t="str">
        <f aca="false">IF(OR(NOT(ISNUMBER($C1631)),NOT(ISNUMBER($M1631)),$M1631=0),"",$C1631/$M1631-1)</f>
        <v/>
      </c>
    </row>
    <row r="1632" customFormat="false" ht="15" hidden="false" customHeight="true" outlineLevel="0" collapsed="false">
      <c r="A1632" s="39"/>
      <c r="B1632" s="40"/>
      <c r="C1632" s="41"/>
      <c r="D1632" s="40"/>
      <c r="E1632" s="40"/>
      <c r="F1632" s="40"/>
      <c r="G1632" s="35" t="str">
        <f aca="false">IF($A1632="","",IF(ISNUMBER($G1631),$G1631+1,1))</f>
        <v/>
      </c>
      <c r="H1632" s="36" t="str">
        <f aca="false">IF(OR(NOT(ISNUMBER($G1632)),$G1632&lt;2,NOT(ISNUMBER($C1631)),$C1631=0),"",$C1632/$C1631-1)</f>
        <v/>
      </c>
      <c r="I1632" s="37" t="str">
        <f aca="false">IF(AND(ISNUMBER($G1632),$G1632&gt;=MA_SHORT),AVERAGE(INDEX($C$1232:$C1632,402-MA_SHORT):$C1632),"")</f>
        <v/>
      </c>
      <c r="J1632" s="37" t="str">
        <f aca="false">IF(AND(ISNUMBER($G1632),$G1632&gt;=MA_MED),AVERAGE(INDEX($C$1232:$C1632,402-MA_MED):$C1632),"")</f>
        <v/>
      </c>
      <c r="K1632" s="37" t="str">
        <f aca="false">IF(AND(ISNUMBER($G1632),$G1632&gt;=MA_LONG2),AVERAGE(INDEX($C$1232:$C1632,402-MA_LONG2):$C1632),"")</f>
        <v/>
      </c>
      <c r="L1632" s="38" t="str">
        <f aca="false">IF(AND(ISNUMBER($G1632),$G1632&gt;=21),STDEV(INDEX($H$1572:$H1632,62-20):$H1632)*SQRT(245),"")</f>
        <v/>
      </c>
      <c r="M1632" s="37" t="str">
        <f aca="false">IF(AND(ISNUMBER($G1632),$G1632&gt;=60),MAX(INDEX($D$1432:$D1632,202-60):$D1632),"")</f>
        <v/>
      </c>
      <c r="N1632" s="37" t="str">
        <f aca="false">IF(AND(ISNUMBER($G1632),$G1632&gt;=60),MIN(INDEX($E$1432:$E1632,202-60):$E1632),"")</f>
        <v/>
      </c>
      <c r="O1632" s="38" t="str">
        <f aca="false">IF(OR(NOT(ISNUMBER($C1632)),NOT(ISNUMBER($M1632)),$M1632=0),"",$C1632/$M1632-1)</f>
        <v/>
      </c>
    </row>
    <row r="1633" customFormat="false" ht="15" hidden="false" customHeight="true" outlineLevel="0" collapsed="false">
      <c r="A1633" s="39"/>
      <c r="B1633" s="40"/>
      <c r="C1633" s="41"/>
      <c r="D1633" s="40"/>
      <c r="E1633" s="40"/>
      <c r="F1633" s="40"/>
      <c r="G1633" s="35" t="str">
        <f aca="false">IF($A1633="","",IF(ISNUMBER($G1632),$G1632+1,1))</f>
        <v/>
      </c>
      <c r="H1633" s="36" t="str">
        <f aca="false">IF(OR(NOT(ISNUMBER($G1633)),$G1633&lt;2,NOT(ISNUMBER($C1632)),$C1632=0),"",$C1633/$C1632-1)</f>
        <v/>
      </c>
      <c r="I1633" s="37" t="str">
        <f aca="false">IF(AND(ISNUMBER($G1633),$G1633&gt;=MA_SHORT),AVERAGE(INDEX($C$1233:$C1633,402-MA_SHORT):$C1633),"")</f>
        <v/>
      </c>
      <c r="J1633" s="37" t="str">
        <f aca="false">IF(AND(ISNUMBER($G1633),$G1633&gt;=MA_MED),AVERAGE(INDEX($C$1233:$C1633,402-MA_MED):$C1633),"")</f>
        <v/>
      </c>
      <c r="K1633" s="37" t="str">
        <f aca="false">IF(AND(ISNUMBER($G1633),$G1633&gt;=MA_LONG2),AVERAGE(INDEX($C$1233:$C1633,402-MA_LONG2):$C1633),"")</f>
        <v/>
      </c>
      <c r="L1633" s="38" t="str">
        <f aca="false">IF(AND(ISNUMBER($G1633),$G1633&gt;=21),STDEV(INDEX($H$1573:$H1633,62-20):$H1633)*SQRT(245),"")</f>
        <v/>
      </c>
      <c r="M1633" s="37" t="str">
        <f aca="false">IF(AND(ISNUMBER($G1633),$G1633&gt;=60),MAX(INDEX($D$1433:$D1633,202-60):$D1633),"")</f>
        <v/>
      </c>
      <c r="N1633" s="37" t="str">
        <f aca="false">IF(AND(ISNUMBER($G1633),$G1633&gt;=60),MIN(INDEX($E$1433:$E1633,202-60):$E1633),"")</f>
        <v/>
      </c>
      <c r="O1633" s="38" t="str">
        <f aca="false">IF(OR(NOT(ISNUMBER($C1633)),NOT(ISNUMBER($M1633)),$M1633=0),"",$C1633/$M1633-1)</f>
        <v/>
      </c>
    </row>
    <row r="1634" customFormat="false" ht="15" hidden="false" customHeight="true" outlineLevel="0" collapsed="false">
      <c r="A1634" s="39"/>
      <c r="B1634" s="40"/>
      <c r="C1634" s="41"/>
      <c r="D1634" s="40"/>
      <c r="E1634" s="40"/>
      <c r="F1634" s="40"/>
      <c r="G1634" s="35" t="str">
        <f aca="false">IF($A1634="","",IF(ISNUMBER($G1633),$G1633+1,1))</f>
        <v/>
      </c>
      <c r="H1634" s="36" t="str">
        <f aca="false">IF(OR(NOT(ISNUMBER($G1634)),$G1634&lt;2,NOT(ISNUMBER($C1633)),$C1633=0),"",$C1634/$C1633-1)</f>
        <v/>
      </c>
      <c r="I1634" s="37" t="str">
        <f aca="false">IF(AND(ISNUMBER($G1634),$G1634&gt;=MA_SHORT),AVERAGE(INDEX($C$1234:$C1634,402-MA_SHORT):$C1634),"")</f>
        <v/>
      </c>
      <c r="J1634" s="37" t="str">
        <f aca="false">IF(AND(ISNUMBER($G1634),$G1634&gt;=MA_MED),AVERAGE(INDEX($C$1234:$C1634,402-MA_MED):$C1634),"")</f>
        <v/>
      </c>
      <c r="K1634" s="37" t="str">
        <f aca="false">IF(AND(ISNUMBER($G1634),$G1634&gt;=MA_LONG2),AVERAGE(INDEX($C$1234:$C1634,402-MA_LONG2):$C1634),"")</f>
        <v/>
      </c>
      <c r="L1634" s="38" t="str">
        <f aca="false">IF(AND(ISNUMBER($G1634),$G1634&gt;=21),STDEV(INDEX($H$1574:$H1634,62-20):$H1634)*SQRT(245),"")</f>
        <v/>
      </c>
      <c r="M1634" s="37" t="str">
        <f aca="false">IF(AND(ISNUMBER($G1634),$G1634&gt;=60),MAX(INDEX($D$1434:$D1634,202-60):$D1634),"")</f>
        <v/>
      </c>
      <c r="N1634" s="37" t="str">
        <f aca="false">IF(AND(ISNUMBER($G1634),$G1634&gt;=60),MIN(INDEX($E$1434:$E1634,202-60):$E1634),"")</f>
        <v/>
      </c>
      <c r="O1634" s="38" t="str">
        <f aca="false">IF(OR(NOT(ISNUMBER($C1634)),NOT(ISNUMBER($M1634)),$M1634=0),"",$C1634/$M1634-1)</f>
        <v/>
      </c>
    </row>
    <row r="1635" customFormat="false" ht="15" hidden="false" customHeight="true" outlineLevel="0" collapsed="false">
      <c r="A1635" s="39"/>
      <c r="B1635" s="40"/>
      <c r="C1635" s="41"/>
      <c r="D1635" s="40"/>
      <c r="E1635" s="40"/>
      <c r="F1635" s="40"/>
      <c r="G1635" s="35" t="str">
        <f aca="false">IF($A1635="","",IF(ISNUMBER($G1634),$G1634+1,1))</f>
        <v/>
      </c>
      <c r="H1635" s="36" t="str">
        <f aca="false">IF(OR(NOT(ISNUMBER($G1635)),$G1635&lt;2,NOT(ISNUMBER($C1634)),$C1634=0),"",$C1635/$C1634-1)</f>
        <v/>
      </c>
      <c r="I1635" s="37" t="str">
        <f aca="false">IF(AND(ISNUMBER($G1635),$G1635&gt;=MA_SHORT),AVERAGE(INDEX($C$1235:$C1635,402-MA_SHORT):$C1635),"")</f>
        <v/>
      </c>
      <c r="J1635" s="37" t="str">
        <f aca="false">IF(AND(ISNUMBER($G1635),$G1635&gt;=MA_MED),AVERAGE(INDEX($C$1235:$C1635,402-MA_MED):$C1635),"")</f>
        <v/>
      </c>
      <c r="K1635" s="37" t="str">
        <f aca="false">IF(AND(ISNUMBER($G1635),$G1635&gt;=MA_LONG2),AVERAGE(INDEX($C$1235:$C1635,402-MA_LONG2):$C1635),"")</f>
        <v/>
      </c>
      <c r="L1635" s="38" t="str">
        <f aca="false">IF(AND(ISNUMBER($G1635),$G1635&gt;=21),STDEV(INDEX($H$1575:$H1635,62-20):$H1635)*SQRT(245),"")</f>
        <v/>
      </c>
      <c r="M1635" s="37" t="str">
        <f aca="false">IF(AND(ISNUMBER($G1635),$G1635&gt;=60),MAX(INDEX($D$1435:$D1635,202-60):$D1635),"")</f>
        <v/>
      </c>
      <c r="N1635" s="37" t="str">
        <f aca="false">IF(AND(ISNUMBER($G1635),$G1635&gt;=60),MIN(INDEX($E$1435:$E1635,202-60):$E1635),"")</f>
        <v/>
      </c>
      <c r="O1635" s="38" t="str">
        <f aca="false">IF(OR(NOT(ISNUMBER($C1635)),NOT(ISNUMBER($M1635)),$M1635=0),"",$C1635/$M1635-1)</f>
        <v/>
      </c>
    </row>
    <row r="1636" customFormat="false" ht="15" hidden="false" customHeight="true" outlineLevel="0" collapsed="false">
      <c r="A1636" s="39"/>
      <c r="B1636" s="40"/>
      <c r="C1636" s="41"/>
      <c r="D1636" s="40"/>
      <c r="E1636" s="40"/>
      <c r="F1636" s="40"/>
      <c r="G1636" s="35" t="str">
        <f aca="false">IF($A1636="","",IF(ISNUMBER($G1635),$G1635+1,1))</f>
        <v/>
      </c>
      <c r="H1636" s="36" t="str">
        <f aca="false">IF(OR(NOT(ISNUMBER($G1636)),$G1636&lt;2,NOT(ISNUMBER($C1635)),$C1635=0),"",$C1636/$C1635-1)</f>
        <v/>
      </c>
      <c r="I1636" s="37" t="str">
        <f aca="false">IF(AND(ISNUMBER($G1636),$G1636&gt;=MA_SHORT),AVERAGE(INDEX($C$1236:$C1636,402-MA_SHORT):$C1636),"")</f>
        <v/>
      </c>
      <c r="J1636" s="37" t="str">
        <f aca="false">IF(AND(ISNUMBER($G1636),$G1636&gt;=MA_MED),AVERAGE(INDEX($C$1236:$C1636,402-MA_MED):$C1636),"")</f>
        <v/>
      </c>
      <c r="K1636" s="37" t="str">
        <f aca="false">IF(AND(ISNUMBER($G1636),$G1636&gt;=MA_LONG2),AVERAGE(INDEX($C$1236:$C1636,402-MA_LONG2):$C1636),"")</f>
        <v/>
      </c>
      <c r="L1636" s="38" t="str">
        <f aca="false">IF(AND(ISNUMBER($G1636),$G1636&gt;=21),STDEV(INDEX($H$1576:$H1636,62-20):$H1636)*SQRT(245),"")</f>
        <v/>
      </c>
      <c r="M1636" s="37" t="str">
        <f aca="false">IF(AND(ISNUMBER($G1636),$G1636&gt;=60),MAX(INDEX($D$1436:$D1636,202-60):$D1636),"")</f>
        <v/>
      </c>
      <c r="N1636" s="37" t="str">
        <f aca="false">IF(AND(ISNUMBER($G1636),$G1636&gt;=60),MIN(INDEX($E$1436:$E1636,202-60):$E1636),"")</f>
        <v/>
      </c>
      <c r="O1636" s="38" t="str">
        <f aca="false">IF(OR(NOT(ISNUMBER($C1636)),NOT(ISNUMBER($M1636)),$M1636=0),"",$C1636/$M1636-1)</f>
        <v/>
      </c>
    </row>
    <row r="1637" customFormat="false" ht="15" hidden="false" customHeight="true" outlineLevel="0" collapsed="false">
      <c r="A1637" s="39"/>
      <c r="B1637" s="40"/>
      <c r="C1637" s="41"/>
      <c r="D1637" s="40"/>
      <c r="E1637" s="40"/>
      <c r="F1637" s="40"/>
      <c r="G1637" s="35" t="str">
        <f aca="false">IF($A1637="","",IF(ISNUMBER($G1636),$G1636+1,1))</f>
        <v/>
      </c>
      <c r="H1637" s="36" t="str">
        <f aca="false">IF(OR(NOT(ISNUMBER($G1637)),$G1637&lt;2,NOT(ISNUMBER($C1636)),$C1636=0),"",$C1637/$C1636-1)</f>
        <v/>
      </c>
      <c r="I1637" s="37" t="str">
        <f aca="false">IF(AND(ISNUMBER($G1637),$G1637&gt;=MA_SHORT),AVERAGE(INDEX($C$1237:$C1637,402-MA_SHORT):$C1637),"")</f>
        <v/>
      </c>
      <c r="J1637" s="37" t="str">
        <f aca="false">IF(AND(ISNUMBER($G1637),$G1637&gt;=MA_MED),AVERAGE(INDEX($C$1237:$C1637,402-MA_MED):$C1637),"")</f>
        <v/>
      </c>
      <c r="K1637" s="37" t="str">
        <f aca="false">IF(AND(ISNUMBER($G1637),$G1637&gt;=MA_LONG2),AVERAGE(INDEX($C$1237:$C1637,402-MA_LONG2):$C1637),"")</f>
        <v/>
      </c>
      <c r="L1637" s="38" t="str">
        <f aca="false">IF(AND(ISNUMBER($G1637),$G1637&gt;=21),STDEV(INDEX($H$1577:$H1637,62-20):$H1637)*SQRT(245),"")</f>
        <v/>
      </c>
      <c r="M1637" s="37" t="str">
        <f aca="false">IF(AND(ISNUMBER($G1637),$G1637&gt;=60),MAX(INDEX($D$1437:$D1637,202-60):$D1637),"")</f>
        <v/>
      </c>
      <c r="N1637" s="37" t="str">
        <f aca="false">IF(AND(ISNUMBER($G1637),$G1637&gt;=60),MIN(INDEX($E$1437:$E1637,202-60):$E1637),"")</f>
        <v/>
      </c>
      <c r="O1637" s="38" t="str">
        <f aca="false">IF(OR(NOT(ISNUMBER($C1637)),NOT(ISNUMBER($M1637)),$M1637=0),"",$C1637/$M1637-1)</f>
        <v/>
      </c>
    </row>
    <row r="1638" customFormat="false" ht="15" hidden="false" customHeight="true" outlineLevel="0" collapsed="false">
      <c r="A1638" s="39"/>
      <c r="B1638" s="40"/>
      <c r="C1638" s="41"/>
      <c r="D1638" s="40"/>
      <c r="E1638" s="40"/>
      <c r="F1638" s="40"/>
      <c r="G1638" s="35" t="str">
        <f aca="false">IF($A1638="","",IF(ISNUMBER($G1637),$G1637+1,1))</f>
        <v/>
      </c>
      <c r="H1638" s="36" t="str">
        <f aca="false">IF(OR(NOT(ISNUMBER($G1638)),$G1638&lt;2,NOT(ISNUMBER($C1637)),$C1637=0),"",$C1638/$C1637-1)</f>
        <v/>
      </c>
      <c r="I1638" s="37" t="str">
        <f aca="false">IF(AND(ISNUMBER($G1638),$G1638&gt;=MA_SHORT),AVERAGE(INDEX($C$1238:$C1638,402-MA_SHORT):$C1638),"")</f>
        <v/>
      </c>
      <c r="J1638" s="37" t="str">
        <f aca="false">IF(AND(ISNUMBER($G1638),$G1638&gt;=MA_MED),AVERAGE(INDEX($C$1238:$C1638,402-MA_MED):$C1638),"")</f>
        <v/>
      </c>
      <c r="K1638" s="37" t="str">
        <f aca="false">IF(AND(ISNUMBER($G1638),$G1638&gt;=MA_LONG2),AVERAGE(INDEX($C$1238:$C1638,402-MA_LONG2):$C1638),"")</f>
        <v/>
      </c>
      <c r="L1638" s="38" t="str">
        <f aca="false">IF(AND(ISNUMBER($G1638),$G1638&gt;=21),STDEV(INDEX($H$1578:$H1638,62-20):$H1638)*SQRT(245),"")</f>
        <v/>
      </c>
      <c r="M1638" s="37" t="str">
        <f aca="false">IF(AND(ISNUMBER($G1638),$G1638&gt;=60),MAX(INDEX($D$1438:$D1638,202-60):$D1638),"")</f>
        <v/>
      </c>
      <c r="N1638" s="37" t="str">
        <f aca="false">IF(AND(ISNUMBER($G1638),$G1638&gt;=60),MIN(INDEX($E$1438:$E1638,202-60):$E1638),"")</f>
        <v/>
      </c>
      <c r="O1638" s="38" t="str">
        <f aca="false">IF(OR(NOT(ISNUMBER($C1638)),NOT(ISNUMBER($M1638)),$M1638=0),"",$C1638/$M1638-1)</f>
        <v/>
      </c>
    </row>
    <row r="1639" customFormat="false" ht="15" hidden="false" customHeight="true" outlineLevel="0" collapsed="false">
      <c r="A1639" s="39"/>
      <c r="B1639" s="40"/>
      <c r="C1639" s="41"/>
      <c r="D1639" s="40"/>
      <c r="E1639" s="40"/>
      <c r="F1639" s="40"/>
      <c r="G1639" s="35" t="str">
        <f aca="false">IF($A1639="","",IF(ISNUMBER($G1638),$G1638+1,1))</f>
        <v/>
      </c>
      <c r="H1639" s="36" t="str">
        <f aca="false">IF(OR(NOT(ISNUMBER($G1639)),$G1639&lt;2,NOT(ISNUMBER($C1638)),$C1638=0),"",$C1639/$C1638-1)</f>
        <v/>
      </c>
      <c r="I1639" s="37" t="str">
        <f aca="false">IF(AND(ISNUMBER($G1639),$G1639&gt;=MA_SHORT),AVERAGE(INDEX($C$1239:$C1639,402-MA_SHORT):$C1639),"")</f>
        <v/>
      </c>
      <c r="J1639" s="37" t="str">
        <f aca="false">IF(AND(ISNUMBER($G1639),$G1639&gt;=MA_MED),AVERAGE(INDEX($C$1239:$C1639,402-MA_MED):$C1639),"")</f>
        <v/>
      </c>
      <c r="K1639" s="37" t="str">
        <f aca="false">IF(AND(ISNUMBER($G1639),$G1639&gt;=MA_LONG2),AVERAGE(INDEX($C$1239:$C1639,402-MA_LONG2):$C1639),"")</f>
        <v/>
      </c>
      <c r="L1639" s="38" t="str">
        <f aca="false">IF(AND(ISNUMBER($G1639),$G1639&gt;=21),STDEV(INDEX($H$1579:$H1639,62-20):$H1639)*SQRT(245),"")</f>
        <v/>
      </c>
      <c r="M1639" s="37" t="str">
        <f aca="false">IF(AND(ISNUMBER($G1639),$G1639&gt;=60),MAX(INDEX($D$1439:$D1639,202-60):$D1639),"")</f>
        <v/>
      </c>
      <c r="N1639" s="37" t="str">
        <f aca="false">IF(AND(ISNUMBER($G1639),$G1639&gt;=60),MIN(INDEX($E$1439:$E1639,202-60):$E1639),"")</f>
        <v/>
      </c>
      <c r="O1639" s="38" t="str">
        <f aca="false">IF(OR(NOT(ISNUMBER($C1639)),NOT(ISNUMBER($M1639)),$M1639=0),"",$C1639/$M1639-1)</f>
        <v/>
      </c>
    </row>
    <row r="1640" customFormat="false" ht="15" hidden="false" customHeight="true" outlineLevel="0" collapsed="false">
      <c r="A1640" s="39"/>
      <c r="B1640" s="40"/>
      <c r="C1640" s="41"/>
      <c r="D1640" s="40"/>
      <c r="E1640" s="40"/>
      <c r="F1640" s="40"/>
      <c r="G1640" s="35" t="str">
        <f aca="false">IF($A1640="","",IF(ISNUMBER($G1639),$G1639+1,1))</f>
        <v/>
      </c>
      <c r="H1640" s="36" t="str">
        <f aca="false">IF(OR(NOT(ISNUMBER($G1640)),$G1640&lt;2,NOT(ISNUMBER($C1639)),$C1639=0),"",$C1640/$C1639-1)</f>
        <v/>
      </c>
      <c r="I1640" s="37" t="str">
        <f aca="false">IF(AND(ISNUMBER($G1640),$G1640&gt;=MA_SHORT),AVERAGE(INDEX($C$1240:$C1640,402-MA_SHORT):$C1640),"")</f>
        <v/>
      </c>
      <c r="J1640" s="37" t="str">
        <f aca="false">IF(AND(ISNUMBER($G1640),$G1640&gt;=MA_MED),AVERAGE(INDEX($C$1240:$C1640,402-MA_MED):$C1640),"")</f>
        <v/>
      </c>
      <c r="K1640" s="37" t="str">
        <f aca="false">IF(AND(ISNUMBER($G1640),$G1640&gt;=MA_LONG2),AVERAGE(INDEX($C$1240:$C1640,402-MA_LONG2):$C1640),"")</f>
        <v/>
      </c>
      <c r="L1640" s="38" t="str">
        <f aca="false">IF(AND(ISNUMBER($G1640),$G1640&gt;=21),STDEV(INDEX($H$1580:$H1640,62-20):$H1640)*SQRT(245),"")</f>
        <v/>
      </c>
      <c r="M1640" s="37" t="str">
        <f aca="false">IF(AND(ISNUMBER($G1640),$G1640&gt;=60),MAX(INDEX($D$1440:$D1640,202-60):$D1640),"")</f>
        <v/>
      </c>
      <c r="N1640" s="37" t="str">
        <f aca="false">IF(AND(ISNUMBER($G1640),$G1640&gt;=60),MIN(INDEX($E$1440:$E1640,202-60):$E1640),"")</f>
        <v/>
      </c>
      <c r="O1640" s="38" t="str">
        <f aca="false">IF(OR(NOT(ISNUMBER($C1640)),NOT(ISNUMBER($M1640)),$M1640=0),"",$C1640/$M1640-1)</f>
        <v/>
      </c>
    </row>
    <row r="1641" customFormat="false" ht="15" hidden="false" customHeight="true" outlineLevel="0" collapsed="false">
      <c r="A1641" s="39"/>
      <c r="B1641" s="40"/>
      <c r="C1641" s="41"/>
      <c r="D1641" s="40"/>
      <c r="E1641" s="40"/>
      <c r="F1641" s="40"/>
      <c r="G1641" s="35" t="str">
        <f aca="false">IF($A1641="","",IF(ISNUMBER($G1640),$G1640+1,1))</f>
        <v/>
      </c>
      <c r="H1641" s="36" t="str">
        <f aca="false">IF(OR(NOT(ISNUMBER($G1641)),$G1641&lt;2,NOT(ISNUMBER($C1640)),$C1640=0),"",$C1641/$C1640-1)</f>
        <v/>
      </c>
      <c r="I1641" s="37" t="str">
        <f aca="false">IF(AND(ISNUMBER($G1641),$G1641&gt;=MA_SHORT),AVERAGE(INDEX($C$1241:$C1641,402-MA_SHORT):$C1641),"")</f>
        <v/>
      </c>
      <c r="J1641" s="37" t="str">
        <f aca="false">IF(AND(ISNUMBER($G1641),$G1641&gt;=MA_MED),AVERAGE(INDEX($C$1241:$C1641,402-MA_MED):$C1641),"")</f>
        <v/>
      </c>
      <c r="K1641" s="37" t="str">
        <f aca="false">IF(AND(ISNUMBER($G1641),$G1641&gt;=MA_LONG2),AVERAGE(INDEX($C$1241:$C1641,402-MA_LONG2):$C1641),"")</f>
        <v/>
      </c>
      <c r="L1641" s="38" t="str">
        <f aca="false">IF(AND(ISNUMBER($G1641),$G1641&gt;=21),STDEV(INDEX($H$1581:$H1641,62-20):$H1641)*SQRT(245),"")</f>
        <v/>
      </c>
      <c r="M1641" s="37" t="str">
        <f aca="false">IF(AND(ISNUMBER($G1641),$G1641&gt;=60),MAX(INDEX($D$1441:$D1641,202-60):$D1641),"")</f>
        <v/>
      </c>
      <c r="N1641" s="37" t="str">
        <f aca="false">IF(AND(ISNUMBER($G1641),$G1641&gt;=60),MIN(INDEX($E$1441:$E1641,202-60):$E1641),"")</f>
        <v/>
      </c>
      <c r="O1641" s="38" t="str">
        <f aca="false">IF(OR(NOT(ISNUMBER($C1641)),NOT(ISNUMBER($M1641)),$M1641=0),"",$C1641/$M1641-1)</f>
        <v/>
      </c>
    </row>
    <row r="1642" customFormat="false" ht="15" hidden="false" customHeight="true" outlineLevel="0" collapsed="false">
      <c r="A1642" s="39"/>
      <c r="B1642" s="40"/>
      <c r="C1642" s="41"/>
      <c r="D1642" s="40"/>
      <c r="E1642" s="40"/>
      <c r="F1642" s="40"/>
      <c r="G1642" s="35" t="str">
        <f aca="false">IF($A1642="","",IF(ISNUMBER($G1641),$G1641+1,1))</f>
        <v/>
      </c>
      <c r="H1642" s="36" t="str">
        <f aca="false">IF(OR(NOT(ISNUMBER($G1642)),$G1642&lt;2,NOT(ISNUMBER($C1641)),$C1641=0),"",$C1642/$C1641-1)</f>
        <v/>
      </c>
      <c r="I1642" s="37" t="str">
        <f aca="false">IF(AND(ISNUMBER($G1642),$G1642&gt;=MA_SHORT),AVERAGE(INDEX($C$1242:$C1642,402-MA_SHORT):$C1642),"")</f>
        <v/>
      </c>
      <c r="J1642" s="37" t="str">
        <f aca="false">IF(AND(ISNUMBER($G1642),$G1642&gt;=MA_MED),AVERAGE(INDEX($C$1242:$C1642,402-MA_MED):$C1642),"")</f>
        <v/>
      </c>
      <c r="K1642" s="37" t="str">
        <f aca="false">IF(AND(ISNUMBER($G1642),$G1642&gt;=MA_LONG2),AVERAGE(INDEX($C$1242:$C1642,402-MA_LONG2):$C1642),"")</f>
        <v/>
      </c>
      <c r="L1642" s="38" t="str">
        <f aca="false">IF(AND(ISNUMBER($G1642),$G1642&gt;=21),STDEV(INDEX($H$1582:$H1642,62-20):$H1642)*SQRT(245),"")</f>
        <v/>
      </c>
      <c r="M1642" s="37" t="str">
        <f aca="false">IF(AND(ISNUMBER($G1642),$G1642&gt;=60),MAX(INDEX($D$1442:$D1642,202-60):$D1642),"")</f>
        <v/>
      </c>
      <c r="N1642" s="37" t="str">
        <f aca="false">IF(AND(ISNUMBER($G1642),$G1642&gt;=60),MIN(INDEX($E$1442:$E1642,202-60):$E1642),"")</f>
        <v/>
      </c>
      <c r="O1642" s="38" t="str">
        <f aca="false">IF(OR(NOT(ISNUMBER($C1642)),NOT(ISNUMBER($M1642)),$M1642=0),"",$C1642/$M1642-1)</f>
        <v/>
      </c>
    </row>
    <row r="1643" customFormat="false" ht="15" hidden="false" customHeight="true" outlineLevel="0" collapsed="false">
      <c r="A1643" s="39"/>
      <c r="B1643" s="40"/>
      <c r="C1643" s="41"/>
      <c r="D1643" s="40"/>
      <c r="E1643" s="40"/>
      <c r="F1643" s="40"/>
      <c r="G1643" s="35" t="str">
        <f aca="false">IF($A1643="","",IF(ISNUMBER($G1642),$G1642+1,1))</f>
        <v/>
      </c>
      <c r="H1643" s="36" t="str">
        <f aca="false">IF(OR(NOT(ISNUMBER($G1643)),$G1643&lt;2,NOT(ISNUMBER($C1642)),$C1642=0),"",$C1643/$C1642-1)</f>
        <v/>
      </c>
      <c r="I1643" s="37" t="str">
        <f aca="false">IF(AND(ISNUMBER($G1643),$G1643&gt;=MA_SHORT),AVERAGE(INDEX($C$1243:$C1643,402-MA_SHORT):$C1643),"")</f>
        <v/>
      </c>
      <c r="J1643" s="37" t="str">
        <f aca="false">IF(AND(ISNUMBER($G1643),$G1643&gt;=MA_MED),AVERAGE(INDEX($C$1243:$C1643,402-MA_MED):$C1643),"")</f>
        <v/>
      </c>
      <c r="K1643" s="37" t="str">
        <f aca="false">IF(AND(ISNUMBER($G1643),$G1643&gt;=MA_LONG2),AVERAGE(INDEX($C$1243:$C1643,402-MA_LONG2):$C1643),"")</f>
        <v/>
      </c>
      <c r="L1643" s="38" t="str">
        <f aca="false">IF(AND(ISNUMBER($G1643),$G1643&gt;=21),STDEV(INDEX($H$1583:$H1643,62-20):$H1643)*SQRT(245),"")</f>
        <v/>
      </c>
      <c r="M1643" s="37" t="str">
        <f aca="false">IF(AND(ISNUMBER($G1643),$G1643&gt;=60),MAX(INDEX($D$1443:$D1643,202-60):$D1643),"")</f>
        <v/>
      </c>
      <c r="N1643" s="37" t="str">
        <f aca="false">IF(AND(ISNUMBER($G1643),$G1643&gt;=60),MIN(INDEX($E$1443:$E1643,202-60):$E1643),"")</f>
        <v/>
      </c>
      <c r="O1643" s="38" t="str">
        <f aca="false">IF(OR(NOT(ISNUMBER($C1643)),NOT(ISNUMBER($M1643)),$M1643=0),"",$C1643/$M1643-1)</f>
        <v/>
      </c>
    </row>
    <row r="1644" customFormat="false" ht="15" hidden="false" customHeight="true" outlineLevel="0" collapsed="false">
      <c r="A1644" s="39"/>
      <c r="B1644" s="40"/>
      <c r="C1644" s="41"/>
      <c r="D1644" s="40"/>
      <c r="E1644" s="40"/>
      <c r="F1644" s="40"/>
      <c r="G1644" s="35" t="str">
        <f aca="false">IF($A1644="","",IF(ISNUMBER($G1643),$G1643+1,1))</f>
        <v/>
      </c>
      <c r="H1644" s="36" t="str">
        <f aca="false">IF(OR(NOT(ISNUMBER($G1644)),$G1644&lt;2,NOT(ISNUMBER($C1643)),$C1643=0),"",$C1644/$C1643-1)</f>
        <v/>
      </c>
      <c r="I1644" s="37" t="str">
        <f aca="false">IF(AND(ISNUMBER($G1644),$G1644&gt;=MA_SHORT),AVERAGE(INDEX($C$1244:$C1644,402-MA_SHORT):$C1644),"")</f>
        <v/>
      </c>
      <c r="J1644" s="37" t="str">
        <f aca="false">IF(AND(ISNUMBER($G1644),$G1644&gt;=MA_MED),AVERAGE(INDEX($C$1244:$C1644,402-MA_MED):$C1644),"")</f>
        <v/>
      </c>
      <c r="K1644" s="37" t="str">
        <f aca="false">IF(AND(ISNUMBER($G1644),$G1644&gt;=MA_LONG2),AVERAGE(INDEX($C$1244:$C1644,402-MA_LONG2):$C1644),"")</f>
        <v/>
      </c>
      <c r="L1644" s="38" t="str">
        <f aca="false">IF(AND(ISNUMBER($G1644),$G1644&gt;=21),STDEV(INDEX($H$1584:$H1644,62-20):$H1644)*SQRT(245),"")</f>
        <v/>
      </c>
      <c r="M1644" s="37" t="str">
        <f aca="false">IF(AND(ISNUMBER($G1644),$G1644&gt;=60),MAX(INDEX($D$1444:$D1644,202-60):$D1644),"")</f>
        <v/>
      </c>
      <c r="N1644" s="37" t="str">
        <f aca="false">IF(AND(ISNUMBER($G1644),$G1644&gt;=60),MIN(INDEX($E$1444:$E1644,202-60):$E1644),"")</f>
        <v/>
      </c>
      <c r="O1644" s="38" t="str">
        <f aca="false">IF(OR(NOT(ISNUMBER($C1644)),NOT(ISNUMBER($M1644)),$M1644=0),"",$C1644/$M1644-1)</f>
        <v/>
      </c>
    </row>
    <row r="1645" customFormat="false" ht="15" hidden="false" customHeight="true" outlineLevel="0" collapsed="false">
      <c r="A1645" s="39"/>
      <c r="B1645" s="40"/>
      <c r="C1645" s="41"/>
      <c r="D1645" s="40"/>
      <c r="E1645" s="40"/>
      <c r="F1645" s="40"/>
      <c r="G1645" s="35" t="str">
        <f aca="false">IF($A1645="","",IF(ISNUMBER($G1644),$G1644+1,1))</f>
        <v/>
      </c>
      <c r="H1645" s="36" t="str">
        <f aca="false">IF(OR(NOT(ISNUMBER($G1645)),$G1645&lt;2,NOT(ISNUMBER($C1644)),$C1644=0),"",$C1645/$C1644-1)</f>
        <v/>
      </c>
      <c r="I1645" s="37" t="str">
        <f aca="false">IF(AND(ISNUMBER($G1645),$G1645&gt;=MA_SHORT),AVERAGE(INDEX($C$1245:$C1645,402-MA_SHORT):$C1645),"")</f>
        <v/>
      </c>
      <c r="J1645" s="37" t="str">
        <f aca="false">IF(AND(ISNUMBER($G1645),$G1645&gt;=MA_MED),AVERAGE(INDEX($C$1245:$C1645,402-MA_MED):$C1645),"")</f>
        <v/>
      </c>
      <c r="K1645" s="37" t="str">
        <f aca="false">IF(AND(ISNUMBER($G1645),$G1645&gt;=MA_LONG2),AVERAGE(INDEX($C$1245:$C1645,402-MA_LONG2):$C1645),"")</f>
        <v/>
      </c>
      <c r="L1645" s="38" t="str">
        <f aca="false">IF(AND(ISNUMBER($G1645),$G1645&gt;=21),STDEV(INDEX($H$1585:$H1645,62-20):$H1645)*SQRT(245),"")</f>
        <v/>
      </c>
      <c r="M1645" s="37" t="str">
        <f aca="false">IF(AND(ISNUMBER($G1645),$G1645&gt;=60),MAX(INDEX($D$1445:$D1645,202-60):$D1645),"")</f>
        <v/>
      </c>
      <c r="N1645" s="37" t="str">
        <f aca="false">IF(AND(ISNUMBER($G1645),$G1645&gt;=60),MIN(INDEX($E$1445:$E1645,202-60):$E1645),"")</f>
        <v/>
      </c>
      <c r="O1645" s="38" t="str">
        <f aca="false">IF(OR(NOT(ISNUMBER($C1645)),NOT(ISNUMBER($M1645)),$M1645=0),"",$C1645/$M1645-1)</f>
        <v/>
      </c>
    </row>
    <row r="1646" customFormat="false" ht="15" hidden="false" customHeight="true" outlineLevel="0" collapsed="false">
      <c r="A1646" s="39"/>
      <c r="B1646" s="40"/>
      <c r="C1646" s="41"/>
      <c r="D1646" s="40"/>
      <c r="E1646" s="40"/>
      <c r="F1646" s="40"/>
      <c r="G1646" s="35" t="str">
        <f aca="false">IF($A1646="","",IF(ISNUMBER($G1645),$G1645+1,1))</f>
        <v/>
      </c>
      <c r="H1646" s="36" t="str">
        <f aca="false">IF(OR(NOT(ISNUMBER($G1646)),$G1646&lt;2,NOT(ISNUMBER($C1645)),$C1645=0),"",$C1646/$C1645-1)</f>
        <v/>
      </c>
      <c r="I1646" s="37" t="str">
        <f aca="false">IF(AND(ISNUMBER($G1646),$G1646&gt;=MA_SHORT),AVERAGE(INDEX($C$1246:$C1646,402-MA_SHORT):$C1646),"")</f>
        <v/>
      </c>
      <c r="J1646" s="37" t="str">
        <f aca="false">IF(AND(ISNUMBER($G1646),$G1646&gt;=MA_MED),AVERAGE(INDEX($C$1246:$C1646,402-MA_MED):$C1646),"")</f>
        <v/>
      </c>
      <c r="K1646" s="37" t="str">
        <f aca="false">IF(AND(ISNUMBER($G1646),$G1646&gt;=MA_LONG2),AVERAGE(INDEX($C$1246:$C1646,402-MA_LONG2):$C1646),"")</f>
        <v/>
      </c>
      <c r="L1646" s="38" t="str">
        <f aca="false">IF(AND(ISNUMBER($G1646),$G1646&gt;=21),STDEV(INDEX($H$1586:$H1646,62-20):$H1646)*SQRT(245),"")</f>
        <v/>
      </c>
      <c r="M1646" s="37" t="str">
        <f aca="false">IF(AND(ISNUMBER($G1646),$G1646&gt;=60),MAX(INDEX($D$1446:$D1646,202-60):$D1646),"")</f>
        <v/>
      </c>
      <c r="N1646" s="37" t="str">
        <f aca="false">IF(AND(ISNUMBER($G1646),$G1646&gt;=60),MIN(INDEX($E$1446:$E1646,202-60):$E1646),"")</f>
        <v/>
      </c>
      <c r="O1646" s="38" t="str">
        <f aca="false">IF(OR(NOT(ISNUMBER($C1646)),NOT(ISNUMBER($M1646)),$M1646=0),"",$C1646/$M1646-1)</f>
        <v/>
      </c>
    </row>
    <row r="1647" customFormat="false" ht="15" hidden="false" customHeight="true" outlineLevel="0" collapsed="false">
      <c r="A1647" s="39"/>
      <c r="B1647" s="40"/>
      <c r="C1647" s="41"/>
      <c r="D1647" s="40"/>
      <c r="E1647" s="40"/>
      <c r="F1647" s="40"/>
      <c r="G1647" s="35" t="str">
        <f aca="false">IF($A1647="","",IF(ISNUMBER($G1646),$G1646+1,1))</f>
        <v/>
      </c>
      <c r="H1647" s="36" t="str">
        <f aca="false">IF(OR(NOT(ISNUMBER($G1647)),$G1647&lt;2,NOT(ISNUMBER($C1646)),$C1646=0),"",$C1647/$C1646-1)</f>
        <v/>
      </c>
      <c r="I1647" s="37" t="str">
        <f aca="false">IF(AND(ISNUMBER($G1647),$G1647&gt;=MA_SHORT),AVERAGE(INDEX($C$1247:$C1647,402-MA_SHORT):$C1647),"")</f>
        <v/>
      </c>
      <c r="J1647" s="37" t="str">
        <f aca="false">IF(AND(ISNUMBER($G1647),$G1647&gt;=MA_MED),AVERAGE(INDEX($C$1247:$C1647,402-MA_MED):$C1647),"")</f>
        <v/>
      </c>
      <c r="K1647" s="37" t="str">
        <f aca="false">IF(AND(ISNUMBER($G1647),$G1647&gt;=MA_LONG2),AVERAGE(INDEX($C$1247:$C1647,402-MA_LONG2):$C1647),"")</f>
        <v/>
      </c>
      <c r="L1647" s="38" t="str">
        <f aca="false">IF(AND(ISNUMBER($G1647),$G1647&gt;=21),STDEV(INDEX($H$1587:$H1647,62-20):$H1647)*SQRT(245),"")</f>
        <v/>
      </c>
      <c r="M1647" s="37" t="str">
        <f aca="false">IF(AND(ISNUMBER($G1647),$G1647&gt;=60),MAX(INDEX($D$1447:$D1647,202-60):$D1647),"")</f>
        <v/>
      </c>
      <c r="N1647" s="37" t="str">
        <f aca="false">IF(AND(ISNUMBER($G1647),$G1647&gt;=60),MIN(INDEX($E$1447:$E1647,202-60):$E1647),"")</f>
        <v/>
      </c>
      <c r="O1647" s="38" t="str">
        <f aca="false">IF(OR(NOT(ISNUMBER($C1647)),NOT(ISNUMBER($M1647)),$M1647=0),"",$C1647/$M1647-1)</f>
        <v/>
      </c>
    </row>
    <row r="1648" customFormat="false" ht="15" hidden="false" customHeight="true" outlineLevel="0" collapsed="false">
      <c r="A1648" s="39"/>
      <c r="B1648" s="40"/>
      <c r="C1648" s="41"/>
      <c r="D1648" s="40"/>
      <c r="E1648" s="40"/>
      <c r="F1648" s="40"/>
      <c r="G1648" s="35" t="str">
        <f aca="false">IF($A1648="","",IF(ISNUMBER($G1647),$G1647+1,1))</f>
        <v/>
      </c>
      <c r="H1648" s="36" t="str">
        <f aca="false">IF(OR(NOT(ISNUMBER($G1648)),$G1648&lt;2,NOT(ISNUMBER($C1647)),$C1647=0),"",$C1648/$C1647-1)</f>
        <v/>
      </c>
      <c r="I1648" s="37" t="str">
        <f aca="false">IF(AND(ISNUMBER($G1648),$G1648&gt;=MA_SHORT),AVERAGE(INDEX($C$1248:$C1648,402-MA_SHORT):$C1648),"")</f>
        <v/>
      </c>
      <c r="J1648" s="37" t="str">
        <f aca="false">IF(AND(ISNUMBER($G1648),$G1648&gt;=MA_MED),AVERAGE(INDEX($C$1248:$C1648,402-MA_MED):$C1648),"")</f>
        <v/>
      </c>
      <c r="K1648" s="37" t="str">
        <f aca="false">IF(AND(ISNUMBER($G1648),$G1648&gt;=MA_LONG2),AVERAGE(INDEX($C$1248:$C1648,402-MA_LONG2):$C1648),"")</f>
        <v/>
      </c>
      <c r="L1648" s="38" t="str">
        <f aca="false">IF(AND(ISNUMBER($G1648),$G1648&gt;=21),STDEV(INDEX($H$1588:$H1648,62-20):$H1648)*SQRT(245),"")</f>
        <v/>
      </c>
      <c r="M1648" s="37" t="str">
        <f aca="false">IF(AND(ISNUMBER($G1648),$G1648&gt;=60),MAX(INDEX($D$1448:$D1648,202-60):$D1648),"")</f>
        <v/>
      </c>
      <c r="N1648" s="37" t="str">
        <f aca="false">IF(AND(ISNUMBER($G1648),$G1648&gt;=60),MIN(INDEX($E$1448:$E1648,202-60):$E1648),"")</f>
        <v/>
      </c>
      <c r="O1648" s="38" t="str">
        <f aca="false">IF(OR(NOT(ISNUMBER($C1648)),NOT(ISNUMBER($M1648)),$M1648=0),"",$C1648/$M1648-1)</f>
        <v/>
      </c>
    </row>
    <row r="1649" customFormat="false" ht="15" hidden="false" customHeight="true" outlineLevel="0" collapsed="false">
      <c r="A1649" s="39"/>
      <c r="B1649" s="40"/>
      <c r="C1649" s="41"/>
      <c r="D1649" s="40"/>
      <c r="E1649" s="40"/>
      <c r="F1649" s="40"/>
      <c r="G1649" s="35" t="str">
        <f aca="false">IF($A1649="","",IF(ISNUMBER($G1648),$G1648+1,1))</f>
        <v/>
      </c>
      <c r="H1649" s="36" t="str">
        <f aca="false">IF(OR(NOT(ISNUMBER($G1649)),$G1649&lt;2,NOT(ISNUMBER($C1648)),$C1648=0),"",$C1649/$C1648-1)</f>
        <v/>
      </c>
      <c r="I1649" s="37" t="str">
        <f aca="false">IF(AND(ISNUMBER($G1649),$G1649&gt;=MA_SHORT),AVERAGE(INDEX($C$1249:$C1649,402-MA_SHORT):$C1649),"")</f>
        <v/>
      </c>
      <c r="J1649" s="37" t="str">
        <f aca="false">IF(AND(ISNUMBER($G1649),$G1649&gt;=MA_MED),AVERAGE(INDEX($C$1249:$C1649,402-MA_MED):$C1649),"")</f>
        <v/>
      </c>
      <c r="K1649" s="37" t="str">
        <f aca="false">IF(AND(ISNUMBER($G1649),$G1649&gt;=MA_LONG2),AVERAGE(INDEX($C$1249:$C1649,402-MA_LONG2):$C1649),"")</f>
        <v/>
      </c>
      <c r="L1649" s="38" t="str">
        <f aca="false">IF(AND(ISNUMBER($G1649),$G1649&gt;=21),STDEV(INDEX($H$1589:$H1649,62-20):$H1649)*SQRT(245),"")</f>
        <v/>
      </c>
      <c r="M1649" s="37" t="str">
        <f aca="false">IF(AND(ISNUMBER($G1649),$G1649&gt;=60),MAX(INDEX($D$1449:$D1649,202-60):$D1649),"")</f>
        <v/>
      </c>
      <c r="N1649" s="37" t="str">
        <f aca="false">IF(AND(ISNUMBER($G1649),$G1649&gt;=60),MIN(INDEX($E$1449:$E1649,202-60):$E1649),"")</f>
        <v/>
      </c>
      <c r="O1649" s="38" t="str">
        <f aca="false">IF(OR(NOT(ISNUMBER($C1649)),NOT(ISNUMBER($M1649)),$M1649=0),"",$C1649/$M1649-1)</f>
        <v/>
      </c>
    </row>
    <row r="1650" customFormat="false" ht="15" hidden="false" customHeight="true" outlineLevel="0" collapsed="false">
      <c r="A1650" s="39"/>
      <c r="B1650" s="40"/>
      <c r="C1650" s="41"/>
      <c r="D1650" s="40"/>
      <c r="E1650" s="40"/>
      <c r="F1650" s="40"/>
      <c r="G1650" s="35" t="str">
        <f aca="false">IF($A1650="","",IF(ISNUMBER($G1649),$G1649+1,1))</f>
        <v/>
      </c>
      <c r="H1650" s="36" t="str">
        <f aca="false">IF(OR(NOT(ISNUMBER($G1650)),$G1650&lt;2,NOT(ISNUMBER($C1649)),$C1649=0),"",$C1650/$C1649-1)</f>
        <v/>
      </c>
      <c r="I1650" s="37" t="str">
        <f aca="false">IF(AND(ISNUMBER($G1650),$G1650&gt;=MA_SHORT),AVERAGE(INDEX($C$1250:$C1650,402-MA_SHORT):$C1650),"")</f>
        <v/>
      </c>
      <c r="J1650" s="37" t="str">
        <f aca="false">IF(AND(ISNUMBER($G1650),$G1650&gt;=MA_MED),AVERAGE(INDEX($C$1250:$C1650,402-MA_MED):$C1650),"")</f>
        <v/>
      </c>
      <c r="K1650" s="37" t="str">
        <f aca="false">IF(AND(ISNUMBER($G1650),$G1650&gt;=MA_LONG2),AVERAGE(INDEX($C$1250:$C1650,402-MA_LONG2):$C1650),"")</f>
        <v/>
      </c>
      <c r="L1650" s="38" t="str">
        <f aca="false">IF(AND(ISNUMBER($G1650),$G1650&gt;=21),STDEV(INDEX($H$1590:$H1650,62-20):$H1650)*SQRT(245),"")</f>
        <v/>
      </c>
      <c r="M1650" s="37" t="str">
        <f aca="false">IF(AND(ISNUMBER($G1650),$G1650&gt;=60),MAX(INDEX($D$1450:$D1650,202-60):$D1650),"")</f>
        <v/>
      </c>
      <c r="N1650" s="37" t="str">
        <f aca="false">IF(AND(ISNUMBER($G1650),$G1650&gt;=60),MIN(INDEX($E$1450:$E1650,202-60):$E1650),"")</f>
        <v/>
      </c>
      <c r="O1650" s="38" t="str">
        <f aca="false">IF(OR(NOT(ISNUMBER($C1650)),NOT(ISNUMBER($M1650)),$M1650=0),"",$C1650/$M1650-1)</f>
        <v/>
      </c>
    </row>
    <row r="1651" customFormat="false" ht="15" hidden="false" customHeight="true" outlineLevel="0" collapsed="false">
      <c r="A1651" s="39"/>
      <c r="B1651" s="40"/>
      <c r="C1651" s="41"/>
      <c r="D1651" s="40"/>
      <c r="E1651" s="40"/>
      <c r="F1651" s="40"/>
      <c r="G1651" s="35" t="str">
        <f aca="false">IF($A1651="","",IF(ISNUMBER($G1650),$G1650+1,1))</f>
        <v/>
      </c>
      <c r="H1651" s="36" t="str">
        <f aca="false">IF(OR(NOT(ISNUMBER($G1651)),$G1651&lt;2,NOT(ISNUMBER($C1650)),$C1650=0),"",$C1651/$C1650-1)</f>
        <v/>
      </c>
      <c r="I1651" s="37" t="str">
        <f aca="false">IF(AND(ISNUMBER($G1651),$G1651&gt;=MA_SHORT),AVERAGE(INDEX($C$1251:$C1651,402-MA_SHORT):$C1651),"")</f>
        <v/>
      </c>
      <c r="J1651" s="37" t="str">
        <f aca="false">IF(AND(ISNUMBER($G1651),$G1651&gt;=MA_MED),AVERAGE(INDEX($C$1251:$C1651,402-MA_MED):$C1651),"")</f>
        <v/>
      </c>
      <c r="K1651" s="37" t="str">
        <f aca="false">IF(AND(ISNUMBER($G1651),$G1651&gt;=MA_LONG2),AVERAGE(INDEX($C$1251:$C1651,402-MA_LONG2):$C1651),"")</f>
        <v/>
      </c>
      <c r="L1651" s="38" t="str">
        <f aca="false">IF(AND(ISNUMBER($G1651),$G1651&gt;=21),STDEV(INDEX($H$1591:$H1651,62-20):$H1651)*SQRT(245),"")</f>
        <v/>
      </c>
      <c r="M1651" s="37" t="str">
        <f aca="false">IF(AND(ISNUMBER($G1651),$G1651&gt;=60),MAX(INDEX($D$1451:$D1651,202-60):$D1651),"")</f>
        <v/>
      </c>
      <c r="N1651" s="37" t="str">
        <f aca="false">IF(AND(ISNUMBER($G1651),$G1651&gt;=60),MIN(INDEX($E$1451:$E1651,202-60):$E1651),"")</f>
        <v/>
      </c>
      <c r="O1651" s="38" t="str">
        <f aca="false">IF(OR(NOT(ISNUMBER($C1651)),NOT(ISNUMBER($M1651)),$M1651=0),"",$C1651/$M1651-1)</f>
        <v/>
      </c>
    </row>
    <row r="1652" customFormat="false" ht="15" hidden="false" customHeight="true" outlineLevel="0" collapsed="false">
      <c r="A1652" s="39"/>
      <c r="B1652" s="40"/>
      <c r="C1652" s="41"/>
      <c r="D1652" s="40"/>
      <c r="E1652" s="40"/>
      <c r="F1652" s="40"/>
      <c r="G1652" s="35" t="str">
        <f aca="false">IF($A1652="","",IF(ISNUMBER($G1651),$G1651+1,1))</f>
        <v/>
      </c>
      <c r="H1652" s="36" t="str">
        <f aca="false">IF(OR(NOT(ISNUMBER($G1652)),$G1652&lt;2,NOT(ISNUMBER($C1651)),$C1651=0),"",$C1652/$C1651-1)</f>
        <v/>
      </c>
      <c r="I1652" s="37" t="str">
        <f aca="false">IF(AND(ISNUMBER($G1652),$G1652&gt;=MA_SHORT),AVERAGE(INDEX($C$1252:$C1652,402-MA_SHORT):$C1652),"")</f>
        <v/>
      </c>
      <c r="J1652" s="37" t="str">
        <f aca="false">IF(AND(ISNUMBER($G1652),$G1652&gt;=MA_MED),AVERAGE(INDEX($C$1252:$C1652,402-MA_MED):$C1652),"")</f>
        <v/>
      </c>
      <c r="K1652" s="37" t="str">
        <f aca="false">IF(AND(ISNUMBER($G1652),$G1652&gt;=MA_LONG2),AVERAGE(INDEX($C$1252:$C1652,402-MA_LONG2):$C1652),"")</f>
        <v/>
      </c>
      <c r="L1652" s="38" t="str">
        <f aca="false">IF(AND(ISNUMBER($G1652),$G1652&gt;=21),STDEV(INDEX($H$1592:$H1652,62-20):$H1652)*SQRT(245),"")</f>
        <v/>
      </c>
      <c r="M1652" s="37" t="str">
        <f aca="false">IF(AND(ISNUMBER($G1652),$G1652&gt;=60),MAX(INDEX($D$1452:$D1652,202-60):$D1652),"")</f>
        <v/>
      </c>
      <c r="N1652" s="37" t="str">
        <f aca="false">IF(AND(ISNUMBER($G1652),$G1652&gt;=60),MIN(INDEX($E$1452:$E1652,202-60):$E1652),"")</f>
        <v/>
      </c>
      <c r="O1652" s="38" t="str">
        <f aca="false">IF(OR(NOT(ISNUMBER($C1652)),NOT(ISNUMBER($M1652)),$M1652=0),"",$C1652/$M1652-1)</f>
        <v/>
      </c>
    </row>
    <row r="1653" customFormat="false" ht="15" hidden="false" customHeight="true" outlineLevel="0" collapsed="false">
      <c r="A1653" s="39"/>
      <c r="B1653" s="40"/>
      <c r="C1653" s="41"/>
      <c r="D1653" s="40"/>
      <c r="E1653" s="40"/>
      <c r="F1653" s="40"/>
      <c r="G1653" s="35" t="str">
        <f aca="false">IF($A1653="","",IF(ISNUMBER($G1652),$G1652+1,1))</f>
        <v/>
      </c>
      <c r="H1653" s="36" t="str">
        <f aca="false">IF(OR(NOT(ISNUMBER($G1653)),$G1653&lt;2,NOT(ISNUMBER($C1652)),$C1652=0),"",$C1653/$C1652-1)</f>
        <v/>
      </c>
      <c r="I1653" s="37" t="str">
        <f aca="false">IF(AND(ISNUMBER($G1653),$G1653&gt;=MA_SHORT),AVERAGE(INDEX($C$1253:$C1653,402-MA_SHORT):$C1653),"")</f>
        <v/>
      </c>
      <c r="J1653" s="37" t="str">
        <f aca="false">IF(AND(ISNUMBER($G1653),$G1653&gt;=MA_MED),AVERAGE(INDEX($C$1253:$C1653,402-MA_MED):$C1653),"")</f>
        <v/>
      </c>
      <c r="K1653" s="37" t="str">
        <f aca="false">IF(AND(ISNUMBER($G1653),$G1653&gt;=MA_LONG2),AVERAGE(INDEX($C$1253:$C1653,402-MA_LONG2):$C1653),"")</f>
        <v/>
      </c>
      <c r="L1653" s="38" t="str">
        <f aca="false">IF(AND(ISNUMBER($G1653),$G1653&gt;=21),STDEV(INDEX($H$1593:$H1653,62-20):$H1653)*SQRT(245),"")</f>
        <v/>
      </c>
      <c r="M1653" s="37" t="str">
        <f aca="false">IF(AND(ISNUMBER($G1653),$G1653&gt;=60),MAX(INDEX($D$1453:$D1653,202-60):$D1653),"")</f>
        <v/>
      </c>
      <c r="N1653" s="37" t="str">
        <f aca="false">IF(AND(ISNUMBER($G1653),$G1653&gt;=60),MIN(INDEX($E$1453:$E1653,202-60):$E1653),"")</f>
        <v/>
      </c>
      <c r="O1653" s="38" t="str">
        <f aca="false">IF(OR(NOT(ISNUMBER($C1653)),NOT(ISNUMBER($M1653)),$M1653=0),"",$C1653/$M1653-1)</f>
        <v/>
      </c>
    </row>
    <row r="1654" customFormat="false" ht="15" hidden="false" customHeight="true" outlineLevel="0" collapsed="false">
      <c r="A1654" s="39"/>
      <c r="B1654" s="40"/>
      <c r="C1654" s="41"/>
      <c r="D1654" s="40"/>
      <c r="E1654" s="40"/>
      <c r="F1654" s="40"/>
      <c r="G1654" s="35" t="str">
        <f aca="false">IF($A1654="","",IF(ISNUMBER($G1653),$G1653+1,1))</f>
        <v/>
      </c>
      <c r="H1654" s="36" t="str">
        <f aca="false">IF(OR(NOT(ISNUMBER($G1654)),$G1654&lt;2,NOT(ISNUMBER($C1653)),$C1653=0),"",$C1654/$C1653-1)</f>
        <v/>
      </c>
      <c r="I1654" s="37" t="str">
        <f aca="false">IF(AND(ISNUMBER($G1654),$G1654&gt;=MA_SHORT),AVERAGE(INDEX($C$1254:$C1654,402-MA_SHORT):$C1654),"")</f>
        <v/>
      </c>
      <c r="J1654" s="37" t="str">
        <f aca="false">IF(AND(ISNUMBER($G1654),$G1654&gt;=MA_MED),AVERAGE(INDEX($C$1254:$C1654,402-MA_MED):$C1654),"")</f>
        <v/>
      </c>
      <c r="K1654" s="37" t="str">
        <f aca="false">IF(AND(ISNUMBER($G1654),$G1654&gt;=MA_LONG2),AVERAGE(INDEX($C$1254:$C1654,402-MA_LONG2):$C1654),"")</f>
        <v/>
      </c>
      <c r="L1654" s="38" t="str">
        <f aca="false">IF(AND(ISNUMBER($G1654),$G1654&gt;=21),STDEV(INDEX($H$1594:$H1654,62-20):$H1654)*SQRT(245),"")</f>
        <v/>
      </c>
      <c r="M1654" s="37" t="str">
        <f aca="false">IF(AND(ISNUMBER($G1654),$G1654&gt;=60),MAX(INDEX($D$1454:$D1654,202-60):$D1654),"")</f>
        <v/>
      </c>
      <c r="N1654" s="37" t="str">
        <f aca="false">IF(AND(ISNUMBER($G1654),$G1654&gt;=60),MIN(INDEX($E$1454:$E1654,202-60):$E1654),"")</f>
        <v/>
      </c>
      <c r="O1654" s="38" t="str">
        <f aca="false">IF(OR(NOT(ISNUMBER($C1654)),NOT(ISNUMBER($M1654)),$M1654=0),"",$C1654/$M1654-1)</f>
        <v/>
      </c>
    </row>
    <row r="1655" customFormat="false" ht="15" hidden="false" customHeight="true" outlineLevel="0" collapsed="false">
      <c r="A1655" s="39"/>
      <c r="B1655" s="40"/>
      <c r="C1655" s="41"/>
      <c r="D1655" s="40"/>
      <c r="E1655" s="40"/>
      <c r="F1655" s="40"/>
      <c r="G1655" s="35" t="str">
        <f aca="false">IF($A1655="","",IF(ISNUMBER($G1654),$G1654+1,1))</f>
        <v/>
      </c>
      <c r="H1655" s="36" t="str">
        <f aca="false">IF(OR(NOT(ISNUMBER($G1655)),$G1655&lt;2,NOT(ISNUMBER($C1654)),$C1654=0),"",$C1655/$C1654-1)</f>
        <v/>
      </c>
      <c r="I1655" s="37" t="str">
        <f aca="false">IF(AND(ISNUMBER($G1655),$G1655&gt;=MA_SHORT),AVERAGE(INDEX($C$1255:$C1655,402-MA_SHORT):$C1655),"")</f>
        <v/>
      </c>
      <c r="J1655" s="37" t="str">
        <f aca="false">IF(AND(ISNUMBER($G1655),$G1655&gt;=MA_MED),AVERAGE(INDEX($C$1255:$C1655,402-MA_MED):$C1655),"")</f>
        <v/>
      </c>
      <c r="K1655" s="37" t="str">
        <f aca="false">IF(AND(ISNUMBER($G1655),$G1655&gt;=MA_LONG2),AVERAGE(INDEX($C$1255:$C1655,402-MA_LONG2):$C1655),"")</f>
        <v/>
      </c>
      <c r="L1655" s="38" t="str">
        <f aca="false">IF(AND(ISNUMBER($G1655),$G1655&gt;=21),STDEV(INDEX($H$1595:$H1655,62-20):$H1655)*SQRT(245),"")</f>
        <v/>
      </c>
      <c r="M1655" s="37" t="str">
        <f aca="false">IF(AND(ISNUMBER($G1655),$G1655&gt;=60),MAX(INDEX($D$1455:$D1655,202-60):$D1655),"")</f>
        <v/>
      </c>
      <c r="N1655" s="37" t="str">
        <f aca="false">IF(AND(ISNUMBER($G1655),$G1655&gt;=60),MIN(INDEX($E$1455:$E1655,202-60):$E1655),"")</f>
        <v/>
      </c>
      <c r="O1655" s="38" t="str">
        <f aca="false">IF(OR(NOT(ISNUMBER($C1655)),NOT(ISNUMBER($M1655)),$M1655=0),"",$C1655/$M1655-1)</f>
        <v/>
      </c>
    </row>
    <row r="1656" customFormat="false" ht="15" hidden="false" customHeight="true" outlineLevel="0" collapsed="false">
      <c r="A1656" s="39"/>
      <c r="B1656" s="40"/>
      <c r="C1656" s="41"/>
      <c r="D1656" s="40"/>
      <c r="E1656" s="40"/>
      <c r="F1656" s="40"/>
      <c r="G1656" s="35" t="str">
        <f aca="false">IF($A1656="","",IF(ISNUMBER($G1655),$G1655+1,1))</f>
        <v/>
      </c>
      <c r="H1656" s="36" t="str">
        <f aca="false">IF(OR(NOT(ISNUMBER($G1656)),$G1656&lt;2,NOT(ISNUMBER($C1655)),$C1655=0),"",$C1656/$C1655-1)</f>
        <v/>
      </c>
      <c r="I1656" s="37" t="str">
        <f aca="false">IF(AND(ISNUMBER($G1656),$G1656&gt;=MA_SHORT),AVERAGE(INDEX($C$1256:$C1656,402-MA_SHORT):$C1656),"")</f>
        <v/>
      </c>
      <c r="J1656" s="37" t="str">
        <f aca="false">IF(AND(ISNUMBER($G1656),$G1656&gt;=MA_MED),AVERAGE(INDEX($C$1256:$C1656,402-MA_MED):$C1656),"")</f>
        <v/>
      </c>
      <c r="K1656" s="37" t="str">
        <f aca="false">IF(AND(ISNUMBER($G1656),$G1656&gt;=MA_LONG2),AVERAGE(INDEX($C$1256:$C1656,402-MA_LONG2):$C1656),"")</f>
        <v/>
      </c>
      <c r="L1656" s="38" t="str">
        <f aca="false">IF(AND(ISNUMBER($G1656),$G1656&gt;=21),STDEV(INDEX($H$1596:$H1656,62-20):$H1656)*SQRT(245),"")</f>
        <v/>
      </c>
      <c r="M1656" s="37" t="str">
        <f aca="false">IF(AND(ISNUMBER($G1656),$G1656&gt;=60),MAX(INDEX($D$1456:$D1656,202-60):$D1656),"")</f>
        <v/>
      </c>
      <c r="N1656" s="37" t="str">
        <f aca="false">IF(AND(ISNUMBER($G1656),$G1656&gt;=60),MIN(INDEX($E$1456:$E1656,202-60):$E1656),"")</f>
        <v/>
      </c>
      <c r="O1656" s="38" t="str">
        <f aca="false">IF(OR(NOT(ISNUMBER($C1656)),NOT(ISNUMBER($M1656)),$M1656=0),"",$C1656/$M1656-1)</f>
        <v/>
      </c>
    </row>
    <row r="1657" customFormat="false" ht="15" hidden="false" customHeight="true" outlineLevel="0" collapsed="false">
      <c r="A1657" s="39"/>
      <c r="B1657" s="40"/>
      <c r="C1657" s="41"/>
      <c r="D1657" s="40"/>
      <c r="E1657" s="40"/>
      <c r="F1657" s="40"/>
      <c r="G1657" s="35" t="str">
        <f aca="false">IF($A1657="","",IF(ISNUMBER($G1656),$G1656+1,1))</f>
        <v/>
      </c>
      <c r="H1657" s="36" t="str">
        <f aca="false">IF(OR(NOT(ISNUMBER($G1657)),$G1657&lt;2,NOT(ISNUMBER($C1656)),$C1656=0),"",$C1657/$C1656-1)</f>
        <v/>
      </c>
      <c r="I1657" s="37" t="str">
        <f aca="false">IF(AND(ISNUMBER($G1657),$G1657&gt;=MA_SHORT),AVERAGE(INDEX($C$1257:$C1657,402-MA_SHORT):$C1657),"")</f>
        <v/>
      </c>
      <c r="J1657" s="37" t="str">
        <f aca="false">IF(AND(ISNUMBER($G1657),$G1657&gt;=MA_MED),AVERAGE(INDEX($C$1257:$C1657,402-MA_MED):$C1657),"")</f>
        <v/>
      </c>
      <c r="K1657" s="37" t="str">
        <f aca="false">IF(AND(ISNUMBER($G1657),$G1657&gt;=MA_LONG2),AVERAGE(INDEX($C$1257:$C1657,402-MA_LONG2):$C1657),"")</f>
        <v/>
      </c>
      <c r="L1657" s="38" t="str">
        <f aca="false">IF(AND(ISNUMBER($G1657),$G1657&gt;=21),STDEV(INDEX($H$1597:$H1657,62-20):$H1657)*SQRT(245),"")</f>
        <v/>
      </c>
      <c r="M1657" s="37" t="str">
        <f aca="false">IF(AND(ISNUMBER($G1657),$G1657&gt;=60),MAX(INDEX($D$1457:$D1657,202-60):$D1657),"")</f>
        <v/>
      </c>
      <c r="N1657" s="37" t="str">
        <f aca="false">IF(AND(ISNUMBER($G1657),$G1657&gt;=60),MIN(INDEX($E$1457:$E1657,202-60):$E1657),"")</f>
        <v/>
      </c>
      <c r="O1657" s="38" t="str">
        <f aca="false">IF(OR(NOT(ISNUMBER($C1657)),NOT(ISNUMBER($M1657)),$M1657=0),"",$C1657/$M1657-1)</f>
        <v/>
      </c>
    </row>
    <row r="1658" customFormat="false" ht="15" hidden="false" customHeight="true" outlineLevel="0" collapsed="false">
      <c r="A1658" s="39"/>
      <c r="B1658" s="40"/>
      <c r="C1658" s="41"/>
      <c r="D1658" s="40"/>
      <c r="E1658" s="40"/>
      <c r="F1658" s="40"/>
      <c r="G1658" s="35" t="str">
        <f aca="false">IF($A1658="","",IF(ISNUMBER($G1657),$G1657+1,1))</f>
        <v/>
      </c>
      <c r="H1658" s="36" t="str">
        <f aca="false">IF(OR(NOT(ISNUMBER($G1658)),$G1658&lt;2,NOT(ISNUMBER($C1657)),$C1657=0),"",$C1658/$C1657-1)</f>
        <v/>
      </c>
      <c r="I1658" s="37" t="str">
        <f aca="false">IF(AND(ISNUMBER($G1658),$G1658&gt;=MA_SHORT),AVERAGE(INDEX($C$1258:$C1658,402-MA_SHORT):$C1658),"")</f>
        <v/>
      </c>
      <c r="J1658" s="37" t="str">
        <f aca="false">IF(AND(ISNUMBER($G1658),$G1658&gt;=MA_MED),AVERAGE(INDEX($C$1258:$C1658,402-MA_MED):$C1658),"")</f>
        <v/>
      </c>
      <c r="K1658" s="37" t="str">
        <f aca="false">IF(AND(ISNUMBER($G1658),$G1658&gt;=MA_LONG2),AVERAGE(INDEX($C$1258:$C1658,402-MA_LONG2):$C1658),"")</f>
        <v/>
      </c>
      <c r="L1658" s="38" t="str">
        <f aca="false">IF(AND(ISNUMBER($G1658),$G1658&gt;=21),STDEV(INDEX($H$1598:$H1658,62-20):$H1658)*SQRT(245),"")</f>
        <v/>
      </c>
      <c r="M1658" s="37" t="str">
        <f aca="false">IF(AND(ISNUMBER($G1658),$G1658&gt;=60),MAX(INDEX($D$1458:$D1658,202-60):$D1658),"")</f>
        <v/>
      </c>
      <c r="N1658" s="37" t="str">
        <f aca="false">IF(AND(ISNUMBER($G1658),$G1658&gt;=60),MIN(INDEX($E$1458:$E1658,202-60):$E1658),"")</f>
        <v/>
      </c>
      <c r="O1658" s="38" t="str">
        <f aca="false">IF(OR(NOT(ISNUMBER($C1658)),NOT(ISNUMBER($M1658)),$M1658=0),"",$C1658/$M1658-1)</f>
        <v/>
      </c>
    </row>
    <row r="1659" customFormat="false" ht="15" hidden="false" customHeight="true" outlineLevel="0" collapsed="false">
      <c r="A1659" s="39"/>
      <c r="B1659" s="40"/>
      <c r="C1659" s="41"/>
      <c r="D1659" s="40"/>
      <c r="E1659" s="40"/>
      <c r="F1659" s="40"/>
      <c r="G1659" s="35" t="str">
        <f aca="false">IF($A1659="","",IF(ISNUMBER($G1658),$G1658+1,1))</f>
        <v/>
      </c>
      <c r="H1659" s="36" t="str">
        <f aca="false">IF(OR(NOT(ISNUMBER($G1659)),$G1659&lt;2,NOT(ISNUMBER($C1658)),$C1658=0),"",$C1659/$C1658-1)</f>
        <v/>
      </c>
      <c r="I1659" s="37" t="str">
        <f aca="false">IF(AND(ISNUMBER($G1659),$G1659&gt;=MA_SHORT),AVERAGE(INDEX($C$1259:$C1659,402-MA_SHORT):$C1659),"")</f>
        <v/>
      </c>
      <c r="J1659" s="37" t="str">
        <f aca="false">IF(AND(ISNUMBER($G1659),$G1659&gt;=MA_MED),AVERAGE(INDEX($C$1259:$C1659,402-MA_MED):$C1659),"")</f>
        <v/>
      </c>
      <c r="K1659" s="37" t="str">
        <f aca="false">IF(AND(ISNUMBER($G1659),$G1659&gt;=MA_LONG2),AVERAGE(INDEX($C$1259:$C1659,402-MA_LONG2):$C1659),"")</f>
        <v/>
      </c>
      <c r="L1659" s="38" t="str">
        <f aca="false">IF(AND(ISNUMBER($G1659),$G1659&gt;=21),STDEV(INDEX($H$1599:$H1659,62-20):$H1659)*SQRT(245),"")</f>
        <v/>
      </c>
      <c r="M1659" s="37" t="str">
        <f aca="false">IF(AND(ISNUMBER($G1659),$G1659&gt;=60),MAX(INDEX($D$1459:$D1659,202-60):$D1659),"")</f>
        <v/>
      </c>
      <c r="N1659" s="37" t="str">
        <f aca="false">IF(AND(ISNUMBER($G1659),$G1659&gt;=60),MIN(INDEX($E$1459:$E1659,202-60):$E1659),"")</f>
        <v/>
      </c>
      <c r="O1659" s="38" t="str">
        <f aca="false">IF(OR(NOT(ISNUMBER($C1659)),NOT(ISNUMBER($M1659)),$M1659=0),"",$C1659/$M1659-1)</f>
        <v/>
      </c>
    </row>
    <row r="1660" customFormat="false" ht="15" hidden="false" customHeight="true" outlineLevel="0" collapsed="false">
      <c r="A1660" s="39"/>
      <c r="B1660" s="40"/>
      <c r="C1660" s="41"/>
      <c r="D1660" s="40"/>
      <c r="E1660" s="40"/>
      <c r="F1660" s="40"/>
      <c r="G1660" s="35" t="str">
        <f aca="false">IF($A1660="","",IF(ISNUMBER($G1659),$G1659+1,1))</f>
        <v/>
      </c>
      <c r="H1660" s="36" t="str">
        <f aca="false">IF(OR(NOT(ISNUMBER($G1660)),$G1660&lt;2,NOT(ISNUMBER($C1659)),$C1659=0),"",$C1660/$C1659-1)</f>
        <v/>
      </c>
      <c r="I1660" s="37" t="str">
        <f aca="false">IF(AND(ISNUMBER($G1660),$G1660&gt;=MA_SHORT),AVERAGE(INDEX($C$1260:$C1660,402-MA_SHORT):$C1660),"")</f>
        <v/>
      </c>
      <c r="J1660" s="37" t="str">
        <f aca="false">IF(AND(ISNUMBER($G1660),$G1660&gt;=MA_MED),AVERAGE(INDEX($C$1260:$C1660,402-MA_MED):$C1660),"")</f>
        <v/>
      </c>
      <c r="K1660" s="37" t="str">
        <f aca="false">IF(AND(ISNUMBER($G1660),$G1660&gt;=MA_LONG2),AVERAGE(INDEX($C$1260:$C1660,402-MA_LONG2):$C1660),"")</f>
        <v/>
      </c>
      <c r="L1660" s="38" t="str">
        <f aca="false">IF(AND(ISNUMBER($G1660),$G1660&gt;=21),STDEV(INDEX($H$1600:$H1660,62-20):$H1660)*SQRT(245),"")</f>
        <v/>
      </c>
      <c r="M1660" s="37" t="str">
        <f aca="false">IF(AND(ISNUMBER($G1660),$G1660&gt;=60),MAX(INDEX($D$1460:$D1660,202-60):$D1660),"")</f>
        <v/>
      </c>
      <c r="N1660" s="37" t="str">
        <f aca="false">IF(AND(ISNUMBER($G1660),$G1660&gt;=60),MIN(INDEX($E$1460:$E1660,202-60):$E1660),"")</f>
        <v/>
      </c>
      <c r="O1660" s="38" t="str">
        <f aca="false">IF(OR(NOT(ISNUMBER($C1660)),NOT(ISNUMBER($M1660)),$M1660=0),"",$C1660/$M1660-1)</f>
        <v/>
      </c>
    </row>
    <row r="1661" customFormat="false" ht="15" hidden="false" customHeight="true" outlineLevel="0" collapsed="false">
      <c r="A1661" s="39"/>
      <c r="B1661" s="40"/>
      <c r="C1661" s="41"/>
      <c r="D1661" s="40"/>
      <c r="E1661" s="40"/>
      <c r="F1661" s="40"/>
      <c r="G1661" s="35" t="str">
        <f aca="false">IF($A1661="","",IF(ISNUMBER($G1660),$G1660+1,1))</f>
        <v/>
      </c>
      <c r="H1661" s="36" t="str">
        <f aca="false">IF(OR(NOT(ISNUMBER($G1661)),$G1661&lt;2,NOT(ISNUMBER($C1660)),$C1660=0),"",$C1661/$C1660-1)</f>
        <v/>
      </c>
      <c r="I1661" s="37" t="str">
        <f aca="false">IF(AND(ISNUMBER($G1661),$G1661&gt;=MA_SHORT),AVERAGE(INDEX($C$1261:$C1661,402-MA_SHORT):$C1661),"")</f>
        <v/>
      </c>
      <c r="J1661" s="37" t="str">
        <f aca="false">IF(AND(ISNUMBER($G1661),$G1661&gt;=MA_MED),AVERAGE(INDEX($C$1261:$C1661,402-MA_MED):$C1661),"")</f>
        <v/>
      </c>
      <c r="K1661" s="37" t="str">
        <f aca="false">IF(AND(ISNUMBER($G1661),$G1661&gt;=MA_LONG2),AVERAGE(INDEX($C$1261:$C1661,402-MA_LONG2):$C1661),"")</f>
        <v/>
      </c>
      <c r="L1661" s="38" t="str">
        <f aca="false">IF(AND(ISNUMBER($G1661),$G1661&gt;=21),STDEV(INDEX($H$1601:$H1661,62-20):$H1661)*SQRT(245),"")</f>
        <v/>
      </c>
      <c r="M1661" s="37" t="str">
        <f aca="false">IF(AND(ISNUMBER($G1661),$G1661&gt;=60),MAX(INDEX($D$1461:$D1661,202-60):$D1661),"")</f>
        <v/>
      </c>
      <c r="N1661" s="37" t="str">
        <f aca="false">IF(AND(ISNUMBER($G1661),$G1661&gt;=60),MIN(INDEX($E$1461:$E1661,202-60):$E1661),"")</f>
        <v/>
      </c>
      <c r="O1661" s="38" t="str">
        <f aca="false">IF(OR(NOT(ISNUMBER($C1661)),NOT(ISNUMBER($M1661)),$M1661=0),"",$C1661/$M1661-1)</f>
        <v/>
      </c>
    </row>
    <row r="1662" customFormat="false" ht="15" hidden="false" customHeight="true" outlineLevel="0" collapsed="false">
      <c r="A1662" s="39"/>
      <c r="B1662" s="40"/>
      <c r="C1662" s="41"/>
      <c r="D1662" s="40"/>
      <c r="E1662" s="40"/>
      <c r="F1662" s="40"/>
      <c r="G1662" s="35" t="str">
        <f aca="false">IF($A1662="","",IF(ISNUMBER($G1661),$G1661+1,1))</f>
        <v/>
      </c>
      <c r="H1662" s="36" t="str">
        <f aca="false">IF(OR(NOT(ISNUMBER($G1662)),$G1662&lt;2,NOT(ISNUMBER($C1661)),$C1661=0),"",$C1662/$C1661-1)</f>
        <v/>
      </c>
      <c r="I1662" s="37" t="str">
        <f aca="false">IF(AND(ISNUMBER($G1662),$G1662&gt;=MA_SHORT),AVERAGE(INDEX($C$1262:$C1662,402-MA_SHORT):$C1662),"")</f>
        <v/>
      </c>
      <c r="J1662" s="37" t="str">
        <f aca="false">IF(AND(ISNUMBER($G1662),$G1662&gt;=MA_MED),AVERAGE(INDEX($C$1262:$C1662,402-MA_MED):$C1662),"")</f>
        <v/>
      </c>
      <c r="K1662" s="37" t="str">
        <f aca="false">IF(AND(ISNUMBER($G1662),$G1662&gt;=MA_LONG2),AVERAGE(INDEX($C$1262:$C1662,402-MA_LONG2):$C1662),"")</f>
        <v/>
      </c>
      <c r="L1662" s="38" t="str">
        <f aca="false">IF(AND(ISNUMBER($G1662),$G1662&gt;=21),STDEV(INDEX($H$1602:$H1662,62-20):$H1662)*SQRT(245),"")</f>
        <v/>
      </c>
      <c r="M1662" s="37" t="str">
        <f aca="false">IF(AND(ISNUMBER($G1662),$G1662&gt;=60),MAX(INDEX($D$1462:$D1662,202-60):$D1662),"")</f>
        <v/>
      </c>
      <c r="N1662" s="37" t="str">
        <f aca="false">IF(AND(ISNUMBER($G1662),$G1662&gt;=60),MIN(INDEX($E$1462:$E1662,202-60):$E1662),"")</f>
        <v/>
      </c>
      <c r="O1662" s="38" t="str">
        <f aca="false">IF(OR(NOT(ISNUMBER($C1662)),NOT(ISNUMBER($M1662)),$M1662=0),"",$C1662/$M1662-1)</f>
        <v/>
      </c>
    </row>
    <row r="1663" customFormat="false" ht="15" hidden="false" customHeight="true" outlineLevel="0" collapsed="false">
      <c r="A1663" s="39"/>
      <c r="B1663" s="40"/>
      <c r="C1663" s="41"/>
      <c r="D1663" s="40"/>
      <c r="E1663" s="40"/>
      <c r="F1663" s="40"/>
      <c r="G1663" s="35" t="str">
        <f aca="false">IF($A1663="","",IF(ISNUMBER($G1662),$G1662+1,1))</f>
        <v/>
      </c>
      <c r="H1663" s="36" t="str">
        <f aca="false">IF(OR(NOT(ISNUMBER($G1663)),$G1663&lt;2,NOT(ISNUMBER($C1662)),$C1662=0),"",$C1663/$C1662-1)</f>
        <v/>
      </c>
      <c r="I1663" s="37" t="str">
        <f aca="false">IF(AND(ISNUMBER($G1663),$G1663&gt;=MA_SHORT),AVERAGE(INDEX($C$1263:$C1663,402-MA_SHORT):$C1663),"")</f>
        <v/>
      </c>
      <c r="J1663" s="37" t="str">
        <f aca="false">IF(AND(ISNUMBER($G1663),$G1663&gt;=MA_MED),AVERAGE(INDEX($C$1263:$C1663,402-MA_MED):$C1663),"")</f>
        <v/>
      </c>
      <c r="K1663" s="37" t="str">
        <f aca="false">IF(AND(ISNUMBER($G1663),$G1663&gt;=MA_LONG2),AVERAGE(INDEX($C$1263:$C1663,402-MA_LONG2):$C1663),"")</f>
        <v/>
      </c>
      <c r="L1663" s="38" t="str">
        <f aca="false">IF(AND(ISNUMBER($G1663),$G1663&gt;=21),STDEV(INDEX($H$1603:$H1663,62-20):$H1663)*SQRT(245),"")</f>
        <v/>
      </c>
      <c r="M1663" s="37" t="str">
        <f aca="false">IF(AND(ISNUMBER($G1663),$G1663&gt;=60),MAX(INDEX($D$1463:$D1663,202-60):$D1663),"")</f>
        <v/>
      </c>
      <c r="N1663" s="37" t="str">
        <f aca="false">IF(AND(ISNUMBER($G1663),$G1663&gt;=60),MIN(INDEX($E$1463:$E1663,202-60):$E1663),"")</f>
        <v/>
      </c>
      <c r="O1663" s="38" t="str">
        <f aca="false">IF(OR(NOT(ISNUMBER($C1663)),NOT(ISNUMBER($M1663)),$M1663=0),"",$C1663/$M1663-1)</f>
        <v/>
      </c>
    </row>
    <row r="1664" customFormat="false" ht="15" hidden="false" customHeight="true" outlineLevel="0" collapsed="false">
      <c r="A1664" s="39"/>
      <c r="B1664" s="40"/>
      <c r="C1664" s="41"/>
      <c r="D1664" s="40"/>
      <c r="E1664" s="40"/>
      <c r="F1664" s="40"/>
      <c r="G1664" s="35" t="str">
        <f aca="false">IF($A1664="","",IF(ISNUMBER($G1663),$G1663+1,1))</f>
        <v/>
      </c>
      <c r="H1664" s="36" t="str">
        <f aca="false">IF(OR(NOT(ISNUMBER($G1664)),$G1664&lt;2,NOT(ISNUMBER($C1663)),$C1663=0),"",$C1664/$C1663-1)</f>
        <v/>
      </c>
      <c r="I1664" s="37" t="str">
        <f aca="false">IF(AND(ISNUMBER($G1664),$G1664&gt;=MA_SHORT),AVERAGE(INDEX($C$1264:$C1664,402-MA_SHORT):$C1664),"")</f>
        <v/>
      </c>
      <c r="J1664" s="37" t="str">
        <f aca="false">IF(AND(ISNUMBER($G1664),$G1664&gt;=MA_MED),AVERAGE(INDEX($C$1264:$C1664,402-MA_MED):$C1664),"")</f>
        <v/>
      </c>
      <c r="K1664" s="37" t="str">
        <f aca="false">IF(AND(ISNUMBER($G1664),$G1664&gt;=MA_LONG2),AVERAGE(INDEX($C$1264:$C1664,402-MA_LONG2):$C1664),"")</f>
        <v/>
      </c>
      <c r="L1664" s="38" t="str">
        <f aca="false">IF(AND(ISNUMBER($G1664),$G1664&gt;=21),STDEV(INDEX($H$1604:$H1664,62-20):$H1664)*SQRT(245),"")</f>
        <v/>
      </c>
      <c r="M1664" s="37" t="str">
        <f aca="false">IF(AND(ISNUMBER($G1664),$G1664&gt;=60),MAX(INDEX($D$1464:$D1664,202-60):$D1664),"")</f>
        <v/>
      </c>
      <c r="N1664" s="37" t="str">
        <f aca="false">IF(AND(ISNUMBER($G1664),$G1664&gt;=60),MIN(INDEX($E$1464:$E1664,202-60):$E1664),"")</f>
        <v/>
      </c>
      <c r="O1664" s="38" t="str">
        <f aca="false">IF(OR(NOT(ISNUMBER($C1664)),NOT(ISNUMBER($M1664)),$M1664=0),"",$C1664/$M1664-1)</f>
        <v/>
      </c>
    </row>
    <row r="1665" customFormat="false" ht="15" hidden="false" customHeight="true" outlineLevel="0" collapsed="false">
      <c r="A1665" s="39"/>
      <c r="B1665" s="40"/>
      <c r="C1665" s="41"/>
      <c r="D1665" s="40"/>
      <c r="E1665" s="40"/>
      <c r="F1665" s="40"/>
      <c r="G1665" s="35" t="str">
        <f aca="false">IF($A1665="","",IF(ISNUMBER($G1664),$G1664+1,1))</f>
        <v/>
      </c>
      <c r="H1665" s="36" t="str">
        <f aca="false">IF(OR(NOT(ISNUMBER($G1665)),$G1665&lt;2,NOT(ISNUMBER($C1664)),$C1664=0),"",$C1665/$C1664-1)</f>
        <v/>
      </c>
      <c r="I1665" s="37" t="str">
        <f aca="false">IF(AND(ISNUMBER($G1665),$G1665&gt;=MA_SHORT),AVERAGE(INDEX($C$1265:$C1665,402-MA_SHORT):$C1665),"")</f>
        <v/>
      </c>
      <c r="J1665" s="37" t="str">
        <f aca="false">IF(AND(ISNUMBER($G1665),$G1665&gt;=MA_MED),AVERAGE(INDEX($C$1265:$C1665,402-MA_MED):$C1665),"")</f>
        <v/>
      </c>
      <c r="K1665" s="37" t="str">
        <f aca="false">IF(AND(ISNUMBER($G1665),$G1665&gt;=MA_LONG2),AVERAGE(INDEX($C$1265:$C1665,402-MA_LONG2):$C1665),"")</f>
        <v/>
      </c>
      <c r="L1665" s="38" t="str">
        <f aca="false">IF(AND(ISNUMBER($G1665),$G1665&gt;=21),STDEV(INDEX($H$1605:$H1665,62-20):$H1665)*SQRT(245),"")</f>
        <v/>
      </c>
      <c r="M1665" s="37" t="str">
        <f aca="false">IF(AND(ISNUMBER($G1665),$G1665&gt;=60),MAX(INDEX($D$1465:$D1665,202-60):$D1665),"")</f>
        <v/>
      </c>
      <c r="N1665" s="37" t="str">
        <f aca="false">IF(AND(ISNUMBER($G1665),$G1665&gt;=60),MIN(INDEX($E$1465:$E1665,202-60):$E1665),"")</f>
        <v/>
      </c>
      <c r="O1665" s="38" t="str">
        <f aca="false">IF(OR(NOT(ISNUMBER($C1665)),NOT(ISNUMBER($M1665)),$M1665=0),"",$C1665/$M1665-1)</f>
        <v/>
      </c>
    </row>
    <row r="1666" customFormat="false" ht="15" hidden="false" customHeight="true" outlineLevel="0" collapsed="false">
      <c r="A1666" s="39"/>
      <c r="B1666" s="40"/>
      <c r="C1666" s="41"/>
      <c r="D1666" s="40"/>
      <c r="E1666" s="40"/>
      <c r="F1666" s="40"/>
      <c r="G1666" s="35" t="str">
        <f aca="false">IF($A1666="","",IF(ISNUMBER($G1665),$G1665+1,1))</f>
        <v/>
      </c>
      <c r="H1666" s="36" t="str">
        <f aca="false">IF(OR(NOT(ISNUMBER($G1666)),$G1666&lt;2,NOT(ISNUMBER($C1665)),$C1665=0),"",$C1666/$C1665-1)</f>
        <v/>
      </c>
      <c r="I1666" s="37" t="str">
        <f aca="false">IF(AND(ISNUMBER($G1666),$G1666&gt;=MA_SHORT),AVERAGE(INDEX($C$1266:$C1666,402-MA_SHORT):$C1666),"")</f>
        <v/>
      </c>
      <c r="J1666" s="37" t="str">
        <f aca="false">IF(AND(ISNUMBER($G1666),$G1666&gt;=MA_MED),AVERAGE(INDEX($C$1266:$C1666,402-MA_MED):$C1666),"")</f>
        <v/>
      </c>
      <c r="K1666" s="37" t="str">
        <f aca="false">IF(AND(ISNUMBER($G1666),$G1666&gt;=MA_LONG2),AVERAGE(INDEX($C$1266:$C1666,402-MA_LONG2):$C1666),"")</f>
        <v/>
      </c>
      <c r="L1666" s="38" t="str">
        <f aca="false">IF(AND(ISNUMBER($G1666),$G1666&gt;=21),STDEV(INDEX($H$1606:$H1666,62-20):$H1666)*SQRT(245),"")</f>
        <v/>
      </c>
      <c r="M1666" s="37" t="str">
        <f aca="false">IF(AND(ISNUMBER($G1666),$G1666&gt;=60),MAX(INDEX($D$1466:$D1666,202-60):$D1666),"")</f>
        <v/>
      </c>
      <c r="N1666" s="37" t="str">
        <f aca="false">IF(AND(ISNUMBER($G1666),$G1666&gt;=60),MIN(INDEX($E$1466:$E1666,202-60):$E1666),"")</f>
        <v/>
      </c>
      <c r="O1666" s="38" t="str">
        <f aca="false">IF(OR(NOT(ISNUMBER($C1666)),NOT(ISNUMBER($M1666)),$M1666=0),"",$C1666/$M1666-1)</f>
        <v/>
      </c>
    </row>
    <row r="1667" customFormat="false" ht="15" hidden="false" customHeight="true" outlineLevel="0" collapsed="false">
      <c r="A1667" s="39"/>
      <c r="B1667" s="40"/>
      <c r="C1667" s="41"/>
      <c r="D1667" s="40"/>
      <c r="E1667" s="40"/>
      <c r="F1667" s="40"/>
      <c r="G1667" s="35" t="str">
        <f aca="false">IF($A1667="","",IF(ISNUMBER($G1666),$G1666+1,1))</f>
        <v/>
      </c>
      <c r="H1667" s="36" t="str">
        <f aca="false">IF(OR(NOT(ISNUMBER($G1667)),$G1667&lt;2,NOT(ISNUMBER($C1666)),$C1666=0),"",$C1667/$C1666-1)</f>
        <v/>
      </c>
      <c r="I1667" s="37" t="str">
        <f aca="false">IF(AND(ISNUMBER($G1667),$G1667&gt;=MA_SHORT),AVERAGE(INDEX($C$1267:$C1667,402-MA_SHORT):$C1667),"")</f>
        <v/>
      </c>
      <c r="J1667" s="37" t="str">
        <f aca="false">IF(AND(ISNUMBER($G1667),$G1667&gt;=MA_MED),AVERAGE(INDEX($C$1267:$C1667,402-MA_MED):$C1667),"")</f>
        <v/>
      </c>
      <c r="K1667" s="37" t="str">
        <f aca="false">IF(AND(ISNUMBER($G1667),$G1667&gt;=MA_LONG2),AVERAGE(INDEX($C$1267:$C1667,402-MA_LONG2):$C1667),"")</f>
        <v/>
      </c>
      <c r="L1667" s="38" t="str">
        <f aca="false">IF(AND(ISNUMBER($G1667),$G1667&gt;=21),STDEV(INDEX($H$1607:$H1667,62-20):$H1667)*SQRT(245),"")</f>
        <v/>
      </c>
      <c r="M1667" s="37" t="str">
        <f aca="false">IF(AND(ISNUMBER($G1667),$G1667&gt;=60),MAX(INDEX($D$1467:$D1667,202-60):$D1667),"")</f>
        <v/>
      </c>
      <c r="N1667" s="37" t="str">
        <f aca="false">IF(AND(ISNUMBER($G1667),$G1667&gt;=60),MIN(INDEX($E$1467:$E1667,202-60):$E1667),"")</f>
        <v/>
      </c>
      <c r="O1667" s="38" t="str">
        <f aca="false">IF(OR(NOT(ISNUMBER($C1667)),NOT(ISNUMBER($M1667)),$M1667=0),"",$C1667/$M1667-1)</f>
        <v/>
      </c>
    </row>
    <row r="1668" customFormat="false" ht="15" hidden="false" customHeight="true" outlineLevel="0" collapsed="false">
      <c r="A1668" s="39"/>
      <c r="B1668" s="40"/>
      <c r="C1668" s="41"/>
      <c r="D1668" s="40"/>
      <c r="E1668" s="40"/>
      <c r="F1668" s="40"/>
      <c r="G1668" s="35" t="str">
        <f aca="false">IF($A1668="","",IF(ISNUMBER($G1667),$G1667+1,1))</f>
        <v/>
      </c>
      <c r="H1668" s="36" t="str">
        <f aca="false">IF(OR(NOT(ISNUMBER($G1668)),$G1668&lt;2,NOT(ISNUMBER($C1667)),$C1667=0),"",$C1668/$C1667-1)</f>
        <v/>
      </c>
      <c r="I1668" s="37" t="str">
        <f aca="false">IF(AND(ISNUMBER($G1668),$G1668&gt;=MA_SHORT),AVERAGE(INDEX($C$1268:$C1668,402-MA_SHORT):$C1668),"")</f>
        <v/>
      </c>
      <c r="J1668" s="37" t="str">
        <f aca="false">IF(AND(ISNUMBER($G1668),$G1668&gt;=MA_MED),AVERAGE(INDEX($C$1268:$C1668,402-MA_MED):$C1668),"")</f>
        <v/>
      </c>
      <c r="K1668" s="37" t="str">
        <f aca="false">IF(AND(ISNUMBER($G1668),$G1668&gt;=MA_LONG2),AVERAGE(INDEX($C$1268:$C1668,402-MA_LONG2):$C1668),"")</f>
        <v/>
      </c>
      <c r="L1668" s="38" t="str">
        <f aca="false">IF(AND(ISNUMBER($G1668),$G1668&gt;=21),STDEV(INDEX($H$1608:$H1668,62-20):$H1668)*SQRT(245),"")</f>
        <v/>
      </c>
      <c r="M1668" s="37" t="str">
        <f aca="false">IF(AND(ISNUMBER($G1668),$G1668&gt;=60),MAX(INDEX($D$1468:$D1668,202-60):$D1668),"")</f>
        <v/>
      </c>
      <c r="N1668" s="37" t="str">
        <f aca="false">IF(AND(ISNUMBER($G1668),$G1668&gt;=60),MIN(INDEX($E$1468:$E1668,202-60):$E1668),"")</f>
        <v/>
      </c>
      <c r="O1668" s="38" t="str">
        <f aca="false">IF(OR(NOT(ISNUMBER($C1668)),NOT(ISNUMBER($M1668)),$M1668=0),"",$C1668/$M1668-1)</f>
        <v/>
      </c>
    </row>
    <row r="1669" customFormat="false" ht="15" hidden="false" customHeight="true" outlineLevel="0" collapsed="false">
      <c r="A1669" s="39"/>
      <c r="B1669" s="40"/>
      <c r="C1669" s="41"/>
      <c r="D1669" s="40"/>
      <c r="E1669" s="40"/>
      <c r="F1669" s="40"/>
      <c r="G1669" s="35" t="str">
        <f aca="false">IF($A1669="","",IF(ISNUMBER($G1668),$G1668+1,1))</f>
        <v/>
      </c>
      <c r="H1669" s="36" t="str">
        <f aca="false">IF(OR(NOT(ISNUMBER($G1669)),$G1669&lt;2,NOT(ISNUMBER($C1668)),$C1668=0),"",$C1669/$C1668-1)</f>
        <v/>
      </c>
      <c r="I1669" s="37" t="str">
        <f aca="false">IF(AND(ISNUMBER($G1669),$G1669&gt;=MA_SHORT),AVERAGE(INDEX($C$1269:$C1669,402-MA_SHORT):$C1669),"")</f>
        <v/>
      </c>
      <c r="J1669" s="37" t="str">
        <f aca="false">IF(AND(ISNUMBER($G1669),$G1669&gt;=MA_MED),AVERAGE(INDEX($C$1269:$C1669,402-MA_MED):$C1669),"")</f>
        <v/>
      </c>
      <c r="K1669" s="37" t="str">
        <f aca="false">IF(AND(ISNUMBER($G1669),$G1669&gt;=MA_LONG2),AVERAGE(INDEX($C$1269:$C1669,402-MA_LONG2):$C1669),"")</f>
        <v/>
      </c>
      <c r="L1669" s="38" t="str">
        <f aca="false">IF(AND(ISNUMBER($G1669),$G1669&gt;=21),STDEV(INDEX($H$1609:$H1669,62-20):$H1669)*SQRT(245),"")</f>
        <v/>
      </c>
      <c r="M1669" s="37" t="str">
        <f aca="false">IF(AND(ISNUMBER($G1669),$G1669&gt;=60),MAX(INDEX($D$1469:$D1669,202-60):$D1669),"")</f>
        <v/>
      </c>
      <c r="N1669" s="37" t="str">
        <f aca="false">IF(AND(ISNUMBER($G1669),$G1669&gt;=60),MIN(INDEX($E$1469:$E1669,202-60):$E1669),"")</f>
        <v/>
      </c>
      <c r="O1669" s="38" t="str">
        <f aca="false">IF(OR(NOT(ISNUMBER($C1669)),NOT(ISNUMBER($M1669)),$M1669=0),"",$C1669/$M1669-1)</f>
        <v/>
      </c>
    </row>
    <row r="1670" customFormat="false" ht="15" hidden="false" customHeight="true" outlineLevel="0" collapsed="false">
      <c r="A1670" s="39"/>
      <c r="B1670" s="40"/>
      <c r="C1670" s="41"/>
      <c r="D1670" s="40"/>
      <c r="E1670" s="40"/>
      <c r="F1670" s="40"/>
      <c r="G1670" s="35" t="str">
        <f aca="false">IF($A1670="","",IF(ISNUMBER($G1669),$G1669+1,1))</f>
        <v/>
      </c>
      <c r="H1670" s="36" t="str">
        <f aca="false">IF(OR(NOT(ISNUMBER($G1670)),$G1670&lt;2,NOT(ISNUMBER($C1669)),$C1669=0),"",$C1670/$C1669-1)</f>
        <v/>
      </c>
      <c r="I1670" s="37" t="str">
        <f aca="false">IF(AND(ISNUMBER($G1670),$G1670&gt;=MA_SHORT),AVERAGE(INDEX($C$1270:$C1670,402-MA_SHORT):$C1670),"")</f>
        <v/>
      </c>
      <c r="J1670" s="37" t="str">
        <f aca="false">IF(AND(ISNUMBER($G1670),$G1670&gt;=MA_MED),AVERAGE(INDEX($C$1270:$C1670,402-MA_MED):$C1670),"")</f>
        <v/>
      </c>
      <c r="K1670" s="37" t="str">
        <f aca="false">IF(AND(ISNUMBER($G1670),$G1670&gt;=MA_LONG2),AVERAGE(INDEX($C$1270:$C1670,402-MA_LONG2):$C1670),"")</f>
        <v/>
      </c>
      <c r="L1670" s="38" t="str">
        <f aca="false">IF(AND(ISNUMBER($G1670),$G1670&gt;=21),STDEV(INDEX($H$1610:$H1670,62-20):$H1670)*SQRT(245),"")</f>
        <v/>
      </c>
      <c r="M1670" s="37" t="str">
        <f aca="false">IF(AND(ISNUMBER($G1670),$G1670&gt;=60),MAX(INDEX($D$1470:$D1670,202-60):$D1670),"")</f>
        <v/>
      </c>
      <c r="N1670" s="37" t="str">
        <f aca="false">IF(AND(ISNUMBER($G1670),$G1670&gt;=60),MIN(INDEX($E$1470:$E1670,202-60):$E1670),"")</f>
        <v/>
      </c>
      <c r="O1670" s="38" t="str">
        <f aca="false">IF(OR(NOT(ISNUMBER($C1670)),NOT(ISNUMBER($M1670)),$M1670=0),"",$C1670/$M1670-1)</f>
        <v/>
      </c>
    </row>
    <row r="1671" customFormat="false" ht="15" hidden="false" customHeight="true" outlineLevel="0" collapsed="false">
      <c r="A1671" s="39"/>
      <c r="B1671" s="40"/>
      <c r="C1671" s="41"/>
      <c r="D1671" s="40"/>
      <c r="E1671" s="40"/>
      <c r="F1671" s="40"/>
      <c r="G1671" s="35" t="str">
        <f aca="false">IF($A1671="","",IF(ISNUMBER($G1670),$G1670+1,1))</f>
        <v/>
      </c>
      <c r="H1671" s="36" t="str">
        <f aca="false">IF(OR(NOT(ISNUMBER($G1671)),$G1671&lt;2,NOT(ISNUMBER($C1670)),$C1670=0),"",$C1671/$C1670-1)</f>
        <v/>
      </c>
      <c r="I1671" s="37" t="str">
        <f aca="false">IF(AND(ISNUMBER($G1671),$G1671&gt;=MA_SHORT),AVERAGE(INDEX($C$1271:$C1671,402-MA_SHORT):$C1671),"")</f>
        <v/>
      </c>
      <c r="J1671" s="37" t="str">
        <f aca="false">IF(AND(ISNUMBER($G1671),$G1671&gt;=MA_MED),AVERAGE(INDEX($C$1271:$C1671,402-MA_MED):$C1671),"")</f>
        <v/>
      </c>
      <c r="K1671" s="37" t="str">
        <f aca="false">IF(AND(ISNUMBER($G1671),$G1671&gt;=MA_LONG2),AVERAGE(INDEX($C$1271:$C1671,402-MA_LONG2):$C1671),"")</f>
        <v/>
      </c>
      <c r="L1671" s="38" t="str">
        <f aca="false">IF(AND(ISNUMBER($G1671),$G1671&gt;=21),STDEV(INDEX($H$1611:$H1671,62-20):$H1671)*SQRT(245),"")</f>
        <v/>
      </c>
      <c r="M1671" s="37" t="str">
        <f aca="false">IF(AND(ISNUMBER($G1671),$G1671&gt;=60),MAX(INDEX($D$1471:$D1671,202-60):$D1671),"")</f>
        <v/>
      </c>
      <c r="N1671" s="37" t="str">
        <f aca="false">IF(AND(ISNUMBER($G1671),$G1671&gt;=60),MIN(INDEX($E$1471:$E1671,202-60):$E1671),"")</f>
        <v/>
      </c>
      <c r="O1671" s="38" t="str">
        <f aca="false">IF(OR(NOT(ISNUMBER($C1671)),NOT(ISNUMBER($M1671)),$M1671=0),"",$C1671/$M1671-1)</f>
        <v/>
      </c>
    </row>
    <row r="1672" customFormat="false" ht="15" hidden="false" customHeight="true" outlineLevel="0" collapsed="false">
      <c r="A1672" s="39"/>
      <c r="B1672" s="40"/>
      <c r="C1672" s="41"/>
      <c r="D1672" s="40"/>
      <c r="E1672" s="40"/>
      <c r="F1672" s="40"/>
      <c r="G1672" s="35" t="str">
        <f aca="false">IF($A1672="","",IF(ISNUMBER($G1671),$G1671+1,1))</f>
        <v/>
      </c>
      <c r="H1672" s="36" t="str">
        <f aca="false">IF(OR(NOT(ISNUMBER($G1672)),$G1672&lt;2,NOT(ISNUMBER($C1671)),$C1671=0),"",$C1672/$C1671-1)</f>
        <v/>
      </c>
      <c r="I1672" s="37" t="str">
        <f aca="false">IF(AND(ISNUMBER($G1672),$G1672&gt;=MA_SHORT),AVERAGE(INDEX($C$1272:$C1672,402-MA_SHORT):$C1672),"")</f>
        <v/>
      </c>
      <c r="J1672" s="37" t="str">
        <f aca="false">IF(AND(ISNUMBER($G1672),$G1672&gt;=MA_MED),AVERAGE(INDEX($C$1272:$C1672,402-MA_MED):$C1672),"")</f>
        <v/>
      </c>
      <c r="K1672" s="37" t="str">
        <f aca="false">IF(AND(ISNUMBER($G1672),$G1672&gt;=MA_LONG2),AVERAGE(INDEX($C$1272:$C1672,402-MA_LONG2):$C1672),"")</f>
        <v/>
      </c>
      <c r="L1672" s="38" t="str">
        <f aca="false">IF(AND(ISNUMBER($G1672),$G1672&gt;=21),STDEV(INDEX($H$1612:$H1672,62-20):$H1672)*SQRT(245),"")</f>
        <v/>
      </c>
      <c r="M1672" s="37" t="str">
        <f aca="false">IF(AND(ISNUMBER($G1672),$G1672&gt;=60),MAX(INDEX($D$1472:$D1672,202-60):$D1672),"")</f>
        <v/>
      </c>
      <c r="N1672" s="37" t="str">
        <f aca="false">IF(AND(ISNUMBER($G1672),$G1672&gt;=60),MIN(INDEX($E$1472:$E1672,202-60):$E1672),"")</f>
        <v/>
      </c>
      <c r="O1672" s="38" t="str">
        <f aca="false">IF(OR(NOT(ISNUMBER($C1672)),NOT(ISNUMBER($M1672)),$M1672=0),"",$C1672/$M1672-1)</f>
        <v/>
      </c>
    </row>
    <row r="1673" customFormat="false" ht="15" hidden="false" customHeight="true" outlineLevel="0" collapsed="false">
      <c r="A1673" s="39"/>
      <c r="B1673" s="40"/>
      <c r="C1673" s="41"/>
      <c r="D1673" s="40"/>
      <c r="E1673" s="40"/>
      <c r="F1673" s="40"/>
      <c r="G1673" s="35" t="str">
        <f aca="false">IF($A1673="","",IF(ISNUMBER($G1672),$G1672+1,1))</f>
        <v/>
      </c>
      <c r="H1673" s="36" t="str">
        <f aca="false">IF(OR(NOT(ISNUMBER($G1673)),$G1673&lt;2,NOT(ISNUMBER($C1672)),$C1672=0),"",$C1673/$C1672-1)</f>
        <v/>
      </c>
      <c r="I1673" s="37" t="str">
        <f aca="false">IF(AND(ISNUMBER($G1673),$G1673&gt;=MA_SHORT),AVERAGE(INDEX($C$1273:$C1673,402-MA_SHORT):$C1673),"")</f>
        <v/>
      </c>
      <c r="J1673" s="37" t="str">
        <f aca="false">IF(AND(ISNUMBER($G1673),$G1673&gt;=MA_MED),AVERAGE(INDEX($C$1273:$C1673,402-MA_MED):$C1673),"")</f>
        <v/>
      </c>
      <c r="K1673" s="37" t="str">
        <f aca="false">IF(AND(ISNUMBER($G1673),$G1673&gt;=MA_LONG2),AVERAGE(INDEX($C$1273:$C1673,402-MA_LONG2):$C1673),"")</f>
        <v/>
      </c>
      <c r="L1673" s="38" t="str">
        <f aca="false">IF(AND(ISNUMBER($G1673),$G1673&gt;=21),STDEV(INDEX($H$1613:$H1673,62-20):$H1673)*SQRT(245),"")</f>
        <v/>
      </c>
      <c r="M1673" s="37" t="str">
        <f aca="false">IF(AND(ISNUMBER($G1673),$G1673&gt;=60),MAX(INDEX($D$1473:$D1673,202-60):$D1673),"")</f>
        <v/>
      </c>
      <c r="N1673" s="37" t="str">
        <f aca="false">IF(AND(ISNUMBER($G1673),$G1673&gt;=60),MIN(INDEX($E$1473:$E1673,202-60):$E1673),"")</f>
        <v/>
      </c>
      <c r="O1673" s="38" t="str">
        <f aca="false">IF(OR(NOT(ISNUMBER($C1673)),NOT(ISNUMBER($M1673)),$M1673=0),"",$C1673/$M1673-1)</f>
        <v/>
      </c>
    </row>
    <row r="1674" customFormat="false" ht="15" hidden="false" customHeight="true" outlineLevel="0" collapsed="false">
      <c r="A1674" s="39"/>
      <c r="B1674" s="40"/>
      <c r="C1674" s="41"/>
      <c r="D1674" s="40"/>
      <c r="E1674" s="40"/>
      <c r="F1674" s="40"/>
      <c r="G1674" s="35" t="str">
        <f aca="false">IF($A1674="","",IF(ISNUMBER($G1673),$G1673+1,1))</f>
        <v/>
      </c>
      <c r="H1674" s="36" t="str">
        <f aca="false">IF(OR(NOT(ISNUMBER($G1674)),$G1674&lt;2,NOT(ISNUMBER($C1673)),$C1673=0),"",$C1674/$C1673-1)</f>
        <v/>
      </c>
      <c r="I1674" s="37" t="str">
        <f aca="false">IF(AND(ISNUMBER($G1674),$G1674&gt;=MA_SHORT),AVERAGE(INDEX($C$1274:$C1674,402-MA_SHORT):$C1674),"")</f>
        <v/>
      </c>
      <c r="J1674" s="37" t="str">
        <f aca="false">IF(AND(ISNUMBER($G1674),$G1674&gt;=MA_MED),AVERAGE(INDEX($C$1274:$C1674,402-MA_MED):$C1674),"")</f>
        <v/>
      </c>
      <c r="K1674" s="37" t="str">
        <f aca="false">IF(AND(ISNUMBER($G1674),$G1674&gt;=MA_LONG2),AVERAGE(INDEX($C$1274:$C1674,402-MA_LONG2):$C1674),"")</f>
        <v/>
      </c>
      <c r="L1674" s="38" t="str">
        <f aca="false">IF(AND(ISNUMBER($G1674),$G1674&gt;=21),STDEV(INDEX($H$1614:$H1674,62-20):$H1674)*SQRT(245),"")</f>
        <v/>
      </c>
      <c r="M1674" s="37" t="str">
        <f aca="false">IF(AND(ISNUMBER($G1674),$G1674&gt;=60),MAX(INDEX($D$1474:$D1674,202-60):$D1674),"")</f>
        <v/>
      </c>
      <c r="N1674" s="37" t="str">
        <f aca="false">IF(AND(ISNUMBER($G1674),$G1674&gt;=60),MIN(INDEX($E$1474:$E1674,202-60):$E1674),"")</f>
        <v/>
      </c>
      <c r="O1674" s="38" t="str">
        <f aca="false">IF(OR(NOT(ISNUMBER($C1674)),NOT(ISNUMBER($M1674)),$M1674=0),"",$C1674/$M1674-1)</f>
        <v/>
      </c>
    </row>
    <row r="1675" customFormat="false" ht="15" hidden="false" customHeight="true" outlineLevel="0" collapsed="false">
      <c r="A1675" s="39"/>
      <c r="B1675" s="40"/>
      <c r="C1675" s="41"/>
      <c r="D1675" s="40"/>
      <c r="E1675" s="40"/>
      <c r="F1675" s="40"/>
      <c r="G1675" s="35" t="str">
        <f aca="false">IF($A1675="","",IF(ISNUMBER($G1674),$G1674+1,1))</f>
        <v/>
      </c>
      <c r="H1675" s="36" t="str">
        <f aca="false">IF(OR(NOT(ISNUMBER($G1675)),$G1675&lt;2,NOT(ISNUMBER($C1674)),$C1674=0),"",$C1675/$C1674-1)</f>
        <v/>
      </c>
      <c r="I1675" s="37" t="str">
        <f aca="false">IF(AND(ISNUMBER($G1675),$G1675&gt;=MA_SHORT),AVERAGE(INDEX($C$1275:$C1675,402-MA_SHORT):$C1675),"")</f>
        <v/>
      </c>
      <c r="J1675" s="37" t="str">
        <f aca="false">IF(AND(ISNUMBER($G1675),$G1675&gt;=MA_MED),AVERAGE(INDEX($C$1275:$C1675,402-MA_MED):$C1675),"")</f>
        <v/>
      </c>
      <c r="K1675" s="37" t="str">
        <f aca="false">IF(AND(ISNUMBER($G1675),$G1675&gt;=MA_LONG2),AVERAGE(INDEX($C$1275:$C1675,402-MA_LONG2):$C1675),"")</f>
        <v/>
      </c>
      <c r="L1675" s="38" t="str">
        <f aca="false">IF(AND(ISNUMBER($G1675),$G1675&gt;=21),STDEV(INDEX($H$1615:$H1675,62-20):$H1675)*SQRT(245),"")</f>
        <v/>
      </c>
      <c r="M1675" s="37" t="str">
        <f aca="false">IF(AND(ISNUMBER($G1675),$G1675&gt;=60),MAX(INDEX($D$1475:$D1675,202-60):$D1675),"")</f>
        <v/>
      </c>
      <c r="N1675" s="37" t="str">
        <f aca="false">IF(AND(ISNUMBER($G1675),$G1675&gt;=60),MIN(INDEX($E$1475:$E1675,202-60):$E1675),"")</f>
        <v/>
      </c>
      <c r="O1675" s="38" t="str">
        <f aca="false">IF(OR(NOT(ISNUMBER($C1675)),NOT(ISNUMBER($M1675)),$M1675=0),"",$C1675/$M1675-1)</f>
        <v/>
      </c>
    </row>
    <row r="1676" customFormat="false" ht="15" hidden="false" customHeight="true" outlineLevel="0" collapsed="false">
      <c r="A1676" s="39"/>
      <c r="B1676" s="40"/>
      <c r="C1676" s="41"/>
      <c r="D1676" s="40"/>
      <c r="E1676" s="40"/>
      <c r="F1676" s="40"/>
      <c r="G1676" s="35" t="str">
        <f aca="false">IF($A1676="","",IF(ISNUMBER($G1675),$G1675+1,1))</f>
        <v/>
      </c>
      <c r="H1676" s="36" t="str">
        <f aca="false">IF(OR(NOT(ISNUMBER($G1676)),$G1676&lt;2,NOT(ISNUMBER($C1675)),$C1675=0),"",$C1676/$C1675-1)</f>
        <v/>
      </c>
      <c r="I1676" s="37" t="str">
        <f aca="false">IF(AND(ISNUMBER($G1676),$G1676&gt;=MA_SHORT),AVERAGE(INDEX($C$1276:$C1676,402-MA_SHORT):$C1676),"")</f>
        <v/>
      </c>
      <c r="J1676" s="37" t="str">
        <f aca="false">IF(AND(ISNUMBER($G1676),$G1676&gt;=MA_MED),AVERAGE(INDEX($C$1276:$C1676,402-MA_MED):$C1676),"")</f>
        <v/>
      </c>
      <c r="K1676" s="37" t="str">
        <f aca="false">IF(AND(ISNUMBER($G1676),$G1676&gt;=MA_LONG2),AVERAGE(INDEX($C$1276:$C1676,402-MA_LONG2):$C1676),"")</f>
        <v/>
      </c>
      <c r="L1676" s="38" t="str">
        <f aca="false">IF(AND(ISNUMBER($G1676),$G1676&gt;=21),STDEV(INDEX($H$1616:$H1676,62-20):$H1676)*SQRT(245),"")</f>
        <v/>
      </c>
      <c r="M1676" s="37" t="str">
        <f aca="false">IF(AND(ISNUMBER($G1676),$G1676&gt;=60),MAX(INDEX($D$1476:$D1676,202-60):$D1676),"")</f>
        <v/>
      </c>
      <c r="N1676" s="37" t="str">
        <f aca="false">IF(AND(ISNUMBER($G1676),$G1676&gt;=60),MIN(INDEX($E$1476:$E1676,202-60):$E1676),"")</f>
        <v/>
      </c>
      <c r="O1676" s="38" t="str">
        <f aca="false">IF(OR(NOT(ISNUMBER($C1676)),NOT(ISNUMBER($M1676)),$M1676=0),"",$C1676/$M1676-1)</f>
        <v/>
      </c>
    </row>
    <row r="1677" customFormat="false" ht="15" hidden="false" customHeight="true" outlineLevel="0" collapsed="false">
      <c r="A1677" s="39"/>
      <c r="B1677" s="40"/>
      <c r="C1677" s="41"/>
      <c r="D1677" s="40"/>
      <c r="E1677" s="40"/>
      <c r="F1677" s="40"/>
      <c r="G1677" s="35" t="str">
        <f aca="false">IF($A1677="","",IF(ISNUMBER($G1676),$G1676+1,1))</f>
        <v/>
      </c>
      <c r="H1677" s="36" t="str">
        <f aca="false">IF(OR(NOT(ISNUMBER($G1677)),$G1677&lt;2,NOT(ISNUMBER($C1676)),$C1676=0),"",$C1677/$C1676-1)</f>
        <v/>
      </c>
      <c r="I1677" s="37" t="str">
        <f aca="false">IF(AND(ISNUMBER($G1677),$G1677&gt;=MA_SHORT),AVERAGE(INDEX($C$1277:$C1677,402-MA_SHORT):$C1677),"")</f>
        <v/>
      </c>
      <c r="J1677" s="37" t="str">
        <f aca="false">IF(AND(ISNUMBER($G1677),$G1677&gt;=MA_MED),AVERAGE(INDEX($C$1277:$C1677,402-MA_MED):$C1677),"")</f>
        <v/>
      </c>
      <c r="K1677" s="37" t="str">
        <f aca="false">IF(AND(ISNUMBER($G1677),$G1677&gt;=MA_LONG2),AVERAGE(INDEX($C$1277:$C1677,402-MA_LONG2):$C1677),"")</f>
        <v/>
      </c>
      <c r="L1677" s="38" t="str">
        <f aca="false">IF(AND(ISNUMBER($G1677),$G1677&gt;=21),STDEV(INDEX($H$1617:$H1677,62-20):$H1677)*SQRT(245),"")</f>
        <v/>
      </c>
      <c r="M1677" s="37" t="str">
        <f aca="false">IF(AND(ISNUMBER($G1677),$G1677&gt;=60),MAX(INDEX($D$1477:$D1677,202-60):$D1677),"")</f>
        <v/>
      </c>
      <c r="N1677" s="37" t="str">
        <f aca="false">IF(AND(ISNUMBER($G1677),$G1677&gt;=60),MIN(INDEX($E$1477:$E1677,202-60):$E1677),"")</f>
        <v/>
      </c>
      <c r="O1677" s="38" t="str">
        <f aca="false">IF(OR(NOT(ISNUMBER($C1677)),NOT(ISNUMBER($M1677)),$M1677=0),"",$C1677/$M1677-1)</f>
        <v/>
      </c>
    </row>
    <row r="1678" customFormat="false" ht="15" hidden="false" customHeight="true" outlineLevel="0" collapsed="false">
      <c r="A1678" s="39"/>
      <c r="B1678" s="40"/>
      <c r="C1678" s="41"/>
      <c r="D1678" s="40"/>
      <c r="E1678" s="40"/>
      <c r="F1678" s="40"/>
      <c r="G1678" s="35" t="str">
        <f aca="false">IF($A1678="","",IF(ISNUMBER($G1677),$G1677+1,1))</f>
        <v/>
      </c>
      <c r="H1678" s="36" t="str">
        <f aca="false">IF(OR(NOT(ISNUMBER($G1678)),$G1678&lt;2,NOT(ISNUMBER($C1677)),$C1677=0),"",$C1678/$C1677-1)</f>
        <v/>
      </c>
      <c r="I1678" s="37" t="str">
        <f aca="false">IF(AND(ISNUMBER($G1678),$G1678&gt;=MA_SHORT),AVERAGE(INDEX($C$1278:$C1678,402-MA_SHORT):$C1678),"")</f>
        <v/>
      </c>
      <c r="J1678" s="37" t="str">
        <f aca="false">IF(AND(ISNUMBER($G1678),$G1678&gt;=MA_MED),AVERAGE(INDEX($C$1278:$C1678,402-MA_MED):$C1678),"")</f>
        <v/>
      </c>
      <c r="K1678" s="37" t="str">
        <f aca="false">IF(AND(ISNUMBER($G1678),$G1678&gt;=MA_LONG2),AVERAGE(INDEX($C$1278:$C1678,402-MA_LONG2):$C1678),"")</f>
        <v/>
      </c>
      <c r="L1678" s="38" t="str">
        <f aca="false">IF(AND(ISNUMBER($G1678),$G1678&gt;=21),STDEV(INDEX($H$1618:$H1678,62-20):$H1678)*SQRT(245),"")</f>
        <v/>
      </c>
      <c r="M1678" s="37" t="str">
        <f aca="false">IF(AND(ISNUMBER($G1678),$G1678&gt;=60),MAX(INDEX($D$1478:$D1678,202-60):$D1678),"")</f>
        <v/>
      </c>
      <c r="N1678" s="37" t="str">
        <f aca="false">IF(AND(ISNUMBER($G1678),$G1678&gt;=60),MIN(INDEX($E$1478:$E1678,202-60):$E1678),"")</f>
        <v/>
      </c>
      <c r="O1678" s="38" t="str">
        <f aca="false">IF(OR(NOT(ISNUMBER($C1678)),NOT(ISNUMBER($M1678)),$M1678=0),"",$C1678/$M1678-1)</f>
        <v/>
      </c>
    </row>
    <row r="1679" customFormat="false" ht="15" hidden="false" customHeight="true" outlineLevel="0" collapsed="false">
      <c r="A1679" s="39"/>
      <c r="B1679" s="40"/>
      <c r="C1679" s="41"/>
      <c r="D1679" s="40"/>
      <c r="E1679" s="40"/>
      <c r="F1679" s="40"/>
      <c r="G1679" s="35" t="str">
        <f aca="false">IF($A1679="","",IF(ISNUMBER($G1678),$G1678+1,1))</f>
        <v/>
      </c>
      <c r="H1679" s="36" t="str">
        <f aca="false">IF(OR(NOT(ISNUMBER($G1679)),$G1679&lt;2,NOT(ISNUMBER($C1678)),$C1678=0),"",$C1679/$C1678-1)</f>
        <v/>
      </c>
      <c r="I1679" s="37" t="str">
        <f aca="false">IF(AND(ISNUMBER($G1679),$G1679&gt;=MA_SHORT),AVERAGE(INDEX($C$1279:$C1679,402-MA_SHORT):$C1679),"")</f>
        <v/>
      </c>
      <c r="J1679" s="37" t="str">
        <f aca="false">IF(AND(ISNUMBER($G1679),$G1679&gt;=MA_MED),AVERAGE(INDEX($C$1279:$C1679,402-MA_MED):$C1679),"")</f>
        <v/>
      </c>
      <c r="K1679" s="37" t="str">
        <f aca="false">IF(AND(ISNUMBER($G1679),$G1679&gt;=MA_LONG2),AVERAGE(INDEX($C$1279:$C1679,402-MA_LONG2):$C1679),"")</f>
        <v/>
      </c>
      <c r="L1679" s="38" t="str">
        <f aca="false">IF(AND(ISNUMBER($G1679),$G1679&gt;=21),STDEV(INDEX($H$1619:$H1679,62-20):$H1679)*SQRT(245),"")</f>
        <v/>
      </c>
      <c r="M1679" s="37" t="str">
        <f aca="false">IF(AND(ISNUMBER($G1679),$G1679&gt;=60),MAX(INDEX($D$1479:$D1679,202-60):$D1679),"")</f>
        <v/>
      </c>
      <c r="N1679" s="37" t="str">
        <f aca="false">IF(AND(ISNUMBER($G1679),$G1679&gt;=60),MIN(INDEX($E$1479:$E1679,202-60):$E1679),"")</f>
        <v/>
      </c>
      <c r="O1679" s="38" t="str">
        <f aca="false">IF(OR(NOT(ISNUMBER($C1679)),NOT(ISNUMBER($M1679)),$M1679=0),"",$C1679/$M1679-1)</f>
        <v/>
      </c>
    </row>
    <row r="1680" customFormat="false" ht="15" hidden="false" customHeight="true" outlineLevel="0" collapsed="false">
      <c r="A1680" s="39"/>
      <c r="B1680" s="40"/>
      <c r="C1680" s="41"/>
      <c r="D1680" s="40"/>
      <c r="E1680" s="40"/>
      <c r="F1680" s="40"/>
      <c r="G1680" s="35" t="str">
        <f aca="false">IF($A1680="","",IF(ISNUMBER($G1679),$G1679+1,1))</f>
        <v/>
      </c>
      <c r="H1680" s="36" t="str">
        <f aca="false">IF(OR(NOT(ISNUMBER($G1680)),$G1680&lt;2,NOT(ISNUMBER($C1679)),$C1679=0),"",$C1680/$C1679-1)</f>
        <v/>
      </c>
      <c r="I1680" s="37" t="str">
        <f aca="false">IF(AND(ISNUMBER($G1680),$G1680&gt;=MA_SHORT),AVERAGE(INDEX($C$1280:$C1680,402-MA_SHORT):$C1680),"")</f>
        <v/>
      </c>
      <c r="J1680" s="37" t="str">
        <f aca="false">IF(AND(ISNUMBER($G1680),$G1680&gt;=MA_MED),AVERAGE(INDEX($C$1280:$C1680,402-MA_MED):$C1680),"")</f>
        <v/>
      </c>
      <c r="K1680" s="37" t="str">
        <f aca="false">IF(AND(ISNUMBER($G1680),$G1680&gt;=MA_LONG2),AVERAGE(INDEX($C$1280:$C1680,402-MA_LONG2):$C1680),"")</f>
        <v/>
      </c>
      <c r="L1680" s="38" t="str">
        <f aca="false">IF(AND(ISNUMBER($G1680),$G1680&gt;=21),STDEV(INDEX($H$1620:$H1680,62-20):$H1680)*SQRT(245),"")</f>
        <v/>
      </c>
      <c r="M1680" s="37" t="str">
        <f aca="false">IF(AND(ISNUMBER($G1680),$G1680&gt;=60),MAX(INDEX($D$1480:$D1680,202-60):$D1680),"")</f>
        <v/>
      </c>
      <c r="N1680" s="37" t="str">
        <f aca="false">IF(AND(ISNUMBER($G1680),$G1680&gt;=60),MIN(INDEX($E$1480:$E1680,202-60):$E1680),"")</f>
        <v/>
      </c>
      <c r="O1680" s="38" t="str">
        <f aca="false">IF(OR(NOT(ISNUMBER($C1680)),NOT(ISNUMBER($M1680)),$M1680=0),"",$C1680/$M1680-1)</f>
        <v/>
      </c>
    </row>
    <row r="1681" customFormat="false" ht="15" hidden="false" customHeight="true" outlineLevel="0" collapsed="false">
      <c r="A1681" s="39"/>
      <c r="B1681" s="40"/>
      <c r="C1681" s="41"/>
      <c r="D1681" s="40"/>
      <c r="E1681" s="40"/>
      <c r="F1681" s="40"/>
      <c r="G1681" s="35" t="str">
        <f aca="false">IF($A1681="","",IF(ISNUMBER($G1680),$G1680+1,1))</f>
        <v/>
      </c>
      <c r="H1681" s="36" t="str">
        <f aca="false">IF(OR(NOT(ISNUMBER($G1681)),$G1681&lt;2,NOT(ISNUMBER($C1680)),$C1680=0),"",$C1681/$C1680-1)</f>
        <v/>
      </c>
      <c r="I1681" s="37" t="str">
        <f aca="false">IF(AND(ISNUMBER($G1681),$G1681&gt;=MA_SHORT),AVERAGE(INDEX($C$1281:$C1681,402-MA_SHORT):$C1681),"")</f>
        <v/>
      </c>
      <c r="J1681" s="37" t="str">
        <f aca="false">IF(AND(ISNUMBER($G1681),$G1681&gt;=MA_MED),AVERAGE(INDEX($C$1281:$C1681,402-MA_MED):$C1681),"")</f>
        <v/>
      </c>
      <c r="K1681" s="37" t="str">
        <f aca="false">IF(AND(ISNUMBER($G1681),$G1681&gt;=MA_LONG2),AVERAGE(INDEX($C$1281:$C1681,402-MA_LONG2):$C1681),"")</f>
        <v/>
      </c>
      <c r="L1681" s="38" t="str">
        <f aca="false">IF(AND(ISNUMBER($G1681),$G1681&gt;=21),STDEV(INDEX($H$1621:$H1681,62-20):$H1681)*SQRT(245),"")</f>
        <v/>
      </c>
      <c r="M1681" s="37" t="str">
        <f aca="false">IF(AND(ISNUMBER($G1681),$G1681&gt;=60),MAX(INDEX($D$1481:$D1681,202-60):$D1681),"")</f>
        <v/>
      </c>
      <c r="N1681" s="37" t="str">
        <f aca="false">IF(AND(ISNUMBER($G1681),$G1681&gt;=60),MIN(INDEX($E$1481:$E1681,202-60):$E1681),"")</f>
        <v/>
      </c>
      <c r="O1681" s="38" t="str">
        <f aca="false">IF(OR(NOT(ISNUMBER($C1681)),NOT(ISNUMBER($M1681)),$M1681=0),"",$C1681/$M1681-1)</f>
        <v/>
      </c>
    </row>
    <row r="1682" customFormat="false" ht="15" hidden="false" customHeight="true" outlineLevel="0" collapsed="false">
      <c r="A1682" s="39"/>
      <c r="B1682" s="40"/>
      <c r="C1682" s="41"/>
      <c r="D1682" s="40"/>
      <c r="E1682" s="40"/>
      <c r="F1682" s="40"/>
      <c r="G1682" s="35" t="str">
        <f aca="false">IF($A1682="","",IF(ISNUMBER($G1681),$G1681+1,1))</f>
        <v/>
      </c>
      <c r="H1682" s="36" t="str">
        <f aca="false">IF(OR(NOT(ISNUMBER($G1682)),$G1682&lt;2,NOT(ISNUMBER($C1681)),$C1681=0),"",$C1682/$C1681-1)</f>
        <v/>
      </c>
      <c r="I1682" s="37" t="str">
        <f aca="false">IF(AND(ISNUMBER($G1682),$G1682&gt;=MA_SHORT),AVERAGE(INDEX($C$1282:$C1682,402-MA_SHORT):$C1682),"")</f>
        <v/>
      </c>
      <c r="J1682" s="37" t="str">
        <f aca="false">IF(AND(ISNUMBER($G1682),$G1682&gt;=MA_MED),AVERAGE(INDEX($C$1282:$C1682,402-MA_MED):$C1682),"")</f>
        <v/>
      </c>
      <c r="K1682" s="37" t="str">
        <f aca="false">IF(AND(ISNUMBER($G1682),$G1682&gt;=MA_LONG2),AVERAGE(INDEX($C$1282:$C1682,402-MA_LONG2):$C1682),"")</f>
        <v/>
      </c>
      <c r="L1682" s="38" t="str">
        <f aca="false">IF(AND(ISNUMBER($G1682),$G1682&gt;=21),STDEV(INDEX($H$1622:$H1682,62-20):$H1682)*SQRT(245),"")</f>
        <v/>
      </c>
      <c r="M1682" s="37" t="str">
        <f aca="false">IF(AND(ISNUMBER($G1682),$G1682&gt;=60),MAX(INDEX($D$1482:$D1682,202-60):$D1682),"")</f>
        <v/>
      </c>
      <c r="N1682" s="37" t="str">
        <f aca="false">IF(AND(ISNUMBER($G1682),$G1682&gt;=60),MIN(INDEX($E$1482:$E1682,202-60):$E1682),"")</f>
        <v/>
      </c>
      <c r="O1682" s="38" t="str">
        <f aca="false">IF(OR(NOT(ISNUMBER($C1682)),NOT(ISNUMBER($M1682)),$M1682=0),"",$C1682/$M1682-1)</f>
        <v/>
      </c>
    </row>
    <row r="1683" customFormat="false" ht="15" hidden="false" customHeight="true" outlineLevel="0" collapsed="false">
      <c r="A1683" s="39"/>
      <c r="B1683" s="40"/>
      <c r="C1683" s="41"/>
      <c r="D1683" s="40"/>
      <c r="E1683" s="40"/>
      <c r="F1683" s="40"/>
      <c r="G1683" s="35" t="str">
        <f aca="false">IF($A1683="","",IF(ISNUMBER($G1682),$G1682+1,1))</f>
        <v/>
      </c>
      <c r="H1683" s="36" t="str">
        <f aca="false">IF(OR(NOT(ISNUMBER($G1683)),$G1683&lt;2,NOT(ISNUMBER($C1682)),$C1682=0),"",$C1683/$C1682-1)</f>
        <v/>
      </c>
      <c r="I1683" s="37" t="str">
        <f aca="false">IF(AND(ISNUMBER($G1683),$G1683&gt;=MA_SHORT),AVERAGE(INDEX($C$1283:$C1683,402-MA_SHORT):$C1683),"")</f>
        <v/>
      </c>
      <c r="J1683" s="37" t="str">
        <f aca="false">IF(AND(ISNUMBER($G1683),$G1683&gt;=MA_MED),AVERAGE(INDEX($C$1283:$C1683,402-MA_MED):$C1683),"")</f>
        <v/>
      </c>
      <c r="K1683" s="37" t="str">
        <f aca="false">IF(AND(ISNUMBER($G1683),$G1683&gt;=MA_LONG2),AVERAGE(INDEX($C$1283:$C1683,402-MA_LONG2):$C1683),"")</f>
        <v/>
      </c>
      <c r="L1683" s="38" t="str">
        <f aca="false">IF(AND(ISNUMBER($G1683),$G1683&gt;=21),STDEV(INDEX($H$1623:$H1683,62-20):$H1683)*SQRT(245),"")</f>
        <v/>
      </c>
      <c r="M1683" s="37" t="str">
        <f aca="false">IF(AND(ISNUMBER($G1683),$G1683&gt;=60),MAX(INDEX($D$1483:$D1683,202-60):$D1683),"")</f>
        <v/>
      </c>
      <c r="N1683" s="37" t="str">
        <f aca="false">IF(AND(ISNUMBER($G1683),$G1683&gt;=60),MIN(INDEX($E$1483:$E1683,202-60):$E1683),"")</f>
        <v/>
      </c>
      <c r="O1683" s="38" t="str">
        <f aca="false">IF(OR(NOT(ISNUMBER($C1683)),NOT(ISNUMBER($M1683)),$M1683=0),"",$C1683/$M1683-1)</f>
        <v/>
      </c>
    </row>
    <row r="1684" customFormat="false" ht="15" hidden="false" customHeight="true" outlineLevel="0" collapsed="false">
      <c r="A1684" s="39"/>
      <c r="B1684" s="40"/>
      <c r="C1684" s="41"/>
      <c r="D1684" s="40"/>
      <c r="E1684" s="40"/>
      <c r="F1684" s="40"/>
      <c r="G1684" s="35" t="str">
        <f aca="false">IF($A1684="","",IF(ISNUMBER($G1683),$G1683+1,1))</f>
        <v/>
      </c>
      <c r="H1684" s="36" t="str">
        <f aca="false">IF(OR(NOT(ISNUMBER($G1684)),$G1684&lt;2,NOT(ISNUMBER($C1683)),$C1683=0),"",$C1684/$C1683-1)</f>
        <v/>
      </c>
      <c r="I1684" s="37" t="str">
        <f aca="false">IF(AND(ISNUMBER($G1684),$G1684&gt;=MA_SHORT),AVERAGE(INDEX($C$1284:$C1684,402-MA_SHORT):$C1684),"")</f>
        <v/>
      </c>
      <c r="J1684" s="37" t="str">
        <f aca="false">IF(AND(ISNUMBER($G1684),$G1684&gt;=MA_MED),AVERAGE(INDEX($C$1284:$C1684,402-MA_MED):$C1684),"")</f>
        <v/>
      </c>
      <c r="K1684" s="37" t="str">
        <f aca="false">IF(AND(ISNUMBER($G1684),$G1684&gt;=MA_LONG2),AVERAGE(INDEX($C$1284:$C1684,402-MA_LONG2):$C1684),"")</f>
        <v/>
      </c>
      <c r="L1684" s="38" t="str">
        <f aca="false">IF(AND(ISNUMBER($G1684),$G1684&gt;=21),STDEV(INDEX($H$1624:$H1684,62-20):$H1684)*SQRT(245),"")</f>
        <v/>
      </c>
      <c r="M1684" s="37" t="str">
        <f aca="false">IF(AND(ISNUMBER($G1684),$G1684&gt;=60),MAX(INDEX($D$1484:$D1684,202-60):$D1684),"")</f>
        <v/>
      </c>
      <c r="N1684" s="37" t="str">
        <f aca="false">IF(AND(ISNUMBER($G1684),$G1684&gt;=60),MIN(INDEX($E$1484:$E1684,202-60):$E1684),"")</f>
        <v/>
      </c>
      <c r="O1684" s="38" t="str">
        <f aca="false">IF(OR(NOT(ISNUMBER($C1684)),NOT(ISNUMBER($M1684)),$M1684=0),"",$C1684/$M1684-1)</f>
        <v/>
      </c>
    </row>
    <row r="1685" customFormat="false" ht="15" hidden="false" customHeight="true" outlineLevel="0" collapsed="false">
      <c r="A1685" s="39"/>
      <c r="B1685" s="40"/>
      <c r="C1685" s="41"/>
      <c r="D1685" s="40"/>
      <c r="E1685" s="40"/>
      <c r="F1685" s="40"/>
      <c r="G1685" s="35" t="str">
        <f aca="false">IF($A1685="","",IF(ISNUMBER($G1684),$G1684+1,1))</f>
        <v/>
      </c>
      <c r="H1685" s="36" t="str">
        <f aca="false">IF(OR(NOT(ISNUMBER($G1685)),$G1685&lt;2,NOT(ISNUMBER($C1684)),$C1684=0),"",$C1685/$C1684-1)</f>
        <v/>
      </c>
      <c r="I1685" s="37" t="str">
        <f aca="false">IF(AND(ISNUMBER($G1685),$G1685&gt;=MA_SHORT),AVERAGE(INDEX($C$1285:$C1685,402-MA_SHORT):$C1685),"")</f>
        <v/>
      </c>
      <c r="J1685" s="37" t="str">
        <f aca="false">IF(AND(ISNUMBER($G1685),$G1685&gt;=MA_MED),AVERAGE(INDEX($C$1285:$C1685,402-MA_MED):$C1685),"")</f>
        <v/>
      </c>
      <c r="K1685" s="37" t="str">
        <f aca="false">IF(AND(ISNUMBER($G1685),$G1685&gt;=MA_LONG2),AVERAGE(INDEX($C$1285:$C1685,402-MA_LONG2):$C1685),"")</f>
        <v/>
      </c>
      <c r="L1685" s="38" t="str">
        <f aca="false">IF(AND(ISNUMBER($G1685),$G1685&gt;=21),STDEV(INDEX($H$1625:$H1685,62-20):$H1685)*SQRT(245),"")</f>
        <v/>
      </c>
      <c r="M1685" s="37" t="str">
        <f aca="false">IF(AND(ISNUMBER($G1685),$G1685&gt;=60),MAX(INDEX($D$1485:$D1685,202-60):$D1685),"")</f>
        <v/>
      </c>
      <c r="N1685" s="37" t="str">
        <f aca="false">IF(AND(ISNUMBER($G1685),$G1685&gt;=60),MIN(INDEX($E$1485:$E1685,202-60):$E1685),"")</f>
        <v/>
      </c>
      <c r="O1685" s="38" t="str">
        <f aca="false">IF(OR(NOT(ISNUMBER($C1685)),NOT(ISNUMBER($M1685)),$M1685=0),"",$C1685/$M1685-1)</f>
        <v/>
      </c>
    </row>
    <row r="1686" customFormat="false" ht="15" hidden="false" customHeight="true" outlineLevel="0" collapsed="false">
      <c r="A1686" s="39"/>
      <c r="B1686" s="40"/>
      <c r="C1686" s="41"/>
      <c r="D1686" s="40"/>
      <c r="E1686" s="40"/>
      <c r="F1686" s="40"/>
      <c r="G1686" s="35" t="str">
        <f aca="false">IF($A1686="","",IF(ISNUMBER($G1685),$G1685+1,1))</f>
        <v/>
      </c>
      <c r="H1686" s="36" t="str">
        <f aca="false">IF(OR(NOT(ISNUMBER($G1686)),$G1686&lt;2,NOT(ISNUMBER($C1685)),$C1685=0),"",$C1686/$C1685-1)</f>
        <v/>
      </c>
      <c r="I1686" s="37" t="str">
        <f aca="false">IF(AND(ISNUMBER($G1686),$G1686&gt;=MA_SHORT),AVERAGE(INDEX($C$1286:$C1686,402-MA_SHORT):$C1686),"")</f>
        <v/>
      </c>
      <c r="J1686" s="37" t="str">
        <f aca="false">IF(AND(ISNUMBER($G1686),$G1686&gt;=MA_MED),AVERAGE(INDEX($C$1286:$C1686,402-MA_MED):$C1686),"")</f>
        <v/>
      </c>
      <c r="K1686" s="37" t="str">
        <f aca="false">IF(AND(ISNUMBER($G1686),$G1686&gt;=MA_LONG2),AVERAGE(INDEX($C$1286:$C1686,402-MA_LONG2):$C1686),"")</f>
        <v/>
      </c>
      <c r="L1686" s="38" t="str">
        <f aca="false">IF(AND(ISNUMBER($G1686),$G1686&gt;=21),STDEV(INDEX($H$1626:$H1686,62-20):$H1686)*SQRT(245),"")</f>
        <v/>
      </c>
      <c r="M1686" s="37" t="str">
        <f aca="false">IF(AND(ISNUMBER($G1686),$G1686&gt;=60),MAX(INDEX($D$1486:$D1686,202-60):$D1686),"")</f>
        <v/>
      </c>
      <c r="N1686" s="37" t="str">
        <f aca="false">IF(AND(ISNUMBER($G1686),$G1686&gt;=60),MIN(INDEX($E$1486:$E1686,202-60):$E1686),"")</f>
        <v/>
      </c>
      <c r="O1686" s="38" t="str">
        <f aca="false">IF(OR(NOT(ISNUMBER($C1686)),NOT(ISNUMBER($M1686)),$M1686=0),"",$C1686/$M1686-1)</f>
        <v/>
      </c>
    </row>
    <row r="1687" customFormat="false" ht="15" hidden="false" customHeight="true" outlineLevel="0" collapsed="false">
      <c r="A1687" s="39"/>
      <c r="B1687" s="40"/>
      <c r="C1687" s="41"/>
      <c r="D1687" s="40"/>
      <c r="E1687" s="40"/>
      <c r="F1687" s="40"/>
      <c r="G1687" s="35" t="str">
        <f aca="false">IF($A1687="","",IF(ISNUMBER($G1686),$G1686+1,1))</f>
        <v/>
      </c>
      <c r="H1687" s="36" t="str">
        <f aca="false">IF(OR(NOT(ISNUMBER($G1687)),$G1687&lt;2,NOT(ISNUMBER($C1686)),$C1686=0),"",$C1687/$C1686-1)</f>
        <v/>
      </c>
      <c r="I1687" s="37" t="str">
        <f aca="false">IF(AND(ISNUMBER($G1687),$G1687&gt;=MA_SHORT),AVERAGE(INDEX($C$1287:$C1687,402-MA_SHORT):$C1687),"")</f>
        <v/>
      </c>
      <c r="J1687" s="37" t="str">
        <f aca="false">IF(AND(ISNUMBER($G1687),$G1687&gt;=MA_MED),AVERAGE(INDEX($C$1287:$C1687,402-MA_MED):$C1687),"")</f>
        <v/>
      </c>
      <c r="K1687" s="37" t="str">
        <f aca="false">IF(AND(ISNUMBER($G1687),$G1687&gt;=MA_LONG2),AVERAGE(INDEX($C$1287:$C1687,402-MA_LONG2):$C1687),"")</f>
        <v/>
      </c>
      <c r="L1687" s="38" t="str">
        <f aca="false">IF(AND(ISNUMBER($G1687),$G1687&gt;=21),STDEV(INDEX($H$1627:$H1687,62-20):$H1687)*SQRT(245),"")</f>
        <v/>
      </c>
      <c r="M1687" s="37" t="str">
        <f aca="false">IF(AND(ISNUMBER($G1687),$G1687&gt;=60),MAX(INDEX($D$1487:$D1687,202-60):$D1687),"")</f>
        <v/>
      </c>
      <c r="N1687" s="37" t="str">
        <f aca="false">IF(AND(ISNUMBER($G1687),$G1687&gt;=60),MIN(INDEX($E$1487:$E1687,202-60):$E1687),"")</f>
        <v/>
      </c>
      <c r="O1687" s="38" t="str">
        <f aca="false">IF(OR(NOT(ISNUMBER($C1687)),NOT(ISNUMBER($M1687)),$M1687=0),"",$C1687/$M1687-1)</f>
        <v/>
      </c>
    </row>
    <row r="1688" customFormat="false" ht="15" hidden="false" customHeight="true" outlineLevel="0" collapsed="false">
      <c r="A1688" s="39"/>
      <c r="B1688" s="40"/>
      <c r="C1688" s="41"/>
      <c r="D1688" s="40"/>
      <c r="E1688" s="40"/>
      <c r="F1688" s="40"/>
      <c r="G1688" s="35" t="str">
        <f aca="false">IF($A1688="","",IF(ISNUMBER($G1687),$G1687+1,1))</f>
        <v/>
      </c>
      <c r="H1688" s="36" t="str">
        <f aca="false">IF(OR(NOT(ISNUMBER($G1688)),$G1688&lt;2,NOT(ISNUMBER($C1687)),$C1687=0),"",$C1688/$C1687-1)</f>
        <v/>
      </c>
      <c r="I1688" s="37" t="str">
        <f aca="false">IF(AND(ISNUMBER($G1688),$G1688&gt;=MA_SHORT),AVERAGE(INDEX($C$1288:$C1688,402-MA_SHORT):$C1688),"")</f>
        <v/>
      </c>
      <c r="J1688" s="37" t="str">
        <f aca="false">IF(AND(ISNUMBER($G1688),$G1688&gt;=MA_MED),AVERAGE(INDEX($C$1288:$C1688,402-MA_MED):$C1688),"")</f>
        <v/>
      </c>
      <c r="K1688" s="37" t="str">
        <f aca="false">IF(AND(ISNUMBER($G1688),$G1688&gt;=MA_LONG2),AVERAGE(INDEX($C$1288:$C1688,402-MA_LONG2):$C1688),"")</f>
        <v/>
      </c>
      <c r="L1688" s="38" t="str">
        <f aca="false">IF(AND(ISNUMBER($G1688),$G1688&gt;=21),STDEV(INDEX($H$1628:$H1688,62-20):$H1688)*SQRT(245),"")</f>
        <v/>
      </c>
      <c r="M1688" s="37" t="str">
        <f aca="false">IF(AND(ISNUMBER($G1688),$G1688&gt;=60),MAX(INDEX($D$1488:$D1688,202-60):$D1688),"")</f>
        <v/>
      </c>
      <c r="N1688" s="37" t="str">
        <f aca="false">IF(AND(ISNUMBER($G1688),$G1688&gt;=60),MIN(INDEX($E$1488:$E1688,202-60):$E1688),"")</f>
        <v/>
      </c>
      <c r="O1688" s="38" t="str">
        <f aca="false">IF(OR(NOT(ISNUMBER($C1688)),NOT(ISNUMBER($M1688)),$M1688=0),"",$C1688/$M1688-1)</f>
        <v/>
      </c>
    </row>
    <row r="1689" customFormat="false" ht="15" hidden="false" customHeight="true" outlineLevel="0" collapsed="false">
      <c r="A1689" s="39"/>
      <c r="B1689" s="40"/>
      <c r="C1689" s="41"/>
      <c r="D1689" s="40"/>
      <c r="E1689" s="40"/>
      <c r="F1689" s="40"/>
      <c r="G1689" s="35" t="str">
        <f aca="false">IF($A1689="","",IF(ISNUMBER($G1688),$G1688+1,1))</f>
        <v/>
      </c>
      <c r="H1689" s="36" t="str">
        <f aca="false">IF(OR(NOT(ISNUMBER($G1689)),$G1689&lt;2,NOT(ISNUMBER($C1688)),$C1688=0),"",$C1689/$C1688-1)</f>
        <v/>
      </c>
      <c r="I1689" s="37" t="str">
        <f aca="false">IF(AND(ISNUMBER($G1689),$G1689&gt;=MA_SHORT),AVERAGE(INDEX($C$1289:$C1689,402-MA_SHORT):$C1689),"")</f>
        <v/>
      </c>
      <c r="J1689" s="37" t="str">
        <f aca="false">IF(AND(ISNUMBER($G1689),$G1689&gt;=MA_MED),AVERAGE(INDEX($C$1289:$C1689,402-MA_MED):$C1689),"")</f>
        <v/>
      </c>
      <c r="K1689" s="37" t="str">
        <f aca="false">IF(AND(ISNUMBER($G1689),$G1689&gt;=MA_LONG2),AVERAGE(INDEX($C$1289:$C1689,402-MA_LONG2):$C1689),"")</f>
        <v/>
      </c>
      <c r="L1689" s="38" t="str">
        <f aca="false">IF(AND(ISNUMBER($G1689),$G1689&gt;=21),STDEV(INDEX($H$1629:$H1689,62-20):$H1689)*SQRT(245),"")</f>
        <v/>
      </c>
      <c r="M1689" s="37" t="str">
        <f aca="false">IF(AND(ISNUMBER($G1689),$G1689&gt;=60),MAX(INDEX($D$1489:$D1689,202-60):$D1689),"")</f>
        <v/>
      </c>
      <c r="N1689" s="37" t="str">
        <f aca="false">IF(AND(ISNUMBER($G1689),$G1689&gt;=60),MIN(INDEX($E$1489:$E1689,202-60):$E1689),"")</f>
        <v/>
      </c>
      <c r="O1689" s="38" t="str">
        <f aca="false">IF(OR(NOT(ISNUMBER($C1689)),NOT(ISNUMBER($M1689)),$M1689=0),"",$C1689/$M1689-1)</f>
        <v/>
      </c>
    </row>
    <row r="1690" customFormat="false" ht="15" hidden="false" customHeight="true" outlineLevel="0" collapsed="false">
      <c r="A1690" s="39"/>
      <c r="B1690" s="40"/>
      <c r="C1690" s="41"/>
      <c r="D1690" s="40"/>
      <c r="E1690" s="40"/>
      <c r="F1690" s="40"/>
      <c r="G1690" s="35" t="str">
        <f aca="false">IF($A1690="","",IF(ISNUMBER($G1689),$G1689+1,1))</f>
        <v/>
      </c>
      <c r="H1690" s="36" t="str">
        <f aca="false">IF(OR(NOT(ISNUMBER($G1690)),$G1690&lt;2,NOT(ISNUMBER($C1689)),$C1689=0),"",$C1690/$C1689-1)</f>
        <v/>
      </c>
      <c r="I1690" s="37" t="str">
        <f aca="false">IF(AND(ISNUMBER($G1690),$G1690&gt;=MA_SHORT),AVERAGE(INDEX($C$1290:$C1690,402-MA_SHORT):$C1690),"")</f>
        <v/>
      </c>
      <c r="J1690" s="37" t="str">
        <f aca="false">IF(AND(ISNUMBER($G1690),$G1690&gt;=MA_MED),AVERAGE(INDEX($C$1290:$C1690,402-MA_MED):$C1690),"")</f>
        <v/>
      </c>
      <c r="K1690" s="37" t="str">
        <f aca="false">IF(AND(ISNUMBER($G1690),$G1690&gt;=MA_LONG2),AVERAGE(INDEX($C$1290:$C1690,402-MA_LONG2):$C1690),"")</f>
        <v/>
      </c>
      <c r="L1690" s="38" t="str">
        <f aca="false">IF(AND(ISNUMBER($G1690),$G1690&gt;=21),STDEV(INDEX($H$1630:$H1690,62-20):$H1690)*SQRT(245),"")</f>
        <v/>
      </c>
      <c r="M1690" s="37" t="str">
        <f aca="false">IF(AND(ISNUMBER($G1690),$G1690&gt;=60),MAX(INDEX($D$1490:$D1690,202-60):$D1690),"")</f>
        <v/>
      </c>
      <c r="N1690" s="37" t="str">
        <f aca="false">IF(AND(ISNUMBER($G1690),$G1690&gt;=60),MIN(INDEX($E$1490:$E1690,202-60):$E1690),"")</f>
        <v/>
      </c>
      <c r="O1690" s="38" t="str">
        <f aca="false">IF(OR(NOT(ISNUMBER($C1690)),NOT(ISNUMBER($M1690)),$M1690=0),"",$C1690/$M1690-1)</f>
        <v/>
      </c>
    </row>
    <row r="1691" customFormat="false" ht="15" hidden="false" customHeight="true" outlineLevel="0" collapsed="false">
      <c r="A1691" s="39"/>
      <c r="B1691" s="40"/>
      <c r="C1691" s="41"/>
      <c r="D1691" s="40"/>
      <c r="E1691" s="40"/>
      <c r="F1691" s="40"/>
      <c r="G1691" s="35" t="str">
        <f aca="false">IF($A1691="","",IF(ISNUMBER($G1690),$G1690+1,1))</f>
        <v/>
      </c>
      <c r="H1691" s="36" t="str">
        <f aca="false">IF(OR(NOT(ISNUMBER($G1691)),$G1691&lt;2,NOT(ISNUMBER($C1690)),$C1690=0),"",$C1691/$C1690-1)</f>
        <v/>
      </c>
      <c r="I1691" s="37" t="str">
        <f aca="false">IF(AND(ISNUMBER($G1691),$G1691&gt;=MA_SHORT),AVERAGE(INDEX($C$1291:$C1691,402-MA_SHORT):$C1691),"")</f>
        <v/>
      </c>
      <c r="J1691" s="37" t="str">
        <f aca="false">IF(AND(ISNUMBER($G1691),$G1691&gt;=MA_MED),AVERAGE(INDEX($C$1291:$C1691,402-MA_MED):$C1691),"")</f>
        <v/>
      </c>
      <c r="K1691" s="37" t="str">
        <f aca="false">IF(AND(ISNUMBER($G1691),$G1691&gt;=MA_LONG2),AVERAGE(INDEX($C$1291:$C1691,402-MA_LONG2):$C1691),"")</f>
        <v/>
      </c>
      <c r="L1691" s="38" t="str">
        <f aca="false">IF(AND(ISNUMBER($G1691),$G1691&gt;=21),STDEV(INDEX($H$1631:$H1691,62-20):$H1691)*SQRT(245),"")</f>
        <v/>
      </c>
      <c r="M1691" s="37" t="str">
        <f aca="false">IF(AND(ISNUMBER($G1691),$G1691&gt;=60),MAX(INDEX($D$1491:$D1691,202-60):$D1691),"")</f>
        <v/>
      </c>
      <c r="N1691" s="37" t="str">
        <f aca="false">IF(AND(ISNUMBER($G1691),$G1691&gt;=60),MIN(INDEX($E$1491:$E1691,202-60):$E1691),"")</f>
        <v/>
      </c>
      <c r="O1691" s="38" t="str">
        <f aca="false">IF(OR(NOT(ISNUMBER($C1691)),NOT(ISNUMBER($M1691)),$M1691=0),"",$C1691/$M1691-1)</f>
        <v/>
      </c>
    </row>
    <row r="1692" customFormat="false" ht="15" hidden="false" customHeight="true" outlineLevel="0" collapsed="false">
      <c r="A1692" s="39"/>
      <c r="B1692" s="40"/>
      <c r="C1692" s="41"/>
      <c r="D1692" s="40"/>
      <c r="E1692" s="40"/>
      <c r="F1692" s="40"/>
      <c r="G1692" s="35" t="str">
        <f aca="false">IF($A1692="","",IF(ISNUMBER($G1691),$G1691+1,1))</f>
        <v/>
      </c>
      <c r="H1692" s="36" t="str">
        <f aca="false">IF(OR(NOT(ISNUMBER($G1692)),$G1692&lt;2,NOT(ISNUMBER($C1691)),$C1691=0),"",$C1692/$C1691-1)</f>
        <v/>
      </c>
      <c r="I1692" s="37" t="str">
        <f aca="false">IF(AND(ISNUMBER($G1692),$G1692&gt;=MA_SHORT),AVERAGE(INDEX($C$1292:$C1692,402-MA_SHORT):$C1692),"")</f>
        <v/>
      </c>
      <c r="J1692" s="37" t="str">
        <f aca="false">IF(AND(ISNUMBER($G1692),$G1692&gt;=MA_MED),AVERAGE(INDEX($C$1292:$C1692,402-MA_MED):$C1692),"")</f>
        <v/>
      </c>
      <c r="K1692" s="37" t="str">
        <f aca="false">IF(AND(ISNUMBER($G1692),$G1692&gt;=MA_LONG2),AVERAGE(INDEX($C$1292:$C1692,402-MA_LONG2):$C1692),"")</f>
        <v/>
      </c>
      <c r="L1692" s="38" t="str">
        <f aca="false">IF(AND(ISNUMBER($G1692),$G1692&gt;=21),STDEV(INDEX($H$1632:$H1692,62-20):$H1692)*SQRT(245),"")</f>
        <v/>
      </c>
      <c r="M1692" s="37" t="str">
        <f aca="false">IF(AND(ISNUMBER($G1692),$G1692&gt;=60),MAX(INDEX($D$1492:$D1692,202-60):$D1692),"")</f>
        <v/>
      </c>
      <c r="N1692" s="37" t="str">
        <f aca="false">IF(AND(ISNUMBER($G1692),$G1692&gt;=60),MIN(INDEX($E$1492:$E1692,202-60):$E1692),"")</f>
        <v/>
      </c>
      <c r="O1692" s="38" t="str">
        <f aca="false">IF(OR(NOT(ISNUMBER($C1692)),NOT(ISNUMBER($M1692)),$M1692=0),"",$C1692/$M1692-1)</f>
        <v/>
      </c>
    </row>
    <row r="1693" customFormat="false" ht="15" hidden="false" customHeight="true" outlineLevel="0" collapsed="false">
      <c r="A1693" s="39"/>
      <c r="B1693" s="40"/>
      <c r="C1693" s="41"/>
      <c r="D1693" s="40"/>
      <c r="E1693" s="40"/>
      <c r="F1693" s="40"/>
      <c r="G1693" s="35" t="str">
        <f aca="false">IF($A1693="","",IF(ISNUMBER($G1692),$G1692+1,1))</f>
        <v/>
      </c>
      <c r="H1693" s="36" t="str">
        <f aca="false">IF(OR(NOT(ISNUMBER($G1693)),$G1693&lt;2,NOT(ISNUMBER($C1692)),$C1692=0),"",$C1693/$C1692-1)</f>
        <v/>
      </c>
      <c r="I1693" s="37" t="str">
        <f aca="false">IF(AND(ISNUMBER($G1693),$G1693&gt;=MA_SHORT),AVERAGE(INDEX($C$1293:$C1693,402-MA_SHORT):$C1693),"")</f>
        <v/>
      </c>
      <c r="J1693" s="37" t="str">
        <f aca="false">IF(AND(ISNUMBER($G1693),$G1693&gt;=MA_MED),AVERAGE(INDEX($C$1293:$C1693,402-MA_MED):$C1693),"")</f>
        <v/>
      </c>
      <c r="K1693" s="37" t="str">
        <f aca="false">IF(AND(ISNUMBER($G1693),$G1693&gt;=MA_LONG2),AVERAGE(INDEX($C$1293:$C1693,402-MA_LONG2):$C1693),"")</f>
        <v/>
      </c>
      <c r="L1693" s="38" t="str">
        <f aca="false">IF(AND(ISNUMBER($G1693),$G1693&gt;=21),STDEV(INDEX($H$1633:$H1693,62-20):$H1693)*SQRT(245),"")</f>
        <v/>
      </c>
      <c r="M1693" s="37" t="str">
        <f aca="false">IF(AND(ISNUMBER($G1693),$G1693&gt;=60),MAX(INDEX($D$1493:$D1693,202-60):$D1693),"")</f>
        <v/>
      </c>
      <c r="N1693" s="37" t="str">
        <f aca="false">IF(AND(ISNUMBER($G1693),$G1693&gt;=60),MIN(INDEX($E$1493:$E1693,202-60):$E1693),"")</f>
        <v/>
      </c>
      <c r="O1693" s="38" t="str">
        <f aca="false">IF(OR(NOT(ISNUMBER($C1693)),NOT(ISNUMBER($M1693)),$M1693=0),"",$C1693/$M1693-1)</f>
        <v/>
      </c>
    </row>
    <row r="1694" customFormat="false" ht="15" hidden="false" customHeight="true" outlineLevel="0" collapsed="false">
      <c r="A1694" s="39"/>
      <c r="B1694" s="40"/>
      <c r="C1694" s="41"/>
      <c r="D1694" s="40"/>
      <c r="E1694" s="40"/>
      <c r="F1694" s="40"/>
      <c r="G1694" s="35" t="str">
        <f aca="false">IF($A1694="","",IF(ISNUMBER($G1693),$G1693+1,1))</f>
        <v/>
      </c>
      <c r="H1694" s="36" t="str">
        <f aca="false">IF(OR(NOT(ISNUMBER($G1694)),$G1694&lt;2,NOT(ISNUMBER($C1693)),$C1693=0),"",$C1694/$C1693-1)</f>
        <v/>
      </c>
      <c r="I1694" s="37" t="str">
        <f aca="false">IF(AND(ISNUMBER($G1694),$G1694&gt;=MA_SHORT),AVERAGE(INDEX($C$1294:$C1694,402-MA_SHORT):$C1694),"")</f>
        <v/>
      </c>
      <c r="J1694" s="37" t="str">
        <f aca="false">IF(AND(ISNUMBER($G1694),$G1694&gt;=MA_MED),AVERAGE(INDEX($C$1294:$C1694,402-MA_MED):$C1694),"")</f>
        <v/>
      </c>
      <c r="K1694" s="37" t="str">
        <f aca="false">IF(AND(ISNUMBER($G1694),$G1694&gt;=MA_LONG2),AVERAGE(INDEX($C$1294:$C1694,402-MA_LONG2):$C1694),"")</f>
        <v/>
      </c>
      <c r="L1694" s="38" t="str">
        <f aca="false">IF(AND(ISNUMBER($G1694),$G1694&gt;=21),STDEV(INDEX($H$1634:$H1694,62-20):$H1694)*SQRT(245),"")</f>
        <v/>
      </c>
      <c r="M1694" s="37" t="str">
        <f aca="false">IF(AND(ISNUMBER($G1694),$G1694&gt;=60),MAX(INDEX($D$1494:$D1694,202-60):$D1694),"")</f>
        <v/>
      </c>
      <c r="N1694" s="37" t="str">
        <f aca="false">IF(AND(ISNUMBER($G1694),$G1694&gt;=60),MIN(INDEX($E$1494:$E1694,202-60):$E1694),"")</f>
        <v/>
      </c>
      <c r="O1694" s="38" t="str">
        <f aca="false">IF(OR(NOT(ISNUMBER($C1694)),NOT(ISNUMBER($M1694)),$M1694=0),"",$C1694/$M1694-1)</f>
        <v/>
      </c>
    </row>
    <row r="1695" customFormat="false" ht="15" hidden="false" customHeight="true" outlineLevel="0" collapsed="false">
      <c r="A1695" s="39"/>
      <c r="B1695" s="40"/>
      <c r="C1695" s="41"/>
      <c r="D1695" s="40"/>
      <c r="E1695" s="40"/>
      <c r="F1695" s="40"/>
      <c r="G1695" s="35" t="str">
        <f aca="false">IF($A1695="","",IF(ISNUMBER($G1694),$G1694+1,1))</f>
        <v/>
      </c>
      <c r="H1695" s="36" t="str">
        <f aca="false">IF(OR(NOT(ISNUMBER($G1695)),$G1695&lt;2,NOT(ISNUMBER($C1694)),$C1694=0),"",$C1695/$C1694-1)</f>
        <v/>
      </c>
      <c r="I1695" s="37" t="str">
        <f aca="false">IF(AND(ISNUMBER($G1695),$G1695&gt;=MA_SHORT),AVERAGE(INDEX($C$1295:$C1695,402-MA_SHORT):$C1695),"")</f>
        <v/>
      </c>
      <c r="J1695" s="37" t="str">
        <f aca="false">IF(AND(ISNUMBER($G1695),$G1695&gt;=MA_MED),AVERAGE(INDEX($C$1295:$C1695,402-MA_MED):$C1695),"")</f>
        <v/>
      </c>
      <c r="K1695" s="37" t="str">
        <f aca="false">IF(AND(ISNUMBER($G1695),$G1695&gt;=MA_LONG2),AVERAGE(INDEX($C$1295:$C1695,402-MA_LONG2):$C1695),"")</f>
        <v/>
      </c>
      <c r="L1695" s="38" t="str">
        <f aca="false">IF(AND(ISNUMBER($G1695),$G1695&gt;=21),STDEV(INDEX($H$1635:$H1695,62-20):$H1695)*SQRT(245),"")</f>
        <v/>
      </c>
      <c r="M1695" s="37" t="str">
        <f aca="false">IF(AND(ISNUMBER($G1695),$G1695&gt;=60),MAX(INDEX($D$1495:$D1695,202-60):$D1695),"")</f>
        <v/>
      </c>
      <c r="N1695" s="37" t="str">
        <f aca="false">IF(AND(ISNUMBER($G1695),$G1695&gt;=60),MIN(INDEX($E$1495:$E1695,202-60):$E1695),"")</f>
        <v/>
      </c>
      <c r="O1695" s="38" t="str">
        <f aca="false">IF(OR(NOT(ISNUMBER($C1695)),NOT(ISNUMBER($M1695)),$M1695=0),"",$C1695/$M1695-1)</f>
        <v/>
      </c>
    </row>
    <row r="1696" customFormat="false" ht="15" hidden="false" customHeight="true" outlineLevel="0" collapsed="false">
      <c r="A1696" s="39"/>
      <c r="B1696" s="40"/>
      <c r="C1696" s="41"/>
      <c r="D1696" s="40"/>
      <c r="E1696" s="40"/>
      <c r="F1696" s="40"/>
      <c r="G1696" s="35" t="str">
        <f aca="false">IF($A1696="","",IF(ISNUMBER($G1695),$G1695+1,1))</f>
        <v/>
      </c>
      <c r="H1696" s="36" t="str">
        <f aca="false">IF(OR(NOT(ISNUMBER($G1696)),$G1696&lt;2,NOT(ISNUMBER($C1695)),$C1695=0),"",$C1696/$C1695-1)</f>
        <v/>
      </c>
      <c r="I1696" s="37" t="str">
        <f aca="false">IF(AND(ISNUMBER($G1696),$G1696&gt;=MA_SHORT),AVERAGE(INDEX($C$1296:$C1696,402-MA_SHORT):$C1696),"")</f>
        <v/>
      </c>
      <c r="J1696" s="37" t="str">
        <f aca="false">IF(AND(ISNUMBER($G1696),$G1696&gt;=MA_MED),AVERAGE(INDEX($C$1296:$C1696,402-MA_MED):$C1696),"")</f>
        <v/>
      </c>
      <c r="K1696" s="37" t="str">
        <f aca="false">IF(AND(ISNUMBER($G1696),$G1696&gt;=MA_LONG2),AVERAGE(INDEX($C$1296:$C1696,402-MA_LONG2):$C1696),"")</f>
        <v/>
      </c>
      <c r="L1696" s="38" t="str">
        <f aca="false">IF(AND(ISNUMBER($G1696),$G1696&gt;=21),STDEV(INDEX($H$1636:$H1696,62-20):$H1696)*SQRT(245),"")</f>
        <v/>
      </c>
      <c r="M1696" s="37" t="str">
        <f aca="false">IF(AND(ISNUMBER($G1696),$G1696&gt;=60),MAX(INDEX($D$1496:$D1696,202-60):$D1696),"")</f>
        <v/>
      </c>
      <c r="N1696" s="37" t="str">
        <f aca="false">IF(AND(ISNUMBER($G1696),$G1696&gt;=60),MIN(INDEX($E$1496:$E1696,202-60):$E1696),"")</f>
        <v/>
      </c>
      <c r="O1696" s="38" t="str">
        <f aca="false">IF(OR(NOT(ISNUMBER($C1696)),NOT(ISNUMBER($M1696)),$M1696=0),"",$C1696/$M1696-1)</f>
        <v/>
      </c>
    </row>
    <row r="1697" customFormat="false" ht="15" hidden="false" customHeight="true" outlineLevel="0" collapsed="false">
      <c r="A1697" s="39"/>
      <c r="B1697" s="40"/>
      <c r="C1697" s="41"/>
      <c r="D1697" s="40"/>
      <c r="E1697" s="40"/>
      <c r="F1697" s="40"/>
      <c r="G1697" s="35" t="str">
        <f aca="false">IF($A1697="","",IF(ISNUMBER($G1696),$G1696+1,1))</f>
        <v/>
      </c>
      <c r="H1697" s="36" t="str">
        <f aca="false">IF(OR(NOT(ISNUMBER($G1697)),$G1697&lt;2,NOT(ISNUMBER($C1696)),$C1696=0),"",$C1697/$C1696-1)</f>
        <v/>
      </c>
      <c r="I1697" s="37" t="str">
        <f aca="false">IF(AND(ISNUMBER($G1697),$G1697&gt;=MA_SHORT),AVERAGE(INDEX($C$1297:$C1697,402-MA_SHORT):$C1697),"")</f>
        <v/>
      </c>
      <c r="J1697" s="37" t="str">
        <f aca="false">IF(AND(ISNUMBER($G1697),$G1697&gt;=MA_MED),AVERAGE(INDEX($C$1297:$C1697,402-MA_MED):$C1697),"")</f>
        <v/>
      </c>
      <c r="K1697" s="37" t="str">
        <f aca="false">IF(AND(ISNUMBER($G1697),$G1697&gt;=MA_LONG2),AVERAGE(INDEX($C$1297:$C1697,402-MA_LONG2):$C1697),"")</f>
        <v/>
      </c>
      <c r="L1697" s="38" t="str">
        <f aca="false">IF(AND(ISNUMBER($G1697),$G1697&gt;=21),STDEV(INDEX($H$1637:$H1697,62-20):$H1697)*SQRT(245),"")</f>
        <v/>
      </c>
      <c r="M1697" s="37" t="str">
        <f aca="false">IF(AND(ISNUMBER($G1697),$G1697&gt;=60),MAX(INDEX($D$1497:$D1697,202-60):$D1697),"")</f>
        <v/>
      </c>
      <c r="N1697" s="37" t="str">
        <f aca="false">IF(AND(ISNUMBER($G1697),$G1697&gt;=60),MIN(INDEX($E$1497:$E1697,202-60):$E1697),"")</f>
        <v/>
      </c>
      <c r="O1697" s="38" t="str">
        <f aca="false">IF(OR(NOT(ISNUMBER($C1697)),NOT(ISNUMBER($M1697)),$M1697=0),"",$C1697/$M1697-1)</f>
        <v/>
      </c>
    </row>
    <row r="1698" customFormat="false" ht="15" hidden="false" customHeight="true" outlineLevel="0" collapsed="false">
      <c r="A1698" s="39"/>
      <c r="B1698" s="40"/>
      <c r="C1698" s="41"/>
      <c r="D1698" s="40"/>
      <c r="E1698" s="40"/>
      <c r="F1698" s="40"/>
      <c r="G1698" s="35" t="str">
        <f aca="false">IF($A1698="","",IF(ISNUMBER($G1697),$G1697+1,1))</f>
        <v/>
      </c>
      <c r="H1698" s="36" t="str">
        <f aca="false">IF(OR(NOT(ISNUMBER($G1698)),$G1698&lt;2,NOT(ISNUMBER($C1697)),$C1697=0),"",$C1698/$C1697-1)</f>
        <v/>
      </c>
      <c r="I1698" s="37" t="str">
        <f aca="false">IF(AND(ISNUMBER($G1698),$G1698&gt;=MA_SHORT),AVERAGE(INDEX($C$1298:$C1698,402-MA_SHORT):$C1698),"")</f>
        <v/>
      </c>
      <c r="J1698" s="37" t="str">
        <f aca="false">IF(AND(ISNUMBER($G1698),$G1698&gt;=MA_MED),AVERAGE(INDEX($C$1298:$C1698,402-MA_MED):$C1698),"")</f>
        <v/>
      </c>
      <c r="K1698" s="37" t="str">
        <f aca="false">IF(AND(ISNUMBER($G1698),$G1698&gt;=MA_LONG2),AVERAGE(INDEX($C$1298:$C1698,402-MA_LONG2):$C1698),"")</f>
        <v/>
      </c>
      <c r="L1698" s="38" t="str">
        <f aca="false">IF(AND(ISNUMBER($G1698),$G1698&gt;=21),STDEV(INDEX($H$1638:$H1698,62-20):$H1698)*SQRT(245),"")</f>
        <v/>
      </c>
      <c r="M1698" s="37" t="str">
        <f aca="false">IF(AND(ISNUMBER($G1698),$G1698&gt;=60),MAX(INDEX($D$1498:$D1698,202-60):$D1698),"")</f>
        <v/>
      </c>
      <c r="N1698" s="37" t="str">
        <f aca="false">IF(AND(ISNUMBER($G1698),$G1698&gt;=60),MIN(INDEX($E$1498:$E1698,202-60):$E1698),"")</f>
        <v/>
      </c>
      <c r="O1698" s="38" t="str">
        <f aca="false">IF(OR(NOT(ISNUMBER($C1698)),NOT(ISNUMBER($M1698)),$M1698=0),"",$C1698/$M1698-1)</f>
        <v/>
      </c>
    </row>
    <row r="1699" customFormat="false" ht="15" hidden="false" customHeight="true" outlineLevel="0" collapsed="false">
      <c r="A1699" s="39"/>
      <c r="B1699" s="40"/>
      <c r="C1699" s="41"/>
      <c r="D1699" s="40"/>
      <c r="E1699" s="40"/>
      <c r="F1699" s="40"/>
      <c r="G1699" s="35" t="str">
        <f aca="false">IF($A1699="","",IF(ISNUMBER($G1698),$G1698+1,1))</f>
        <v/>
      </c>
      <c r="H1699" s="36" t="str">
        <f aca="false">IF(OR(NOT(ISNUMBER($G1699)),$G1699&lt;2,NOT(ISNUMBER($C1698)),$C1698=0),"",$C1699/$C1698-1)</f>
        <v/>
      </c>
      <c r="I1699" s="37" t="str">
        <f aca="false">IF(AND(ISNUMBER($G1699),$G1699&gt;=MA_SHORT),AVERAGE(INDEX($C$1299:$C1699,402-MA_SHORT):$C1699),"")</f>
        <v/>
      </c>
      <c r="J1699" s="37" t="str">
        <f aca="false">IF(AND(ISNUMBER($G1699),$G1699&gt;=MA_MED),AVERAGE(INDEX($C$1299:$C1699,402-MA_MED):$C1699),"")</f>
        <v/>
      </c>
      <c r="K1699" s="37" t="str">
        <f aca="false">IF(AND(ISNUMBER($G1699),$G1699&gt;=MA_LONG2),AVERAGE(INDEX($C$1299:$C1699,402-MA_LONG2):$C1699),"")</f>
        <v/>
      </c>
      <c r="L1699" s="38" t="str">
        <f aca="false">IF(AND(ISNUMBER($G1699),$G1699&gt;=21),STDEV(INDEX($H$1639:$H1699,62-20):$H1699)*SQRT(245),"")</f>
        <v/>
      </c>
      <c r="M1699" s="37" t="str">
        <f aca="false">IF(AND(ISNUMBER($G1699),$G1699&gt;=60),MAX(INDEX($D$1499:$D1699,202-60):$D1699),"")</f>
        <v/>
      </c>
      <c r="N1699" s="37" t="str">
        <f aca="false">IF(AND(ISNUMBER($G1699),$G1699&gt;=60),MIN(INDEX($E$1499:$E1699,202-60):$E1699),"")</f>
        <v/>
      </c>
      <c r="O1699" s="38" t="str">
        <f aca="false">IF(OR(NOT(ISNUMBER($C1699)),NOT(ISNUMBER($M1699)),$M1699=0),"",$C1699/$M1699-1)</f>
        <v/>
      </c>
    </row>
    <row r="1700" customFormat="false" ht="15" hidden="false" customHeight="true" outlineLevel="0" collapsed="false">
      <c r="A1700" s="39"/>
      <c r="B1700" s="40"/>
      <c r="C1700" s="41"/>
      <c r="D1700" s="40"/>
      <c r="E1700" s="40"/>
      <c r="F1700" s="40"/>
      <c r="G1700" s="35" t="str">
        <f aca="false">IF($A1700="","",IF(ISNUMBER($G1699),$G1699+1,1))</f>
        <v/>
      </c>
      <c r="H1700" s="36" t="str">
        <f aca="false">IF(OR(NOT(ISNUMBER($G1700)),$G1700&lt;2,NOT(ISNUMBER($C1699)),$C1699=0),"",$C1700/$C1699-1)</f>
        <v/>
      </c>
      <c r="I1700" s="37" t="str">
        <f aca="false">IF(AND(ISNUMBER($G1700),$G1700&gt;=MA_SHORT),AVERAGE(INDEX($C$1300:$C1700,402-MA_SHORT):$C1700),"")</f>
        <v/>
      </c>
      <c r="J1700" s="37" t="str">
        <f aca="false">IF(AND(ISNUMBER($G1700),$G1700&gt;=MA_MED),AVERAGE(INDEX($C$1300:$C1700,402-MA_MED):$C1700),"")</f>
        <v/>
      </c>
      <c r="K1700" s="37" t="str">
        <f aca="false">IF(AND(ISNUMBER($G1700),$G1700&gt;=MA_LONG2),AVERAGE(INDEX($C$1300:$C1700,402-MA_LONG2):$C1700),"")</f>
        <v/>
      </c>
      <c r="L1700" s="38" t="str">
        <f aca="false">IF(AND(ISNUMBER($G1700),$G1700&gt;=21),STDEV(INDEX($H$1640:$H1700,62-20):$H1700)*SQRT(245),"")</f>
        <v/>
      </c>
      <c r="M1700" s="37" t="str">
        <f aca="false">IF(AND(ISNUMBER($G1700),$G1700&gt;=60),MAX(INDEX($D$1500:$D1700,202-60):$D1700),"")</f>
        <v/>
      </c>
      <c r="N1700" s="37" t="str">
        <f aca="false">IF(AND(ISNUMBER($G1700),$G1700&gt;=60),MIN(INDEX($E$1500:$E1700,202-60):$E1700),"")</f>
        <v/>
      </c>
      <c r="O1700" s="38" t="str">
        <f aca="false">IF(OR(NOT(ISNUMBER($C1700)),NOT(ISNUMBER($M1700)),$M1700=0),"",$C1700/$M1700-1)</f>
        <v/>
      </c>
    </row>
    <row r="1701" customFormat="false" ht="15" hidden="false" customHeight="true" outlineLevel="0" collapsed="false">
      <c r="A1701" s="39"/>
      <c r="B1701" s="40"/>
      <c r="C1701" s="41"/>
      <c r="D1701" s="40"/>
      <c r="E1701" s="40"/>
      <c r="F1701" s="40"/>
      <c r="G1701" s="35" t="str">
        <f aca="false">IF($A1701="","",IF(ISNUMBER($G1700),$G1700+1,1))</f>
        <v/>
      </c>
      <c r="H1701" s="36" t="str">
        <f aca="false">IF(OR(NOT(ISNUMBER($G1701)),$G1701&lt;2,NOT(ISNUMBER($C1700)),$C1700=0),"",$C1701/$C1700-1)</f>
        <v/>
      </c>
      <c r="I1701" s="37" t="str">
        <f aca="false">IF(AND(ISNUMBER($G1701),$G1701&gt;=MA_SHORT),AVERAGE(INDEX($C$1301:$C1701,402-MA_SHORT):$C1701),"")</f>
        <v/>
      </c>
      <c r="J1701" s="37" t="str">
        <f aca="false">IF(AND(ISNUMBER($G1701),$G1701&gt;=MA_MED),AVERAGE(INDEX($C$1301:$C1701,402-MA_MED):$C1701),"")</f>
        <v/>
      </c>
      <c r="K1701" s="37" t="str">
        <f aca="false">IF(AND(ISNUMBER($G1701),$G1701&gt;=MA_LONG2),AVERAGE(INDEX($C$1301:$C1701,402-MA_LONG2):$C1701),"")</f>
        <v/>
      </c>
      <c r="L1701" s="38" t="str">
        <f aca="false">IF(AND(ISNUMBER($G1701),$G1701&gt;=21),STDEV(INDEX($H$1641:$H1701,62-20):$H1701)*SQRT(245),"")</f>
        <v/>
      </c>
      <c r="M1701" s="37" t="str">
        <f aca="false">IF(AND(ISNUMBER($G1701),$G1701&gt;=60),MAX(INDEX($D$1501:$D1701,202-60):$D1701),"")</f>
        <v/>
      </c>
      <c r="N1701" s="37" t="str">
        <f aca="false">IF(AND(ISNUMBER($G1701),$G1701&gt;=60),MIN(INDEX($E$1501:$E1701,202-60):$E1701),"")</f>
        <v/>
      </c>
      <c r="O1701" s="38" t="str">
        <f aca="false">IF(OR(NOT(ISNUMBER($C1701)),NOT(ISNUMBER($M1701)),$M1701=0),"",$C1701/$M1701-1)</f>
        <v/>
      </c>
    </row>
    <row r="1702" customFormat="false" ht="15" hidden="false" customHeight="true" outlineLevel="0" collapsed="false">
      <c r="A1702" s="39"/>
      <c r="B1702" s="40"/>
      <c r="C1702" s="41"/>
      <c r="D1702" s="40"/>
      <c r="E1702" s="40"/>
      <c r="F1702" s="40"/>
      <c r="G1702" s="35" t="str">
        <f aca="false">IF($A1702="","",IF(ISNUMBER($G1701),$G1701+1,1))</f>
        <v/>
      </c>
      <c r="H1702" s="36" t="str">
        <f aca="false">IF(OR(NOT(ISNUMBER($G1702)),$G1702&lt;2,NOT(ISNUMBER($C1701)),$C1701=0),"",$C1702/$C1701-1)</f>
        <v/>
      </c>
      <c r="I1702" s="37" t="str">
        <f aca="false">IF(AND(ISNUMBER($G1702),$G1702&gt;=MA_SHORT),AVERAGE(INDEX($C$1302:$C1702,402-MA_SHORT):$C1702),"")</f>
        <v/>
      </c>
      <c r="J1702" s="37" t="str">
        <f aca="false">IF(AND(ISNUMBER($G1702),$G1702&gt;=MA_MED),AVERAGE(INDEX($C$1302:$C1702,402-MA_MED):$C1702),"")</f>
        <v/>
      </c>
      <c r="K1702" s="37" t="str">
        <f aca="false">IF(AND(ISNUMBER($G1702),$G1702&gt;=MA_LONG2),AVERAGE(INDEX($C$1302:$C1702,402-MA_LONG2):$C1702),"")</f>
        <v/>
      </c>
      <c r="L1702" s="38" t="str">
        <f aca="false">IF(AND(ISNUMBER($G1702),$G1702&gt;=21),STDEV(INDEX($H$1642:$H1702,62-20):$H1702)*SQRT(245),"")</f>
        <v/>
      </c>
      <c r="M1702" s="37" t="str">
        <f aca="false">IF(AND(ISNUMBER($G1702),$G1702&gt;=60),MAX(INDEX($D$1502:$D1702,202-60):$D1702),"")</f>
        <v/>
      </c>
      <c r="N1702" s="37" t="str">
        <f aca="false">IF(AND(ISNUMBER($G1702),$G1702&gt;=60),MIN(INDEX($E$1502:$E1702,202-60):$E1702),"")</f>
        <v/>
      </c>
      <c r="O1702" s="38" t="str">
        <f aca="false">IF(OR(NOT(ISNUMBER($C1702)),NOT(ISNUMBER($M1702)),$M1702=0),"",$C1702/$M1702-1)</f>
        <v/>
      </c>
    </row>
    <row r="1703" customFormat="false" ht="15" hidden="false" customHeight="true" outlineLevel="0" collapsed="false">
      <c r="A1703" s="39"/>
      <c r="B1703" s="40"/>
      <c r="C1703" s="41"/>
      <c r="D1703" s="40"/>
      <c r="E1703" s="40"/>
      <c r="F1703" s="40"/>
      <c r="G1703" s="35" t="str">
        <f aca="false">IF($A1703="","",IF(ISNUMBER($G1702),$G1702+1,1))</f>
        <v/>
      </c>
      <c r="H1703" s="36" t="str">
        <f aca="false">IF(OR(NOT(ISNUMBER($G1703)),$G1703&lt;2,NOT(ISNUMBER($C1702)),$C1702=0),"",$C1703/$C1702-1)</f>
        <v/>
      </c>
      <c r="I1703" s="37" t="str">
        <f aca="false">IF(AND(ISNUMBER($G1703),$G1703&gt;=MA_SHORT),AVERAGE(INDEX($C$1303:$C1703,402-MA_SHORT):$C1703),"")</f>
        <v/>
      </c>
      <c r="J1703" s="37" t="str">
        <f aca="false">IF(AND(ISNUMBER($G1703),$G1703&gt;=MA_MED),AVERAGE(INDEX($C$1303:$C1703,402-MA_MED):$C1703),"")</f>
        <v/>
      </c>
      <c r="K1703" s="37" t="str">
        <f aca="false">IF(AND(ISNUMBER($G1703),$G1703&gt;=MA_LONG2),AVERAGE(INDEX($C$1303:$C1703,402-MA_LONG2):$C1703),"")</f>
        <v/>
      </c>
      <c r="L1703" s="38" t="str">
        <f aca="false">IF(AND(ISNUMBER($G1703),$G1703&gt;=21),STDEV(INDEX($H$1643:$H1703,62-20):$H1703)*SQRT(245),"")</f>
        <v/>
      </c>
      <c r="M1703" s="37" t="str">
        <f aca="false">IF(AND(ISNUMBER($G1703),$G1703&gt;=60),MAX(INDEX($D$1503:$D1703,202-60):$D1703),"")</f>
        <v/>
      </c>
      <c r="N1703" s="37" t="str">
        <f aca="false">IF(AND(ISNUMBER($G1703),$G1703&gt;=60),MIN(INDEX($E$1503:$E1703,202-60):$E1703),"")</f>
        <v/>
      </c>
      <c r="O1703" s="38" t="str">
        <f aca="false">IF(OR(NOT(ISNUMBER($C1703)),NOT(ISNUMBER($M1703)),$M1703=0),"",$C1703/$M1703-1)</f>
        <v/>
      </c>
    </row>
    <row r="1704" customFormat="false" ht="15" hidden="false" customHeight="true" outlineLevel="0" collapsed="false">
      <c r="A1704" s="39"/>
      <c r="B1704" s="40"/>
      <c r="C1704" s="41"/>
      <c r="D1704" s="40"/>
      <c r="E1704" s="40"/>
      <c r="F1704" s="40"/>
      <c r="G1704" s="35" t="str">
        <f aca="false">IF($A1704="","",IF(ISNUMBER($G1703),$G1703+1,1))</f>
        <v/>
      </c>
      <c r="H1704" s="36" t="str">
        <f aca="false">IF(OR(NOT(ISNUMBER($G1704)),$G1704&lt;2,NOT(ISNUMBER($C1703)),$C1703=0),"",$C1704/$C1703-1)</f>
        <v/>
      </c>
      <c r="I1704" s="37" t="str">
        <f aca="false">IF(AND(ISNUMBER($G1704),$G1704&gt;=MA_SHORT),AVERAGE(INDEX($C$1304:$C1704,402-MA_SHORT):$C1704),"")</f>
        <v/>
      </c>
      <c r="J1704" s="37" t="str">
        <f aca="false">IF(AND(ISNUMBER($G1704),$G1704&gt;=MA_MED),AVERAGE(INDEX($C$1304:$C1704,402-MA_MED):$C1704),"")</f>
        <v/>
      </c>
      <c r="K1704" s="37" t="str">
        <f aca="false">IF(AND(ISNUMBER($G1704),$G1704&gt;=MA_LONG2),AVERAGE(INDEX($C$1304:$C1704,402-MA_LONG2):$C1704),"")</f>
        <v/>
      </c>
      <c r="L1704" s="38" t="str">
        <f aca="false">IF(AND(ISNUMBER($G1704),$G1704&gt;=21),STDEV(INDEX($H$1644:$H1704,62-20):$H1704)*SQRT(245),"")</f>
        <v/>
      </c>
      <c r="M1704" s="37" t="str">
        <f aca="false">IF(AND(ISNUMBER($G1704),$G1704&gt;=60),MAX(INDEX($D$1504:$D1704,202-60):$D1704),"")</f>
        <v/>
      </c>
      <c r="N1704" s="37" t="str">
        <f aca="false">IF(AND(ISNUMBER($G1704),$G1704&gt;=60),MIN(INDEX($E$1504:$E1704,202-60):$E1704),"")</f>
        <v/>
      </c>
      <c r="O1704" s="38" t="str">
        <f aca="false">IF(OR(NOT(ISNUMBER($C1704)),NOT(ISNUMBER($M1704)),$M1704=0),"",$C1704/$M1704-1)</f>
        <v/>
      </c>
    </row>
  </sheetData>
  <autoFilter ref="A4:O17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46"/>
    <col collapsed="false" customWidth="true" hidden="false" outlineLevel="0" max="5" min="5" style="1" width="3"/>
  </cols>
  <sheetData>
    <row r="1" customFormat="false" ht="27.75" hidden="false" customHeight="true" outlineLevel="0" collapsed="false">
      <c r="A1" s="2" t="s">
        <v>596</v>
      </c>
      <c r="B1" s="2"/>
      <c r="C1" s="2"/>
      <c r="D1" s="2"/>
      <c r="E1" s="2"/>
    </row>
    <row r="2" customFormat="false" ht="18" hidden="false" customHeight="true" outlineLevel="0" collapsed="false">
      <c r="A2" s="19" t="s">
        <v>597</v>
      </c>
      <c r="B2" s="19"/>
      <c r="C2" s="19"/>
      <c r="D2" s="19"/>
      <c r="E2" s="19"/>
    </row>
    <row r="4" customFormat="false" ht="19.5" hidden="false" customHeight="true" outlineLevel="0" collapsed="false">
      <c r="B4" s="26" t="s">
        <v>598</v>
      </c>
      <c r="C4" s="26"/>
      <c r="D4" s="26"/>
    </row>
    <row r="5" customFormat="false" ht="15" hidden="false" customHeight="true" outlineLevel="0" collapsed="false">
      <c r="B5" s="5" t="s">
        <v>599</v>
      </c>
      <c r="C5" s="42" t="n">
        <v>20</v>
      </c>
      <c r="D5" s="28" t="s">
        <v>600</v>
      </c>
    </row>
    <row r="6" customFormat="false" ht="15" hidden="false" customHeight="true" outlineLevel="0" collapsed="false">
      <c r="B6" s="5" t="s">
        <v>601</v>
      </c>
      <c r="C6" s="42" t="n">
        <v>50</v>
      </c>
      <c r="D6" s="28" t="s">
        <v>602</v>
      </c>
    </row>
    <row r="7" customFormat="false" ht="15" hidden="false" customHeight="true" outlineLevel="0" collapsed="false">
      <c r="B7" s="5" t="s">
        <v>603</v>
      </c>
      <c r="C7" s="42" t="n">
        <v>100</v>
      </c>
      <c r="D7" s="28"/>
    </row>
    <row r="8" customFormat="false" ht="15" hidden="false" customHeight="true" outlineLevel="0" collapsed="false">
      <c r="B8" s="5" t="s">
        <v>604</v>
      </c>
      <c r="C8" s="42" t="n">
        <v>200</v>
      </c>
      <c r="D8" s="28" t="s">
        <v>605</v>
      </c>
    </row>
    <row r="9" customFormat="false" ht="15" hidden="false" customHeight="true" outlineLevel="0" collapsed="false">
      <c r="B9" s="5" t="s">
        <v>606</v>
      </c>
      <c r="C9" s="42" t="n">
        <v>14</v>
      </c>
      <c r="D9" s="28" t="s">
        <v>607</v>
      </c>
    </row>
    <row r="10" customFormat="false" ht="15" hidden="false" customHeight="true" outlineLevel="0" collapsed="false">
      <c r="B10" s="5" t="s">
        <v>608</v>
      </c>
      <c r="C10" s="43" t="n">
        <v>2</v>
      </c>
      <c r="D10" s="28" t="s">
        <v>609</v>
      </c>
    </row>
    <row r="12" customFormat="false" ht="19.5" hidden="false" customHeight="true" outlineLevel="0" collapsed="false">
      <c r="B12" s="26" t="s">
        <v>610</v>
      </c>
      <c r="C12" s="26"/>
      <c r="D12" s="26"/>
    </row>
    <row r="13" customFormat="false" ht="15" hidden="false" customHeight="true" outlineLevel="0" collapsed="false">
      <c r="B13" s="5" t="s">
        <v>611</v>
      </c>
      <c r="C13" s="43" t="n">
        <v>2</v>
      </c>
      <c r="D13" s="28" t="s">
        <v>612</v>
      </c>
    </row>
    <row r="14" customFormat="false" ht="15" hidden="false" customHeight="true" outlineLevel="0" collapsed="false">
      <c r="B14" s="5" t="s">
        <v>613</v>
      </c>
      <c r="C14" s="43" t="n">
        <v>1.3</v>
      </c>
      <c r="D14" s="28"/>
    </row>
    <row r="15" customFormat="false" ht="15" hidden="false" customHeight="true" outlineLevel="0" collapsed="false">
      <c r="B15" s="5" t="s">
        <v>614</v>
      </c>
      <c r="C15" s="43" t="n">
        <v>0.6</v>
      </c>
      <c r="D15" s="28" t="s">
        <v>615</v>
      </c>
    </row>
    <row r="17" customFormat="false" ht="19.5" hidden="false" customHeight="true" outlineLevel="0" collapsed="false">
      <c r="B17" s="26" t="s">
        <v>616</v>
      </c>
      <c r="C17" s="26"/>
      <c r="D17" s="26"/>
    </row>
    <row r="18" customFormat="false" ht="15" hidden="false" customHeight="true" outlineLevel="0" collapsed="false">
      <c r="B18" s="5" t="s">
        <v>617</v>
      </c>
      <c r="C18" s="42" t="n">
        <v>20</v>
      </c>
      <c r="D18" s="28" t="s">
        <v>618</v>
      </c>
    </row>
    <row r="19" customFormat="false" ht="15" hidden="false" customHeight="true" outlineLevel="0" collapsed="false">
      <c r="B19" s="5" t="s">
        <v>619</v>
      </c>
      <c r="C19" s="42" t="n">
        <v>60</v>
      </c>
      <c r="D19" s="28" t="s">
        <v>620</v>
      </c>
    </row>
    <row r="20" customFormat="false" ht="15" hidden="false" customHeight="true" outlineLevel="0" collapsed="false">
      <c r="B20" s="5" t="s">
        <v>621</v>
      </c>
      <c r="C20" s="30" t="n">
        <v>0.07</v>
      </c>
      <c r="D20" s="28" t="s">
        <v>622</v>
      </c>
    </row>
    <row r="21" customFormat="false" ht="15" hidden="false" customHeight="true" outlineLevel="0" collapsed="false">
      <c r="B21" s="5" t="s">
        <v>623</v>
      </c>
      <c r="C21" s="42" t="n">
        <v>50</v>
      </c>
      <c r="D21" s="28" t="s">
        <v>624</v>
      </c>
    </row>
    <row r="23" customFormat="false" ht="15" hidden="false" customHeight="true" outlineLevel="0" collapsed="false">
      <c r="B23" s="25" t="s">
        <v>625</v>
      </c>
      <c r="C23" s="25"/>
      <c r="D23" s="25"/>
    </row>
  </sheetData>
  <mergeCells count="3">
    <mergeCell ref="A1:E1"/>
    <mergeCell ref="A2:E2"/>
    <mergeCell ref="B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78"/>
    <col collapsed="false" customWidth="true" hidden="false" outlineLevel="0" max="8" min="3" style="1" width="3"/>
  </cols>
  <sheetData>
    <row r="1" customFormat="false" ht="30" hidden="false" customHeight="true" outlineLevel="0" collapsed="false">
      <c r="A1" s="2" t="s">
        <v>626</v>
      </c>
      <c r="B1" s="2"/>
    </row>
    <row r="2" customFormat="false" ht="30" hidden="false" customHeight="true" outlineLevel="0" collapsed="false">
      <c r="A2" s="44" t="s">
        <v>627</v>
      </c>
      <c r="B2" s="44"/>
    </row>
    <row r="3" customFormat="false" ht="33.75" hidden="false" customHeight="true" outlineLevel="0" collapsed="false">
      <c r="A3" s="45" t="s">
        <v>628</v>
      </c>
      <c r="B3" s="45"/>
    </row>
    <row r="4" customFormat="false" ht="24" hidden="false" customHeight="true" outlineLevel="0" collapsed="false">
      <c r="A4" s="46" t="s">
        <v>629</v>
      </c>
      <c r="B4" s="46"/>
    </row>
    <row r="5" customFormat="false" ht="30" hidden="false" customHeight="true" outlineLevel="0" collapsed="false">
      <c r="A5" s="44" t="s">
        <v>630</v>
      </c>
      <c r="B5" s="44"/>
    </row>
    <row r="6" customFormat="false" ht="18" hidden="false" customHeight="true" outlineLevel="0" collapsed="false">
      <c r="A6" s="47" t="s">
        <v>631</v>
      </c>
      <c r="B6" s="47"/>
    </row>
    <row r="7" customFormat="false" ht="18" hidden="false" customHeight="true" outlineLevel="0" collapsed="false">
      <c r="A7" s="47" t="s">
        <v>632</v>
      </c>
      <c r="B7" s="47"/>
    </row>
    <row r="8" customFormat="false" ht="18" hidden="false" customHeight="true" outlineLevel="0" collapsed="false">
      <c r="A8" s="47" t="s">
        <v>633</v>
      </c>
      <c r="B8" s="47"/>
    </row>
    <row r="9" customFormat="false" ht="30" hidden="false" customHeight="true" outlineLevel="0" collapsed="false">
      <c r="A9" s="44" t="s">
        <v>634</v>
      </c>
      <c r="B9" s="44"/>
    </row>
    <row r="10" customFormat="false" ht="24" hidden="false" customHeight="true" outlineLevel="0" collapsed="false">
      <c r="A10" s="46" t="s">
        <v>635</v>
      </c>
      <c r="B10" s="46"/>
    </row>
    <row r="11" customFormat="false" ht="18" hidden="false" customHeight="true" outlineLevel="0" collapsed="false">
      <c r="A11" s="47" t="s">
        <v>636</v>
      </c>
      <c r="B11" s="47"/>
    </row>
    <row r="12" customFormat="false" ht="18" hidden="false" customHeight="true" outlineLevel="0" collapsed="false">
      <c r="A12" s="47" t="s">
        <v>637</v>
      </c>
      <c r="B12" s="47"/>
    </row>
    <row r="13" customFormat="false" ht="18" hidden="false" customHeight="true" outlineLevel="0" collapsed="false">
      <c r="A13" s="47" t="s">
        <v>638</v>
      </c>
      <c r="B13" s="47"/>
    </row>
    <row r="14" customFormat="false" ht="18" hidden="false" customHeight="true" outlineLevel="0" collapsed="false">
      <c r="A14" s="47" t="s">
        <v>639</v>
      </c>
      <c r="B14" s="47"/>
    </row>
    <row r="15" customFormat="false" ht="18" hidden="false" customHeight="true" outlineLevel="0" collapsed="false">
      <c r="A15" s="47" t="s">
        <v>640</v>
      </c>
      <c r="B15" s="47"/>
    </row>
    <row r="16" customFormat="false" ht="18" hidden="false" customHeight="true" outlineLevel="0" collapsed="false">
      <c r="A16" s="47" t="s">
        <v>641</v>
      </c>
      <c r="B16" s="47"/>
    </row>
    <row r="17" customFormat="false" ht="30" hidden="false" customHeight="true" outlineLevel="0" collapsed="false">
      <c r="A17" s="2" t="s">
        <v>642</v>
      </c>
      <c r="B17" s="2"/>
    </row>
    <row r="18" customFormat="false" ht="33.75" hidden="false" customHeight="true" outlineLevel="0" collapsed="false">
      <c r="A18" s="45" t="s">
        <v>643</v>
      </c>
      <c r="B18" s="45"/>
    </row>
    <row r="19" customFormat="false" ht="24" hidden="false" customHeight="true" outlineLevel="0" collapsed="false">
      <c r="A19" s="46" t="s">
        <v>644</v>
      </c>
      <c r="B19" s="46"/>
    </row>
    <row r="20" customFormat="false" ht="30" hidden="false" customHeight="true" outlineLevel="0" collapsed="false">
      <c r="A20" s="48" t="s">
        <v>645</v>
      </c>
      <c r="B20" s="49" t="s">
        <v>646</v>
      </c>
    </row>
    <row r="21" customFormat="false" ht="30" hidden="false" customHeight="true" outlineLevel="0" collapsed="false">
      <c r="A21" s="48" t="s">
        <v>647</v>
      </c>
      <c r="B21" s="49" t="s">
        <v>648</v>
      </c>
    </row>
    <row r="22" customFormat="false" ht="30" hidden="false" customHeight="true" outlineLevel="0" collapsed="false">
      <c r="A22" s="48" t="s">
        <v>649</v>
      </c>
      <c r="B22" s="49" t="s">
        <v>650</v>
      </c>
    </row>
    <row r="23" customFormat="false" ht="30" hidden="false" customHeight="true" outlineLevel="0" collapsed="false">
      <c r="A23" s="44" t="s">
        <v>651</v>
      </c>
      <c r="B23" s="44"/>
    </row>
  </sheetData>
  <mergeCells count="20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2026-09-06T02:55:14Z</dcterms:created>
  <dc:creator>openpyxl</dc:creator>
  <dc:description/>
  <dc:language>en-US</dc:language>
  <cp:lastModifiedBy/>
  <dcterms:modified xsi:type="dcterms:W3CDTF">2026-09-06T04:22:59Z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