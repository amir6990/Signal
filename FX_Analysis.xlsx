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X_Dashboard" sheetId="1" state="visible" r:id="rId3"/>
    <sheet name="Asset_Signals" sheetId="2" state="visible" r:id="rId4"/>
    <sheet name="Spreads" sheetId="3" state="visible" r:id="rId5"/>
    <sheet name="FX_Input" sheetId="4" state="visible" r:id="rId6"/>
    <sheet name="FX_History" sheetId="5" state="visible" r:id="rId7"/>
    <sheet name="Hist_USDT" sheetId="6" state="visible" r:id="rId8"/>
    <sheet name="Hist_Nima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FX_History!$A$4:$Q$1204</definedName>
    <definedName function="false" hidden="true" localSheetId="6" name="_xlnm._FilterDatabase" vbProcedure="false">Hist_Nima!$A$4:$O$1204</definedName>
    <definedName function="false" hidden="true" localSheetId="5" name="_xlnm._FilterDatabase" vbProcedure="false">Hist_USDT!$A$4:$Q$1204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<sst xmlns="http://schemas.openxmlformats.org/spreadsheetml/2006/main" count="1817" uniqueCount="721">
  <si>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</si>
  <si>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</si>
  <si>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</si>
  <si>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</si>
  <si>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</si>
  <si>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</si>
  <si>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</si>
  <si>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</si>
  <si>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</si>
  <si>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</si>
  <si>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</si>
  <si>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</si>
  <si>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</si>
  <si>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</si>
  <si>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</si>
  <si>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</si>
  <si>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</si>
  <si>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</si>
  <si>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</si>
  <si>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</si>
  <si>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</si>
  <si>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</si>
  <si>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</si>
  <si>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</si>
  <si>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</si>
  <si>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</si>
  <si>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</si>
  <si>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</si>
  <si>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</si>
  <si>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</si>
  <si>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</si>
  <si>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</si>
  <si>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سیگنال دلار و تتر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</si>
  <si>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</si>
  <si>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</si>
  <si>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</si>
  <si>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</si>
  <si>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</si>
  <si>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</si>
  <si>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</si>
  <si>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</si>
  <si>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</si>
  <si>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</si>
  <si>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</si>
  <si>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</si>
  <si>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</si>
  <si>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</si>
  <si>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</si>
  <si>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</si>
  <si>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</si>
  <si>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</si>
  <si>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</si>
  <si>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</si>
  <si>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</si>
  <si>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</si>
  <si>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</si>
  <si>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</si>
  <si>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</si>
  <si>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</si>
  <si>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</si>
  <si>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</si>
  <si>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</si>
  <si>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</si>
  <si>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</si>
  <si>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</si>
  <si>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</si>
  <si>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</si>
  <si>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</si>
  <si>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</si>
  <si>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</si>
  <si>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</si>
  <si>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دلار آزاد</t>
  </si>
  <si>
    <t xml:space="preserve">FX_History</t>
  </si>
  <si>
    <t xml:space="preserve">تتر USDT</t>
  </si>
  <si>
    <t xml:space="preserve">Hist_USDT</t>
  </si>
  <si>
    <t xml:space="preserve">دلار نیمایی</t>
  </si>
  <si>
    <t xml:space="preserve">Hist_Nima</t>
  </si>
  <si>
    <t xml:space="preserve">سنجه ارزش‌گذاری دلار آزاد، شکاف آن با نیمایی است؛ و برای تتر، پریمیوم نسبت به دلار آزاد. هر دو میانگین‌بازگرد‌اند: صدک بالا یعنی شکاف/پریمیوم تاریخی گشاد است و احتمال بسته‌شدنش بیشتر — نه اینکه حتماً بسته می‌شود.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</si>
  <si>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</si>
  <si>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</si>
  <si>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</si>
  <si>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</si>
  <si>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</si>
  <si>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</si>
  <si>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</si>
  <si>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</si>
  <si>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</si>
  <si>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</si>
  <si>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</si>
  <si>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</si>
  <si>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</si>
  <si>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</si>
  <si>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</si>
  <si>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</si>
  <si>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</si>
  <si>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</si>
  <si>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</si>
  <si>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</si>
  <si>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</si>
  <si>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</si>
  <si>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</si>
  <si>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</si>
  <si>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</si>
  <si>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</si>
  <si>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</si>
  <si>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</si>
  <si>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</si>
  <si>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</si>
  <si>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</si>
  <si>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</si>
  <si>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</si>
  <si>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</si>
  <si>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</si>
  <si>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</si>
  <si>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</si>
  <si>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</si>
  <si>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</si>
  <si>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</si>
  <si>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</si>
  <si>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</si>
  <si>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</si>
  <si>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</si>
  <si>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</si>
  <si>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</si>
  <si>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</si>
  <si>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</si>
  <si>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</si>
  <si>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ستون P (شکاف با نیمایی) را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</si>
  <si>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</si>
  <si>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</si>
  <si>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</si>
  <si>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</si>
  <si>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</si>
  <si>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</si>
  <si>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</si>
  <si>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شکاف با نیمایی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</si>
  <si>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</si>
  <si>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</si>
  <si>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</si>
  <si>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</si>
  <si>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</si>
  <si>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</si>
  <si>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</si>
  <si>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</si>
  <si>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</si>
  <si>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</si>
  <si>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</si>
  <si>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</si>
  <si>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</si>
  <si>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</si>
  <si>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</si>
  <si>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</si>
  <si>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</si>
  <si>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</si>
  <si>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</si>
  <si>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</si>
  <si>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</si>
  <si>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</si>
  <si>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</si>
  <si>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</si>
  <si>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</si>
  <si>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</si>
  <si>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</si>
  <si>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</si>
  <si>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</si>
  <si>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</si>
  <si>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</si>
  <si>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</si>
  <si>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</si>
  <si>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</si>
  <si>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</si>
  <si>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</si>
  <si>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</si>
  <si>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</si>
  <si>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</si>
  <si>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</si>
  <si>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</si>
  <si>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</si>
  <si>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</si>
  <si>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</si>
  <si>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</si>
  <si>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</si>
  <si>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</si>
  <si>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</si>
  <si>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</si>
  <si>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</si>
  <si>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</si>
  <si>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</si>
  <si>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</si>
  <si>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</si>
  <si>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</si>
  <si>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</si>
  <si>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</si>
  <si>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</si>
  <si>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</si>
  <si>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</si>
  <si>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</si>
  <si>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</si>
  <si>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</si>
  <si>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</si>
  <si>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</si>
  <si>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</si>
  <si>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</si>
  <si>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</si>
  <si>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</si>
  <si>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</si>
  <si>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</si>
  <si>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</si>
  <si>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</si>
  <si>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</si>
  <si>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</si>
  <si>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</si>
  <si>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</si>
  <si>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</si>
  <si>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</si>
  <si>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</si>
  <si>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</si>
  <si>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</si>
  <si>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</si>
  <si>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</si>
  <si>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</si>
  <si>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</si>
  <si>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</si>
  <si>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</si>
  <si>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</si>
  <si>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</si>
  <si>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</si>
  <si>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</si>
  <si>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</si>
  <si>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</si>
  <si>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</si>
  <si>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</si>
  <si>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</si>
  <si>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</si>
  <si>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</si>
  <si>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</si>
  <si>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</si>
  <si>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</si>
  <si>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</si>
  <si>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</si>
  <si>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</si>
  <si>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</si>
  <si>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</si>
  <si>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</si>
  <si>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</si>
  <si>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</si>
  <si>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</si>
  <si>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</si>
  <si>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</si>
  <si>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</si>
  <si>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</si>
  <si>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</si>
  <si>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</si>
  <si>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</si>
  <si>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</si>
  <si>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</si>
  <si>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</si>
  <si>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</si>
  <si>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</si>
  <si>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</si>
  <si>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</si>
  <si>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</si>
  <si>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</si>
  <si>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</si>
  <si>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</si>
  <si>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</si>
  <si>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</si>
  <si>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</si>
  <si>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</si>
  <si>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</si>
  <si>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</si>
  <si>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</si>
  <si>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</si>
  <si>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</si>
  <si>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</si>
  <si>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</si>
  <si>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</si>
  <si>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</si>
  <si>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</si>
  <si>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</si>
  <si>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</si>
  <si>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</si>
  <si>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</si>
  <si>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</si>
  <si>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</si>
  <si>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</si>
  <si>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</si>
  <si>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</si>
  <si>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</si>
  <si>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</si>
  <si>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</si>
  <si>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</si>
  <si>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</si>
  <si>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</si>
  <si>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</si>
  <si>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</si>
  <si>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</si>
  <si>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</si>
  <si>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</si>
  <si>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</si>
  <si>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</si>
  <si>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</si>
  <si>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</si>
  <si>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</si>
  <si>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</si>
  <si>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</si>
  <si>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</si>
  <si>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</si>
  <si>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</si>
  <si>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</si>
  <si>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</si>
  <si>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</si>
  <si>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</si>
  <si>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</si>
  <si>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</si>
  <si>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</si>
  <si>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</si>
  <si>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</si>
  <si>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</si>
  <si>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</si>
  <si>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</si>
  <si>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</si>
  <si>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</si>
  <si>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</si>
  <si>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</si>
  <si>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</si>
  <si>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</si>
  <si>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</si>
  <si>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</si>
  <si>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</si>
  <si>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</si>
  <si>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</si>
  <si>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</si>
  <si>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</si>
  <si>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</si>
  <si>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</si>
  <si>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</si>
  <si>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</si>
  <si>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</si>
  <si>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</si>
  <si>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</si>
  <si>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</si>
  <si>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</si>
  <si>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</si>
  <si>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</si>
  <si>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</si>
  <si>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</si>
  <si>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</si>
  <si>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</si>
  <si>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</si>
  <si>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</si>
  <si>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</si>
  <si>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</si>
  <si>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</si>
  <si>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</si>
  <si>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</si>
  <si>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</si>
  <si>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</si>
  <si>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</si>
  <si>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</si>
  <si>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</si>
  <si>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</si>
  <si>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</si>
  <si>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</si>
  <si>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</si>
  <si>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</si>
  <si>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</si>
  <si>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</si>
  <si>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</si>
  <si>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</si>
  <si>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</si>
  <si>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</si>
  <si>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</si>
  <si>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</si>
  <si>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</si>
  <si>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</si>
  <si>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</si>
  <si>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</si>
  <si>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</si>
  <si>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</si>
  <si>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</si>
  <si>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</si>
  <si>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</si>
  <si>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</si>
  <si>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</si>
  <si>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</si>
  <si>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</si>
  <si>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</si>
  <si>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</si>
  <si>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</si>
  <si>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</si>
  <si>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</si>
  <si>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</si>
  <si>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</si>
  <si>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</si>
  <si>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</si>
  <si>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</si>
  <si>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</si>
  <si>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</si>
  <si>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</si>
  <si>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</si>
  <si>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</si>
  <si>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</si>
  <si>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</si>
  <si>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</si>
  <si>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</si>
  <si>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</si>
  <si>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</si>
  <si>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</si>
  <si>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</si>
  <si>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</si>
  <si>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</si>
  <si>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</si>
  <si>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</si>
  <si>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</si>
  <si>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</si>
  <si>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</si>
  <si>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</si>
  <si>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</si>
  <si>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</si>
  <si>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</si>
  <si>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</si>
  <si>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</si>
  <si>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</si>
  <si>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</si>
  <si>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</si>
  <si>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</si>
  <si>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</si>
  <si>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</si>
  <si>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</si>
  <si>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</si>
  <si>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</si>
  <si>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</si>
  <si>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</si>
  <si>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</si>
  <si>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</si>
  <si>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</si>
  <si>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</si>
  <si>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</si>
  <si>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</si>
  <si>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</si>
  <si>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</si>
  <si>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</si>
  <si>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</si>
  <si>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</si>
  <si>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</si>
  <si>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</si>
  <si>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</si>
  <si>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</si>
  <si>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</si>
  <si>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</si>
  <si>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</si>
  <si>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</si>
  <si>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</si>
  <si>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</si>
  <si>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</si>
  <si>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</si>
  <si>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</si>
  <si>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</si>
  <si>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</si>
  <si>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</si>
  <si>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</si>
  <si>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</si>
  <si>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</si>
  <si>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</si>
  <si>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</si>
  <si>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</si>
  <si>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</si>
  <si>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</si>
  <si>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</si>
  <si>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</si>
  <si>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</si>
  <si>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</si>
  <si>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</si>
  <si>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</si>
  <si>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</si>
  <si>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</si>
  <si>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</si>
  <si>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</si>
  <si>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</si>
  <si>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</si>
  <si>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</si>
  <si>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</si>
  <si>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</si>
  <si>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</si>
  <si>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</si>
  <si>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</si>
  <si>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</si>
  <si>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</si>
  <si>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</si>
  <si>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</si>
  <si>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</si>
  <si>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</si>
  <si>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</si>
  <si>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</si>
  <si>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</si>
  <si>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</si>
  <si>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</si>
  <si>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</si>
  <si>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</si>
  <si>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</si>
  <si>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</si>
  <si>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</si>
  <si>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</si>
  <si>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</si>
  <si>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</si>
  <si>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</si>
  <si>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</si>
  <si>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</si>
  <si>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</si>
  <si>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</si>
  <si>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</si>
  <si>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</si>
  <si>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</si>
  <si>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</si>
  <si>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</si>
  <si>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</si>
  <si>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</si>
  <si>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</si>
  <si>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</si>
  <si>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</si>
  <si>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</si>
  <si>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</si>
  <si>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</si>
  <si>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</si>
  <si>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</si>
  <si>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</si>
  <si>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</si>
  <si>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</si>
  <si>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</si>
  <si>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</si>
  <si>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</si>
  <si>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</si>
  <si>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</si>
  <si>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</si>
  <si>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</si>
  <si>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</si>
  <si>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</si>
  <si>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</si>
  <si>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</si>
  <si>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</si>
  <si>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</si>
  <si>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</si>
  <si>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</si>
  <si>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</si>
  <si>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</si>
  <si>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</si>
  <si>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</si>
  <si>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</si>
  <si>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</si>
  <si>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</si>
  <si>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</si>
  <si>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</si>
  <si>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</si>
  <si>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</si>
  <si>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</si>
  <si>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</si>
  <si>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</si>
  <si>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</si>
  <si>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</si>
  <si>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</si>
  <si>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</si>
  <si>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</si>
  <si>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</si>
  <si>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</si>
  <si>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</si>
  <si>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</si>
  <si>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</si>
  <si>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</si>
  <si>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</si>
  <si>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</si>
  <si>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</si>
  <si>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</si>
  <si>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</si>
  <si>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</si>
  <si>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</si>
  <si>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</si>
  <si>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</si>
  <si>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</si>
  <si>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</si>
  <si>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</si>
  <si>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</si>
  <si>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</si>
  <si>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</si>
  <si>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</si>
  <si>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</si>
  <si>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</si>
  <si>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</si>
  <si>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</si>
  <si>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</si>
  <si>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</si>
  <si>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</si>
  <si>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</si>
  <si>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</si>
  <si>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</si>
  <si>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</si>
  <si>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</si>
  <si>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</si>
  <si>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</si>
  <si>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</si>
  <si>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</si>
  <si>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</si>
  <si>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</si>
  <si>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</si>
  <si>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</si>
  <si>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</si>
  <si>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</si>
  <si>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</si>
  <si>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</si>
  <si>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</si>
  <si>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</si>
  <si>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</si>
  <si>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</si>
  <si>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</si>
  <si>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</si>
  <si>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</si>
  <si>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</si>
  <si>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</si>
  <si>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</si>
  <si>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</si>
  <si>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</si>
  <si>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</si>
  <si>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</si>
  <si>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</si>
  <si>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</si>
  <si>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</si>
  <si>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</si>
  <si>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</si>
  <si>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</si>
  <si>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</si>
  <si>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</si>
  <si>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</si>
  <si>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</si>
  <si>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</si>
  <si>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</si>
  <si>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</si>
  <si>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</si>
  <si>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</si>
  <si>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</si>
  <si>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</si>
  <si>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</si>
  <si>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</si>
  <si>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</si>
  <si>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</si>
  <si>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</si>
  <si>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</si>
  <si>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</si>
  <si>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تتر</t>
  </si>
  <si>
    <t xml:space="preserve">با  python scripts/fetch_gold_fx.py --history  پر می‌شود.</t>
  </si>
  <si>
    <t xml:space="preserve">پریمیوم نسبت به دلار آزاد</t>
  </si>
  <si>
    <t xml:space="preserve">تاریخچه روزانه دلار نیمایی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</si>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</sst>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General"/>
    <numFmt numFmtId="173" formatCode="0.00;\(0.00\);\-"/>
    <numFmt numFmtId="174" formatCode="0.0000"/>
    <numFmt numFmtId="175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FX_FREE</f>
        <v>950000</v>
      </c>
      <c r="D5" s="4" t="s">
        <v>4</v>
      </c>
      <c r="E5" s="6" t="n">
        <f aca="false">Spreads!$B$8</f>
        <v>967709.687093872</v>
      </c>
    </row>
    <row r="6" customFormat="false" ht="15" hidden="false" customHeight="false" outlineLevel="0" collapsed="false">
      <c r="A6" s="4" t="s">
        <v>5</v>
      </c>
      <c r="B6" s="6" t="n">
        <f aca="false">FX_NIMA</f>
        <v>720000</v>
      </c>
      <c r="D6" s="4" t="s">
        <v>6</v>
      </c>
      <c r="E6" s="6" t="n">
        <f aca="false">Spreads!$B$9</f>
        <v>953228.988799003</v>
      </c>
    </row>
    <row r="7" customFormat="false" ht="15" hidden="false" customHeight="false" outlineLevel="0" collapsed="false">
      <c r="A7" s="4" t="s">
        <v>7</v>
      </c>
      <c r="B7" s="6" t="n">
        <f aca="false">FX_USDT</f>
        <v>968000</v>
      </c>
      <c r="D7" s="4" t="s">
        <v>8</v>
      </c>
      <c r="E7" s="7" t="n">
        <f aca="false">Spreads!$B$10</f>
        <v>0.00339893557789828</v>
      </c>
    </row>
    <row r="8" customFormat="false" ht="15" hidden="false" customHeight="false" outlineLevel="0" collapsed="false">
      <c r="A8" s="4" t="s">
        <v>9</v>
      </c>
      <c r="B8" s="7" t="n">
        <f aca="false">FX_GAP</f>
        <v>0.319444444444444</v>
      </c>
      <c r="D8" s="4" t="s">
        <v>10</v>
      </c>
      <c r="E8" s="7" t="n">
        <f aca="false">Spreads!$B$13</f>
        <v>0.583333333333333</v>
      </c>
    </row>
    <row r="9" customFormat="false" ht="15" hidden="false" customHeight="false" outlineLevel="0" collapsed="false">
      <c r="A9" s="4" t="s">
        <v>11</v>
      </c>
      <c r="B9" s="8" t="n">
        <f aca="false">USDT_PREMIUM</f>
        <v>0.0189473684210526</v>
      </c>
      <c r="D9" s="4" t="s">
        <v>12</v>
      </c>
      <c r="E9" s="7" t="n">
        <f aca="false">Spreads!$B$15</f>
        <v>-0.0010319917440661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9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0" t="str">
        <f aca="false">IFERROR(INDEX(FX_History!$A$1:$A$1204,$B$12),"")</f>
        <v>-</v>
      </c>
    </row>
    <row r="14" customFormat="false" ht="15" hidden="false" customHeight="false" outlineLevel="0" collapsed="false">
      <c r="A14" s="4" t="s">
        <v>16</v>
      </c>
      <c r="B14" s="11" t="str">
        <f aca="false">IFERROR(INDEX(FX_History!$B$1:$B$1204,$B$12),"")</f>
        <v>-</v>
      </c>
    </row>
    <row r="15" customFormat="false" ht="15" hidden="false" customHeight="false" outlineLevel="0" collapsed="false">
      <c r="A15" s="4" t="s">
        <v>17</v>
      </c>
      <c r="B15" s="12" t="str">
        <f aca="false">IFERROR(INDEX(FX_History!$C$1:$C$1204,$B$12),"")</f>
        <v>close</v>
      </c>
    </row>
    <row r="16" customFormat="false" ht="15" hidden="false" customHeight="false" outlineLevel="0" collapsed="false">
      <c r="A16" s="4" t="s">
        <v>18</v>
      </c>
      <c r="B16" s="13" t="str">
        <f aca="false">IFERROR(INDEX(FX_History!$H$1:$H$1204,$B$12),"")</f>
        <v>-</v>
      </c>
    </row>
    <row r="17" customFormat="false" ht="15" hidden="false" customHeight="false" outlineLevel="0" collapsed="false">
      <c r="A17" s="4" t="s">
        <v>19</v>
      </c>
      <c r="B17" s="12" t="str">
        <f aca="false">IFERROR(INDEX(FX_History!$I$1:$I$1204,$B$12),"")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2" t="str">
        <f aca="false">IFERROR(INDEX(FX_History!$J$1:$J$1204,$B$12),"")</f>
        <v>MA_MED</v>
      </c>
    </row>
    <row r="19" customFormat="false" ht="15" hidden="false" customHeight="false" outlineLevel="0" collapsed="false">
      <c r="A19" s="4" t="s">
        <v>21</v>
      </c>
      <c r="B19" s="12" t="str">
        <f aca="false">IFERROR(INDEX(FX_History!$K$1:$K$1204,$B$12),"")</f>
        <v>MA_LONG2</v>
      </c>
    </row>
    <row r="20" customFormat="false" ht="15" hidden="false" customHeight="false" outlineLevel="0" collapsed="false">
      <c r="A20" s="4" t="s">
        <v>22</v>
      </c>
      <c r="B20" s="7" t="str">
        <f aca="false">IFERROR(INDEX(FX_History!$L$1:$L$1204,$B$12),"")</f>
        <v>-</v>
      </c>
    </row>
    <row r="21" customFormat="false" ht="15" hidden="false" customHeight="false" outlineLevel="0" collapsed="false">
      <c r="A21" s="4" t="s">
        <v>23</v>
      </c>
      <c r="B21" s="12" t="str">
        <f aca="false">IFERROR(INDEX(FX_History!$M$1:$M$1204,$B$12),"")</f>
        <v>-</v>
      </c>
    </row>
    <row r="22" customFormat="false" ht="15" hidden="false" customHeight="false" outlineLevel="0" collapsed="false">
      <c r="A22" s="4" t="s">
        <v>24</v>
      </c>
      <c r="B22" s="12" t="str">
        <f aca="false">IFERROR(INDEX(FX_History!$N$1:$N$1204,$B$12),"")</f>
        <v>-</v>
      </c>
    </row>
    <row r="23" customFormat="false" ht="15" hidden="false" customHeight="false" outlineLevel="0" collapsed="false">
      <c r="A23" s="4" t="s">
        <v>25</v>
      </c>
      <c r="B23" s="7" t="str">
        <f aca="false">IFERROR(INDEX(FX_History!$O$1:$O$1204,$B$12),"")</f>
        <v>-</v>
      </c>
    </row>
    <row r="24" customFormat="false" ht="15" hidden="false" customHeight="false" outlineLevel="0" collapsed="false">
      <c r="A24" s="14" t="s">
        <v>26</v>
      </c>
      <c r="B24" s="15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4" t="s">
        <v>27</v>
      </c>
      <c r="B25" s="16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true" outlineLevel="0" collapsed="false">
      <c r="A28" s="17" t="s">
        <v>29</v>
      </c>
      <c r="B28" s="17"/>
      <c r="C28" s="17"/>
      <c r="D28" s="17"/>
      <c r="E28" s="17"/>
    </row>
    <row r="29" customFormat="false" ht="15" hidden="false" customHeight="true" outlineLevel="0" collapsed="false">
      <c r="A29" s="17" t="s">
        <v>30</v>
      </c>
      <c r="B29" s="17"/>
      <c r="C29" s="17"/>
      <c r="D29" s="17"/>
      <c r="E29" s="17"/>
    </row>
    <row r="30" customFormat="false" ht="15" hidden="false" customHeight="true" outlineLevel="0" collapsed="false">
      <c r="A30" s="17" t="s">
        <v>31</v>
      </c>
      <c r="B30" s="17"/>
      <c r="C30" s="17"/>
      <c r="D30" s="17"/>
      <c r="E30" s="17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8" t="s">
        <v>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customFormat="false" ht="30" hidden="false" customHeight="true" outlineLevel="0" collapsed="false">
      <c r="A3" s="19" t="s">
        <v>34</v>
      </c>
      <c r="B3" s="19" t="s">
        <v>35</v>
      </c>
      <c r="C3" s="19" t="s">
        <v>36</v>
      </c>
      <c r="D3" s="19" t="s">
        <v>17</v>
      </c>
      <c r="E3" s="19" t="s">
        <v>19</v>
      </c>
      <c r="F3" s="19" t="s">
        <v>20</v>
      </c>
      <c r="G3" s="19" t="s">
        <v>21</v>
      </c>
      <c r="H3" s="19" t="s">
        <v>37</v>
      </c>
      <c r="I3" s="19" t="s">
        <v>38</v>
      </c>
      <c r="J3" s="19" t="s">
        <v>39</v>
      </c>
      <c r="K3" s="19" t="s">
        <v>40</v>
      </c>
      <c r="L3" s="19" t="s">
        <v>41</v>
      </c>
      <c r="M3" s="19" t="s">
        <v>22</v>
      </c>
      <c r="N3" s="19" t="s">
        <v>42</v>
      </c>
      <c r="O3" s="19" t="s">
        <v>43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48</v>
      </c>
      <c r="U3" s="19" t="s">
        <v>49</v>
      </c>
      <c r="V3" s="19" t="s">
        <v>50</v>
      </c>
      <c r="W3" s="19" t="s">
        <v>51</v>
      </c>
      <c r="X3" s="19" t="s">
        <v>52</v>
      </c>
      <c r="Y3" s="19" t="s">
        <v>53</v>
      </c>
    </row>
    <row r="4" customFormat="false" ht="21.75" hidden="false" customHeight="true" outlineLevel="0" collapsed="false">
      <c r="A4" s="20" t="s">
        <v>54</v>
      </c>
      <c r="B4" s="20" t="s">
        <v>54</v>
      </c>
      <c r="C4" s="20" t="s">
        <v>55</v>
      </c>
      <c r="D4" s="20" t="s">
        <v>56</v>
      </c>
      <c r="E4" s="20" t="s">
        <v>57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61</v>
      </c>
      <c r="K4" s="20" t="s">
        <v>61</v>
      </c>
      <c r="L4" s="20" t="s">
        <v>61</v>
      </c>
      <c r="M4" s="20" t="s">
        <v>62</v>
      </c>
      <c r="N4" s="20" t="s">
        <v>63</v>
      </c>
      <c r="O4" s="20" t="s">
        <v>64</v>
      </c>
      <c r="P4" s="20" t="s">
        <v>65</v>
      </c>
      <c r="Q4" s="20" t="s">
        <v>66</v>
      </c>
      <c r="R4" s="20" t="s">
        <v>67</v>
      </c>
      <c r="S4" s="20" t="s">
        <v>67</v>
      </c>
      <c r="T4" s="20" t="s">
        <v>67</v>
      </c>
      <c r="U4" s="20" t="s">
        <v>67</v>
      </c>
      <c r="V4" s="20" t="s">
        <v>68</v>
      </c>
      <c r="W4" s="20" t="s">
        <v>69</v>
      </c>
      <c r="X4" s="20" t="s">
        <v>70</v>
      </c>
      <c r="Y4" s="20" t="s">
        <v>61</v>
      </c>
    </row>
    <row r="5" customFormat="false" ht="25.5" hidden="false" customHeight="true" outlineLevel="0" collapsed="false">
      <c r="A5" s="21" t="s">
        <v>71</v>
      </c>
      <c r="B5" s="22" t="s">
        <v>72</v>
      </c>
      <c r="C5" s="23" t="n">
        <f aca="true">COUNT(INDIRECT($B5&amp;"!$A$5:$A$5000"))+4</f>
        <v>504</v>
      </c>
      <c r="D5" s="24" t="n">
        <f aca="true">IFERROR(INDEX(INDIRECT($B5&amp;"!$C:$C"),$C5),"")</f>
        <v>1342547</v>
      </c>
      <c r="E5" s="24" t="n">
        <f aca="true">IFERROR(INDEX(INDIRECT($B5&amp;"!$I:$I"),$C5),"")</f>
        <v>1378743.85</v>
      </c>
      <c r="F5" s="24" t="n">
        <f aca="true">IFERROR(INDEX(INDIRECT($B5&amp;"!$J:$J"),$C5),"")</f>
        <v>1370345.22</v>
      </c>
      <c r="G5" s="24" t="n">
        <f aca="true">IFERROR(INDEX(INDIRECT($B5&amp;"!$K:$K"),$C5),"")</f>
        <v>1240447.21</v>
      </c>
      <c r="H5" s="23" t="n">
        <f aca="false">IF(NOT(ISNUMBER($D5)),"",IF($D5&gt;$E5,1,0)+IF($D5&gt;$F5,1,0)+IF($D5&gt;$G5,1,0))</f>
        <v>1</v>
      </c>
      <c r="I5" s="25" t="n">
        <f aca="false">IFERROR($D5/$F5-1,"")</f>
        <v>-0.0202855598678996</v>
      </c>
      <c r="J5" s="25" t="n">
        <f aca="true">IFERROR($D5/INDEX(INDIRECT($B5&amp;"!$C:$C"),$C5-5)-1,"")</f>
        <v>-0.0100561501565052</v>
      </c>
      <c r="K5" s="25" t="n">
        <f aca="true">IFERROR($D5/INDEX(INDIRECT($B5&amp;"!$C:$C"),$C5-20)-1,"")</f>
        <v>-0.0328279480965568</v>
      </c>
      <c r="L5" s="25" t="n">
        <f aca="true">IFERROR($D5/INDEX(INDIRECT($B5&amp;"!$C:$C"),$C5-60)-1,"")</f>
        <v>-0.00374149685104286</v>
      </c>
      <c r="M5" s="25" t="n">
        <f aca="true">IFERROR(INDEX(INDIRECT($B5&amp;"!$L:$L"),$C5),"")</f>
        <v>0.15770616100346</v>
      </c>
      <c r="N5" s="25" t="n">
        <f aca="true">IFERROR(MEDIAN(INDIRECT($B5&amp;"!$L$5:$L$5000")),"")</f>
        <v>0.146344307713238</v>
      </c>
      <c r="O5" s="25" t="n">
        <f aca="true">IFERROR(INDEX(INDIRECT($B5&amp;"!$O:$O"),$C5),"")</f>
        <v>-0.0579100158377851</v>
      </c>
      <c r="P5" s="25" t="str">
        <f aca="true">IFERROR(IF(ISBLANK(INDEX(INDIRECT($B5&amp;"!$P:$P"),$C5)),"",INDEX(INDIRECT($B5&amp;"!$P:$P"),$C5)),"")</f>
        <v/>
      </c>
      <c r="Q5" s="25" t="str">
        <f aca="true">IFERROR(IF(ISBLANK(INDEX(INDIRECT($B5&amp;"!$Q:$Q"),$C5)),"",INDEX(INDIRECT($B5&amp;"!$Q:$Q"),$C5)),"")</f>
        <v/>
      </c>
      <c r="R5" s="26" t="n">
        <f aca="false">IF(NOT(ISNUMBER($D5)),0,IFERROR(MAX(-10,MIN(10,IF($D5&gt;$E5,2.5,-2.5)+IF($D5&gt;$F5,3.5,-3.5)+IF($D5&gt;$G5,4,-4))),0))</f>
        <v>-2</v>
      </c>
      <c r="S5" s="26" t="n">
        <f aca="false">IF(NOT(ISNUMBER($D5)),0,IFERROR(MAX(-10,MIN(10,IF($J5&gt;0.02,2,IF($J5&gt;0,1,IF($J5&lt;-0.02,-2,-1)))+IF($K5&gt;0.05,4,IF($K5&gt;0,2,IF($K5&lt;-0.05,-4,-2)))+IF($L5&gt;0.1,4,IF($L5&gt;0,2,IF($L5&lt;-0.1,-4,-2))))),0))</f>
        <v>-5</v>
      </c>
      <c r="T5" s="26" t="n">
        <f aca="false">IF(OR(NOT(ISNUMBER($M5)),NOT(ISNUMBER($N5)),$N5=0),0,IFERROR(MAX(-10,MIN(10,IF($M5/$N5&gt;2,-6,IF($M5/$N5&gt;1.4,-3,IF($M5/$N5&lt;0.7,3,1))))),0))</f>
        <v>1</v>
      </c>
      <c r="U5" s="26" t="n">
        <f aca="false">IF(NOT(ISNUMBER($Q5)),0,IFERROR(MAX(-10,MIN(10,IF($Q5&gt;=0.9,-8,IF($Q5&gt;=0.75,-4,IF($Q5&lt;=0.1,8,IF($Q5&lt;=0.25,4,0)))))),0))</f>
        <v>0</v>
      </c>
      <c r="V5" s="26" t="n">
        <f aca="false">IF(NOT(ISNUMBER($D5)),"",IFERROR(($R5*AW_TREND+$S5*AW_MOM+$T5*AW_VOL+IF(ISNUMBER($Q5),$U5*AW_VAL,0))/(AW_TREND+AW_MOM+AW_VOL+IF(ISNUMBER($Q5),AW_VAL,0)),0))</f>
        <v>-2.4</v>
      </c>
      <c r="W5" s="27" t="str">
        <f aca="false">IF(NOT(ISNUMBER($V5)),"",IF($V5&gt;=TH_SBUY,"خرید قوی",IF($V5&gt;=TH_BUY,"خرید",IF($V5&lt;=TH_SSELL,"فروش قوی",IF($V5&lt;=TH_SELL,"فروش","نگهداری")))))</f>
        <v>فروش</v>
      </c>
      <c r="X5" s="28" t="n">
        <f aca="false">IF(NOT(ISNUMBER($V5)),"",IF(ABS($V5)&gt;=8,5,IF(ABS($V5)&gt;=5,4,IF(ABS($V5)&gt;=3,3,IF(ABS($V5)&gt;=1.5,2,1)))))</f>
        <v>2</v>
      </c>
      <c r="Y5" s="29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نزولی | MA: 1/3 | مومنتوم ۲۰ روزه: -3.3% | نوسان: 16% (میانه 15%) | ارزش‌گذاری: صدک </v>
      </c>
    </row>
    <row r="6" customFormat="false" ht="25.5" hidden="false" customHeight="true" outlineLevel="0" collapsed="false">
      <c r="A6" s="21" t="s">
        <v>73</v>
      </c>
      <c r="B6" s="22" t="s">
        <v>74</v>
      </c>
      <c r="C6" s="23" t="n">
        <f aca="true">COUNT(INDIRECT($B6&amp;"!$A$5:$A$5000"))+4</f>
        <v>504</v>
      </c>
      <c r="D6" s="24" t="n">
        <f aca="true">IFERROR(INDEX(INDIRECT($B6&amp;"!$C:$C"),$C6),"")</f>
        <v>1219877</v>
      </c>
      <c r="E6" s="24" t="n">
        <f aca="true">IFERROR(INDEX(INDIRECT($B6&amp;"!$I:$I"),$C6),"")</f>
        <v>1304219.45</v>
      </c>
      <c r="F6" s="24" t="n">
        <f aca="true">IFERROR(INDEX(INDIRECT($B6&amp;"!$J:$J"),$C6),"")</f>
        <v>1297991.08</v>
      </c>
      <c r="G6" s="24" t="n">
        <f aca="true">IFERROR(INDEX(INDIRECT($B6&amp;"!$K:$K"),$C6),"")</f>
        <v>1220668.865</v>
      </c>
      <c r="H6" s="23" t="n">
        <f aca="false">IF(NOT(ISNUMBER($D6)),"",IF($D6&gt;$E6,1,0)+IF($D6&gt;$F6,1,0)+IF($D6&gt;$G6,1,0))</f>
        <v>0</v>
      </c>
      <c r="I6" s="25" t="n">
        <f aca="false">IFERROR($D6/$F6-1,"")</f>
        <v>-0.0601807525518588</v>
      </c>
      <c r="J6" s="25" t="n">
        <f aca="true">IFERROR($D6/INDEX(INDIRECT($B6&amp;"!$C:$C"),$C6-5)-1,"")</f>
        <v>-0.0562639447193417</v>
      </c>
      <c r="K6" s="25" t="n">
        <f aca="true">IFERROR($D6/INDEX(INDIRECT($B6&amp;"!$C:$C"),$C6-20)-1,"")</f>
        <v>-0.0496506334873003</v>
      </c>
      <c r="L6" s="25" t="n">
        <f aca="true">IFERROR($D6/INDEX(INDIRECT($B6&amp;"!$C:$C"),$C6-60)-1,"")</f>
        <v>-0.0587869935937053</v>
      </c>
      <c r="M6" s="25" t="n">
        <f aca="true">IFERROR(INDEX(INDIRECT($B6&amp;"!$L:$L"),$C6),"")</f>
        <v>0.207920403000861</v>
      </c>
      <c r="N6" s="25" t="n">
        <f aca="true">IFERROR(MEDIAN(INDIRECT($B6&amp;"!$L$5:$L$5000")),"")</f>
        <v>0.14349950248458</v>
      </c>
      <c r="O6" s="25" t="n">
        <f aca="true">IFERROR(INDEX(INDIRECT($B6&amp;"!$O:$O"),$C6),"")</f>
        <v>-0.104844307923514</v>
      </c>
      <c r="P6" s="25" t="str">
        <f aca="true">IFERROR(IF(ISBLANK(INDEX(INDIRECT($B6&amp;"!$P:$P"),$C6)),"",INDEX(INDIRECT($B6&amp;"!$P:$P"),$C6)),"")</f>
        <v/>
      </c>
      <c r="Q6" s="25" t="str">
        <f aca="true">IFERROR(IF(ISBLANK(INDEX(INDIRECT($B6&amp;"!$Q:$Q"),$C6)),"",INDEX(INDIRECT($B6&amp;"!$Q:$Q"),$C6)),"")</f>
        <v/>
      </c>
      <c r="R6" s="26" t="n">
        <f aca="false">IF(NOT(ISNUMBER($D6)),0,IFERROR(MAX(-10,MIN(10,IF($D6&gt;$E6,2.5,-2.5)+IF($D6&gt;$F6,3.5,-3.5)+IF($D6&gt;$G6,4,-4))),0))</f>
        <v>-10</v>
      </c>
      <c r="S6" s="26" t="n">
        <f aca="false">IF(NOT(ISNUMBER($D6)),0,IFERROR(MAX(-10,MIN(10,IF($J6&gt;0.02,2,IF($J6&gt;0,1,IF($J6&lt;-0.02,-2,-1)))+IF($K6&gt;0.05,4,IF($K6&gt;0,2,IF($K6&lt;-0.05,-4,-2)))+IF($L6&gt;0.1,4,IF($L6&gt;0,2,IF($L6&lt;-0.1,-4,-2))))),0))</f>
        <v>-6</v>
      </c>
      <c r="T6" s="26" t="n">
        <f aca="false">IF(OR(NOT(ISNUMBER($M6)),NOT(ISNUMBER($N6)),$N6=0),0,IFERROR(MAX(-10,MIN(10,IF($M6/$N6&gt;2,-6,IF($M6/$N6&gt;1.4,-3,IF($M6/$N6&lt;0.7,3,1))))),0))</f>
        <v>-3</v>
      </c>
      <c r="U6" s="26" t="n">
        <f aca="false">IF(NOT(ISNUMBER($Q6)),0,IFERROR(MAX(-10,MIN(10,IF($Q6&gt;=0.9,-8,IF($Q6&gt;=0.75,-4,IF($Q6&lt;=0.1,8,IF($Q6&lt;=0.25,4,0)))))),0))</f>
        <v>0</v>
      </c>
      <c r="V6" s="26" t="n">
        <f aca="false">IF(NOT(ISNUMBER($D6)),"",IFERROR(($R6*AW_TREND+$S6*AW_MOM+$T6*AW_VOL+IF(ISNUMBER($Q6),$U6*AW_VAL,0))/(AW_TREND+AW_MOM+AW_VOL+IF(ISNUMBER($Q6),AW_VAL,0)),0))</f>
        <v>-7.26666666666667</v>
      </c>
      <c r="W6" s="27" t="str">
        <f aca="false">IF(NOT(ISNUMBER($V6)),"",IF($V6&gt;=TH_SBUY,"خرید قوی",IF($V6&gt;=TH_BUY,"خرید",IF($V6&lt;=TH_SSELL,"فروش قوی",IF($V6&lt;=TH_SELL,"فروش","نگهداری")))))</f>
        <v>فروش قوی</v>
      </c>
      <c r="X6" s="28" t="n">
        <f aca="false">IF(NOT(ISNUMBER($V6)),"",IF(ABS($V6)&gt;=8,5,IF(ABS($V6)&gt;=5,4,IF(ABS($V6)&gt;=3,3,IF(ABS($V6)&gt;=1.5,2,1)))))</f>
        <v>4</v>
      </c>
      <c r="Y6" s="29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نزولی قوی | MA: 0/3 | مومنتوم ۲۰ روزه: -5.0% | نوسان: 21% (میانه 14%) | ارزش‌گذاری: صدک </v>
      </c>
    </row>
    <row r="7" customFormat="false" ht="25.5" hidden="false" customHeight="true" outlineLevel="0" collapsed="false">
      <c r="A7" s="21" t="s">
        <v>75</v>
      </c>
      <c r="B7" s="22" t="s">
        <v>76</v>
      </c>
      <c r="C7" s="23" t="n">
        <f aca="true">COUNT(INDIRECT($B7&amp;"!$A$5:$A$5000"))+4</f>
        <v>504</v>
      </c>
      <c r="D7" s="24" t="n">
        <f aca="true">IFERROR(INDEX(INDIRECT($B7&amp;"!$C:$C"),$C7),"")</f>
        <v>921779</v>
      </c>
      <c r="E7" s="24" t="n">
        <f aca="true">IFERROR(INDEX(INDIRECT($B7&amp;"!$I:$I"),$C7),"")</f>
        <v>916041.35</v>
      </c>
      <c r="F7" s="24" t="n">
        <f aca="true">IFERROR(INDEX(INDIRECT($B7&amp;"!$J:$J"),$C7),"")</f>
        <v>930953.4</v>
      </c>
      <c r="G7" s="24" t="n">
        <f aca="true">IFERROR(INDEX(INDIRECT($B7&amp;"!$K:$K"),$C7),"")</f>
        <v>966008.535</v>
      </c>
      <c r="H7" s="23" t="n">
        <f aca="false">IF(NOT(ISNUMBER($D7)),"",IF($D7&gt;$E7,1,0)+IF($D7&gt;$F7,1,0)+IF($D7&gt;$G7,1,0))</f>
        <v>1</v>
      </c>
      <c r="I7" s="25" t="n">
        <f aca="false">IFERROR($D7/$F7-1,"")</f>
        <v>-0.00985484343254994</v>
      </c>
      <c r="J7" s="25" t="n">
        <f aca="true">IFERROR($D7/INDEX(INDIRECT($B7&amp;"!$C:$C"),$C7-5)-1,"")</f>
        <v>0.0119731290750742</v>
      </c>
      <c r="K7" s="25" t="n">
        <f aca="true">IFERROR($D7/INDEX(INDIRECT($B7&amp;"!$C:$C"),$C7-20)-1,"")</f>
        <v>0.00432442444514658</v>
      </c>
      <c r="L7" s="25" t="n">
        <f aca="true">IFERROR($D7/INDEX(INDIRECT($B7&amp;"!$C:$C"),$C7-60)-1,"")</f>
        <v>-0.0368347524792823</v>
      </c>
      <c r="M7" s="25" t="n">
        <f aca="true">IFERROR(INDEX(INDIRECT($B7&amp;"!$L:$L"),$C7),"")</f>
        <v>0.0724294736369966</v>
      </c>
      <c r="N7" s="25" t="n">
        <f aca="true">IFERROR(MEDIAN(INDIRECT($B7&amp;"!$L$5:$L$5000")),"")</f>
        <v>0.0671277909915583</v>
      </c>
      <c r="O7" s="25" t="n">
        <f aca="true">IFERROR(INDEX(INDIRECT($B7&amp;"!$O:$O"),$C7),"")</f>
        <v>-0.0388533962573029</v>
      </c>
      <c r="P7" s="25" t="str">
        <f aca="true">IFERROR(IF(ISBLANK(INDEX(INDIRECT($B7&amp;"!$P:$P"),$C7)),"",INDEX(INDIRECT($B7&amp;"!$P:$P"),$C7)),"")</f>
        <v/>
      </c>
      <c r="Q7" s="25" t="str">
        <f aca="true">IFERROR(IF(ISBLANK(INDEX(INDIRECT($B7&amp;"!$Q:$Q"),$C7)),"",INDEX(INDIRECT($B7&amp;"!$Q:$Q"),$C7)),"")</f>
        <v/>
      </c>
      <c r="R7" s="26" t="n">
        <f aca="false">IF(NOT(ISNUMBER($D7)),0,IFERROR(MAX(-10,MIN(10,IF($D7&gt;$E7,2.5,-2.5)+IF($D7&gt;$F7,3.5,-3.5)+IF($D7&gt;$G7,4,-4))),0))</f>
        <v>-5</v>
      </c>
      <c r="S7" s="26" t="n">
        <f aca="false">IF(NOT(ISNUMBER($D7)),0,IFERROR(MAX(-10,MIN(10,IF($J7&gt;0.02,2,IF($J7&gt;0,1,IF($J7&lt;-0.02,-2,-1)))+IF($K7&gt;0.05,4,IF($K7&gt;0,2,IF($K7&lt;-0.05,-4,-2)))+IF($L7&gt;0.1,4,IF($L7&gt;0,2,IF($L7&lt;-0.1,-4,-2))))),0))</f>
        <v>1</v>
      </c>
      <c r="T7" s="26" t="n">
        <f aca="false">IF(OR(NOT(ISNUMBER($M7)),NOT(ISNUMBER($N7)),$N7=0),0,IFERROR(MAX(-10,MIN(10,IF($M7/$N7&gt;2,-6,IF($M7/$N7&gt;1.4,-3,IF($M7/$N7&lt;0.7,3,1))))),0))</f>
        <v>1</v>
      </c>
      <c r="U7" s="26" t="n">
        <f aca="false">IF(NOT(ISNUMBER($Q7)),0,IFERROR(MAX(-10,MIN(10,IF($Q7&gt;=0.9,-8,IF($Q7&gt;=0.75,-4,IF($Q7&lt;=0.1,8,IF($Q7&lt;=0.25,4,0)))))),0))</f>
        <v>0</v>
      </c>
      <c r="V7" s="26" t="n">
        <f aca="false">IF(NOT(ISNUMBER($D7)),"",IFERROR(($R7*AW_TREND+$S7*AW_MOM+$T7*AW_VOL+IF(ISNUMBER($Q7),$U7*AW_VAL,0))/(AW_TREND+AW_MOM+AW_VOL+IF(ISNUMBER($Q7),AW_VAL,0)),0))</f>
        <v>-1.8</v>
      </c>
      <c r="W7" s="27" t="str">
        <f aca="false">IF(NOT(ISNUMBER($V7)),"",IF($V7&gt;=TH_SBUY,"خرید قوی",IF($V7&gt;=TH_BUY,"خرید",IF($V7&lt;=TH_SSELL,"فروش قوی",IF($V7&lt;=TH_SELL,"فروش","نگهداری")))))</f>
        <v>نگهداری</v>
      </c>
      <c r="X7" s="28" t="n">
        <f aca="false">IF(NOT(ISNUMBER($V7)),"",IF(ABS($V7)&gt;=8,5,IF(ABS($V7)&gt;=5,4,IF(ABS($V7)&gt;=3,3,IF(ABS($V7)&gt;=1.5,2,1)))))</f>
        <v>2</v>
      </c>
      <c r="Y7" s="29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نزولی قوی | MA: 1/3 | مومنتوم ۲۰ روزه: 0.4% | نوسان: 7% (میانه 7%) | ارزش‌گذاری: صدک </v>
      </c>
    </row>
    <row r="9" customFormat="false" ht="30" hidden="false" customHeight="true" outlineLevel="0" collapsed="false">
      <c r="A9" s="17" t="s">
        <v>77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30" hidden="false" customHeight="true" outlineLevel="0" collapsed="false">
      <c r="A10" s="17" t="s">
        <v>78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30" hidden="false" customHeight="true" outlineLevel="0" collapsed="false">
      <c r="A11" s="17" t="s">
        <v>79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80</v>
      </c>
      <c r="B1" s="1"/>
      <c r="C1" s="1"/>
    </row>
    <row r="2" customFormat="false" ht="18" hidden="false" customHeight="true" outlineLevel="0" collapsed="false">
      <c r="A2" s="18" t="s">
        <v>81</v>
      </c>
      <c r="B2" s="18"/>
      <c r="C2" s="18"/>
    </row>
    <row r="3" customFormat="false" ht="30" hidden="false" customHeight="true" outlineLevel="0" collapsed="false">
      <c r="A3" s="19" t="s">
        <v>82</v>
      </c>
      <c r="B3" s="19" t="s">
        <v>83</v>
      </c>
      <c r="C3" s="19" t="s">
        <v>84</v>
      </c>
    </row>
    <row r="4" customFormat="false" ht="21.75" hidden="false" customHeight="true" outlineLevel="0" collapsed="false">
      <c r="A4" s="20" t="s">
        <v>85</v>
      </c>
      <c r="B4" s="20" t="s">
        <v>86</v>
      </c>
      <c r="C4" s="20" t="s">
        <v>85</v>
      </c>
    </row>
    <row r="5" customFormat="false" ht="15" hidden="false" customHeight="false" outlineLevel="0" collapsed="false">
      <c r="A5" s="4" t="s">
        <v>87</v>
      </c>
      <c r="B5" s="7" t="n">
        <f aca="false">IFERROR(FX_FREE/FX_NIMA-1,"")</f>
        <v>0.319444444444444</v>
      </c>
      <c r="C5" s="30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false" outlineLevel="0" collapsed="false">
      <c r="A6" s="4" t="s">
        <v>88</v>
      </c>
      <c r="B6" s="7" t="n">
        <f aca="false">IFERROR(FX_USDT/FX_FREE-1,"")</f>
        <v>0.0189473684210526</v>
      </c>
      <c r="C6" s="30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false" outlineLevel="0" collapsed="false">
      <c r="A7" s="4" t="s">
        <v>89</v>
      </c>
      <c r="B7" s="7" t="n">
        <f aca="false">IFERROR(FX_USDT/(FX_FREE*USDT_GLOBAL)-1,"")</f>
        <v>0.0186417758882862</v>
      </c>
      <c r="C7" s="30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false" outlineLevel="0" collapsed="false">
      <c r="A8" s="4" t="s">
        <v>90</v>
      </c>
      <c r="B8" s="6" t="n">
        <f aca="false">IFERROR(FX_USDT/USDT_GLOBAL,"")</f>
        <v>967709.687093872</v>
      </c>
      <c r="C8" s="30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false" outlineLevel="0" collapsed="false">
      <c r="A9" s="4" t="s">
        <v>91</v>
      </c>
      <c r="B9" s="6" t="n">
        <f aca="false">IFERROR(FX_COIN/(1+FX_COIN_BUBBLE)/(7.3197*(FX_GOLD_OZ/31.1034768)),"")</f>
        <v>953228.988799003</v>
      </c>
      <c r="C9" s="30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false" outlineLevel="0" collapsed="false">
      <c r="A10" s="4" t="s">
        <v>92</v>
      </c>
      <c r="B10" s="7" t="n">
        <f aca="false">IFERROR($B9/FX_FREE-1,"")</f>
        <v>0.00339893557789828</v>
      </c>
      <c r="C10" s="30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false" outlineLevel="0" collapsed="false">
      <c r="A11" s="4" t="s">
        <v>93</v>
      </c>
      <c r="B11" s="31" t="n">
        <f aca="false">IFERROR(FX_EUR/FX_FREE,"")</f>
        <v>1.08421052631579</v>
      </c>
      <c r="C11" s="30" t="str">
        <f aca="false">IF($B11="","","با نرخ جهانی یورو مقایسه کنید")</f>
        <v>با نرخ جهانی یورو مقایسه کنید</v>
      </c>
    </row>
    <row r="12" customFormat="false" ht="15" hidden="false" customHeight="false" outlineLevel="0" collapsed="false">
      <c r="A12" s="4" t="s">
        <v>94</v>
      </c>
      <c r="B12" s="32" t="n">
        <f aca="false">IFERROR(FX_AED/FX_FREE,"")</f>
        <v>0.272631578947368</v>
      </c>
      <c r="C12" s="30" t="str">
        <f aca="false">IF($B12="","","نرخ رسمی درهم حدود ۰٫۲۷۲۳ است")</f>
        <v>نرخ رسمی درهم حدود ۰٫۲۷۲۳ است</v>
      </c>
    </row>
    <row r="13" customFormat="false" ht="15" hidden="false" customHeight="false" outlineLevel="0" collapsed="false">
      <c r="A13" s="4" t="s">
        <v>95</v>
      </c>
      <c r="B13" s="7" t="n">
        <f aca="false">IFERROR(FX_FREE/FX_FREE_0-1,"")</f>
        <v>0.583333333333333</v>
      </c>
    </row>
    <row r="14" customFormat="false" ht="15" hidden="false" customHeight="false" outlineLevel="0" collapsed="false">
      <c r="A14" s="4" t="s">
        <v>96</v>
      </c>
      <c r="B14" s="7" t="n">
        <f aca="false">IFERROR(FX_USDT/FX_USDT_0-1,"")</f>
        <v>0.581699346405229</v>
      </c>
    </row>
    <row r="15" customFormat="false" ht="15" hidden="false" customHeight="false" outlineLevel="0" collapsed="false">
      <c r="A15" s="4" t="s">
        <v>97</v>
      </c>
      <c r="B15" s="7" t="n">
        <f aca="false">IFERROR((FX_USDT/FX_FREE)/(FX_USDT_0/FX_FREE_0)-1,"")</f>
        <v>-0.0010319917440661</v>
      </c>
      <c r="C15" s="30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33" t="s">
        <v>98</v>
      </c>
      <c r="B17" s="33"/>
      <c r="C17" s="33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99</v>
      </c>
      <c r="B1" s="1"/>
      <c r="C1" s="1"/>
      <c r="D1" s="1"/>
    </row>
    <row r="2" customFormat="false" ht="18" hidden="false" customHeight="true" outlineLevel="0" collapsed="false">
      <c r="A2" s="18" t="s">
        <v>100</v>
      </c>
      <c r="B2" s="18"/>
      <c r="C2" s="18"/>
      <c r="D2" s="18"/>
    </row>
    <row r="4" customFormat="false" ht="19.5" hidden="false" customHeight="true" outlineLevel="0" collapsed="false">
      <c r="A4" s="34" t="s">
        <v>101</v>
      </c>
      <c r="B4" s="34"/>
      <c r="C4" s="34"/>
    </row>
    <row r="5" customFormat="false" ht="15" hidden="false" customHeight="false" outlineLevel="0" collapsed="false">
      <c r="A5" s="4" t="s">
        <v>3</v>
      </c>
      <c r="B5" s="35" t="n">
        <v>950000</v>
      </c>
      <c r="C5" s="36" t="s">
        <v>102</v>
      </c>
    </row>
    <row r="6" customFormat="false" ht="15" hidden="false" customHeight="false" outlineLevel="0" collapsed="false">
      <c r="A6" s="4" t="s">
        <v>103</v>
      </c>
      <c r="B6" s="35" t="n">
        <v>720000</v>
      </c>
      <c r="C6" s="36" t="s">
        <v>104</v>
      </c>
    </row>
    <row r="7" customFormat="false" ht="15" hidden="false" customHeight="false" outlineLevel="0" collapsed="false">
      <c r="A7" s="4" t="s">
        <v>7</v>
      </c>
      <c r="B7" s="35" t="n">
        <v>968000</v>
      </c>
      <c r="C7" s="36" t="s">
        <v>105</v>
      </c>
    </row>
    <row r="8" customFormat="false" ht="15" hidden="false" customHeight="false" outlineLevel="0" collapsed="false">
      <c r="A8" s="4" t="s">
        <v>106</v>
      </c>
      <c r="B8" s="35" t="n">
        <v>1030000</v>
      </c>
      <c r="C8" s="36" t="s">
        <v>107</v>
      </c>
    </row>
    <row r="9" customFormat="false" ht="15" hidden="false" customHeight="false" outlineLevel="0" collapsed="false">
      <c r="A9" s="4" t="s">
        <v>108</v>
      </c>
      <c r="B9" s="35" t="n">
        <v>259000</v>
      </c>
      <c r="C9" s="36" t="s">
        <v>109</v>
      </c>
    </row>
    <row r="11" customFormat="false" ht="19.5" hidden="false" customHeight="true" outlineLevel="0" collapsed="false">
      <c r="A11" s="34" t="s">
        <v>110</v>
      </c>
      <c r="B11" s="34"/>
      <c r="C11" s="34"/>
    </row>
    <row r="12" customFormat="false" ht="15" hidden="false" customHeight="false" outlineLevel="0" collapsed="false">
      <c r="A12" s="4" t="s">
        <v>111</v>
      </c>
      <c r="B12" s="37" t="n">
        <v>1.0003</v>
      </c>
      <c r="C12" s="36" t="s">
        <v>112</v>
      </c>
    </row>
    <row r="13" customFormat="false" ht="15" hidden="false" customHeight="false" outlineLevel="0" collapsed="false">
      <c r="A13" s="4" t="s">
        <v>113</v>
      </c>
      <c r="B13" s="37" t="n">
        <v>98.5</v>
      </c>
      <c r="C13" s="36" t="s">
        <v>114</v>
      </c>
    </row>
    <row r="14" customFormat="false" ht="15" hidden="false" customHeight="false" outlineLevel="0" collapsed="false">
      <c r="A14" s="4" t="s">
        <v>115</v>
      </c>
      <c r="B14" s="37" t="n">
        <v>3400</v>
      </c>
      <c r="C14" s="36" t="s">
        <v>116</v>
      </c>
    </row>
    <row r="16" customFormat="false" ht="19.5" hidden="false" customHeight="true" outlineLevel="0" collapsed="false">
      <c r="A16" s="34" t="s">
        <v>117</v>
      </c>
      <c r="B16" s="34"/>
      <c r="C16" s="34"/>
    </row>
    <row r="17" customFormat="false" ht="15" hidden="false" customHeight="false" outlineLevel="0" collapsed="false">
      <c r="A17" s="4" t="s">
        <v>118</v>
      </c>
      <c r="B17" s="35" t="n">
        <v>900000000</v>
      </c>
      <c r="C17" s="36" t="s">
        <v>119</v>
      </c>
    </row>
    <row r="18" customFormat="false" ht="15" hidden="false" customHeight="false" outlineLevel="0" collapsed="false">
      <c r="A18" s="4" t="s">
        <v>120</v>
      </c>
      <c r="B18" s="38" t="n">
        <v>0.18</v>
      </c>
      <c r="C18" s="36" t="s">
        <v>121</v>
      </c>
    </row>
    <row r="20" customFormat="false" ht="19.5" hidden="false" customHeight="true" outlineLevel="0" collapsed="false">
      <c r="A20" s="34" t="s">
        <v>122</v>
      </c>
      <c r="B20" s="34"/>
      <c r="C20" s="34"/>
    </row>
    <row r="21" customFormat="false" ht="15" hidden="false" customHeight="false" outlineLevel="0" collapsed="false">
      <c r="A21" s="4" t="s">
        <v>123</v>
      </c>
      <c r="B21" s="35" t="n">
        <v>600000</v>
      </c>
      <c r="C21" s="36"/>
    </row>
    <row r="22" customFormat="false" ht="15" hidden="false" customHeight="false" outlineLevel="0" collapsed="false">
      <c r="A22" s="4" t="s">
        <v>124</v>
      </c>
      <c r="B22" s="35" t="n">
        <v>612000</v>
      </c>
      <c r="C22" s="36"/>
    </row>
    <row r="24" customFormat="false" ht="15" hidden="false" customHeight="true" outlineLevel="0" collapsed="false">
      <c r="A24" s="39" t="s">
        <v>125</v>
      </c>
      <c r="B24" s="39"/>
      <c r="C24" s="39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127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135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955208</v>
      </c>
      <c r="D5" s="42" t="n">
        <v>955316</v>
      </c>
      <c r="E5" s="42" t="n">
        <v>954576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951961</v>
      </c>
      <c r="D6" s="42" t="n">
        <v>952509</v>
      </c>
      <c r="E6" s="42" t="n">
        <v>947184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-0.0033992596376915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961466</v>
      </c>
      <c r="D7" s="42" t="n">
        <v>965254</v>
      </c>
      <c r="E7" s="42" t="n">
        <v>959130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0.00998465273262239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970634</v>
      </c>
      <c r="D8" s="42" t="n">
        <v>978953</v>
      </c>
      <c r="E8" s="42" t="n">
        <v>965540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0.00953543859065209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973179</v>
      </c>
      <c r="D9" s="42" t="n">
        <v>973506</v>
      </c>
      <c r="E9" s="42" t="n">
        <v>971587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0.00262199758096249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977586</v>
      </c>
      <c r="D10" s="42" t="n">
        <v>982415</v>
      </c>
      <c r="E10" s="42" t="n">
        <v>972102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0.00452845776573474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980179</v>
      </c>
      <c r="D11" s="42" t="n">
        <v>982172</v>
      </c>
      <c r="E11" s="42" t="n">
        <v>973209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0.00265245206048359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974842</v>
      </c>
      <c r="D12" s="42" t="n">
        <v>976057</v>
      </c>
      <c r="E12" s="42" t="n">
        <v>973285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-0.00544492383534023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989525</v>
      </c>
      <c r="D13" s="42" t="n">
        <v>997157</v>
      </c>
      <c r="E13" s="42" t="n">
        <v>988964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0.0150619279842272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972759</v>
      </c>
      <c r="D14" s="42" t="n">
        <v>973787</v>
      </c>
      <c r="E14" s="42" t="n">
        <v>967653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-0.0169434829842601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973102</v>
      </c>
      <c r="D15" s="42" t="n">
        <v>975003</v>
      </c>
      <c r="E15" s="42" t="n">
        <v>972938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0.000352605321564781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976672</v>
      </c>
      <c r="D16" s="42" t="n">
        <v>978159</v>
      </c>
      <c r="E16" s="42" t="n">
        <v>974132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0.00366868015891453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967646</v>
      </c>
      <c r="D17" s="42" t="n">
        <v>972046</v>
      </c>
      <c r="E17" s="42" t="n">
        <v>958533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-0.00924158775924777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964632</v>
      </c>
      <c r="D18" s="42" t="n">
        <v>965256</v>
      </c>
      <c r="E18" s="42" t="n">
        <v>962941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-0.00311477544473904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957920</v>
      </c>
      <c r="D19" s="42" t="n">
        <v>960453</v>
      </c>
      <c r="E19" s="42" t="n">
        <v>956354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-0.006958093863774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962102</v>
      </c>
      <c r="D20" s="42" t="n">
        <v>965679</v>
      </c>
      <c r="E20" s="42" t="n">
        <v>959454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0.00436570903624522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970369</v>
      </c>
      <c r="D21" s="42" t="n">
        <v>972030</v>
      </c>
      <c r="E21" s="42" t="n">
        <v>965044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0.00859264402319093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949644</v>
      </c>
      <c r="D22" s="42" t="n">
        <v>954555</v>
      </c>
      <c r="E22" s="42" t="n">
        <v>948211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-0.0213578545893366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936515</v>
      </c>
      <c r="D23" s="42" t="n">
        <v>938204</v>
      </c>
      <c r="E23" s="42" t="n">
        <v>935570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-0.0138251808045963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940144</v>
      </c>
      <c r="D24" s="42" t="n">
        <v>941500</v>
      </c>
      <c r="E24" s="42" t="n">
        <v>938881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0.00387500467157498</v>
      </c>
      <c r="I24" s="45" t="n">
        <f aca="false">IF(AND(ISNUMBER($G24),$G24&gt;=MA_SHORT),AVERAGE(INDEX($C$5:$C24,21-MA_SHORT):$C24),"")</f>
        <v>965304.25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934352</v>
      </c>
      <c r="D25" s="42" t="n">
        <v>938164</v>
      </c>
      <c r="E25" s="42" t="n">
        <v>931099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-0.0061607583519121</v>
      </c>
      <c r="I25" s="45" t="n">
        <f aca="false">IF(AND(ISNUMBER($G25),$G25&gt;=MA_SHORT),AVERAGE(INDEX($C$5:$C25,22-MA_SHORT):$C25),"")</f>
        <v>964261.45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0.148403809691407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936883</v>
      </c>
      <c r="D26" s="42" t="n">
        <v>937358</v>
      </c>
      <c r="E26" s="42" t="n">
        <v>934212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0.00270882922067917</v>
      </c>
      <c r="I26" s="45" t="n">
        <f aca="false">IF(AND(ISNUMBER($G26),$G26&gt;=MA_SHORT),AVERAGE(INDEX($C$5:$C26,23-MA_SHORT):$C26),"")</f>
        <v>963507.55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0.148701992057415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928806</v>
      </c>
      <c r="D27" s="42" t="n">
        <v>931384</v>
      </c>
      <c r="E27" s="42" t="n">
        <v>927649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-0.00862114052661855</v>
      </c>
      <c r="I27" s="45" t="n">
        <f aca="false">IF(AND(ISNUMBER($G27),$G27&gt;=MA_SHORT),AVERAGE(INDEX($C$5:$C27,24-MA_SHORT):$C27),"")</f>
        <v>961874.55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0.145601264492154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932775</v>
      </c>
      <c r="D28" s="42" t="n">
        <v>935417</v>
      </c>
      <c r="E28" s="42" t="n">
        <v>925727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0.00427322820912002</v>
      </c>
      <c r="I28" s="45" t="n">
        <f aca="false">IF(AND(ISNUMBER($G28),$G28&gt;=MA_SHORT),AVERAGE(INDEX($C$5:$C28,25-MA_SHORT):$C28),"")</f>
        <v>959981.6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0.14147859237972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934509</v>
      </c>
      <c r="D29" s="42" t="n">
        <v>936646</v>
      </c>
      <c r="E29" s="42" t="n">
        <v>931925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0.00185896920479212</v>
      </c>
      <c r="I29" s="45" t="n">
        <f aca="false">IF(AND(ISNUMBER($G29),$G29&gt;=MA_SHORT),AVERAGE(INDEX($C$5:$C29,26-MA_SHORT):$C29),"")</f>
        <v>958048.1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0.141185654974861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899780</v>
      </c>
      <c r="D30" s="42" t="n">
        <v>907812</v>
      </c>
      <c r="E30" s="42" t="n">
        <v>896936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-0.0371628309625697</v>
      </c>
      <c r="I30" s="45" t="n">
        <f aca="false">IF(AND(ISNUMBER($G30),$G30&gt;=MA_SHORT),AVERAGE(INDEX($C$5:$C30,27-MA_SHORT):$C30),"")</f>
        <v>954157.8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0.184989382880004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907840</v>
      </c>
      <c r="D31" s="42" t="n">
        <v>910442</v>
      </c>
      <c r="E31" s="42" t="n">
        <v>902801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0.00895774522661097</v>
      </c>
      <c r="I31" s="45" t="n">
        <f aca="false">IF(AND(ISNUMBER($G31),$G31&gt;=MA_SHORT),AVERAGE(INDEX($C$5:$C31,28-MA_SHORT):$C31),"")</f>
        <v>950540.85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0.189212574008289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900939</v>
      </c>
      <c r="D32" s="42" t="n">
        <v>906062</v>
      </c>
      <c r="E32" s="42" t="n">
        <v>899155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-0.0076015597462108</v>
      </c>
      <c r="I32" s="45" t="n">
        <f aca="false">IF(AND(ISNUMBER($G32),$G32&gt;=MA_SHORT),AVERAGE(INDEX($C$5:$C32,29-MA_SHORT):$C32),"")</f>
        <v>946845.7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0.189610976480472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898093</v>
      </c>
      <c r="D33" s="42" t="n">
        <v>901273</v>
      </c>
      <c r="E33" s="42" t="n">
        <v>893871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-0.00315892640900217</v>
      </c>
      <c r="I33" s="45" t="n">
        <f aca="false">IF(AND(ISNUMBER($G33),$G33&gt;=MA_SHORT),AVERAGE(INDEX($C$5:$C33,30-MA_SHORT):$C33),"")</f>
        <v>942274.1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0.176425890246307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898012</v>
      </c>
      <c r="D34" s="42" t="n">
        <v>898268</v>
      </c>
      <c r="E34" s="42" t="n">
        <v>896258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-9.01911049301374E-005</v>
      </c>
      <c r="I34" s="45" t="n">
        <f aca="false">IF(AND(ISNUMBER($G34),$G34&gt;=MA_SHORT),AVERAGE(INDEX($C$5:$C34,31-MA_SHORT):$C34),"")</f>
        <v>938536.75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0.171220524871664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893779</v>
      </c>
      <c r="D35" s="42" t="n">
        <v>895297</v>
      </c>
      <c r="E35" s="42" t="n">
        <v>892592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-0.00471374547333447</v>
      </c>
      <c r="I35" s="45" t="n">
        <f aca="false">IF(AND(ISNUMBER($G35),$G35&gt;=MA_SHORT),AVERAGE(INDEX($C$5:$C35,32-MA_SHORT):$C35),"")</f>
        <v>934570.6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0.170502443428213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901650</v>
      </c>
      <c r="D36" s="42" t="n">
        <v>902658</v>
      </c>
      <c r="E36" s="42" t="n">
        <v>900202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0.00880642753969374</v>
      </c>
      <c r="I36" s="45" t="n">
        <f aca="false">IF(AND(ISNUMBER($G36),$G36&gt;=MA_SHORT),AVERAGE(INDEX($C$5:$C36,33-MA_SHORT):$C36),"")</f>
        <v>930819.5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0.174456554536345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900540</v>
      </c>
      <c r="D37" s="42" t="n">
        <v>903084</v>
      </c>
      <c r="E37" s="42" t="n">
        <v>896667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-0.00123107636000663</v>
      </c>
      <c r="I37" s="45" t="n">
        <f aca="false">IF(AND(ISNUMBER($G37),$G37&gt;=MA_SHORT),AVERAGE(INDEX($C$5:$C37,34-MA_SHORT):$C37),"")</f>
        <v>927464.2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0.1735612775707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904671</v>
      </c>
      <c r="D38" s="42" t="n">
        <v>905207</v>
      </c>
      <c r="E38" s="42" t="n">
        <v>902706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0.00458724765140905</v>
      </c>
      <c r="I38" s="45" t="n">
        <f aca="false">IF(AND(ISNUMBER($G38),$G38&gt;=MA_SHORT),AVERAGE(INDEX($C$5:$C38,35-MA_SHORT):$C38),"")</f>
        <v>924466.15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0.175875684695626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909743</v>
      </c>
      <c r="D39" s="42" t="n">
        <v>910987</v>
      </c>
      <c r="E39" s="42" t="n">
        <v>908471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0.00560645803833659</v>
      </c>
      <c r="I39" s="45" t="n">
        <f aca="false">IF(AND(ISNUMBER($G39),$G39&gt;=MA_SHORT),AVERAGE(INDEX($C$5:$C39,36-MA_SHORT):$C39),"")</f>
        <v>922057.3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0.177847828187597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920946</v>
      </c>
      <c r="D40" s="42" t="n">
        <v>921744</v>
      </c>
      <c r="E40" s="42" t="n">
        <v>914456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0.0123144668329407</v>
      </c>
      <c r="I40" s="45" t="n">
        <f aca="false">IF(AND(ISNUMBER($G40),$G40&gt;=MA_SHORT),AVERAGE(INDEX($C$5:$C40,37-MA_SHORT):$C40),"")</f>
        <v>919999.5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0.183886520571059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931068</v>
      </c>
      <c r="D41" s="42" t="n">
        <v>931811</v>
      </c>
      <c r="E41" s="42" t="n">
        <v>930546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0.0109908724290024</v>
      </c>
      <c r="I41" s="45" t="n">
        <f aca="false">IF(AND(ISNUMBER($G41),$G41&gt;=MA_SHORT),AVERAGE(INDEX($C$5:$C41,38-MA_SHORT):$C41),"")</f>
        <v>918034.45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0.185868492612705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942364</v>
      </c>
      <c r="D42" s="42" t="n">
        <v>942940</v>
      </c>
      <c r="E42" s="42" t="n">
        <v>940507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0.0121323039777976</v>
      </c>
      <c r="I42" s="45" t="n">
        <f aca="false">IF(AND(ISNUMBER($G42),$G42&gt;=MA_SHORT),AVERAGE(INDEX($C$5:$C42,39-MA_SHORT):$C42),"")</f>
        <v>917670.45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0.177665164824955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952383</v>
      </c>
      <c r="D43" s="42" t="n">
        <v>953027</v>
      </c>
      <c r="E43" s="42" t="n">
        <v>952225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0.0106317728605931</v>
      </c>
      <c r="I43" s="45" t="n">
        <f aca="false">IF(AND(ISNUMBER($G43),$G43&gt;=MA_SHORT),AVERAGE(INDEX($C$5:$C43,40-MA_SHORT):$C43),"")</f>
        <v>918463.85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0.174286277969254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960972</v>
      </c>
      <c r="D44" s="42" t="n">
        <v>962334</v>
      </c>
      <c r="E44" s="42" t="n">
        <v>960617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0.00901843061037422</v>
      </c>
      <c r="I44" s="45" t="n">
        <f aca="false">IF(AND(ISNUMBER($G44),$G44&gt;=MA_SHORT),AVERAGE(INDEX($C$5:$C44,41-MA_SHORT):$C44),"")</f>
        <v>919505.25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0.176335989032273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966864</v>
      </c>
      <c r="D45" s="42" t="n">
        <v>974340</v>
      </c>
      <c r="E45" s="42" t="n">
        <v>964757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0.00613129206678242</v>
      </c>
      <c r="I45" s="45" t="n">
        <f aca="false">IF(AND(ISNUMBER($G45),$G45&gt;=MA_SHORT),AVERAGE(INDEX($C$5:$C45,42-MA_SHORT):$C45),"")</f>
        <v>921130.85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0.175001187374068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950842</v>
      </c>
      <c r="D46" s="42" t="n">
        <v>953254</v>
      </c>
      <c r="E46" s="42" t="n">
        <v>947428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-0.0165710999685581</v>
      </c>
      <c r="I46" s="45" t="n">
        <f aca="false">IF(AND(ISNUMBER($G46),$G46&gt;=MA_SHORT),AVERAGE(INDEX($C$5:$C46,43-MA_SHORT):$C46),"")</f>
        <v>921828.8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0.186314485653417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949095</v>
      </c>
      <c r="D47" s="42" t="n">
        <v>949623</v>
      </c>
      <c r="E47" s="42" t="n">
        <v>947172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-0.00183731892364869</v>
      </c>
      <c r="I47" s="45" t="n">
        <f aca="false">IF(AND(ISNUMBER($G47),$G47&gt;=MA_SHORT),AVERAGE(INDEX($C$5:$C47,44-MA_SHORT):$C47),"")</f>
        <v>922843.25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0.183377228594213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935074</v>
      </c>
      <c r="D48" s="42" t="n">
        <v>935455</v>
      </c>
      <c r="E48" s="42" t="n">
        <v>932869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-0.0147730206143748</v>
      </c>
      <c r="I48" s="45" t="n">
        <f aca="false">IF(AND(ISNUMBER($G48),$G48&gt;=MA_SHORT),AVERAGE(INDEX($C$5:$C48,45-MA_SHORT):$C48),"")</f>
        <v>922958.2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0.191142598537439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932332</v>
      </c>
      <c r="D49" s="42" t="n">
        <v>938065</v>
      </c>
      <c r="E49" s="42" t="n">
        <v>930240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-0.00293238823879183</v>
      </c>
      <c r="I49" s="45" t="n">
        <f aca="false">IF(AND(ISNUMBER($G49),$G49&gt;=MA_SHORT),AVERAGE(INDEX($C$5:$C49,46-MA_SHORT):$C49),"")</f>
        <v>922849.35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0.191340228800966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949980</v>
      </c>
      <c r="D50" s="42" t="n">
        <v>950089</v>
      </c>
      <c r="E50" s="42" t="n">
        <v>948404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0.018928879412055</v>
      </c>
      <c r="I50" s="45" t="n">
        <f aca="false">IF(AND(ISNUMBER($G50),$G50&gt;=MA_SHORT),AVERAGE(INDEX($C$5:$C50,47-MA_SHORT):$C50),"")</f>
        <v>925359.35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0.146488598404937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941196</v>
      </c>
      <c r="D51" s="42" t="n">
        <v>944771</v>
      </c>
      <c r="E51" s="42" t="n">
        <v>939071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-0.00924651045285163</v>
      </c>
      <c r="I51" s="45" t="n">
        <f aca="false">IF(AND(ISNUMBER($G51),$G51&gt;=MA_SHORT),AVERAGE(INDEX($C$5:$C51,48-MA_SHORT):$C51),"")</f>
        <v>927027.15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0.150361932241995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930573</v>
      </c>
      <c r="D52" s="42" t="n">
        <v>933277</v>
      </c>
      <c r="E52" s="42" t="n">
        <v>928767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-0.0112867033009065</v>
      </c>
      <c r="I52" s="45" t="n">
        <f aca="false">IF(AND(ISNUMBER($G52),$G52&gt;=MA_SHORT),AVERAGE(INDEX($C$5:$C52,49-MA_SHORT):$C52),"")</f>
        <v>928508.85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0.153861265828501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928346</v>
      </c>
      <c r="D53" s="42" t="n">
        <v>931287</v>
      </c>
      <c r="E53" s="42" t="n">
        <v>928046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-0.00239314916723354</v>
      </c>
      <c r="I53" s="45" t="n">
        <f aca="false">IF(AND(ISNUMBER($G53),$G53&gt;=MA_SHORT),AVERAGE(INDEX($C$5:$C53,50-MA_SHORT):$C53),"")</f>
        <v>930021.5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0.1535747307948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944134</v>
      </c>
      <c r="D54" s="42" t="n">
        <v>945477</v>
      </c>
      <c r="E54" s="42" t="n">
        <v>938380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0.0170065902152861</v>
      </c>
      <c r="I54" s="45" t="n">
        <f aca="false">IF(AND(ISNUMBER($G54),$G54&gt;=MA_SHORT),AVERAGE(INDEX($C$5:$C54,51-MA_SHORT):$C54),"")</f>
        <v>932327.6</v>
      </c>
      <c r="J54" s="45" t="n">
        <f aca="false">IF(AND(ISNUMBER($G54),$G54&gt;=MA_MED),AVERAGE(INDEX($C$5:$C54,51-MA_MED):$C54),"")</f>
        <v>942492.52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0.162403627503136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945463</v>
      </c>
      <c r="D55" s="42" t="n">
        <v>946350</v>
      </c>
      <c r="E55" s="42" t="n">
        <v>943433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0.00140763916986364</v>
      </c>
      <c r="I55" s="45" t="n">
        <f aca="false">IF(AND(ISNUMBER($G55),$G55&gt;=MA_SHORT),AVERAGE(INDEX($C$5:$C55,52-MA_SHORT):$C55),"")</f>
        <v>934911.8</v>
      </c>
      <c r="J55" s="45" t="n">
        <f aca="false">IF(AND(ISNUMBER($G55),$G55&gt;=MA_MED),AVERAGE(INDEX($C$5:$C55,52-MA_MED):$C55),"")</f>
        <v>942297.62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0.160268258645767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944902</v>
      </c>
      <c r="D56" s="42" t="n">
        <v>950211</v>
      </c>
      <c r="E56" s="42" t="n">
        <v>941591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-0.000593360078606997</v>
      </c>
      <c r="I56" s="45" t="n">
        <f aca="false">IF(AND(ISNUMBER($G56),$G56&gt;=MA_SHORT),AVERAGE(INDEX($C$5:$C56,53-MA_SHORT):$C56),"")</f>
        <v>937074.4</v>
      </c>
      <c r="J56" s="45" t="n">
        <f aca="false">IF(AND(ISNUMBER($G56),$G56&gt;=MA_MED),AVERAGE(INDEX($C$5:$C56,53-MA_MED):$C56),"")</f>
        <v>942156.44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0.159147332791387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945357</v>
      </c>
      <c r="D57" s="42" t="n">
        <v>946699</v>
      </c>
      <c r="E57" s="42" t="n">
        <v>943205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0.000481531418073056</v>
      </c>
      <c r="I57" s="45" t="n">
        <f aca="false">IF(AND(ISNUMBER($G57),$G57&gt;=MA_SHORT),AVERAGE(INDEX($C$5:$C57,54-MA_SHORT):$C57),"")</f>
        <v>939315.25</v>
      </c>
      <c r="J57" s="45" t="n">
        <f aca="false">IF(AND(ISNUMBER($G57),$G57&gt;=MA_MED),AVERAGE(INDEX($C$5:$C57,54-MA_MED):$C57),"")</f>
        <v>941834.26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0.158756632673928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958545</v>
      </c>
      <c r="D58" s="42" t="n">
        <v>962947</v>
      </c>
      <c r="E58" s="42" t="n">
        <v>956391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0.0139502854477198</v>
      </c>
      <c r="I58" s="45" t="n">
        <f aca="false">IF(AND(ISNUMBER($G58),$G58&gt;=MA_SHORT),AVERAGE(INDEX($C$5:$C58,55-MA_SHORT):$C58),"")</f>
        <v>942008.95</v>
      </c>
      <c r="J58" s="45" t="n">
        <f aca="false">IF(AND(ISNUMBER($G58),$G58&gt;=MA_MED),AVERAGE(INDEX($C$5:$C58,55-MA_MED):$C58),"")</f>
        <v>941592.48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0.163665414038664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953999</v>
      </c>
      <c r="D59" s="42" t="n">
        <v>958775</v>
      </c>
      <c r="E59" s="42" t="n">
        <v>953122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-0.00474260467688004</v>
      </c>
      <c r="I59" s="45" t="n">
        <f aca="false">IF(AND(ISNUMBER($G59),$G59&gt;=MA_SHORT),AVERAGE(INDEX($C$5:$C59,56-MA_SHORT):$C59),"")</f>
        <v>944221.75</v>
      </c>
      <c r="J59" s="45" t="n">
        <f aca="false">IF(AND(ISNUMBER($G59),$G59&gt;=MA_MED),AVERAGE(INDEX($C$5:$C59,56-MA_MED):$C59),"")</f>
        <v>941208.88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0.165496041026409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971914</v>
      </c>
      <c r="D60" s="42" t="n">
        <v>974928</v>
      </c>
      <c r="E60" s="42" t="n">
        <v>970339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0.0187788456801317</v>
      </c>
      <c r="I60" s="45" t="n">
        <f aca="false">IF(AND(ISNUMBER($G60),$G60&gt;=MA_SHORT),AVERAGE(INDEX($C$5:$C60,57-MA_SHORT):$C60),"")</f>
        <v>946770.15</v>
      </c>
      <c r="J60" s="45" t="n">
        <f aca="false">IF(AND(ISNUMBER($G60),$G60&gt;=MA_MED),AVERAGE(INDEX($C$5:$C60,57-MA_MED):$C60),"")</f>
        <v>941095.44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0.171896957786523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966115</v>
      </c>
      <c r="D61" s="42" t="n">
        <v>966500</v>
      </c>
      <c r="E61" s="42" t="n">
        <v>965996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-0.00596657728976024</v>
      </c>
      <c r="I61" s="45" t="n">
        <f aca="false">IF(AND(ISNUMBER($G61),$G61&gt;=MA_SHORT),AVERAGE(INDEX($C$5:$C61,58-MA_SHORT):$C61),"")</f>
        <v>948522.5</v>
      </c>
      <c r="J61" s="45" t="n">
        <f aca="false">IF(AND(ISNUMBER($G61),$G61&gt;=MA_MED),AVERAGE(INDEX($C$5:$C61,58-MA_MED):$C61),"")</f>
        <v>940814.16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0.171665327180335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966556</v>
      </c>
      <c r="D62" s="42" t="n">
        <v>970718</v>
      </c>
      <c r="E62" s="42" t="n">
        <v>965984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0.000456467397773608</v>
      </c>
      <c r="I62" s="45" t="n">
        <f aca="false">IF(AND(ISNUMBER($G62),$G62&gt;=MA_SHORT),AVERAGE(INDEX($C$5:$C62,59-MA_SHORT):$C62),"")</f>
        <v>949732.1</v>
      </c>
      <c r="J62" s="45" t="n">
        <f aca="false">IF(AND(ISNUMBER($G62),$G62&gt;=MA_MED),AVERAGE(INDEX($C$5:$C62,59-MA_MED):$C62),"")</f>
        <v>940648.44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0.167510479014916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970176</v>
      </c>
      <c r="D63" s="42" t="n">
        <v>979315</v>
      </c>
      <c r="E63" s="42" t="n">
        <v>965855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0.00374525635348588</v>
      </c>
      <c r="I63" s="45" t="n">
        <f aca="false">IF(AND(ISNUMBER($G63),$G63&gt;=MA_SHORT),AVERAGE(INDEX($C$5:$C63,60-MA_SHORT):$C63),"")</f>
        <v>950621.75</v>
      </c>
      <c r="J63" s="45" t="n">
        <f aca="false">IF(AND(ISNUMBER($G63),$G63&gt;=MA_MED),AVERAGE(INDEX($C$5:$C63,60-MA_MED):$C63),"")</f>
        <v>940261.46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0.164278341794377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987122</v>
      </c>
      <c r="D64" s="42" t="n">
        <v>989932</v>
      </c>
      <c r="E64" s="42" t="n">
        <v>984117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0.0174669338346856</v>
      </c>
      <c r="I64" s="45" t="n">
        <f aca="false">IF(AND(ISNUMBER($G64),$G64&gt;=MA_SHORT),AVERAGE(INDEX($C$5:$C64,61-MA_SHORT):$C64),"")</f>
        <v>951929.25</v>
      </c>
      <c r="J64" s="45" t="n">
        <f aca="false">IF(AND(ISNUMBER($G64),$G64&gt;=MA_MED),AVERAGE(INDEX($C$5:$C64,61-MA_MED):$C64),"")</f>
        <v>940548.72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0.172085984396527</v>
      </c>
      <c r="M64" s="45" t="n">
        <f aca="false">IF(AND(ISNUMBER($G64),$G64&gt;=60),MAX(INDEX($D$5:$D64,61-60):$D64),"")</f>
        <v>997157</v>
      </c>
      <c r="N64" s="45" t="n">
        <f aca="false">IF(AND(ISNUMBER($G64),$G64&gt;=60),MIN(INDEX($E$5:$E64,61-60):$E64),"")</f>
        <v>892592</v>
      </c>
      <c r="O64" s="46" t="n">
        <f aca="false">IF(OR(NOT(ISNUMBER($C64)),NOT(ISNUMBER($M64)),$M64=0),"",$C64/$M64-1)</f>
        <v>-0.0100636108456341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990056</v>
      </c>
      <c r="D65" s="42" t="n">
        <v>992051</v>
      </c>
      <c r="E65" s="42" t="n">
        <v>987853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0.00297227698298697</v>
      </c>
      <c r="I65" s="45" t="n">
        <f aca="false">IF(AND(ISNUMBER($G65),$G65&gt;=MA_SHORT),AVERAGE(INDEX($C$5:$C65,62-MA_SHORT):$C65),"")</f>
        <v>953088.85</v>
      </c>
      <c r="J65" s="45" t="n">
        <f aca="false">IF(AND(ISNUMBER($G65),$G65&gt;=MA_MED),AVERAGE(INDEX($C$5:$C65,62-MA_MED):$C65),"")</f>
        <v>940887.8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0.171319651298217</v>
      </c>
      <c r="M65" s="45" t="n">
        <f aca="false">IF(AND(ISNUMBER($G65),$G65&gt;=60),MAX(INDEX($D$5:$D65,62-60):$D65),"")</f>
        <v>997157</v>
      </c>
      <c r="N65" s="45" t="n">
        <f aca="false">IF(AND(ISNUMBER($G65),$G65&gt;=60),MIN(INDEX($E$5:$E65,62-60):$E65),"")</f>
        <v>892592</v>
      </c>
      <c r="O65" s="46" t="n">
        <f aca="false">IF(OR(NOT(ISNUMBER($C65)),NOT(ISNUMBER($M65)),$M65=0),"",$C65/$M65-1)</f>
        <v>-0.0071212457015295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984066</v>
      </c>
      <c r="D66" s="42" t="n">
        <v>988262</v>
      </c>
      <c r="E66" s="42" t="n">
        <v>981481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-0.00605016281907289</v>
      </c>
      <c r="I66" s="45" t="n">
        <f aca="false">IF(AND(ISNUMBER($G66),$G66&gt;=MA_SHORT),AVERAGE(INDEX($C$5:$C66,63-MA_SHORT):$C66),"")</f>
        <v>954750.05</v>
      </c>
      <c r="J66" s="45" t="n">
        <f aca="false">IF(AND(ISNUMBER($G66),$G66&gt;=MA_MED),AVERAGE(INDEX($C$5:$C66,63-MA_MED):$C66),"")</f>
        <v>941035.68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0.160850850623655</v>
      </c>
      <c r="M66" s="45" t="n">
        <f aca="false">IF(AND(ISNUMBER($G66),$G66&gt;=60),MAX(INDEX($D$5:$D66,63-60):$D66),"")</f>
        <v>997157</v>
      </c>
      <c r="N66" s="45" t="n">
        <f aca="false">IF(AND(ISNUMBER($G66),$G66&gt;=60),MIN(INDEX($E$5:$E66,63-60):$E66),"")</f>
        <v>892592</v>
      </c>
      <c r="O66" s="46" t="n">
        <f aca="false">IF(OR(NOT(ISNUMBER($C66)),NOT(ISNUMBER($M66)),$M66=0),"",$C66/$M66-1)</f>
        <v>-0.0131283238246335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1000210</v>
      </c>
      <c r="D67" s="42" t="n">
        <v>1006068</v>
      </c>
      <c r="E67" s="42" t="n">
        <v>996732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0.0164054037025971</v>
      </c>
      <c r="I67" s="45" t="n">
        <f aca="false">IF(AND(ISNUMBER($G67),$G67&gt;=MA_SHORT),AVERAGE(INDEX($C$5:$C67,64-MA_SHORT):$C67),"")</f>
        <v>957305.8</v>
      </c>
      <c r="J67" s="45" t="n">
        <f aca="false">IF(AND(ISNUMBER($G67),$G67&gt;=MA_MED),AVERAGE(INDEX($C$5:$C67,64-MA_MED):$C67),"")</f>
        <v>941686.96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0.168087059758074</v>
      </c>
      <c r="M67" s="45" t="n">
        <f aca="false">IF(AND(ISNUMBER($G67),$G67&gt;=60),MAX(INDEX($D$5:$D67,64-60):$D67),"")</f>
        <v>1006068</v>
      </c>
      <c r="N67" s="45" t="n">
        <f aca="false">IF(AND(ISNUMBER($G67),$G67&gt;=60),MIN(INDEX($E$5:$E67,64-60):$E67),"")</f>
        <v>892592</v>
      </c>
      <c r="O67" s="46" t="n">
        <f aca="false">IF(OR(NOT(ISNUMBER($C67)),NOT(ISNUMBER($M67)),$M67=0),"",$C67/$M67-1)</f>
        <v>-0.00582266805027099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998330</v>
      </c>
      <c r="D68" s="42" t="n">
        <v>998484</v>
      </c>
      <c r="E68" s="42" t="n">
        <v>996024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-0.00187960528289055</v>
      </c>
      <c r="I68" s="45" t="n">
        <f aca="false">IF(AND(ISNUMBER($G68),$G68&gt;=MA_SHORT),AVERAGE(INDEX($C$5:$C68,65-MA_SHORT):$C68),"")</f>
        <v>960468.6</v>
      </c>
      <c r="J68" s="45" t="n">
        <f aca="false">IF(AND(ISNUMBER($G68),$G68&gt;=MA_MED),AVERAGE(INDEX($C$5:$C68,65-MA_MED):$C68),"")</f>
        <v>942360.92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0.156480225900747</v>
      </c>
      <c r="M68" s="45" t="n">
        <f aca="false">IF(AND(ISNUMBER($G68),$G68&gt;=60),MAX(INDEX($D$5:$D68,65-60):$D68),"")</f>
        <v>1006068</v>
      </c>
      <c r="N68" s="45" t="n">
        <f aca="false">IF(AND(ISNUMBER($G68),$G68&gt;=60),MIN(INDEX($E$5:$E68,65-60):$E68),"")</f>
        <v>892592</v>
      </c>
      <c r="O68" s="46" t="n">
        <f aca="false">IF(OR(NOT(ISNUMBER($C68)),NOT(ISNUMBER($M68)),$M68=0),"",$C68/$M68-1)</f>
        <v>-0.00769132901553371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1001991</v>
      </c>
      <c r="D69" s="42" t="n">
        <v>1002542</v>
      </c>
      <c r="E69" s="42" t="n">
        <v>1000343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0.00366712409724235</v>
      </c>
      <c r="I69" s="45" t="n">
        <f aca="false">IF(AND(ISNUMBER($G69),$G69&gt;=MA_SHORT),AVERAGE(INDEX($C$5:$C69,66-MA_SHORT):$C69),"")</f>
        <v>963951.55</v>
      </c>
      <c r="J69" s="45" t="n">
        <f aca="false">IF(AND(ISNUMBER($G69),$G69&gt;=MA_MED),AVERAGE(INDEX($C$5:$C69,66-MA_MED):$C69),"")</f>
        <v>943242.34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0.154772480100925</v>
      </c>
      <c r="M69" s="45" t="n">
        <f aca="false">IF(AND(ISNUMBER($G69),$G69&gt;=60),MAX(INDEX($D$5:$D69,66-60):$D69),"")</f>
        <v>1006068</v>
      </c>
      <c r="N69" s="45" t="n">
        <f aca="false">IF(AND(ISNUMBER($G69),$G69&gt;=60),MIN(INDEX($E$5:$E69,66-60):$E69),"")</f>
        <v>892592</v>
      </c>
      <c r="O69" s="46" t="n">
        <f aca="false">IF(OR(NOT(ISNUMBER($C69)),NOT(ISNUMBER($M69)),$M69=0),"",$C69/$M69-1)</f>
        <v>-0.00405240997626399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1016376</v>
      </c>
      <c r="D70" s="42" t="n">
        <v>1018481</v>
      </c>
      <c r="E70" s="42" t="n">
        <v>1013672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0.0143564163749974</v>
      </c>
      <c r="I70" s="45" t="n">
        <f aca="false">IF(AND(ISNUMBER($G70),$G70&gt;=MA_SHORT),AVERAGE(INDEX($C$5:$C70,67-MA_SHORT):$C70),"")</f>
        <v>967271.35</v>
      </c>
      <c r="J70" s="45" t="n">
        <f aca="false">IF(AND(ISNUMBER($G70),$G70&gt;=MA_MED),AVERAGE(INDEX($C$5:$C70,67-MA_MED):$C70),"")</f>
        <v>944327.82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0.149698261408287</v>
      </c>
      <c r="M70" s="45" t="n">
        <f aca="false">IF(AND(ISNUMBER($G70),$G70&gt;=60),MAX(INDEX($D$5:$D70,67-60):$D70),"")</f>
        <v>1018481</v>
      </c>
      <c r="N70" s="45" t="n">
        <f aca="false">IF(AND(ISNUMBER($G70),$G70&gt;=60),MIN(INDEX($E$5:$E70,67-60):$E70),"")</f>
        <v>892592</v>
      </c>
      <c r="O70" s="46" t="n">
        <f aca="false">IF(OR(NOT(ISNUMBER($C70)),NOT(ISNUMBER($M70)),$M70=0),"",$C70/$M70-1)</f>
        <v>-0.0020668034062491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1016192</v>
      </c>
      <c r="D71" s="42" t="n">
        <v>1018941</v>
      </c>
      <c r="E71" s="42" t="n">
        <v>1015295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-0.000181035364865023</v>
      </c>
      <c r="I71" s="45" t="n">
        <f aca="false">IF(AND(ISNUMBER($G71),$G71&gt;=MA_SHORT),AVERAGE(INDEX($C$5:$C71,68-MA_SHORT):$C71),"")</f>
        <v>971021.15</v>
      </c>
      <c r="J71" s="45" t="n">
        <f aca="false">IF(AND(ISNUMBER($G71),$G71&gt;=MA_MED),AVERAGE(INDEX($C$5:$C71,68-MA_MED):$C71),"")</f>
        <v>945244.28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0.143015265951568</v>
      </c>
      <c r="M71" s="45" t="n">
        <f aca="false">IF(AND(ISNUMBER($G71),$G71&gt;=60),MAX(INDEX($D$5:$D71,68-60):$D71),"")</f>
        <v>1018941</v>
      </c>
      <c r="N71" s="45" t="n">
        <f aca="false">IF(AND(ISNUMBER($G71),$G71&gt;=60),MIN(INDEX($E$5:$E71,68-60):$E71),"")</f>
        <v>892592</v>
      </c>
      <c r="O71" s="46" t="n">
        <f aca="false">IF(OR(NOT(ISNUMBER($C71)),NOT(ISNUMBER($M71)),$M71=0),"",$C71/$M71-1)</f>
        <v>-0.00269789909327434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1000186</v>
      </c>
      <c r="D72" s="42" t="n">
        <v>1001533</v>
      </c>
      <c r="E72" s="42" t="n">
        <v>997358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-0.0157509604484192</v>
      </c>
      <c r="I72" s="45" t="n">
        <f aca="false">IF(AND(ISNUMBER($G72),$G72&gt;=MA_SHORT),AVERAGE(INDEX($C$5:$C72,69-MA_SHORT):$C72),"")</f>
        <v>974501.8</v>
      </c>
      <c r="J72" s="45" t="n">
        <f aca="false">IF(AND(ISNUMBER($G72),$G72&gt;=MA_MED),AVERAGE(INDEX($C$5:$C72,69-MA_MED):$C72),"")</f>
        <v>946255.12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0.149812109570004</v>
      </c>
      <c r="M72" s="45" t="n">
        <f aca="false">IF(AND(ISNUMBER($G72),$G72&gt;=60),MAX(INDEX($D$5:$D72,69-60):$D72),"")</f>
        <v>1018941</v>
      </c>
      <c r="N72" s="45" t="n">
        <f aca="false">IF(AND(ISNUMBER($G72),$G72&gt;=60),MIN(INDEX($E$5:$E72,69-60):$E72),"")</f>
        <v>892592</v>
      </c>
      <c r="O72" s="46" t="n">
        <f aca="false">IF(OR(NOT(ISNUMBER($C72)),NOT(ISNUMBER($M72)),$M72=0),"",$C72/$M72-1)</f>
        <v>-0.0184063650397815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1013142</v>
      </c>
      <c r="D73" s="42" t="n">
        <v>1014999</v>
      </c>
      <c r="E73" s="42" t="n">
        <v>1010105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0.0129535906321425</v>
      </c>
      <c r="I73" s="45" t="n">
        <f aca="false">IF(AND(ISNUMBER($G73),$G73&gt;=MA_SHORT),AVERAGE(INDEX($C$5:$C73,70-MA_SHORT):$C73),"")</f>
        <v>978741.6</v>
      </c>
      <c r="J73" s="45" t="n">
        <f aca="false">IF(AND(ISNUMBER($G73),$G73&gt;=MA_MED),AVERAGE(INDEX($C$5:$C73,70-MA_MED):$C73),"")</f>
        <v>947787.66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0.151440802506981</v>
      </c>
      <c r="M73" s="45" t="n">
        <f aca="false">IF(AND(ISNUMBER($G73),$G73&gt;=60),MAX(INDEX($D$5:$D73,70-60):$D73),"")</f>
        <v>1018941</v>
      </c>
      <c r="N73" s="45" t="n">
        <f aca="false">IF(AND(ISNUMBER($G73),$G73&gt;=60),MIN(INDEX($E$5:$E73,70-60):$E73),"")</f>
        <v>892592</v>
      </c>
      <c r="O73" s="46" t="n">
        <f aca="false">IF(OR(NOT(ISNUMBER($C73)),NOT(ISNUMBER($M73)),$M73=0),"",$C73/$M73-1)</f>
        <v>-0.00569120292539016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992446</v>
      </c>
      <c r="D74" s="42" t="n">
        <v>995229</v>
      </c>
      <c r="E74" s="42" t="n">
        <v>988691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-0.020427541252855</v>
      </c>
      <c r="I74" s="45" t="n">
        <f aca="false">IF(AND(ISNUMBER($G74),$G74&gt;=MA_SHORT),AVERAGE(INDEX($C$5:$C74,71-MA_SHORT):$C74),"")</f>
        <v>981157.2</v>
      </c>
      <c r="J74" s="45" t="n">
        <f aca="false">IF(AND(ISNUMBER($G74),$G74&gt;=MA_MED),AVERAGE(INDEX($C$5:$C74,71-MA_MED):$C74),"")</f>
        <v>948833.7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0.167192393254934</v>
      </c>
      <c r="M74" s="45" t="n">
        <f aca="false">IF(AND(ISNUMBER($G74),$G74&gt;=60),MAX(INDEX($D$5:$D74,71-60):$D74),"")</f>
        <v>1018941</v>
      </c>
      <c r="N74" s="45" t="n">
        <f aca="false">IF(AND(ISNUMBER($G74),$G74&gt;=60),MIN(INDEX($E$5:$E74,71-60):$E74),"")</f>
        <v>892592</v>
      </c>
      <c r="O74" s="46" t="n">
        <f aca="false">IF(OR(NOT(ISNUMBER($C74)),NOT(ISNUMBER($M74)),$M74=0),"",$C74/$M74-1)</f>
        <v>-0.0260024868957084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988660</v>
      </c>
      <c r="D75" s="42" t="n">
        <v>992734</v>
      </c>
      <c r="E75" s="42" t="n">
        <v>987495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-0.00381481712858933</v>
      </c>
      <c r="I75" s="45" t="n">
        <f aca="false">IF(AND(ISNUMBER($G75),$G75&gt;=MA_SHORT),AVERAGE(INDEX($C$5:$C75,72-MA_SHORT):$C75),"")</f>
        <v>983317.05</v>
      </c>
      <c r="J75" s="45" t="n">
        <f aca="false">IF(AND(ISNUMBER($G75),$G75&gt;=MA_MED),AVERAGE(INDEX($C$5:$C75,72-MA_MED):$C75),"")</f>
        <v>949919.86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0.168646369224992</v>
      </c>
      <c r="M75" s="45" t="n">
        <f aca="false">IF(AND(ISNUMBER($G75),$G75&gt;=60),MAX(INDEX($D$5:$D75,72-60):$D75),"")</f>
        <v>1018941</v>
      </c>
      <c r="N75" s="45" t="n">
        <f aca="false">IF(AND(ISNUMBER($G75),$G75&gt;=60),MIN(INDEX($E$5:$E75,72-60):$E75),"")</f>
        <v>892592</v>
      </c>
      <c r="O75" s="46" t="n">
        <f aca="false">IF(OR(NOT(ISNUMBER($C75)),NOT(ISNUMBER($M75)),$M75=0),"",$C75/$M75-1)</f>
        <v>-0.0297181092919021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999776</v>
      </c>
      <c r="D76" s="42" t="n">
        <v>1004686</v>
      </c>
      <c r="E76" s="42" t="n">
        <v>996221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0.0112435013047965</v>
      </c>
      <c r="I76" s="45" t="n">
        <f aca="false">IF(AND(ISNUMBER($G76),$G76&gt;=MA_SHORT),AVERAGE(INDEX($C$5:$C76,73-MA_SHORT):$C76),"")</f>
        <v>986060.75</v>
      </c>
      <c r="J76" s="45" t="n">
        <f aca="false">IF(AND(ISNUMBER($G76),$G76&gt;=MA_MED),AVERAGE(INDEX($C$5:$C76,73-MA_MED):$C76),"")</f>
        <v>951177.72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0.171106250188087</v>
      </c>
      <c r="M76" s="45" t="n">
        <f aca="false">IF(AND(ISNUMBER($G76),$G76&gt;=60),MAX(INDEX($D$5:$D76,73-60):$D76),"")</f>
        <v>1018941</v>
      </c>
      <c r="N76" s="45" t="n">
        <f aca="false">IF(AND(ISNUMBER($G76),$G76&gt;=60),MIN(INDEX($E$5:$E76,73-60):$E76),"")</f>
        <v>892592</v>
      </c>
      <c r="O76" s="46" t="n">
        <f aca="false">IF(OR(NOT(ISNUMBER($C76)),NOT(ISNUMBER($M76)),$M76=0),"",$C76/$M76-1)</f>
        <v>-0.0188087435877052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995925</v>
      </c>
      <c r="D77" s="42" t="n">
        <v>996166</v>
      </c>
      <c r="E77" s="42" t="n">
        <v>994643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-0.00385186281727112</v>
      </c>
      <c r="I77" s="45" t="n">
        <f aca="false">IF(AND(ISNUMBER($G77),$G77&gt;=MA_SHORT),AVERAGE(INDEX($C$5:$C77,74-MA_SHORT):$C77),"")</f>
        <v>988589.15</v>
      </c>
      <c r="J77" s="45" t="n">
        <f aca="false">IF(AND(ISNUMBER($G77),$G77&gt;=MA_MED),AVERAGE(INDEX($C$5:$C77,74-MA_MED):$C77),"")</f>
        <v>952520.1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0.172556615940956</v>
      </c>
      <c r="M77" s="45" t="n">
        <f aca="false">IF(AND(ISNUMBER($G77),$G77&gt;=60),MAX(INDEX($D$5:$D77,74-60):$D77),"")</f>
        <v>1018941</v>
      </c>
      <c r="N77" s="45" t="n">
        <f aca="false">IF(AND(ISNUMBER($G77),$G77&gt;=60),MIN(INDEX($E$5:$E77,74-60):$E77),"")</f>
        <v>892592</v>
      </c>
      <c r="O77" s="46" t="n">
        <f aca="false">IF(OR(NOT(ISNUMBER($C77)),NOT(ISNUMBER($M77)),$M77=0),"",$C77/$M77-1)</f>
        <v>-0.0225881577049113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1002735</v>
      </c>
      <c r="D78" s="42" t="n">
        <v>1004277</v>
      </c>
      <c r="E78" s="42" t="n">
        <v>1000665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0.00683786429701039</v>
      </c>
      <c r="I78" s="45" t="n">
        <f aca="false">IF(AND(ISNUMBER($G78),$G78&gt;=MA_SHORT),AVERAGE(INDEX($C$5:$C78,75-MA_SHORT):$C78),"")</f>
        <v>990798.65</v>
      </c>
      <c r="J78" s="45" t="n">
        <f aca="false">IF(AND(ISNUMBER($G78),$G78&gt;=MA_MED),AVERAGE(INDEX($C$5:$C78,75-MA_MED):$C78),"")</f>
        <v>953919.3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0.168302537806933</v>
      </c>
      <c r="M78" s="45" t="n">
        <f aca="false">IF(AND(ISNUMBER($G78),$G78&gt;=60),MAX(INDEX($D$5:$D78,75-60):$D78),"")</f>
        <v>1018941</v>
      </c>
      <c r="N78" s="45" t="n">
        <f aca="false">IF(AND(ISNUMBER($G78),$G78&gt;=60),MIN(INDEX($E$5:$E78,75-60):$E78),"")</f>
        <v>892592</v>
      </c>
      <c r="O78" s="46" t="n">
        <f aca="false">IF(OR(NOT(ISNUMBER($C78)),NOT(ISNUMBER($M78)),$M78=0),"",$C78/$M78-1)</f>
        <v>-0.0159047481650066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1011290</v>
      </c>
      <c r="D79" s="42" t="n">
        <v>1012265</v>
      </c>
      <c r="E79" s="42" t="n">
        <v>1008176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0.00853166589378041</v>
      </c>
      <c r="I79" s="45" t="n">
        <f aca="false">IF(AND(ISNUMBER($G79),$G79&gt;=MA_SHORT),AVERAGE(INDEX($C$5:$C79,76-MA_SHORT):$C79),"")</f>
        <v>993663.2</v>
      </c>
      <c r="J79" s="45" t="n">
        <f aca="false">IF(AND(ISNUMBER($G79),$G79&gt;=MA_MED),AVERAGE(INDEX($C$5:$C79,76-MA_MED):$C79),"")</f>
        <v>955454.92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0.167539817220557</v>
      </c>
      <c r="M79" s="45" t="n">
        <f aca="false">IF(AND(ISNUMBER($G79),$G79&gt;=60),MAX(INDEX($D$5:$D79,76-60):$D79),"")</f>
        <v>1018941</v>
      </c>
      <c r="N79" s="45" t="n">
        <f aca="false">IF(AND(ISNUMBER($G79),$G79&gt;=60),MIN(INDEX($E$5:$E79,76-60):$E79),"")</f>
        <v>892592</v>
      </c>
      <c r="O79" s="46" t="n">
        <f aca="false">IF(OR(NOT(ISNUMBER($C79)),NOT(ISNUMBER($M79)),$M79=0),"",$C79/$M79-1)</f>
        <v>-0.00750877626869462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998458</v>
      </c>
      <c r="D80" s="42" t="n">
        <v>998946</v>
      </c>
      <c r="E80" s="42" t="n">
        <v>994914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-0.0126887440793442</v>
      </c>
      <c r="I80" s="45" t="n">
        <f aca="false">IF(AND(ISNUMBER($G80),$G80&gt;=MA_SHORT),AVERAGE(INDEX($C$5:$C80,77-MA_SHORT):$C80),"")</f>
        <v>994990.4</v>
      </c>
      <c r="J80" s="45" t="n">
        <f aca="false">IF(AND(ISNUMBER($G80),$G80&gt;=MA_MED),AVERAGE(INDEX($C$5:$C80,77-MA_MED):$C80),"")</f>
        <v>957428.48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0.165450973695171</v>
      </c>
      <c r="M80" s="45" t="n">
        <f aca="false">IF(AND(ISNUMBER($G80),$G80&gt;=60),MAX(INDEX($D$5:$D80,77-60):$D80),"")</f>
        <v>1018941</v>
      </c>
      <c r="N80" s="45" t="n">
        <f aca="false">IF(AND(ISNUMBER($G80),$G80&gt;=60),MIN(INDEX($E$5:$E80,77-60):$E80),"")</f>
        <v>892592</v>
      </c>
      <c r="O80" s="46" t="n">
        <f aca="false">IF(OR(NOT(ISNUMBER($C80)),NOT(ISNUMBER($M80)),$M80=0),"",$C80/$M80-1)</f>
        <v>-0.0201022434076164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994712</v>
      </c>
      <c r="D81" s="42" t="n">
        <v>995661</v>
      </c>
      <c r="E81" s="42" t="n">
        <v>993723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-0.00375178525285991</v>
      </c>
      <c r="I81" s="45" t="n">
        <f aca="false">IF(AND(ISNUMBER($G81),$G81&gt;=MA_SHORT),AVERAGE(INDEX($C$5:$C81,78-MA_SHORT):$C81),"")</f>
        <v>996420.25</v>
      </c>
      <c r="J81" s="45" t="n">
        <f aca="false">IF(AND(ISNUMBER($G81),$G81&gt;=MA_MED),AVERAGE(INDEX($C$5:$C81,78-MA_MED):$C81),"")</f>
        <v>959165.92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0.164357160442777</v>
      </c>
      <c r="M81" s="45" t="n">
        <f aca="false">IF(AND(ISNUMBER($G81),$G81&gt;=60),MAX(INDEX($D$5:$D81,78-60):$D81),"")</f>
        <v>1018941</v>
      </c>
      <c r="N81" s="45" t="n">
        <f aca="false">IF(AND(ISNUMBER($G81),$G81&gt;=60),MIN(INDEX($E$5:$E81,78-60):$E81),"")</f>
        <v>892592</v>
      </c>
      <c r="O81" s="46" t="n">
        <f aca="false">IF(OR(NOT(ISNUMBER($C81)),NOT(ISNUMBER($M81)),$M81=0),"",$C81/$M81-1)</f>
        <v>-0.0237786093601101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1004182</v>
      </c>
      <c r="D82" s="42" t="n">
        <v>1005881</v>
      </c>
      <c r="E82" s="42" t="n">
        <v>1000438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0.00952034357683429</v>
      </c>
      <c r="I82" s="45" t="n">
        <f aca="false">IF(AND(ISNUMBER($G82),$G82&gt;=MA_SHORT),AVERAGE(INDEX($C$5:$C82,79-MA_SHORT):$C82),"")</f>
        <v>998301.55</v>
      </c>
      <c r="J82" s="45" t="n">
        <f aca="false">IF(AND(ISNUMBER($G82),$G82&gt;=MA_MED),AVERAGE(INDEX($C$5:$C82,79-MA_MED):$C82),"")</f>
        <v>961230.78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0.16665211532065</v>
      </c>
      <c r="M82" s="45" t="n">
        <f aca="false">IF(AND(ISNUMBER($G82),$G82&gt;=60),MAX(INDEX($D$5:$D82,79-60):$D82),"")</f>
        <v>1018941</v>
      </c>
      <c r="N82" s="45" t="n">
        <f aca="false">IF(AND(ISNUMBER($G82),$G82&gt;=60),MIN(INDEX($E$5:$E82,79-60):$E82),"")</f>
        <v>892592</v>
      </c>
      <c r="O82" s="46" t="n">
        <f aca="false">IF(OR(NOT(ISNUMBER($C82)),NOT(ISNUMBER($M82)),$M82=0),"",$C82/$M82-1)</f>
        <v>-0.0144846463141635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998490</v>
      </c>
      <c r="D83" s="42" t="n">
        <v>1002927</v>
      </c>
      <c r="E83" s="42" t="n">
        <v>996243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-0.00566829518951739</v>
      </c>
      <c r="I83" s="45" t="n">
        <f aca="false">IF(AND(ISNUMBER($G83),$G83&gt;=MA_SHORT),AVERAGE(INDEX($C$5:$C83,80-MA_SHORT):$C83),"")</f>
        <v>999717.25</v>
      </c>
      <c r="J83" s="45" t="n">
        <f aca="false">IF(AND(ISNUMBER($G83),$G83&gt;=MA_MED),AVERAGE(INDEX($C$5:$C83,80-MA_MED):$C83),"")</f>
        <v>963238.72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0.168601049229432</v>
      </c>
      <c r="M83" s="45" t="n">
        <f aca="false">IF(AND(ISNUMBER($G83),$G83&gt;=60),MAX(INDEX($D$5:$D83,80-60):$D83),"")</f>
        <v>1018941</v>
      </c>
      <c r="N83" s="45" t="n">
        <f aca="false">IF(AND(ISNUMBER($G83),$G83&gt;=60),MIN(INDEX($E$5:$E83,80-60):$E83),"")</f>
        <v>892592</v>
      </c>
      <c r="O83" s="46" t="n">
        <f aca="false">IF(OR(NOT(ISNUMBER($C83)),NOT(ISNUMBER($M83)),$M83=0),"",$C83/$M83-1)</f>
        <v>-0.0200708382526564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1011532</v>
      </c>
      <c r="D84" s="42" t="n">
        <v>1016231</v>
      </c>
      <c r="E84" s="42" t="n">
        <v>1010335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0.0130617232020351</v>
      </c>
      <c r="I84" s="45" t="n">
        <f aca="false">IF(AND(ISNUMBER($G84),$G84&gt;=MA_SHORT),AVERAGE(INDEX($C$5:$C84,81-MA_SHORT):$C84),"")</f>
        <v>1000937.75</v>
      </c>
      <c r="J84" s="45" t="n">
        <f aca="false">IF(AND(ISNUMBER($G84),$G84&gt;=MA_MED),AVERAGE(INDEX($C$5:$C84,81-MA_MED):$C84),"")</f>
        <v>965509.12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0.163857988290877</v>
      </c>
      <c r="M84" s="45" t="n">
        <f aca="false">IF(AND(ISNUMBER($G84),$G84&gt;=60),MAX(INDEX($D$5:$D84,81-60):$D84),"")</f>
        <v>1018941</v>
      </c>
      <c r="N84" s="45" t="n">
        <f aca="false">IF(AND(ISNUMBER($G84),$G84&gt;=60),MIN(INDEX($E$5:$E84,81-60):$E84),"")</f>
        <v>892592</v>
      </c>
      <c r="O84" s="46" t="n">
        <f aca="false">IF(OR(NOT(ISNUMBER($C84)),NOT(ISNUMBER($M84)),$M84=0),"",$C84/$M84-1)</f>
        <v>-0.00727127478431033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1009723</v>
      </c>
      <c r="D85" s="42" t="n">
        <v>1014599</v>
      </c>
      <c r="E85" s="42" t="n">
        <v>1007901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-0.0017883764428609</v>
      </c>
      <c r="I85" s="45" t="n">
        <f aca="false">IF(AND(ISNUMBER($G85),$G85&gt;=MA_SHORT),AVERAGE(INDEX($C$5:$C85,82-MA_SHORT):$C85),"")</f>
        <v>1001921.1</v>
      </c>
      <c r="J85" s="45" t="n">
        <f aca="false">IF(AND(ISNUMBER($G85),$G85&gt;=MA_MED),AVERAGE(INDEX($C$5:$C85,82-MA_MED):$C85),"")</f>
        <v>967828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0.164068881629142</v>
      </c>
      <c r="M85" s="45" t="n">
        <f aca="false">IF(AND(ISNUMBER($G85),$G85&gt;=60),MAX(INDEX($D$5:$D85,82-60):$D85),"")</f>
        <v>1018941</v>
      </c>
      <c r="N85" s="45" t="n">
        <f aca="false">IF(AND(ISNUMBER($G85),$G85&gt;=60),MIN(INDEX($E$5:$E85,82-60):$E85),"")</f>
        <v>892592</v>
      </c>
      <c r="O85" s="46" t="n">
        <f aca="false">IF(OR(NOT(ISNUMBER($C85)),NOT(ISNUMBER($M85)),$M85=0),"",$C85/$M85-1)</f>
        <v>-0.00904664745063744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1009670</v>
      </c>
      <c r="D86" s="42" t="n">
        <v>1011326</v>
      </c>
      <c r="E86" s="42" t="n">
        <v>1006013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-5.24896431991495E-005</v>
      </c>
      <c r="I86" s="45" t="n">
        <f aca="false">IF(AND(ISNUMBER($G86),$G86&gt;=MA_SHORT),AVERAGE(INDEX($C$5:$C86,83-MA_SHORT):$C86),"")</f>
        <v>1003201.3</v>
      </c>
      <c r="J86" s="45" t="n">
        <f aca="false">IF(AND(ISNUMBER($G86),$G86&gt;=MA_MED),AVERAGE(INDEX($C$5:$C86,83-MA_MED):$C86),"")</f>
        <v>969988.4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0.162059113646652</v>
      </c>
      <c r="M86" s="45" t="n">
        <f aca="false">IF(AND(ISNUMBER($G86),$G86&gt;=60),MAX(INDEX($D$5:$D86,83-60):$D86),"")</f>
        <v>1018941</v>
      </c>
      <c r="N86" s="45" t="n">
        <f aca="false">IF(AND(ISNUMBER($G86),$G86&gt;=60),MIN(INDEX($E$5:$E86,83-60):$E86),"")</f>
        <v>892592</v>
      </c>
      <c r="O86" s="46" t="n">
        <f aca="false">IF(OR(NOT(ISNUMBER($C86)),NOT(ISNUMBER($M86)),$M86=0),"",$C86/$M86-1)</f>
        <v>-0.00909866223853983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1014106</v>
      </c>
      <c r="D87" s="42" t="n">
        <v>1017445</v>
      </c>
      <c r="E87" s="42" t="n">
        <v>1013614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0.00439351471272786</v>
      </c>
      <c r="I87" s="45" t="n">
        <f aca="false">IF(AND(ISNUMBER($G87),$G87&gt;=MA_SHORT),AVERAGE(INDEX($C$5:$C87,84-MA_SHORT):$C87),"")</f>
        <v>1003896.1</v>
      </c>
      <c r="J87" s="45" t="n">
        <f aca="false">IF(AND(ISNUMBER($G87),$G87&gt;=MA_MED),AVERAGE(INDEX($C$5:$C87,84-MA_MED):$C87),"")</f>
        <v>972259.72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0.152847904550442</v>
      </c>
      <c r="M87" s="45" t="n">
        <f aca="false">IF(AND(ISNUMBER($G87),$G87&gt;=60),MAX(INDEX($D$5:$D87,84-60):$D87),"")</f>
        <v>1018941</v>
      </c>
      <c r="N87" s="45" t="n">
        <f aca="false">IF(AND(ISNUMBER($G87),$G87&gt;=60),MIN(INDEX($E$5:$E87,84-60):$E87),"")</f>
        <v>892592</v>
      </c>
      <c r="O87" s="46" t="n">
        <f aca="false">IF(OR(NOT(ISNUMBER($C87)),NOT(ISNUMBER($M87)),$M87=0),"",$C87/$M87-1)</f>
        <v>-0.00474512263222304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1015388</v>
      </c>
      <c r="D88" s="42" t="n">
        <v>1015770</v>
      </c>
      <c r="E88" s="42" t="n">
        <v>1010539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0.00126416765111337</v>
      </c>
      <c r="I88" s="45" t="n">
        <f aca="false">IF(AND(ISNUMBER($G88),$G88&gt;=MA_SHORT),AVERAGE(INDEX($C$5:$C88,85-MA_SHORT):$C88),"")</f>
        <v>1004749</v>
      </c>
      <c r="J88" s="45" t="n">
        <f aca="false">IF(AND(ISNUMBER($G88),$G88&gt;=MA_MED),AVERAGE(INDEX($C$5:$C88,85-MA_MED):$C88),"")</f>
        <v>974474.06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0.152550085501329</v>
      </c>
      <c r="M88" s="45" t="n">
        <f aca="false">IF(AND(ISNUMBER($G88),$G88&gt;=60),MAX(INDEX($D$5:$D88,85-60):$D88),"")</f>
        <v>1018941</v>
      </c>
      <c r="N88" s="45" t="n">
        <f aca="false">IF(AND(ISNUMBER($G88),$G88&gt;=60),MIN(INDEX($E$5:$E88,85-60):$E88),"")</f>
        <v>892592</v>
      </c>
      <c r="O88" s="46" t="n">
        <f aca="false">IF(OR(NOT(ISNUMBER($C88)),NOT(ISNUMBER($M88)),$M88=0),"",$C88/$M88-1)</f>
        <v>-0.00348695361164186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1008707</v>
      </c>
      <c r="D89" s="42" t="n">
        <v>1008980</v>
      </c>
      <c r="E89" s="42" t="n">
        <v>1005931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-0.00657975079477002</v>
      </c>
      <c r="I89" s="45" t="n">
        <f aca="false">IF(AND(ISNUMBER($G89),$G89&gt;=MA_SHORT),AVERAGE(INDEX($C$5:$C89,86-MA_SHORT):$C89),"")</f>
        <v>1005084.8</v>
      </c>
      <c r="J89" s="45" t="n">
        <f aca="false">IF(AND(ISNUMBER($G89),$G89&gt;=MA_MED),AVERAGE(INDEX($C$5:$C89,86-MA_MED):$C89),"")</f>
        <v>976453.34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0.154352149614057</v>
      </c>
      <c r="M89" s="45" t="n">
        <f aca="false">IF(AND(ISNUMBER($G89),$G89&gt;=60),MAX(INDEX($D$5:$D89,86-60):$D89),"")</f>
        <v>1018941</v>
      </c>
      <c r="N89" s="45" t="n">
        <f aca="false">IF(AND(ISNUMBER($G89),$G89&gt;=60),MIN(INDEX($E$5:$E89,86-60):$E89),"")</f>
        <v>892592</v>
      </c>
      <c r="O89" s="46" t="n">
        <f aca="false">IF(OR(NOT(ISNUMBER($C89)),NOT(ISNUMBER($M89)),$M89=0),"",$C89/$M89-1)</f>
        <v>-0.0100437611206144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1015522</v>
      </c>
      <c r="D90" s="42" t="n">
        <v>1017050</v>
      </c>
      <c r="E90" s="42" t="n">
        <v>1014941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0.00675617399304262</v>
      </c>
      <c r="I90" s="45" t="n">
        <f aca="false">IF(AND(ISNUMBER($G90),$G90&gt;=MA_SHORT),AVERAGE(INDEX($C$5:$C90,87-MA_SHORT):$C90),"")</f>
        <v>1005042.1</v>
      </c>
      <c r="J90" s="45" t="n">
        <f aca="false">IF(AND(ISNUMBER($G90),$G90&gt;=MA_MED),AVERAGE(INDEX($C$5:$C90,87-MA_MED):$C90),"")</f>
        <v>978344.86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0.147623833159445</v>
      </c>
      <c r="M90" s="45" t="n">
        <f aca="false">IF(AND(ISNUMBER($G90),$G90&gt;=60),MAX(INDEX($D$5:$D90,87-60):$D90),"")</f>
        <v>1018941</v>
      </c>
      <c r="N90" s="45" t="n">
        <f aca="false">IF(AND(ISNUMBER($G90),$G90&gt;=60),MIN(INDEX($E$5:$E90,87-60):$E90),"")</f>
        <v>892592</v>
      </c>
      <c r="O90" s="46" t="n">
        <f aca="false">IF(OR(NOT(ISNUMBER($C90)),NOT(ISNUMBER($M90)),$M90=0),"",$C90/$M90-1)</f>
        <v>-0.00335544452524728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1029846</v>
      </c>
      <c r="D91" s="42" t="n">
        <v>1032457</v>
      </c>
      <c r="E91" s="42" t="n">
        <v>1025262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0.0141050612394413</v>
      </c>
      <c r="I91" s="45" t="n">
        <f aca="false">IF(AND(ISNUMBER($G91),$G91&gt;=MA_SHORT),AVERAGE(INDEX($C$5:$C91,88-MA_SHORT):$C91),"")</f>
        <v>1005724.8</v>
      </c>
      <c r="J91" s="45" t="n">
        <f aca="false">IF(AND(ISNUMBER($G91),$G91&gt;=MA_MED),AVERAGE(INDEX($C$5:$C91,88-MA_MED):$C91),"")</f>
        <v>980320.42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0.155647370806336</v>
      </c>
      <c r="M91" s="45" t="n">
        <f aca="false">IF(AND(ISNUMBER($G91),$G91&gt;=60),MAX(INDEX($D$5:$D91,88-60):$D91),"")</f>
        <v>1032457</v>
      </c>
      <c r="N91" s="45" t="n">
        <f aca="false">IF(AND(ISNUMBER($G91),$G91&gt;=60),MIN(INDEX($E$5:$E91,88-60):$E91),"")</f>
        <v>892592</v>
      </c>
      <c r="O91" s="46" t="n">
        <f aca="false">IF(OR(NOT(ISNUMBER($C91)),NOT(ISNUMBER($M91)),$M91=0),"",$C91/$M91-1)</f>
        <v>-0.00252891887991458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1021001</v>
      </c>
      <c r="D92" s="42" t="n">
        <v>1021990</v>
      </c>
      <c r="E92" s="42" t="n">
        <v>1020884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-0.00858866277093862</v>
      </c>
      <c r="I92" s="45" t="n">
        <f aca="false">IF(AND(ISNUMBER($G92),$G92&gt;=MA_SHORT),AVERAGE(INDEX($C$5:$C92,89-MA_SHORT):$C92),"")</f>
        <v>1006765.55</v>
      </c>
      <c r="J92" s="45" t="n">
        <f aca="false">IF(AND(ISNUMBER($G92),$G92&gt;=MA_MED),AVERAGE(INDEX($C$5:$C92,89-MA_MED):$C92),"")</f>
        <v>981893.16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0.147692643454898</v>
      </c>
      <c r="M92" s="45" t="n">
        <f aca="false">IF(AND(ISNUMBER($G92),$G92&gt;=60),MAX(INDEX($D$5:$D92,89-60):$D92),"")</f>
        <v>1032457</v>
      </c>
      <c r="N92" s="45" t="n">
        <f aca="false">IF(AND(ISNUMBER($G92),$G92&gt;=60),MIN(INDEX($E$5:$E92,89-60):$E92),"")</f>
        <v>892592</v>
      </c>
      <c r="O92" s="46" t="n">
        <f aca="false">IF(OR(NOT(ISNUMBER($C92)),NOT(ISNUMBER($M92)),$M92=0),"",$C92/$M92-1)</f>
        <v>-0.0110958616194186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1033921</v>
      </c>
      <c r="D93" s="42" t="n">
        <v>1034408</v>
      </c>
      <c r="E93" s="42" t="n">
        <v>1031715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0.0126542481349186</v>
      </c>
      <c r="I93" s="45" t="n">
        <f aca="false">IF(AND(ISNUMBER($G93),$G93&gt;=MA_SHORT),AVERAGE(INDEX($C$5:$C93,90-MA_SHORT):$C93),"")</f>
        <v>1007804.5</v>
      </c>
      <c r="J93" s="45" t="n">
        <f aca="false">IF(AND(ISNUMBER($G93),$G93&gt;=MA_MED),AVERAGE(INDEX($C$5:$C93,90-MA_MED):$C93),"")</f>
        <v>983523.92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0.14738553518943</v>
      </c>
      <c r="M93" s="45" t="n">
        <f aca="false">IF(AND(ISNUMBER($G93),$G93&gt;=60),MAX(INDEX($D$5:$D93,90-60):$D93),"")</f>
        <v>1034408</v>
      </c>
      <c r="N93" s="45" t="n">
        <f aca="false">IF(AND(ISNUMBER($G93),$G93&gt;=60),MIN(INDEX($E$5:$E93,90-60):$E93),"")</f>
        <v>892592</v>
      </c>
      <c r="O93" s="46" t="n">
        <f aca="false">IF(OR(NOT(ISNUMBER($C93)),NOT(ISNUMBER($M93)),$M93=0),"",$C93/$M93-1)</f>
        <v>-0.00047080068986316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1042064</v>
      </c>
      <c r="D94" s="42" t="n">
        <v>1045140</v>
      </c>
      <c r="E94" s="42" t="n">
        <v>1041337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0.00787584351222193</v>
      </c>
      <c r="I94" s="45" t="n">
        <f aca="false">IF(AND(ISNUMBER($G94),$G94&gt;=MA_SHORT),AVERAGE(INDEX($C$5:$C94,91-MA_SHORT):$C94),"")</f>
        <v>1010285.4</v>
      </c>
      <c r="J94" s="45" t="n">
        <f aca="false">IF(AND(ISNUMBER($G94),$G94&gt;=MA_MED),AVERAGE(INDEX($C$5:$C94,91-MA_MED):$C94),"")</f>
        <v>985145.76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0.125908560130292</v>
      </c>
      <c r="M94" s="45" t="n">
        <f aca="false">IF(AND(ISNUMBER($G94),$G94&gt;=60),MAX(INDEX($D$5:$D94,91-60):$D94),"")</f>
        <v>1045140</v>
      </c>
      <c r="N94" s="45" t="n">
        <f aca="false">IF(AND(ISNUMBER($G94),$G94&gt;=60),MIN(INDEX($E$5:$E94,91-60):$E94),"")</f>
        <v>892592</v>
      </c>
      <c r="O94" s="46" t="n">
        <f aca="false">IF(OR(NOT(ISNUMBER($C94)),NOT(ISNUMBER($M94)),$M94=0),"",$C94/$M94-1)</f>
        <v>-0.00294314637273474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1046658</v>
      </c>
      <c r="D95" s="42" t="n">
        <v>1047478</v>
      </c>
      <c r="E95" s="42" t="n">
        <v>1045410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0.00440855839948418</v>
      </c>
      <c r="I95" s="45" t="n">
        <f aca="false">IF(AND(ISNUMBER($G95),$G95&gt;=MA_SHORT),AVERAGE(INDEX($C$5:$C95,92-MA_SHORT):$C95),"")</f>
        <v>1013185.3</v>
      </c>
      <c r="J95" s="45" t="n">
        <f aca="false">IF(AND(ISNUMBER($G95),$G95&gt;=MA_MED),AVERAGE(INDEX($C$5:$C95,92-MA_MED):$C95),"")</f>
        <v>986741.64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0.123886508983775</v>
      </c>
      <c r="M95" s="45" t="n">
        <f aca="false">IF(AND(ISNUMBER($G95),$G95&gt;=60),MAX(INDEX($D$5:$D95,92-60):$D95),"")</f>
        <v>1047478</v>
      </c>
      <c r="N95" s="45" t="n">
        <f aca="false">IF(AND(ISNUMBER($G95),$G95&gt;=60),MIN(INDEX($E$5:$E95,92-60):$E95),"")</f>
        <v>896667</v>
      </c>
      <c r="O95" s="46" t="n">
        <f aca="false">IF(OR(NOT(ISNUMBER($C95)),NOT(ISNUMBER($M95)),$M95=0),"",$C95/$M95-1)</f>
        <v>-0.000782832670471412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1060927</v>
      </c>
      <c r="D96" s="42" t="n">
        <v>1064006</v>
      </c>
      <c r="E96" s="42" t="n">
        <v>1060082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0.0136329154317838</v>
      </c>
      <c r="I96" s="45" t="n">
        <f aca="false">IF(AND(ISNUMBER($G96),$G96&gt;=MA_SHORT),AVERAGE(INDEX($C$5:$C96,93-MA_SHORT):$C96),"")</f>
        <v>1016242.85</v>
      </c>
      <c r="J96" s="45" t="n">
        <f aca="false">IF(AND(ISNUMBER($G96),$G96&gt;=MA_MED),AVERAGE(INDEX($C$5:$C96,93-MA_MED):$C96),"")</f>
        <v>988943.34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0.126225689426862</v>
      </c>
      <c r="M96" s="45" t="n">
        <f aca="false">IF(AND(ISNUMBER($G96),$G96&gt;=60),MAX(INDEX($D$5:$D96,93-60):$D96),"")</f>
        <v>1064006</v>
      </c>
      <c r="N96" s="45" t="n">
        <f aca="false">IF(AND(ISNUMBER($G96),$G96&gt;=60),MIN(INDEX($E$5:$E96,93-60):$E96),"")</f>
        <v>896667</v>
      </c>
      <c r="O96" s="46" t="n">
        <f aca="false">IF(OR(NOT(ISNUMBER($C96)),NOT(ISNUMBER($M96)),$M96=0),"",$C96/$M96-1)</f>
        <v>-0.00289378067416912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1058279</v>
      </c>
      <c r="D97" s="42" t="n">
        <v>1063550</v>
      </c>
      <c r="E97" s="42" t="n">
        <v>1056362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-0.00249593044573282</v>
      </c>
      <c r="I97" s="45" t="n">
        <f aca="false">IF(AND(ISNUMBER($G97),$G97&gt;=MA_SHORT),AVERAGE(INDEX($C$5:$C97,94-MA_SHORT):$C97),"")</f>
        <v>1019360.55</v>
      </c>
      <c r="J97" s="45" t="n">
        <f aca="false">IF(AND(ISNUMBER($G97),$G97&gt;=MA_MED),AVERAGE(INDEX($C$5:$C97,94-MA_MED):$C97),"")</f>
        <v>991127.02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0.125362353027907</v>
      </c>
      <c r="M97" s="45" t="n">
        <f aca="false">IF(AND(ISNUMBER($G97),$G97&gt;=60),MAX(INDEX($D$5:$D97,94-60):$D97),"")</f>
        <v>1064006</v>
      </c>
      <c r="N97" s="45" t="n">
        <f aca="false">IF(AND(ISNUMBER($G97),$G97&gt;=60),MIN(INDEX($E$5:$E97,94-60):$E97),"")</f>
        <v>902706</v>
      </c>
      <c r="O97" s="46" t="n">
        <f aca="false">IF(OR(NOT(ISNUMBER($C97)),NOT(ISNUMBER($M97)),$M97=0),"",$C97/$M97-1)</f>
        <v>-0.00538248844461409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1063679</v>
      </c>
      <c r="D98" s="42" t="n">
        <v>1067208</v>
      </c>
      <c r="E98" s="42" t="n">
        <v>1062928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0.0051026241662171</v>
      </c>
      <c r="I98" s="45" t="n">
        <f aca="false">IF(AND(ISNUMBER($G98),$G98&gt;=MA_SHORT),AVERAGE(INDEX($C$5:$C98,95-MA_SHORT):$C98),"")</f>
        <v>1022407.75</v>
      </c>
      <c r="J98" s="45" t="n">
        <f aca="false">IF(AND(ISNUMBER($G98),$G98&gt;=MA_MED),AVERAGE(INDEX($C$5:$C98,95-MA_MED):$C98),"")</f>
        <v>993699.12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0.124836101924561</v>
      </c>
      <c r="M98" s="45" t="n">
        <f aca="false">IF(AND(ISNUMBER($G98),$G98&gt;=60),MAX(INDEX($D$5:$D98,95-60):$D98),"")</f>
        <v>1067208</v>
      </c>
      <c r="N98" s="45" t="n">
        <f aca="false">IF(AND(ISNUMBER($G98),$G98&gt;=60),MIN(INDEX($E$5:$E98,95-60):$E98),"")</f>
        <v>908471</v>
      </c>
      <c r="O98" s="46" t="n">
        <f aca="false">IF(OR(NOT(ISNUMBER($C98)),NOT(ISNUMBER($M98)),$M98=0),"",$C98/$M98-1)</f>
        <v>-0.0033067593196453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1066714</v>
      </c>
      <c r="D99" s="42" t="n">
        <v>1070551</v>
      </c>
      <c r="E99" s="42" t="n">
        <v>1062095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0.00285330442736953</v>
      </c>
      <c r="I99" s="45" t="n">
        <f aca="false">IF(AND(ISNUMBER($G99),$G99&gt;=MA_SHORT),AVERAGE(INDEX($C$5:$C99,96-MA_SHORT):$C99),"")</f>
        <v>1025178.95</v>
      </c>
      <c r="J99" s="45" t="n">
        <f aca="false">IF(AND(ISNUMBER($G99),$G99&gt;=MA_MED),AVERAGE(INDEX($C$5:$C99,96-MA_MED):$C99),"")</f>
        <v>996386.76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0.123153243921724</v>
      </c>
      <c r="M99" s="45" t="n">
        <f aca="false">IF(AND(ISNUMBER($G99),$G99&gt;=60),MAX(INDEX($D$5:$D99,96-60):$D99),"")</f>
        <v>1070551</v>
      </c>
      <c r="N99" s="45" t="n">
        <f aca="false">IF(AND(ISNUMBER($G99),$G99&gt;=60),MIN(INDEX($E$5:$E99,96-60):$E99),"")</f>
        <v>914456</v>
      </c>
      <c r="O99" s="46" t="n">
        <f aca="false">IF(OR(NOT(ISNUMBER($C99)),NOT(ISNUMBER($M99)),$M99=0),"",$C99/$M99-1)</f>
        <v>-0.00358413564603644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1067254</v>
      </c>
      <c r="D100" s="42" t="n">
        <v>1068347</v>
      </c>
      <c r="E100" s="42" t="n">
        <v>1062862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0.000506227536153148</v>
      </c>
      <c r="I100" s="45" t="n">
        <f aca="false">IF(AND(ISNUMBER($G100),$G100&gt;=MA_SHORT),AVERAGE(INDEX($C$5:$C100,97-MA_SHORT):$C100),"")</f>
        <v>1028618.75</v>
      </c>
      <c r="J100" s="45" t="n">
        <f aca="false">IF(AND(ISNUMBER($G100),$G100&gt;=MA_MED),AVERAGE(INDEX($C$5:$C100,97-MA_MED):$C100),"")</f>
        <v>998732.24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0.109830018701189</v>
      </c>
      <c r="M100" s="45" t="n">
        <f aca="false">IF(AND(ISNUMBER($G100),$G100&gt;=60),MAX(INDEX($D$5:$D100,97-60):$D100),"")</f>
        <v>1070551</v>
      </c>
      <c r="N100" s="45" t="n">
        <f aca="false">IF(AND(ISNUMBER($G100),$G100&gt;=60),MIN(INDEX($E$5:$E100,97-60):$E100),"")</f>
        <v>928046</v>
      </c>
      <c r="O100" s="46" t="n">
        <f aca="false">IF(OR(NOT(ISNUMBER($C100)),NOT(ISNUMBER($M100)),$M100=0),"",$C100/$M100-1)</f>
        <v>-0.00307972249804078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1068806</v>
      </c>
      <c r="D101" s="42" t="n">
        <v>1071030</v>
      </c>
      <c r="E101" s="42" t="n">
        <v>1068255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0.00145419928152069</v>
      </c>
      <c r="I101" s="45" t="n">
        <f aca="false">IF(AND(ISNUMBER($G101),$G101&gt;=MA_SHORT),AVERAGE(INDEX($C$5:$C101,98-MA_SHORT):$C101),"")</f>
        <v>1032323.45</v>
      </c>
      <c r="J101" s="45" t="n">
        <f aca="false">IF(AND(ISNUMBER($G101),$G101&gt;=MA_MED),AVERAGE(INDEX($C$5:$C101,98-MA_MED):$C101),"")</f>
        <v>1001284.44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0.10695675396681</v>
      </c>
      <c r="M101" s="45" t="n">
        <f aca="false">IF(AND(ISNUMBER($G101),$G101&gt;=60),MAX(INDEX($D$5:$D101,98-60):$D101),"")</f>
        <v>1071030</v>
      </c>
      <c r="N101" s="45" t="n">
        <f aca="false">IF(AND(ISNUMBER($G101),$G101&gt;=60),MIN(INDEX($E$5:$E101,98-60):$E101),"")</f>
        <v>928046</v>
      </c>
      <c r="O101" s="46" t="n">
        <f aca="false">IF(OR(NOT(ISNUMBER($C101)),NOT(ISNUMBER($M101)),$M101=0),"",$C101/$M101-1)</f>
        <v>-0.0020765057934885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1057045</v>
      </c>
      <c r="D102" s="42" t="n">
        <v>1059105</v>
      </c>
      <c r="E102" s="42" t="n">
        <v>1055500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-0.0110038678675082</v>
      </c>
      <c r="I102" s="45" t="n">
        <f aca="false">IF(AND(ISNUMBER($G102),$G102&gt;=MA_SHORT),AVERAGE(INDEX($C$5:$C102,99-MA_SHORT):$C102),"")</f>
        <v>1034966.6</v>
      </c>
      <c r="J102" s="45" t="n">
        <f aca="false">IF(AND(ISNUMBER($G102),$G102&gt;=MA_MED),AVERAGE(INDEX($C$5:$C102,99-MA_MED):$C102),"")</f>
        <v>1003813.88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0.116091696525965</v>
      </c>
      <c r="M102" s="45" t="n">
        <f aca="false">IF(AND(ISNUMBER($G102),$G102&gt;=60),MAX(INDEX($D$5:$D102,99-60):$D102),"")</f>
        <v>1071030</v>
      </c>
      <c r="N102" s="45" t="n">
        <f aca="false">IF(AND(ISNUMBER($G102),$G102&gt;=60),MIN(INDEX($E$5:$E102,99-60):$E102),"")</f>
        <v>928046</v>
      </c>
      <c r="O102" s="46" t="n">
        <f aca="false">IF(OR(NOT(ISNUMBER($C102)),NOT(ISNUMBER($M102)),$M102=0),"",$C102/$M102-1)</f>
        <v>-0.0130575240656191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1060796</v>
      </c>
      <c r="D103" s="42" t="n">
        <v>1062906</v>
      </c>
      <c r="E103" s="42" t="n">
        <v>1059622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0.00354857172589629</v>
      </c>
      <c r="I103" s="45" t="n">
        <f aca="false">IF(AND(ISNUMBER($G103),$G103&gt;=MA_SHORT),AVERAGE(INDEX($C$5:$C103,100-MA_SHORT):$C103),"")</f>
        <v>1038081.9</v>
      </c>
      <c r="J103" s="45" t="n">
        <f aca="false">IF(AND(ISNUMBER($G103),$G103&gt;=MA_MED),AVERAGE(INDEX($C$5:$C103,100-MA_MED):$C103),"")</f>
        <v>1006462.88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0.112044018406977</v>
      </c>
      <c r="M103" s="45" t="n">
        <f aca="false">IF(AND(ISNUMBER($G103),$G103&gt;=60),MAX(INDEX($D$5:$D103,100-60):$D103),"")</f>
        <v>1071030</v>
      </c>
      <c r="N103" s="45" t="n">
        <f aca="false">IF(AND(ISNUMBER($G103),$G103&gt;=60),MIN(INDEX($E$5:$E103,100-60):$E103),"")</f>
        <v>928046</v>
      </c>
      <c r="O103" s="46" t="n">
        <f aca="false">IF(OR(NOT(ISNUMBER($C103)),NOT(ISNUMBER($M103)),$M103=0),"",$C103/$M103-1)</f>
        <v>-0.00955528790043225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1076332</v>
      </c>
      <c r="D104" s="42" t="n">
        <v>1076852</v>
      </c>
      <c r="E104" s="42" t="n">
        <v>1073342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0.0146456057526612</v>
      </c>
      <c r="I104" s="45" t="n">
        <f aca="false">IF(AND(ISNUMBER($G104),$G104&gt;=MA_SHORT),AVERAGE(INDEX($C$5:$C104,101-MA_SHORT):$C104),"")</f>
        <v>1041321.9</v>
      </c>
      <c r="J104" s="45" t="n">
        <f aca="false">IF(AND(ISNUMBER($G104),$G104&gt;=MA_MED),AVERAGE(INDEX($C$5:$C104,101-MA_MED):$C104),"")</f>
        <v>1009106.84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0.113988273898196</v>
      </c>
      <c r="M104" s="45" t="n">
        <f aca="false">IF(AND(ISNUMBER($G104),$G104&gt;=60),MAX(INDEX($D$5:$D104,101-60):$D104),"")</f>
        <v>1076852</v>
      </c>
      <c r="N104" s="45" t="n">
        <f aca="false">IF(AND(ISNUMBER($G104),$G104&gt;=60),MIN(INDEX($E$5:$E104,101-60):$E104),"")</f>
        <v>928046</v>
      </c>
      <c r="O104" s="46" t="n">
        <f aca="false">IF(OR(NOT(ISNUMBER($C104)),NOT(ISNUMBER($M104)),$M104=0),"",$C104/$M104-1)</f>
        <v>-0.000482889013531995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1084863</v>
      </c>
      <c r="D105" s="42" t="n">
        <v>1085546</v>
      </c>
      <c r="E105" s="42" t="n">
        <v>1082273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0.00792599309506725</v>
      </c>
      <c r="I105" s="45" t="n">
        <f aca="false">IF(AND(ISNUMBER($G105),$G105&gt;=MA_SHORT),AVERAGE(INDEX($C$5:$C105,102-MA_SHORT):$C105),"")</f>
        <v>1045078.9</v>
      </c>
      <c r="J105" s="45" t="n">
        <f aca="false">IF(AND(ISNUMBER($G105),$G105&gt;=MA_MED),AVERAGE(INDEX($C$5:$C105,102-MA_MED):$C105),"")</f>
        <v>1011894.84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0.113648587847662</v>
      </c>
      <c r="M105" s="45" t="n">
        <f aca="false">IF(AND(ISNUMBER($G105),$G105&gt;=60),MAX(INDEX($D$5:$D105,102-60):$D105),"")</f>
        <v>1085546</v>
      </c>
      <c r="N105" s="45" t="n">
        <f aca="false">IF(AND(ISNUMBER($G105),$G105&gt;=60),MIN(INDEX($E$5:$E105,102-60):$E105),"")</f>
        <v>928046</v>
      </c>
      <c r="O105" s="46" t="n">
        <f aca="false">IF(OR(NOT(ISNUMBER($C105)),NOT(ISNUMBER($M105)),$M105=0),"",$C105/$M105-1)</f>
        <v>-0.000629176469721271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1097797</v>
      </c>
      <c r="D106" s="42" t="n">
        <v>1101326</v>
      </c>
      <c r="E106" s="42" t="n">
        <v>1095710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0.0119222427163614</v>
      </c>
      <c r="I106" s="45" t="n">
        <f aca="false">IF(AND(ISNUMBER($G106),$G106&gt;=MA_SHORT),AVERAGE(INDEX($C$5:$C106,103-MA_SHORT):$C106),"")</f>
        <v>1049485.25</v>
      </c>
      <c r="J106" s="45" t="n">
        <f aca="false">IF(AND(ISNUMBER($G106),$G106&gt;=MA_MED),AVERAGE(INDEX($C$5:$C106,103-MA_MED):$C106),"")</f>
        <v>1014952.74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0.116354361745152</v>
      </c>
      <c r="M106" s="45" t="n">
        <f aca="false">IF(AND(ISNUMBER($G106),$G106&gt;=60),MAX(INDEX($D$5:$D106,103-60):$D106),"")</f>
        <v>1101326</v>
      </c>
      <c r="N106" s="45" t="n">
        <f aca="false">IF(AND(ISNUMBER($G106),$G106&gt;=60),MIN(INDEX($E$5:$E106,103-60):$E106),"")</f>
        <v>928046</v>
      </c>
      <c r="O106" s="46" t="n">
        <f aca="false">IF(OR(NOT(ISNUMBER($C106)),NOT(ISNUMBER($M106)),$M106=0),"",$C106/$M106-1)</f>
        <v>-0.00320431915708885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1098742</v>
      </c>
      <c r="D107" s="42" t="n">
        <v>1099336</v>
      </c>
      <c r="E107" s="42" t="n">
        <v>1094398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0.000860814886540995</v>
      </c>
      <c r="I107" s="45" t="n">
        <f aca="false">IF(AND(ISNUMBER($G107),$G107&gt;=MA_SHORT),AVERAGE(INDEX($C$5:$C107,104-MA_SHORT):$C107),"")</f>
        <v>1053717.05</v>
      </c>
      <c r="J107" s="45" t="n">
        <f aca="false">IF(AND(ISNUMBER($G107),$G107&gt;=MA_MED),AVERAGE(INDEX($C$5:$C107,104-MA_MED):$C107),"")</f>
        <v>1018020.44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0.116941534211107</v>
      </c>
      <c r="M107" s="45" t="n">
        <f aca="false">IF(AND(ISNUMBER($G107),$G107&gt;=60),MAX(INDEX($D$5:$D107,104-60):$D107),"")</f>
        <v>1101326</v>
      </c>
      <c r="N107" s="45" t="n">
        <f aca="false">IF(AND(ISNUMBER($G107),$G107&gt;=60),MIN(INDEX($E$5:$E107,104-60):$E107),"")</f>
        <v>928046</v>
      </c>
      <c r="O107" s="46" t="n">
        <f aca="false">IF(OR(NOT(ISNUMBER($C107)),NOT(ISNUMBER($M107)),$M107=0),"",$C107/$M107-1)</f>
        <v>-0.00234626259617954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1097470</v>
      </c>
      <c r="D108" s="42" t="n">
        <v>1100942</v>
      </c>
      <c r="E108" s="42" t="n">
        <v>1095614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-0.00115768761001223</v>
      </c>
      <c r="I108" s="45" t="n">
        <f aca="false">IF(AND(ISNUMBER($G108),$G108&gt;=MA_SHORT),AVERAGE(INDEX($C$5:$C108,105-MA_SHORT):$C108),"")</f>
        <v>1057821.15</v>
      </c>
      <c r="J108" s="45" t="n">
        <f aca="false">IF(AND(ISNUMBER($G108),$G108&gt;=MA_MED),AVERAGE(INDEX($C$5:$C108,105-MA_MED):$C108),"")</f>
        <v>1020798.94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0.117986008904709</v>
      </c>
      <c r="M108" s="45" t="n">
        <f aca="false">IF(AND(ISNUMBER($G108),$G108&gt;=60),MAX(INDEX($D$5:$D108,105-60):$D108),"")</f>
        <v>1101326</v>
      </c>
      <c r="N108" s="45" t="n">
        <f aca="false">IF(AND(ISNUMBER($G108),$G108&gt;=60),MIN(INDEX($E$5:$E108,105-60):$E108),"")</f>
        <v>928046</v>
      </c>
      <c r="O108" s="46" t="n">
        <f aca="false">IF(OR(NOT(ISNUMBER($C108)),NOT(ISNUMBER($M108)),$M108=0),"",$C108/$M108-1)</f>
        <v>-0.00350123396705426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1091405</v>
      </c>
      <c r="D109" s="42" t="n">
        <v>1099019</v>
      </c>
      <c r="E109" s="42" t="n">
        <v>1090997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-0.00552634696164811</v>
      </c>
      <c r="I109" s="45" t="n">
        <f aca="false">IF(AND(ISNUMBER($G109),$G109&gt;=MA_SHORT),AVERAGE(INDEX($C$5:$C109,106-MA_SHORT):$C109),"")</f>
        <v>1061956.05</v>
      </c>
      <c r="J109" s="45" t="n">
        <f aca="false">IF(AND(ISNUMBER($G109),$G109&gt;=MA_MED),AVERAGE(INDEX($C$5:$C109,106-MA_MED):$C109),"")</f>
        <v>1023547.06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0.116828985072445</v>
      </c>
      <c r="M109" s="45" t="n">
        <f aca="false">IF(AND(ISNUMBER($G109),$G109&gt;=60),MAX(INDEX($D$5:$D109,106-60):$D109),"")</f>
        <v>1101326</v>
      </c>
      <c r="N109" s="45" t="n">
        <f aca="false">IF(AND(ISNUMBER($G109),$G109&gt;=60),MIN(INDEX($E$5:$E109,106-60):$E109),"")</f>
        <v>928046</v>
      </c>
      <c r="O109" s="46" t="n">
        <f aca="false">IF(OR(NOT(ISNUMBER($C109)),NOT(ISNUMBER($M109)),$M109=0),"",$C109/$M109-1)</f>
        <v>-0.00900823189500655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1081253</v>
      </c>
      <c r="D110" s="42" t="n">
        <v>1081382</v>
      </c>
      <c r="E110" s="42" t="n">
        <v>1081208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-0.00930177156967393</v>
      </c>
      <c r="I110" s="45" t="n">
        <f aca="false">IF(AND(ISNUMBER($G110),$G110&gt;=MA_SHORT),AVERAGE(INDEX($C$5:$C110,107-MA_SHORT):$C110),"")</f>
        <v>1065242.6</v>
      </c>
      <c r="J110" s="45" t="n">
        <f aca="false">IF(AND(ISNUMBER($G110),$G110&gt;=MA_MED),AVERAGE(INDEX($C$5:$C110,107-MA_MED):$C110),"")</f>
        <v>1025733.84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0.125122319156973</v>
      </c>
      <c r="M110" s="45" t="n">
        <f aca="false">IF(AND(ISNUMBER($G110),$G110&gt;=60),MAX(INDEX($D$5:$D110,107-60):$D110),"")</f>
        <v>1101326</v>
      </c>
      <c r="N110" s="45" t="n">
        <f aca="false">IF(AND(ISNUMBER($G110),$G110&gt;=60),MIN(INDEX($E$5:$E110,107-60):$E110),"")</f>
        <v>928046</v>
      </c>
      <c r="O110" s="46" t="n">
        <f aca="false">IF(OR(NOT(ISNUMBER($C110)),NOT(ISNUMBER($M110)),$M110=0),"",$C110/$M110-1)</f>
        <v>-0.0182262109493465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1079304</v>
      </c>
      <c r="D111" s="42" t="n">
        <v>1079327</v>
      </c>
      <c r="E111" s="42" t="n">
        <v>1075787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-0.0018025383513387</v>
      </c>
      <c r="I111" s="45" t="n">
        <f aca="false">IF(AND(ISNUMBER($G111),$G111&gt;=MA_SHORT),AVERAGE(INDEX($C$5:$C111,108-MA_SHORT):$C111),"")</f>
        <v>1067715.5</v>
      </c>
      <c r="J111" s="45" t="n">
        <f aca="false">IF(AND(ISNUMBER($G111),$G111&gt;=MA_MED),AVERAGE(INDEX($C$5:$C111,108-MA_MED):$C111),"")</f>
        <v>1027997.62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0.119456413351903</v>
      </c>
      <c r="M111" s="45" t="n">
        <f aca="false">IF(AND(ISNUMBER($G111),$G111&gt;=60),MAX(INDEX($D$5:$D111,108-60):$D111),"")</f>
        <v>1101326</v>
      </c>
      <c r="N111" s="45" t="n">
        <f aca="false">IF(AND(ISNUMBER($G111),$G111&gt;=60),MIN(INDEX($E$5:$E111,108-60):$E111),"")</f>
        <v>928046</v>
      </c>
      <c r="O111" s="46" t="n">
        <f aca="false">IF(OR(NOT(ISNUMBER($C111)),NOT(ISNUMBER($M111)),$M111=0),"",$C111/$M111-1)</f>
        <v>-0.0199958958564495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1068131</v>
      </c>
      <c r="D112" s="42" t="n">
        <v>1070181</v>
      </c>
      <c r="E112" s="42" t="n">
        <v>1066876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-0.0103520416861237</v>
      </c>
      <c r="I112" s="45" t="n">
        <f aca="false">IF(AND(ISNUMBER($G112),$G112&gt;=MA_SHORT),AVERAGE(INDEX($C$5:$C112,109-MA_SHORT):$C112),"")</f>
        <v>1070072</v>
      </c>
      <c r="J112" s="45" t="n">
        <f aca="false">IF(AND(ISNUMBER($G112),$G112&gt;=MA_MED),AVERAGE(INDEX($C$5:$C112,109-MA_MED):$C112),"")</f>
        <v>1030029.12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0.121682163875884</v>
      </c>
      <c r="M112" s="45" t="n">
        <f aca="false">IF(AND(ISNUMBER($G112),$G112&gt;=60),MAX(INDEX($D$5:$D112,109-60):$D112),"")</f>
        <v>1101326</v>
      </c>
      <c r="N112" s="45" t="n">
        <f aca="false">IF(AND(ISNUMBER($G112),$G112&gt;=60),MIN(INDEX($E$5:$E112,109-60):$E112),"")</f>
        <v>928046</v>
      </c>
      <c r="O112" s="46" t="n">
        <f aca="false">IF(OR(NOT(ISNUMBER($C112)),NOT(ISNUMBER($M112)),$M112=0),"",$C112/$M112-1)</f>
        <v>-0.0301409391951157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1062530</v>
      </c>
      <c r="D113" s="42" t="n">
        <v>1063332</v>
      </c>
      <c r="E113" s="42" t="n">
        <v>1060226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-0.00524373882978768</v>
      </c>
      <c r="I113" s="45" t="n">
        <f aca="false">IF(AND(ISNUMBER($G113),$G113&gt;=MA_SHORT),AVERAGE(INDEX($C$5:$C113,110-MA_SHORT):$C113),"")</f>
        <v>1071502.45</v>
      </c>
      <c r="J113" s="45" t="n">
        <f aca="false">IF(AND(ISNUMBER($G113),$G113&gt;=MA_MED),AVERAGE(INDEX($C$5:$C113,110-MA_MED):$C113),"")</f>
        <v>1031876.2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0.118091620705408</v>
      </c>
      <c r="M113" s="45" t="n">
        <f aca="false">IF(AND(ISNUMBER($G113),$G113&gt;=60),MAX(INDEX($D$5:$D113,110-60):$D113),"")</f>
        <v>1101326</v>
      </c>
      <c r="N113" s="45" t="n">
        <f aca="false">IF(AND(ISNUMBER($G113),$G113&gt;=60),MIN(INDEX($E$5:$E113,110-60):$E113),"")</f>
        <v>938380</v>
      </c>
      <c r="O113" s="46" t="n">
        <f aca="false">IF(OR(NOT(ISNUMBER($C113)),NOT(ISNUMBER($M113)),$M113=0),"",$C113/$M113-1)</f>
        <v>-0.0352266268116798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1064017</v>
      </c>
      <c r="D114" s="42" t="n">
        <v>1064254</v>
      </c>
      <c r="E114" s="42" t="n">
        <v>1060069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0.00139948989675576</v>
      </c>
      <c r="I114" s="45" t="n">
        <f aca="false">IF(AND(ISNUMBER($G114),$G114&gt;=MA_SHORT),AVERAGE(INDEX($C$5:$C114,111-MA_SHORT):$C114),"")</f>
        <v>1072600.1</v>
      </c>
      <c r="J114" s="45" t="n">
        <f aca="false">IF(AND(ISNUMBER($G114),$G114&gt;=MA_MED),AVERAGE(INDEX($C$5:$C114,111-MA_MED):$C114),"")</f>
        <v>1033414.1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0.115657252359506</v>
      </c>
      <c r="M114" s="45" t="n">
        <f aca="false">IF(AND(ISNUMBER($G114),$G114&gt;=60),MAX(INDEX($D$5:$D114,111-60):$D114),"")</f>
        <v>1101326</v>
      </c>
      <c r="N114" s="45" t="n">
        <f aca="false">IF(AND(ISNUMBER($G114),$G114&gt;=60),MIN(INDEX($E$5:$E114,111-60):$E114),"")</f>
        <v>941591</v>
      </c>
      <c r="O114" s="46" t="n">
        <f aca="false">IF(OR(NOT(ISNUMBER($C114)),NOT(ISNUMBER($M114)),$M114=0),"",$C114/$M114-1)</f>
        <v>-0.0338764362232437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1061113</v>
      </c>
      <c r="D115" s="42" t="n">
        <v>1063181</v>
      </c>
      <c r="E115" s="42" t="n">
        <v>1054813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-0.00272927970135817</v>
      </c>
      <c r="I115" s="45" t="n">
        <f aca="false">IF(AND(ISNUMBER($G115),$G115&gt;=MA_SHORT),AVERAGE(INDEX($C$5:$C115,112-MA_SHORT):$C115),"")</f>
        <v>1073322.85</v>
      </c>
      <c r="J115" s="45" t="n">
        <f aca="false">IF(AND(ISNUMBER($G115),$G115&gt;=MA_MED),AVERAGE(INDEX($C$5:$C115,112-MA_MED):$C115),"")</f>
        <v>1034835.24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0.115697629117801</v>
      </c>
      <c r="M115" s="45" t="n">
        <f aca="false">IF(AND(ISNUMBER($G115),$G115&gt;=60),MAX(INDEX($D$5:$D115,112-60):$D115),"")</f>
        <v>1101326</v>
      </c>
      <c r="N115" s="45" t="n">
        <f aca="false">IF(AND(ISNUMBER($G115),$G115&gt;=60),MIN(INDEX($E$5:$E115,112-60):$E115),"")</f>
        <v>941591</v>
      </c>
      <c r="O115" s="46" t="n">
        <f aca="false">IF(OR(NOT(ISNUMBER($C115)),NOT(ISNUMBER($M115)),$M115=0),"",$C115/$M115-1)</f>
        <v>-0.0365132576548634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1060653</v>
      </c>
      <c r="D116" s="42" t="n">
        <v>1061401</v>
      </c>
      <c r="E116" s="42" t="n">
        <v>1060082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-0.00043350708171519</v>
      </c>
      <c r="I116" s="45" t="n">
        <f aca="false">IF(AND(ISNUMBER($G116),$G116&gt;=MA_SHORT),AVERAGE(INDEX($C$5:$C116,113-MA_SHORT):$C116),"")</f>
        <v>1073309.15</v>
      </c>
      <c r="J116" s="45" t="n">
        <f aca="false">IF(AND(ISNUMBER($G116),$G116&gt;=MA_MED),AVERAGE(INDEX($C$5:$C116,113-MA_MED):$C116),"")</f>
        <v>1036366.98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0.105463227058064</v>
      </c>
      <c r="M116" s="45" t="n">
        <f aca="false">IF(AND(ISNUMBER($G116),$G116&gt;=60),MAX(INDEX($D$5:$D116,113-60):$D116),"")</f>
        <v>1101326</v>
      </c>
      <c r="N116" s="45" t="n">
        <f aca="false">IF(AND(ISNUMBER($G116),$G116&gt;=60),MIN(INDEX($E$5:$E116,113-60):$E116),"")</f>
        <v>943205</v>
      </c>
      <c r="O116" s="46" t="n">
        <f aca="false">IF(OR(NOT(ISNUMBER($C116)),NOT(ISNUMBER($M116)),$M116=0),"",$C116/$M116-1)</f>
        <v>-0.0369309359808085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1059812</v>
      </c>
      <c r="D117" s="42" t="n">
        <v>1061062</v>
      </c>
      <c r="E117" s="42" t="n">
        <v>1055276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-0.000792907765310602</v>
      </c>
      <c r="I117" s="45" t="n">
        <f aca="false">IF(AND(ISNUMBER($G117),$G117&gt;=MA_SHORT),AVERAGE(INDEX($C$5:$C117,114-MA_SHORT):$C117),"")</f>
        <v>1073385.8</v>
      </c>
      <c r="J117" s="45" t="n">
        <f aca="false">IF(AND(ISNUMBER($G117),$G117&gt;=MA_MED),AVERAGE(INDEX($C$5:$C117,114-MA_MED):$C117),"")</f>
        <v>1037559.02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0.105109565911661</v>
      </c>
      <c r="M117" s="45" t="n">
        <f aca="false">IF(AND(ISNUMBER($G117),$G117&gt;=60),MAX(INDEX($D$5:$D117,114-60):$D117),"")</f>
        <v>1101326</v>
      </c>
      <c r="N117" s="45" t="n">
        <f aca="false">IF(AND(ISNUMBER($G117),$G117&gt;=60),MIN(INDEX($E$5:$E117,114-60):$E117),"")</f>
        <v>953122</v>
      </c>
      <c r="O117" s="46" t="n">
        <f aca="false">IF(OR(NOT(ISNUMBER($C117)),NOT(ISNUMBER($M117)),$M117=0),"",$C117/$M117-1)</f>
        <v>-0.0376945609201999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1060376</v>
      </c>
      <c r="D118" s="42" t="n">
        <v>1062228</v>
      </c>
      <c r="E118" s="42" t="n">
        <v>1054977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0.000532169856540588</v>
      </c>
      <c r="I118" s="45" t="n">
        <f aca="false">IF(AND(ISNUMBER($G118),$G118&gt;=MA_SHORT),AVERAGE(INDEX($C$5:$C118,115-MA_SHORT):$C118),"")</f>
        <v>1073220.65</v>
      </c>
      <c r="J118" s="45" t="n">
        <f aca="false">IF(AND(ISNUMBER($G118),$G118&gt;=MA_MED),AVERAGE(INDEX($C$5:$C118,115-MA_MED):$C118),"")</f>
        <v>1038799.94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0.103506134916941</v>
      </c>
      <c r="M118" s="45" t="n">
        <f aca="false">IF(AND(ISNUMBER($G118),$G118&gt;=60),MAX(INDEX($D$5:$D118,115-60):$D118),"")</f>
        <v>1101326</v>
      </c>
      <c r="N118" s="45" t="n">
        <f aca="false">IF(AND(ISNUMBER($G118),$G118&gt;=60),MIN(INDEX($E$5:$E118,115-60):$E118),"")</f>
        <v>953122</v>
      </c>
      <c r="O118" s="46" t="n">
        <f aca="false">IF(OR(NOT(ISNUMBER($C118)),NOT(ISNUMBER($M118)),$M118=0),"",$C118/$M118-1)</f>
        <v>-0.0371824509727365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1069809</v>
      </c>
      <c r="D119" s="42" t="n">
        <v>1071159</v>
      </c>
      <c r="E119" s="42" t="n">
        <v>1069211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0.00889590107659921</v>
      </c>
      <c r="I119" s="45" t="n">
        <f aca="false">IF(AND(ISNUMBER($G119),$G119&gt;=MA_SHORT),AVERAGE(INDEX($C$5:$C119,116-MA_SHORT):$C119),"")</f>
        <v>1073375.4</v>
      </c>
      <c r="J119" s="45" t="n">
        <f aca="false">IF(AND(ISNUMBER($G119),$G119&gt;=MA_MED),AVERAGE(INDEX($C$5:$C119,116-MA_MED):$C119),"")</f>
        <v>1040156.3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0.107826012867261</v>
      </c>
      <c r="M119" s="45" t="n">
        <f aca="false">IF(AND(ISNUMBER($G119),$G119&gt;=60),MAX(INDEX($D$5:$D119,116-60):$D119),"")</f>
        <v>1101326</v>
      </c>
      <c r="N119" s="45" t="n">
        <f aca="false">IF(AND(ISNUMBER($G119),$G119&gt;=60),MIN(INDEX($E$5:$E119,116-60):$E119),"")</f>
        <v>965855</v>
      </c>
      <c r="O119" s="46" t="n">
        <f aca="false">IF(OR(NOT(ISNUMBER($C119)),NOT(ISNUMBER($M119)),$M119=0),"",$C119/$M119-1)</f>
        <v>-0.0286173213017762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1078439</v>
      </c>
      <c r="D120" s="42" t="n">
        <v>1080850</v>
      </c>
      <c r="E120" s="42" t="n">
        <v>1074997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0.0080668605330485</v>
      </c>
      <c r="I120" s="45" t="n">
        <f aca="false">IF(AND(ISNUMBER($G120),$G120&gt;=MA_SHORT),AVERAGE(INDEX($C$5:$C120,117-MA_SHORT):$C120),"")</f>
        <v>1073934.65</v>
      </c>
      <c r="J120" s="45" t="n">
        <f aca="false">IF(AND(ISNUMBER($G120),$G120&gt;=MA_MED),AVERAGE(INDEX($C$5:$C120,117-MA_MED):$C120),"")</f>
        <v>1041397.56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0.111322813017657</v>
      </c>
      <c r="M120" s="45" t="n">
        <f aca="false">IF(AND(ISNUMBER($G120),$G120&gt;=60),MAX(INDEX($D$5:$D120,117-60):$D120),"")</f>
        <v>1101326</v>
      </c>
      <c r="N120" s="45" t="n">
        <f aca="false">IF(AND(ISNUMBER($G120),$G120&gt;=60),MIN(INDEX($E$5:$E120,117-60):$E120),"")</f>
        <v>965855</v>
      </c>
      <c r="O120" s="46" t="n">
        <f aca="false">IF(OR(NOT(ISNUMBER($C120)),NOT(ISNUMBER($M120)),$M120=0),"",$C120/$M120-1)</f>
        <v>-0.0207813127084987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1085786</v>
      </c>
      <c r="D121" s="42" t="n">
        <v>1086731</v>
      </c>
      <c r="E121" s="42" t="n">
        <v>1083605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0.00681262454343723</v>
      </c>
      <c r="I121" s="45" t="n">
        <f aca="false">IF(AND(ISNUMBER($G121),$G121&gt;=MA_SHORT),AVERAGE(INDEX($C$5:$C121,118-MA_SHORT):$C121),"")</f>
        <v>1074783.65</v>
      </c>
      <c r="J121" s="45" t="n">
        <f aca="false">IF(AND(ISNUMBER($G121),$G121&gt;=MA_MED),AVERAGE(INDEX($C$5:$C121,118-MA_MED):$C121),"")</f>
        <v>1042789.44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0.113446402633743</v>
      </c>
      <c r="M121" s="45" t="n">
        <f aca="false">IF(AND(ISNUMBER($G121),$G121&gt;=60),MAX(INDEX($D$5:$D121,118-60):$D121),"")</f>
        <v>1101326</v>
      </c>
      <c r="N121" s="45" t="n">
        <f aca="false">IF(AND(ISNUMBER($G121),$G121&gt;=60),MIN(INDEX($E$5:$E121,118-60):$E121),"")</f>
        <v>965855</v>
      </c>
      <c r="O121" s="46" t="n">
        <f aca="false">IF(OR(NOT(ISNUMBER($C121)),NOT(ISNUMBER($M121)),$M121=0),"",$C121/$M121-1)</f>
        <v>-0.0141102634460641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1084969</v>
      </c>
      <c r="D122" s="42" t="n">
        <v>1088966</v>
      </c>
      <c r="E122" s="42" t="n">
        <v>1083604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-0.000752450298677654</v>
      </c>
      <c r="I122" s="45" t="n">
        <f aca="false">IF(AND(ISNUMBER($G122),$G122&gt;=MA_SHORT),AVERAGE(INDEX($C$5:$C122,119-MA_SHORT):$C122),"")</f>
        <v>1076179.85</v>
      </c>
      <c r="J122" s="45" t="n">
        <f aca="false">IF(AND(ISNUMBER($G122),$G122&gt;=MA_MED),AVERAGE(INDEX($C$5:$C122,119-MA_MED):$C122),"")</f>
        <v>1044485.1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0.105039245539825</v>
      </c>
      <c r="M122" s="45" t="n">
        <f aca="false">IF(AND(ISNUMBER($G122),$G122&gt;=60),MAX(INDEX($D$5:$D122,119-60):$D122),"")</f>
        <v>1101326</v>
      </c>
      <c r="N122" s="45" t="n">
        <f aca="false">IF(AND(ISNUMBER($G122),$G122&gt;=60),MIN(INDEX($E$5:$E122,119-60):$E122),"")</f>
        <v>965855</v>
      </c>
      <c r="O122" s="46" t="n">
        <f aca="false">IF(OR(NOT(ISNUMBER($C122)),NOT(ISNUMBER($M122)),$M122=0),"",$C122/$M122-1)</f>
        <v>-0.0148520964727973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1082861</v>
      </c>
      <c r="D123" s="42" t="n">
        <v>1083021</v>
      </c>
      <c r="E123" s="42" t="n">
        <v>1082071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-0.0019429126546473</v>
      </c>
      <c r="I123" s="45" t="n">
        <f aca="false">IF(AND(ISNUMBER($G123),$G123&gt;=MA_SHORT),AVERAGE(INDEX($C$5:$C123,120-MA_SHORT):$C123),"")</f>
        <v>1077283.1</v>
      </c>
      <c r="J123" s="45" t="n">
        <f aca="false">IF(AND(ISNUMBER($G123),$G123&gt;=MA_MED),AVERAGE(INDEX($C$5:$C123,120-MA_MED):$C123),"")</f>
        <v>1045879.48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0.105298996830767</v>
      </c>
      <c r="M123" s="45" t="n">
        <f aca="false">IF(AND(ISNUMBER($G123),$G123&gt;=60),MAX(INDEX($D$5:$D123,120-60):$D123),"")</f>
        <v>1101326</v>
      </c>
      <c r="N123" s="45" t="n">
        <f aca="false">IF(AND(ISNUMBER($G123),$G123&gt;=60),MIN(INDEX($E$5:$E123,120-60):$E123),"")</f>
        <v>981481</v>
      </c>
      <c r="O123" s="46" t="n">
        <f aca="false">IF(OR(NOT(ISNUMBER($C123)),NOT(ISNUMBER($M123)),$M123=0),"",$C123/$M123-1)</f>
        <v>-0.0167661528012596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1091183</v>
      </c>
      <c r="D124" s="42" t="n">
        <v>1092227</v>
      </c>
      <c r="E124" s="42" t="n">
        <v>1090605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0.00768519689969449</v>
      </c>
      <c r="I124" s="45" t="n">
        <f aca="false">IF(AND(ISNUMBER($G124),$G124&gt;=MA_SHORT),AVERAGE(INDEX($C$5:$C124,121-MA_SHORT):$C124),"")</f>
        <v>1078025.65</v>
      </c>
      <c r="J124" s="45" t="n">
        <f aca="false">IF(AND(ISNUMBER($G124),$G124&gt;=MA_MED),AVERAGE(INDEX($C$5:$C124,121-MA_MED):$C124),"")</f>
        <v>1047854.22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0.0961307081301305</v>
      </c>
      <c r="M124" s="45" t="n">
        <f aca="false">IF(AND(ISNUMBER($G124),$G124&gt;=60),MAX(INDEX($D$5:$D124,121-60):$D124),"")</f>
        <v>1101326</v>
      </c>
      <c r="N124" s="45" t="n">
        <f aca="false">IF(AND(ISNUMBER($G124),$G124&gt;=60),MIN(INDEX($E$5:$E124,121-60):$E124),"")</f>
        <v>981481</v>
      </c>
      <c r="O124" s="46" t="n">
        <f aca="false">IF(OR(NOT(ISNUMBER($C124)),NOT(ISNUMBER($M124)),$M124=0),"",$C124/$M124-1)</f>
        <v>-0.00920980708709318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1097011</v>
      </c>
      <c r="D125" s="42" t="n">
        <v>1099466</v>
      </c>
      <c r="E125" s="42" t="n">
        <v>1094097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0.00534099229918361</v>
      </c>
      <c r="I125" s="45" t="n">
        <f aca="false">IF(AND(ISNUMBER($G125),$G125&gt;=MA_SHORT),AVERAGE(INDEX($C$5:$C125,122-MA_SHORT):$C125),"")</f>
        <v>1078633.05</v>
      </c>
      <c r="J125" s="45" t="n">
        <f aca="false">IF(AND(ISNUMBER($G125),$G125&gt;=MA_MED),AVERAGE(INDEX($C$5:$C125,122-MA_MED):$C125),"")</f>
        <v>1050021.24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0.0940290595330638</v>
      </c>
      <c r="M125" s="45" t="n">
        <f aca="false">IF(AND(ISNUMBER($G125),$G125&gt;=60),MAX(INDEX($D$5:$D125,122-60):$D125),"")</f>
        <v>1101326</v>
      </c>
      <c r="N125" s="45" t="n">
        <f aca="false">IF(AND(ISNUMBER($G125),$G125&gt;=60),MIN(INDEX($E$5:$E125,122-60):$E125),"")</f>
        <v>981481</v>
      </c>
      <c r="O125" s="46" t="n">
        <f aca="false">IF(OR(NOT(ISNUMBER($C125)),NOT(ISNUMBER($M125)),$M125=0),"",$C125/$M125-1)</f>
        <v>-0.0039180042966388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1097499</v>
      </c>
      <c r="D126" s="42" t="n">
        <v>1100614</v>
      </c>
      <c r="E126" s="42" t="n">
        <v>1094155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0.000444845129173643</v>
      </c>
      <c r="I126" s="45" t="n">
        <f aca="false">IF(AND(ISNUMBER($G126),$G126&gt;=MA_SHORT),AVERAGE(INDEX($C$5:$C126,123-MA_SHORT):$C126),"")</f>
        <v>1078618.15</v>
      </c>
      <c r="J126" s="45" t="n">
        <f aca="false">IF(AND(ISNUMBER($G126),$G126&gt;=MA_MED),AVERAGE(INDEX($C$5:$C126,123-MA_MED):$C126),"")</f>
        <v>1051975.7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0.084238625678721</v>
      </c>
      <c r="M126" s="45" t="n">
        <f aca="false">IF(AND(ISNUMBER($G126),$G126&gt;=60),MAX(INDEX($D$5:$D126,123-60):$D126),"")</f>
        <v>1101326</v>
      </c>
      <c r="N126" s="45" t="n">
        <f aca="false">IF(AND(ISNUMBER($G126),$G126&gt;=60),MIN(INDEX($E$5:$E126,123-60):$E126),"")</f>
        <v>987495</v>
      </c>
      <c r="O126" s="46" t="n">
        <f aca="false">IF(OR(NOT(ISNUMBER($C126)),NOT(ISNUMBER($M126)),$M126=0),"",$C126/$M126-1)</f>
        <v>-0.00347490207259249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1116185</v>
      </c>
      <c r="D127" s="42" t="n">
        <v>1119417</v>
      </c>
      <c r="E127" s="42" t="n">
        <v>1112328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0.0170259836227642</v>
      </c>
      <c r="I127" s="45" t="n">
        <f aca="false">IF(AND(ISNUMBER($G127),$G127&gt;=MA_SHORT),AVERAGE(INDEX($C$5:$C127,124-MA_SHORT):$C127),"")</f>
        <v>1079490.3</v>
      </c>
      <c r="J127" s="45" t="n">
        <f aca="false">IF(AND(ISNUMBER($G127),$G127&gt;=MA_MED),AVERAGE(INDEX($C$5:$C127,124-MA_MED):$C127),"")</f>
        <v>1054380.9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0.103227976573429</v>
      </c>
      <c r="M127" s="45" t="n">
        <f aca="false">IF(AND(ISNUMBER($G127),$G127&gt;=60),MAX(INDEX($D$5:$D127,124-60):$D127),"")</f>
        <v>1119417</v>
      </c>
      <c r="N127" s="45" t="n">
        <f aca="false">IF(AND(ISNUMBER($G127),$G127&gt;=60),MIN(INDEX($E$5:$E127,124-60):$E127),"")</f>
        <v>987495</v>
      </c>
      <c r="O127" s="46" t="n">
        <f aca="false">IF(OR(NOT(ISNUMBER($C127)),NOT(ISNUMBER($M127)),$M127=0),"",$C127/$M127-1)</f>
        <v>-0.00288721718537421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1100093</v>
      </c>
      <c r="D128" s="42" t="n">
        <v>1104892</v>
      </c>
      <c r="E128" s="42" t="n">
        <v>1099992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-0.0144169649296487</v>
      </c>
      <c r="I128" s="45" t="n">
        <f aca="false">IF(AND(ISNUMBER($G128),$G128&gt;=MA_SHORT),AVERAGE(INDEX($C$5:$C128,125-MA_SHORT):$C128),"")</f>
        <v>1079621.45</v>
      </c>
      <c r="J128" s="45" t="n">
        <f aca="false">IF(AND(ISNUMBER($G128),$G128&gt;=MA_MED),AVERAGE(INDEX($C$5:$C128,125-MA_MED):$C128),"")</f>
        <v>1056328.06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0.116111957946156</v>
      </c>
      <c r="M128" s="45" t="n">
        <f aca="false">IF(AND(ISNUMBER($G128),$G128&gt;=60),MAX(INDEX($D$5:$D128,125-60):$D128),"")</f>
        <v>1119417</v>
      </c>
      <c r="N128" s="45" t="n">
        <f aca="false">IF(AND(ISNUMBER($G128),$G128&gt;=60),MIN(INDEX($E$5:$E128,125-60):$E128),"")</f>
        <v>987495</v>
      </c>
      <c r="O128" s="46" t="n">
        <f aca="false">IF(OR(NOT(ISNUMBER($C128)),NOT(ISNUMBER($M128)),$M128=0),"",$C128/$M128-1)</f>
        <v>-0.0172625572061171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1105974</v>
      </c>
      <c r="D129" s="42" t="n">
        <v>1112750</v>
      </c>
      <c r="E129" s="42" t="n">
        <v>1105530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0.00534591166383214</v>
      </c>
      <c r="I129" s="45" t="n">
        <f aca="false">IF(AND(ISNUMBER($G129),$G129&gt;=MA_SHORT),AVERAGE(INDEX($C$5:$C129,126-MA_SHORT):$C129),"")</f>
        <v>1080349.9</v>
      </c>
      <c r="J129" s="45" t="n">
        <f aca="false">IF(AND(ISNUMBER($G129),$G129&gt;=MA_MED),AVERAGE(INDEX($C$5:$C129,126-MA_MED):$C129),"")</f>
        <v>1058221.74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0.115497565906778</v>
      </c>
      <c r="M129" s="45" t="n">
        <f aca="false">IF(AND(ISNUMBER($G129),$G129&gt;=60),MAX(INDEX($D$5:$D129,126-60):$D129),"")</f>
        <v>1119417</v>
      </c>
      <c r="N129" s="45" t="n">
        <f aca="false">IF(AND(ISNUMBER($G129),$G129&gt;=60),MIN(INDEX($E$5:$E129,126-60):$E129),"")</f>
        <v>987495</v>
      </c>
      <c r="O129" s="46" t="n">
        <f aca="false">IF(OR(NOT(ISNUMBER($C129)),NOT(ISNUMBER($M129)),$M129=0),"",$C129/$M129-1)</f>
        <v>-0.0120089296482008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1105478</v>
      </c>
      <c r="D130" s="42" t="n">
        <v>1108306</v>
      </c>
      <c r="E130" s="42" t="n">
        <v>1104254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-0.000448473472251632</v>
      </c>
      <c r="I130" s="45" t="n">
        <f aca="false">IF(AND(ISNUMBER($G130),$G130&gt;=MA_SHORT),AVERAGE(INDEX($C$5:$C130,127-MA_SHORT):$C130),"")</f>
        <v>1081561.15</v>
      </c>
      <c r="J130" s="45" t="n">
        <f aca="false">IF(AND(ISNUMBER($G130),$G130&gt;=MA_MED),AVERAGE(INDEX($C$5:$C130,127-MA_MED):$C130),"")</f>
        <v>1060362.14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0.109629924765564</v>
      </c>
      <c r="M130" s="45" t="n">
        <f aca="false">IF(AND(ISNUMBER($G130),$G130&gt;=60),MAX(INDEX($D$5:$D130,127-60):$D130),"")</f>
        <v>1119417</v>
      </c>
      <c r="N130" s="45" t="n">
        <f aca="false">IF(AND(ISNUMBER($G130),$G130&gt;=60),MIN(INDEX($E$5:$E130,127-60):$E130),"")</f>
        <v>987495</v>
      </c>
      <c r="O130" s="46" t="n">
        <f aca="false">IF(OR(NOT(ISNUMBER($C130)),NOT(ISNUMBER($M130)),$M130=0),"",$C130/$M130-1)</f>
        <v>-0.0124520174340751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1117437</v>
      </c>
      <c r="D131" s="42" t="n">
        <v>1119268</v>
      </c>
      <c r="E131" s="42" t="n">
        <v>1115233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0.0108179448166315</v>
      </c>
      <c r="I131" s="45" t="n">
        <f aca="false">IF(AND(ISNUMBER($G131),$G131&gt;=MA_SHORT),AVERAGE(INDEX($C$5:$C131,128-MA_SHORT):$C131),"")</f>
        <v>1083467.8</v>
      </c>
      <c r="J131" s="45" t="n">
        <f aca="false">IF(AND(ISNUMBER($G131),$G131&gt;=MA_MED),AVERAGE(INDEX($C$5:$C131,128-MA_MED):$C131),"")</f>
        <v>1062816.64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0.114082499821493</v>
      </c>
      <c r="M131" s="45" t="n">
        <f aca="false">IF(AND(ISNUMBER($G131),$G131&gt;=60),MAX(INDEX($D$5:$D131,128-60):$D131),"")</f>
        <v>1119417</v>
      </c>
      <c r="N131" s="45" t="n">
        <f aca="false">IF(AND(ISNUMBER($G131),$G131&gt;=60),MIN(INDEX($E$5:$E131,128-60):$E131),"")</f>
        <v>987495</v>
      </c>
      <c r="O131" s="46" t="n">
        <f aca="false">IF(OR(NOT(ISNUMBER($C131)),NOT(ISNUMBER($M131)),$M131=0),"",$C131/$M131-1)</f>
        <v>-0.00176877785490126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1127548</v>
      </c>
      <c r="D132" s="42" t="n">
        <v>1133830</v>
      </c>
      <c r="E132" s="42" t="n">
        <v>1124707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0.00904838483064374</v>
      </c>
      <c r="I132" s="45" t="n">
        <f aca="false">IF(AND(ISNUMBER($G132),$G132&gt;=MA_SHORT),AVERAGE(INDEX($C$5:$C132,129-MA_SHORT):$C132),"")</f>
        <v>1086438.65</v>
      </c>
      <c r="J132" s="45" t="n">
        <f aca="false">IF(AND(ISNUMBER($G132),$G132&gt;=MA_MED),AVERAGE(INDEX($C$5:$C132,129-MA_MED):$C132),"")</f>
        <v>1065283.96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0.107536312739274</v>
      </c>
      <c r="M132" s="45" t="n">
        <f aca="false">IF(AND(ISNUMBER($G132),$G132&gt;=60),MAX(INDEX($D$5:$D132,129-60):$D132),"")</f>
        <v>1133830</v>
      </c>
      <c r="N132" s="45" t="n">
        <f aca="false">IF(AND(ISNUMBER($G132),$G132&gt;=60),MIN(INDEX($E$5:$E132,129-60):$E132),"")</f>
        <v>987495</v>
      </c>
      <c r="O132" s="46" t="n">
        <f aca="false">IF(OR(NOT(ISNUMBER($C132)),NOT(ISNUMBER($M132)),$M132=0),"",$C132/$M132-1)</f>
        <v>-0.00554051312807036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1138389</v>
      </c>
      <c r="D133" s="42" t="n">
        <v>1141149</v>
      </c>
      <c r="E133" s="42" t="n">
        <v>1134393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0.0096146682890661</v>
      </c>
      <c r="I133" s="45" t="n">
        <f aca="false">IF(AND(ISNUMBER($G133),$G133&gt;=MA_SHORT),AVERAGE(INDEX($C$5:$C133,130-MA_SHORT):$C133),"")</f>
        <v>1090231.6</v>
      </c>
      <c r="J133" s="45" t="n">
        <f aca="false">IF(AND(ISNUMBER($G133),$G133&gt;=MA_MED),AVERAGE(INDEX($C$5:$C133,130-MA_MED):$C133),"")</f>
        <v>1068081.94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0.105886654123096</v>
      </c>
      <c r="M133" s="45" t="n">
        <f aca="false">IF(AND(ISNUMBER($G133),$G133&gt;=60),MAX(INDEX($D$5:$D133,130-60):$D133),"")</f>
        <v>1141149</v>
      </c>
      <c r="N133" s="45" t="n">
        <f aca="false">IF(AND(ISNUMBER($G133),$G133&gt;=60),MIN(INDEX($E$5:$E133,130-60):$E133),"")</f>
        <v>987495</v>
      </c>
      <c r="O133" s="46" t="n">
        <f aca="false">IF(OR(NOT(ISNUMBER($C133)),NOT(ISNUMBER($M133)),$M133=0),"",$C133/$M133-1)</f>
        <v>-0.00241861492232831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1151934</v>
      </c>
      <c r="D134" s="42" t="n">
        <v>1154759</v>
      </c>
      <c r="E134" s="42" t="n">
        <v>1151420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0.0118983932557324</v>
      </c>
      <c r="I134" s="45" t="n">
        <f aca="false">IF(AND(ISNUMBER($G134),$G134&gt;=MA_SHORT),AVERAGE(INDEX($C$5:$C134,131-MA_SHORT):$C134),"")</f>
        <v>1094627.45</v>
      </c>
      <c r="J134" s="45" t="n">
        <f aca="false">IF(AND(ISNUMBER($G134),$G134&gt;=MA_MED),AVERAGE(INDEX($C$5:$C134,131-MA_MED):$C134),"")</f>
        <v>1070889.98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0.109544969477811</v>
      </c>
      <c r="M134" s="45" t="n">
        <f aca="false">IF(AND(ISNUMBER($G134),$G134&gt;=60),MAX(INDEX($D$5:$D134,131-60):$D134),"")</f>
        <v>1154759</v>
      </c>
      <c r="N134" s="45" t="n">
        <f aca="false">IF(AND(ISNUMBER($G134),$G134&gt;=60),MIN(INDEX($E$5:$E134,131-60):$E134),"")</f>
        <v>987495</v>
      </c>
      <c r="O134" s="46" t="n">
        <f aca="false">IF(OR(NOT(ISNUMBER($C134)),NOT(ISNUMBER($M134)),$M134=0),"",$C134/$M134-1)</f>
        <v>-0.002446397906403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1131031</v>
      </c>
      <c r="D135" s="42" t="n">
        <v>1133279</v>
      </c>
      <c r="E135" s="42" t="n">
        <v>1127463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-0.0181460048926414</v>
      </c>
      <c r="I135" s="45" t="n">
        <f aca="false">IF(AND(ISNUMBER($G135),$G135&gt;=MA_SHORT),AVERAGE(INDEX($C$5:$C135,132-MA_SHORT):$C135),"")</f>
        <v>1098123.35</v>
      </c>
      <c r="J135" s="45" t="n">
        <f aca="false">IF(AND(ISNUMBER($G135),$G135&gt;=MA_MED),AVERAGE(INDEX($C$5:$C135,132-MA_MED):$C135),"")</f>
        <v>1073316.14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0.132617417069685</v>
      </c>
      <c r="M135" s="45" t="n">
        <f aca="false">IF(AND(ISNUMBER($G135),$G135&gt;=60),MAX(INDEX($D$5:$D135,132-60):$D135),"")</f>
        <v>1154759</v>
      </c>
      <c r="N135" s="45" t="n">
        <f aca="false">IF(AND(ISNUMBER($G135),$G135&gt;=60),MIN(INDEX($E$5:$E135,132-60):$E135),"")</f>
        <v>993723</v>
      </c>
      <c r="O135" s="46" t="n">
        <f aca="false">IF(OR(NOT(ISNUMBER($C135)),NOT(ISNUMBER($M135)),$M135=0),"",$C135/$M135-1)</f>
        <v>-0.0205480104506655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1139749</v>
      </c>
      <c r="D136" s="42" t="n">
        <v>1141707</v>
      </c>
      <c r="E136" s="42" t="n">
        <v>1139727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0.00770801153991352</v>
      </c>
      <c r="I136" s="45" t="n">
        <f aca="false">IF(AND(ISNUMBER($G136),$G136&gt;=MA_SHORT),AVERAGE(INDEX($C$5:$C136,133-MA_SHORT):$C136),"")</f>
        <v>1102078.15</v>
      </c>
      <c r="J136" s="45" t="n">
        <f aca="false">IF(AND(ISNUMBER($G136),$G136&gt;=MA_MED),AVERAGE(INDEX($C$5:$C136,133-MA_MED):$C136),"")</f>
        <v>1075917.72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0.132778715849219</v>
      </c>
      <c r="M136" s="45" t="n">
        <f aca="false">IF(AND(ISNUMBER($G136),$G136&gt;=60),MAX(INDEX($D$5:$D136,133-60):$D136),"")</f>
        <v>1154759</v>
      </c>
      <c r="N136" s="45" t="n">
        <f aca="false">IF(AND(ISNUMBER($G136),$G136&gt;=60),MIN(INDEX($E$5:$E136,133-60):$E136),"")</f>
        <v>993723</v>
      </c>
      <c r="O136" s="46" t="n">
        <f aca="false">IF(OR(NOT(ISNUMBER($C136)),NOT(ISNUMBER($M136)),$M136=0),"",$C136/$M136-1)</f>
        <v>-0.0129983832124279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1141066</v>
      </c>
      <c r="D137" s="42" t="n">
        <v>1142760</v>
      </c>
      <c r="E137" s="42" t="n">
        <v>1140190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0.00115551757448351</v>
      </c>
      <c r="I137" s="45" t="n">
        <f aca="false">IF(AND(ISNUMBER($G137),$G137&gt;=MA_SHORT),AVERAGE(INDEX($C$5:$C137,134-MA_SHORT):$C137),"")</f>
        <v>1106140.85</v>
      </c>
      <c r="J137" s="45" t="n">
        <f aca="false">IF(AND(ISNUMBER($G137),$G137&gt;=MA_MED),AVERAGE(INDEX($C$5:$C137,134-MA_MED):$C137),"")</f>
        <v>1078456.92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0.132113964297731</v>
      </c>
      <c r="M137" s="45" t="n">
        <f aca="false">IF(AND(ISNUMBER($G137),$G137&gt;=60),MAX(INDEX($D$5:$D137,134-60):$D137),"")</f>
        <v>1154759</v>
      </c>
      <c r="N137" s="45" t="n">
        <f aca="false">IF(AND(ISNUMBER($G137),$G137&gt;=60),MIN(INDEX($E$5:$E137,134-60):$E137),"")</f>
        <v>993723</v>
      </c>
      <c r="O137" s="46" t="n">
        <f aca="false">IF(OR(NOT(ISNUMBER($C137)),NOT(ISNUMBER($M137)),$M137=0),"",$C137/$M137-1)</f>
        <v>-0.0118578854981862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1127082</v>
      </c>
      <c r="D138" s="42" t="n">
        <v>1128783</v>
      </c>
      <c r="E138" s="42" t="n">
        <v>1122088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-0.0122552069731287</v>
      </c>
      <c r="I138" s="45" t="n">
        <f aca="false">IF(AND(ISNUMBER($G138),$G138&gt;=MA_SHORT),AVERAGE(INDEX($C$5:$C138,135-MA_SHORT):$C138),"")</f>
        <v>1109476.15</v>
      </c>
      <c r="J138" s="45" t="n">
        <f aca="false">IF(AND(ISNUMBER($G138),$G138&gt;=MA_MED),AVERAGE(INDEX($C$5:$C138,135-MA_MED):$C138),"")</f>
        <v>1080690.8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0.143224265935812</v>
      </c>
      <c r="M138" s="45" t="n">
        <f aca="false">IF(AND(ISNUMBER($G138),$G138&gt;=60),MAX(INDEX($D$5:$D138,135-60):$D138),"")</f>
        <v>1154759</v>
      </c>
      <c r="N138" s="45" t="n">
        <f aca="false">IF(AND(ISNUMBER($G138),$G138&gt;=60),MIN(INDEX($E$5:$E138,135-60):$E138),"")</f>
        <v>993723</v>
      </c>
      <c r="O138" s="46" t="n">
        <f aca="false">IF(OR(NOT(ISNUMBER($C138)),NOT(ISNUMBER($M138)),$M138=0),"",$C138/$M138-1)</f>
        <v>-0.0239677716302709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1118051</v>
      </c>
      <c r="D139" s="42" t="n">
        <v>1123265</v>
      </c>
      <c r="E139" s="42" t="n">
        <v>1117484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-0.00801272666939934</v>
      </c>
      <c r="I139" s="45" t="n">
        <f aca="false">IF(AND(ISNUMBER($G139),$G139&gt;=MA_SHORT),AVERAGE(INDEX($C$5:$C139,136-MA_SHORT):$C139),"")</f>
        <v>1111888.25</v>
      </c>
      <c r="J139" s="45" t="n">
        <f aca="false">IF(AND(ISNUMBER($G139),$G139&gt;=MA_MED),AVERAGE(INDEX($C$5:$C139,136-MA_MED):$C139),"")</f>
        <v>1082877.68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0.146580699518493</v>
      </c>
      <c r="M139" s="45" t="n">
        <f aca="false">IF(AND(ISNUMBER($G139),$G139&gt;=60),MAX(INDEX($D$5:$D139,136-60):$D139),"")</f>
        <v>1154759</v>
      </c>
      <c r="N139" s="45" t="n">
        <f aca="false">IF(AND(ISNUMBER($G139),$G139&gt;=60),MIN(INDEX($E$5:$E139,136-60):$E139),"")</f>
        <v>993723</v>
      </c>
      <c r="O139" s="46" t="n">
        <f aca="false">IF(OR(NOT(ISNUMBER($C139)),NOT(ISNUMBER($M139)),$M139=0),"",$C139/$M139-1)</f>
        <v>-0.0317884510967224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1128963</v>
      </c>
      <c r="D140" s="42" t="n">
        <v>1132201</v>
      </c>
      <c r="E140" s="42" t="n">
        <v>1128519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0.00975984100904159</v>
      </c>
      <c r="I140" s="45" t="n">
        <f aca="false">IF(AND(ISNUMBER($G140),$G140&gt;=MA_SHORT),AVERAGE(INDEX($C$5:$C140,137-MA_SHORT):$C140),"")</f>
        <v>1114414.45</v>
      </c>
      <c r="J140" s="45" t="n">
        <f aca="false">IF(AND(ISNUMBER($G140),$G140&gt;=MA_MED),AVERAGE(INDEX($C$5:$C140,137-MA_MED):$C140),"")</f>
        <v>1085146.5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0.147563556238203</v>
      </c>
      <c r="M140" s="45" t="n">
        <f aca="false">IF(AND(ISNUMBER($G140),$G140&gt;=60),MAX(INDEX($D$5:$D140,137-60):$D140),"")</f>
        <v>1154759</v>
      </c>
      <c r="N140" s="45" t="n">
        <f aca="false">IF(AND(ISNUMBER($G140),$G140&gt;=60),MIN(INDEX($E$5:$E140,137-60):$E140),"")</f>
        <v>993723</v>
      </c>
      <c r="O140" s="46" t="n">
        <f aca="false">IF(OR(NOT(ISNUMBER($C140)),NOT(ISNUMBER($M140)),$M140=0),"",$C140/$M140-1)</f>
        <v>-0.0223388603163084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1135313</v>
      </c>
      <c r="D141" s="42" t="n">
        <v>1136781</v>
      </c>
      <c r="E141" s="42" t="n">
        <v>1133489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0.00562463074520592</v>
      </c>
      <c r="I141" s="45" t="n">
        <f aca="false">IF(AND(ISNUMBER($G141),$G141&gt;=MA_SHORT),AVERAGE(INDEX($C$5:$C141,138-MA_SHORT):$C141),"")</f>
        <v>1116890.8</v>
      </c>
      <c r="J141" s="45" t="n">
        <f aca="false">IF(AND(ISNUMBER($G141),$G141&gt;=MA_MED),AVERAGE(INDEX($C$5:$C141,138-MA_MED):$C141),"")</f>
        <v>1087255.84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0.147156659650628</v>
      </c>
      <c r="M141" s="45" t="n">
        <f aca="false">IF(AND(ISNUMBER($G141),$G141&gt;=60),MAX(INDEX($D$5:$D141,138-60):$D141),"")</f>
        <v>1154759</v>
      </c>
      <c r="N141" s="45" t="n">
        <f aca="false">IF(AND(ISNUMBER($G141),$G141&gt;=60),MIN(INDEX($E$5:$E141,138-60):$E141),"")</f>
        <v>996243</v>
      </c>
      <c r="O141" s="46" t="n">
        <f aca="false">IF(OR(NOT(ISNUMBER($C141)),NOT(ISNUMBER($M141)),$M141=0),"",$C141/$M141-1)</f>
        <v>-0.0168398774116504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1124321</v>
      </c>
      <c r="D142" s="42" t="n">
        <v>1126963</v>
      </c>
      <c r="E142" s="42" t="n">
        <v>1121024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-0.00968191150810394</v>
      </c>
      <c r="I142" s="45" t="n">
        <f aca="false">IF(AND(ISNUMBER($G142),$G142&gt;=MA_SHORT),AVERAGE(INDEX($C$5:$C142,139-MA_SHORT):$C142),"")</f>
        <v>1118858.4</v>
      </c>
      <c r="J142" s="45" t="n">
        <f aca="false">IF(AND(ISNUMBER($G142),$G142&gt;=MA_MED),AVERAGE(INDEX($C$5:$C142,139-MA_MED):$C142),"")</f>
        <v>1089322.24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0.152738235203563</v>
      </c>
      <c r="M142" s="45" t="n">
        <f aca="false">IF(AND(ISNUMBER($G142),$G142&gt;=60),MAX(INDEX($D$5:$D142,139-60):$D142),"")</f>
        <v>1154759</v>
      </c>
      <c r="N142" s="45" t="n">
        <f aca="false">IF(AND(ISNUMBER($G142),$G142&gt;=60),MIN(INDEX($E$5:$E142,139-60):$E142),"")</f>
        <v>996243</v>
      </c>
      <c r="O142" s="46" t="n">
        <f aca="false">IF(OR(NOT(ISNUMBER($C142)),NOT(ISNUMBER($M142)),$M142=0),"",$C142/$M142-1)</f>
        <v>-0.0263587467168475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1139291</v>
      </c>
      <c r="D143" s="42" t="n">
        <v>1141150</v>
      </c>
      <c r="E143" s="42" t="n">
        <v>1139044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0.01331470282953</v>
      </c>
      <c r="I143" s="45" t="n">
        <f aca="false">IF(AND(ISNUMBER($G143),$G143&gt;=MA_SHORT),AVERAGE(INDEX($C$5:$C143,140-MA_SHORT):$C143),"")</f>
        <v>1121679.9</v>
      </c>
      <c r="J143" s="45" t="n">
        <f aca="false">IF(AND(ISNUMBER($G143),$G143&gt;=MA_MED),AVERAGE(INDEX($C$5:$C143,140-MA_MED):$C143),"")</f>
        <v>1091429.64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0.157152104306148</v>
      </c>
      <c r="M143" s="45" t="n">
        <f aca="false">IF(AND(ISNUMBER($G143),$G143&gt;=60),MAX(INDEX($D$5:$D143,140-60):$D143),"")</f>
        <v>1154759</v>
      </c>
      <c r="N143" s="45" t="n">
        <f aca="false">IF(AND(ISNUMBER($G143),$G143&gt;=60),MIN(INDEX($E$5:$E143,140-60):$E143),"")</f>
        <v>1005931</v>
      </c>
      <c r="O143" s="46" t="n">
        <f aca="false">IF(OR(NOT(ISNUMBER($C143)),NOT(ISNUMBER($M143)),$M143=0),"",$C143/$M143-1)</f>
        <v>-0.013395002766811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1151965</v>
      </c>
      <c r="D144" s="42" t="n">
        <v>1153099</v>
      </c>
      <c r="E144" s="42" t="n">
        <v>1147926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0.0111244624946567</v>
      </c>
      <c r="I144" s="45" t="n">
        <f aca="false">IF(AND(ISNUMBER($G144),$G144&gt;=MA_SHORT),AVERAGE(INDEX($C$5:$C144,141-MA_SHORT):$C144),"")</f>
        <v>1124719</v>
      </c>
      <c r="J144" s="45" t="n">
        <f aca="false">IF(AND(ISNUMBER($G144),$G144&gt;=MA_MED),AVERAGE(INDEX($C$5:$C144,141-MA_MED):$C144),"")</f>
        <v>1093627.66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0.159039322954974</v>
      </c>
      <c r="M144" s="45" t="n">
        <f aca="false">IF(AND(ISNUMBER($G144),$G144&gt;=60),MAX(INDEX($D$5:$D144,141-60):$D144),"")</f>
        <v>1154759</v>
      </c>
      <c r="N144" s="45" t="n">
        <f aca="false">IF(AND(ISNUMBER($G144),$G144&gt;=60),MIN(INDEX($E$5:$E144,141-60):$E144),"")</f>
        <v>1005931</v>
      </c>
      <c r="O144" s="46" t="n">
        <f aca="false">IF(OR(NOT(ISNUMBER($C144)),NOT(ISNUMBER($M144)),$M144=0),"",$C144/$M144-1)</f>
        <v>-0.00241955247804948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1163104</v>
      </c>
      <c r="D145" s="42" t="n">
        <v>1167375</v>
      </c>
      <c r="E145" s="42" t="n">
        <v>1160921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0.00966956461350832</v>
      </c>
      <c r="I145" s="45" t="n">
        <f aca="false">IF(AND(ISNUMBER($G145),$G145&gt;=MA_SHORT),AVERAGE(INDEX($C$5:$C145,142-MA_SHORT):$C145),"")</f>
        <v>1128023.65</v>
      </c>
      <c r="J145" s="45" t="n">
        <f aca="false">IF(AND(ISNUMBER($G145),$G145&gt;=MA_MED),AVERAGE(INDEX($C$5:$C145,142-MA_MED):$C145),"")</f>
        <v>1095956.58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0.160657391662183</v>
      </c>
      <c r="M145" s="45" t="n">
        <f aca="false">IF(AND(ISNUMBER($G145),$G145&gt;=60),MAX(INDEX($D$5:$D145,142-60):$D145),"")</f>
        <v>1167375</v>
      </c>
      <c r="N145" s="45" t="n">
        <f aca="false">IF(AND(ISNUMBER($G145),$G145&gt;=60),MIN(INDEX($E$5:$E145,142-60):$E145),"")</f>
        <v>1005931</v>
      </c>
      <c r="O145" s="46" t="n">
        <f aca="false">IF(OR(NOT(ISNUMBER($C145)),NOT(ISNUMBER($M145)),$M145=0),"",$C145/$M145-1)</f>
        <v>-0.0036586358282471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1159860</v>
      </c>
      <c r="D146" s="42" t="n">
        <v>1164449</v>
      </c>
      <c r="E146" s="42" t="n">
        <v>1159722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-0.00278908850799242</v>
      </c>
      <c r="I146" s="45" t="n">
        <f aca="false">IF(AND(ISNUMBER($G146),$G146&gt;=MA_SHORT),AVERAGE(INDEX($C$5:$C146,143-MA_SHORT):$C146),"")</f>
        <v>1131141.7</v>
      </c>
      <c r="J146" s="45" t="n">
        <f aca="false">IF(AND(ISNUMBER($G146),$G146&gt;=MA_MED),AVERAGE(INDEX($C$5:$C146,143-MA_MED):$C146),"")</f>
        <v>1097935.24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0.161710582351995</v>
      </c>
      <c r="M146" s="45" t="n">
        <f aca="false">IF(AND(ISNUMBER($G146),$G146&gt;=60),MAX(INDEX($D$5:$D146,143-60):$D146),"")</f>
        <v>1167375</v>
      </c>
      <c r="N146" s="45" t="n">
        <f aca="false">IF(AND(ISNUMBER($G146),$G146&gt;=60),MIN(INDEX($E$5:$E146,143-60):$E146),"")</f>
        <v>1005931</v>
      </c>
      <c r="O146" s="46" t="n">
        <f aca="false">IF(OR(NOT(ISNUMBER($C146)),NOT(ISNUMBER($M146)),$M146=0),"",$C146/$M146-1)</f>
        <v>-0.00643752007709608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1175330</v>
      </c>
      <c r="D147" s="42" t="n">
        <v>1175583</v>
      </c>
      <c r="E147" s="42" t="n">
        <v>1163820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0.013337816633042</v>
      </c>
      <c r="I147" s="45" t="n">
        <f aca="false">IF(AND(ISNUMBER($G147),$G147&gt;=MA_SHORT),AVERAGE(INDEX($C$5:$C147,144-MA_SHORT):$C147),"")</f>
        <v>1134098.95</v>
      </c>
      <c r="J147" s="45" t="n">
        <f aca="false">IF(AND(ISNUMBER($G147),$G147&gt;=MA_MED),AVERAGE(INDEX($C$5:$C147,144-MA_MED):$C147),"")</f>
        <v>1100276.26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0.158004834836136</v>
      </c>
      <c r="M147" s="45" t="n">
        <f aca="false">IF(AND(ISNUMBER($G147),$G147&gt;=60),MAX(INDEX($D$5:$D147,144-60):$D147),"")</f>
        <v>1175583</v>
      </c>
      <c r="N147" s="45" t="n">
        <f aca="false">IF(AND(ISNUMBER($G147),$G147&gt;=60),MIN(INDEX($E$5:$E147,144-60):$E147),"")</f>
        <v>1005931</v>
      </c>
      <c r="O147" s="46" t="n">
        <f aca="false">IF(OR(NOT(ISNUMBER($C147)),NOT(ISNUMBER($M147)),$M147=0),"",$C147/$M147-1)</f>
        <v>-0.000215212366970308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1169669</v>
      </c>
      <c r="D148" s="42" t="n">
        <v>1171408</v>
      </c>
      <c r="E148" s="42" t="n">
        <v>1165791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-0.00481651961576746</v>
      </c>
      <c r="I148" s="45" t="n">
        <f aca="false">IF(AND(ISNUMBER($G148),$G148&gt;=MA_SHORT),AVERAGE(INDEX($C$5:$C148,145-MA_SHORT):$C148),"")</f>
        <v>1137577.75</v>
      </c>
      <c r="J148" s="45" t="n">
        <f aca="false">IF(AND(ISNUMBER($G148),$G148&gt;=MA_MED),AVERAGE(INDEX($C$5:$C148,145-MA_MED):$C148),"")</f>
        <v>1102396.06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0.147895460098193</v>
      </c>
      <c r="M148" s="45" t="n">
        <f aca="false">IF(AND(ISNUMBER($G148),$G148&gt;=60),MAX(INDEX($D$5:$D148,145-60):$D148),"")</f>
        <v>1175583</v>
      </c>
      <c r="N148" s="45" t="n">
        <f aca="false">IF(AND(ISNUMBER($G148),$G148&gt;=60),MIN(INDEX($E$5:$E148,145-60):$E148),"")</f>
        <v>1005931</v>
      </c>
      <c r="O148" s="46" t="n">
        <f aca="false">IF(OR(NOT(ISNUMBER($C148)),NOT(ISNUMBER($M148)),$M148=0),"",$C148/$M148-1)</f>
        <v>-0.00503069540815071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1158280</v>
      </c>
      <c r="D149" s="42" t="n">
        <v>1164135</v>
      </c>
      <c r="E149" s="42" t="n">
        <v>1157889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-0.00973694267352554</v>
      </c>
      <c r="I149" s="45" t="n">
        <f aca="false">IF(AND(ISNUMBER($G149),$G149&gt;=MA_SHORT),AVERAGE(INDEX($C$5:$C149,146-MA_SHORT):$C149),"")</f>
        <v>1140193.05</v>
      </c>
      <c r="J149" s="45" t="n">
        <f aca="false">IF(AND(ISNUMBER($G149),$G149&gt;=MA_MED),AVERAGE(INDEX($C$5:$C149,146-MA_MED):$C149),"")</f>
        <v>1104227.38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0.154244894960303</v>
      </c>
      <c r="M149" s="45" t="n">
        <f aca="false">IF(AND(ISNUMBER($G149),$G149&gt;=60),MAX(INDEX($D$5:$D149,146-60):$D149),"")</f>
        <v>1175583</v>
      </c>
      <c r="N149" s="45" t="n">
        <f aca="false">IF(AND(ISNUMBER($G149),$G149&gt;=60),MIN(INDEX($E$5:$E149,146-60):$E149),"")</f>
        <v>1014941</v>
      </c>
      <c r="O149" s="46" t="n">
        <f aca="false">IF(OR(NOT(ISNUMBER($C149)),NOT(ISNUMBER($M149)),$M149=0),"",$C149/$M149-1)</f>
        <v>-0.0147186544888791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1160365</v>
      </c>
      <c r="D150" s="42" t="n">
        <v>1165166</v>
      </c>
      <c r="E150" s="42" t="n">
        <v>1159387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0.0018000828815139</v>
      </c>
      <c r="I150" s="45" t="n">
        <f aca="false">IF(AND(ISNUMBER($G150),$G150&gt;=MA_SHORT),AVERAGE(INDEX($C$5:$C150,147-MA_SHORT):$C150),"")</f>
        <v>1142937.4</v>
      </c>
      <c r="J150" s="45" t="n">
        <f aca="false">IF(AND(ISNUMBER($G150),$G150&gt;=MA_MED),AVERAGE(INDEX($C$5:$C150,147-MA_MED):$C150),"")</f>
        <v>1106089.6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0.153917511643753</v>
      </c>
      <c r="M150" s="45" t="n">
        <f aca="false">IF(AND(ISNUMBER($G150),$G150&gt;=60),MAX(INDEX($D$5:$D150,147-60):$D150),"")</f>
        <v>1175583</v>
      </c>
      <c r="N150" s="45" t="n">
        <f aca="false">IF(AND(ISNUMBER($G150),$G150&gt;=60),MIN(INDEX($E$5:$E150,147-60):$E150),"")</f>
        <v>1020884</v>
      </c>
      <c r="O150" s="46" t="n">
        <f aca="false">IF(OR(NOT(ISNUMBER($C150)),NOT(ISNUMBER($M150)),$M150=0),"",$C150/$M150-1)</f>
        <v>-0.0129450664053495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1175634</v>
      </c>
      <c r="D151" s="42" t="n">
        <v>1176074</v>
      </c>
      <c r="E151" s="42" t="n">
        <v>1174903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0.0131587905529726</v>
      </c>
      <c r="I151" s="45" t="n">
        <f aca="false">IF(AND(ISNUMBER($G151),$G151&gt;=MA_SHORT),AVERAGE(INDEX($C$5:$C151,148-MA_SHORT):$C151),"")</f>
        <v>1145847.25</v>
      </c>
      <c r="J151" s="45" t="n">
        <f aca="false">IF(AND(ISNUMBER($G151),$G151&gt;=MA_MED),AVERAGE(INDEX($C$5:$C151,148-MA_MED):$C151),"")</f>
        <v>1108226.16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0.155761279030185</v>
      </c>
      <c r="M151" s="45" t="n">
        <f aca="false">IF(AND(ISNUMBER($G151),$G151&gt;=60),MAX(INDEX($D$5:$D151,148-60):$D151),"")</f>
        <v>1176074</v>
      </c>
      <c r="N151" s="45" t="n">
        <f aca="false">IF(AND(ISNUMBER($G151),$G151&gt;=60),MIN(INDEX($E$5:$E151,148-60):$E151),"")</f>
        <v>1020884</v>
      </c>
      <c r="O151" s="46" t="n">
        <f aca="false">IF(OR(NOT(ISNUMBER($C151)),NOT(ISNUMBER($M151)),$M151=0),"",$C151/$M151-1)</f>
        <v>-0.00037412611791432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1187846</v>
      </c>
      <c r="D152" s="42" t="n">
        <v>1190726</v>
      </c>
      <c r="E152" s="42" t="n">
        <v>1186603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0.0103875866128405</v>
      </c>
      <c r="I152" s="45" t="n">
        <f aca="false">IF(AND(ISNUMBER($G152),$G152&gt;=MA_SHORT),AVERAGE(INDEX($C$5:$C152,149-MA_SHORT):$C152),"")</f>
        <v>1148862.15</v>
      </c>
      <c r="J152" s="45" t="n">
        <f aca="false">IF(AND(ISNUMBER($G152),$G152&gt;=MA_MED),AVERAGE(INDEX($C$5:$C152,149-MA_MED):$C152),"")</f>
        <v>1110842.18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0.156545973503282</v>
      </c>
      <c r="M152" s="45" t="n">
        <f aca="false">IF(AND(ISNUMBER($G152),$G152&gt;=60),MAX(INDEX($D$5:$D152,149-60):$D152),"")</f>
        <v>1190726</v>
      </c>
      <c r="N152" s="45" t="n">
        <f aca="false">IF(AND(ISNUMBER($G152),$G152&gt;=60),MIN(INDEX($E$5:$E152,149-60):$E152),"")</f>
        <v>1031715</v>
      </c>
      <c r="O152" s="46" t="n">
        <f aca="false">IF(OR(NOT(ISNUMBER($C152)),NOT(ISNUMBER($M152)),$M152=0),"",$C152/$M152-1)</f>
        <v>-0.00241869246157389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1188603</v>
      </c>
      <c r="D153" s="42" t="n">
        <v>1190827</v>
      </c>
      <c r="E153" s="42" t="n">
        <v>1188062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0.000637287998612512</v>
      </c>
      <c r="I153" s="45" t="n">
        <f aca="false">IF(AND(ISNUMBER($G153),$G153&gt;=MA_SHORT),AVERAGE(INDEX($C$5:$C153,150-MA_SHORT):$C153),"")</f>
        <v>1151372.85</v>
      </c>
      <c r="J153" s="45" t="n">
        <f aca="false">IF(AND(ISNUMBER($G153),$G153&gt;=MA_MED),AVERAGE(INDEX($C$5:$C153,150-MA_MED):$C153),"")</f>
        <v>1113398.32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0.154540532236445</v>
      </c>
      <c r="M153" s="45" t="n">
        <f aca="false">IF(AND(ISNUMBER($G153),$G153&gt;=60),MAX(INDEX($D$5:$D153,150-60):$D153),"")</f>
        <v>1190827</v>
      </c>
      <c r="N153" s="45" t="n">
        <f aca="false">IF(AND(ISNUMBER($G153),$G153&gt;=60),MIN(INDEX($E$5:$E153,150-60):$E153),"")</f>
        <v>1041337</v>
      </c>
      <c r="O153" s="46" t="n">
        <f aca="false">IF(OR(NOT(ISNUMBER($C153)),NOT(ISNUMBER($M153)),$M153=0),"",$C153/$M153-1)</f>
        <v>-0.00186760965278754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1186852</v>
      </c>
      <c r="D154" s="42" t="n">
        <v>1189651</v>
      </c>
      <c r="E154" s="42" t="n">
        <v>1184738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-0.00147315798462566</v>
      </c>
      <c r="I154" s="45" t="n">
        <f aca="false">IF(AND(ISNUMBER($G154),$G154&gt;=MA_SHORT),AVERAGE(INDEX($C$5:$C154,151-MA_SHORT):$C154),"")</f>
        <v>1153118.75</v>
      </c>
      <c r="J154" s="45" t="n">
        <f aca="false">IF(AND(ISNUMBER($G154),$G154&gt;=MA_MED),AVERAGE(INDEX($C$5:$C154,151-MA_MED):$C154),"")</f>
        <v>1115608.72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0.150768019345501</v>
      </c>
      <c r="M154" s="45" t="n">
        <f aca="false">IF(AND(ISNUMBER($G154),$G154&gt;=60),MAX(INDEX($D$5:$D154,151-60):$D154),"")</f>
        <v>1190827</v>
      </c>
      <c r="N154" s="45" t="n">
        <f aca="false">IF(AND(ISNUMBER($G154),$G154&gt;=60),MIN(INDEX($E$5:$E154,151-60):$E154),"")</f>
        <v>1045410</v>
      </c>
      <c r="O154" s="46" t="n">
        <f aca="false">IF(OR(NOT(ISNUMBER($C154)),NOT(ISNUMBER($M154)),$M154=0),"",$C154/$M154-1)</f>
        <v>-0.00333801635334097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1176389</v>
      </c>
      <c r="D155" s="42" t="n">
        <v>1178110</v>
      </c>
      <c r="E155" s="42" t="n">
        <v>1174480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-0.0088157579883591</v>
      </c>
      <c r="I155" s="45" t="n">
        <f aca="false">IF(AND(ISNUMBER($G155),$G155&gt;=MA_SHORT),AVERAGE(INDEX($C$5:$C155,152-MA_SHORT):$C155),"")</f>
        <v>1155386.65</v>
      </c>
      <c r="J155" s="45" t="n">
        <f aca="false">IF(AND(ISNUMBER($G155),$G155&gt;=MA_MED),AVERAGE(INDEX($C$5:$C155,152-MA_MED):$C155),"")</f>
        <v>1117439.24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0.138061263055483</v>
      </c>
      <c r="M155" s="45" t="n">
        <f aca="false">IF(AND(ISNUMBER($G155),$G155&gt;=60),MAX(INDEX($D$5:$D155,152-60):$D155),"")</f>
        <v>1190827</v>
      </c>
      <c r="N155" s="45" t="n">
        <f aca="false">IF(AND(ISNUMBER($G155),$G155&gt;=60),MIN(INDEX($E$5:$E155,152-60):$E155),"")</f>
        <v>1054813</v>
      </c>
      <c r="O155" s="46" t="n">
        <f aca="false">IF(OR(NOT(ISNUMBER($C155)),NOT(ISNUMBER($M155)),$M155=0),"",$C155/$M155-1)</f>
        <v>-0.0121243471973679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1165943</v>
      </c>
      <c r="D156" s="42" t="n">
        <v>1170117</v>
      </c>
      <c r="E156" s="42" t="n">
        <v>1163098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-0.00887971580829128</v>
      </c>
      <c r="I156" s="45" t="n">
        <f aca="false">IF(AND(ISNUMBER($G156),$G156&gt;=MA_SHORT),AVERAGE(INDEX($C$5:$C156,153-MA_SHORT):$C156),"")</f>
        <v>1156696.35</v>
      </c>
      <c r="J156" s="45" t="n">
        <f aca="false">IF(AND(ISNUMBER($G156),$G156&gt;=MA_MED),AVERAGE(INDEX($C$5:$C156,153-MA_MED):$C156),"")</f>
        <v>1118802.16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0.141392305911933</v>
      </c>
      <c r="M156" s="45" t="n">
        <f aca="false">IF(AND(ISNUMBER($G156),$G156&gt;=60),MAX(INDEX($D$5:$D156,153-60):$D156),"")</f>
        <v>1190827</v>
      </c>
      <c r="N156" s="45" t="n">
        <f aca="false">IF(AND(ISNUMBER($G156),$G156&gt;=60),MIN(INDEX($E$5:$E156,153-60):$E156),"")</f>
        <v>1054813</v>
      </c>
      <c r="O156" s="46" t="n">
        <f aca="false">IF(OR(NOT(ISNUMBER($C156)),NOT(ISNUMBER($M156)),$M156=0),"",$C156/$M156-1)</f>
        <v>-0.0208964022481855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1158304</v>
      </c>
      <c r="D157" s="42" t="n">
        <v>1159719</v>
      </c>
      <c r="E157" s="42" t="n">
        <v>1155688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-0.00655177826017228</v>
      </c>
      <c r="I157" s="45" t="n">
        <f aca="false">IF(AND(ISNUMBER($G157),$G157&gt;=MA_SHORT),AVERAGE(INDEX($C$5:$C157,154-MA_SHORT):$C157),"")</f>
        <v>1157558.25</v>
      </c>
      <c r="J157" s="45" t="n">
        <f aca="false">IF(AND(ISNUMBER($G157),$G157&gt;=MA_MED),AVERAGE(INDEX($C$5:$C157,154-MA_MED):$C157),"")</f>
        <v>1119993.4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0.143956341087167</v>
      </c>
      <c r="M157" s="45" t="n">
        <f aca="false">IF(AND(ISNUMBER($G157),$G157&gt;=60),MAX(INDEX($D$5:$D157,154-60):$D157),"")</f>
        <v>1190827</v>
      </c>
      <c r="N157" s="45" t="n">
        <f aca="false">IF(AND(ISNUMBER($G157),$G157&gt;=60),MIN(INDEX($E$5:$E157,154-60):$E157),"")</f>
        <v>1054813</v>
      </c>
      <c r="O157" s="46" t="n">
        <f aca="false">IF(OR(NOT(ISNUMBER($C157)),NOT(ISNUMBER($M157)),$M157=0),"",$C157/$M157-1)</f>
        <v>-0.0273112719143923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1162748</v>
      </c>
      <c r="D158" s="42" t="n">
        <v>1166833</v>
      </c>
      <c r="E158" s="42" t="n">
        <v>1158827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0.00383664392076688</v>
      </c>
      <c r="I158" s="45" t="n">
        <f aca="false">IF(AND(ISNUMBER($G158),$G158&gt;=MA_SHORT),AVERAGE(INDEX($C$5:$C158,155-MA_SHORT):$C158),"")</f>
        <v>1159341.55</v>
      </c>
      <c r="J158" s="45" t="n">
        <f aca="false">IF(AND(ISNUMBER($G158),$G158&gt;=MA_MED),AVERAGE(INDEX($C$5:$C158,155-MA_MED):$C158),"")</f>
        <v>1121298.96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0.13594752922518</v>
      </c>
      <c r="M158" s="45" t="n">
        <f aca="false">IF(AND(ISNUMBER($G158),$G158&gt;=60),MAX(INDEX($D$5:$D158,155-60):$D158),"")</f>
        <v>1190827</v>
      </c>
      <c r="N158" s="45" t="n">
        <f aca="false">IF(AND(ISNUMBER($G158),$G158&gt;=60),MIN(INDEX($E$5:$E158,155-60):$E158),"")</f>
        <v>1054813</v>
      </c>
      <c r="O158" s="46" t="n">
        <f aca="false">IF(OR(NOT(ISNUMBER($C158)),NOT(ISNUMBER($M158)),$M158=0),"",$C158/$M158-1)</f>
        <v>-0.0235794116189841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1173253</v>
      </c>
      <c r="D159" s="42" t="n">
        <v>1176674</v>
      </c>
      <c r="E159" s="42" t="n">
        <v>1170859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0.00903463175167785</v>
      </c>
      <c r="I159" s="45" t="n">
        <f aca="false">IF(AND(ISNUMBER($G159),$G159&gt;=MA_SHORT),AVERAGE(INDEX($C$5:$C159,156-MA_SHORT):$C159),"")</f>
        <v>1162101.65</v>
      </c>
      <c r="J159" s="45" t="n">
        <f aca="false">IF(AND(ISNUMBER($G159),$G159&gt;=MA_MED),AVERAGE(INDEX($C$5:$C159,156-MA_MED):$C159),"")</f>
        <v>1122935.92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0.133483725509327</v>
      </c>
      <c r="M159" s="45" t="n">
        <f aca="false">IF(AND(ISNUMBER($G159),$G159&gt;=60),MAX(INDEX($D$5:$D159,156-60):$D159),"")</f>
        <v>1190827</v>
      </c>
      <c r="N159" s="45" t="n">
        <f aca="false">IF(AND(ISNUMBER($G159),$G159&gt;=60),MIN(INDEX($E$5:$E159,156-60):$E159),"")</f>
        <v>1054813</v>
      </c>
      <c r="O159" s="46" t="n">
        <f aca="false">IF(OR(NOT(ISNUMBER($C159)),NOT(ISNUMBER($M159)),$M159=0),"",$C159/$M159-1)</f>
        <v>-0.014757811168205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1185924</v>
      </c>
      <c r="D160" s="42" t="n">
        <v>1188837</v>
      </c>
      <c r="E160" s="42" t="n">
        <v>1181985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0.0107998871513646</v>
      </c>
      <c r="I160" s="45" t="n">
        <f aca="false">IF(AND(ISNUMBER($G160),$G160&gt;=MA_SHORT),AVERAGE(INDEX($C$5:$C160,157-MA_SHORT):$C160),"")</f>
        <v>1164949.7</v>
      </c>
      <c r="J160" s="45" t="n">
        <f aca="false">IF(AND(ISNUMBER($G160),$G160&gt;=MA_MED),AVERAGE(INDEX($C$5:$C160,157-MA_MED):$C160),"")</f>
        <v>1125029.34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0.134265784839838</v>
      </c>
      <c r="M160" s="45" t="n">
        <f aca="false">IF(AND(ISNUMBER($G160),$G160&gt;=60),MAX(INDEX($D$5:$D160,157-60):$D160),"")</f>
        <v>1190827</v>
      </c>
      <c r="N160" s="45" t="n">
        <f aca="false">IF(AND(ISNUMBER($G160),$G160&gt;=60),MIN(INDEX($E$5:$E160,157-60):$E160),"")</f>
        <v>1054813</v>
      </c>
      <c r="O160" s="46" t="n">
        <f aca="false">IF(OR(NOT(ISNUMBER($C160)),NOT(ISNUMBER($M160)),$M160=0),"",$C160/$M160-1)</f>
        <v>-0.00411730671205812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1174615</v>
      </c>
      <c r="D161" s="42" t="n">
        <v>1178748</v>
      </c>
      <c r="E161" s="42" t="n">
        <v>1172342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-0.00953602423089506</v>
      </c>
      <c r="I161" s="45" t="n">
        <f aca="false">IF(AND(ISNUMBER($G161),$G161&gt;=MA_SHORT),AVERAGE(INDEX($C$5:$C161,158-MA_SHORT):$C161),"")</f>
        <v>1166914.8</v>
      </c>
      <c r="J161" s="45" t="n">
        <f aca="false">IF(AND(ISNUMBER($G161),$G161&gt;=MA_MED),AVERAGE(INDEX($C$5:$C161,158-MA_MED):$C161),"")</f>
        <v>1126935.56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0.140074465589161</v>
      </c>
      <c r="M161" s="45" t="n">
        <f aca="false">IF(AND(ISNUMBER($G161),$G161&gt;=60),MAX(INDEX($D$5:$D161,158-60):$D161),"")</f>
        <v>1190827</v>
      </c>
      <c r="N161" s="45" t="n">
        <f aca="false">IF(AND(ISNUMBER($G161),$G161&gt;=60),MIN(INDEX($E$5:$E161,158-60):$E161),"")</f>
        <v>1054813</v>
      </c>
      <c r="O161" s="46" t="n">
        <f aca="false">IF(OR(NOT(ISNUMBER($C161)),NOT(ISNUMBER($M161)),$M161=0),"",$C161/$M161-1)</f>
        <v>-0.0136140682063809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1167145</v>
      </c>
      <c r="D162" s="42" t="n">
        <v>1169471</v>
      </c>
      <c r="E162" s="42" t="n">
        <v>1163079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-0.00635953056959093</v>
      </c>
      <c r="I162" s="45" t="n">
        <f aca="false">IF(AND(ISNUMBER($G162),$G162&gt;=MA_SHORT),AVERAGE(INDEX($C$5:$C162,159-MA_SHORT):$C162),"")</f>
        <v>1169056</v>
      </c>
      <c r="J162" s="45" t="n">
        <f aca="false">IF(AND(ISNUMBER($G162),$G162&gt;=MA_MED),AVERAGE(INDEX($C$5:$C162,159-MA_MED):$C162),"")</f>
        <v>1128915.84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0.137030392731188</v>
      </c>
      <c r="M162" s="45" t="n">
        <f aca="false">IF(AND(ISNUMBER($G162),$G162&gt;=60),MAX(INDEX($D$5:$D162,159-60):$D162),"")</f>
        <v>1190827</v>
      </c>
      <c r="N162" s="45" t="n">
        <f aca="false">IF(AND(ISNUMBER($G162),$G162&gt;=60),MIN(INDEX($E$5:$E162,159-60):$E162),"")</f>
        <v>1054813</v>
      </c>
      <c r="O162" s="46" t="n">
        <f aca="false">IF(OR(NOT(ISNUMBER($C162)),NOT(ISNUMBER($M162)),$M162=0),"",$C162/$M162-1)</f>
        <v>-0.0198870196930369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1179095</v>
      </c>
      <c r="D163" s="42" t="n">
        <v>1185297</v>
      </c>
      <c r="E163" s="42" t="n">
        <v>1170499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0.0102386592925472</v>
      </c>
      <c r="I163" s="45" t="n">
        <f aca="false">IF(AND(ISNUMBER($G163),$G163&gt;=MA_SHORT),AVERAGE(INDEX($C$5:$C163,160-MA_SHORT):$C163),"")</f>
        <v>1171046.2</v>
      </c>
      <c r="J163" s="45" t="n">
        <f aca="false">IF(AND(ISNUMBER($G163),$G163&gt;=MA_MED),AVERAGE(INDEX($C$5:$C163,160-MA_MED):$C163),"")</f>
        <v>1131247.14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0.134120402534002</v>
      </c>
      <c r="M163" s="45" t="n">
        <f aca="false">IF(AND(ISNUMBER($G163),$G163&gt;=60),MAX(INDEX($D$5:$D163,160-60):$D163),"")</f>
        <v>1190827</v>
      </c>
      <c r="N163" s="45" t="n">
        <f aca="false">IF(AND(ISNUMBER($G163),$G163&gt;=60),MIN(INDEX($E$5:$E163,160-60):$E163),"")</f>
        <v>1054813</v>
      </c>
      <c r="O163" s="46" t="n">
        <f aca="false">IF(OR(NOT(ISNUMBER($C163)),NOT(ISNUMBER($M163)),$M163=0),"",$C163/$M163-1)</f>
        <v>-0.00985197681947081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1172645</v>
      </c>
      <c r="D164" s="42" t="n">
        <v>1176465</v>
      </c>
      <c r="E164" s="42" t="n">
        <v>1171763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-0.00547029713466685</v>
      </c>
      <c r="I164" s="45" t="n">
        <f aca="false">IF(AND(ISNUMBER($G164),$G164&gt;=MA_SHORT),AVERAGE(INDEX($C$5:$C164,161-MA_SHORT):$C164),"")</f>
        <v>1172080.2</v>
      </c>
      <c r="J164" s="45" t="n">
        <f aca="false">IF(AND(ISNUMBER($G164),$G164&gt;=MA_MED),AVERAGE(INDEX($C$5:$C164,161-MA_MED):$C164),"")</f>
        <v>1133419.7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0.131723965807538</v>
      </c>
      <c r="M164" s="45" t="n">
        <f aca="false">IF(AND(ISNUMBER($G164),$G164&gt;=60),MAX(INDEX($D$5:$D164,161-60):$D164),"")</f>
        <v>1190827</v>
      </c>
      <c r="N164" s="45" t="n">
        <f aca="false">IF(AND(ISNUMBER($G164),$G164&gt;=60),MIN(INDEX($E$5:$E164,161-60):$E164),"")</f>
        <v>1054813</v>
      </c>
      <c r="O164" s="46" t="n">
        <f aca="false">IF(OR(NOT(ISNUMBER($C164)),NOT(ISNUMBER($M164)),$M164=0),"",$C164/$M164-1)</f>
        <v>-0.0152683807135713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1185370</v>
      </c>
      <c r="D165" s="42" t="n">
        <v>1186298</v>
      </c>
      <c r="E165" s="42" t="n">
        <v>1182968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0.0108515364837611</v>
      </c>
      <c r="I165" s="45" t="n">
        <f aca="false">IF(AND(ISNUMBER($G165),$G165&gt;=MA_SHORT),AVERAGE(INDEX($C$5:$C165,162-MA_SHORT):$C165),"")</f>
        <v>1173193.5</v>
      </c>
      <c r="J165" s="45" t="n">
        <f aca="false">IF(AND(ISNUMBER($G165),$G165&gt;=MA_MED),AVERAGE(INDEX($C$5:$C165,162-MA_MED):$C165),"")</f>
        <v>1135904.84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0.132796517976385</v>
      </c>
      <c r="M165" s="45" t="n">
        <f aca="false">IF(AND(ISNUMBER($G165),$G165&gt;=60),MAX(INDEX($D$5:$D165,162-60):$D165),"")</f>
        <v>1190827</v>
      </c>
      <c r="N165" s="45" t="n">
        <f aca="false">IF(AND(ISNUMBER($G165),$G165&gt;=60),MIN(INDEX($E$5:$E165,162-60):$E165),"")</f>
        <v>1054813</v>
      </c>
      <c r="O165" s="46" t="n">
        <f aca="false">IF(OR(NOT(ISNUMBER($C165)),NOT(ISNUMBER($M165)),$M165=0),"",$C165/$M165-1)</f>
        <v>-0.00458252962017158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1205658</v>
      </c>
      <c r="D166" s="42" t="n">
        <v>1212788</v>
      </c>
      <c r="E166" s="42" t="n">
        <v>1201150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0.0171153310780601</v>
      </c>
      <c r="I166" s="45" t="n">
        <f aca="false">IF(AND(ISNUMBER($G166),$G166&gt;=MA_SHORT),AVERAGE(INDEX($C$5:$C166,163-MA_SHORT):$C166),"")</f>
        <v>1175483.4</v>
      </c>
      <c r="J166" s="45" t="n">
        <f aca="false">IF(AND(ISNUMBER($G166),$G166&gt;=MA_MED),AVERAGE(INDEX($C$5:$C166,163-MA_MED):$C166),"")</f>
        <v>1138804.94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0.143359821392177</v>
      </c>
      <c r="M166" s="45" t="n">
        <f aca="false">IF(AND(ISNUMBER($G166),$G166&gt;=60),MAX(INDEX($D$5:$D166,163-60):$D166),"")</f>
        <v>1212788</v>
      </c>
      <c r="N166" s="45" t="n">
        <f aca="false">IF(AND(ISNUMBER($G166),$G166&gt;=60),MIN(INDEX($E$5:$E166,163-60):$E166),"")</f>
        <v>1054813</v>
      </c>
      <c r="O166" s="46" t="n">
        <f aca="false">IF(OR(NOT(ISNUMBER($C166)),NOT(ISNUMBER($M166)),$M166=0),"",$C166/$M166-1)</f>
        <v>-0.00587901595332407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1198010</v>
      </c>
      <c r="D167" s="42" t="n">
        <v>1203931</v>
      </c>
      <c r="E167" s="42" t="n">
        <v>1197724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-0.00634342408875488</v>
      </c>
      <c r="I167" s="45" t="n">
        <f aca="false">IF(AND(ISNUMBER($G167),$G167&gt;=MA_SHORT),AVERAGE(INDEX($C$5:$C167,164-MA_SHORT):$C167),"")</f>
        <v>1176617.4</v>
      </c>
      <c r="J167" s="45" t="n">
        <f aca="false">IF(AND(ISNUMBER($G167),$G167&gt;=MA_MED),AVERAGE(INDEX($C$5:$C167,164-MA_MED):$C167),"")</f>
        <v>1141568.9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0.139753943713997</v>
      </c>
      <c r="M167" s="45" t="n">
        <f aca="false">IF(AND(ISNUMBER($G167),$G167&gt;=60),MAX(INDEX($D$5:$D167,164-60):$D167),"")</f>
        <v>1212788</v>
      </c>
      <c r="N167" s="45" t="n">
        <f aca="false">IF(AND(ISNUMBER($G167),$G167&gt;=60),MIN(INDEX($E$5:$E167,164-60):$E167),"")</f>
        <v>1054813</v>
      </c>
      <c r="O167" s="46" t="n">
        <f aca="false">IF(OR(NOT(ISNUMBER($C167)),NOT(ISNUMBER($M167)),$M167=0),"",$C167/$M167-1)</f>
        <v>-0.0121851469506624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1198832</v>
      </c>
      <c r="D168" s="42" t="n">
        <v>1206708</v>
      </c>
      <c r="E168" s="42" t="n">
        <v>1197270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0.00068613784526006</v>
      </c>
      <c r="I168" s="45" t="n">
        <f aca="false">IF(AND(ISNUMBER($G168),$G168&gt;=MA_SHORT),AVERAGE(INDEX($C$5:$C168,165-MA_SHORT):$C168),"")</f>
        <v>1178075.55</v>
      </c>
      <c r="J168" s="45" t="n">
        <f aca="false">IF(AND(ISNUMBER($G168),$G168&gt;=MA_MED),AVERAGE(INDEX($C$5:$C168,165-MA_MED):$C168),"")</f>
        <v>1144338.02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0.138121432588181</v>
      </c>
      <c r="M168" s="45" t="n">
        <f aca="false">IF(AND(ISNUMBER($G168),$G168&gt;=60),MAX(INDEX($D$5:$D168,165-60):$D168),"")</f>
        <v>1212788</v>
      </c>
      <c r="N168" s="45" t="n">
        <f aca="false">IF(AND(ISNUMBER($G168),$G168&gt;=60),MIN(INDEX($E$5:$E168,165-60):$E168),"")</f>
        <v>1054813</v>
      </c>
      <c r="O168" s="46" t="n">
        <f aca="false">IF(OR(NOT(ISNUMBER($C168)),NOT(ISNUMBER($M168)),$M168=0),"",$C168/$M168-1)</f>
        <v>-0.0115073697958753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1197402</v>
      </c>
      <c r="D169" s="42" t="n">
        <v>1200201</v>
      </c>
      <c r="E169" s="42" t="n">
        <v>1190248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-0.00119282768561402</v>
      </c>
      <c r="I169" s="45" t="n">
        <f aca="false">IF(AND(ISNUMBER($G169),$G169&gt;=MA_SHORT),AVERAGE(INDEX($C$5:$C169,166-MA_SHORT):$C169),"")</f>
        <v>1180031.65</v>
      </c>
      <c r="J169" s="45" t="n">
        <f aca="false">IF(AND(ISNUMBER($G169),$G169&gt;=MA_MED),AVERAGE(INDEX($C$5:$C169,166-MA_MED):$C169),"")</f>
        <v>1146889.88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0.132463821626046</v>
      </c>
      <c r="M169" s="45" t="n">
        <f aca="false">IF(AND(ISNUMBER($G169),$G169&gt;=60),MAX(INDEX($D$5:$D169,166-60):$D169),"")</f>
        <v>1212788</v>
      </c>
      <c r="N169" s="45" t="n">
        <f aca="false">IF(AND(ISNUMBER($G169),$G169&gt;=60),MIN(INDEX($E$5:$E169,166-60):$E169),"")</f>
        <v>1054813</v>
      </c>
      <c r="O169" s="46" t="n">
        <f aca="false">IF(OR(NOT(ISNUMBER($C169)),NOT(ISNUMBER($M169)),$M169=0),"",$C169/$M169-1)</f>
        <v>-0.0126864711722081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1214490</v>
      </c>
      <c r="D170" s="42" t="n">
        <v>1219579</v>
      </c>
      <c r="E170" s="42" t="n">
        <v>1209750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0.0142708964909029</v>
      </c>
      <c r="I170" s="45" t="n">
        <f aca="false">IF(AND(ISNUMBER($G170),$G170&gt;=MA_SHORT),AVERAGE(INDEX($C$5:$C170,167-MA_SHORT):$C170),"")</f>
        <v>1182737.9</v>
      </c>
      <c r="J170" s="45" t="n">
        <f aca="false">IF(AND(ISNUMBER($G170),$G170&gt;=MA_MED),AVERAGE(INDEX($C$5:$C170,167-MA_MED):$C170),"")</f>
        <v>1149610.9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0.139589426592207</v>
      </c>
      <c r="M170" s="45" t="n">
        <f aca="false">IF(AND(ISNUMBER($G170),$G170&gt;=60),MAX(INDEX($D$5:$D170,167-60):$D170),"")</f>
        <v>1219579</v>
      </c>
      <c r="N170" s="45" t="n">
        <f aca="false">IF(AND(ISNUMBER($G170),$G170&gt;=60),MIN(INDEX($E$5:$E170,167-60):$E170),"")</f>
        <v>1054813</v>
      </c>
      <c r="O170" s="46" t="n">
        <f aca="false">IF(OR(NOT(ISNUMBER($C170)),NOT(ISNUMBER($M170)),$M170=0),"",$C170/$M170-1)</f>
        <v>-0.00417275141667739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1216442</v>
      </c>
      <c r="D171" s="42" t="n">
        <v>1219158</v>
      </c>
      <c r="E171" s="42" t="n">
        <v>1215719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0.00160725901407166</v>
      </c>
      <c r="I171" s="45" t="n">
        <f aca="false">IF(AND(ISNUMBER($G171),$G171&gt;=MA_SHORT),AVERAGE(INDEX($C$5:$C171,168-MA_SHORT):$C171),"")</f>
        <v>1184778.3</v>
      </c>
      <c r="J171" s="45" t="n">
        <f aca="false">IF(AND(ISNUMBER($G171),$G171&gt;=MA_MED),AVERAGE(INDEX($C$5:$C171,168-MA_MED):$C171),"")</f>
        <v>1152224.02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0.133756436071722</v>
      </c>
      <c r="M171" s="45" t="n">
        <f aca="false">IF(AND(ISNUMBER($G171),$G171&gt;=60),MAX(INDEX($D$5:$D171,168-60):$D171),"")</f>
        <v>1219579</v>
      </c>
      <c r="N171" s="45" t="n">
        <f aca="false">IF(AND(ISNUMBER($G171),$G171&gt;=60),MIN(INDEX($E$5:$E171,168-60):$E171),"")</f>
        <v>1054813</v>
      </c>
      <c r="O171" s="46" t="n">
        <f aca="false">IF(OR(NOT(ISNUMBER($C171)),NOT(ISNUMBER($M171)),$M171=0),"",$C171/$M171-1)</f>
        <v>-0.00257219909493356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1208005</v>
      </c>
      <c r="D172" s="42" t="n">
        <v>1209921</v>
      </c>
      <c r="E172" s="42" t="n">
        <v>1205610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-0.00693580129591054</v>
      </c>
      <c r="I172" s="45" t="n">
        <f aca="false">IF(AND(ISNUMBER($G172),$G172&gt;=MA_SHORT),AVERAGE(INDEX($C$5:$C172,169-MA_SHORT):$C172),"")</f>
        <v>1185786.25</v>
      </c>
      <c r="J172" s="45" t="n">
        <f aca="false">IF(AND(ISNUMBER($G172),$G172&gt;=MA_MED),AVERAGE(INDEX($C$5:$C172,169-MA_MED):$C172),"")</f>
        <v>1154684.74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0.133058519615811</v>
      </c>
      <c r="M172" s="45" t="n">
        <f aca="false">IF(AND(ISNUMBER($G172),$G172&gt;=60),MAX(INDEX($D$5:$D172,169-60):$D172),"")</f>
        <v>1219579</v>
      </c>
      <c r="N172" s="45" t="n">
        <f aca="false">IF(AND(ISNUMBER($G172),$G172&gt;=60),MIN(INDEX($E$5:$E172,169-60):$E172),"")</f>
        <v>1054813</v>
      </c>
      <c r="O172" s="46" t="n">
        <f aca="false">IF(OR(NOT(ISNUMBER($C172)),NOT(ISNUMBER($M172)),$M172=0),"",$C172/$M172-1)</f>
        <v>-0.00949016012902815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1204867</v>
      </c>
      <c r="D173" s="42" t="n">
        <v>1207891</v>
      </c>
      <c r="E173" s="42" t="n">
        <v>1203392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-0.00259767136725431</v>
      </c>
      <c r="I173" s="45" t="n">
        <f aca="false">IF(AND(ISNUMBER($G173),$G173&gt;=MA_SHORT),AVERAGE(INDEX($C$5:$C173,170-MA_SHORT):$C173),"")</f>
        <v>1186599.45</v>
      </c>
      <c r="J173" s="45" t="n">
        <f aca="false">IF(AND(ISNUMBER($G173),$G173&gt;=MA_MED),AVERAGE(INDEX($C$5:$C173,170-MA_MED):$C173),"")</f>
        <v>1157124.86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0.133613923246356</v>
      </c>
      <c r="M173" s="45" t="n">
        <f aca="false">IF(AND(ISNUMBER($G173),$G173&gt;=60),MAX(INDEX($D$5:$D173,170-60):$D173),"")</f>
        <v>1219579</v>
      </c>
      <c r="N173" s="45" t="n">
        <f aca="false">IF(AND(ISNUMBER($G173),$G173&gt;=60),MIN(INDEX($E$5:$E173,170-60):$E173),"")</f>
        <v>1054813</v>
      </c>
      <c r="O173" s="46" t="n">
        <f aca="false">IF(OR(NOT(ISNUMBER($C173)),NOT(ISNUMBER($M173)),$M173=0),"",$C173/$M173-1)</f>
        <v>-0.0120631791790445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1200578</v>
      </c>
      <c r="D174" s="42" t="n">
        <v>1202129</v>
      </c>
      <c r="E174" s="42" t="n">
        <v>1193896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-0.00355972899913437</v>
      </c>
      <c r="I174" s="45" t="n">
        <f aca="false">IF(AND(ISNUMBER($G174),$G174&gt;=MA_SHORT),AVERAGE(INDEX($C$5:$C174,171-MA_SHORT):$C174),"")</f>
        <v>1187285.75</v>
      </c>
      <c r="J174" s="45" t="n">
        <f aca="false">IF(AND(ISNUMBER($G174),$G174&gt;=MA_MED),AVERAGE(INDEX($C$5:$C174,171-MA_MED):$C174),"")</f>
        <v>1159312.76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0.134252456655746</v>
      </c>
      <c r="M174" s="45" t="n">
        <f aca="false">IF(AND(ISNUMBER($G174),$G174&gt;=60),MAX(INDEX($D$5:$D174,171-60):$D174),"")</f>
        <v>1219579</v>
      </c>
      <c r="N174" s="45" t="n">
        <f aca="false">IF(AND(ISNUMBER($G174),$G174&gt;=60),MIN(INDEX($E$5:$E174,171-60):$E174),"")</f>
        <v>1054813</v>
      </c>
      <c r="O174" s="46" t="n">
        <f aca="false">IF(OR(NOT(ISNUMBER($C174)),NOT(ISNUMBER($M174)),$M174=0),"",$C174/$M174-1)</f>
        <v>-0.0155799665294335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1184452</v>
      </c>
      <c r="D175" s="42" t="n">
        <v>1187109</v>
      </c>
      <c r="E175" s="42" t="n">
        <v>1179280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-0.0134318636523408</v>
      </c>
      <c r="I175" s="45" t="n">
        <f aca="false">IF(AND(ISNUMBER($G175),$G175&gt;=MA_SHORT),AVERAGE(INDEX($C$5:$C175,172-MA_SHORT):$C175),"")</f>
        <v>1187688.9</v>
      </c>
      <c r="J175" s="45" t="n">
        <f aca="false">IF(AND(ISNUMBER($G175),$G175&gt;=MA_MED),AVERAGE(INDEX($C$5:$C175,172-MA_MED):$C175),"")</f>
        <v>1161061.58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0.139308465774035</v>
      </c>
      <c r="M175" s="45" t="n">
        <f aca="false">IF(AND(ISNUMBER($G175),$G175&gt;=60),MAX(INDEX($D$5:$D175,172-60):$D175),"")</f>
        <v>1219579</v>
      </c>
      <c r="N175" s="45" t="n">
        <f aca="false">IF(AND(ISNUMBER($G175),$G175&gt;=60),MIN(INDEX($E$5:$E175,172-60):$E175),"")</f>
        <v>1054977</v>
      </c>
      <c r="O175" s="46" t="n">
        <f aca="false">IF(OR(NOT(ISNUMBER($C175)),NOT(ISNUMBER($M175)),$M175=0),"",$C175/$M175-1)</f>
        <v>-0.0288025621956429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1185359</v>
      </c>
      <c r="D176" s="42" t="n">
        <v>1188160</v>
      </c>
      <c r="E176" s="42" t="n">
        <v>1184822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0.000765754965165399</v>
      </c>
      <c r="I176" s="45" t="n">
        <f aca="false">IF(AND(ISNUMBER($G176),$G176&gt;=MA_SHORT),AVERAGE(INDEX($C$5:$C176,173-MA_SHORT):$C176),"")</f>
        <v>1188659.7</v>
      </c>
      <c r="J176" s="45" t="n">
        <f aca="false">IF(AND(ISNUMBER($G176),$G176&gt;=MA_MED),AVERAGE(INDEX($C$5:$C176,173-MA_MED):$C176),"")</f>
        <v>1162818.78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0.135068054434144</v>
      </c>
      <c r="M176" s="45" t="n">
        <f aca="false">IF(AND(ISNUMBER($G176),$G176&gt;=60),MAX(INDEX($D$5:$D176,173-60):$D176),"")</f>
        <v>1219579</v>
      </c>
      <c r="N176" s="45" t="n">
        <f aca="false">IF(AND(ISNUMBER($G176),$G176&gt;=60),MIN(INDEX($E$5:$E176,173-60):$E176),"")</f>
        <v>1054977</v>
      </c>
      <c r="O176" s="46" t="n">
        <f aca="false">IF(OR(NOT(ISNUMBER($C176)),NOT(ISNUMBER($M176)),$M176=0),"",$C176/$M176-1)</f>
        <v>-0.0280588629354884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1188687</v>
      </c>
      <c r="D177" s="42" t="n">
        <v>1193471</v>
      </c>
      <c r="E177" s="42" t="n">
        <v>1187815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0.00280758824963567</v>
      </c>
      <c r="I177" s="45" t="n">
        <f aca="false">IF(AND(ISNUMBER($G177),$G177&gt;=MA_SHORT),AVERAGE(INDEX($C$5:$C177,174-MA_SHORT):$C177),"")</f>
        <v>1190178.85</v>
      </c>
      <c r="J177" s="45" t="n">
        <f aca="false">IF(AND(ISNUMBER($G177),$G177&gt;=MA_MED),AVERAGE(INDEX($C$5:$C177,174-MA_MED):$C177),"")</f>
        <v>1164268.82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0.13239000000294</v>
      </c>
      <c r="M177" s="45" t="n">
        <f aca="false">IF(AND(ISNUMBER($G177),$G177&gt;=60),MAX(INDEX($D$5:$D177,174-60):$D177),"")</f>
        <v>1219579</v>
      </c>
      <c r="N177" s="45" t="n">
        <f aca="false">IF(AND(ISNUMBER($G177),$G177&gt;=60),MIN(INDEX($E$5:$E177,174-60):$E177),"")</f>
        <v>1054977</v>
      </c>
      <c r="O177" s="46" t="n">
        <f aca="false">IF(OR(NOT(ISNUMBER($C177)),NOT(ISNUMBER($M177)),$M177=0),"",$C177/$M177-1)</f>
        <v>-0.0253300524197284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1177857</v>
      </c>
      <c r="D178" s="42" t="n">
        <v>1179001</v>
      </c>
      <c r="E178" s="42" t="n">
        <v>1177480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-0.0091108929432222</v>
      </c>
      <c r="I178" s="45" t="n">
        <f aca="false">IF(AND(ISNUMBER($G178),$G178&gt;=MA_SHORT),AVERAGE(INDEX($C$5:$C178,175-MA_SHORT):$C178),"")</f>
        <v>1190934.3</v>
      </c>
      <c r="J178" s="45" t="n">
        <f aca="false">IF(AND(ISNUMBER($G178),$G178&gt;=MA_MED),AVERAGE(INDEX($C$5:$C178,175-MA_MED):$C178),"")</f>
        <v>1165824.1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0.136906822387131</v>
      </c>
      <c r="M178" s="45" t="n">
        <f aca="false">IF(AND(ISNUMBER($G178),$G178&gt;=60),MAX(INDEX($D$5:$D178,175-60):$D178),"")</f>
        <v>1219579</v>
      </c>
      <c r="N178" s="45" t="n">
        <f aca="false">IF(AND(ISNUMBER($G178),$G178&gt;=60),MIN(INDEX($E$5:$E178,175-60):$E178),"")</f>
        <v>1069211</v>
      </c>
      <c r="O178" s="46" t="n">
        <f aca="false">IF(OR(NOT(ISNUMBER($C178)),NOT(ISNUMBER($M178)),$M178=0),"",$C178/$M178-1)</f>
        <v>-0.0342101659671084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1183797</v>
      </c>
      <c r="D179" s="42" t="n">
        <v>1185652</v>
      </c>
      <c r="E179" s="42" t="n">
        <v>1180024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0.00504305700946728</v>
      </c>
      <c r="I179" s="45" t="n">
        <f aca="false">IF(AND(ISNUMBER($G179),$G179&gt;=MA_SHORT),AVERAGE(INDEX($C$5:$C179,176-MA_SHORT):$C179),"")</f>
        <v>1191461.5</v>
      </c>
      <c r="J179" s="45" t="n">
        <f aca="false">IF(AND(ISNUMBER($G179),$G179&gt;=MA_MED),AVERAGE(INDEX($C$5:$C179,176-MA_MED):$C179),"")</f>
        <v>1167380.56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0.134457525761741</v>
      </c>
      <c r="M179" s="45" t="n">
        <f aca="false">IF(AND(ISNUMBER($G179),$G179&gt;=60),MAX(INDEX($D$5:$D179,176-60):$D179),"")</f>
        <v>1219579</v>
      </c>
      <c r="N179" s="45" t="n">
        <f aca="false">IF(AND(ISNUMBER($G179),$G179&gt;=60),MIN(INDEX($E$5:$E179,176-60):$E179),"")</f>
        <v>1074997</v>
      </c>
      <c r="O179" s="46" t="n">
        <f aca="false">IF(OR(NOT(ISNUMBER($C179)),NOT(ISNUMBER($M179)),$M179=0),"",$C179/$M179-1)</f>
        <v>-0.0293396327749166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1183750</v>
      </c>
      <c r="D180" s="42" t="n">
        <v>1187293</v>
      </c>
      <c r="E180" s="42" t="n">
        <v>1177205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-3.97027530902871E-005</v>
      </c>
      <c r="I180" s="45" t="n">
        <f aca="false">IF(AND(ISNUMBER($G180),$G180&gt;=MA_SHORT),AVERAGE(INDEX($C$5:$C180,177-MA_SHORT):$C180),"")</f>
        <v>1191352.8</v>
      </c>
      <c r="J180" s="45" t="n">
        <f aca="false">IF(AND(ISNUMBER($G180),$G180&gt;=MA_MED),AVERAGE(INDEX($C$5:$C180,177-MA_MED):$C180),"")</f>
        <v>1168946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0.128972616057309</v>
      </c>
      <c r="M180" s="45" t="n">
        <f aca="false">IF(AND(ISNUMBER($G180),$G180&gt;=60),MAX(INDEX($D$5:$D180,177-60):$D180),"")</f>
        <v>1219579</v>
      </c>
      <c r="N180" s="45" t="n">
        <f aca="false">IF(AND(ISNUMBER($G180),$G180&gt;=60),MIN(INDEX($E$5:$E180,177-60):$E180),"")</f>
        <v>1082071</v>
      </c>
      <c r="O180" s="46" t="n">
        <f aca="false">IF(OR(NOT(ISNUMBER($C180)),NOT(ISNUMBER($M180)),$M180=0),"",$C180/$M180-1)</f>
        <v>-0.029378170663811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1176445</v>
      </c>
      <c r="D181" s="42" t="n">
        <v>1179228</v>
      </c>
      <c r="E181" s="42" t="n">
        <v>1175842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-0.00617106652587118</v>
      </c>
      <c r="I181" s="45" t="n">
        <f aca="false">IF(AND(ISNUMBER($G181),$G181&gt;=MA_SHORT),AVERAGE(INDEX($C$5:$C181,178-MA_SHORT):$C181),"")</f>
        <v>1191444.3</v>
      </c>
      <c r="J181" s="45" t="n">
        <f aca="false">IF(AND(ISNUMBER($G181),$G181&gt;=MA_MED),AVERAGE(INDEX($C$5:$C181,178-MA_MED):$C181),"")</f>
        <v>1170126.16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0.126294382352208</v>
      </c>
      <c r="M181" s="45" t="n">
        <f aca="false">IF(AND(ISNUMBER($G181),$G181&gt;=60),MAX(INDEX($D$5:$D181,178-60):$D181),"")</f>
        <v>1219579</v>
      </c>
      <c r="N181" s="45" t="n">
        <f aca="false">IF(AND(ISNUMBER($G181),$G181&gt;=60),MIN(INDEX($E$5:$E181,178-60):$E181),"")</f>
        <v>1082071</v>
      </c>
      <c r="O181" s="46" t="n">
        <f aca="false">IF(OR(NOT(ISNUMBER($C181)),NOT(ISNUMBER($M181)),$M181=0),"",$C181/$M181-1)</f>
        <v>-0.0353679425441075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1163667</v>
      </c>
      <c r="D182" s="42" t="n">
        <v>1164651</v>
      </c>
      <c r="E182" s="42" t="n">
        <v>1157185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-0.0108615362384132</v>
      </c>
      <c r="I182" s="45" t="n">
        <f aca="false">IF(AND(ISNUMBER($G182),$G182&gt;=MA_SHORT),AVERAGE(INDEX($C$5:$C182,179-MA_SHORT):$C182),"")</f>
        <v>1191270.4</v>
      </c>
      <c r="J182" s="45" t="n">
        <f aca="false">IF(AND(ISNUMBER($G182),$G182&gt;=MA_MED),AVERAGE(INDEX($C$5:$C182,179-MA_MED):$C182),"")</f>
        <v>1170848.54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0.130190402995545</v>
      </c>
      <c r="M182" s="45" t="n">
        <f aca="false">IF(AND(ISNUMBER($G182),$G182&gt;=60),MAX(INDEX($D$5:$D182,179-60):$D182),"")</f>
        <v>1219579</v>
      </c>
      <c r="N182" s="45" t="n">
        <f aca="false">IF(AND(ISNUMBER($G182),$G182&gt;=60),MIN(INDEX($E$5:$E182,179-60):$E182),"")</f>
        <v>1082071</v>
      </c>
      <c r="O182" s="46" t="n">
        <f aca="false">IF(OR(NOT(ISNUMBER($C182)),NOT(ISNUMBER($M182)),$M182=0),"",$C182/$M182-1)</f>
        <v>-0.0458453285928997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1162000</v>
      </c>
      <c r="D183" s="42" t="n">
        <v>1164743</v>
      </c>
      <c r="E183" s="42" t="n">
        <v>1156745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-0.00143254040889707</v>
      </c>
      <c r="I183" s="45" t="n">
        <f aca="false">IF(AND(ISNUMBER($G183),$G183&gt;=MA_SHORT),AVERAGE(INDEX($C$5:$C183,180-MA_SHORT):$C183),"")</f>
        <v>1190415.65</v>
      </c>
      <c r="J183" s="45" t="n">
        <f aca="false">IF(AND(ISNUMBER($G183),$G183&gt;=MA_MED),AVERAGE(INDEX($C$5:$C183,180-MA_MED):$C183),"")</f>
        <v>1171320.76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0.12450452781793</v>
      </c>
      <c r="M183" s="45" t="n">
        <f aca="false">IF(AND(ISNUMBER($G183),$G183&gt;=60),MAX(INDEX($D$5:$D183,180-60):$D183),"")</f>
        <v>1219579</v>
      </c>
      <c r="N183" s="45" t="n">
        <f aca="false">IF(AND(ISNUMBER($G183),$G183&gt;=60),MIN(INDEX($E$5:$E183,180-60):$E183),"")</f>
        <v>1090605</v>
      </c>
      <c r="O183" s="46" t="n">
        <f aca="false">IF(OR(NOT(ISNUMBER($C183)),NOT(ISNUMBER($M183)),$M183=0),"",$C183/$M183-1)</f>
        <v>-0.0472121937160283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1162379</v>
      </c>
      <c r="D184" s="42" t="n">
        <v>1165736</v>
      </c>
      <c r="E184" s="42" t="n">
        <v>1161524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0.00032616179001721</v>
      </c>
      <c r="I184" s="45" t="n">
        <f aca="false">IF(AND(ISNUMBER($G184),$G184&gt;=MA_SHORT),AVERAGE(INDEX($C$5:$C184,181-MA_SHORT):$C184),"")</f>
        <v>1189902.35</v>
      </c>
      <c r="J184" s="45" t="n">
        <f aca="false">IF(AND(ISNUMBER($G184),$G184&gt;=MA_MED),AVERAGE(INDEX($C$5:$C184,181-MA_MED):$C184),"")</f>
        <v>1171529.66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0.12328772230132</v>
      </c>
      <c r="M184" s="45" t="n">
        <f aca="false">IF(AND(ISNUMBER($G184),$G184&gt;=60),MAX(INDEX($D$5:$D184,181-60):$D184),"")</f>
        <v>1219579</v>
      </c>
      <c r="N184" s="45" t="n">
        <f aca="false">IF(AND(ISNUMBER($G184),$G184&gt;=60),MIN(INDEX($E$5:$E184,181-60):$E184),"")</f>
        <v>1094097</v>
      </c>
      <c r="O184" s="46" t="n">
        <f aca="false">IF(OR(NOT(ISNUMBER($C184)),NOT(ISNUMBER($M184)),$M184=0),"",$C184/$M184-1)</f>
        <v>-0.0469014307396241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1143543</v>
      </c>
      <c r="D185" s="42" t="n">
        <v>1145848</v>
      </c>
      <c r="E185" s="42" t="n">
        <v>1142172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-0.0162046974351739</v>
      </c>
      <c r="I185" s="45" t="n">
        <f aca="false">IF(AND(ISNUMBER($G185),$G185&gt;=MA_SHORT),AVERAGE(INDEX($C$5:$C185,182-MA_SHORT):$C185),"")</f>
        <v>1187811</v>
      </c>
      <c r="J185" s="45" t="n">
        <f aca="false">IF(AND(ISNUMBER($G185),$G185&gt;=MA_MED),AVERAGE(INDEX($C$5:$C185,182-MA_MED):$C185),"")</f>
        <v>1171779.9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0.127707932516441</v>
      </c>
      <c r="M185" s="45" t="n">
        <f aca="false">IF(AND(ISNUMBER($G185),$G185&gt;=60),MAX(INDEX($D$5:$D185,182-60):$D185),"")</f>
        <v>1219579</v>
      </c>
      <c r="N185" s="45" t="n">
        <f aca="false">IF(AND(ISNUMBER($G185),$G185&gt;=60),MIN(INDEX($E$5:$E185,182-60):$E185),"")</f>
        <v>1094155</v>
      </c>
      <c r="O185" s="46" t="n">
        <f aca="false">IF(OR(NOT(ISNUMBER($C185)),NOT(ISNUMBER($M185)),$M185=0),"",$C185/$M185-1)</f>
        <v>-0.0623461046803856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1142997</v>
      </c>
      <c r="D186" s="42" t="n">
        <v>1146273</v>
      </c>
      <c r="E186" s="42" t="n">
        <v>1140723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-0.000477463462239758</v>
      </c>
      <c r="I186" s="45" t="n">
        <f aca="false">IF(AND(ISNUMBER($G186),$G186&gt;=MA_SHORT),AVERAGE(INDEX($C$5:$C186,183-MA_SHORT):$C186),"")</f>
        <v>1184677.95</v>
      </c>
      <c r="J186" s="45" t="n">
        <f aca="false">IF(AND(ISNUMBER($G186),$G186&gt;=MA_MED),AVERAGE(INDEX($C$5:$C186,183-MA_MED):$C186),"")</f>
        <v>1171844.86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0.107403502935155</v>
      </c>
      <c r="M186" s="45" t="n">
        <f aca="false">IF(AND(ISNUMBER($G186),$G186&gt;=60),MAX(INDEX($D$5:$D186,183-60):$D186),"")</f>
        <v>1219579</v>
      </c>
      <c r="N186" s="45" t="n">
        <f aca="false">IF(AND(ISNUMBER($G186),$G186&gt;=60),MIN(INDEX($E$5:$E186,183-60):$E186),"")</f>
        <v>1099992</v>
      </c>
      <c r="O186" s="46" t="n">
        <f aca="false">IF(OR(NOT(ISNUMBER($C186)),NOT(ISNUMBER($M186)),$M186=0),"",$C186/$M186-1)</f>
        <v>-0.0627938001556275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1141894</v>
      </c>
      <c r="D187" s="42" t="n">
        <v>1142987</v>
      </c>
      <c r="E187" s="42" t="n">
        <v>1141577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-0.000965006907279742</v>
      </c>
      <c r="I187" s="45" t="n">
        <f aca="false">IF(AND(ISNUMBER($G187),$G187&gt;=MA_SHORT),AVERAGE(INDEX($C$5:$C187,184-MA_SHORT):$C187),"")</f>
        <v>1181872.15</v>
      </c>
      <c r="J187" s="45" t="n">
        <f aca="false">IF(AND(ISNUMBER($G187),$G187&gt;=MA_MED),AVERAGE(INDEX($C$5:$C187,184-MA_MED):$C187),"")</f>
        <v>1171861.42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0.106660895897833</v>
      </c>
      <c r="M187" s="45" t="n">
        <f aca="false">IF(AND(ISNUMBER($G187),$G187&gt;=60),MAX(INDEX($D$5:$D187,184-60):$D187),"")</f>
        <v>1219579</v>
      </c>
      <c r="N187" s="45" t="n">
        <f aca="false">IF(AND(ISNUMBER($G187),$G187&gt;=60),MIN(INDEX($E$5:$E187,184-60):$E187),"")</f>
        <v>1099992</v>
      </c>
      <c r="O187" s="46" t="n">
        <f aca="false">IF(OR(NOT(ISNUMBER($C187)),NOT(ISNUMBER($M187)),$M187=0),"",$C187/$M187-1)</f>
        <v>-0.0636982106120226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1119919</v>
      </c>
      <c r="D188" s="42" t="n">
        <v>1120172</v>
      </c>
      <c r="E188" s="42" t="n">
        <v>1116216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-0.0192443431702067</v>
      </c>
      <c r="I188" s="45" t="n">
        <f aca="false">IF(AND(ISNUMBER($G188),$G188&gt;=MA_SHORT),AVERAGE(INDEX($C$5:$C188,185-MA_SHORT):$C188),"")</f>
        <v>1177926.5</v>
      </c>
      <c r="J188" s="45" t="n">
        <f aca="false">IF(AND(ISNUMBER($G188),$G188&gt;=MA_MED),AVERAGE(INDEX($C$5:$C188,185-MA_MED):$C188),"")</f>
        <v>1171718.16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0.121118936374488</v>
      </c>
      <c r="M188" s="45" t="n">
        <f aca="false">IF(AND(ISNUMBER($G188),$G188&gt;=60),MAX(INDEX($D$5:$D188,185-60):$D188),"")</f>
        <v>1219579</v>
      </c>
      <c r="N188" s="45" t="n">
        <f aca="false">IF(AND(ISNUMBER($G188),$G188&gt;=60),MIN(INDEX($E$5:$E188,185-60):$E188),"")</f>
        <v>1104254</v>
      </c>
      <c r="O188" s="46" t="n">
        <f aca="false">IF(OR(NOT(ISNUMBER($C188)),NOT(ISNUMBER($M188)),$M188=0),"",$C188/$M188-1)</f>
        <v>-0.0817167235578835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1126343</v>
      </c>
      <c r="D189" s="42" t="n">
        <v>1128179</v>
      </c>
      <c r="E189" s="42" t="n">
        <v>1126082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0.0057361291307676</v>
      </c>
      <c r="I189" s="45" t="n">
        <f aca="false">IF(AND(ISNUMBER($G189),$G189&gt;=MA_SHORT),AVERAGE(INDEX($C$5:$C189,186-MA_SHORT):$C189),"")</f>
        <v>1174373.55</v>
      </c>
      <c r="J189" s="45" t="n">
        <f aca="false">IF(AND(ISNUMBER($G189),$G189&gt;=MA_MED),AVERAGE(INDEX($C$5:$C189,186-MA_MED):$C189),"")</f>
        <v>1171884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0.125088017666982</v>
      </c>
      <c r="M189" s="45" t="n">
        <f aca="false">IF(AND(ISNUMBER($G189),$G189&gt;=60),MAX(INDEX($D$5:$D189,186-60):$D189),"")</f>
        <v>1219579</v>
      </c>
      <c r="N189" s="45" t="n">
        <f aca="false">IF(AND(ISNUMBER($G189),$G189&gt;=60),MIN(INDEX($E$5:$E189,186-60):$E189),"")</f>
        <v>1104254</v>
      </c>
      <c r="O189" s="46" t="n">
        <f aca="false">IF(OR(NOT(ISNUMBER($C189)),NOT(ISNUMBER($M189)),$M189=0),"",$C189/$M189-1)</f>
        <v>-0.0764493321055872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1128649</v>
      </c>
      <c r="D190" s="42" t="n">
        <v>1130990</v>
      </c>
      <c r="E190" s="42" t="n">
        <v>1127171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0.00204733371628363</v>
      </c>
      <c r="I190" s="45" t="n">
        <f aca="false">IF(AND(ISNUMBER($G190),$G190&gt;=MA_SHORT),AVERAGE(INDEX($C$5:$C190,187-MA_SHORT):$C190),"")</f>
        <v>1170081.5</v>
      </c>
      <c r="J190" s="45" t="n">
        <f aca="false">IF(AND(ISNUMBER($G190),$G190&gt;=MA_MED),AVERAGE(INDEX($C$5:$C190,187-MA_MED):$C190),"")</f>
        <v>1171877.72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0.109660353347545</v>
      </c>
      <c r="M190" s="45" t="n">
        <f aca="false">IF(AND(ISNUMBER($G190),$G190&gt;=60),MAX(INDEX($D$5:$D190,187-60):$D190),"")</f>
        <v>1219579</v>
      </c>
      <c r="N190" s="45" t="n">
        <f aca="false">IF(AND(ISNUMBER($G190),$G190&gt;=60),MIN(INDEX($E$5:$E190,187-60):$E190),"")</f>
        <v>1115233</v>
      </c>
      <c r="O190" s="46" t="n">
        <f aca="false">IF(OR(NOT(ISNUMBER($C190)),NOT(ISNUMBER($M190)),$M190=0),"",$C190/$M190-1)</f>
        <v>-0.0745585156845108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1138970</v>
      </c>
      <c r="D191" s="42" t="n">
        <v>1146911</v>
      </c>
      <c r="E191" s="42" t="n">
        <v>1134901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0.00914456132951869</v>
      </c>
      <c r="I191" s="45" t="n">
        <f aca="false">IF(AND(ISNUMBER($G191),$G191&gt;=MA_SHORT),AVERAGE(INDEX($C$5:$C191,188-MA_SHORT):$C191),"")</f>
        <v>1166207.9</v>
      </c>
      <c r="J191" s="45" t="n">
        <f aca="false">IF(AND(ISNUMBER($G191),$G191&gt;=MA_MED),AVERAGE(INDEX($C$5:$C191,188-MA_MED):$C191),"")</f>
        <v>1171950.86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0.117219127594677</v>
      </c>
      <c r="M191" s="45" t="n">
        <f aca="false">IF(AND(ISNUMBER($G191),$G191&gt;=60),MAX(INDEX($D$5:$D191,188-60):$D191),"")</f>
        <v>1219579</v>
      </c>
      <c r="N191" s="45" t="n">
        <f aca="false">IF(AND(ISNUMBER($G191),$G191&gt;=60),MIN(INDEX($E$5:$E191,188-60):$E191),"")</f>
        <v>1116216</v>
      </c>
      <c r="O191" s="46" t="n">
        <f aca="false">IF(OR(NOT(ISNUMBER($C191)),NOT(ISNUMBER($M191)),$M191=0),"",$C191/$M191-1)</f>
        <v>-0.066095759274307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1144080</v>
      </c>
      <c r="D192" s="42" t="n">
        <v>1151647</v>
      </c>
      <c r="E192" s="42" t="n">
        <v>1141472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0.00448650974125742</v>
      </c>
      <c r="I192" s="45" t="n">
        <f aca="false">IF(AND(ISNUMBER($G192),$G192&gt;=MA_SHORT),AVERAGE(INDEX($C$5:$C192,189-MA_SHORT):$C192),"")</f>
        <v>1163011.65</v>
      </c>
      <c r="J192" s="45" t="n">
        <f aca="false">IF(AND(ISNUMBER($G192),$G192&gt;=MA_MED),AVERAGE(INDEX($C$5:$C192,189-MA_MED):$C192),"")</f>
        <v>1172346.04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0.119395172261724</v>
      </c>
      <c r="M192" s="45" t="n">
        <f aca="false">IF(AND(ISNUMBER($G192),$G192&gt;=60),MAX(INDEX($D$5:$D192,189-60):$D192),"")</f>
        <v>1219579</v>
      </c>
      <c r="N192" s="45" t="n">
        <f aca="false">IF(AND(ISNUMBER($G192),$G192&gt;=60),MIN(INDEX($E$5:$E192,189-60):$E192),"")</f>
        <v>1116216</v>
      </c>
      <c r="O192" s="46" t="n">
        <f aca="false">IF(OR(NOT(ISNUMBER($C192)),NOT(ISNUMBER($M192)),$M192=0),"",$C192/$M192-1)</f>
        <v>-0.0619057888008895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1154422</v>
      </c>
      <c r="D193" s="42" t="n">
        <v>1163824</v>
      </c>
      <c r="E193" s="42" t="n">
        <v>1153390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0.00903957765191255</v>
      </c>
      <c r="I193" s="45" t="n">
        <f aca="false">IF(AND(ISNUMBER($G193),$G193&gt;=MA_SHORT),AVERAGE(INDEX($C$5:$C193,190-MA_SHORT):$C193),"")</f>
        <v>1160489.4</v>
      </c>
      <c r="J193" s="45" t="n">
        <f aca="false">IF(AND(ISNUMBER($G193),$G193&gt;=MA_MED),AVERAGE(INDEX($C$5:$C193,190-MA_MED):$C193),"")</f>
        <v>1172648.66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0.126257557281232</v>
      </c>
      <c r="M193" s="45" t="n">
        <f aca="false">IF(AND(ISNUMBER($G193),$G193&gt;=60),MAX(INDEX($D$5:$D193,190-60):$D193),"")</f>
        <v>1219579</v>
      </c>
      <c r="N193" s="45" t="n">
        <f aca="false">IF(AND(ISNUMBER($G193),$G193&gt;=60),MIN(INDEX($E$5:$E193,190-60):$E193),"")</f>
        <v>1116216</v>
      </c>
      <c r="O193" s="46" t="n">
        <f aca="false">IF(OR(NOT(ISNUMBER($C193)),NOT(ISNUMBER($M193)),$M193=0),"",$C193/$M193-1)</f>
        <v>-0.0534258133339456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1162819</v>
      </c>
      <c r="D194" s="42" t="n">
        <v>1163395</v>
      </c>
      <c r="E194" s="42" t="n">
        <v>1160353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0.00727376990390005</v>
      </c>
      <c r="I194" s="45" t="n">
        <f aca="false">IF(AND(ISNUMBER($G194),$G194&gt;=MA_SHORT),AVERAGE(INDEX($C$5:$C194,191-MA_SHORT):$C194),"")</f>
        <v>1158601.45</v>
      </c>
      <c r="J194" s="45" t="n">
        <f aca="false">IF(AND(ISNUMBER($G194),$G194&gt;=MA_MED),AVERAGE(INDEX($C$5:$C194,191-MA_MED):$C194),"")</f>
        <v>1172865.74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0.13027770933253</v>
      </c>
      <c r="M194" s="45" t="n">
        <f aca="false">IF(AND(ISNUMBER($G194),$G194&gt;=60),MAX(INDEX($D$5:$D194,191-60):$D194),"")</f>
        <v>1219579</v>
      </c>
      <c r="N194" s="45" t="n">
        <f aca="false">IF(AND(ISNUMBER($G194),$G194&gt;=60),MIN(INDEX($E$5:$E194,191-60):$E194),"")</f>
        <v>1116216</v>
      </c>
      <c r="O194" s="46" t="n">
        <f aca="false">IF(OR(NOT(ISNUMBER($C194)),NOT(ISNUMBER($M194)),$M194=0),"",$C194/$M194-1)</f>
        <v>-0.0465406505031655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1180253</v>
      </c>
      <c r="D195" s="42" t="n">
        <v>1184115</v>
      </c>
      <c r="E195" s="42" t="n">
        <v>1179598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0.0149928750734207</v>
      </c>
      <c r="I195" s="45" t="n">
        <f aca="false">IF(AND(ISNUMBER($G195),$G195&gt;=MA_SHORT),AVERAGE(INDEX($C$5:$C195,192-MA_SHORT):$C195),"")</f>
        <v>1158391.5</v>
      </c>
      <c r="J195" s="45" t="n">
        <f aca="false">IF(AND(ISNUMBER($G195),$G195&gt;=MA_MED),AVERAGE(INDEX($C$5:$C195,192-MA_MED):$C195),"")</f>
        <v>1173208.72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0.134794666449466</v>
      </c>
      <c r="M195" s="45" t="n">
        <f aca="false">IF(AND(ISNUMBER($G195),$G195&gt;=60),MAX(INDEX($D$5:$D195,192-60):$D195),"")</f>
        <v>1219579</v>
      </c>
      <c r="N195" s="45" t="n">
        <f aca="false">IF(AND(ISNUMBER($G195),$G195&gt;=60),MIN(INDEX($E$5:$E195,192-60):$E195),"")</f>
        <v>1116216</v>
      </c>
      <c r="O195" s="46" t="n">
        <f aca="false">IF(OR(NOT(ISNUMBER($C195)),NOT(ISNUMBER($M195)),$M195=0),"",$C195/$M195-1)</f>
        <v>-0.0322455535885744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1185863</v>
      </c>
      <c r="D196" s="42" t="n">
        <v>1189883</v>
      </c>
      <c r="E196" s="42" t="n">
        <v>1185188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0.00475321816593555</v>
      </c>
      <c r="I196" s="45" t="n">
        <f aca="false">IF(AND(ISNUMBER($G196),$G196&gt;=MA_SHORT),AVERAGE(INDEX($C$5:$C196,193-MA_SHORT):$C196),"")</f>
        <v>1158416.7</v>
      </c>
      <c r="J196" s="45" t="n">
        <f aca="false">IF(AND(ISNUMBER($G196),$G196&gt;=MA_MED),AVERAGE(INDEX($C$5:$C196,193-MA_MED):$C196),"")</f>
        <v>1173728.78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0.135859281000445</v>
      </c>
      <c r="M196" s="45" t="n">
        <f aca="false">IF(AND(ISNUMBER($G196),$G196&gt;=60),MAX(INDEX($D$5:$D196,193-60):$D196),"")</f>
        <v>1219579</v>
      </c>
      <c r="N196" s="45" t="n">
        <f aca="false">IF(AND(ISNUMBER($G196),$G196&gt;=60),MIN(INDEX($E$5:$E196,193-60):$E196),"")</f>
        <v>1116216</v>
      </c>
      <c r="O196" s="46" t="n">
        <f aca="false">IF(OR(NOT(ISNUMBER($C196)),NOT(ISNUMBER($M196)),$M196=0),"",$C196/$M196-1)</f>
        <v>-0.0276456055737266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1182423</v>
      </c>
      <c r="D197" s="42" t="n">
        <v>1186820</v>
      </c>
      <c r="E197" s="42" t="n">
        <v>1179614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-0.00290084099090704</v>
      </c>
      <c r="I197" s="45" t="n">
        <f aca="false">IF(AND(ISNUMBER($G197),$G197&gt;=MA_SHORT),AVERAGE(INDEX($C$5:$C197,194-MA_SHORT):$C197),"")</f>
        <v>1158103.5</v>
      </c>
      <c r="J197" s="45" t="n">
        <f aca="false">IF(AND(ISNUMBER($G197),$G197&gt;=MA_MED),AVERAGE(INDEX($C$5:$C197,194-MA_MED):$C197),"")</f>
        <v>1173870.64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0.135838199099469</v>
      </c>
      <c r="M197" s="45" t="n">
        <f aca="false">IF(AND(ISNUMBER($G197),$G197&gt;=60),MAX(INDEX($D$5:$D197,194-60):$D197),"")</f>
        <v>1219579</v>
      </c>
      <c r="N197" s="45" t="n">
        <f aca="false">IF(AND(ISNUMBER($G197),$G197&gt;=60),MIN(INDEX($E$5:$E197,194-60):$E197),"")</f>
        <v>1116216</v>
      </c>
      <c r="O197" s="46" t="n">
        <f aca="false">IF(OR(NOT(ISNUMBER($C197)),NOT(ISNUMBER($M197)),$M197=0),"",$C197/$M197-1)</f>
        <v>-0.030466251058767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1184801</v>
      </c>
      <c r="D198" s="42" t="n">
        <v>1189213</v>
      </c>
      <c r="E198" s="42" t="n">
        <v>1181149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0.00201112461445696</v>
      </c>
      <c r="I198" s="45" t="n">
        <f aca="false">IF(AND(ISNUMBER($G198),$G198&gt;=MA_SHORT),AVERAGE(INDEX($C$5:$C198,195-MA_SHORT):$C198),"")</f>
        <v>1158450.7</v>
      </c>
      <c r="J198" s="45" t="n">
        <f aca="false">IF(AND(ISNUMBER($G198),$G198&gt;=MA_MED),AVERAGE(INDEX($C$5:$C198,195-MA_MED):$C198),"")</f>
        <v>1174173.28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0.131983005734623</v>
      </c>
      <c r="M198" s="45" t="n">
        <f aca="false">IF(AND(ISNUMBER($G198),$G198&gt;=60),MAX(INDEX($D$5:$D198,195-60):$D198),"")</f>
        <v>1219579</v>
      </c>
      <c r="N198" s="45" t="n">
        <f aca="false">IF(AND(ISNUMBER($G198),$G198&gt;=60),MIN(INDEX($E$5:$E198,195-60):$E198),"")</f>
        <v>1116216</v>
      </c>
      <c r="O198" s="46" t="n">
        <f aca="false">IF(OR(NOT(ISNUMBER($C198)),NOT(ISNUMBER($M198)),$M198=0),"",$C198/$M198-1)</f>
        <v>-0.0285163978717246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1184412</v>
      </c>
      <c r="D199" s="42" t="n">
        <v>1185070</v>
      </c>
      <c r="E199" s="42" t="n">
        <v>1182913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-0.000328325178658662</v>
      </c>
      <c r="I199" s="45" t="n">
        <f aca="false">IF(AND(ISNUMBER($G199),$G199&gt;=MA_SHORT),AVERAGE(INDEX($C$5:$C199,196-MA_SHORT):$C199),"")</f>
        <v>1158481.45</v>
      </c>
      <c r="J199" s="45" t="n">
        <f aca="false">IF(AND(ISNUMBER($G199),$G199&gt;=MA_MED),AVERAGE(INDEX($C$5:$C199,196-MA_MED):$C199),"")</f>
        <v>1174695.92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0.130842553921252</v>
      </c>
      <c r="M199" s="45" t="n">
        <f aca="false">IF(AND(ISNUMBER($G199),$G199&gt;=60),MAX(INDEX($D$5:$D199,196-60):$D199),"")</f>
        <v>1219579</v>
      </c>
      <c r="N199" s="45" t="n">
        <f aca="false">IF(AND(ISNUMBER($G199),$G199&gt;=60),MIN(INDEX($E$5:$E199,196-60):$E199),"")</f>
        <v>1116216</v>
      </c>
      <c r="O199" s="46" t="n">
        <f aca="false">IF(OR(NOT(ISNUMBER($C199)),NOT(ISNUMBER($M199)),$M199=0),"",$C199/$M199-1)</f>
        <v>-0.0288353603989574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1168548</v>
      </c>
      <c r="D200" s="42" t="n">
        <v>1171487</v>
      </c>
      <c r="E200" s="42" t="n">
        <v>1165742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-0.0133939879028582</v>
      </c>
      <c r="I200" s="45" t="n">
        <f aca="false">IF(AND(ISNUMBER($G200),$G200&gt;=MA_SHORT),AVERAGE(INDEX($C$5:$C200,197-MA_SHORT):$C200),"")</f>
        <v>1157721.35</v>
      </c>
      <c r="J200" s="45" t="n">
        <f aca="false">IF(AND(ISNUMBER($G200),$G200&gt;=MA_MED),AVERAGE(INDEX($C$5:$C200,197-MA_MED):$C200),"")</f>
        <v>1174859.58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0.139062911546626</v>
      </c>
      <c r="M200" s="45" t="n">
        <f aca="false">IF(AND(ISNUMBER($G200),$G200&gt;=60),MAX(INDEX($D$5:$D200,197-60):$D200),"")</f>
        <v>1219579</v>
      </c>
      <c r="N200" s="45" t="n">
        <f aca="false">IF(AND(ISNUMBER($G200),$G200&gt;=60),MIN(INDEX($E$5:$E200,197-60):$E200),"")</f>
        <v>1116216</v>
      </c>
      <c r="O200" s="46" t="n">
        <f aca="false">IF(OR(NOT(ISNUMBER($C200)),NOT(ISNUMBER($M200)),$M200=0),"",$C200/$M200-1)</f>
        <v>-0.0418431278334573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1157930</v>
      </c>
      <c r="D201" s="42" t="n">
        <v>1161888</v>
      </c>
      <c r="E201" s="42" t="n">
        <v>1156114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-0.00908649024259167</v>
      </c>
      <c r="I201" s="45" t="n">
        <f aca="false">IF(AND(ISNUMBER($G201),$G201&gt;=MA_SHORT),AVERAGE(INDEX($C$5:$C201,198-MA_SHORT):$C201),"")</f>
        <v>1156795.6</v>
      </c>
      <c r="J201" s="45" t="n">
        <f aca="false">IF(AND(ISNUMBER($G201),$G201&gt;=MA_MED),AVERAGE(INDEX($C$5:$C201,198-MA_MED):$C201),"")</f>
        <v>1174505.5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0.140928542677985</v>
      </c>
      <c r="M201" s="45" t="n">
        <f aca="false">IF(AND(ISNUMBER($G201),$G201&gt;=60),MAX(INDEX($D$5:$D201,198-60):$D201),"")</f>
        <v>1219579</v>
      </c>
      <c r="N201" s="45" t="n">
        <f aca="false">IF(AND(ISNUMBER($G201),$G201&gt;=60),MIN(INDEX($E$5:$E201,198-60):$E201),"")</f>
        <v>1116216</v>
      </c>
      <c r="O201" s="46" t="n">
        <f aca="false">IF(OR(NOT(ISNUMBER($C201)),NOT(ISNUMBER($M201)),$M201=0),"",$C201/$M201-1)</f>
        <v>-0.0505494109032707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1158405</v>
      </c>
      <c r="D202" s="42" t="n">
        <v>1160490</v>
      </c>
      <c r="E202" s="42" t="n">
        <v>1157878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0.000410214779822615</v>
      </c>
      <c r="I202" s="45" t="n">
        <f aca="false">IF(AND(ISNUMBER($G202),$G202&gt;=MA_SHORT),AVERAGE(INDEX($C$5:$C202,199-MA_SHORT):$C202),"")</f>
        <v>1156532.5</v>
      </c>
      <c r="J202" s="45" t="n">
        <f aca="false">IF(AND(ISNUMBER($G202),$G202&gt;=MA_MED),AVERAGE(INDEX($C$5:$C202,199-MA_MED):$C202),"")</f>
        <v>1173916.68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0.135937920233006</v>
      </c>
      <c r="M202" s="45" t="n">
        <f aca="false">IF(AND(ISNUMBER($G202),$G202&gt;=60),MAX(INDEX($D$5:$D202,199-60):$D202),"")</f>
        <v>1219579</v>
      </c>
      <c r="N202" s="45" t="n">
        <f aca="false">IF(AND(ISNUMBER($G202),$G202&gt;=60),MIN(INDEX($E$5:$E202,199-60):$E202),"")</f>
        <v>1116216</v>
      </c>
      <c r="O202" s="46" t="n">
        <f aca="false">IF(OR(NOT(ISNUMBER($C202)),NOT(ISNUMBER($M202)),$M202=0),"",$C202/$M202-1)</f>
        <v>-0.0501599322389119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1170440</v>
      </c>
      <c r="D203" s="42" t="n">
        <v>1171542</v>
      </c>
      <c r="E203" s="42" t="n">
        <v>1166500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0.0103892852672425</v>
      </c>
      <c r="I203" s="45" t="n">
        <f aca="false">IF(AND(ISNUMBER($G203),$G203&gt;=MA_SHORT),AVERAGE(INDEX($C$5:$C203,200-MA_SHORT):$C203),"")</f>
        <v>1156954.5</v>
      </c>
      <c r="J203" s="45" t="n">
        <f aca="false">IF(AND(ISNUMBER($G203),$G203&gt;=MA_MED),AVERAGE(INDEX($C$5:$C203,200-MA_MED):$C203),"")</f>
        <v>1173553.42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0.140756832928046</v>
      </c>
      <c r="M203" s="45" t="n">
        <f aca="false">IF(AND(ISNUMBER($G203),$G203&gt;=60),MAX(INDEX($D$5:$D203,200-60):$D203),"")</f>
        <v>1219579</v>
      </c>
      <c r="N203" s="45" t="n">
        <f aca="false">IF(AND(ISNUMBER($G203),$G203&gt;=60),MIN(INDEX($E$5:$E203,200-60):$E203),"")</f>
        <v>1116216</v>
      </c>
      <c r="O203" s="46" t="n">
        <f aca="false">IF(OR(NOT(ISNUMBER($C203)),NOT(ISNUMBER($M203)),$M203=0),"",$C203/$M203-1)</f>
        <v>-0.0402917728166851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1186783</v>
      </c>
      <c r="D204" s="42" t="n">
        <v>1193336</v>
      </c>
      <c r="E204" s="42" t="n">
        <v>1183171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0.0139631249786405</v>
      </c>
      <c r="I204" s="45" t="n">
        <f aca="false">IF(AND(ISNUMBER($G204),$G204&gt;=MA_SHORT),AVERAGE(INDEX($C$5:$C204,201-MA_SHORT):$C204),"")</f>
        <v>1158174.7</v>
      </c>
      <c r="J204" s="45" t="n">
        <f aca="false">IF(AND(ISNUMBER($G204),$G204&gt;=MA_MED),AVERAGE(INDEX($C$5:$C204,201-MA_MED):$C204),"")</f>
        <v>1173552.04</v>
      </c>
      <c r="K204" s="45" t="n">
        <f aca="false">IF(AND(ISNUMBER($G204),$G204&gt;=MA_LONG2),AVERAGE(INDEX($C$5:$C204,201-MA_LONG2):$C204),"")</f>
        <v>1060190.03</v>
      </c>
      <c r="L204" s="46" t="n">
        <f aca="false">IF(AND(ISNUMBER($G204),$G204&gt;=21),STDEV(INDEX($H$144:$H204,62-20):$H204)*SQRT(245),"")</f>
        <v>0.14854104417646</v>
      </c>
      <c r="M204" s="45" t="n">
        <f aca="false">IF(AND(ISNUMBER($G204),$G204&gt;=60),MAX(INDEX($D$5:$D204,201-60):$D204),"")</f>
        <v>1219579</v>
      </c>
      <c r="N204" s="45" t="n">
        <f aca="false">IF(AND(ISNUMBER($G204),$G204&gt;=60),MIN(INDEX($E$5:$E204,201-60):$E204),"")</f>
        <v>1116216</v>
      </c>
      <c r="O204" s="46" t="n">
        <f aca="false">IF(OR(NOT(ISNUMBER($C204)),NOT(ISNUMBER($M204)),$M204=0),"",$C204/$M204-1)</f>
        <v>-0.026891246897495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1183687</v>
      </c>
      <c r="D205" s="42" t="n">
        <v>1185434</v>
      </c>
      <c r="E205" s="42" t="n">
        <v>1180369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-0.00260873302027409</v>
      </c>
      <c r="I205" s="45" t="n">
        <f aca="false">IF(AND(ISNUMBER($G205),$G205&gt;=MA_SHORT),AVERAGE(INDEX($C$5:$C205,202-MA_SHORT):$C205),"")</f>
        <v>1160181.9</v>
      </c>
      <c r="J205" s="45" t="n">
        <f aca="false">IF(AND(ISNUMBER($G205),$G205&gt;=MA_MED),AVERAGE(INDEX($C$5:$C205,202-MA_MED):$C205),"")</f>
        <v>1173698</v>
      </c>
      <c r="K205" s="45" t="n">
        <f aca="false">IF(AND(ISNUMBER($G205),$G205&gt;=MA_LONG2),AVERAGE(INDEX($C$5:$C205,202-MA_LONG2):$C205),"")</f>
        <v>1061332.425</v>
      </c>
      <c r="L205" s="46" t="n">
        <f aca="false">IF(AND(ISNUMBER($G205),$G205&gt;=21),STDEV(INDEX($H$145:$H205,62-20):$H205)*SQRT(245),"")</f>
        <v>0.135157166424786</v>
      </c>
      <c r="M205" s="45" t="n">
        <f aca="false">IF(AND(ISNUMBER($G205),$G205&gt;=60),MAX(INDEX($D$5:$D205,202-60):$D205),"")</f>
        <v>1219579</v>
      </c>
      <c r="N205" s="45" t="n">
        <f aca="false">IF(AND(ISNUMBER($G205),$G205&gt;=60),MIN(INDEX($E$5:$E205,202-60):$E205),"")</f>
        <v>1116216</v>
      </c>
      <c r="O205" s="46" t="n">
        <f aca="false">IF(OR(NOT(ISNUMBER($C205)),NOT(ISNUMBER($M205)),$M205=0),"",$C205/$M205-1)</f>
        <v>-0.0294298278340313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1185547</v>
      </c>
      <c r="D206" s="42" t="n">
        <v>1186966</v>
      </c>
      <c r="E206" s="42" t="n">
        <v>1184867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0.00157136134805902</v>
      </c>
      <c r="I206" s="45" t="n">
        <f aca="false">IF(AND(ISNUMBER($G206),$G206&gt;=MA_SHORT),AVERAGE(INDEX($C$5:$C206,203-MA_SHORT):$C206),"")</f>
        <v>1162309.4</v>
      </c>
      <c r="J206" s="45" t="n">
        <f aca="false">IF(AND(ISNUMBER($G206),$G206&gt;=MA_MED),AVERAGE(INDEX($C$5:$C206,203-MA_MED):$C206),"")</f>
        <v>1174090.08</v>
      </c>
      <c r="K206" s="45" t="n">
        <f aca="false">IF(AND(ISNUMBER($G206),$G206&gt;=MA_LONG2),AVERAGE(INDEX($C$5:$C206,203-MA_LONG2):$C206),"")</f>
        <v>1062500.355</v>
      </c>
      <c r="L206" s="46" t="n">
        <f aca="false">IF(AND(ISNUMBER($G206),$G206&gt;=21),STDEV(INDEX($H$146:$H206,62-20):$H206)*SQRT(245),"")</f>
        <v>0.134909397508554</v>
      </c>
      <c r="M206" s="45" t="n">
        <f aca="false">IF(AND(ISNUMBER($G206),$G206&gt;=60),MAX(INDEX($D$6:$D206,202-60):$D206),"")</f>
        <v>1219579</v>
      </c>
      <c r="N206" s="45" t="n">
        <f aca="false">IF(AND(ISNUMBER($G206),$G206&gt;=60),MIN(INDEX($E$6:$E206,202-60):$E206),"")</f>
        <v>1116216</v>
      </c>
      <c r="O206" s="46" t="n">
        <f aca="false">IF(OR(NOT(ISNUMBER($C206)),NOT(ISNUMBER($M206)),$M206=0),"",$C206/$M206-1)</f>
        <v>-0.0279047113799106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1162916</v>
      </c>
      <c r="D207" s="42" t="n">
        <v>1163922</v>
      </c>
      <c r="E207" s="42" t="n">
        <v>1155258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-0.0190890787121893</v>
      </c>
      <c r="I207" s="45" t="n">
        <f aca="false">IF(AND(ISNUMBER($G207),$G207&gt;=MA_SHORT),AVERAGE(INDEX($C$5:$C207,204-MA_SHORT):$C207),"")</f>
        <v>1163360.5</v>
      </c>
      <c r="J207" s="45" t="n">
        <f aca="false">IF(AND(ISNUMBER($G207),$G207&gt;=MA_MED),AVERAGE(INDEX($C$5:$C207,204-MA_MED):$C207),"")</f>
        <v>1174182.32</v>
      </c>
      <c r="K207" s="45" t="n">
        <f aca="false">IF(AND(ISNUMBER($G207),$G207&gt;=MA_LONG2),AVERAGE(INDEX($C$5:$C207,204-MA_LONG2):$C207),"")</f>
        <v>1063507.605</v>
      </c>
      <c r="L207" s="46" t="n">
        <f aca="false">IF(AND(ISNUMBER($G207),$G207&gt;=21),STDEV(INDEX($H$147:$H207,62-20):$H207)*SQRT(245),"")</f>
        <v>0.153450389754447</v>
      </c>
      <c r="M207" s="45" t="n">
        <f aca="false">IF(AND(ISNUMBER($G207),$G207&gt;=60),MAX(INDEX($D$7:$D207,202-60):$D207),"")</f>
        <v>1219579</v>
      </c>
      <c r="N207" s="45" t="n">
        <f aca="false">IF(AND(ISNUMBER($G207),$G207&gt;=60),MIN(INDEX($E$7:$E207,202-60):$E207),"")</f>
        <v>1116216</v>
      </c>
      <c r="O207" s="46" t="n">
        <f aca="false">IF(OR(NOT(ISNUMBER($C207)),NOT(ISNUMBER($M207)),$M207=0),"",$C207/$M207-1)</f>
        <v>-0.0464611148601279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1164241</v>
      </c>
      <c r="D208" s="42" t="n">
        <v>1164447</v>
      </c>
      <c r="E208" s="42" t="n">
        <v>1160811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0.00113937722071067</v>
      </c>
      <c r="I208" s="45" t="n">
        <f aca="false">IF(AND(ISNUMBER($G208),$G208&gt;=MA_SHORT),AVERAGE(INDEX($C$5:$C208,205-MA_SHORT):$C208),"")</f>
        <v>1165576.6</v>
      </c>
      <c r="J208" s="45" t="n">
        <f aca="false">IF(AND(ISNUMBER($G208),$G208&gt;=MA_MED),AVERAGE(INDEX($C$5:$C208,205-MA_MED):$C208),"")</f>
        <v>1174212.18</v>
      </c>
      <c r="K208" s="45" t="n">
        <f aca="false">IF(AND(ISNUMBER($G208),$G208&gt;=MA_LONG2),AVERAGE(INDEX($C$5:$C208,205-MA_LONG2):$C208),"")</f>
        <v>1064475.64</v>
      </c>
      <c r="L208" s="46" t="n">
        <f aca="false">IF(AND(ISNUMBER($G208),$G208&gt;=21),STDEV(INDEX($H$148:$H208,62-20):$H208)*SQRT(245),"")</f>
        <v>0.134225854540525</v>
      </c>
      <c r="M208" s="45" t="n">
        <f aca="false">IF(AND(ISNUMBER($G208),$G208&gt;=60),MAX(INDEX($D$8:$D208,202-60):$D208),"")</f>
        <v>1219579</v>
      </c>
      <c r="N208" s="45" t="n">
        <f aca="false">IF(AND(ISNUMBER($G208),$G208&gt;=60),MIN(INDEX($E$8:$E208,202-60):$E208),"")</f>
        <v>1116216</v>
      </c>
      <c r="O208" s="46" t="n">
        <f aca="false">IF(OR(NOT(ISNUMBER($C208)),NOT(ISNUMBER($M208)),$M208=0),"",$C208/$M208-1)</f>
        <v>-0.0453746743753377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1151719</v>
      </c>
      <c r="D209" s="42" t="n">
        <v>1154180</v>
      </c>
      <c r="E209" s="42" t="n">
        <v>1145883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-0.010755505088723</v>
      </c>
      <c r="I209" s="45" t="n">
        <f aca="false">IF(AND(ISNUMBER($G209),$G209&gt;=MA_SHORT),AVERAGE(INDEX($C$5:$C209,206-MA_SHORT):$C209),"")</f>
        <v>1166845.4</v>
      </c>
      <c r="J209" s="45" t="n">
        <f aca="false">IF(AND(ISNUMBER($G209),$G209&gt;=MA_MED),AVERAGE(INDEX($C$5:$C209,206-MA_MED):$C209),"")</f>
        <v>1173781.5</v>
      </c>
      <c r="K209" s="45" t="n">
        <f aca="false">IF(AND(ISNUMBER($G209),$G209&gt;=MA_LONG2),AVERAGE(INDEX($C$5:$C209,206-MA_LONG2):$C209),"")</f>
        <v>1065368.34</v>
      </c>
      <c r="L209" s="46" t="n">
        <f aca="false">IF(AND(ISNUMBER($G209),$G209&gt;=21),STDEV(INDEX($H$149:$H209,62-20):$H209)*SQRT(245),"")</f>
        <v>0.140533619620861</v>
      </c>
      <c r="M209" s="45" t="n">
        <f aca="false">IF(AND(ISNUMBER($G209),$G209&gt;=60),MAX(INDEX($D$9:$D209,202-60):$D209),"")</f>
        <v>1219579</v>
      </c>
      <c r="N209" s="45" t="n">
        <f aca="false">IF(AND(ISNUMBER($G209),$G209&gt;=60),MIN(INDEX($E$9:$E209,202-60):$E209),"")</f>
        <v>1116216</v>
      </c>
      <c r="O209" s="46" t="n">
        <f aca="false">IF(OR(NOT(ISNUMBER($C209)),NOT(ISNUMBER($M209)),$M209=0),"",$C209/$M209-1)</f>
        <v>-0.0556421519229177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1152951</v>
      </c>
      <c r="D210" s="42" t="n">
        <v>1153045</v>
      </c>
      <c r="E210" s="42" t="n">
        <v>1147448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0.00106970537084128</v>
      </c>
      <c r="I210" s="45" t="n">
        <f aca="false">IF(AND(ISNUMBER($G210),$G210&gt;=MA_SHORT),AVERAGE(INDEX($C$5:$C210,207-MA_SHORT):$C210),"")</f>
        <v>1168060.5</v>
      </c>
      <c r="J210" s="45" t="n">
        <f aca="false">IF(AND(ISNUMBER($G210),$G210&gt;=MA_MED),AVERAGE(INDEX($C$5:$C210,207-MA_MED):$C210),"")</f>
        <v>1173122.04</v>
      </c>
      <c r="K210" s="45" t="n">
        <f aca="false">IF(AND(ISNUMBER($G210),$G210&gt;=MA_LONG2),AVERAGE(INDEX($C$5:$C210,207-MA_LONG2):$C210),"")</f>
        <v>1066245.165</v>
      </c>
      <c r="L210" s="46" t="n">
        <f aca="false">IF(AND(ISNUMBER($G210),$G210&gt;=21),STDEV(INDEX($H$150:$H210,62-20):$H210)*SQRT(245),"")</f>
        <v>0.140495042870651</v>
      </c>
      <c r="M210" s="45" t="n">
        <f aca="false">IF(AND(ISNUMBER($G210),$G210&gt;=60),MAX(INDEX($D$10:$D210,202-60):$D210),"")</f>
        <v>1219579</v>
      </c>
      <c r="N210" s="45" t="n">
        <f aca="false">IF(AND(ISNUMBER($G210),$G210&gt;=60),MIN(INDEX($E$10:$E210,202-60):$E210),"")</f>
        <v>1116216</v>
      </c>
      <c r="O210" s="46" t="n">
        <f aca="false">IF(OR(NOT(ISNUMBER($C210)),NOT(ISNUMBER($M210)),$M210=0),"",$C210/$M210-1)</f>
        <v>-0.0546319672608334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1157132</v>
      </c>
      <c r="D211" s="42" t="n">
        <v>1157342</v>
      </c>
      <c r="E211" s="42" t="n">
        <v>1155259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0.00362634665306683</v>
      </c>
      <c r="I211" s="45" t="n">
        <f aca="false">IF(AND(ISNUMBER($G211),$G211&gt;=MA_SHORT),AVERAGE(INDEX($C$5:$C211,208-MA_SHORT):$C211),"")</f>
        <v>1168968.6</v>
      </c>
      <c r="J211" s="45" t="n">
        <f aca="false">IF(AND(ISNUMBER($G211),$G211&gt;=MA_MED),AVERAGE(INDEX($C$5:$C211,208-MA_MED):$C211),"")</f>
        <v>1172772.38</v>
      </c>
      <c r="K211" s="45" t="n">
        <f aca="false">IF(AND(ISNUMBER($G211),$G211&gt;=MA_LONG2),AVERAGE(INDEX($C$5:$C211,208-MA_LONG2):$C211),"")</f>
        <v>1067129.93</v>
      </c>
      <c r="L211" s="46" t="n">
        <f aca="false">IF(AND(ISNUMBER($G211),$G211&gt;=21),STDEV(INDEX($H$151:$H211,62-20):$H211)*SQRT(245),"")</f>
        <v>0.137722994810316</v>
      </c>
      <c r="M211" s="45" t="n">
        <f aca="false">IF(AND(ISNUMBER($G211),$G211&gt;=60),MAX(INDEX($D$11:$D211,202-60):$D211),"")</f>
        <v>1219579</v>
      </c>
      <c r="N211" s="45" t="n">
        <f aca="false">IF(AND(ISNUMBER($G211),$G211&gt;=60),MIN(INDEX($E$11:$E211,202-60):$E211),"")</f>
        <v>1116216</v>
      </c>
      <c r="O211" s="46" t="n">
        <f aca="false">IF(OR(NOT(ISNUMBER($C211)),NOT(ISNUMBER($M211)),$M211=0),"",$C211/$M211-1)</f>
        <v>-0.0512037350593935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1166286</v>
      </c>
      <c r="D212" s="42" t="n">
        <v>1166930</v>
      </c>
      <c r="E212" s="42" t="n">
        <v>1165330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0.00791093842361978</v>
      </c>
      <c r="I212" s="45" t="n">
        <f aca="false">IF(AND(ISNUMBER($G212),$G212&gt;=MA_SHORT),AVERAGE(INDEX($C$5:$C212,209-MA_SHORT):$C212),"")</f>
        <v>1170078.9</v>
      </c>
      <c r="J212" s="45" t="n">
        <f aca="false">IF(AND(ISNUMBER($G212),$G212&gt;=MA_MED),AVERAGE(INDEX($C$5:$C212,209-MA_MED):$C212),"")</f>
        <v>1172755.2</v>
      </c>
      <c r="K212" s="45" t="n">
        <f aca="false">IF(AND(ISNUMBER($G212),$G212&gt;=MA_LONG2),AVERAGE(INDEX($C$5:$C212,209-MA_LONG2):$C212),"")</f>
        <v>1068087.15</v>
      </c>
      <c r="L212" s="46" t="n">
        <f aca="false">IF(AND(ISNUMBER($G212),$G212&gt;=21),STDEV(INDEX($H$152:$H212,62-20):$H212)*SQRT(245),"")</f>
        <v>0.139407167474308</v>
      </c>
      <c r="M212" s="45" t="n">
        <f aca="false">IF(AND(ISNUMBER($G212),$G212&gt;=60),MAX(INDEX($D$12:$D212,202-60):$D212),"")</f>
        <v>1219579</v>
      </c>
      <c r="N212" s="45" t="n">
        <f aca="false">IF(AND(ISNUMBER($G212),$G212&gt;=60),MIN(INDEX($E$12:$E212,202-60):$E212),"")</f>
        <v>1116216</v>
      </c>
      <c r="O212" s="46" t="n">
        <f aca="false">IF(OR(NOT(ISNUMBER($C212)),NOT(ISNUMBER($M212)),$M212=0),"",$C212/$M212-1)</f>
        <v>-0.0436978662308879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1169557</v>
      </c>
      <c r="D213" s="42" t="n">
        <v>1170823</v>
      </c>
      <c r="E213" s="42" t="n">
        <v>1169125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0.00280462939622006</v>
      </c>
      <c r="I213" s="45" t="n">
        <f aca="false">IF(AND(ISNUMBER($G213),$G213&gt;=MA_SHORT),AVERAGE(INDEX($C$5:$C213,210-MA_SHORT):$C213),"")</f>
        <v>1170835.65</v>
      </c>
      <c r="J213" s="45" t="n">
        <f aca="false">IF(AND(ISNUMBER($G213),$G213&gt;=MA_MED),AVERAGE(INDEX($C$5:$C213,210-MA_MED):$C213),"")</f>
        <v>1172564.44</v>
      </c>
      <c r="K213" s="45" t="n">
        <f aca="false">IF(AND(ISNUMBER($G213),$G213&gt;=MA_LONG2),AVERAGE(INDEX($C$5:$C213,210-MA_LONG2):$C213),"")</f>
        <v>1068987.31</v>
      </c>
      <c r="L213" s="46" t="n">
        <f aca="false">IF(AND(ISNUMBER($G213),$G213&gt;=21),STDEV(INDEX($H$153:$H213,62-20):$H213)*SQRT(245),"")</f>
        <v>0.136446850206385</v>
      </c>
      <c r="M213" s="45" t="n">
        <f aca="false">IF(AND(ISNUMBER($G213),$G213&gt;=60),MAX(INDEX($D$13:$D213,202-60):$D213),"")</f>
        <v>1219579</v>
      </c>
      <c r="N213" s="45" t="n">
        <f aca="false">IF(AND(ISNUMBER($G213),$G213&gt;=60),MIN(INDEX($E$13:$E213,202-60):$E213),"")</f>
        <v>1116216</v>
      </c>
      <c r="O213" s="46" t="n">
        <f aca="false">IF(OR(NOT(ISNUMBER($C213)),NOT(ISNUMBER($M213)),$M213=0),"",$C213/$M213-1)</f>
        <v>-0.0410157931548509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1170778</v>
      </c>
      <c r="D214" s="42" t="n">
        <v>1176497</v>
      </c>
      <c r="E214" s="42" t="n">
        <v>1167066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0.00104398503022929</v>
      </c>
      <c r="I214" s="45" t="n">
        <f aca="false">IF(AND(ISNUMBER($G214),$G214&gt;=MA_SHORT),AVERAGE(INDEX($C$5:$C214,211-MA_SHORT):$C214),"")</f>
        <v>1171233.6</v>
      </c>
      <c r="J214" s="45" t="n">
        <f aca="false">IF(AND(ISNUMBER($G214),$G214&gt;=MA_MED),AVERAGE(INDEX($C$5:$C214,211-MA_MED):$C214),"")</f>
        <v>1172527.1</v>
      </c>
      <c r="K214" s="45" t="n">
        <f aca="false">IF(AND(ISNUMBER($G214),$G214&gt;=MA_LONG2),AVERAGE(INDEX($C$5:$C214,211-MA_LONG2):$C214),"")</f>
        <v>1069977.405</v>
      </c>
      <c r="L214" s="46" t="n">
        <f aca="false">IF(AND(ISNUMBER($G214),$G214&gt;=21),STDEV(INDEX($H$154:$H214,62-20):$H214)*SQRT(245),"")</f>
        <v>0.134294539188125</v>
      </c>
      <c r="M214" s="45" t="n">
        <f aca="false">IF(AND(ISNUMBER($G214),$G214&gt;=60),MAX(INDEX($D$14:$D214,202-60):$D214),"")</f>
        <v>1219579</v>
      </c>
      <c r="N214" s="45" t="n">
        <f aca="false">IF(AND(ISNUMBER($G214),$G214&gt;=60),MIN(INDEX($E$14:$E214,202-60):$E214),"")</f>
        <v>1116216</v>
      </c>
      <c r="O214" s="46" t="n">
        <f aca="false">IF(OR(NOT(ISNUMBER($C214)),NOT(ISNUMBER($M214)),$M214=0),"",$C214/$M214-1)</f>
        <v>-0.0400146279986783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1170514</v>
      </c>
      <c r="D215" s="42" t="n">
        <v>1174913</v>
      </c>
      <c r="E215" s="42" t="n">
        <v>1167536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-0.00022549108370673</v>
      </c>
      <c r="I215" s="45" t="n">
        <f aca="false">IF(AND(ISNUMBER($G215),$G215&gt;=MA_SHORT),AVERAGE(INDEX($C$5:$C215,212-MA_SHORT):$C215),"")</f>
        <v>1170746.65</v>
      </c>
      <c r="J215" s="45" t="n">
        <f aca="false">IF(AND(ISNUMBER($G215),$G215&gt;=MA_MED),AVERAGE(INDEX($C$5:$C215,212-MA_MED):$C215),"")</f>
        <v>1172229.98</v>
      </c>
      <c r="K215" s="45" t="n">
        <f aca="false">IF(AND(ISNUMBER($G215),$G215&gt;=MA_LONG2),AVERAGE(INDEX($C$5:$C215,212-MA_LONG2):$C215),"")</f>
        <v>1070964.465</v>
      </c>
      <c r="L215" s="46" t="n">
        <f aca="false">IF(AND(ISNUMBER($G215),$G215&gt;=21),STDEV(INDEX($H$155:$H215,62-20):$H215)*SQRT(245),"")</f>
        <v>0.123026143041279</v>
      </c>
      <c r="M215" s="45" t="n">
        <f aca="false">IF(AND(ISNUMBER($G215),$G215&gt;=60),MAX(INDEX($D$15:$D215,202-60):$D215),"")</f>
        <v>1219579</v>
      </c>
      <c r="N215" s="45" t="n">
        <f aca="false">IF(AND(ISNUMBER($G215),$G215&gt;=60),MIN(INDEX($E$15:$E215,202-60):$E215),"")</f>
        <v>1116216</v>
      </c>
      <c r="O215" s="46" t="n">
        <f aca="false">IF(OR(NOT(ISNUMBER($C215)),NOT(ISNUMBER($M215)),$M215=0),"",$C215/$M215-1)</f>
        <v>-0.0402310961405534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1175353</v>
      </c>
      <c r="D216" s="42" t="n">
        <v>1180280</v>
      </c>
      <c r="E216" s="42" t="n">
        <v>1169751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0.00413408126686221</v>
      </c>
      <c r="I216" s="45" t="n">
        <f aca="false">IF(AND(ISNUMBER($G216),$G216&gt;=MA_SHORT),AVERAGE(INDEX($C$5:$C216,213-MA_SHORT):$C216),"")</f>
        <v>1170221.15</v>
      </c>
      <c r="J216" s="45" t="n">
        <f aca="false">IF(AND(ISNUMBER($G216),$G216&gt;=MA_MED),AVERAGE(INDEX($C$5:$C216,213-MA_MED):$C216),"")</f>
        <v>1171623.88</v>
      </c>
      <c r="K216" s="45" t="n">
        <f aca="false">IF(AND(ISNUMBER($G216),$G216&gt;=MA_LONG2),AVERAGE(INDEX($C$5:$C216,213-MA_LONG2):$C216),"")</f>
        <v>1071957.87</v>
      </c>
      <c r="L216" s="46" t="n">
        <f aca="false">IF(AND(ISNUMBER($G216),$G216&gt;=21),STDEV(INDEX($H$156:$H216,62-20):$H216)*SQRT(245),"")</f>
        <v>0.122711403367926</v>
      </c>
      <c r="M216" s="45" t="n">
        <f aca="false">IF(AND(ISNUMBER($G216),$G216&gt;=60),MAX(INDEX($D$16:$D216,202-60):$D216),"")</f>
        <v>1219579</v>
      </c>
      <c r="N216" s="45" t="n">
        <f aca="false">IF(AND(ISNUMBER($G216),$G216&gt;=60),MIN(INDEX($E$16:$E216,202-60):$E216),"")</f>
        <v>1116216</v>
      </c>
      <c r="O216" s="46" t="n">
        <f aca="false">IF(OR(NOT(ISNUMBER($C216)),NOT(ISNUMBER($M216)),$M216=0),"",$C216/$M216-1)</f>
        <v>-0.0362633334945912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1176476</v>
      </c>
      <c r="D217" s="42" t="n">
        <v>1176872</v>
      </c>
      <c r="E217" s="42" t="n">
        <v>1173189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0.000955457636982349</v>
      </c>
      <c r="I217" s="45" t="n">
        <f aca="false">IF(AND(ISNUMBER($G217),$G217&gt;=MA_SHORT),AVERAGE(INDEX($C$5:$C217,214-MA_SHORT):$C217),"")</f>
        <v>1169923.8</v>
      </c>
      <c r="J217" s="45" t="n">
        <f aca="false">IF(AND(ISNUMBER($G217),$G217&gt;=MA_MED),AVERAGE(INDEX($C$5:$C217,214-MA_MED):$C217),"")</f>
        <v>1171193.2</v>
      </c>
      <c r="K217" s="45" t="n">
        <f aca="false">IF(AND(ISNUMBER($G217),$G217&gt;=MA_LONG2),AVERAGE(INDEX($C$5:$C217,214-MA_LONG2):$C217),"")</f>
        <v>1073002.02</v>
      </c>
      <c r="L217" s="46" t="n">
        <f aca="false">IF(AND(ISNUMBER($G217),$G217&gt;=21),STDEV(INDEX($H$157:$H217,62-20):$H217)*SQRT(245),"")</f>
        <v>0.122446347859936</v>
      </c>
      <c r="M217" s="45" t="n">
        <f aca="false">IF(AND(ISNUMBER($G217),$G217&gt;=60),MAX(INDEX($D$17:$D217,202-60):$D217),"")</f>
        <v>1219579</v>
      </c>
      <c r="N217" s="45" t="n">
        <f aca="false">IF(AND(ISNUMBER($G217),$G217&gt;=60),MIN(INDEX($E$17:$E217,202-60):$E217),"")</f>
        <v>1116216</v>
      </c>
      <c r="O217" s="46" t="n">
        <f aca="false">IF(OR(NOT(ISNUMBER($C217)),NOT(ISNUMBER($M217)),$M217=0),"",$C217/$M217-1)</f>
        <v>-0.0353425239365388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1160618</v>
      </c>
      <c r="D218" s="42" t="n">
        <v>1162404</v>
      </c>
      <c r="E218" s="42" t="n">
        <v>1157250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-0.0134792379955052</v>
      </c>
      <c r="I218" s="45" t="n">
        <f aca="false">IF(AND(ISNUMBER($G218),$G218&gt;=MA_SHORT),AVERAGE(INDEX($C$5:$C218,215-MA_SHORT):$C218),"")</f>
        <v>1168714.65</v>
      </c>
      <c r="J218" s="45" t="n">
        <f aca="false">IF(AND(ISNUMBER($G218),$G218&gt;=MA_MED),AVERAGE(INDEX($C$5:$C218,215-MA_MED):$C218),"")</f>
        <v>1170428.92</v>
      </c>
      <c r="K218" s="45" t="n">
        <f aca="false">IF(AND(ISNUMBER($G218),$G218&gt;=MA_LONG2),AVERAGE(INDEX($C$5:$C218,215-MA_LONG2):$C218),"")</f>
        <v>1073981.95</v>
      </c>
      <c r="L218" s="46" t="n">
        <f aca="false">IF(AND(ISNUMBER($G218),$G218&gt;=21),STDEV(INDEX($H$158:$H218,62-20):$H218)*SQRT(245),"")</f>
        <v>0.130537525887617</v>
      </c>
      <c r="M218" s="45" t="n">
        <f aca="false">IF(AND(ISNUMBER($G218),$G218&gt;=60),MAX(INDEX($D$18:$D218,202-60):$D218),"")</f>
        <v>1219579</v>
      </c>
      <c r="N218" s="45" t="n">
        <f aca="false">IF(AND(ISNUMBER($G218),$G218&gt;=60),MIN(INDEX($E$18:$E218,202-60):$E218),"")</f>
        <v>1116216</v>
      </c>
      <c r="O218" s="46" t="n">
        <f aca="false">IF(OR(NOT(ISNUMBER($C218)),NOT(ISNUMBER($M218)),$M218=0),"",$C218/$M218-1)</f>
        <v>-0.0483453716405415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1136154</v>
      </c>
      <c r="D219" s="42" t="n">
        <v>1137238</v>
      </c>
      <c r="E219" s="42" t="n">
        <v>1134220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-0.0210784254595396</v>
      </c>
      <c r="I219" s="45" t="n">
        <f aca="false">IF(AND(ISNUMBER($G219),$G219&gt;=MA_SHORT),AVERAGE(INDEX($C$5:$C219,216-MA_SHORT):$C219),"")</f>
        <v>1166301.75</v>
      </c>
      <c r="J219" s="45" t="n">
        <f aca="false">IF(AND(ISNUMBER($G219),$G219&gt;=MA_MED),AVERAGE(INDEX($C$5:$C219,216-MA_MED):$C219),"")</f>
        <v>1169203.96</v>
      </c>
      <c r="K219" s="45" t="n">
        <f aca="false">IF(AND(ISNUMBER($G219),$G219&gt;=MA_LONG2),AVERAGE(INDEX($C$5:$C219,216-MA_LONG2):$C219),"")</f>
        <v>1074873.12</v>
      </c>
      <c r="L219" s="46" t="n">
        <f aca="false">IF(AND(ISNUMBER($G219),$G219&gt;=21),STDEV(INDEX($H$159:$H219,62-20):$H219)*SQRT(245),"")</f>
        <v>0.148177033738373</v>
      </c>
      <c r="M219" s="45" t="n">
        <f aca="false">IF(AND(ISNUMBER($G219),$G219&gt;=60),MAX(INDEX($D$19:$D219,202-60):$D219),"")</f>
        <v>1219579</v>
      </c>
      <c r="N219" s="45" t="n">
        <f aca="false">IF(AND(ISNUMBER($G219),$G219&gt;=60),MIN(INDEX($E$19:$E219,202-60):$E219),"")</f>
        <v>1116216</v>
      </c>
      <c r="O219" s="46" t="n">
        <f aca="false">IF(OR(NOT(ISNUMBER($C219)),NOT(ISNUMBER($M219)),$M219=0),"",$C219/$M219-1)</f>
        <v>-0.0684047527876422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1142238</v>
      </c>
      <c r="D220" s="42" t="n">
        <v>1142673</v>
      </c>
      <c r="E220" s="42" t="n">
        <v>1140533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0.00535490787340454</v>
      </c>
      <c r="I220" s="45" t="n">
        <f aca="false">IF(AND(ISNUMBER($G220),$G220&gt;=MA_SHORT),AVERAGE(INDEX($C$5:$C220,217-MA_SHORT):$C220),"")</f>
        <v>1164986.25</v>
      </c>
      <c r="J220" s="45" t="n">
        <f aca="false">IF(AND(ISNUMBER($G220),$G220&gt;=MA_MED),AVERAGE(INDEX($C$5:$C220,217-MA_MED):$C220),"")</f>
        <v>1167758.92</v>
      </c>
      <c r="K220" s="45" t="n">
        <f aca="false">IF(AND(ISNUMBER($G220),$G220&gt;=MA_LONG2),AVERAGE(INDEX($C$5:$C220,217-MA_LONG2):$C220),"")</f>
        <v>1075773.8</v>
      </c>
      <c r="L220" s="46" t="n">
        <f aca="false">IF(AND(ISNUMBER($G220),$G220&gt;=21),STDEV(INDEX($H$160:$H220,62-20):$H220)*SQRT(245),"")</f>
        <v>0.144118645680247</v>
      </c>
      <c r="M220" s="45" t="n">
        <f aca="false">IF(AND(ISNUMBER($G220),$G220&gt;=60),MAX(INDEX($D$20:$D220,202-60):$D220),"")</f>
        <v>1219579</v>
      </c>
      <c r="N220" s="45" t="n">
        <f aca="false">IF(AND(ISNUMBER($G220),$G220&gt;=60),MIN(INDEX($E$20:$E220,202-60):$E220),"")</f>
        <v>1116216</v>
      </c>
      <c r="O220" s="46" t="n">
        <f aca="false">IF(OR(NOT(ISNUMBER($C220)),NOT(ISNUMBER($M220)),$M220=0),"",$C220/$M220-1)</f>
        <v>-0.0634161460635186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1129416</v>
      </c>
      <c r="D221" s="42" t="n">
        <v>1130998</v>
      </c>
      <c r="E221" s="42" t="n">
        <v>1123686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-0.0112253313232443</v>
      </c>
      <c r="I221" s="45" t="n">
        <f aca="false">IF(AND(ISNUMBER($G221),$G221&gt;=MA_SHORT),AVERAGE(INDEX($C$5:$C221,218-MA_SHORT):$C221),"")</f>
        <v>1163560.55</v>
      </c>
      <c r="J221" s="45" t="n">
        <f aca="false">IF(AND(ISNUMBER($G221),$G221&gt;=MA_MED),AVERAGE(INDEX($C$5:$C221,218-MA_MED):$C221),"")</f>
        <v>1166018.4</v>
      </c>
      <c r="K221" s="45" t="n">
        <f aca="false">IF(AND(ISNUMBER($G221),$G221&gt;=MA_LONG2),AVERAGE(INDEX($C$5:$C221,218-MA_LONG2):$C221),"")</f>
        <v>1076569.035</v>
      </c>
      <c r="L221" s="46" t="n">
        <f aca="false">IF(AND(ISNUMBER($G221),$G221&gt;=21),STDEV(INDEX($H$161:$H221,62-20):$H221)*SQRT(245),"")</f>
        <v>0.145831731905694</v>
      </c>
      <c r="M221" s="45" t="n">
        <f aca="false">IF(AND(ISNUMBER($G221),$G221&gt;=60),MAX(INDEX($D$21:$D221,202-60):$D221),"")</f>
        <v>1219579</v>
      </c>
      <c r="N221" s="45" t="n">
        <f aca="false">IF(AND(ISNUMBER($G221),$G221&gt;=60),MIN(INDEX($E$21:$E221,202-60):$E221),"")</f>
        <v>1116216</v>
      </c>
      <c r="O221" s="46" t="n">
        <f aca="false">IF(OR(NOT(ISNUMBER($C221)),NOT(ISNUMBER($M221)),$M221=0),"",$C221/$M221-1)</f>
        <v>-0.0739296101359568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1141692</v>
      </c>
      <c r="D222" s="42" t="n">
        <v>1145413</v>
      </c>
      <c r="E222" s="42" t="n">
        <v>1136833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0.0108693342399966</v>
      </c>
      <c r="I222" s="45" t="n">
        <f aca="false">IF(AND(ISNUMBER($G222),$G222&gt;=MA_SHORT),AVERAGE(INDEX($C$5:$C222,219-MA_SHORT):$C222),"")</f>
        <v>1162724.9</v>
      </c>
      <c r="J222" s="45" t="n">
        <f aca="false">IF(AND(ISNUMBER($G222),$G222&gt;=MA_MED),AVERAGE(INDEX($C$5:$C222,219-MA_MED):$C222),"")</f>
        <v>1164692.14</v>
      </c>
      <c r="K222" s="45" t="n">
        <f aca="false">IF(AND(ISNUMBER($G222),$G222&gt;=MA_LONG2),AVERAGE(INDEX($C$5:$C222,219-MA_LONG2):$C222),"")</f>
        <v>1077529.275</v>
      </c>
      <c r="L222" s="46" t="n">
        <f aca="false">IF(AND(ISNUMBER($G222),$G222&gt;=21),STDEV(INDEX($H$162:$H222,62-20):$H222)*SQRT(245),"")</f>
        <v>0.151797510281055</v>
      </c>
      <c r="M222" s="45" t="n">
        <f aca="false">IF(AND(ISNUMBER($G222),$G222&gt;=60),MAX(INDEX($D$22:$D222,202-60):$D222),"")</f>
        <v>1219579</v>
      </c>
      <c r="N222" s="45" t="n">
        <f aca="false">IF(AND(ISNUMBER($G222),$G222&gt;=60),MIN(INDEX($E$22:$E222,202-60):$E222),"")</f>
        <v>1116216</v>
      </c>
      <c r="O222" s="46" t="n">
        <f aca="false">IF(OR(NOT(ISNUMBER($C222)),NOT(ISNUMBER($M222)),$M222=0),"",$C222/$M222-1)</f>
        <v>-0.0638638415387605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1118875</v>
      </c>
      <c r="D223" s="42" t="n">
        <v>1120822</v>
      </c>
      <c r="E223" s="42" t="n">
        <v>1118494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-0.0199852499623366</v>
      </c>
      <c r="I223" s="45" t="n">
        <f aca="false">IF(AND(ISNUMBER($G223),$G223&gt;=MA_SHORT),AVERAGE(INDEX($C$5:$C223,220-MA_SHORT):$C223),"")</f>
        <v>1160146.65</v>
      </c>
      <c r="J223" s="45" t="n">
        <f aca="false">IF(AND(ISNUMBER($G223),$G223&gt;=MA_MED),AVERAGE(INDEX($C$5:$C223,220-MA_MED):$C223),"")</f>
        <v>1162972.3</v>
      </c>
      <c r="K223" s="45" t="n">
        <f aca="false">IF(AND(ISNUMBER($G223),$G223&gt;=MA_LONG2),AVERAGE(INDEX($C$5:$C223,220-MA_LONG2):$C223),"")</f>
        <v>1078441.075</v>
      </c>
      <c r="L223" s="46" t="n">
        <f aca="false">IF(AND(ISNUMBER($G223),$G223&gt;=21),STDEV(INDEX($H$163:$H223,62-20):$H223)*SQRT(245),"")</f>
        <v>0.160225745033151</v>
      </c>
      <c r="M223" s="45" t="n">
        <f aca="false">IF(AND(ISNUMBER($G223),$G223&gt;=60),MAX(INDEX($D$23:$D223,202-60):$D223),"")</f>
        <v>1219579</v>
      </c>
      <c r="N223" s="45" t="n">
        <f aca="false">IF(AND(ISNUMBER($G223),$G223&gt;=60),MIN(INDEX($E$23:$E223,202-60):$E223),"")</f>
        <v>1116216</v>
      </c>
      <c r="O223" s="46" t="n">
        <f aca="false">IF(OR(NOT(ISNUMBER($C223)),NOT(ISNUMBER($M223)),$M223=0),"",$C223/$M223-1)</f>
        <v>-0.0825727566643899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1129666</v>
      </c>
      <c r="D224" s="42" t="n">
        <v>1129967</v>
      </c>
      <c r="E224" s="42" t="n">
        <v>1129057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0.00964450899340852</v>
      </c>
      <c r="I224" s="45" t="n">
        <f aca="false">IF(AND(ISNUMBER($G224),$G224&gt;=MA_SHORT),AVERAGE(INDEX($C$5:$C224,221-MA_SHORT):$C224),"")</f>
        <v>1157290.8</v>
      </c>
      <c r="J224" s="45" t="n">
        <f aca="false">IF(AND(ISNUMBER($G224),$G224&gt;=MA_MED),AVERAGE(INDEX($C$5:$C224,221-MA_MED):$C224),"")</f>
        <v>1161554.06</v>
      </c>
      <c r="K224" s="45" t="n">
        <f aca="false">IF(AND(ISNUMBER($G224),$G224&gt;=MA_LONG2),AVERAGE(INDEX($C$5:$C224,221-MA_LONG2):$C224),"")</f>
        <v>1079388.685</v>
      </c>
      <c r="L224" s="46" t="n">
        <f aca="false">IF(AND(ISNUMBER($G224),$G224&gt;=21),STDEV(INDEX($H$164:$H224,62-20):$H224)*SQRT(245),"")</f>
        <v>0.155243585315259</v>
      </c>
      <c r="M224" s="45" t="n">
        <f aca="false">IF(AND(ISNUMBER($G224),$G224&gt;=60),MAX(INDEX($D$24:$D224,202-60):$D224),"")</f>
        <v>1219579</v>
      </c>
      <c r="N224" s="45" t="n">
        <f aca="false">IF(AND(ISNUMBER($G224),$G224&gt;=60),MIN(INDEX($E$24:$E224,202-60):$E224),"")</f>
        <v>1116216</v>
      </c>
      <c r="O224" s="46" t="n">
        <f aca="false">IF(OR(NOT(ISNUMBER($C224)),NOT(ISNUMBER($M224)),$M224=0),"",$C224/$M224-1)</f>
        <v>-0.0737246213652416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1124274</v>
      </c>
      <c r="D225" s="42" t="n">
        <v>1127162</v>
      </c>
      <c r="E225" s="42" t="n">
        <v>1123902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-0.00477309222371924</v>
      </c>
      <c r="I225" s="45" t="n">
        <f aca="false">IF(AND(ISNUMBER($G225),$G225&gt;=MA_SHORT),AVERAGE(INDEX($C$5:$C225,222-MA_SHORT):$C225),"")</f>
        <v>1154320.15</v>
      </c>
      <c r="J225" s="45" t="n">
        <f aca="false">IF(AND(ISNUMBER($G225),$G225&gt;=MA_MED),AVERAGE(INDEX($C$5:$C225,222-MA_MED):$C225),"")</f>
        <v>1160350.5</v>
      </c>
      <c r="K225" s="45" t="n">
        <f aca="false">IF(AND(ISNUMBER($G225),$G225&gt;=MA_LONG2),AVERAGE(INDEX($C$5:$C225,222-MA_LONG2):$C225),"")</f>
        <v>1080338.295</v>
      </c>
      <c r="L225" s="46" t="n">
        <f aca="false">IF(AND(ISNUMBER($G225),$G225&gt;=21),STDEV(INDEX($H$165:$H225,62-20):$H225)*SQRT(245),"")</f>
        <v>0.155462878085544</v>
      </c>
      <c r="M225" s="45" t="n">
        <f aca="false">IF(AND(ISNUMBER($G225),$G225&gt;=60),MAX(INDEX($D$25:$D225,202-60):$D225),"")</f>
        <v>1219579</v>
      </c>
      <c r="N225" s="45" t="n">
        <f aca="false">IF(AND(ISNUMBER($G225),$G225&gt;=60),MIN(INDEX($E$25:$E225,202-60):$E225),"")</f>
        <v>1116216</v>
      </c>
      <c r="O225" s="46" t="n">
        <f aca="false">IF(OR(NOT(ISNUMBER($C225)),NOT(ISNUMBER($M225)),$M225=0),"",$C225/$M225-1)</f>
        <v>-0.0781458191720258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1123879</v>
      </c>
      <c r="D226" s="42" t="n">
        <v>1126599</v>
      </c>
      <c r="E226" s="42" t="n">
        <v>1121442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-0.000351337841131283</v>
      </c>
      <c r="I226" s="45" t="n">
        <f aca="false">IF(AND(ISNUMBER($G226),$G226&gt;=MA_SHORT),AVERAGE(INDEX($C$5:$C226,223-MA_SHORT):$C226),"")</f>
        <v>1151236.75</v>
      </c>
      <c r="J226" s="45" t="n">
        <f aca="false">IF(AND(ISNUMBER($G226),$G226&gt;=MA_MED),AVERAGE(INDEX($C$5:$C226,223-MA_MED):$C226),"")</f>
        <v>1159120.9</v>
      </c>
      <c r="K226" s="45" t="n">
        <f aca="false">IF(AND(ISNUMBER($G226),$G226&gt;=MA_LONG2),AVERAGE(INDEX($C$5:$C226,223-MA_LONG2):$C226),"")</f>
        <v>1081273.275</v>
      </c>
      <c r="L226" s="46" t="n">
        <f aca="false">IF(AND(ISNUMBER($G226),$G226&gt;=21),STDEV(INDEX($H$166:$H226,62-20):$H226)*SQRT(245),"")</f>
        <v>0.154954525539287</v>
      </c>
      <c r="M226" s="45" t="n">
        <f aca="false">IF(AND(ISNUMBER($G226),$G226&gt;=60),MAX(INDEX($D$26:$D226,202-60):$D226),"")</f>
        <v>1219579</v>
      </c>
      <c r="N226" s="45" t="n">
        <f aca="false">IF(AND(ISNUMBER($G226),$G226&gt;=60),MIN(INDEX($E$26:$E226,202-60):$E226),"")</f>
        <v>1116216</v>
      </c>
      <c r="O226" s="46" t="n">
        <f aca="false">IF(OR(NOT(ISNUMBER($C226)),NOT(ISNUMBER($M226)),$M226=0),"",$C226/$M226-1)</f>
        <v>-0.0784697014297556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1142787</v>
      </c>
      <c r="D227" s="42" t="n">
        <v>1150044</v>
      </c>
      <c r="E227" s="42" t="n">
        <v>1142332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0.0168238751680563</v>
      </c>
      <c r="I227" s="45" t="n">
        <f aca="false">IF(AND(ISNUMBER($G227),$G227&gt;=MA_SHORT),AVERAGE(INDEX($C$5:$C227,224-MA_SHORT):$C227),"")</f>
        <v>1150230.3</v>
      </c>
      <c r="J227" s="45" t="n">
        <f aca="false">IF(AND(ISNUMBER($G227),$G227&gt;=MA_MED),AVERAGE(INDEX($C$5:$C227,224-MA_MED):$C227),"")</f>
        <v>1158202.9</v>
      </c>
      <c r="K227" s="45" t="n">
        <f aca="false">IF(AND(ISNUMBER($G227),$G227&gt;=MA_LONG2),AVERAGE(INDEX($C$5:$C227,224-MA_LONG2):$C227),"")</f>
        <v>1082343.18</v>
      </c>
      <c r="L227" s="46" t="n">
        <f aca="false">IF(AND(ISNUMBER($G227),$G227&gt;=21),STDEV(INDEX($H$167:$H227,62-20):$H227)*SQRT(245),"")</f>
        <v>0.156707988399254</v>
      </c>
      <c r="M227" s="45" t="n">
        <f aca="false">IF(AND(ISNUMBER($G227),$G227&gt;=60),MAX(INDEX($D$27:$D227,202-60):$D227),"")</f>
        <v>1219579</v>
      </c>
      <c r="N227" s="45" t="n">
        <f aca="false">IF(AND(ISNUMBER($G227),$G227&gt;=60),MIN(INDEX($E$27:$E227,202-60):$E227),"")</f>
        <v>1116216</v>
      </c>
      <c r="O227" s="46" t="n">
        <f aca="false">IF(OR(NOT(ISNUMBER($C227)),NOT(ISNUMBER($M227)),$M227=0),"",$C227/$M227-1)</f>
        <v>-0.0629659907230282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1168961</v>
      </c>
      <c r="D228" s="42" t="n">
        <v>1173792</v>
      </c>
      <c r="E228" s="42" t="n">
        <v>1166467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0.0229036557118694</v>
      </c>
      <c r="I228" s="45" t="n">
        <f aca="false">IF(AND(ISNUMBER($G228),$G228&gt;=MA_SHORT),AVERAGE(INDEX($C$5:$C228,225-MA_SHORT):$C228),"")</f>
        <v>1150466.3</v>
      </c>
      <c r="J228" s="45" t="n">
        <f aca="false">IF(AND(ISNUMBER($G228),$G228&gt;=MA_MED),AVERAGE(INDEX($C$5:$C228,225-MA_MED):$C228),"")</f>
        <v>1158024.98</v>
      </c>
      <c r="K228" s="45" t="n">
        <f aca="false">IF(AND(ISNUMBER($G228),$G228&gt;=MA_LONG2),AVERAGE(INDEX($C$5:$C228,225-MA_LONG2):$C228),"")</f>
        <v>1083524.11</v>
      </c>
      <c r="L228" s="46" t="n">
        <f aca="false">IF(AND(ISNUMBER($G228),$G228&gt;=21),STDEV(INDEX($H$168:$H228,62-20):$H228)*SQRT(245),"")</f>
        <v>0.177376736726164</v>
      </c>
      <c r="M228" s="45" t="n">
        <f aca="false">IF(AND(ISNUMBER($G228),$G228&gt;=60),MAX(INDEX($D$28:$D228,202-60):$D228),"")</f>
        <v>1219579</v>
      </c>
      <c r="N228" s="45" t="n">
        <f aca="false">IF(AND(ISNUMBER($G228),$G228&gt;=60),MIN(INDEX($E$28:$E228,202-60):$E228),"")</f>
        <v>1116216</v>
      </c>
      <c r="O228" s="46" t="n">
        <f aca="false">IF(OR(NOT(ISNUMBER($C228)),NOT(ISNUMBER($M228)),$M228=0),"",$C228/$M228-1)</f>
        <v>-0.0415044863842359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1167850</v>
      </c>
      <c r="D229" s="42" t="n">
        <v>1168011</v>
      </c>
      <c r="E229" s="42" t="n">
        <v>1166735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-0.000950416652052533</v>
      </c>
      <c r="I229" s="45" t="n">
        <f aca="false">IF(AND(ISNUMBER($G229),$G229&gt;=MA_SHORT),AVERAGE(INDEX($C$5:$C229,226-MA_SHORT):$C229),"")</f>
        <v>1151272.85</v>
      </c>
      <c r="J229" s="45" t="n">
        <f aca="false">IF(AND(ISNUMBER($G229),$G229&gt;=MA_MED),AVERAGE(INDEX($C$5:$C229,226-MA_MED):$C229),"")</f>
        <v>1157706.04</v>
      </c>
      <c r="K229" s="45" t="n">
        <f aca="false">IF(AND(ISNUMBER($G229),$G229&gt;=MA_LONG2),AVERAGE(INDEX($C$5:$C229,226-MA_LONG2):$C229),"")</f>
        <v>1084690.815</v>
      </c>
      <c r="L229" s="46" t="n">
        <f aca="false">IF(AND(ISNUMBER($G229),$G229&gt;=21),STDEV(INDEX($H$169:$H229,62-20):$H229)*SQRT(245),"")</f>
        <v>0.172782790280682</v>
      </c>
      <c r="M229" s="45" t="n">
        <f aca="false">IF(AND(ISNUMBER($G229),$G229&gt;=60),MAX(INDEX($D$29:$D229,202-60):$D229),"")</f>
        <v>1219579</v>
      </c>
      <c r="N229" s="45" t="n">
        <f aca="false">IF(AND(ISNUMBER($G229),$G229&gt;=60),MIN(INDEX($E$29:$E229,202-60):$E229),"")</f>
        <v>1116216</v>
      </c>
      <c r="O229" s="46" t="n">
        <f aca="false">IF(OR(NOT(ISNUMBER($C229)),NOT(ISNUMBER($M229)),$M229=0),"",$C229/$M229-1)</f>
        <v>-0.042415456481294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1152494</v>
      </c>
      <c r="D230" s="42" t="n">
        <v>1152819</v>
      </c>
      <c r="E230" s="42" t="n">
        <v>1148713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-0.013148948923235</v>
      </c>
      <c r="I230" s="45" t="n">
        <f aca="false">IF(AND(ISNUMBER($G230),$G230&gt;=MA_SHORT),AVERAGE(INDEX($C$5:$C230,227-MA_SHORT):$C230),"")</f>
        <v>1151250</v>
      </c>
      <c r="J230" s="45" t="n">
        <f aca="false">IF(AND(ISNUMBER($G230),$G230&gt;=MA_MED),AVERAGE(INDEX($C$5:$C230,227-MA_MED):$C230),"")</f>
        <v>1157080.92</v>
      </c>
      <c r="K230" s="45" t="n">
        <f aca="false">IF(AND(ISNUMBER($G230),$G230&gt;=MA_LONG2),AVERAGE(INDEX($C$5:$C230,227-MA_LONG2):$C230),"")</f>
        <v>1085954.385</v>
      </c>
      <c r="L230" s="46" t="n">
        <f aca="false">IF(AND(ISNUMBER($G230),$G230&gt;=21),STDEV(INDEX($H$170:$H230,62-20):$H230)*SQRT(245),"")</f>
        <v>0.179484202595724</v>
      </c>
      <c r="M230" s="45" t="n">
        <f aca="false">IF(AND(ISNUMBER($G230),$G230&gt;=60),MAX(INDEX($D$30:$D230,202-60):$D230),"")</f>
        <v>1219158</v>
      </c>
      <c r="N230" s="45" t="n">
        <f aca="false">IF(AND(ISNUMBER($G230),$G230&gt;=60),MIN(INDEX($E$30:$E230,202-60):$E230),"")</f>
        <v>1116216</v>
      </c>
      <c r="O230" s="46" t="n">
        <f aca="false">IF(OR(NOT(ISNUMBER($C230)),NOT(ISNUMBER($M230)),$M230=0),"",$C230/$M230-1)</f>
        <v>-0.0546803613641546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1138952</v>
      </c>
      <c r="D231" s="42" t="n">
        <v>1141141</v>
      </c>
      <c r="E231" s="42" t="n">
        <v>1137538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-0.0117501696321196</v>
      </c>
      <c r="I231" s="45" t="n">
        <f aca="false">IF(AND(ISNUMBER($G231),$G231&gt;=MA_SHORT),AVERAGE(INDEX($C$5:$C231,228-MA_SHORT):$C231),"")</f>
        <v>1150341</v>
      </c>
      <c r="J231" s="45" t="n">
        <f aca="false">IF(AND(ISNUMBER($G231),$G231&gt;=MA_MED),AVERAGE(INDEX($C$5:$C231,228-MA_MED):$C231),"")</f>
        <v>1156331.06</v>
      </c>
      <c r="K231" s="45" t="n">
        <f aca="false">IF(AND(ISNUMBER($G231),$G231&gt;=MA_LONG2),AVERAGE(INDEX($C$5:$C231,228-MA_LONG2):$C231),"")</f>
        <v>1087109.945</v>
      </c>
      <c r="L231" s="46" t="n">
        <f aca="false">IF(AND(ISNUMBER($G231),$G231&gt;=21),STDEV(INDEX($H$171:$H231,62-20):$H231)*SQRT(245),"")</f>
        <v>0.183547911703507</v>
      </c>
      <c r="M231" s="45" t="n">
        <f aca="false">IF(AND(ISNUMBER($G231),$G231&gt;=60),MAX(INDEX($D$31:$D231,202-60):$D231),"")</f>
        <v>1209921</v>
      </c>
      <c r="N231" s="45" t="n">
        <f aca="false">IF(AND(ISNUMBER($G231),$G231&gt;=60),MIN(INDEX($E$31:$E231,202-60):$E231),"")</f>
        <v>1116216</v>
      </c>
      <c r="O231" s="46" t="n">
        <f aca="false">IF(OR(NOT(ISNUMBER($C231)),NOT(ISNUMBER($M231)),$M231=0),"",$C231/$M231-1)</f>
        <v>-0.0586558957155054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1135274</v>
      </c>
      <c r="D232" s="42" t="n">
        <v>1137249</v>
      </c>
      <c r="E232" s="42" t="n">
        <v>1135236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-0.00322928446501691</v>
      </c>
      <c r="I232" s="45" t="n">
        <f aca="false">IF(AND(ISNUMBER($G232),$G232&gt;=MA_SHORT),AVERAGE(INDEX($C$5:$C232,229-MA_SHORT):$C232),"")</f>
        <v>1148790.4</v>
      </c>
      <c r="J232" s="45" t="n">
        <f aca="false">IF(AND(ISNUMBER($G232),$G232&gt;=MA_MED),AVERAGE(INDEX($C$5:$C232,229-MA_MED):$C232),"")</f>
        <v>1155763.2</v>
      </c>
      <c r="K232" s="45" t="n">
        <f aca="false">IF(AND(ISNUMBER($G232),$G232&gt;=MA_LONG2),AVERAGE(INDEX($C$5:$C232,229-MA_LONG2):$C232),"")</f>
        <v>1088281.62</v>
      </c>
      <c r="L232" s="46" t="n">
        <f aca="false">IF(AND(ISNUMBER($G232),$G232&gt;=21),STDEV(INDEX($H$172:$H232,62-20):$H232)*SQRT(245),"")</f>
        <v>0.180910714977253</v>
      </c>
      <c r="M232" s="45" t="n">
        <f aca="false">IF(AND(ISNUMBER($G232),$G232&gt;=60),MAX(INDEX($D$32:$D232,202-60):$D232),"")</f>
        <v>1207891</v>
      </c>
      <c r="N232" s="45" t="n">
        <f aca="false">IF(AND(ISNUMBER($G232),$G232&gt;=60),MIN(INDEX($E$32:$E232,202-60):$E232),"")</f>
        <v>1116216</v>
      </c>
      <c r="O232" s="46" t="n">
        <f aca="false">IF(OR(NOT(ISNUMBER($C232)),NOT(ISNUMBER($M232)),$M232=0),"",$C232/$M232-1)</f>
        <v>-0.0601188352260262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1146087</v>
      </c>
      <c r="D233" s="42" t="n">
        <v>1150005</v>
      </c>
      <c r="E233" s="42" t="n">
        <v>1144470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0.00952457292248399</v>
      </c>
      <c r="I233" s="45" t="n">
        <f aca="false">IF(AND(ISNUMBER($G233),$G233&gt;=MA_SHORT),AVERAGE(INDEX($C$5:$C233,230-MA_SHORT):$C233),"")</f>
        <v>1147616.9</v>
      </c>
      <c r="J233" s="45" t="n">
        <f aca="false">IF(AND(ISNUMBER($G233),$G233&gt;=MA_MED),AVERAGE(INDEX($C$5:$C233,230-MA_MED):$C233),"")</f>
        <v>1155444.94</v>
      </c>
      <c r="K233" s="45" t="n">
        <f aca="false">IF(AND(ISNUMBER($G233),$G233&gt;=MA_LONG2),AVERAGE(INDEX($C$5:$C233,230-MA_LONG2):$C233),"")</f>
        <v>1089521.59</v>
      </c>
      <c r="L233" s="46" t="n">
        <f aca="false">IF(AND(ISNUMBER($G233),$G233&gt;=21),STDEV(INDEX($H$173:$H233,62-20):$H233)*SQRT(245),"")</f>
        <v>0.184364562020484</v>
      </c>
      <c r="M233" s="45" t="n">
        <f aca="false">IF(AND(ISNUMBER($G233),$G233&gt;=60),MAX(INDEX($D$33:$D233,202-60):$D233),"")</f>
        <v>1202129</v>
      </c>
      <c r="N233" s="45" t="n">
        <f aca="false">IF(AND(ISNUMBER($G233),$G233&gt;=60),MIN(INDEX($E$33:$E233,202-60):$E233),"")</f>
        <v>1116216</v>
      </c>
      <c r="O233" s="46" t="n">
        <f aca="false">IF(OR(NOT(ISNUMBER($C233)),NOT(ISNUMBER($M233)),$M233=0),"",$C233/$M233-1)</f>
        <v>-0.0466189568673578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1152591</v>
      </c>
      <c r="D234" s="42" t="n">
        <v>1153156</v>
      </c>
      <c r="E234" s="42" t="n">
        <v>1149145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0.00567496184844596</v>
      </c>
      <c r="I234" s="45" t="n">
        <f aca="false">IF(AND(ISNUMBER($G234),$G234&gt;=MA_SHORT),AVERAGE(INDEX($C$5:$C234,231-MA_SHORT):$C234),"")</f>
        <v>1146707.55</v>
      </c>
      <c r="J234" s="45" t="n">
        <f aca="false">IF(AND(ISNUMBER($G234),$G234&gt;=MA_MED),AVERAGE(INDEX($C$5:$C234,231-MA_MED):$C234),"")</f>
        <v>1155249.18</v>
      </c>
      <c r="K234" s="45" t="n">
        <f aca="false">IF(AND(ISNUMBER($G234),$G234&gt;=MA_LONG2),AVERAGE(INDEX($C$5:$C234,231-MA_LONG2):$C234),"")</f>
        <v>1090794.485</v>
      </c>
      <c r="L234" s="46" t="n">
        <f aca="false">IF(AND(ISNUMBER($G234),$G234&gt;=21),STDEV(INDEX($H$174:$H234,62-20):$H234)*SQRT(245),"")</f>
        <v>0.185717000796311</v>
      </c>
      <c r="M234" s="45" t="n">
        <f aca="false">IF(AND(ISNUMBER($G234),$G234&gt;=60),MAX(INDEX($D$34:$D234,202-60):$D234),"")</f>
        <v>1193471</v>
      </c>
      <c r="N234" s="45" t="n">
        <f aca="false">IF(AND(ISNUMBER($G234),$G234&gt;=60),MIN(INDEX($E$34:$E234,202-60):$E234),"")</f>
        <v>1116216</v>
      </c>
      <c r="O234" s="46" t="n">
        <f aca="false">IF(OR(NOT(ISNUMBER($C234)),NOT(ISNUMBER($M234)),$M234=0),"",$C234/$M234-1)</f>
        <v>-0.0342530317033258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1152305</v>
      </c>
      <c r="D235" s="42" t="n">
        <v>1154440</v>
      </c>
      <c r="E235" s="42" t="n">
        <v>1152209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-0.00024813658964884</v>
      </c>
      <c r="I235" s="45" t="n">
        <f aca="false">IF(AND(ISNUMBER($G235),$G235&gt;=MA_SHORT),AVERAGE(INDEX($C$5:$C235,232-MA_SHORT):$C235),"")</f>
        <v>1145797.1</v>
      </c>
      <c r="J235" s="45" t="n">
        <f aca="false">IF(AND(ISNUMBER($G235),$G235&gt;=MA_MED),AVERAGE(INDEX($C$5:$C235,232-MA_MED):$C235),"")</f>
        <v>1155424.42</v>
      </c>
      <c r="K235" s="45" t="n">
        <f aca="false">IF(AND(ISNUMBER($G235),$G235&gt;=MA_LONG2),AVERAGE(INDEX($C$5:$C235,232-MA_LONG2):$C235),"")</f>
        <v>1092087.115</v>
      </c>
      <c r="L235" s="46" t="n">
        <f aca="false">IF(AND(ISNUMBER($G235),$G235&gt;=21),STDEV(INDEX($H$175:$H235,62-20):$H235)*SQRT(245),"")</f>
        <v>0.185716247125351</v>
      </c>
      <c r="M235" s="45" t="n">
        <f aca="false">IF(AND(ISNUMBER($G235),$G235&gt;=60),MAX(INDEX($D$35:$D235,202-60):$D235),"")</f>
        <v>1193471</v>
      </c>
      <c r="N235" s="45" t="n">
        <f aca="false">IF(AND(ISNUMBER($G235),$G235&gt;=60),MIN(INDEX($E$35:$E235,202-60):$E235),"")</f>
        <v>1116216</v>
      </c>
      <c r="O235" s="46" t="n">
        <f aca="false">IF(OR(NOT(ISNUMBER($C235)),NOT(ISNUMBER($M235)),$M235=0),"",$C235/$M235-1)</f>
        <v>-0.0344926688625027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1141192</v>
      </c>
      <c r="D236" s="42" t="n">
        <v>1144530</v>
      </c>
      <c r="E236" s="42" t="n">
        <v>1140366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-0.00964414803372371</v>
      </c>
      <c r="I236" s="45" t="n">
        <f aca="false">IF(AND(ISNUMBER($G236),$G236&gt;=MA_SHORT),AVERAGE(INDEX($C$5:$C236,233-MA_SHORT):$C236),"")</f>
        <v>1144089.05</v>
      </c>
      <c r="J236" s="45" t="n">
        <f aca="false">IF(AND(ISNUMBER($G236),$G236&gt;=MA_MED),AVERAGE(INDEX($C$5:$C236,233-MA_MED):$C236),"")</f>
        <v>1155388.32</v>
      </c>
      <c r="K236" s="45" t="n">
        <f aca="false">IF(AND(ISNUMBER($G236),$G236&gt;=MA_LONG2),AVERAGE(INDEX($C$5:$C236,233-MA_LONG2):$C236),"")</f>
        <v>1093284.825</v>
      </c>
      <c r="L236" s="46" t="n">
        <f aca="false">IF(AND(ISNUMBER($G236),$G236&gt;=21),STDEV(INDEX($H$176:$H236,62-20):$H236)*SQRT(245),"")</f>
        <v>0.187329684402181</v>
      </c>
      <c r="M236" s="45" t="n">
        <f aca="false">IF(AND(ISNUMBER($G236),$G236&gt;=60),MAX(INDEX($D$36:$D236,202-60):$D236),"")</f>
        <v>1193471</v>
      </c>
      <c r="N236" s="45" t="n">
        <f aca="false">IF(AND(ISNUMBER($G236),$G236&gt;=60),MIN(INDEX($E$36:$E236,202-60):$E236),"")</f>
        <v>1116216</v>
      </c>
      <c r="O236" s="46" t="n">
        <f aca="false">IF(OR(NOT(ISNUMBER($C236)),NOT(ISNUMBER($M236)),$M236=0),"",$C236/$M236-1)</f>
        <v>-0.0438041644916383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1149396</v>
      </c>
      <c r="D237" s="42" t="n">
        <v>1149798</v>
      </c>
      <c r="E237" s="42" t="n">
        <v>1145445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0.00718897433560706</v>
      </c>
      <c r="I237" s="45" t="n">
        <f aca="false">IF(AND(ISNUMBER($G237),$G237&gt;=MA_SHORT),AVERAGE(INDEX($C$5:$C237,234-MA_SHORT):$C237),"")</f>
        <v>1142735.05</v>
      </c>
      <c r="J237" s="45" t="n">
        <f aca="false">IF(AND(ISNUMBER($G237),$G237&gt;=MA_MED),AVERAGE(INDEX($C$5:$C237,234-MA_MED):$C237),"")</f>
        <v>1155538.36</v>
      </c>
      <c r="K237" s="45" t="n">
        <f aca="false">IF(AND(ISNUMBER($G237),$G237&gt;=MA_LONG2),AVERAGE(INDEX($C$5:$C237,234-MA_LONG2):$C237),"")</f>
        <v>1094529.105</v>
      </c>
      <c r="L237" s="46" t="n">
        <f aca="false">IF(AND(ISNUMBER($G237),$G237&gt;=21),STDEV(INDEX($H$177:$H237,62-20):$H237)*SQRT(245),"")</f>
        <v>0.189599502105559</v>
      </c>
      <c r="M237" s="45" t="n">
        <f aca="false">IF(AND(ISNUMBER($G237),$G237&gt;=60),MAX(INDEX($D$37:$D237,202-60):$D237),"")</f>
        <v>1193336</v>
      </c>
      <c r="N237" s="45" t="n">
        <f aca="false">IF(AND(ISNUMBER($G237),$G237&gt;=60),MIN(INDEX($E$37:$E237,202-60):$E237),"")</f>
        <v>1116216</v>
      </c>
      <c r="O237" s="46" t="n">
        <f aca="false">IF(OR(NOT(ISNUMBER($C237)),NOT(ISNUMBER($M237)),$M237=0),"",$C237/$M237-1)</f>
        <v>-0.0368211467683871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1150434</v>
      </c>
      <c r="D238" s="42" t="n">
        <v>1152571</v>
      </c>
      <c r="E238" s="42" t="n">
        <v>1148022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0.000903083010555195</v>
      </c>
      <c r="I238" s="45" t="n">
        <f aca="false">IF(AND(ISNUMBER($G238),$G238&gt;=MA_SHORT),AVERAGE(INDEX($C$5:$C238,235-MA_SHORT):$C238),"")</f>
        <v>1142225.85</v>
      </c>
      <c r="J238" s="45" t="n">
        <f aca="false">IF(AND(ISNUMBER($G238),$G238&gt;=MA_MED),AVERAGE(INDEX($C$5:$C238,235-MA_MED):$C238),"")</f>
        <v>1156148.66</v>
      </c>
      <c r="K238" s="45" t="n">
        <f aca="false">IF(AND(ISNUMBER($G238),$G238&gt;=MA_LONG2),AVERAGE(INDEX($C$5:$C238,235-MA_LONG2):$C238),"")</f>
        <v>1095757.92</v>
      </c>
      <c r="L238" s="46" t="n">
        <f aca="false">IF(AND(ISNUMBER($G238),$G238&gt;=21),STDEV(INDEX($H$178:$H238,62-20):$H238)*SQRT(245),"")</f>
        <v>0.184087043697363</v>
      </c>
      <c r="M238" s="45" t="n">
        <f aca="false">IF(AND(ISNUMBER($G238),$G238&gt;=60),MAX(INDEX($D$38:$D238,202-60):$D238),"")</f>
        <v>1193336</v>
      </c>
      <c r="N238" s="45" t="n">
        <f aca="false">IF(AND(ISNUMBER($G238),$G238&gt;=60),MIN(INDEX($E$38:$E238,202-60):$E238),"")</f>
        <v>1116216</v>
      </c>
      <c r="O238" s="46" t="n">
        <f aca="false">IF(OR(NOT(ISNUMBER($C238)),NOT(ISNUMBER($M238)),$M238=0),"",$C238/$M238-1)</f>
        <v>-0.0359513163099077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1160655</v>
      </c>
      <c r="D239" s="42" t="n">
        <v>1161039</v>
      </c>
      <c r="E239" s="42" t="n">
        <v>1157778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0.00888447316404073</v>
      </c>
      <c r="I239" s="45" t="n">
        <f aca="false">IF(AND(ISNUMBER($G239),$G239&gt;=MA_SHORT),AVERAGE(INDEX($C$5:$C239,236-MA_SHORT):$C239),"")</f>
        <v>1143450.9</v>
      </c>
      <c r="J239" s="45" t="n">
        <f aca="false">IF(AND(ISNUMBER($G239),$G239&gt;=MA_MED),AVERAGE(INDEX($C$5:$C239,236-MA_MED):$C239),"")</f>
        <v>1156834.9</v>
      </c>
      <c r="K239" s="45" t="n">
        <f aca="false">IF(AND(ISNUMBER($G239),$G239&gt;=MA_LONG2),AVERAGE(INDEX($C$5:$C239,236-MA_LONG2):$C239),"")</f>
        <v>1097012.48</v>
      </c>
      <c r="L239" s="46" t="n">
        <f aca="false">IF(AND(ISNUMBER($G239),$G239&gt;=21),STDEV(INDEX($H$179:$H239,62-20):$H239)*SQRT(245),"")</f>
        <v>0.169963391368562</v>
      </c>
      <c r="M239" s="45" t="n">
        <f aca="false">IF(AND(ISNUMBER($G239),$G239&gt;=60),MAX(INDEX($D$39:$D239,202-60):$D239),"")</f>
        <v>1193336</v>
      </c>
      <c r="N239" s="45" t="n">
        <f aca="false">IF(AND(ISNUMBER($G239),$G239&gt;=60),MIN(INDEX($E$39:$E239,202-60):$E239),"")</f>
        <v>1116216</v>
      </c>
      <c r="O239" s="46" t="n">
        <f aca="false">IF(OR(NOT(ISNUMBER($C239)),NOT(ISNUMBER($M239)),$M239=0),"",$C239/$M239-1)</f>
        <v>-0.0273862516508343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1110692</v>
      </c>
      <c r="D240" s="42" t="n">
        <v>1113001</v>
      </c>
      <c r="E240" s="42" t="n">
        <v>1109599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-0.0430472448746613</v>
      </c>
      <c r="I240" s="45" t="n">
        <f aca="false">IF(AND(ISNUMBER($G240),$G240&gt;=MA_SHORT),AVERAGE(INDEX($C$5:$C240,237-MA_SHORT):$C240),"")</f>
        <v>1141873.6</v>
      </c>
      <c r="J240" s="45" t="n">
        <f aca="false">IF(AND(ISNUMBER($G240),$G240&gt;=MA_MED),AVERAGE(INDEX($C$5:$C240,237-MA_MED):$C240),"")</f>
        <v>1156475.76</v>
      </c>
      <c r="K240" s="45" t="n">
        <f aca="false">IF(AND(ISNUMBER($G240),$G240&gt;=MA_LONG2),AVERAGE(INDEX($C$5:$C240,237-MA_LONG2):$C240),"")</f>
        <v>1097961.21</v>
      </c>
      <c r="L240" s="46" t="n">
        <f aca="false">IF(AND(ISNUMBER($G240),$G240&gt;=21),STDEV(INDEX($H$180:$H240,62-20):$H240)*SQRT(245),"")</f>
        <v>0.228701353789079</v>
      </c>
      <c r="M240" s="45" t="n">
        <f aca="false">IF(AND(ISNUMBER($G240),$G240&gt;=60),MAX(INDEX($D$40:$D240,202-60):$D240),"")</f>
        <v>1193336</v>
      </c>
      <c r="N240" s="45" t="n">
        <f aca="false">IF(AND(ISNUMBER($G240),$G240&gt;=60),MIN(INDEX($E$40:$E240,202-60):$E240),"")</f>
        <v>1109599</v>
      </c>
      <c r="O240" s="46" t="n">
        <f aca="false">IF(OR(NOT(ISNUMBER($C240)),NOT(ISNUMBER($M240)),$M240=0),"",$C240/$M240-1)</f>
        <v>-0.0692545938444831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1134402</v>
      </c>
      <c r="D241" s="42" t="n">
        <v>1137609</v>
      </c>
      <c r="E241" s="42" t="n">
        <v>1134376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0.0213470521080552</v>
      </c>
      <c r="I241" s="45" t="n">
        <f aca="false">IF(AND(ISNUMBER($G241),$G241&gt;=MA_SHORT),AVERAGE(INDEX($C$5:$C241,238-MA_SHORT):$C241),"")</f>
        <v>1142122.9</v>
      </c>
      <c r="J241" s="45" t="n">
        <f aca="false">IF(AND(ISNUMBER($G241),$G241&gt;=MA_MED),AVERAGE(INDEX($C$5:$C241,238-MA_MED):$C241),"")</f>
        <v>1156384.4</v>
      </c>
      <c r="K241" s="45" t="n">
        <f aca="false">IF(AND(ISNUMBER($G241),$G241&gt;=MA_LONG2),AVERAGE(INDEX($C$5:$C241,238-MA_LONG2):$C241),"")</f>
        <v>1098977.88</v>
      </c>
      <c r="L241" s="46" t="n">
        <f aca="false">IF(AND(ISNUMBER($G241),$G241&gt;=21),STDEV(INDEX($H$181:$H241,62-20):$H241)*SQRT(245),"")</f>
        <v>0.238664737857514</v>
      </c>
      <c r="M241" s="45" t="n">
        <f aca="false">IF(AND(ISNUMBER($G241),$G241&gt;=60),MAX(INDEX($D$41:$D241,202-60):$D241),"")</f>
        <v>1193336</v>
      </c>
      <c r="N241" s="45" t="n">
        <f aca="false">IF(AND(ISNUMBER($G241),$G241&gt;=60),MIN(INDEX($E$41:$E241,202-60):$E241),"")</f>
        <v>1109599</v>
      </c>
      <c r="O241" s="46" t="n">
        <f aca="false">IF(OR(NOT(ISNUMBER($C241)),NOT(ISNUMBER($M241)),$M241=0),"",$C241/$M241-1)</f>
        <v>-0.0493859231599483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1100841</v>
      </c>
      <c r="D242" s="42" t="n">
        <v>1102303</v>
      </c>
      <c r="E242" s="42" t="n">
        <v>1097662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-0.0295847503794952</v>
      </c>
      <c r="I242" s="45" t="n">
        <f aca="false">IF(AND(ISNUMBER($G242),$G242&gt;=MA_SHORT),AVERAGE(INDEX($C$5:$C242,239-MA_SHORT):$C242),"")</f>
        <v>1140080.35</v>
      </c>
      <c r="J242" s="45" t="n">
        <f aca="false">IF(AND(ISNUMBER($G242),$G242&gt;=MA_MED),AVERAGE(INDEX($C$5:$C242,239-MA_MED):$C242),"")</f>
        <v>1155519.62</v>
      </c>
      <c r="K242" s="45" t="n">
        <f aca="false">IF(AND(ISNUMBER($G242),$G242&gt;=MA_LONG2),AVERAGE(INDEX($C$5:$C242,239-MA_LONG2):$C242),"")</f>
        <v>1099770.265</v>
      </c>
      <c r="L242" s="46" t="n">
        <f aca="false">IF(AND(ISNUMBER($G242),$G242&gt;=21),STDEV(INDEX($H$182:$H242,62-20):$H242)*SQRT(245),"")</f>
        <v>0.256933280520506</v>
      </c>
      <c r="M242" s="45" t="n">
        <f aca="false">IF(AND(ISNUMBER($G242),$G242&gt;=60),MAX(INDEX($D$42:$D242,202-60):$D242),"")</f>
        <v>1193336</v>
      </c>
      <c r="N242" s="45" t="n">
        <f aca="false">IF(AND(ISNUMBER($G242),$G242&gt;=60),MIN(INDEX($E$42:$E242,202-60):$E242),"")</f>
        <v>1097662</v>
      </c>
      <c r="O242" s="46" t="n">
        <f aca="false">IF(OR(NOT(ISNUMBER($C242)),NOT(ISNUMBER($M242)),$M242=0),"",$C242/$M242-1)</f>
        <v>-0.0775096033304954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1107196</v>
      </c>
      <c r="D243" s="42" t="n">
        <v>1108952</v>
      </c>
      <c r="E243" s="42" t="n">
        <v>1105937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0.00577285911407732</v>
      </c>
      <c r="I243" s="45" t="n">
        <f aca="false">IF(AND(ISNUMBER($G243),$G243&gt;=MA_SHORT),AVERAGE(INDEX($C$5:$C243,240-MA_SHORT):$C243),"")</f>
        <v>1139496.4</v>
      </c>
      <c r="J243" s="45" t="n">
        <f aca="false">IF(AND(ISNUMBER($G243),$G243&gt;=MA_MED),AVERAGE(INDEX($C$5:$C243,240-MA_MED):$C243),"")</f>
        <v>1154575.1</v>
      </c>
      <c r="K243" s="45" t="n">
        <f aca="false">IF(AND(ISNUMBER($G243),$G243&gt;=MA_LONG2),AVERAGE(INDEX($C$5:$C243,240-MA_LONG2):$C243),"")</f>
        <v>1100544.33</v>
      </c>
      <c r="L243" s="46" t="n">
        <f aca="false">IF(AND(ISNUMBER($G243),$G243&gt;=21),STDEV(INDEX($H$183:$H243,62-20):$H243)*SQRT(245),"")</f>
        <v>0.248977131072465</v>
      </c>
      <c r="M243" s="45" t="n">
        <f aca="false">IF(AND(ISNUMBER($G243),$G243&gt;=60),MAX(INDEX($D$43:$D243,202-60):$D243),"")</f>
        <v>1193336</v>
      </c>
      <c r="N243" s="45" t="n">
        <f aca="false">IF(AND(ISNUMBER($G243),$G243&gt;=60),MIN(INDEX($E$43:$E243,202-60):$E243),"")</f>
        <v>1097662</v>
      </c>
      <c r="O243" s="46" t="n">
        <f aca="false">IF(OR(NOT(ISNUMBER($C243)),NOT(ISNUMBER($M243)),$M243=0),"",$C243/$M243-1)</f>
        <v>-0.072184196236433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1096127</v>
      </c>
      <c r="D244" s="42" t="n">
        <v>1096630</v>
      </c>
      <c r="E244" s="42" t="n">
        <v>1095160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-0.00999732657993702</v>
      </c>
      <c r="I244" s="45" t="n">
        <f aca="false">IF(AND(ISNUMBER($G244),$G244&gt;=MA_SHORT),AVERAGE(INDEX($C$5:$C244,241-MA_SHORT):$C244),"")</f>
        <v>1137819.45</v>
      </c>
      <c r="J244" s="45" t="n">
        <f aca="false">IF(AND(ISNUMBER($G244),$G244&gt;=MA_MED),AVERAGE(INDEX($C$5:$C244,241-MA_MED):$C244),"")</f>
        <v>1153241.26</v>
      </c>
      <c r="K244" s="45" t="n">
        <f aca="false">IF(AND(ISNUMBER($G244),$G244&gt;=MA_LONG2),AVERAGE(INDEX($C$5:$C244,241-MA_LONG2):$C244),"")</f>
        <v>1101220.105</v>
      </c>
      <c r="L244" s="46" t="n">
        <f aca="false">IF(AND(ISNUMBER($G244),$G244&gt;=21),STDEV(INDEX($H$184:$H244,62-20):$H244)*SQRT(245),"")</f>
        <v>0.248246053720012</v>
      </c>
      <c r="M244" s="45" t="n">
        <f aca="false">IF(AND(ISNUMBER($G244),$G244&gt;=60),MAX(INDEX($D$44:$D244,202-60):$D244),"")</f>
        <v>1193336</v>
      </c>
      <c r="N244" s="45" t="n">
        <f aca="false">IF(AND(ISNUMBER($G244),$G244&gt;=60),MIN(INDEX($E$44:$E244,202-60):$E244),"")</f>
        <v>1095160</v>
      </c>
      <c r="O244" s="46" t="n">
        <f aca="false">IF(OR(NOT(ISNUMBER($C244)),NOT(ISNUMBER($M244)),$M244=0),"",$C244/$M244-1)</f>
        <v>-0.0814598738326842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1100834</v>
      </c>
      <c r="D245" s="42" t="n">
        <v>1100944</v>
      </c>
      <c r="E245" s="42" t="n">
        <v>1098060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0.00429421043364497</v>
      </c>
      <c r="I245" s="45" t="n">
        <f aca="false">IF(AND(ISNUMBER($G245),$G245&gt;=MA_SHORT),AVERAGE(INDEX($C$5:$C245,242-MA_SHORT):$C245),"")</f>
        <v>1136647.45</v>
      </c>
      <c r="J245" s="45" t="n">
        <f aca="false">IF(AND(ISNUMBER($G245),$G245&gt;=MA_MED),AVERAGE(INDEX($C$5:$C245,242-MA_MED):$C245),"")</f>
        <v>1151652.88</v>
      </c>
      <c r="K245" s="45" t="n">
        <f aca="false">IF(AND(ISNUMBER($G245),$G245&gt;=MA_LONG2),AVERAGE(INDEX($C$5:$C245,242-MA_LONG2):$C245),"")</f>
        <v>1101889.955</v>
      </c>
      <c r="L245" s="46" t="n">
        <f aca="false">IF(AND(ISNUMBER($G245),$G245&gt;=21),STDEV(INDEX($H$185:$H245,62-20):$H245)*SQRT(245),"")</f>
        <v>0.248678487072814</v>
      </c>
      <c r="M245" s="45" t="n">
        <f aca="false">IF(AND(ISNUMBER($G245),$G245&gt;=60),MAX(INDEX($D$45:$D245,202-60):$D245),"")</f>
        <v>1193336</v>
      </c>
      <c r="N245" s="45" t="n">
        <f aca="false">IF(AND(ISNUMBER($G245),$G245&gt;=60),MIN(INDEX($E$45:$E245,202-60):$E245),"")</f>
        <v>1095160</v>
      </c>
      <c r="O245" s="46" t="n">
        <f aca="false">IF(OR(NOT(ISNUMBER($C245)),NOT(ISNUMBER($M245)),$M245=0),"",$C245/$M245-1)</f>
        <v>-0.0775154692391749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1101387</v>
      </c>
      <c r="D246" s="42" t="n">
        <v>1102839</v>
      </c>
      <c r="E246" s="42" t="n">
        <v>1096310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0.00050234640281821</v>
      </c>
      <c r="I246" s="45" t="n">
        <f aca="false">IF(AND(ISNUMBER($G246),$G246&gt;=MA_SHORT),AVERAGE(INDEX($C$5:$C246,243-MA_SHORT):$C246),"")</f>
        <v>1135522.85</v>
      </c>
      <c r="J246" s="45" t="n">
        <f aca="false">IF(AND(ISNUMBER($G246),$G246&gt;=MA_MED),AVERAGE(INDEX($C$5:$C246,243-MA_MED):$C246),"")</f>
        <v>1149963.36</v>
      </c>
      <c r="K246" s="45" t="n">
        <f aca="false">IF(AND(ISNUMBER($G246),$G246&gt;=MA_LONG2),AVERAGE(INDEX($C$5:$C246,243-MA_LONG2):$C246),"")</f>
        <v>1102642.68</v>
      </c>
      <c r="L246" s="46" t="n">
        <f aca="false">IF(AND(ISNUMBER($G246),$G246&gt;=21),STDEV(INDEX($H$186:$H246,62-20):$H246)*SQRT(245),"")</f>
        <v>0.248722123647377</v>
      </c>
      <c r="M246" s="45" t="n">
        <f aca="false">IF(AND(ISNUMBER($G246),$G246&gt;=60),MAX(INDEX($D$46:$D246,202-60):$D246),"")</f>
        <v>1193336</v>
      </c>
      <c r="N246" s="45" t="n">
        <f aca="false">IF(AND(ISNUMBER($G246),$G246&gt;=60),MIN(INDEX($E$46:$E246,202-60):$E246),"")</f>
        <v>1095160</v>
      </c>
      <c r="O246" s="46" t="n">
        <f aca="false">IF(OR(NOT(ISNUMBER($C246)),NOT(ISNUMBER($M246)),$M246=0),"",$C246/$M246-1)</f>
        <v>-0.0770520624534917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1108844</v>
      </c>
      <c r="D247" s="42" t="n">
        <v>1114834</v>
      </c>
      <c r="E247" s="42" t="n">
        <v>1107006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0.00677055385618308</v>
      </c>
      <c r="I247" s="45" t="n">
        <f aca="false">IF(AND(ISNUMBER($G247),$G247&gt;=MA_SHORT),AVERAGE(INDEX($C$5:$C247,244-MA_SHORT):$C247),"")</f>
        <v>1133825.7</v>
      </c>
      <c r="J247" s="45" t="n">
        <f aca="false">IF(AND(ISNUMBER($G247),$G247&gt;=MA_MED),AVERAGE(INDEX($C$5:$C247,244-MA_MED):$C247),"")</f>
        <v>1148491.78</v>
      </c>
      <c r="K247" s="45" t="n">
        <f aca="false">IF(AND(ISNUMBER($G247),$G247&gt;=MA_LONG2),AVERAGE(INDEX($C$5:$C247,244-MA_LONG2):$C247),"")</f>
        <v>1103441.425</v>
      </c>
      <c r="L247" s="46" t="n">
        <f aca="false">IF(AND(ISNUMBER($G247),$G247&gt;=21),STDEV(INDEX($H$187:$H247,62-20):$H247)*SQRT(245),"")</f>
        <v>0.241885042715161</v>
      </c>
      <c r="M247" s="45" t="n">
        <f aca="false">IF(AND(ISNUMBER($G247),$G247&gt;=60),MAX(INDEX($D$47:$D247,202-60):$D247),"")</f>
        <v>1193336</v>
      </c>
      <c r="N247" s="45" t="n">
        <f aca="false">IF(AND(ISNUMBER($G247),$G247&gt;=60),MIN(INDEX($E$47:$E247,202-60):$E247),"")</f>
        <v>1095160</v>
      </c>
      <c r="O247" s="46" t="n">
        <f aca="false">IF(OR(NOT(ISNUMBER($C247)),NOT(ISNUMBER($M247)),$M247=0),"",$C247/$M247-1)</f>
        <v>-0.07080319373588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1092265</v>
      </c>
      <c r="D248" s="42" t="n">
        <v>1097055</v>
      </c>
      <c r="E248" s="42" t="n">
        <v>1086696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-0.0149516072594522</v>
      </c>
      <c r="I248" s="45" t="n">
        <f aca="false">IF(AND(ISNUMBER($G248),$G248&gt;=MA_SHORT),AVERAGE(INDEX($C$5:$C248,245-MA_SHORT):$C248),"")</f>
        <v>1129990.9</v>
      </c>
      <c r="J248" s="45" t="n">
        <f aca="false">IF(AND(ISNUMBER($G248),$G248&gt;=MA_MED),AVERAGE(INDEX($C$5:$C248,245-MA_MED):$C248),"")</f>
        <v>1146641.06</v>
      </c>
      <c r="K248" s="45" t="n">
        <f aca="false">IF(AND(ISNUMBER($G248),$G248&gt;=MA_LONG2),AVERAGE(INDEX($C$5:$C248,245-MA_LONG2):$C248),"")</f>
        <v>1104227.38</v>
      </c>
      <c r="L248" s="46" t="n">
        <f aca="false">IF(AND(ISNUMBER($G248),$G248&gt;=21),STDEV(INDEX($H$188:$H248,62-20):$H248)*SQRT(245),"")</f>
        <v>0.228788405035582</v>
      </c>
      <c r="M248" s="45" t="n">
        <f aca="false">IF(AND(ISNUMBER($G248),$G248&gt;=60),MAX(INDEX($D$48:$D248,202-60):$D248),"")</f>
        <v>1193336</v>
      </c>
      <c r="N248" s="45" t="n">
        <f aca="false">IF(AND(ISNUMBER($G248),$G248&gt;=60),MIN(INDEX($E$48:$E248,202-60):$E248),"")</f>
        <v>1086696</v>
      </c>
      <c r="O248" s="46" t="n">
        <f aca="false">IF(OR(NOT(ISNUMBER($C248)),NOT(ISNUMBER($M248)),$M248=0),"",$C248/$M248-1)</f>
        <v>-0.0846961794498783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1083074</v>
      </c>
      <c r="D249" s="42" t="n">
        <v>1083393</v>
      </c>
      <c r="E249" s="42" t="n">
        <v>1081044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-0.00841462465610454</v>
      </c>
      <c r="I249" s="45" t="n">
        <f aca="false">IF(AND(ISNUMBER($G249),$G249&gt;=MA_SHORT),AVERAGE(INDEX($C$5:$C249,246-MA_SHORT):$C249),"")</f>
        <v>1125752.1</v>
      </c>
      <c r="J249" s="45" t="n">
        <f aca="false">IF(AND(ISNUMBER($G249),$G249&gt;=MA_MED),AVERAGE(INDEX($C$5:$C249,246-MA_MED):$C249),"")</f>
        <v>1144614.3</v>
      </c>
      <c r="K249" s="45" t="n">
        <f aca="false">IF(AND(ISNUMBER($G249),$G249&gt;=MA_LONG2),AVERAGE(INDEX($C$5:$C249,246-MA_LONG2):$C249),"")</f>
        <v>1104981.09</v>
      </c>
      <c r="L249" s="46" t="n">
        <f aca="false">IF(AND(ISNUMBER($G249),$G249&gt;=21),STDEV(INDEX($H$189:$H249,62-20):$H249)*SQRT(245),"")</f>
        <v>0.229297491195594</v>
      </c>
      <c r="M249" s="45" t="n">
        <f aca="false">IF(AND(ISNUMBER($G249),$G249&gt;=60),MAX(INDEX($D$49:$D249,202-60):$D249),"")</f>
        <v>1193336</v>
      </c>
      <c r="N249" s="45" t="n">
        <f aca="false">IF(AND(ISNUMBER($G249),$G249&gt;=60),MIN(INDEX($E$49:$E249,202-60):$E249),"")</f>
        <v>1081044</v>
      </c>
      <c r="O249" s="46" t="n">
        <f aca="false">IF(OR(NOT(ISNUMBER($C249)),NOT(ISNUMBER($M249)),$M249=0),"",$C249/$M249-1)</f>
        <v>-0.0923981175461061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1075057</v>
      </c>
      <c r="D250" s="42" t="n">
        <v>1075923</v>
      </c>
      <c r="E250" s="42" t="n">
        <v>1069552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-0.00740207963629447</v>
      </c>
      <c r="I250" s="45" t="n">
        <f aca="false">IF(AND(ISNUMBER($G250),$G250&gt;=MA_SHORT),AVERAGE(INDEX($C$5:$C250,247-MA_SHORT):$C250),"")</f>
        <v>1121880.25</v>
      </c>
      <c r="J250" s="45" t="n">
        <f aca="false">IF(AND(ISNUMBER($G250),$G250&gt;=MA_MED),AVERAGE(INDEX($C$5:$C250,247-MA_MED):$C250),"")</f>
        <v>1142744.48</v>
      </c>
      <c r="K250" s="45" t="n">
        <f aca="false">IF(AND(ISNUMBER($G250),$G250&gt;=MA_LONG2),AVERAGE(INDEX($C$5:$C250,247-MA_LONG2):$C250),"")</f>
        <v>1105606.475</v>
      </c>
      <c r="L250" s="46" t="n">
        <f aca="false">IF(AND(ISNUMBER($G250),$G250&gt;=21),STDEV(INDEX($H$190:$H250,62-20):$H250)*SQRT(245),"")</f>
        <v>0.227101787569808</v>
      </c>
      <c r="M250" s="45" t="n">
        <f aca="false">IF(AND(ISNUMBER($G250),$G250&gt;=60),MAX(INDEX($D$50:$D250,202-60):$D250),"")</f>
        <v>1193336</v>
      </c>
      <c r="N250" s="45" t="n">
        <f aca="false">IF(AND(ISNUMBER($G250),$G250&gt;=60),MIN(INDEX($E$50:$E250,202-60):$E250),"")</f>
        <v>1069552</v>
      </c>
      <c r="O250" s="46" t="n">
        <f aca="false">IF(OR(NOT(ISNUMBER($C250)),NOT(ISNUMBER($M250)),$M250=0),"",$C250/$M250-1)</f>
        <v>-0.0991162589580805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1074578</v>
      </c>
      <c r="D251" s="42" t="n">
        <v>1075301</v>
      </c>
      <c r="E251" s="42" t="n">
        <v>1073034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-0.000445557770425209</v>
      </c>
      <c r="I251" s="45" t="n">
        <f aca="false">IF(AND(ISNUMBER($G251),$G251&gt;=MA_SHORT),AVERAGE(INDEX($C$5:$C251,248-MA_SHORT):$C251),"")</f>
        <v>1118661.55</v>
      </c>
      <c r="J251" s="45" t="n">
        <f aca="false">IF(AND(ISNUMBER($G251),$G251&gt;=MA_MED),AVERAGE(INDEX($C$5:$C251,248-MA_MED):$C251),"")</f>
        <v>1141077.44</v>
      </c>
      <c r="K251" s="45" t="n">
        <f aca="false">IF(AND(ISNUMBER($G251),$G251&gt;=MA_LONG2),AVERAGE(INDEX($C$5:$C251,248-MA_LONG2):$C251),"")</f>
        <v>1106273.385</v>
      </c>
      <c r="L251" s="46" t="n">
        <f aca="false">IF(AND(ISNUMBER($G251),$G251&gt;=21),STDEV(INDEX($H$191:$H251,62-20):$H251)*SQRT(245),"")</f>
        <v>0.225161361061947</v>
      </c>
      <c r="M251" s="45" t="n">
        <f aca="false">IF(AND(ISNUMBER($G251),$G251&gt;=60),MAX(INDEX($D$51:$D251,202-60):$D251),"")</f>
        <v>1193336</v>
      </c>
      <c r="N251" s="45" t="n">
        <f aca="false">IF(AND(ISNUMBER($G251),$G251&gt;=60),MIN(INDEX($E$51:$E251,202-60):$E251),"")</f>
        <v>1069552</v>
      </c>
      <c r="O251" s="46" t="n">
        <f aca="false">IF(OR(NOT(ISNUMBER($C251)),NOT(ISNUMBER($M251)),$M251=0),"",$C251/$M251-1)</f>
        <v>-0.0995176547091515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1067699</v>
      </c>
      <c r="D252" s="42" t="n">
        <v>1073409</v>
      </c>
      <c r="E252" s="42" t="n">
        <v>1063008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-0.00640158276086056</v>
      </c>
      <c r="I252" s="45" t="n">
        <f aca="false">IF(AND(ISNUMBER($G252),$G252&gt;=MA_SHORT),AVERAGE(INDEX($C$5:$C252,249-MA_SHORT):$C252),"")</f>
        <v>1115282.8</v>
      </c>
      <c r="J252" s="45" t="n">
        <f aca="false">IF(AND(ISNUMBER($G252),$G252&gt;=MA_MED),AVERAGE(INDEX($C$5:$C252,249-MA_MED):$C252),"")</f>
        <v>1139263.32</v>
      </c>
      <c r="K252" s="45" t="n">
        <f aca="false">IF(AND(ISNUMBER($G252),$G252&gt;=MA_LONG2),AVERAGE(INDEX($C$5:$C252,249-MA_LONG2):$C252),"")</f>
        <v>1106959.015</v>
      </c>
      <c r="L252" s="46" t="n">
        <f aca="false">IF(AND(ISNUMBER($G252),$G252&gt;=21),STDEV(INDEX($H$192:$H252,62-20):$H252)*SQRT(245),"")</f>
        <v>0.225511908284308</v>
      </c>
      <c r="M252" s="45" t="n">
        <f aca="false">IF(AND(ISNUMBER($G252),$G252&gt;=60),MAX(INDEX($D$52:$D252,202-60):$D252),"")</f>
        <v>1193336</v>
      </c>
      <c r="N252" s="45" t="n">
        <f aca="false">IF(AND(ISNUMBER($G252),$G252&gt;=60),MIN(INDEX($E$52:$E252,202-60):$E252),"")</f>
        <v>1063008</v>
      </c>
      <c r="O252" s="46" t="n">
        <f aca="false">IF(OR(NOT(ISNUMBER($C252)),NOT(ISNUMBER($M252)),$M252=0),"",$C252/$M252-1)</f>
        <v>-0.105282166967225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1056520</v>
      </c>
      <c r="D253" s="42" t="n">
        <v>1058512</v>
      </c>
      <c r="E253" s="42" t="n">
        <v>1056200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-0.0104701793295676</v>
      </c>
      <c r="I253" s="45" t="n">
        <f aca="false">IF(AND(ISNUMBER($G253),$G253&gt;=MA_SHORT),AVERAGE(INDEX($C$5:$C253,250-MA_SHORT):$C253),"")</f>
        <v>1110804.45</v>
      </c>
      <c r="J253" s="45" t="n">
        <f aca="false">IF(AND(ISNUMBER($G253),$G253&gt;=MA_MED),AVERAGE(INDEX($C$5:$C253,250-MA_MED):$C253),"")</f>
        <v>1136984.92</v>
      </c>
      <c r="K253" s="45" t="n">
        <f aca="false">IF(AND(ISNUMBER($G253),$G253&gt;=MA_LONG2),AVERAGE(INDEX($C$5:$C253,250-MA_LONG2):$C253),"")</f>
        <v>1107599.885</v>
      </c>
      <c r="L253" s="46" t="n">
        <f aca="false">IF(AND(ISNUMBER($G253),$G253&gt;=21),STDEV(INDEX($H$193:$H253,62-20):$H253)*SQRT(245),"")</f>
        <v>0.222066253313965</v>
      </c>
      <c r="M253" s="45" t="n">
        <f aca="false">IF(AND(ISNUMBER($G253),$G253&gt;=60),MAX(INDEX($D$53:$D253,202-60):$D253),"")</f>
        <v>1193336</v>
      </c>
      <c r="N253" s="45" t="n">
        <f aca="false">IF(AND(ISNUMBER($G253),$G253&gt;=60),MIN(INDEX($E$53:$E253,202-60):$E253),"")</f>
        <v>1056200</v>
      </c>
      <c r="O253" s="46" t="n">
        <f aca="false">IF(OR(NOT(ISNUMBER($C253)),NOT(ISNUMBER($M253)),$M253=0),"",$C253/$M253-1)</f>
        <v>-0.11465002312844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1057247</v>
      </c>
      <c r="D254" s="42" t="n">
        <v>1057366</v>
      </c>
      <c r="E254" s="42" t="n">
        <v>1053088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0.000688108128573006</v>
      </c>
      <c r="I254" s="45" t="n">
        <f aca="false">IF(AND(ISNUMBER($G254),$G254&gt;=MA_SHORT),AVERAGE(INDEX($C$5:$C254,251-MA_SHORT):$C254),"")</f>
        <v>1106037.25</v>
      </c>
      <c r="J254" s="45" t="n">
        <f aca="false">IF(AND(ISNUMBER($G254),$G254&gt;=MA_MED),AVERAGE(INDEX($C$5:$C254,251-MA_MED):$C254),"")</f>
        <v>1134394.2</v>
      </c>
      <c r="K254" s="45" t="n">
        <f aca="false">IF(AND(ISNUMBER($G254),$G254&gt;=MA_LONG2),AVERAGE(INDEX($C$5:$C254,251-MA_LONG2):$C254),"")</f>
        <v>1108165.45</v>
      </c>
      <c r="L254" s="46" t="n">
        <f aca="false">IF(AND(ISNUMBER($G254),$G254&gt;=21),STDEV(INDEX($H$194:$H254,62-20):$H254)*SQRT(245),"")</f>
        <v>0.219951095149906</v>
      </c>
      <c r="M254" s="45" t="n">
        <f aca="false">IF(AND(ISNUMBER($G254),$G254&gt;=60),MAX(INDEX($D$54:$D254,202-60):$D254),"")</f>
        <v>1193336</v>
      </c>
      <c r="N254" s="45" t="n">
        <f aca="false">IF(AND(ISNUMBER($G254),$G254&gt;=60),MIN(INDEX($E$54:$E254,202-60):$E254),"")</f>
        <v>1053088</v>
      </c>
      <c r="O254" s="46" t="n">
        <f aca="false">IF(OR(NOT(ISNUMBER($C254)),NOT(ISNUMBER($M254)),$M254=0),"",$C254/$M254-1)</f>
        <v>-0.114040806612723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1056212</v>
      </c>
      <c r="D255" s="42" t="n">
        <v>1057018</v>
      </c>
      <c r="E255" s="42" t="n">
        <v>1053040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-0.000978957613499976</v>
      </c>
      <c r="I255" s="45" t="n">
        <f aca="false">IF(AND(ISNUMBER($G255),$G255&gt;=MA_SHORT),AVERAGE(INDEX($C$5:$C255,252-MA_SHORT):$C255),"")</f>
        <v>1101232.6</v>
      </c>
      <c r="J255" s="45" t="n">
        <f aca="false">IF(AND(ISNUMBER($G255),$G255&gt;=MA_MED),AVERAGE(INDEX($C$5:$C255,252-MA_MED):$C255),"")</f>
        <v>1131844.7</v>
      </c>
      <c r="K255" s="45" t="n">
        <f aca="false">IF(AND(ISNUMBER($G255),$G255&gt;=MA_LONG2),AVERAGE(INDEX($C$5:$C255,252-MA_LONG2):$C255),"")</f>
        <v>1108719.195</v>
      </c>
      <c r="L255" s="46" t="n">
        <f aca="false">IF(AND(ISNUMBER($G255),$G255&gt;=21),STDEV(INDEX($H$195:$H255,62-20):$H255)*SQRT(245),"")</f>
        <v>0.219796049602791</v>
      </c>
      <c r="M255" s="45" t="n">
        <f aca="false">IF(AND(ISNUMBER($G255),$G255&gt;=60),MAX(INDEX($D$55:$D255,202-60):$D255),"")</f>
        <v>1193336</v>
      </c>
      <c r="N255" s="45" t="n">
        <f aca="false">IF(AND(ISNUMBER($G255),$G255&gt;=60),MIN(INDEX($E$55:$E255,202-60):$E255),"")</f>
        <v>1053040</v>
      </c>
      <c r="O255" s="46" t="n">
        <f aca="false">IF(OR(NOT(ISNUMBER($C255)),NOT(ISNUMBER($M255)),$M255=0),"",$C255/$M255-1)</f>
        <v>-0.114908123110339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1047190</v>
      </c>
      <c r="D256" s="42" t="n">
        <v>1051454</v>
      </c>
      <c r="E256" s="42" t="n">
        <v>1045024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-0.00854184576581218</v>
      </c>
      <c r="I256" s="45" t="n">
        <f aca="false">IF(AND(ISNUMBER($G256),$G256&gt;=MA_SHORT),AVERAGE(INDEX($C$5:$C256,253-MA_SHORT):$C256),"")</f>
        <v>1096532.5</v>
      </c>
      <c r="J256" s="45" t="n">
        <f aca="false">IF(AND(ISNUMBER($G256),$G256&gt;=MA_MED),AVERAGE(INDEX($C$5:$C256,253-MA_MED):$C256),"")</f>
        <v>1129077.56</v>
      </c>
      <c r="K256" s="45" t="n">
        <f aca="false">IF(AND(ISNUMBER($G256),$G256&gt;=MA_LONG2),AVERAGE(INDEX($C$5:$C256,253-MA_LONG2):$C256),"")</f>
        <v>1109230.635</v>
      </c>
      <c r="L256" s="46" t="n">
        <f aca="false">IF(AND(ISNUMBER($G256),$G256&gt;=21),STDEV(INDEX($H$196:$H256,62-20):$H256)*SQRT(245),"")</f>
        <v>0.219480807731563</v>
      </c>
      <c r="M256" s="45" t="n">
        <f aca="false">IF(AND(ISNUMBER($G256),$G256&gt;=60),MAX(INDEX($D$56:$D256,202-60):$D256),"")</f>
        <v>1193336</v>
      </c>
      <c r="N256" s="45" t="n">
        <f aca="false">IF(AND(ISNUMBER($G256),$G256&gt;=60),MIN(INDEX($E$56:$E256,202-60):$E256),"")</f>
        <v>1045024</v>
      </c>
      <c r="O256" s="46" t="n">
        <f aca="false">IF(OR(NOT(ISNUMBER($C256)),NOT(ISNUMBER($M256)),$M256=0),"",$C256/$M256-1)</f>
        <v>-0.122468441411304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1056809</v>
      </c>
      <c r="D257" s="42" t="n">
        <v>1063623</v>
      </c>
      <c r="E257" s="42" t="n">
        <v>1052206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0.0091855346212244</v>
      </c>
      <c r="I257" s="45" t="n">
        <f aca="false">IF(AND(ISNUMBER($G257),$G257&gt;=MA_SHORT),AVERAGE(INDEX($C$5:$C257,254-MA_SHORT):$C257),"")</f>
        <v>1091903.15</v>
      </c>
      <c r="J257" s="45" t="n">
        <f aca="false">IF(AND(ISNUMBER($G257),$G257&gt;=MA_MED),AVERAGE(INDEX($C$5:$C257,254-MA_MED):$C257),"")</f>
        <v>1126955.42</v>
      </c>
      <c r="K257" s="45" t="n">
        <f aca="false">IF(AND(ISNUMBER($G257),$G257&gt;=MA_LONG2),AVERAGE(INDEX($C$5:$C257,254-MA_LONG2):$C257),"")</f>
        <v>1109787.895</v>
      </c>
      <c r="L257" s="46" t="n">
        <f aca="false">IF(AND(ISNUMBER($G257),$G257&gt;=21),STDEV(INDEX($H$197:$H257,62-20):$H257)*SQRT(245),"")</f>
        <v>0.220922563753148</v>
      </c>
      <c r="M257" s="45" t="n">
        <f aca="false">IF(AND(ISNUMBER($G257),$G257&gt;=60),MAX(INDEX($D$57:$D257,202-60):$D257),"")</f>
        <v>1193336</v>
      </c>
      <c r="N257" s="45" t="n">
        <f aca="false">IF(AND(ISNUMBER($G257),$G257&gt;=60),MIN(INDEX($E$57:$E257,202-60):$E257),"")</f>
        <v>1045024</v>
      </c>
      <c r="O257" s="46" t="n">
        <f aca="false">IF(OR(NOT(ISNUMBER($C257)),NOT(ISNUMBER($M257)),$M257=0),"",$C257/$M257-1)</f>
        <v>-0.114407844898671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1052474</v>
      </c>
      <c r="D258" s="42" t="n">
        <v>1054184</v>
      </c>
      <c r="E258" s="42" t="n">
        <v>1048605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-0.00410197112250177</v>
      </c>
      <c r="I258" s="45" t="n">
        <f aca="false">IF(AND(ISNUMBER($G258),$G258&gt;=MA_SHORT),AVERAGE(INDEX($C$5:$C258,255-MA_SHORT):$C258),"")</f>
        <v>1087005.15</v>
      </c>
      <c r="J258" s="45" t="n">
        <f aca="false">IF(AND(ISNUMBER($G258),$G258&gt;=MA_MED),AVERAGE(INDEX($C$5:$C258,255-MA_MED):$C258),"")</f>
        <v>1124720.08</v>
      </c>
      <c r="K258" s="45" t="n">
        <f aca="false">IF(AND(ISNUMBER($G258),$G258&gt;=MA_LONG2),AVERAGE(INDEX($C$5:$C258,255-MA_LONG2):$C258),"")</f>
        <v>1110257.54</v>
      </c>
      <c r="L258" s="46" t="n">
        <f aca="false">IF(AND(ISNUMBER($G258),$G258&gt;=21),STDEV(INDEX($H$198:$H258,62-20):$H258)*SQRT(245),"")</f>
        <v>0.220155826503488</v>
      </c>
      <c r="M258" s="45" t="n">
        <f aca="false">IF(AND(ISNUMBER($G258),$G258&gt;=60),MAX(INDEX($D$58:$D258,202-60):$D258),"")</f>
        <v>1193336</v>
      </c>
      <c r="N258" s="45" t="n">
        <f aca="false">IF(AND(ISNUMBER($G258),$G258&gt;=60),MIN(INDEX($E$58:$E258,202-60):$E258),"")</f>
        <v>1045024</v>
      </c>
      <c r="O258" s="46" t="n">
        <f aca="false">IF(OR(NOT(ISNUMBER($C258)),NOT(ISNUMBER($M258)),$M258=0),"",$C258/$M258-1)</f>
        <v>-0.11804051834521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1043558</v>
      </c>
      <c r="D259" s="42" t="n">
        <v>1043652</v>
      </c>
      <c r="E259" s="42" t="n">
        <v>1043183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-0.00847146817878641</v>
      </c>
      <c r="I259" s="45" t="n">
        <f aca="false">IF(AND(ISNUMBER($G259),$G259&gt;=MA_SHORT),AVERAGE(INDEX($C$5:$C259,256-MA_SHORT):$C259),"")</f>
        <v>1081150.3</v>
      </c>
      <c r="J259" s="45" t="n">
        <f aca="false">IF(AND(ISNUMBER($G259),$G259&gt;=MA_MED),AVERAGE(INDEX($C$5:$C259,256-MA_MED):$C259),"")</f>
        <v>1122556.86</v>
      </c>
      <c r="K259" s="45" t="n">
        <f aca="false">IF(AND(ISNUMBER($G259),$G259&gt;=MA_LONG2),AVERAGE(INDEX($C$5:$C259,256-MA_LONG2):$C259),"")</f>
        <v>1110705.335</v>
      </c>
      <c r="L259" s="46" t="n">
        <f aca="false">IF(AND(ISNUMBER($G259),$G259&gt;=21),STDEV(INDEX($H$199:$H259,62-20):$H259)*SQRT(245),"")</f>
        <v>0.215028568632032</v>
      </c>
      <c r="M259" s="45" t="n">
        <f aca="false">IF(AND(ISNUMBER($G259),$G259&gt;=60),MAX(INDEX($D$59:$D259,202-60):$D259),"")</f>
        <v>1193336</v>
      </c>
      <c r="N259" s="45" t="n">
        <f aca="false">IF(AND(ISNUMBER($G259),$G259&gt;=60),MIN(INDEX($E$59:$E259,202-60):$E259),"")</f>
        <v>1043183</v>
      </c>
      <c r="O259" s="46" t="n">
        <f aca="false">IF(OR(NOT(ISNUMBER($C259)),NOT(ISNUMBER($M259)),$M259=0),"",$C259/$M259-1)</f>
        <v>-0.125512010029028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1030147</v>
      </c>
      <c r="D260" s="42" t="n">
        <v>1034419</v>
      </c>
      <c r="E260" s="42" t="n">
        <v>1028587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-0.012851226285458</v>
      </c>
      <c r="I260" s="45" t="n">
        <f aca="false">IF(AND(ISNUMBER($G260),$G260&gt;=MA_SHORT),AVERAGE(INDEX($C$5:$C260,257-MA_SHORT):$C260),"")</f>
        <v>1077123.05</v>
      </c>
      <c r="J260" s="45" t="n">
        <f aca="false">IF(AND(ISNUMBER($G260),$G260&gt;=MA_MED),AVERAGE(INDEX($C$5:$C260,257-MA_MED):$C260),"")</f>
        <v>1120100.78</v>
      </c>
      <c r="K260" s="45" t="n">
        <f aca="false">IF(AND(ISNUMBER($G260),$G260&gt;=MA_LONG2),AVERAGE(INDEX($C$5:$C260,257-MA_LONG2):$C260),"")</f>
        <v>1110996.5</v>
      </c>
      <c r="L260" s="46" t="n">
        <f aca="false">IF(AND(ISNUMBER($G260),$G260&gt;=21),STDEV(INDEX($H$200:$H260,62-20):$H260)*SQRT(245),"")</f>
        <v>0.167162690072443</v>
      </c>
      <c r="M260" s="45" t="n">
        <f aca="false">IF(AND(ISNUMBER($G260),$G260&gt;=60),MAX(INDEX($D$60:$D260,202-60):$D260),"")</f>
        <v>1193336</v>
      </c>
      <c r="N260" s="45" t="n">
        <f aca="false">IF(AND(ISNUMBER($G260),$G260&gt;=60),MIN(INDEX($E$60:$E260,202-60):$E260),"")</f>
        <v>1028587</v>
      </c>
      <c r="O260" s="46" t="n">
        <f aca="false">IF(OR(NOT(ISNUMBER($C260)),NOT(ISNUMBER($M260)),$M260=0),"",$C260/$M260-1)</f>
        <v>-0.13675025307206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1023867</v>
      </c>
      <c r="D261" s="42" t="n">
        <v>1025438</v>
      </c>
      <c r="E261" s="42" t="n">
        <v>1023249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-0.00609621733597243</v>
      </c>
      <c r="I261" s="45" t="n">
        <f aca="false">IF(AND(ISNUMBER($G261),$G261&gt;=MA_SHORT),AVERAGE(INDEX($C$5:$C261,258-MA_SHORT):$C261),"")</f>
        <v>1071596.3</v>
      </c>
      <c r="J261" s="45" t="n">
        <f aca="false">IF(AND(ISNUMBER($G261),$G261&gt;=MA_MED),AVERAGE(INDEX($C$5:$C261,258-MA_MED):$C261),"")</f>
        <v>1117435.48</v>
      </c>
      <c r="K261" s="45" t="n">
        <f aca="false">IF(AND(ISNUMBER($G261),$G261&gt;=MA_LONG2),AVERAGE(INDEX($C$5:$C261,258-MA_LONG2):$C261),"")</f>
        <v>1111285.26</v>
      </c>
      <c r="L261" s="46" t="n">
        <f aca="false">IF(AND(ISNUMBER($G261),$G261&gt;=21),STDEV(INDEX($H$201:$H261,62-20):$H261)*SQRT(245),"")</f>
        <v>0.139428829480705</v>
      </c>
      <c r="M261" s="45" t="n">
        <f aca="false">IF(AND(ISNUMBER($G261),$G261&gt;=60),MAX(INDEX($D$61:$D261,202-60):$D261),"")</f>
        <v>1193336</v>
      </c>
      <c r="N261" s="45" t="n">
        <f aca="false">IF(AND(ISNUMBER($G261),$G261&gt;=60),MIN(INDEX($E$61:$E261,202-60):$E261),"")</f>
        <v>1023249</v>
      </c>
      <c r="O261" s="46" t="n">
        <f aca="false">IF(OR(NOT(ISNUMBER($C261)),NOT(ISNUMBER($M261)),$M261=0),"",$C261/$M261-1)</f>
        <v>-0.142012811144556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1017354</v>
      </c>
      <c r="D262" s="42" t="n">
        <v>1020315</v>
      </c>
      <c r="E262" s="42" t="n">
        <v>1014556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-0.00636117777015965</v>
      </c>
      <c r="I262" s="45" t="n">
        <f aca="false">IF(AND(ISNUMBER($G262),$G262&gt;=MA_SHORT),AVERAGE(INDEX($C$5:$C262,259-MA_SHORT):$C262),"")</f>
        <v>1067421.95</v>
      </c>
      <c r="J262" s="45" t="n">
        <f aca="false">IF(AND(ISNUMBER($G262),$G262&gt;=MA_MED),AVERAGE(INDEX($C$5:$C262,259-MA_MED):$C262),"")</f>
        <v>1114456.84</v>
      </c>
      <c r="K262" s="45" t="n">
        <f aca="false">IF(AND(ISNUMBER($G262),$G262&gt;=MA_LONG2),AVERAGE(INDEX($C$5:$C262,259-MA_LONG2):$C262),"")</f>
        <v>1111539.25</v>
      </c>
      <c r="L262" s="46" t="n">
        <f aca="false">IF(AND(ISNUMBER($G262),$G262&gt;=21),STDEV(INDEX($H$202:$H262,62-20):$H262)*SQRT(245),"")</f>
        <v>0.106619167677432</v>
      </c>
      <c r="M262" s="45" t="n">
        <f aca="false">IF(AND(ISNUMBER($G262),$G262&gt;=60),MAX(INDEX($D$62:$D262,202-60):$D262),"")</f>
        <v>1193336</v>
      </c>
      <c r="N262" s="45" t="n">
        <f aca="false">IF(AND(ISNUMBER($G262),$G262&gt;=60),MIN(INDEX($E$62:$E262,202-60):$E262),"")</f>
        <v>1014556</v>
      </c>
      <c r="O262" s="46" t="n">
        <f aca="false">IF(OR(NOT(ISNUMBER($C262)),NOT(ISNUMBER($M262)),$M262=0),"",$C262/$M262-1)</f>
        <v>-0.147470620177385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1032504</v>
      </c>
      <c r="D263" s="42" t="n">
        <v>1033902</v>
      </c>
      <c r="E263" s="42" t="n">
        <v>1027577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0.01489157166532</v>
      </c>
      <c r="I263" s="45" t="n">
        <f aca="false">IF(AND(ISNUMBER($G263),$G263&gt;=MA_SHORT),AVERAGE(INDEX($C$5:$C263,260-MA_SHORT):$C263),"")</f>
        <v>1063687.35</v>
      </c>
      <c r="J263" s="45" t="n">
        <f aca="false">IF(AND(ISNUMBER($G263),$G263&gt;=MA_MED),AVERAGE(INDEX($C$5:$C263,260-MA_MED):$C263),"")</f>
        <v>1111715.78</v>
      </c>
      <c r="K263" s="45" t="n">
        <f aca="false">IF(AND(ISNUMBER($G263),$G263&gt;=MA_LONG2),AVERAGE(INDEX($C$5:$C263,260-MA_LONG2):$C263),"")</f>
        <v>1111850.89</v>
      </c>
      <c r="L263" s="46" t="n">
        <f aca="false">IF(AND(ISNUMBER($G263),$G263&gt;=21),STDEV(INDEX($H$203:$H263,62-20):$H263)*SQRT(245),"")</f>
        <v>0.121095754261683</v>
      </c>
      <c r="M263" s="45" t="n">
        <f aca="false">IF(AND(ISNUMBER($G263),$G263&gt;=60),MAX(INDEX($D$63:$D263,202-60):$D263),"")</f>
        <v>1193336</v>
      </c>
      <c r="N263" s="45" t="n">
        <f aca="false">IF(AND(ISNUMBER($G263),$G263&gt;=60),MIN(INDEX($E$63:$E263,202-60):$E263),"")</f>
        <v>1014556</v>
      </c>
      <c r="O263" s="46" t="n">
        <f aca="false">IF(OR(NOT(ISNUMBER($C263)),NOT(ISNUMBER($M263)),$M263=0),"",$C263/$M263-1)</f>
        <v>-0.134775117820966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1029250</v>
      </c>
      <c r="D264" s="42" t="n">
        <v>1030723</v>
      </c>
      <c r="E264" s="42" t="n">
        <v>1029020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-0.00315156164043917</v>
      </c>
      <c r="I264" s="45" t="n">
        <f aca="false">IF(AND(ISNUMBER($G264),$G264&gt;=MA_SHORT),AVERAGE(INDEX($C$5:$C264,261-MA_SHORT):$C264),"")</f>
        <v>1060343.5</v>
      </c>
      <c r="J264" s="45" t="n">
        <f aca="false">IF(AND(ISNUMBER($G264),$G264&gt;=MA_MED),AVERAGE(INDEX($C$5:$C264,261-MA_MED):$C264),"")</f>
        <v>1108885.22</v>
      </c>
      <c r="K264" s="45" t="n">
        <f aca="false">IF(AND(ISNUMBER($G264),$G264&gt;=MA_LONG2),AVERAGE(INDEX($C$5:$C264,261-MA_LONG2):$C264),"")</f>
        <v>1112061.53</v>
      </c>
      <c r="L264" s="46" t="n">
        <f aca="false">IF(AND(ISNUMBER($G264),$G264&gt;=21),STDEV(INDEX($H$204:$H264,62-20):$H264)*SQRT(245),"")</f>
        <v>0.118674786493291</v>
      </c>
      <c r="M264" s="45" t="n">
        <f aca="false">IF(AND(ISNUMBER($G264),$G264&gt;=60),MAX(INDEX($D$64:$D264,202-60):$D264),"")</f>
        <v>1186966</v>
      </c>
      <c r="N264" s="45" t="n">
        <f aca="false">IF(AND(ISNUMBER($G264),$G264&gt;=60),MIN(INDEX($E$64:$E264,202-60):$E264),"")</f>
        <v>1014556</v>
      </c>
      <c r="O264" s="46" t="n">
        <f aca="false">IF(OR(NOT(ISNUMBER($C264)),NOT(ISNUMBER($M264)),$M264=0),"",$C264/$M264-1)</f>
        <v>-0.132873224675349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1029855</v>
      </c>
      <c r="D265" s="42" t="n">
        <v>1035511</v>
      </c>
      <c r="E265" s="42" t="n">
        <v>1027695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0.000587806655331535</v>
      </c>
      <c r="I265" s="45" t="n">
        <f aca="false">IF(AND(ISNUMBER($G265),$G265&gt;=MA_SHORT),AVERAGE(INDEX($C$5:$C265,262-MA_SHORT):$C265),"")</f>
        <v>1056794.55</v>
      </c>
      <c r="J265" s="45" t="n">
        <f aca="false">IF(AND(ISNUMBER($G265),$G265&gt;=MA_MED),AVERAGE(INDEX($C$5:$C265,262-MA_MED):$C265),"")</f>
        <v>1106072.04</v>
      </c>
      <c r="K265" s="45" t="n">
        <f aca="false">IF(AND(ISNUMBER($G265),$G265&gt;=MA_LONG2),AVERAGE(INDEX($C$5:$C265,262-MA_LONG2):$C265),"")</f>
        <v>1112260.525</v>
      </c>
      <c r="L265" s="46" t="n">
        <f aca="false">IF(AND(ISNUMBER($G265),$G265&gt;=21),STDEV(INDEX($H$205:$H265,62-20):$H265)*SQRT(245),"")</f>
        <v>0.11637754598714</v>
      </c>
      <c r="M265" s="45" t="n">
        <f aca="false">IF(AND(ISNUMBER($G265),$G265&gt;=60),MAX(INDEX($D$65:$D265,202-60):$D265),"")</f>
        <v>1186966</v>
      </c>
      <c r="N265" s="45" t="n">
        <f aca="false">IF(AND(ISNUMBER($G265),$G265&gt;=60),MIN(INDEX($E$65:$E265,202-60):$E265),"")</f>
        <v>1014556</v>
      </c>
      <c r="O265" s="46" t="n">
        <f aca="false">IF(OR(NOT(ISNUMBER($C265)),NOT(ISNUMBER($M265)),$M265=0),"",$C265/$M265-1)</f>
        <v>-0.132363521785797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1036414</v>
      </c>
      <c r="D266" s="42" t="n">
        <v>1038694</v>
      </c>
      <c r="E266" s="42" t="n">
        <v>1032532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0.0063688577518195</v>
      </c>
      <c r="I266" s="45" t="n">
        <f aca="false">IF(AND(ISNUMBER($G266),$G266&gt;=MA_SHORT),AVERAGE(INDEX($C$5:$C266,263-MA_SHORT):$C266),"")</f>
        <v>1053545.9</v>
      </c>
      <c r="J266" s="45" t="n">
        <f aca="false">IF(AND(ISNUMBER($G266),$G266&gt;=MA_MED),AVERAGE(INDEX($C$5:$C266,263-MA_MED):$C266),"")</f>
        <v>1103293.26</v>
      </c>
      <c r="K266" s="45" t="n">
        <f aca="false">IF(AND(ISNUMBER($G266),$G266&gt;=MA_LONG2),AVERAGE(INDEX($C$5:$C266,263-MA_LONG2):$C266),"")</f>
        <v>1112522.265</v>
      </c>
      <c r="L266" s="46" t="n">
        <f aca="false">IF(AND(ISNUMBER($G266),$G266&gt;=21),STDEV(INDEX($H$206:$H266,62-20):$H266)*SQRT(245),"")</f>
        <v>0.120584861016608</v>
      </c>
      <c r="M266" s="45" t="n">
        <f aca="false">IF(AND(ISNUMBER($G266),$G266&gt;=60),MAX(INDEX($D$66:$D266,202-60):$D266),"")</f>
        <v>1180280</v>
      </c>
      <c r="N266" s="45" t="n">
        <f aca="false">IF(AND(ISNUMBER($G266),$G266&gt;=60),MIN(INDEX($E$66:$E266,202-60):$E266),"")</f>
        <v>1014556</v>
      </c>
      <c r="O266" s="46" t="n">
        <f aca="false">IF(OR(NOT(ISNUMBER($C266)),NOT(ISNUMBER($M266)),$M266=0),"",$C266/$M266-1)</f>
        <v>-0.121891415596299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1041216</v>
      </c>
      <c r="D267" s="42" t="n">
        <v>1044128</v>
      </c>
      <c r="E267" s="42" t="n">
        <v>1040432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0.00463328361060356</v>
      </c>
      <c r="I267" s="45" t="n">
        <f aca="false">IF(AND(ISNUMBER($G267),$G267&gt;=MA_SHORT),AVERAGE(INDEX($C$5:$C267,264-MA_SHORT):$C267),"")</f>
        <v>1050164.5</v>
      </c>
      <c r="J267" s="45" t="n">
        <f aca="false">IF(AND(ISNUMBER($G267),$G267&gt;=MA_MED),AVERAGE(INDEX($C$5:$C267,264-MA_MED):$C267),"")</f>
        <v>1100588.06</v>
      </c>
      <c r="K267" s="45" t="n">
        <f aca="false">IF(AND(ISNUMBER($G267),$G267&gt;=MA_LONG2),AVERAGE(INDEX($C$5:$C267,264-MA_LONG2):$C267),"")</f>
        <v>1112727.295</v>
      </c>
      <c r="L267" s="46" t="n">
        <f aca="false">IF(AND(ISNUMBER($G267),$G267&gt;=21),STDEV(INDEX($H$207:$H267,62-20):$H267)*SQRT(245),"")</f>
        <v>0.118565235385904</v>
      </c>
      <c r="M267" s="45" t="n">
        <f aca="false">IF(AND(ISNUMBER($G267),$G267&gt;=60),MAX(INDEX($D$67:$D267,202-60):$D267),"")</f>
        <v>1180280</v>
      </c>
      <c r="N267" s="45" t="n">
        <f aca="false">IF(AND(ISNUMBER($G267),$G267&gt;=60),MIN(INDEX($E$67:$E267,202-60):$E267),"")</f>
        <v>1014556</v>
      </c>
      <c r="O267" s="46" t="n">
        <f aca="false">IF(OR(NOT(ISNUMBER($C267)),NOT(ISNUMBER($M267)),$M267=0),"",$C267/$M267-1)</f>
        <v>-0.117822889483851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1044937</v>
      </c>
      <c r="D268" s="42" t="n">
        <v>1047717</v>
      </c>
      <c r="E268" s="42" t="n">
        <v>1044861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0.00357370612821928</v>
      </c>
      <c r="I268" s="45" t="n">
        <f aca="false">IF(AND(ISNUMBER($G268),$G268&gt;=MA_SHORT),AVERAGE(INDEX($C$5:$C268,265-MA_SHORT):$C268),"")</f>
        <v>1047798.1</v>
      </c>
      <c r="J268" s="45" t="n">
        <f aca="false">IF(AND(ISNUMBER($G268),$G268&gt;=MA_MED),AVERAGE(INDEX($C$5:$C268,265-MA_MED):$C268),"")</f>
        <v>1098274.44</v>
      </c>
      <c r="K268" s="45" t="n">
        <f aca="false">IF(AND(ISNUMBER($G268),$G268&gt;=MA_LONG2),AVERAGE(INDEX($C$5:$C268,265-MA_LONG2):$C268),"")</f>
        <v>1112960.33</v>
      </c>
      <c r="L268" s="46" t="n">
        <f aca="false">IF(AND(ISNUMBER($G268),$G268&gt;=21),STDEV(INDEX($H$208:$H268,62-20):$H268)*SQRT(245),"")</f>
        <v>0.112278061380923</v>
      </c>
      <c r="M268" s="45" t="n">
        <f aca="false">IF(AND(ISNUMBER($G268),$G268&gt;=60),MAX(INDEX($D$68:$D268,202-60):$D268),"")</f>
        <v>1180280</v>
      </c>
      <c r="N268" s="45" t="n">
        <f aca="false">IF(AND(ISNUMBER($G268),$G268&gt;=60),MIN(INDEX($E$68:$E268,202-60):$E268),"")</f>
        <v>1014556</v>
      </c>
      <c r="O268" s="46" t="n">
        <f aca="false">IF(OR(NOT(ISNUMBER($C268)),NOT(ISNUMBER($M268)),$M268=0),"",$C268/$M268-1)</f>
        <v>-0.114670247737825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1051474</v>
      </c>
      <c r="D269" s="42" t="n">
        <v>1055013</v>
      </c>
      <c r="E269" s="42" t="n">
        <v>1050103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0.00625587954106321</v>
      </c>
      <c r="I269" s="45" t="n">
        <f aca="false">IF(AND(ISNUMBER($G269),$G269&gt;=MA_SHORT),AVERAGE(INDEX($C$5:$C269,266-MA_SHORT):$C269),"")</f>
        <v>1046218.1</v>
      </c>
      <c r="J269" s="45" t="n">
        <f aca="false">IF(AND(ISNUMBER($G269),$G269&gt;=MA_MED),AVERAGE(INDEX($C$5:$C269,266-MA_MED):$C269),"")</f>
        <v>1096580.84</v>
      </c>
      <c r="K269" s="45" t="n">
        <f aca="false">IF(AND(ISNUMBER($G269),$G269&gt;=MA_LONG2),AVERAGE(INDEX($C$5:$C269,266-MA_LONG2):$C269),"")</f>
        <v>1113207.745</v>
      </c>
      <c r="L269" s="46" t="n">
        <f aca="false">IF(AND(ISNUMBER($G269),$G269&gt;=21),STDEV(INDEX($H$209:$H269,62-20):$H269)*SQRT(245),"")</f>
        <v>0.113521080371508</v>
      </c>
      <c r="M269" s="45" t="n">
        <f aca="false">IF(AND(ISNUMBER($G269),$G269&gt;=60),MAX(INDEX($D$69:$D269,202-60):$D269),"")</f>
        <v>1180280</v>
      </c>
      <c r="N269" s="45" t="n">
        <f aca="false">IF(AND(ISNUMBER($G269),$G269&gt;=60),MIN(INDEX($E$69:$E269,202-60):$E269),"")</f>
        <v>1014556</v>
      </c>
      <c r="O269" s="46" t="n">
        <f aca="false">IF(OR(NOT(ISNUMBER($C269)),NOT(ISNUMBER($M269)),$M269=0),"",$C269/$M269-1)</f>
        <v>-0.109131731453553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1054657</v>
      </c>
      <c r="D270" s="42" t="n">
        <v>1058555</v>
      </c>
      <c r="E270" s="42" t="n">
        <v>1052559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0.00302717898873395</v>
      </c>
      <c r="I270" s="45" t="n">
        <f aca="false">IF(AND(ISNUMBER($G270),$G270&gt;=MA_SHORT),AVERAGE(INDEX($C$5:$C270,267-MA_SHORT):$C270),"")</f>
        <v>1045198.1</v>
      </c>
      <c r="J270" s="45" t="n">
        <f aca="false">IF(AND(ISNUMBER($G270),$G270&gt;=MA_MED),AVERAGE(INDEX($C$5:$C270,267-MA_MED):$C270),"")</f>
        <v>1094829.22</v>
      </c>
      <c r="K270" s="45" t="n">
        <f aca="false">IF(AND(ISNUMBER($G270),$G270&gt;=MA_LONG2),AVERAGE(INDEX($C$5:$C270,267-MA_LONG2):$C270),"")</f>
        <v>1113399.15</v>
      </c>
      <c r="L270" s="46" t="n">
        <f aca="false">IF(AND(ISNUMBER($G270),$G270&gt;=21),STDEV(INDEX($H$210:$H270,62-20):$H270)*SQRT(245),"")</f>
        <v>0.112337694317861</v>
      </c>
      <c r="M270" s="45" t="n">
        <f aca="false">IF(AND(ISNUMBER($G270),$G270&gt;=60),MAX(INDEX($D$70:$D270,202-60):$D270),"")</f>
        <v>1180280</v>
      </c>
      <c r="N270" s="45" t="n">
        <f aca="false">IF(AND(ISNUMBER($G270),$G270&gt;=60),MIN(INDEX($E$70:$E270,202-60):$E270),"")</f>
        <v>1014556</v>
      </c>
      <c r="O270" s="46" t="n">
        <f aca="false">IF(OR(NOT(ISNUMBER($C270)),NOT(ISNUMBER($M270)),$M270=0),"",$C270/$M270-1)</f>
        <v>-0.10643491374928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1057817</v>
      </c>
      <c r="D271" s="42" t="n">
        <v>1058613</v>
      </c>
      <c r="E271" s="42" t="n">
        <v>1053170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0.00299623479481959</v>
      </c>
      <c r="I271" s="45" t="n">
        <f aca="false">IF(AND(ISNUMBER($G271),$G271&gt;=MA_SHORT),AVERAGE(INDEX($C$5:$C271,268-MA_SHORT):$C271),"")</f>
        <v>1044360.05</v>
      </c>
      <c r="J271" s="45" t="n">
        <f aca="false">IF(AND(ISNUMBER($G271),$G271&gt;=MA_MED),AVERAGE(INDEX($C$5:$C271,268-MA_MED):$C271),"")</f>
        <v>1093397.24</v>
      </c>
      <c r="K271" s="45" t="n">
        <f aca="false">IF(AND(ISNUMBER($G271),$G271&gt;=MA_LONG2),AVERAGE(INDEX($C$5:$C271,268-MA_LONG2):$C271),"")</f>
        <v>1113607.275</v>
      </c>
      <c r="L271" s="46" t="n">
        <f aca="false">IF(AND(ISNUMBER($G271),$G271&gt;=21),STDEV(INDEX($H$211:$H271,62-20):$H271)*SQRT(245),"")</f>
        <v>0.113173034916282</v>
      </c>
      <c r="M271" s="45" t="n">
        <f aca="false">IF(AND(ISNUMBER($G271),$G271&gt;=60),MAX(INDEX($D$71:$D271,202-60):$D271),"")</f>
        <v>1180280</v>
      </c>
      <c r="N271" s="45" t="n">
        <f aca="false">IF(AND(ISNUMBER($G271),$G271&gt;=60),MIN(INDEX($E$71:$E271,202-60):$E271),"")</f>
        <v>1014556</v>
      </c>
      <c r="O271" s="46" t="n">
        <f aca="false">IF(OR(NOT(ISNUMBER($C271)),NOT(ISNUMBER($M271)),$M271=0),"",$C271/$M271-1)</f>
        <v>-0.103757582946419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1061664</v>
      </c>
      <c r="D272" s="42" t="n">
        <v>1065415</v>
      </c>
      <c r="E272" s="42" t="n">
        <v>1061610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0.00363673489838035</v>
      </c>
      <c r="I272" s="45" t="n">
        <f aca="false">IF(AND(ISNUMBER($G272),$G272&gt;=MA_SHORT),AVERAGE(INDEX($C$5:$C272,269-MA_SHORT):$C272),"")</f>
        <v>1044058.3</v>
      </c>
      <c r="J272" s="45" t="n">
        <f aca="false">IF(AND(ISNUMBER($G272),$G272&gt;=MA_MED),AVERAGE(INDEX($C$5:$C272,269-MA_MED):$C272),"")</f>
        <v>1091796.68</v>
      </c>
      <c r="K272" s="45" t="n">
        <f aca="false">IF(AND(ISNUMBER($G272),$G272&gt;=MA_LONG2),AVERAGE(INDEX($C$5:$C272,269-MA_LONG2):$C272),"")</f>
        <v>1113914.665</v>
      </c>
      <c r="L272" s="46" t="n">
        <f aca="false">IF(AND(ISNUMBER($G272),$G272&gt;=21),STDEV(INDEX($H$212:$H272,62-20):$H272)*SQRT(245),"")</f>
        <v>0.112170698066996</v>
      </c>
      <c r="M272" s="45" t="n">
        <f aca="false">IF(AND(ISNUMBER($G272),$G272&gt;=60),MAX(INDEX($D$72:$D272,202-60):$D272),"")</f>
        <v>1180280</v>
      </c>
      <c r="N272" s="45" t="n">
        <f aca="false">IF(AND(ISNUMBER($G272),$G272&gt;=60),MIN(INDEX($E$72:$E272,202-60):$E272),"")</f>
        <v>1014556</v>
      </c>
      <c r="O272" s="46" t="n">
        <f aca="false">IF(OR(NOT(ISNUMBER($C272)),NOT(ISNUMBER($M272)),$M272=0),"",$C272/$M272-1)</f>
        <v>-0.100498186870912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1072314</v>
      </c>
      <c r="D273" s="42" t="n">
        <v>1075307</v>
      </c>
      <c r="E273" s="42" t="n">
        <v>1069594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0.0100314223709197</v>
      </c>
      <c r="I273" s="45" t="n">
        <f aca="false">IF(AND(ISNUMBER($G273),$G273&gt;=MA_SHORT),AVERAGE(INDEX($C$5:$C273,270-MA_SHORT):$C273),"")</f>
        <v>1044848</v>
      </c>
      <c r="J273" s="45" t="n">
        <f aca="false">IF(AND(ISNUMBER($G273),$G273&gt;=MA_MED),AVERAGE(INDEX($C$5:$C273,270-MA_MED):$C273),"")</f>
        <v>1090865.46</v>
      </c>
      <c r="K273" s="45" t="n">
        <f aca="false">IF(AND(ISNUMBER($G273),$G273&gt;=MA_LONG2),AVERAGE(INDEX($C$5:$C273,270-MA_LONG2):$C273),"")</f>
        <v>1114210.525</v>
      </c>
      <c r="L273" s="46" t="n">
        <f aca="false">IF(AND(ISNUMBER($G273),$G273&gt;=21),STDEV(INDEX($H$213:$H273,62-20):$H273)*SQRT(245),"")</f>
        <v>0.111050500683503</v>
      </c>
      <c r="M273" s="45" t="n">
        <f aca="false">IF(AND(ISNUMBER($G273),$G273&gt;=60),MAX(INDEX($D$73:$D273,202-60):$D273),"")</f>
        <v>1180280</v>
      </c>
      <c r="N273" s="45" t="n">
        <f aca="false">IF(AND(ISNUMBER($G273),$G273&gt;=60),MIN(INDEX($E$73:$E273,202-60):$E273),"")</f>
        <v>1014556</v>
      </c>
      <c r="O273" s="46" t="n">
        <f aca="false">IF(OR(NOT(ISNUMBER($C273)),NOT(ISNUMBER($M273)),$M273=0),"",$C273/$M273-1)</f>
        <v>-0.0914749042600062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1065581</v>
      </c>
      <c r="D274" s="42" t="n">
        <v>1067824</v>
      </c>
      <c r="E274" s="42" t="n">
        <v>1060057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-0.00627894441366983</v>
      </c>
      <c r="I274" s="45" t="n">
        <f aca="false">IF(AND(ISNUMBER($G274),$G274&gt;=MA_SHORT),AVERAGE(INDEX($C$5:$C274,271-MA_SHORT):$C274),"")</f>
        <v>1045264.7</v>
      </c>
      <c r="J274" s="45" t="n">
        <f aca="false">IF(AND(ISNUMBER($G274),$G274&gt;=MA_MED),AVERAGE(INDEX($C$5:$C274,271-MA_MED):$C274),"")</f>
        <v>1089583.76</v>
      </c>
      <c r="K274" s="45" t="n">
        <f aca="false">IF(AND(ISNUMBER($G274),$G274&gt;=MA_LONG2),AVERAGE(INDEX($C$5:$C274,271-MA_LONG2):$C274),"")</f>
        <v>1114576.2</v>
      </c>
      <c r="L274" s="46" t="n">
        <f aca="false">IF(AND(ISNUMBER($G274),$G274&gt;=21),STDEV(INDEX($H$214:$H274,62-20):$H274)*SQRT(245),"")</f>
        <v>0.11375780794857</v>
      </c>
      <c r="M274" s="45" t="n">
        <f aca="false">IF(AND(ISNUMBER($G274),$G274&gt;=60),MAX(INDEX($D$74:$D274,202-60):$D274),"")</f>
        <v>1180280</v>
      </c>
      <c r="N274" s="45" t="n">
        <f aca="false">IF(AND(ISNUMBER($G274),$G274&gt;=60),MIN(INDEX($E$74:$E274,202-60):$E274),"")</f>
        <v>1014556</v>
      </c>
      <c r="O274" s="46" t="n">
        <f aca="false">IF(OR(NOT(ISNUMBER($C274)),NOT(ISNUMBER($M274)),$M274=0),"",$C274/$M274-1)</f>
        <v>-0.0971794828345817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1066343</v>
      </c>
      <c r="D275" s="42" t="n">
        <v>1066575</v>
      </c>
      <c r="E275" s="42" t="n">
        <v>1065016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0.000715102840610049</v>
      </c>
      <c r="I275" s="45" t="n">
        <f aca="false">IF(AND(ISNUMBER($G275),$G275&gt;=MA_SHORT),AVERAGE(INDEX($C$5:$C275,272-MA_SHORT):$C275),"")</f>
        <v>1045771.25</v>
      </c>
      <c r="J275" s="45" t="n">
        <f aca="false">IF(AND(ISNUMBER($G275),$G275&gt;=MA_MED),AVERAGE(INDEX($C$5:$C275,272-MA_MED):$C275),"")</f>
        <v>1088425.14</v>
      </c>
      <c r="K275" s="45" t="n">
        <f aca="false">IF(AND(ISNUMBER($G275),$G275&gt;=MA_LONG2),AVERAGE(INDEX($C$5:$C275,272-MA_LONG2):$C275),"")</f>
        <v>1114964.615</v>
      </c>
      <c r="L275" s="46" t="n">
        <f aca="false">IF(AND(ISNUMBER($G275),$G275&gt;=21),STDEV(INDEX($H$215:$H275,62-20):$H275)*SQRT(245),"")</f>
        <v>0.113644067637579</v>
      </c>
      <c r="M275" s="45" t="n">
        <f aca="false">IF(AND(ISNUMBER($G275),$G275&gt;=60),MAX(INDEX($D$75:$D275,202-60):$D275),"")</f>
        <v>1180280</v>
      </c>
      <c r="N275" s="45" t="n">
        <f aca="false">IF(AND(ISNUMBER($G275),$G275&gt;=60),MIN(INDEX($E$75:$E275,202-60):$E275),"")</f>
        <v>1014556</v>
      </c>
      <c r="O275" s="46" t="n">
        <f aca="false">IF(OR(NOT(ISNUMBER($C275)),NOT(ISNUMBER($M275)),$M275=0),"",$C275/$M275-1)</f>
        <v>-0.0965338733181956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1053815</v>
      </c>
      <c r="D276" s="42" t="n">
        <v>1063596</v>
      </c>
      <c r="E276" s="42" t="n">
        <v>1052498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-0.0117485649551786</v>
      </c>
      <c r="I276" s="45" t="n">
        <f aca="false">IF(AND(ISNUMBER($G276),$G276&gt;=MA_SHORT),AVERAGE(INDEX($C$5:$C276,273-MA_SHORT):$C276),"")</f>
        <v>1046102.5</v>
      </c>
      <c r="J276" s="45" t="n">
        <f aca="false">IF(AND(ISNUMBER($G276),$G276&gt;=MA_MED),AVERAGE(INDEX($C$5:$C276,273-MA_MED):$C276),"")</f>
        <v>1087023.86</v>
      </c>
      <c r="K276" s="45" t="n">
        <f aca="false">IF(AND(ISNUMBER($G276),$G276&gt;=MA_LONG2),AVERAGE(INDEX($C$5:$C276,273-MA_LONG2):$C276),"")</f>
        <v>1115234.81</v>
      </c>
      <c r="L276" s="46" t="n">
        <f aca="false">IF(AND(ISNUMBER($G276),$G276&gt;=21),STDEV(INDEX($H$216:$H276,62-20):$H276)*SQRT(245),"")</f>
        <v>0.117426149908195</v>
      </c>
      <c r="M276" s="45" t="n">
        <f aca="false">IF(AND(ISNUMBER($G276),$G276&gt;=60),MAX(INDEX($D$76:$D276,202-60):$D276),"")</f>
        <v>1176872</v>
      </c>
      <c r="N276" s="45" t="n">
        <f aca="false">IF(AND(ISNUMBER($G276),$G276&gt;=60),MIN(INDEX($E$76:$E276,202-60):$E276),"")</f>
        <v>1014556</v>
      </c>
      <c r="O276" s="46" t="n">
        <f aca="false">IF(OR(NOT(ISNUMBER($C276)),NOT(ISNUMBER($M276)),$M276=0),"",$C276/$M276-1)</f>
        <v>-0.10456277318179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1075084</v>
      </c>
      <c r="D277" s="42" t="n">
        <v>1081780</v>
      </c>
      <c r="E277" s="42" t="n">
        <v>1074489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0.0201828594202966</v>
      </c>
      <c r="I277" s="45" t="n">
        <f aca="false">IF(AND(ISNUMBER($G277),$G277&gt;=MA_SHORT),AVERAGE(INDEX($C$5:$C277,274-MA_SHORT):$C277),"")</f>
        <v>1047016.25</v>
      </c>
      <c r="J277" s="45" t="n">
        <f aca="false">IF(AND(ISNUMBER($G277),$G277&gt;=MA_MED),AVERAGE(INDEX($C$5:$C277,274-MA_MED):$C277),"")</f>
        <v>1085669.8</v>
      </c>
      <c r="K277" s="45" t="n">
        <f aca="false">IF(AND(ISNUMBER($G277),$G277&gt;=MA_LONG2),AVERAGE(INDEX($C$5:$C277,274-MA_LONG2):$C277),"")</f>
        <v>1115630.605</v>
      </c>
      <c r="L277" s="46" t="n">
        <f aca="false">IF(AND(ISNUMBER($G277),$G277&gt;=21),STDEV(INDEX($H$217:$H277,62-20):$H277)*SQRT(245),"")</f>
        <v>0.133336266118618</v>
      </c>
      <c r="M277" s="45" t="n">
        <f aca="false">IF(AND(ISNUMBER($G277),$G277&gt;=60),MAX(INDEX($D$77:$D277,202-60):$D277),"")</f>
        <v>1173792</v>
      </c>
      <c r="N277" s="45" t="n">
        <f aca="false">IF(AND(ISNUMBER($G277),$G277&gt;=60),MIN(INDEX($E$77:$E277,202-60):$E277),"")</f>
        <v>1014556</v>
      </c>
      <c r="O277" s="46" t="n">
        <f aca="false">IF(OR(NOT(ISNUMBER($C277)),NOT(ISNUMBER($M277)),$M277=0),"",$C277/$M277-1)</f>
        <v>-0.0840932635424334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1070842</v>
      </c>
      <c r="D278" s="42" t="n">
        <v>1075699</v>
      </c>
      <c r="E278" s="42" t="n">
        <v>1066973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-0.00394573819348065</v>
      </c>
      <c r="I278" s="45" t="n">
        <f aca="false">IF(AND(ISNUMBER($G278),$G278&gt;=MA_SHORT),AVERAGE(INDEX($C$5:$C278,275-MA_SHORT):$C278),"")</f>
        <v>1047934.65</v>
      </c>
      <c r="J278" s="45" t="n">
        <f aca="false">IF(AND(ISNUMBER($G278),$G278&gt;=MA_MED),AVERAGE(INDEX($C$5:$C278,275-MA_MED):$C278),"")</f>
        <v>1083707.42</v>
      </c>
      <c r="K278" s="45" t="n">
        <f aca="false">IF(AND(ISNUMBER($G278),$G278&gt;=MA_LONG2),AVERAGE(INDEX($C$5:$C278,275-MA_LONG2):$C278),"")</f>
        <v>1115971.14</v>
      </c>
      <c r="L278" s="46" t="n">
        <f aca="false">IF(AND(ISNUMBER($G278),$G278&gt;=21),STDEV(INDEX($H$218:$H278,62-20):$H278)*SQRT(245),"")</f>
        <v>0.133261912919576</v>
      </c>
      <c r="M278" s="45" t="n">
        <f aca="false">IF(AND(ISNUMBER($G278),$G278&gt;=60),MAX(INDEX($D$78:$D278,202-60):$D278),"")</f>
        <v>1173792</v>
      </c>
      <c r="N278" s="45" t="n">
        <f aca="false">IF(AND(ISNUMBER($G278),$G278&gt;=60),MIN(INDEX($E$78:$E278,202-60):$E278),"")</f>
        <v>1014556</v>
      </c>
      <c r="O278" s="46" t="n">
        <f aca="false">IF(OR(NOT(ISNUMBER($C278)),NOT(ISNUMBER($M278)),$M278=0),"",$C278/$M278-1)</f>
        <v>-0.0877071917341403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1068573</v>
      </c>
      <c r="D279" s="42" t="n">
        <v>1068785</v>
      </c>
      <c r="E279" s="42" t="n">
        <v>1067349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-0.00211889335681637</v>
      </c>
      <c r="I279" s="45" t="n">
        <f aca="false">IF(AND(ISNUMBER($G279),$G279&gt;=MA_SHORT),AVERAGE(INDEX($C$5:$C279,276-MA_SHORT):$C279),"")</f>
        <v>1049185.4</v>
      </c>
      <c r="J279" s="45" t="n">
        <f aca="false">IF(AND(ISNUMBER($G279),$G279&gt;=MA_MED),AVERAGE(INDEX($C$5:$C279,276-MA_MED):$C279),"")</f>
        <v>1081721.88</v>
      </c>
      <c r="K279" s="45" t="n">
        <f aca="false">IF(AND(ISNUMBER($G279),$G279&gt;=MA_LONG2),AVERAGE(INDEX($C$5:$C279,276-MA_LONG2):$C279),"")</f>
        <v>1116257.555</v>
      </c>
      <c r="L279" s="46" t="n">
        <f aca="false">IF(AND(ISNUMBER($G279),$G279&gt;=21),STDEV(INDEX($H$219:$H279,62-20):$H279)*SQRT(245),"")</f>
        <v>0.129297332130971</v>
      </c>
      <c r="M279" s="45" t="n">
        <f aca="false">IF(AND(ISNUMBER($G279),$G279&gt;=60),MAX(INDEX($D$79:$D279,202-60):$D279),"")</f>
        <v>1173792</v>
      </c>
      <c r="N279" s="45" t="n">
        <f aca="false">IF(AND(ISNUMBER($G279),$G279&gt;=60),MIN(INDEX($E$79:$E279,202-60):$E279),"")</f>
        <v>1014556</v>
      </c>
      <c r="O279" s="46" t="n">
        <f aca="false">IF(OR(NOT(ISNUMBER($C279)),NOT(ISNUMBER($M279)),$M279=0),"",$C279/$M279-1)</f>
        <v>-0.0896402429050462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1092222</v>
      </c>
      <c r="D280" s="42" t="n">
        <v>1094266</v>
      </c>
      <c r="E280" s="42" t="n">
        <v>1091424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0.0221313845661457</v>
      </c>
      <c r="I280" s="45" t="n">
        <f aca="false">IF(AND(ISNUMBER($G280),$G280&gt;=MA_SHORT),AVERAGE(INDEX($C$5:$C280,277-MA_SHORT):$C280),"")</f>
        <v>1052289.15</v>
      </c>
      <c r="J280" s="45" t="n">
        <f aca="false">IF(AND(ISNUMBER($G280),$G280&gt;=MA_MED),AVERAGE(INDEX($C$5:$C280,277-MA_MED):$C280),"")</f>
        <v>1080516.44</v>
      </c>
      <c r="K280" s="45" t="n">
        <f aca="false">IF(AND(ISNUMBER($G280),$G280&gt;=MA_LONG2),AVERAGE(INDEX($C$5:$C280,277-MA_LONG2):$C280),"")</f>
        <v>1116726.375</v>
      </c>
      <c r="L280" s="46" t="n">
        <f aca="false">IF(AND(ISNUMBER($G280),$G280&gt;=21),STDEV(INDEX($H$220:$H280,62-20):$H280)*SQRT(245),"")</f>
        <v>0.137900874635225</v>
      </c>
      <c r="M280" s="45" t="n">
        <f aca="false">IF(AND(ISNUMBER($G280),$G280&gt;=60),MAX(INDEX($D$80:$D280,202-60):$D280),"")</f>
        <v>1173792</v>
      </c>
      <c r="N280" s="45" t="n">
        <f aca="false">IF(AND(ISNUMBER($G280),$G280&gt;=60),MIN(INDEX($E$80:$E280,202-60):$E280),"")</f>
        <v>1014556</v>
      </c>
      <c r="O280" s="46" t="n">
        <f aca="false">IF(OR(NOT(ISNUMBER($C280)),NOT(ISNUMBER($M280)),$M280=0),"",$C280/$M280-1)</f>
        <v>-0.0694927210272348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1113399</v>
      </c>
      <c r="D281" s="42" t="n">
        <v>1114354</v>
      </c>
      <c r="E281" s="42" t="n">
        <v>1110879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0.0193889154402676</v>
      </c>
      <c r="I281" s="45" t="n">
        <f aca="false">IF(AND(ISNUMBER($G281),$G281&gt;=MA_SHORT),AVERAGE(INDEX($C$5:$C281,278-MA_SHORT):$C281),"")</f>
        <v>1056765.75</v>
      </c>
      <c r="J281" s="45" t="n">
        <f aca="false">IF(AND(ISNUMBER($G281),$G281&gt;=MA_MED),AVERAGE(INDEX($C$5:$C281,278-MA_MED):$C281),"")</f>
        <v>1080005.38</v>
      </c>
      <c r="K281" s="45" t="n">
        <f aca="false">IF(AND(ISNUMBER($G281),$G281&gt;=MA_LONG2),AVERAGE(INDEX($C$5:$C281,278-MA_LONG2):$C281),"")</f>
        <v>1117319.81</v>
      </c>
      <c r="L281" s="46" t="n">
        <f aca="false">IF(AND(ISNUMBER($G281),$G281&gt;=21),STDEV(INDEX($H$221:$H281,62-20):$H281)*SQRT(245),"")</f>
        <v>0.144970491532114</v>
      </c>
      <c r="M281" s="45" t="n">
        <f aca="false">IF(AND(ISNUMBER($G281),$G281&gt;=60),MAX(INDEX($D$81:$D281,202-60):$D281),"")</f>
        <v>1173792</v>
      </c>
      <c r="N281" s="45" t="n">
        <f aca="false">IF(AND(ISNUMBER($G281),$G281&gt;=60),MIN(INDEX($E$81:$E281,202-60):$E281),"")</f>
        <v>1014556</v>
      </c>
      <c r="O281" s="46" t="n">
        <f aca="false">IF(OR(NOT(ISNUMBER($C281)),NOT(ISNUMBER($M281)),$M281=0),"",$C281/$M281-1)</f>
        <v>-0.0514511940786784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1105206</v>
      </c>
      <c r="D282" s="42" t="n">
        <v>1107857</v>
      </c>
      <c r="E282" s="42" t="n">
        <v>1104361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-0.00735854801378477</v>
      </c>
      <c r="I282" s="45" t="n">
        <f aca="false">IF(AND(ISNUMBER($G282),$G282&gt;=MA_SHORT),AVERAGE(INDEX($C$5:$C282,279-MA_SHORT):$C282),"")</f>
        <v>1061158.35</v>
      </c>
      <c r="J282" s="45" t="n">
        <f aca="false">IF(AND(ISNUMBER($G282),$G282&gt;=MA_MED),AVERAGE(INDEX($C$5:$C282,279-MA_MED):$C282),"")</f>
        <v>1079404.02</v>
      </c>
      <c r="K282" s="45" t="n">
        <f aca="false">IF(AND(ISNUMBER($G282),$G282&gt;=MA_LONG2),AVERAGE(INDEX($C$5:$C282,279-MA_LONG2):$C282),"")</f>
        <v>1117824.93</v>
      </c>
      <c r="L282" s="46" t="n">
        <f aca="false">IF(AND(ISNUMBER($G282),$G282&gt;=21),STDEV(INDEX($H$222:$H282,62-20):$H282)*SQRT(245),"")</f>
        <v>0.145949750071746</v>
      </c>
      <c r="M282" s="45" t="n">
        <f aca="false">IF(AND(ISNUMBER($G282),$G282&gt;=60),MAX(INDEX($D$82:$D282,202-60):$D282),"")</f>
        <v>1173792</v>
      </c>
      <c r="N282" s="45" t="n">
        <f aca="false">IF(AND(ISNUMBER($G282),$G282&gt;=60),MIN(INDEX($E$82:$E282,202-60):$E282),"")</f>
        <v>1014556</v>
      </c>
      <c r="O282" s="46" t="n">
        <f aca="false">IF(OR(NOT(ISNUMBER($C282)),NOT(ISNUMBER($M282)),$M282=0),"",$C282/$M282-1)</f>
        <v>-0.0584311360104687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1106983</v>
      </c>
      <c r="D283" s="42" t="n">
        <v>1109267</v>
      </c>
      <c r="E283" s="42" t="n">
        <v>1102385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0.00160784505332034</v>
      </c>
      <c r="I283" s="45" t="n">
        <f aca="false">IF(AND(ISNUMBER($G283),$G283&gt;=MA_SHORT),AVERAGE(INDEX($C$5:$C283,280-MA_SHORT):$C283),"")</f>
        <v>1064882.3</v>
      </c>
      <c r="J283" s="45" t="n">
        <f aca="false">IF(AND(ISNUMBER($G283),$G283&gt;=MA_MED),AVERAGE(INDEX($C$5:$C283,280-MA_MED):$C283),"")</f>
        <v>1078621.94</v>
      </c>
      <c r="K283" s="45" t="n">
        <f aca="false">IF(AND(ISNUMBER($G283),$G283&gt;=MA_LONG2),AVERAGE(INDEX($C$5:$C283,280-MA_LONG2):$C283),"")</f>
        <v>1118367.395</v>
      </c>
      <c r="L283" s="46" t="n">
        <f aca="false">IF(AND(ISNUMBER($G283),$G283&gt;=21),STDEV(INDEX($H$223:$H283,62-20):$H283)*SQRT(245),"")</f>
        <v>0.140702185101532</v>
      </c>
      <c r="M283" s="45" t="n">
        <f aca="false">IF(AND(ISNUMBER($G283),$G283&gt;=60),MAX(INDEX($D$83:$D283,202-60):$D283),"")</f>
        <v>1173792</v>
      </c>
      <c r="N283" s="45" t="n">
        <f aca="false">IF(AND(ISNUMBER($G283),$G283&gt;=60),MIN(INDEX($E$83:$E283,202-60):$E283),"")</f>
        <v>1014556</v>
      </c>
      <c r="O283" s="46" t="n">
        <f aca="false">IF(OR(NOT(ISNUMBER($C283)),NOT(ISNUMBER($M283)),$M283=0),"",$C283/$M283-1)</f>
        <v>-0.0569172391701426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1107424</v>
      </c>
      <c r="D284" s="42" t="n">
        <v>1109119</v>
      </c>
      <c r="E284" s="42" t="n">
        <v>1104325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0.000398380101591433</v>
      </c>
      <c r="I284" s="45" t="n">
        <f aca="false">IF(AND(ISNUMBER($G284),$G284&gt;=MA_SHORT),AVERAGE(INDEX($C$5:$C284,281-MA_SHORT):$C284),"")</f>
        <v>1068791</v>
      </c>
      <c r="J284" s="45" t="n">
        <f aca="false">IF(AND(ISNUMBER($G284),$G284&gt;=MA_MED),AVERAGE(INDEX($C$5:$C284,281-MA_MED):$C284),"")</f>
        <v>1077718.6</v>
      </c>
      <c r="K284" s="45" t="n">
        <f aca="false">IF(AND(ISNUMBER($G284),$G284&gt;=MA_LONG2),AVERAGE(INDEX($C$5:$C284,281-MA_LONG2):$C284),"")</f>
        <v>1118846.855</v>
      </c>
      <c r="L284" s="46" t="n">
        <f aca="false">IF(AND(ISNUMBER($G284),$G284&gt;=21),STDEV(INDEX($H$224:$H284,62-20):$H284)*SQRT(245),"")</f>
        <v>0.139068593346186</v>
      </c>
      <c r="M284" s="45" t="n">
        <f aca="false">IF(AND(ISNUMBER($G284),$G284&gt;=60),MAX(INDEX($D$84:$D284,202-60):$D284),"")</f>
        <v>1173792</v>
      </c>
      <c r="N284" s="45" t="n">
        <f aca="false">IF(AND(ISNUMBER($G284),$G284&gt;=60),MIN(INDEX($E$84:$E284,202-60):$E284),"")</f>
        <v>1014556</v>
      </c>
      <c r="O284" s="46" t="n">
        <f aca="false">IF(OR(NOT(ISNUMBER($C284)),NOT(ISNUMBER($M284)),$M284=0),"",$C284/$M284-1)</f>
        <v>-0.056541533764074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1077442</v>
      </c>
      <c r="D285" s="42" t="n">
        <v>1078631</v>
      </c>
      <c r="E285" s="42" t="n">
        <v>1076225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-0.0270736411708614</v>
      </c>
      <c r="I285" s="45" t="n">
        <f aca="false">IF(AND(ISNUMBER($G285),$G285&gt;=MA_SHORT),AVERAGE(INDEX($C$5:$C285,282-MA_SHORT):$C285),"")</f>
        <v>1071170.35</v>
      </c>
      <c r="J285" s="45" t="n">
        <f aca="false">IF(AND(ISNUMBER($G285),$G285&gt;=MA_MED),AVERAGE(INDEX($C$5:$C285,282-MA_MED):$C285),"")</f>
        <v>1076221.34</v>
      </c>
      <c r="K285" s="45" t="n">
        <f aca="false">IF(AND(ISNUMBER($G285),$G285&gt;=MA_LONG2),AVERAGE(INDEX($C$5:$C285,282-MA_LONG2):$C285),"")</f>
        <v>1119185.45</v>
      </c>
      <c r="L285" s="46" t="n">
        <f aca="false">IF(AND(ISNUMBER($G285),$G285&gt;=21),STDEV(INDEX($H$225:$H285,62-20):$H285)*SQRT(245),"")</f>
        <v>0.175887514325504</v>
      </c>
      <c r="M285" s="45" t="n">
        <f aca="false">IF(AND(ISNUMBER($G285),$G285&gt;=60),MAX(INDEX($D$85:$D285,202-60):$D285),"")</f>
        <v>1173792</v>
      </c>
      <c r="N285" s="45" t="n">
        <f aca="false">IF(AND(ISNUMBER($G285),$G285&gt;=60),MIN(INDEX($E$85:$E285,202-60):$E285),"")</f>
        <v>1014556</v>
      </c>
      <c r="O285" s="46" t="n">
        <f aca="false">IF(OR(NOT(ISNUMBER($C285)),NOT(ISNUMBER($M285)),$M285=0),"",$C285/$M285-1)</f>
        <v>-0.0820843897385567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1064461</v>
      </c>
      <c r="D286" s="42" t="n">
        <v>1064900</v>
      </c>
      <c r="E286" s="42" t="n">
        <v>1059829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-0.0120479803089169</v>
      </c>
      <c r="I286" s="45" t="n">
        <f aca="false">IF(AND(ISNUMBER($G286),$G286&gt;=MA_SHORT),AVERAGE(INDEX($C$5:$C286,283-MA_SHORT):$C286),"")</f>
        <v>1072572.7</v>
      </c>
      <c r="J286" s="45" t="n">
        <f aca="false">IF(AND(ISNUMBER($G286),$G286&gt;=MA_MED),AVERAGE(INDEX($C$5:$C286,283-MA_MED):$C286),"")</f>
        <v>1074686.72</v>
      </c>
      <c r="K286" s="45" t="n">
        <f aca="false">IF(AND(ISNUMBER($G286),$G286&gt;=MA_LONG2),AVERAGE(INDEX($C$5:$C286,283-MA_LONG2):$C286),"")</f>
        <v>1119459.405</v>
      </c>
      <c r="L286" s="46" t="n">
        <f aca="false">IF(AND(ISNUMBER($G286),$G286&gt;=21),STDEV(INDEX($H$226:$H286,62-20):$H286)*SQRT(245),"")</f>
        <v>0.182123257819618</v>
      </c>
      <c r="M286" s="45" t="n">
        <f aca="false">IF(AND(ISNUMBER($G286),$G286&gt;=60),MAX(INDEX($D$86:$D286,202-60):$D286),"")</f>
        <v>1173792</v>
      </c>
      <c r="N286" s="45" t="n">
        <f aca="false">IF(AND(ISNUMBER($G286),$G286&gt;=60),MIN(INDEX($E$86:$E286,202-60):$E286),"")</f>
        <v>1014556</v>
      </c>
      <c r="O286" s="46" t="n">
        <f aca="false">IF(OR(NOT(ISNUMBER($C286)),NOT(ISNUMBER($M286)),$M286=0),"",$C286/$M286-1)</f>
        <v>-0.093143418936234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1053746</v>
      </c>
      <c r="D287" s="42" t="n">
        <v>1053950</v>
      </c>
      <c r="E287" s="42" t="n">
        <v>1052972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-0.0100661273639898</v>
      </c>
      <c r="I287" s="45" t="n">
        <f aca="false">IF(AND(ISNUMBER($G287),$G287&gt;=MA_SHORT),AVERAGE(INDEX($C$5:$C287,284-MA_SHORT):$C287),"")</f>
        <v>1073199.2</v>
      </c>
      <c r="J287" s="45" t="n">
        <f aca="false">IF(AND(ISNUMBER($G287),$G287&gt;=MA_MED),AVERAGE(INDEX($C$5:$C287,284-MA_MED):$C287),"")</f>
        <v>1072773.72</v>
      </c>
      <c r="K287" s="45" t="n">
        <f aca="false">IF(AND(ISNUMBER($G287),$G287&gt;=MA_LONG2),AVERAGE(INDEX($C$5:$C287,284-MA_LONG2):$C287),"")</f>
        <v>1119657.605</v>
      </c>
      <c r="L287" s="46" t="n">
        <f aca="false">IF(AND(ISNUMBER($G287),$G287&gt;=21),STDEV(INDEX($H$227:$H287,62-20):$H287)*SQRT(245),"")</f>
        <v>0.185984384063968</v>
      </c>
      <c r="M287" s="45" t="n">
        <f aca="false">IF(AND(ISNUMBER($G287),$G287&gt;=60),MAX(INDEX($D$87:$D287,202-60):$D287),"")</f>
        <v>1173792</v>
      </c>
      <c r="N287" s="45" t="n">
        <f aca="false">IF(AND(ISNUMBER($G287),$G287&gt;=60),MIN(INDEX($E$87:$E287,202-60):$E287),"")</f>
        <v>1014556</v>
      </c>
      <c r="O287" s="46" t="n">
        <f aca="false">IF(OR(NOT(ISNUMBER($C287)),NOT(ISNUMBER($M287)),$M287=0),"",$C287/$M287-1)</f>
        <v>-0.102271952782094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1064851</v>
      </c>
      <c r="D288" s="42" t="n">
        <v>1066199</v>
      </c>
      <c r="E288" s="42" t="n">
        <v>1064624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0.0105385927918114</v>
      </c>
      <c r="I288" s="45" t="n">
        <f aca="false">IF(AND(ISNUMBER($G288),$G288&gt;=MA_SHORT),AVERAGE(INDEX($C$5:$C288,285-MA_SHORT):$C288),"")</f>
        <v>1074194.9</v>
      </c>
      <c r="J288" s="45" t="n">
        <f aca="false">IF(AND(ISNUMBER($G288),$G288&gt;=MA_MED),AVERAGE(INDEX($C$5:$C288,285-MA_MED):$C288),"")</f>
        <v>1071062.06</v>
      </c>
      <c r="K288" s="45" t="n">
        <f aca="false">IF(AND(ISNUMBER($G288),$G288&gt;=MA_LONG2),AVERAGE(INDEX($C$5:$C288,285-MA_LONG2):$C288),"")</f>
        <v>1119904.92</v>
      </c>
      <c r="L288" s="46" t="n">
        <f aca="false">IF(AND(ISNUMBER($G288),$G288&gt;=21),STDEV(INDEX($H$228:$H288,62-20):$H288)*SQRT(245),"")</f>
        <v>0.188962518957093</v>
      </c>
      <c r="M288" s="45" t="n">
        <f aca="false">IF(AND(ISNUMBER($G288),$G288&gt;=60),MAX(INDEX($D$88:$D288,202-60):$D288),"")</f>
        <v>1168011</v>
      </c>
      <c r="N288" s="45" t="n">
        <f aca="false">IF(AND(ISNUMBER($G288),$G288&gt;=60),MIN(INDEX($E$88:$E288,202-60):$E288),"")</f>
        <v>1014556</v>
      </c>
      <c r="O288" s="46" t="n">
        <f aca="false">IF(OR(NOT(ISNUMBER($C288)),NOT(ISNUMBER($M288)),$M288=0),"",$C288/$M288-1)</f>
        <v>-0.0883210860171694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1060484</v>
      </c>
      <c r="D289" s="42" t="n">
        <v>1061394</v>
      </c>
      <c r="E289" s="42" t="n">
        <v>1056261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-0.00410104324454785</v>
      </c>
      <c r="I289" s="45" t="n">
        <f aca="false">IF(AND(ISNUMBER($G289),$G289&gt;=MA_SHORT),AVERAGE(INDEX($C$5:$C289,286-MA_SHORT):$C289),"")</f>
        <v>1074645.4</v>
      </c>
      <c r="J289" s="45" t="n">
        <f aca="false">IF(AND(ISNUMBER($G289),$G289&gt;=MA_MED),AVERAGE(INDEX($C$5:$C289,286-MA_MED):$C289),"")</f>
        <v>1069058.64</v>
      </c>
      <c r="K289" s="45" t="n">
        <f aca="false">IF(AND(ISNUMBER($G289),$G289&gt;=MA_LONG2),AVERAGE(INDEX($C$5:$C289,286-MA_LONG2):$C289),"")</f>
        <v>1120163.805</v>
      </c>
      <c r="L289" s="46" t="n">
        <f aca="false">IF(AND(ISNUMBER($G289),$G289&gt;=21),STDEV(INDEX($H$229:$H289,62-20):$H289)*SQRT(245),"")</f>
        <v>0.18873428614544</v>
      </c>
      <c r="M289" s="45" t="n">
        <f aca="false">IF(AND(ISNUMBER($G289),$G289&gt;=60),MAX(INDEX($D$89:$D289,202-60):$D289),"")</f>
        <v>1161039</v>
      </c>
      <c r="N289" s="45" t="n">
        <f aca="false">IF(AND(ISNUMBER($G289),$G289&gt;=60),MIN(INDEX($E$89:$E289,202-60):$E289),"")</f>
        <v>1014556</v>
      </c>
      <c r="O289" s="46" t="n">
        <f aca="false">IF(OR(NOT(ISNUMBER($C289)),NOT(ISNUMBER($M289)),$M289=0),"",$C289/$M289-1)</f>
        <v>-0.086607771142916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1052581</v>
      </c>
      <c r="D290" s="42" t="n">
        <v>1055628</v>
      </c>
      <c r="E290" s="42" t="n">
        <v>1049655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-0.00745225764839452</v>
      </c>
      <c r="I290" s="45" t="n">
        <f aca="false">IF(AND(ISNUMBER($G290),$G290&gt;=MA_SHORT),AVERAGE(INDEX($C$5:$C290,287-MA_SHORT):$C290),"")</f>
        <v>1074541.6</v>
      </c>
      <c r="J290" s="45" t="n">
        <f aca="false">IF(AND(ISNUMBER($G290),$G290&gt;=MA_MED),AVERAGE(INDEX($C$5:$C290,287-MA_MED):$C290),"")</f>
        <v>1067896.42</v>
      </c>
      <c r="K290" s="45" t="n">
        <f aca="false">IF(AND(ISNUMBER($G290),$G290&gt;=MA_LONG2),AVERAGE(INDEX($C$5:$C290,287-MA_LONG2):$C290),"")</f>
        <v>1120349.1</v>
      </c>
      <c r="L290" s="46" t="n">
        <f aca="false">IF(AND(ISNUMBER($G290),$G290&gt;=21),STDEV(INDEX($H$230:$H290,62-20):$H290)*SQRT(245),"")</f>
        <v>0.190477738756507</v>
      </c>
      <c r="M290" s="45" t="n">
        <f aca="false">IF(AND(ISNUMBER($G290),$G290&gt;=60),MAX(INDEX($D$90:$D290,202-60):$D290),"")</f>
        <v>1161039</v>
      </c>
      <c r="N290" s="45" t="n">
        <f aca="false">IF(AND(ISNUMBER($G290),$G290&gt;=60),MIN(INDEX($E$90:$E290,202-60):$E290),"")</f>
        <v>1014556</v>
      </c>
      <c r="O290" s="46" t="n">
        <f aca="false">IF(OR(NOT(ISNUMBER($C290)),NOT(ISNUMBER($M290)),$M290=0),"",$C290/$M290-1)</f>
        <v>-0.0934146053664002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1056257</v>
      </c>
      <c r="D291" s="42" t="n">
        <v>1058128</v>
      </c>
      <c r="E291" s="42" t="n">
        <v>1053478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0.00349236780827322</v>
      </c>
      <c r="I291" s="45" t="n">
        <f aca="false">IF(AND(ISNUMBER($G291),$G291&gt;=MA_SHORT),AVERAGE(INDEX($C$5:$C291,288-MA_SHORT):$C291),"")</f>
        <v>1074463.6</v>
      </c>
      <c r="J291" s="45" t="n">
        <f aca="false">IF(AND(ISNUMBER($G291),$G291&gt;=MA_MED),AVERAGE(INDEX($C$5:$C291,288-MA_MED):$C291),"")</f>
        <v>1066333.52</v>
      </c>
      <c r="K291" s="45" t="n">
        <f aca="false">IF(AND(ISNUMBER($G291),$G291&gt;=MA_LONG2),AVERAGE(INDEX($C$5:$C291,288-MA_LONG2):$C291),"")</f>
        <v>1120481.155</v>
      </c>
      <c r="L291" s="46" t="n">
        <f aca="false">IF(AND(ISNUMBER($G291),$G291&gt;=21),STDEV(INDEX($H$231:$H291,62-20):$H291)*SQRT(245),"")</f>
        <v>0.190587203442734</v>
      </c>
      <c r="M291" s="45" t="n">
        <f aca="false">IF(AND(ISNUMBER($G291),$G291&gt;=60),MAX(INDEX($D$91:$D291,202-60):$D291),"")</f>
        <v>1161039</v>
      </c>
      <c r="N291" s="45" t="n">
        <f aca="false">IF(AND(ISNUMBER($G291),$G291&gt;=60),MIN(INDEX($E$91:$E291,202-60):$E291),"")</f>
        <v>1014556</v>
      </c>
      <c r="O291" s="46" t="n">
        <f aca="false">IF(OR(NOT(ISNUMBER($C291)),NOT(ISNUMBER($M291)),$M291=0),"",$C291/$M291-1)</f>
        <v>-0.0902484757187313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1061506</v>
      </c>
      <c r="D292" s="42" t="n">
        <v>1067573</v>
      </c>
      <c r="E292" s="42" t="n">
        <v>1055360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0.00496943452209075</v>
      </c>
      <c r="I292" s="45" t="n">
        <f aca="false">IF(AND(ISNUMBER($G292),$G292&gt;=MA_SHORT),AVERAGE(INDEX($C$5:$C292,289-MA_SHORT):$C292),"")</f>
        <v>1074455.7</v>
      </c>
      <c r="J292" s="45" t="n">
        <f aca="false">IF(AND(ISNUMBER($G292),$G292&gt;=MA_MED),AVERAGE(INDEX($C$5:$C292,289-MA_MED):$C292),"")</f>
        <v>1065546.82</v>
      </c>
      <c r="K292" s="45" t="n">
        <f aca="false">IF(AND(ISNUMBER($G292),$G292&gt;=MA_LONG2),AVERAGE(INDEX($C$5:$C292,289-MA_LONG2):$C292),"")</f>
        <v>1120683.68</v>
      </c>
      <c r="L292" s="46" t="n">
        <f aca="false">IF(AND(ISNUMBER($G292),$G292&gt;=21),STDEV(INDEX($H$232:$H292,62-20):$H292)*SQRT(245),"")</f>
        <v>0.190972117040357</v>
      </c>
      <c r="M292" s="45" t="n">
        <f aca="false">IF(AND(ISNUMBER($G292),$G292&gt;=60),MAX(INDEX($D$92:$D292,202-60):$D292),"")</f>
        <v>1161039</v>
      </c>
      <c r="N292" s="45" t="n">
        <f aca="false">IF(AND(ISNUMBER($G292),$G292&gt;=60),MIN(INDEX($E$92:$E292,202-60):$E292),"")</f>
        <v>1014556</v>
      </c>
      <c r="O292" s="46" t="n">
        <f aca="false">IF(OR(NOT(ISNUMBER($C292)),NOT(ISNUMBER($M292)),$M292=0),"",$C292/$M292-1)</f>
        <v>-0.0857275250874432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1057974</v>
      </c>
      <c r="D293" s="42" t="n">
        <v>1058783</v>
      </c>
      <c r="E293" s="42" t="n">
        <v>1057029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-0.00332734812615287</v>
      </c>
      <c r="I293" s="45" t="n">
        <f aca="false">IF(AND(ISNUMBER($G293),$G293&gt;=MA_SHORT),AVERAGE(INDEX($C$5:$C293,290-MA_SHORT):$C293),"")</f>
        <v>1073738.7</v>
      </c>
      <c r="J293" s="45" t="n">
        <f aca="false">IF(AND(ISNUMBER($G293),$G293&gt;=MA_MED),AVERAGE(INDEX($C$5:$C293,290-MA_MED):$C293),"")</f>
        <v>1064562.38</v>
      </c>
      <c r="K293" s="45" t="n">
        <f aca="false">IF(AND(ISNUMBER($G293),$G293&gt;=MA_LONG2),AVERAGE(INDEX($C$5:$C293,290-MA_LONG2):$C293),"")</f>
        <v>1120803.945</v>
      </c>
      <c r="L293" s="46" t="n">
        <f aca="false">IF(AND(ISNUMBER($G293),$G293&gt;=21),STDEV(INDEX($H$233:$H293,62-20):$H293)*SQRT(245),"")</f>
        <v>0.187675906038858</v>
      </c>
      <c r="M293" s="45" t="n">
        <f aca="false">IF(AND(ISNUMBER($G293),$G293&gt;=60),MAX(INDEX($D$93:$D293,202-60):$D293),"")</f>
        <v>1161039</v>
      </c>
      <c r="N293" s="45" t="n">
        <f aca="false">IF(AND(ISNUMBER($G293),$G293&gt;=60),MIN(INDEX($E$93:$E293,202-60):$E293),"")</f>
        <v>1014556</v>
      </c>
      <c r="O293" s="46" t="n">
        <f aca="false">IF(OR(NOT(ISNUMBER($C293)),NOT(ISNUMBER($M293)),$M293=0),"",$C293/$M293-1)</f>
        <v>-0.0887696278936366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1053091</v>
      </c>
      <c r="D294" s="42" t="n">
        <v>1054712</v>
      </c>
      <c r="E294" s="42" t="n">
        <v>1048832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-0.00461542533181347</v>
      </c>
      <c r="I294" s="45" t="n">
        <f aca="false">IF(AND(ISNUMBER($G294),$G294&gt;=MA_SHORT),AVERAGE(INDEX($C$5:$C294,291-MA_SHORT):$C294),"")</f>
        <v>1073114.2</v>
      </c>
      <c r="J294" s="45" t="n">
        <f aca="false">IF(AND(ISNUMBER($G294),$G294&gt;=MA_MED),AVERAGE(INDEX($C$5:$C294,291-MA_MED):$C294),"")</f>
        <v>1063701.66</v>
      </c>
      <c r="K294" s="45" t="n">
        <f aca="false">IF(AND(ISNUMBER($G294),$G294&gt;=MA_LONG2),AVERAGE(INDEX($C$5:$C294,291-MA_LONG2):$C294),"")</f>
        <v>1120859.08</v>
      </c>
      <c r="L294" s="46" t="n">
        <f aca="false">IF(AND(ISNUMBER($G294),$G294&gt;=21),STDEV(INDEX($H$234:$H294,62-20):$H294)*SQRT(245),"")</f>
        <v>0.187116843605886</v>
      </c>
      <c r="M294" s="45" t="n">
        <f aca="false">IF(AND(ISNUMBER($G294),$G294&gt;=60),MAX(INDEX($D$94:$D294,202-60):$D294),"")</f>
        <v>1161039</v>
      </c>
      <c r="N294" s="45" t="n">
        <f aca="false">IF(AND(ISNUMBER($G294),$G294&gt;=60),MIN(INDEX($E$94:$E294,202-60):$E294),"")</f>
        <v>1014556</v>
      </c>
      <c r="O294" s="46" t="n">
        <f aca="false">IF(OR(NOT(ISNUMBER($C294)),NOT(ISNUMBER($M294)),$M294=0),"",$C294/$M294-1)</f>
        <v>-0.0929753436361741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1071776</v>
      </c>
      <c r="D295" s="42" t="n">
        <v>1073766</v>
      </c>
      <c r="E295" s="42" t="n">
        <v>1070899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0.017743006065003</v>
      </c>
      <c r="I295" s="45" t="n">
        <f aca="false">IF(AND(ISNUMBER($G295),$G295&gt;=MA_SHORT),AVERAGE(INDEX($C$5:$C295,292-MA_SHORT):$C295),"")</f>
        <v>1073385.85</v>
      </c>
      <c r="J295" s="45" t="n">
        <f aca="false">IF(AND(ISNUMBER($G295),$G295&gt;=MA_MED),AVERAGE(INDEX($C$5:$C295,292-MA_MED):$C295),"")</f>
        <v>1063120.5</v>
      </c>
      <c r="K295" s="45" t="n">
        <f aca="false">IF(AND(ISNUMBER($G295),$G295&gt;=MA_LONG2),AVERAGE(INDEX($C$5:$C295,292-MA_LONG2):$C295),"")</f>
        <v>1120984.67</v>
      </c>
      <c r="L295" s="46" t="n">
        <f aca="false">IF(AND(ISNUMBER($G295),$G295&gt;=21),STDEV(INDEX($H$235:$H295,62-20):$H295)*SQRT(245),"")</f>
        <v>0.197756547366173</v>
      </c>
      <c r="M295" s="45" t="n">
        <f aca="false">IF(AND(ISNUMBER($G295),$G295&gt;=60),MAX(INDEX($D$95:$D295,202-60):$D295),"")</f>
        <v>1161039</v>
      </c>
      <c r="N295" s="45" t="n">
        <f aca="false">IF(AND(ISNUMBER($G295),$G295&gt;=60),MIN(INDEX($E$95:$E295,202-60):$E295),"")</f>
        <v>1014556</v>
      </c>
      <c r="O295" s="46" t="n">
        <f aca="false">IF(OR(NOT(ISNUMBER($C295)),NOT(ISNUMBER($M295)),$M295=0),"",$C295/$M295-1)</f>
        <v>-0.0768819996572036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1082599</v>
      </c>
      <c r="D296" s="42" t="n">
        <v>1084787</v>
      </c>
      <c r="E296" s="42" t="n">
        <v>1082467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0.0100981921595558</v>
      </c>
      <c r="I296" s="45" t="n">
        <f aca="false">IF(AND(ISNUMBER($G296),$G296&gt;=MA_SHORT),AVERAGE(INDEX($C$5:$C296,293-MA_SHORT):$C296),"")</f>
        <v>1074825.05</v>
      </c>
      <c r="J296" s="45" t="n">
        <f aca="false">IF(AND(ISNUMBER($G296),$G296&gt;=MA_MED),AVERAGE(INDEX($C$5:$C296,293-MA_MED):$C296),"")</f>
        <v>1062744.74</v>
      </c>
      <c r="K296" s="45" t="n">
        <f aca="false">IF(AND(ISNUMBER($G296),$G296&gt;=MA_LONG2),AVERAGE(INDEX($C$5:$C296,293-MA_LONG2):$C296),"")</f>
        <v>1121093.03</v>
      </c>
      <c r="L296" s="46" t="n">
        <f aca="false">IF(AND(ISNUMBER($G296),$G296&gt;=21),STDEV(INDEX($H$236:$H296,62-20):$H296)*SQRT(245),"")</f>
        <v>0.195318096852561</v>
      </c>
      <c r="M296" s="45" t="n">
        <f aca="false">IF(AND(ISNUMBER($G296),$G296&gt;=60),MAX(INDEX($D$96:$D296,202-60):$D296),"")</f>
        <v>1161039</v>
      </c>
      <c r="N296" s="45" t="n">
        <f aca="false">IF(AND(ISNUMBER($G296),$G296&gt;=60),MIN(INDEX($E$96:$E296,202-60):$E296),"")</f>
        <v>1014556</v>
      </c>
      <c r="O296" s="46" t="n">
        <f aca="false">IF(OR(NOT(ISNUMBER($C296)),NOT(ISNUMBER($M296)),$M296=0),"",$C296/$M296-1)</f>
        <v>-0.0675601767037972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1081795</v>
      </c>
      <c r="D297" s="42" t="n">
        <v>1082859</v>
      </c>
      <c r="E297" s="42" t="n">
        <v>1079109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-0.000742657253516743</v>
      </c>
      <c r="I297" s="45" t="n">
        <f aca="false">IF(AND(ISNUMBER($G297),$G297&gt;=MA_SHORT),AVERAGE(INDEX($C$5:$C297,294-MA_SHORT):$C297),"")</f>
        <v>1075160.6</v>
      </c>
      <c r="J297" s="45" t="n">
        <f aca="false">IF(AND(ISNUMBER($G297),$G297&gt;=MA_MED),AVERAGE(INDEX($C$5:$C297,294-MA_MED):$C297),"")</f>
        <v>1062203.76</v>
      </c>
      <c r="K297" s="45" t="n">
        <f aca="false">IF(AND(ISNUMBER($G297),$G297&gt;=MA_LONG2),AVERAGE(INDEX($C$5:$C297,294-MA_LONG2):$C297),"")</f>
        <v>1121210.61</v>
      </c>
      <c r="L297" s="46" t="n">
        <f aca="false">IF(AND(ISNUMBER($G297),$G297&gt;=21),STDEV(INDEX($H$237:$H297,62-20):$H297)*SQRT(245),"")</f>
        <v>0.182726061305038</v>
      </c>
      <c r="M297" s="45" t="n">
        <f aca="false">IF(AND(ISNUMBER($G297),$G297&gt;=60),MAX(INDEX($D$97:$D297,202-60):$D297),"")</f>
        <v>1161039</v>
      </c>
      <c r="N297" s="45" t="n">
        <f aca="false">IF(AND(ISNUMBER($G297),$G297&gt;=60),MIN(INDEX($E$97:$E297,202-60):$E297),"")</f>
        <v>1014556</v>
      </c>
      <c r="O297" s="46" t="n">
        <f aca="false">IF(OR(NOT(ISNUMBER($C297)),NOT(ISNUMBER($M297)),$M297=0),"",$C297/$M297-1)</f>
        <v>-0.068252659902036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1090701</v>
      </c>
      <c r="D298" s="42" t="n">
        <v>1092053</v>
      </c>
      <c r="E298" s="42" t="n">
        <v>1089358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0.00823261338793402</v>
      </c>
      <c r="I298" s="45" t="n">
        <f aca="false">IF(AND(ISNUMBER($G298),$G298&gt;=MA_SHORT),AVERAGE(INDEX($C$5:$C298,295-MA_SHORT):$C298),"")</f>
        <v>1076153.55</v>
      </c>
      <c r="J298" s="45" t="n">
        <f aca="false">IF(AND(ISNUMBER($G298),$G298&gt;=MA_MED),AVERAGE(INDEX($C$5:$C298,295-MA_MED):$C298),"")</f>
        <v>1062172.48</v>
      </c>
      <c r="K298" s="45" t="n">
        <f aca="false">IF(AND(ISNUMBER($G298),$G298&gt;=MA_LONG2),AVERAGE(INDEX($C$5:$C298,295-MA_LONG2):$C298),"")</f>
        <v>1121345.72</v>
      </c>
      <c r="L298" s="46" t="n">
        <f aca="false">IF(AND(ISNUMBER($G298),$G298&gt;=21),STDEV(INDEX($H$238:$H298,62-20):$H298)*SQRT(245),"")</f>
        <v>0.183979129893979</v>
      </c>
      <c r="M298" s="45" t="n">
        <f aca="false">IF(AND(ISNUMBER($G298),$G298&gt;=60),MAX(INDEX($D$98:$D298,202-60):$D298),"")</f>
        <v>1161039</v>
      </c>
      <c r="N298" s="45" t="n">
        <f aca="false">IF(AND(ISNUMBER($G298),$G298&gt;=60),MIN(INDEX($E$98:$E298,202-60):$E298),"")</f>
        <v>1014556</v>
      </c>
      <c r="O298" s="46" t="n">
        <f aca="false">IF(OR(NOT(ISNUMBER($C298)),NOT(ISNUMBER($M298)),$M298=0),"",$C298/$M298-1)</f>
        <v>-0.0605819442757737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1096857</v>
      </c>
      <c r="D299" s="42" t="n">
        <v>1102266</v>
      </c>
      <c r="E299" s="42" t="n">
        <v>1094411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0.0056440766076129</v>
      </c>
      <c r="I299" s="45" t="n">
        <f aca="false">IF(AND(ISNUMBER($G299),$G299&gt;=MA_SHORT),AVERAGE(INDEX($C$5:$C299,296-MA_SHORT):$C299),"")</f>
        <v>1077567.75</v>
      </c>
      <c r="J299" s="45" t="n">
        <f aca="false">IF(AND(ISNUMBER($G299),$G299&gt;=MA_MED),AVERAGE(INDEX($C$5:$C299,296-MA_MED):$C299),"")</f>
        <v>1062448.14</v>
      </c>
      <c r="K299" s="45" t="n">
        <f aca="false">IF(AND(ISNUMBER($G299),$G299&gt;=MA_LONG2),AVERAGE(INDEX($C$5:$C299,296-MA_LONG2):$C299),"")</f>
        <v>1121496.435</v>
      </c>
      <c r="L299" s="46" t="n">
        <f aca="false">IF(AND(ISNUMBER($G299),$G299&gt;=21),STDEV(INDEX($H$239:$H299,62-20):$H299)*SQRT(245),"")</f>
        <v>0.184296429820757</v>
      </c>
      <c r="M299" s="45" t="n">
        <f aca="false">IF(AND(ISNUMBER($G299),$G299&gt;=60),MAX(INDEX($D$99:$D299,202-60):$D299),"")</f>
        <v>1137609</v>
      </c>
      <c r="N299" s="45" t="n">
        <f aca="false">IF(AND(ISNUMBER($G299),$G299&gt;=60),MIN(INDEX($E$99:$E299,202-60):$E299),"")</f>
        <v>1014556</v>
      </c>
      <c r="O299" s="46" t="n">
        <f aca="false">IF(OR(NOT(ISNUMBER($C299)),NOT(ISNUMBER($M299)),$M299=0),"",$C299/$M299-1)</f>
        <v>-0.035822501404261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1095273</v>
      </c>
      <c r="D300" s="42" t="n">
        <v>1096884</v>
      </c>
      <c r="E300" s="42" t="n">
        <v>1092471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-0.00144412626258483</v>
      </c>
      <c r="I300" s="45" t="n">
        <f aca="false">IF(AND(ISNUMBER($G300),$G300&gt;=MA_SHORT),AVERAGE(INDEX($C$5:$C300,297-MA_SHORT):$C300),"")</f>
        <v>1077720.3</v>
      </c>
      <c r="J300" s="45" t="n">
        <f aca="false">IF(AND(ISNUMBER($G300),$G300&gt;=MA_MED),AVERAGE(INDEX($C$5:$C300,297-MA_MED):$C300),"")</f>
        <v>1062852.46</v>
      </c>
      <c r="K300" s="45" t="n">
        <f aca="false">IF(AND(ISNUMBER($G300),$G300&gt;=MA_LONG2),AVERAGE(INDEX($C$5:$C300,297-MA_LONG2):$C300),"")</f>
        <v>1121636.53</v>
      </c>
      <c r="L300" s="46" t="n">
        <f aca="false">IF(AND(ISNUMBER($G300),$G300&gt;=21),STDEV(INDEX($H$240:$H300,62-20):$H300)*SQRT(245),"")</f>
        <v>0.167787594639941</v>
      </c>
      <c r="M300" s="45" t="n">
        <f aca="false">IF(AND(ISNUMBER($G300),$G300&gt;=60),MAX(INDEX($D$100:$D300,202-60):$D300),"")</f>
        <v>1137609</v>
      </c>
      <c r="N300" s="45" t="n">
        <f aca="false">IF(AND(ISNUMBER($G300),$G300&gt;=60),MIN(INDEX($E$100:$E300,202-60):$E300),"")</f>
        <v>1014556</v>
      </c>
      <c r="O300" s="46" t="n">
        <f aca="false">IF(OR(NOT(ISNUMBER($C300)),NOT(ISNUMBER($M300)),$M300=0),"",$C300/$M300-1)</f>
        <v>-0.0372148954517765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1108728</v>
      </c>
      <c r="D301" s="42" t="n">
        <v>1112013</v>
      </c>
      <c r="E301" s="42" t="n">
        <v>1103799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0.0122846084948685</v>
      </c>
      <c r="I301" s="45" t="n">
        <f aca="false">IF(AND(ISNUMBER($G301),$G301&gt;=MA_SHORT),AVERAGE(INDEX($C$5:$C301,298-MA_SHORT):$C301),"")</f>
        <v>1077486.75</v>
      </c>
      <c r="J301" s="45" t="n">
        <f aca="false">IF(AND(ISNUMBER($G301),$G301&gt;=MA_MED),AVERAGE(INDEX($C$5:$C301,298-MA_MED):$C301),"")</f>
        <v>1063535.46</v>
      </c>
      <c r="K301" s="45" t="n">
        <f aca="false">IF(AND(ISNUMBER($G301),$G301&gt;=MA_LONG2),AVERAGE(INDEX($C$5:$C301,298-MA_LONG2):$C301),"")</f>
        <v>1121836.14</v>
      </c>
      <c r="L301" s="46" t="n">
        <f aca="false">IF(AND(ISNUMBER($G301),$G301&gt;=21),STDEV(INDEX($H$241:$H301,62-20):$H301)*SQRT(245),"")</f>
        <v>0.158915593472394</v>
      </c>
      <c r="M301" s="45" t="n">
        <f aca="false">IF(AND(ISNUMBER($G301),$G301&gt;=60),MAX(INDEX($D$101:$D301,202-60):$D301),"")</f>
        <v>1114834</v>
      </c>
      <c r="N301" s="45" t="n">
        <f aca="false">IF(AND(ISNUMBER($G301),$G301&gt;=60),MIN(INDEX($E$101:$E301,202-60):$E301),"")</f>
        <v>1014556</v>
      </c>
      <c r="O301" s="46" t="n">
        <f aca="false">IF(OR(NOT(ISNUMBER($C301)),NOT(ISNUMBER($M301)),$M301=0),"",$C301/$M301-1)</f>
        <v>-0.00547704860095766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1105035</v>
      </c>
      <c r="D302" s="42" t="n">
        <v>1105178</v>
      </c>
      <c r="E302" s="42" t="n">
        <v>1102321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-0.00333084399419881</v>
      </c>
      <c r="I302" s="45" t="n">
        <f aca="false">IF(AND(ISNUMBER($G302),$G302&gt;=MA_SHORT),AVERAGE(INDEX($C$5:$C302,299-MA_SHORT):$C302),"")</f>
        <v>1077478.2</v>
      </c>
      <c r="J302" s="45" t="n">
        <f aca="false">IF(AND(ISNUMBER($G302),$G302&gt;=MA_MED),AVERAGE(INDEX($C$5:$C302,299-MA_MED):$C302),"")</f>
        <v>1064282.18</v>
      </c>
      <c r="K302" s="45" t="n">
        <f aca="false">IF(AND(ISNUMBER($G302),$G302&gt;=MA_LONG2),AVERAGE(INDEX($C$5:$C302,299-MA_LONG2):$C302),"")</f>
        <v>1122076.09</v>
      </c>
      <c r="L302" s="46" t="n">
        <f aca="false">IF(AND(ISNUMBER($G302),$G302&gt;=21),STDEV(INDEX($H$242:$H302,62-20):$H302)*SQRT(245),"")</f>
        <v>0.15717908287397</v>
      </c>
      <c r="M302" s="45" t="n">
        <f aca="false">IF(AND(ISNUMBER($G302),$G302&gt;=60),MAX(INDEX($D$102:$D302,202-60):$D302),"")</f>
        <v>1114834</v>
      </c>
      <c r="N302" s="45" t="n">
        <f aca="false">IF(AND(ISNUMBER($G302),$G302&gt;=60),MIN(INDEX($E$102:$E302,202-60):$E302),"")</f>
        <v>1014556</v>
      </c>
      <c r="O302" s="46" t="n">
        <f aca="false">IF(OR(NOT(ISNUMBER($C302)),NOT(ISNUMBER($M302)),$M302=0),"",$C302/$M302-1)</f>
        <v>-0.00878964940071791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1099823</v>
      </c>
      <c r="D303" s="42" t="n">
        <v>1101493</v>
      </c>
      <c r="E303" s="42" t="n">
        <v>1098187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-0.00471659268710944</v>
      </c>
      <c r="I303" s="45" t="n">
        <f aca="false">IF(AND(ISNUMBER($G303),$G303&gt;=MA_SHORT),AVERAGE(INDEX($C$5:$C303,300-MA_SHORT):$C303),"")</f>
        <v>1077120.2</v>
      </c>
      <c r="J303" s="45" t="n">
        <f aca="false">IF(AND(ISNUMBER($G303),$G303&gt;=MA_MED),AVERAGE(INDEX($C$5:$C303,300-MA_MED):$C303),"")</f>
        <v>1065148.24</v>
      </c>
      <c r="K303" s="45" t="n">
        <f aca="false">IF(AND(ISNUMBER($G303),$G303&gt;=MA_LONG2),AVERAGE(INDEX($C$5:$C303,300-MA_LONG2):$C303),"")</f>
        <v>1122271.225</v>
      </c>
      <c r="L303" s="46" t="n">
        <f aca="false">IF(AND(ISNUMBER($G303),$G303&gt;=21),STDEV(INDEX($H$243:$H303,62-20):$H303)*SQRT(245),"")</f>
        <v>0.157922723884007</v>
      </c>
      <c r="M303" s="45" t="n">
        <f aca="false">IF(AND(ISNUMBER($G303),$G303&gt;=60),MAX(INDEX($D$103:$D303,202-60):$D303),"")</f>
        <v>1114834</v>
      </c>
      <c r="N303" s="45" t="n">
        <f aca="false">IF(AND(ISNUMBER($G303),$G303&gt;=60),MIN(INDEX($E$103:$E303,202-60):$E303),"")</f>
        <v>1014556</v>
      </c>
      <c r="O303" s="46" t="n">
        <f aca="false">IF(OR(NOT(ISNUMBER($C303)),NOT(ISNUMBER($M303)),$M303=0),"",$C303/$M303-1)</f>
        <v>-0.0134647848917417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1091390</v>
      </c>
      <c r="D304" s="42" t="n">
        <v>1091626</v>
      </c>
      <c r="E304" s="42" t="n">
        <v>1088412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-0.00766759742249434</v>
      </c>
      <c r="I304" s="45" t="n">
        <f aca="false">IF(AND(ISNUMBER($G304),$G304&gt;=MA_SHORT),AVERAGE(INDEX($C$5:$C304,301-MA_SHORT):$C304),"")</f>
        <v>1076318.5</v>
      </c>
      <c r="J304" s="45" t="n">
        <f aca="false">IF(AND(ISNUMBER($G304),$G304&gt;=MA_MED),AVERAGE(INDEX($C$5:$C304,301-MA_MED):$C304),"")</f>
        <v>1065831.1</v>
      </c>
      <c r="K304" s="45" t="n">
        <f aca="false">IF(AND(ISNUMBER($G304),$G304&gt;=MA_LONG2),AVERAGE(INDEX($C$5:$C304,301-MA_LONG2):$C304),"")</f>
        <v>1122346.515</v>
      </c>
      <c r="L304" s="46" t="n">
        <f aca="false">IF(AND(ISNUMBER($G304),$G304&gt;=21),STDEV(INDEX($H$244:$H304,62-20):$H304)*SQRT(245),"")</f>
        <v>0.159988507337001</v>
      </c>
      <c r="M304" s="45" t="n">
        <f aca="false">IF(AND(ISNUMBER($G304),$G304&gt;=60),MAX(INDEX($D$104:$D304,202-60):$D304),"")</f>
        <v>1114834</v>
      </c>
      <c r="N304" s="45" t="n">
        <f aca="false">IF(AND(ISNUMBER($G304),$G304&gt;=60),MIN(INDEX($E$104:$E304,202-60):$E304),"")</f>
        <v>1014556</v>
      </c>
      <c r="O304" s="46" t="n">
        <f aca="false">IF(OR(NOT(ISNUMBER($C304)),NOT(ISNUMBER($M304)),$M304=0),"",$C304/$M304-1)</f>
        <v>-0.0210291397643058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1087460</v>
      </c>
      <c r="D305" s="42" t="n">
        <v>1094497</v>
      </c>
      <c r="E305" s="42" t="n">
        <v>1086906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-0.00360091259769657</v>
      </c>
      <c r="I305" s="45" t="n">
        <f aca="false">IF(AND(ISNUMBER($G305),$G305&gt;=MA_SHORT),AVERAGE(INDEX($C$5:$C305,302-MA_SHORT):$C305),"")</f>
        <v>1076819.4</v>
      </c>
      <c r="J305" s="45" t="n">
        <f aca="false">IF(AND(ISNUMBER($G305),$G305&gt;=MA_MED),AVERAGE(INDEX($C$5:$C305,302-MA_MED):$C305),"")</f>
        <v>1066456.06</v>
      </c>
      <c r="K305" s="45" t="n">
        <f aca="false">IF(AND(ISNUMBER($G305),$G305&gt;=MA_LONG2),AVERAGE(INDEX($C$5:$C305,302-MA_LONG2):$C305),"")</f>
        <v>1122359.5</v>
      </c>
      <c r="L305" s="46" t="n">
        <f aca="false">IF(AND(ISNUMBER($G305),$G305&gt;=21),STDEV(INDEX($H$245:$H305,62-20):$H305)*SQRT(245),"")</f>
        <v>0.127936694488842</v>
      </c>
      <c r="M305" s="45" t="n">
        <f aca="false">IF(AND(ISNUMBER($G305),$G305&gt;=60),MAX(INDEX($D$105:$D305,202-60):$D305),"")</f>
        <v>1114834</v>
      </c>
      <c r="N305" s="45" t="n">
        <f aca="false">IF(AND(ISNUMBER($G305),$G305&gt;=60),MIN(INDEX($E$105:$E305,202-60):$E305),"")</f>
        <v>1014556</v>
      </c>
      <c r="O305" s="46" t="n">
        <f aca="false">IF(OR(NOT(ISNUMBER($C305)),NOT(ISNUMBER($M305)),$M305=0),"",$C305/$M305-1)</f>
        <v>-0.0245543282677062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1087968</v>
      </c>
      <c r="D306" s="42" t="n">
        <v>1091745</v>
      </c>
      <c r="E306" s="42" t="n">
        <v>1086766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0.000467143619075738</v>
      </c>
      <c r="I306" s="45" t="n">
        <f aca="false">IF(AND(ISNUMBER($G306),$G306&gt;=MA_SHORT),AVERAGE(INDEX($C$5:$C306,303-MA_SHORT):$C306),"")</f>
        <v>1077994.75</v>
      </c>
      <c r="J306" s="45" t="n">
        <f aca="false">IF(AND(ISNUMBER($G306),$G306&gt;=MA_MED),AVERAGE(INDEX($C$5:$C306,303-MA_MED):$C306),"")</f>
        <v>1067271.62</v>
      </c>
      <c r="K306" s="45" t="n">
        <f aca="false">IF(AND(ISNUMBER($G306),$G306&gt;=MA_LONG2),AVERAGE(INDEX($C$5:$C306,303-MA_LONG2):$C306),"")</f>
        <v>1122310.355</v>
      </c>
      <c r="L306" s="46" t="n">
        <f aca="false">IF(AND(ISNUMBER($G306),$G306&gt;=21),STDEV(INDEX($H$246:$H306,62-20):$H306)*SQRT(245),"")</f>
        <v>0.119324362608589</v>
      </c>
      <c r="M306" s="45" t="n">
        <f aca="false">IF(AND(ISNUMBER($G306),$G306&gt;=60),MAX(INDEX($D$106:$D306,202-60):$D306),"")</f>
        <v>1114834</v>
      </c>
      <c r="N306" s="45" t="n">
        <f aca="false">IF(AND(ISNUMBER($G306),$G306&gt;=60),MIN(INDEX($E$106:$E306,202-60):$E306),"")</f>
        <v>1014556</v>
      </c>
      <c r="O306" s="46" t="n">
        <f aca="false">IF(OR(NOT(ISNUMBER($C306)),NOT(ISNUMBER($M306)),$M306=0),"",$C306/$M306-1)</f>
        <v>-0.0240986550464015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1092786</v>
      </c>
      <c r="D307" s="42" t="n">
        <v>1093063</v>
      </c>
      <c r="E307" s="42" t="n">
        <v>1090868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0.00442843907173751</v>
      </c>
      <c r="I307" s="45" t="n">
        <f aca="false">IF(AND(ISNUMBER($G307),$G307&gt;=MA_SHORT),AVERAGE(INDEX($C$5:$C307,304-MA_SHORT):$C307),"")</f>
        <v>1079946.75</v>
      </c>
      <c r="J307" s="45" t="n">
        <f aca="false">IF(AND(ISNUMBER($G307),$G307&gt;=MA_MED),AVERAGE(INDEX($C$5:$C307,304-MA_MED):$C307),"")</f>
        <v>1067991.16</v>
      </c>
      <c r="K307" s="45" t="n">
        <f aca="false">IF(AND(ISNUMBER($G307),$G307&gt;=MA_LONG2),AVERAGE(INDEX($C$5:$C307,304-MA_LONG2):$C307),"")</f>
        <v>1122280.575</v>
      </c>
      <c r="L307" s="46" t="n">
        <f aca="false">IF(AND(ISNUMBER($G307),$G307&gt;=21),STDEV(INDEX($H$247:$H307,62-20):$H307)*SQRT(245),"")</f>
        <v>0.112384987079228</v>
      </c>
      <c r="M307" s="45" t="n">
        <f aca="false">IF(AND(ISNUMBER($G307),$G307&gt;=60),MAX(INDEX($D$107:$D307,202-60):$D307),"")</f>
        <v>1114354</v>
      </c>
      <c r="N307" s="45" t="n">
        <f aca="false">IF(AND(ISNUMBER($G307),$G307&gt;=60),MIN(INDEX($E$107:$E307,202-60):$E307),"")</f>
        <v>1014556</v>
      </c>
      <c r="O307" s="46" t="n">
        <f aca="false">IF(OR(NOT(ISNUMBER($C307)),NOT(ISNUMBER($M307)),$M307=0),"",$C307/$M307-1)</f>
        <v>-0.0193547113394846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1081662</v>
      </c>
      <c r="D308" s="42" t="n">
        <v>1081719</v>
      </c>
      <c r="E308" s="42" t="n">
        <v>1078912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-0.0101794861940032</v>
      </c>
      <c r="I308" s="45" t="n">
        <f aca="false">IF(AND(ISNUMBER($G308),$G308&gt;=MA_SHORT),AVERAGE(INDEX($C$5:$C308,305-MA_SHORT):$C308),"")</f>
        <v>1080787.3</v>
      </c>
      <c r="J308" s="45" t="n">
        <f aca="false">IF(AND(ISNUMBER($G308),$G308&gt;=MA_MED),AVERAGE(INDEX($C$5:$C308,305-MA_MED):$C308),"")</f>
        <v>1068574.92</v>
      </c>
      <c r="K308" s="45" t="n">
        <f aca="false">IF(AND(ISNUMBER($G308),$G308&gt;=MA_LONG2),AVERAGE(INDEX($C$5:$C308,305-MA_LONG2):$C308),"")</f>
        <v>1122201.535</v>
      </c>
      <c r="L308" s="46" t="n">
        <f aca="false">IF(AND(ISNUMBER($G308),$G308&gt;=21),STDEV(INDEX($H$248:$H308,62-20):$H308)*SQRT(245),"")</f>
        <v>0.115080374177158</v>
      </c>
      <c r="M308" s="45" t="n">
        <f aca="false">IF(AND(ISNUMBER($G308),$G308&gt;=60),MAX(INDEX($D$108:$D308,202-60):$D308),"")</f>
        <v>1114354</v>
      </c>
      <c r="N308" s="45" t="n">
        <f aca="false">IF(AND(ISNUMBER($G308),$G308&gt;=60),MIN(INDEX($E$108:$E308,202-60):$E308),"")</f>
        <v>1014556</v>
      </c>
      <c r="O308" s="46" t="n">
        <f aca="false">IF(OR(NOT(ISNUMBER($C308)),NOT(ISNUMBER($M308)),$M308=0),"",$C308/$M308-1)</f>
        <v>-0.0293371765166186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1085301</v>
      </c>
      <c r="D309" s="42" t="n">
        <v>1087527</v>
      </c>
      <c r="E309" s="42" t="n">
        <v>1084424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0.00336426721101413</v>
      </c>
      <c r="I309" s="45" t="n">
        <f aca="false">IF(AND(ISNUMBER($G309),$G309&gt;=MA_SHORT),AVERAGE(INDEX($C$5:$C309,306-MA_SHORT):$C309),"")</f>
        <v>1082028.15</v>
      </c>
      <c r="J309" s="45" t="n">
        <f aca="false">IF(AND(ISNUMBER($G309),$G309&gt;=MA_MED),AVERAGE(INDEX($C$5:$C309,306-MA_MED):$C309),"")</f>
        <v>1069409.78</v>
      </c>
      <c r="K309" s="45" t="n">
        <f aca="false">IF(AND(ISNUMBER($G309),$G309&gt;=MA_LONG2),AVERAGE(INDEX($C$5:$C309,306-MA_LONG2):$C309),"")</f>
        <v>1122171.015</v>
      </c>
      <c r="L309" s="46" t="n">
        <f aca="false">IF(AND(ISNUMBER($G309),$G309&gt;=21),STDEV(INDEX($H$249:$H309,62-20):$H309)*SQRT(245),"")</f>
        <v>0.113933608553512</v>
      </c>
      <c r="M309" s="45" t="n">
        <f aca="false">IF(AND(ISNUMBER($G309),$G309&gt;=60),MAX(INDEX($D$109:$D309,202-60):$D309),"")</f>
        <v>1114354</v>
      </c>
      <c r="N309" s="45" t="n">
        <f aca="false">IF(AND(ISNUMBER($G309),$G309&gt;=60),MIN(INDEX($E$109:$E309,202-60):$E309),"")</f>
        <v>1014556</v>
      </c>
      <c r="O309" s="46" t="n">
        <f aca="false">IF(OR(NOT(ISNUMBER($C309)),NOT(ISNUMBER($M309)),$M309=0),"",$C309/$M309-1)</f>
        <v>-0.0260716074066231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1083000</v>
      </c>
      <c r="D310" s="42" t="n">
        <v>1083037</v>
      </c>
      <c r="E310" s="42" t="n">
        <v>1078687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-0.00212014915677772</v>
      </c>
      <c r="I310" s="45" t="n">
        <f aca="false">IF(AND(ISNUMBER($G310),$G310&gt;=MA_SHORT),AVERAGE(INDEX($C$5:$C310,307-MA_SHORT):$C310),"")</f>
        <v>1083549.1</v>
      </c>
      <c r="J310" s="45" t="n">
        <f aca="false">IF(AND(ISNUMBER($G310),$G310&gt;=MA_MED),AVERAGE(INDEX($C$5:$C310,307-MA_MED):$C310),"")</f>
        <v>1070466.84</v>
      </c>
      <c r="K310" s="45" t="n">
        <f aca="false">IF(AND(ISNUMBER($G310),$G310&gt;=MA_LONG2),AVERAGE(INDEX($C$5:$C310,307-MA_LONG2):$C310),"")</f>
        <v>1122179.75</v>
      </c>
      <c r="L310" s="46" t="n">
        <f aca="false">IF(AND(ISNUMBER($G310),$G310&gt;=21),STDEV(INDEX($H$250:$H310,62-20):$H310)*SQRT(245),"")</f>
        <v>0.11018978056185</v>
      </c>
      <c r="M310" s="45" t="n">
        <f aca="false">IF(AND(ISNUMBER($G310),$G310&gt;=60),MAX(INDEX($D$110:$D310,202-60):$D310),"")</f>
        <v>1114354</v>
      </c>
      <c r="N310" s="45" t="n">
        <f aca="false">IF(AND(ISNUMBER($G310),$G310&gt;=60),MIN(INDEX($E$110:$E310,202-60):$E310),"")</f>
        <v>1014556</v>
      </c>
      <c r="O310" s="46" t="n">
        <f aca="false">IF(OR(NOT(ISNUMBER($C310)),NOT(ISNUMBER($M310)),$M310=0),"",$C310/$M310-1)</f>
        <v>-0.0281364808669418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1072360</v>
      </c>
      <c r="D311" s="42" t="n">
        <v>1079585</v>
      </c>
      <c r="E311" s="42" t="n">
        <v>1070249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-0.00982456140350874</v>
      </c>
      <c r="I311" s="45" t="n">
        <f aca="false">IF(AND(ISNUMBER($G311),$G311&gt;=MA_SHORT),AVERAGE(INDEX($C$5:$C311,308-MA_SHORT):$C311),"")</f>
        <v>1084354.25</v>
      </c>
      <c r="J311" s="45" t="n">
        <f aca="false">IF(AND(ISNUMBER($G311),$G311&gt;=MA_MED),AVERAGE(INDEX($C$5:$C311,308-MA_MED):$C311),"")</f>
        <v>1071436.7</v>
      </c>
      <c r="K311" s="45" t="n">
        <f aca="false">IF(AND(ISNUMBER($G311),$G311&gt;=MA_LONG2),AVERAGE(INDEX($C$5:$C311,308-MA_LONG2):$C311),"")</f>
        <v>1122145.03</v>
      </c>
      <c r="L311" s="46" t="n">
        <f aca="false">IF(AND(ISNUMBER($G311),$G311&gt;=21),STDEV(INDEX($H$251:$H311,62-20):$H311)*SQRT(245),"")</f>
        <v>0.116672301125568</v>
      </c>
      <c r="M311" s="45" t="n">
        <f aca="false">IF(AND(ISNUMBER($G311),$G311&gt;=60),MAX(INDEX($D$111:$D311,202-60):$D311),"")</f>
        <v>1114354</v>
      </c>
      <c r="N311" s="45" t="n">
        <f aca="false">IF(AND(ISNUMBER($G311),$G311&gt;=60),MIN(INDEX($E$111:$E311,202-60):$E311),"")</f>
        <v>1014556</v>
      </c>
      <c r="O311" s="46" t="n">
        <f aca="false">IF(OR(NOT(ISNUMBER($C311)),NOT(ISNUMBER($M311)),$M311=0),"",$C311/$M311-1)</f>
        <v>-0.0376846136864946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1066049</v>
      </c>
      <c r="D312" s="42" t="n">
        <v>1066130</v>
      </c>
      <c r="E312" s="42" t="n">
        <v>1060881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-0.00588515050915739</v>
      </c>
      <c r="I312" s="45" t="n">
        <f aca="false">IF(AND(ISNUMBER($G312),$G312&gt;=MA_SHORT),AVERAGE(INDEX($C$5:$C312,309-MA_SHORT):$C312),"")</f>
        <v>1084581.4</v>
      </c>
      <c r="J312" s="45" t="n">
        <f aca="false">IF(AND(ISNUMBER($G312),$G312&gt;=MA_MED),AVERAGE(INDEX($C$5:$C312,309-MA_MED):$C312),"")</f>
        <v>1072410.6</v>
      </c>
      <c r="K312" s="45" t="n">
        <f aca="false">IF(AND(ISNUMBER($G312),$G312&gt;=MA_LONG2),AVERAGE(INDEX($C$5:$C312,309-MA_LONG2):$C312),"")</f>
        <v>1122134.62</v>
      </c>
      <c r="L312" s="46" t="n">
        <f aca="false">IF(AND(ISNUMBER($G312),$G312&gt;=21),STDEV(INDEX($H$252:$H312,62-20):$H312)*SQRT(245),"")</f>
        <v>0.117829746513159</v>
      </c>
      <c r="M312" s="45" t="n">
        <f aca="false">IF(AND(ISNUMBER($G312),$G312&gt;=60),MAX(INDEX($D$112:$D312,202-60):$D312),"")</f>
        <v>1114354</v>
      </c>
      <c r="N312" s="45" t="n">
        <f aca="false">IF(AND(ISNUMBER($G312),$G312&gt;=60),MIN(INDEX($E$112:$E312,202-60):$E312),"")</f>
        <v>1014556</v>
      </c>
      <c r="O312" s="46" t="n">
        <f aca="false">IF(OR(NOT(ISNUMBER($C312)),NOT(ISNUMBER($M312)),$M312=0),"",$C312/$M312-1)</f>
        <v>-0.0433479845722276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1063428</v>
      </c>
      <c r="D313" s="42" t="n">
        <v>1065372</v>
      </c>
      <c r="E313" s="42" t="n">
        <v>1061420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-0.00245861118954194</v>
      </c>
      <c r="I313" s="45" t="n">
        <f aca="false">IF(AND(ISNUMBER($G313),$G313&gt;=MA_SHORT),AVERAGE(INDEX($C$5:$C313,310-MA_SHORT):$C313),"")</f>
        <v>1084854.1</v>
      </c>
      <c r="J313" s="45" t="n">
        <f aca="false">IF(AND(ISNUMBER($G313),$G313&gt;=MA_MED),AVERAGE(INDEX($C$5:$C313,310-MA_MED):$C313),"")</f>
        <v>1073029.08</v>
      </c>
      <c r="K313" s="45" t="n">
        <f aca="false">IF(AND(ISNUMBER($G313),$G313&gt;=MA_LONG2),AVERAGE(INDEX($C$5:$C313,310-MA_LONG2):$C313),"")</f>
        <v>1122139.11</v>
      </c>
      <c r="L313" s="46" t="n">
        <f aca="false">IF(AND(ISNUMBER($G313),$G313&gt;=21),STDEV(INDEX($H$253:$H313,62-20):$H313)*SQRT(245),"")</f>
        <v>0.117529409358563</v>
      </c>
      <c r="M313" s="45" t="n">
        <f aca="false">IF(AND(ISNUMBER($G313),$G313&gt;=60),MAX(INDEX($D$113:$D313,202-60):$D313),"")</f>
        <v>1114354</v>
      </c>
      <c r="N313" s="45" t="n">
        <f aca="false">IF(AND(ISNUMBER($G313),$G313&gt;=60),MIN(INDEX($E$113:$E313,202-60):$E313),"")</f>
        <v>1014556</v>
      </c>
      <c r="O313" s="46" t="n">
        <f aca="false">IF(OR(NOT(ISNUMBER($C313)),NOT(ISNUMBER($M313)),$M313=0),"",$C313/$M313-1)</f>
        <v>-0.045700019921856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1067674</v>
      </c>
      <c r="D314" s="42" t="n">
        <v>1072627</v>
      </c>
      <c r="E314" s="42" t="n">
        <v>1063573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0.00399274798105753</v>
      </c>
      <c r="I314" s="45" t="n">
        <f aca="false">IF(AND(ISNUMBER($G314),$G314&gt;=MA_SHORT),AVERAGE(INDEX($C$5:$C314,311-MA_SHORT):$C314),"")</f>
        <v>1085583.25</v>
      </c>
      <c r="J314" s="45" t="n">
        <f aca="false">IF(AND(ISNUMBER($G314),$G314&gt;=MA_MED),AVERAGE(INDEX($C$5:$C314,311-MA_MED):$C314),"")</f>
        <v>1073797.56</v>
      </c>
      <c r="K314" s="45" t="n">
        <f aca="false">IF(AND(ISNUMBER($G314),$G314&gt;=MA_LONG2),AVERAGE(INDEX($C$5:$C314,311-MA_LONG2):$C314),"")</f>
        <v>1122157.395</v>
      </c>
      <c r="L314" s="46" t="n">
        <f aca="false">IF(AND(ISNUMBER($G314),$G314&gt;=21),STDEV(INDEX($H$254:$H314,62-20):$H314)*SQRT(245),"")</f>
        <v>0.116761565270222</v>
      </c>
      <c r="M314" s="45" t="n">
        <f aca="false">IF(AND(ISNUMBER($G314),$G314&gt;=60),MAX(INDEX($D$114:$D314,202-60):$D314),"")</f>
        <v>1114354</v>
      </c>
      <c r="N314" s="45" t="n">
        <f aca="false">IF(AND(ISNUMBER($G314),$G314&gt;=60),MIN(INDEX($E$114:$E314,202-60):$E314),"")</f>
        <v>1014556</v>
      </c>
      <c r="O314" s="46" t="n">
        <f aca="false">IF(OR(NOT(ISNUMBER($C314)),NOT(ISNUMBER($M314)),$M314=0),"",$C314/$M314-1)</f>
        <v>-0.0418897406030758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1067390</v>
      </c>
      <c r="D315" s="42" t="n">
        <v>1072470</v>
      </c>
      <c r="E315" s="42" t="n">
        <v>1064901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-0.000265998797385758</v>
      </c>
      <c r="I315" s="45" t="n">
        <f aca="false">IF(AND(ISNUMBER($G315),$G315&gt;=MA_SHORT),AVERAGE(INDEX($C$5:$C315,312-MA_SHORT):$C315),"")</f>
        <v>1085363.95</v>
      </c>
      <c r="J315" s="45" t="n">
        <f aca="false">IF(AND(ISNUMBER($G315),$G315&gt;=MA_MED),AVERAGE(INDEX($C$5:$C315,312-MA_MED):$C315),"")</f>
        <v>1074548.26</v>
      </c>
      <c r="K315" s="45" t="n">
        <f aca="false">IF(AND(ISNUMBER($G315),$G315&gt;=MA_LONG2),AVERAGE(INDEX($C$5:$C315,312-MA_LONG2):$C315),"")</f>
        <v>1122188.78</v>
      </c>
      <c r="L315" s="46" t="n">
        <f aca="false">IF(AND(ISNUMBER($G315),$G315&gt;=21),STDEV(INDEX($H$255:$H315,62-20):$H315)*SQRT(245),"")</f>
        <v>0.09847506817273</v>
      </c>
      <c r="M315" s="45" t="n">
        <f aca="false">IF(AND(ISNUMBER($G315),$G315&gt;=60),MAX(INDEX($D$115:$D315,202-60):$D315),"")</f>
        <v>1114354</v>
      </c>
      <c r="N315" s="45" t="n">
        <f aca="false">IF(AND(ISNUMBER($G315),$G315&gt;=60),MIN(INDEX($E$115:$E315,202-60):$E315),"")</f>
        <v>1014556</v>
      </c>
      <c r="O315" s="46" t="n">
        <f aca="false">IF(OR(NOT(ISNUMBER($C315)),NOT(ISNUMBER($M315)),$M315=0),"",$C315/$M315-1)</f>
        <v>-0.0421445967798384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1050790</v>
      </c>
      <c r="D316" s="42" t="n">
        <v>1052231</v>
      </c>
      <c r="E316" s="42" t="n">
        <v>1046696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-0.0155519538313081</v>
      </c>
      <c r="I316" s="45" t="n">
        <f aca="false">IF(AND(ISNUMBER($G316),$G316&gt;=MA_SHORT),AVERAGE(INDEX($C$5:$C316,313-MA_SHORT):$C316),"")</f>
        <v>1083773.5</v>
      </c>
      <c r="J316" s="45" t="n">
        <f aca="false">IF(AND(ISNUMBER($G316),$G316&gt;=MA_MED),AVERAGE(INDEX($C$5:$C316,313-MA_MED):$C316),"")</f>
        <v>1074835.78</v>
      </c>
      <c r="K316" s="45" t="n">
        <f aca="false">IF(AND(ISNUMBER($G316),$G316&gt;=MA_LONG2),AVERAGE(INDEX($C$5:$C316,313-MA_LONG2):$C316),"")</f>
        <v>1122139.465</v>
      </c>
      <c r="L316" s="46" t="n">
        <f aca="false">IF(AND(ISNUMBER($G316),$G316&gt;=21),STDEV(INDEX($H$256:$H316,62-20):$H316)*SQRT(245),"")</f>
        <v>0.104660391155087</v>
      </c>
      <c r="M316" s="45" t="n">
        <f aca="false">IF(AND(ISNUMBER($G316),$G316&gt;=60),MAX(INDEX($D$116:$D316,202-60):$D316),"")</f>
        <v>1114354</v>
      </c>
      <c r="N316" s="45" t="n">
        <f aca="false">IF(AND(ISNUMBER($G316),$G316&gt;=60),MIN(INDEX($E$116:$E316,202-60):$E316),"")</f>
        <v>1014556</v>
      </c>
      <c r="O316" s="46" t="n">
        <f aca="false">IF(OR(NOT(ISNUMBER($C316)),NOT(ISNUMBER($M316)),$M316=0),"",$C316/$M316-1)</f>
        <v>-0.0570411197877874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1041845</v>
      </c>
      <c r="D317" s="42" t="n">
        <v>1042781</v>
      </c>
      <c r="E317" s="42" t="n">
        <v>1037860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-0.00851264286869879</v>
      </c>
      <c r="I317" s="45" t="n">
        <f aca="false">IF(AND(ISNUMBER($G317),$G317&gt;=MA_SHORT),AVERAGE(INDEX($C$5:$C317,314-MA_SHORT):$C317),"")</f>
        <v>1081776</v>
      </c>
      <c r="J317" s="45" t="n">
        <f aca="false">IF(AND(ISNUMBER($G317),$G317&gt;=MA_MED),AVERAGE(INDEX($C$5:$C317,314-MA_MED):$C317),"")</f>
        <v>1074848.36</v>
      </c>
      <c r="K317" s="45" t="n">
        <f aca="false">IF(AND(ISNUMBER($G317),$G317&gt;=MA_LONG2),AVERAGE(INDEX($C$5:$C317,314-MA_LONG2):$C317),"")</f>
        <v>1122049.63</v>
      </c>
      <c r="L317" s="46" t="n">
        <f aca="false">IF(AND(ISNUMBER($G317),$G317&gt;=21),STDEV(INDEX($H$257:$H317,62-20):$H317)*SQRT(245),"")</f>
        <v>0.10746100719144</v>
      </c>
      <c r="M317" s="45" t="n">
        <f aca="false">IF(AND(ISNUMBER($G317),$G317&gt;=60),MAX(INDEX($D$117:$D317,202-60):$D317),"")</f>
        <v>1114354</v>
      </c>
      <c r="N317" s="45" t="n">
        <f aca="false">IF(AND(ISNUMBER($G317),$G317&gt;=60),MIN(INDEX($E$117:$E317,202-60):$E317),"")</f>
        <v>1014556</v>
      </c>
      <c r="O317" s="46" t="n">
        <f aca="false">IF(OR(NOT(ISNUMBER($C317)),NOT(ISNUMBER($M317)),$M317=0),"",$C317/$M317-1)</f>
        <v>-0.0650681919749021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1042380</v>
      </c>
      <c r="D318" s="42" t="n">
        <v>1042790</v>
      </c>
      <c r="E318" s="42" t="n">
        <v>1040427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0.000513512086730783</v>
      </c>
      <c r="I318" s="45" t="n">
        <f aca="false">IF(AND(ISNUMBER($G318),$G318&gt;=MA_SHORT),AVERAGE(INDEX($C$5:$C318,315-MA_SHORT):$C318),"")</f>
        <v>1079359.95</v>
      </c>
      <c r="J318" s="45" t="n">
        <f aca="false">IF(AND(ISNUMBER($G318),$G318&gt;=MA_MED),AVERAGE(INDEX($C$5:$C318,315-MA_MED):$C318),"")</f>
        <v>1074797.22</v>
      </c>
      <c r="K318" s="45" t="n">
        <f aca="false">IF(AND(ISNUMBER($G318),$G318&gt;=MA_LONG2),AVERAGE(INDEX($C$5:$C318,315-MA_LONG2):$C318),"")</f>
        <v>1121959.65</v>
      </c>
      <c r="L318" s="46" t="n">
        <f aca="false">IF(AND(ISNUMBER($G318),$G318&gt;=21),STDEV(INDEX($H$258:$H318,62-20):$H318)*SQRT(245),"")</f>
        <v>0.101336944571754</v>
      </c>
      <c r="M318" s="45" t="n">
        <f aca="false">IF(AND(ISNUMBER($G318),$G318&gt;=60),MAX(INDEX($D$118:$D318,202-60):$D318),"")</f>
        <v>1114354</v>
      </c>
      <c r="N318" s="45" t="n">
        <f aca="false">IF(AND(ISNUMBER($G318),$G318&gt;=60),MIN(INDEX($E$118:$E318,202-60):$E318),"")</f>
        <v>1014556</v>
      </c>
      <c r="O318" s="46" t="n">
        <f aca="false">IF(OR(NOT(ISNUMBER($C318)),NOT(ISNUMBER($M318)),$M318=0),"",$C318/$M318-1)</f>
        <v>-0.0645880931912122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1058975</v>
      </c>
      <c r="D319" s="42" t="n">
        <v>1063314</v>
      </c>
      <c r="E319" s="42" t="n">
        <v>1057921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0.0159202977800803</v>
      </c>
      <c r="I319" s="45" t="n">
        <f aca="false">IF(AND(ISNUMBER($G319),$G319&gt;=MA_SHORT),AVERAGE(INDEX($C$5:$C319,316-MA_SHORT):$C319),"")</f>
        <v>1077465.85</v>
      </c>
      <c r="J319" s="45" t="n">
        <f aca="false">IF(AND(ISNUMBER($G319),$G319&gt;=MA_MED),AVERAGE(INDEX($C$5:$C319,316-MA_MED):$C319),"")</f>
        <v>1074947.24</v>
      </c>
      <c r="K319" s="45" t="n">
        <f aca="false">IF(AND(ISNUMBER($G319),$G319&gt;=MA_LONG2),AVERAGE(INDEX($C$5:$C319,316-MA_LONG2):$C319),"")</f>
        <v>1121905.48</v>
      </c>
      <c r="L319" s="46" t="n">
        <f aca="false">IF(AND(ISNUMBER($G319),$G319&gt;=21),STDEV(INDEX($H$259:$H319,62-20):$H319)*SQRT(245),"")</f>
        <v>0.116846291616377</v>
      </c>
      <c r="M319" s="45" t="n">
        <f aca="false">IF(AND(ISNUMBER($G319),$G319&gt;=60),MAX(INDEX($D$119:$D319,202-60):$D319),"")</f>
        <v>1114354</v>
      </c>
      <c r="N319" s="45" t="n">
        <f aca="false">IF(AND(ISNUMBER($G319),$G319&gt;=60),MIN(INDEX($E$119:$E319,202-60):$E319),"")</f>
        <v>1014556</v>
      </c>
      <c r="O319" s="46" t="n">
        <f aca="false">IF(OR(NOT(ISNUMBER($C319)),NOT(ISNUMBER($M319)),$M319=0),"",$C319/$M319-1)</f>
        <v>-0.0496960570877836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1050617</v>
      </c>
      <c r="D320" s="42" t="n">
        <v>1051781</v>
      </c>
      <c r="E320" s="42" t="n">
        <v>1049465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-0.00789253759531627</v>
      </c>
      <c r="I320" s="45" t="n">
        <f aca="false">IF(AND(ISNUMBER($G320),$G320&gt;=MA_SHORT),AVERAGE(INDEX($C$5:$C320,317-MA_SHORT):$C320),"")</f>
        <v>1075233.05</v>
      </c>
      <c r="J320" s="45" t="n">
        <f aca="false">IF(AND(ISNUMBER($G320),$G320&gt;=MA_MED),AVERAGE(INDEX($C$5:$C320,317-MA_MED):$C320),"")</f>
        <v>1074866.44</v>
      </c>
      <c r="K320" s="45" t="n">
        <f aca="false">IF(AND(ISNUMBER($G320),$G320&gt;=MA_LONG2),AVERAGE(INDEX($C$5:$C320,317-MA_LONG2):$C320),"")</f>
        <v>1121766.37</v>
      </c>
      <c r="L320" s="46" t="n">
        <f aca="false">IF(AND(ISNUMBER($G320),$G320&gt;=21),STDEV(INDEX($H$260:$H320,62-20):$H320)*SQRT(245),"")</f>
        <v>0.118806554374897</v>
      </c>
      <c r="M320" s="45" t="n">
        <f aca="false">IF(AND(ISNUMBER($G320),$G320&gt;=60),MAX(INDEX($D$120:$D320,202-60):$D320),"")</f>
        <v>1114354</v>
      </c>
      <c r="N320" s="45" t="n">
        <f aca="false">IF(AND(ISNUMBER($G320),$G320&gt;=60),MIN(INDEX($E$120:$E320,202-60):$E320),"")</f>
        <v>1014556</v>
      </c>
      <c r="O320" s="46" t="n">
        <f aca="false">IF(OR(NOT(ISNUMBER($C320)),NOT(ISNUMBER($M320)),$M320=0),"",$C320/$M320-1)</f>
        <v>-0.0571963666841955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1044985</v>
      </c>
      <c r="D321" s="42" t="n">
        <v>1045788</v>
      </c>
      <c r="E321" s="42" t="n">
        <v>1038925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-0.00536065949818054</v>
      </c>
      <c r="I321" s="45" t="n">
        <f aca="false">IF(AND(ISNUMBER($G321),$G321&gt;=MA_SHORT),AVERAGE(INDEX($C$5:$C321,318-MA_SHORT):$C321),"")</f>
        <v>1072045.9</v>
      </c>
      <c r="J321" s="45" t="n">
        <f aca="false">IF(AND(ISNUMBER($G321),$G321&gt;=MA_MED),AVERAGE(INDEX($C$5:$C321,318-MA_MED):$C321),"")</f>
        <v>1074609.8</v>
      </c>
      <c r="K321" s="45" t="n">
        <f aca="false">IF(AND(ISNUMBER($G321),$G321&gt;=MA_LONG2),AVERAGE(INDEX($C$5:$C321,318-MA_LONG2):$C321),"")</f>
        <v>1121562.365</v>
      </c>
      <c r="L321" s="46" t="n">
        <f aca="false">IF(AND(ISNUMBER($G321),$G321&gt;=21),STDEV(INDEX($H$261:$H321,62-20):$H321)*SQRT(245),"")</f>
        <v>0.106794870185703</v>
      </c>
      <c r="M321" s="45" t="n">
        <f aca="false">IF(AND(ISNUMBER($G321),$G321&gt;=60),MAX(INDEX($D$121:$D321,202-60):$D321),"")</f>
        <v>1114354</v>
      </c>
      <c r="N321" s="45" t="n">
        <f aca="false">IF(AND(ISNUMBER($G321),$G321&gt;=60),MIN(INDEX($E$121:$E321,202-60):$E321),"")</f>
        <v>1014556</v>
      </c>
      <c r="O321" s="46" t="n">
        <f aca="false">IF(OR(NOT(ISNUMBER($C321)),NOT(ISNUMBER($M321)),$M321=0),"",$C321/$M321-1)</f>
        <v>-0.0622504159360491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1032852</v>
      </c>
      <c r="D322" s="42" t="n">
        <v>1037898</v>
      </c>
      <c r="E322" s="42" t="n">
        <v>1029319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-0.0116106929764542</v>
      </c>
      <c r="I322" s="45" t="n">
        <f aca="false">IF(AND(ISNUMBER($G322),$G322&gt;=MA_SHORT),AVERAGE(INDEX($C$5:$C322,319-MA_SHORT):$C322),"")</f>
        <v>1068436.75</v>
      </c>
      <c r="J322" s="45" t="n">
        <f aca="false">IF(AND(ISNUMBER($G322),$G322&gt;=MA_MED),AVERAGE(INDEX($C$5:$C322,319-MA_MED):$C322),"")</f>
        <v>1074033.56</v>
      </c>
      <c r="K322" s="45" t="n">
        <f aca="false">IF(AND(ISNUMBER($G322),$G322&gt;=MA_LONG2),AVERAGE(INDEX($C$5:$C322,319-MA_LONG2):$C322),"")</f>
        <v>1121301.78</v>
      </c>
      <c r="L322" s="46" t="n">
        <f aca="false">IF(AND(ISNUMBER($G322),$G322&gt;=21),STDEV(INDEX($H$262:$H322,62-20):$H322)*SQRT(245),"")</f>
        <v>0.111039090223785</v>
      </c>
      <c r="M322" s="45" t="n">
        <f aca="false">IF(AND(ISNUMBER($G322),$G322&gt;=60),MAX(INDEX($D$122:$D322,202-60):$D322),"")</f>
        <v>1114354</v>
      </c>
      <c r="N322" s="45" t="n">
        <f aca="false">IF(AND(ISNUMBER($G322),$G322&gt;=60),MIN(INDEX($E$122:$E322,202-60):$E322),"")</f>
        <v>1027577</v>
      </c>
      <c r="O322" s="46" t="n">
        <f aca="false">IF(OR(NOT(ISNUMBER($C322)),NOT(ISNUMBER($M322)),$M322=0),"",$C322/$M322-1)</f>
        <v>-0.0731383384454132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1045501</v>
      </c>
      <c r="D323" s="42" t="n">
        <v>1045987</v>
      </c>
      <c r="E323" s="42" t="n">
        <v>1043507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0.0122466723209134</v>
      </c>
      <c r="I323" s="45" t="n">
        <f aca="false">IF(AND(ISNUMBER($G323),$G323&gt;=MA_SHORT),AVERAGE(INDEX($C$5:$C323,320-MA_SHORT):$C323),"")</f>
        <v>1065720.65</v>
      </c>
      <c r="J323" s="45" t="n">
        <f aca="false">IF(AND(ISNUMBER($G323),$G323&gt;=MA_MED),AVERAGE(INDEX($C$5:$C323,320-MA_MED):$C323),"")</f>
        <v>1073497.3</v>
      </c>
      <c r="K323" s="45" t="n">
        <f aca="false">IF(AND(ISNUMBER($G323),$G323&gt;=MA_LONG2),AVERAGE(INDEX($C$5:$C323,320-MA_LONG2):$C323),"")</f>
        <v>1121114.98</v>
      </c>
      <c r="L323" s="46" t="n">
        <f aca="false">IF(AND(ISNUMBER($G323),$G323&gt;=21),STDEV(INDEX($H$263:$H323,62-20):$H323)*SQRT(245),"")</f>
        <v>0.123514969147871</v>
      </c>
      <c r="M323" s="45" t="n">
        <f aca="false">IF(AND(ISNUMBER($G323),$G323&gt;=60),MAX(INDEX($D$123:$D323,202-60):$D323),"")</f>
        <v>1114354</v>
      </c>
      <c r="N323" s="45" t="n">
        <f aca="false">IF(AND(ISNUMBER($G323),$G323&gt;=60),MIN(INDEX($E$123:$E323,202-60):$E323),"")</f>
        <v>1027695</v>
      </c>
      <c r="O323" s="46" t="n">
        <f aca="false">IF(OR(NOT(ISNUMBER($C323)),NOT(ISNUMBER($M323)),$M323=0),"",$C323/$M323-1)</f>
        <v>-0.0617873673895369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1051906</v>
      </c>
      <c r="D324" s="42" t="n">
        <v>1053126</v>
      </c>
      <c r="E324" s="42" t="n">
        <v>1050742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0.00612624952056473</v>
      </c>
      <c r="I324" s="45" t="n">
        <f aca="false">IF(AND(ISNUMBER($G324),$G324&gt;=MA_SHORT),AVERAGE(INDEX($C$5:$C324,321-MA_SHORT):$C324),"")</f>
        <v>1063746.45</v>
      </c>
      <c r="J324" s="45" t="n">
        <f aca="false">IF(AND(ISNUMBER($G324),$G324&gt;=MA_MED),AVERAGE(INDEX($C$5:$C324,321-MA_MED):$C324),"")</f>
        <v>1073223.8</v>
      </c>
      <c r="K324" s="45" t="n">
        <f aca="false">IF(AND(ISNUMBER($G324),$G324&gt;=MA_LONG2),AVERAGE(INDEX($C$5:$C324,321-MA_LONG2):$C324),"")</f>
        <v>1120918.595</v>
      </c>
      <c r="L324" s="46" t="n">
        <f aca="false">IF(AND(ISNUMBER($G324),$G324&gt;=21),STDEV(INDEX($H$264:$H324,62-20):$H324)*SQRT(245),"")</f>
        <v>0.125492705741483</v>
      </c>
      <c r="M324" s="45" t="n">
        <f aca="false">IF(AND(ISNUMBER($G324),$G324&gt;=60),MAX(INDEX($D$124:$D324,202-60):$D324),"")</f>
        <v>1114354</v>
      </c>
      <c r="N324" s="45" t="n">
        <f aca="false">IF(AND(ISNUMBER($G324),$G324&gt;=60),MIN(INDEX($E$124:$E324,202-60):$E324),"")</f>
        <v>1027695</v>
      </c>
      <c r="O324" s="46" t="n">
        <f aca="false">IF(OR(NOT(ISNUMBER($C324)),NOT(ISNUMBER($M324)),$M324=0),"",$C324/$M324-1)</f>
        <v>-0.0560396426988192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1064656</v>
      </c>
      <c r="D325" s="42" t="n">
        <v>1069416</v>
      </c>
      <c r="E325" s="42" t="n">
        <v>1062781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0.0121208549052862</v>
      </c>
      <c r="I325" s="45" t="n">
        <f aca="false">IF(AND(ISNUMBER($G325),$G325&gt;=MA_SHORT),AVERAGE(INDEX($C$5:$C325,322-MA_SHORT):$C325),"")</f>
        <v>1062606.25</v>
      </c>
      <c r="J325" s="45" t="n">
        <f aca="false">IF(AND(ISNUMBER($G325),$G325&gt;=MA_MED),AVERAGE(INDEX($C$5:$C325,322-MA_MED):$C325),"")</f>
        <v>1073190.06</v>
      </c>
      <c r="K325" s="45" t="n">
        <f aca="false">IF(AND(ISNUMBER($G325),$G325&gt;=MA_LONG2),AVERAGE(INDEX($C$5:$C325,322-MA_LONG2):$C325),"")</f>
        <v>1120756.82</v>
      </c>
      <c r="L325" s="46" t="n">
        <f aca="false">IF(AND(ISNUMBER($G325),$G325&gt;=21),STDEV(INDEX($H$265:$H325,62-20):$H325)*SQRT(245),"")</f>
        <v>0.134351202279262</v>
      </c>
      <c r="M325" s="45" t="n">
        <f aca="false">IF(AND(ISNUMBER($G325),$G325&gt;=60),MAX(INDEX($D$125:$D325,202-60):$D325),"")</f>
        <v>1114354</v>
      </c>
      <c r="N325" s="45" t="n">
        <f aca="false">IF(AND(ISNUMBER($G325),$G325&gt;=60),MIN(INDEX($E$125:$E325,202-60):$E325),"")</f>
        <v>1029319</v>
      </c>
      <c r="O325" s="46" t="n">
        <f aca="false">IF(OR(NOT(ISNUMBER($C325)),NOT(ISNUMBER($M325)),$M325=0),"",$C325/$M325-1)</f>
        <v>-0.0445980361716295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1060087</v>
      </c>
      <c r="D326" s="42" t="n">
        <v>1065123</v>
      </c>
      <c r="E326" s="42" t="n">
        <v>1055533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-0.00429152702844859</v>
      </c>
      <c r="I326" s="45" t="n">
        <f aca="false">IF(AND(ISNUMBER($G326),$G326&gt;=MA_SHORT),AVERAGE(INDEX($C$5:$C326,323-MA_SHORT):$C326),"")</f>
        <v>1061212.2</v>
      </c>
      <c r="J326" s="45" t="n">
        <f aca="false">IF(AND(ISNUMBER($G326),$G326&gt;=MA_MED),AVERAGE(INDEX($C$5:$C326,323-MA_MED):$C326),"")</f>
        <v>1073315.5</v>
      </c>
      <c r="K326" s="45" t="n">
        <f aca="false">IF(AND(ISNUMBER($G326),$G326&gt;=MA_LONG2),AVERAGE(INDEX($C$5:$C326,323-MA_LONG2):$C326),"")</f>
        <v>1120569.76</v>
      </c>
      <c r="L326" s="46" t="n">
        <f aca="false">IF(AND(ISNUMBER($G326),$G326&gt;=21),STDEV(INDEX($H$266:$H326,62-20):$H326)*SQRT(245),"")</f>
        <v>0.134702018364596</v>
      </c>
      <c r="M326" s="45" t="n">
        <f aca="false">IF(AND(ISNUMBER($G326),$G326&gt;=60),MAX(INDEX($D$126:$D326,202-60):$D326),"")</f>
        <v>1114354</v>
      </c>
      <c r="N326" s="45" t="n">
        <f aca="false">IF(AND(ISNUMBER($G326),$G326&gt;=60),MIN(INDEX($E$126:$E326,202-60):$E326),"")</f>
        <v>1029319</v>
      </c>
      <c r="O326" s="46" t="n">
        <f aca="false">IF(OR(NOT(ISNUMBER($C326)),NOT(ISNUMBER($M326)),$M326=0),"",$C326/$M326-1)</f>
        <v>-0.0486981695224318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1059517</v>
      </c>
      <c r="D327" s="42" t="n">
        <v>1061918</v>
      </c>
      <c r="E327" s="42" t="n">
        <v>1056484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-0.000537691717755195</v>
      </c>
      <c r="I327" s="45" t="n">
        <f aca="false">IF(AND(ISNUMBER($G327),$G327&gt;=MA_SHORT),AVERAGE(INDEX($C$5:$C327,324-MA_SHORT):$C327),"")</f>
        <v>1059548.75</v>
      </c>
      <c r="J327" s="45" t="n">
        <f aca="false">IF(AND(ISNUMBER($G327),$G327&gt;=MA_MED),AVERAGE(INDEX($C$5:$C327,324-MA_MED):$C327),"")</f>
        <v>1073004.16</v>
      </c>
      <c r="K327" s="45" t="n">
        <f aca="false">IF(AND(ISNUMBER($G327),$G327&gt;=MA_LONG2),AVERAGE(INDEX($C$5:$C327,324-MA_LONG2):$C327),"")</f>
        <v>1120286.42</v>
      </c>
      <c r="L327" s="46" t="n">
        <f aca="false">IF(AND(ISNUMBER($G327),$G327&gt;=21),STDEV(INDEX($H$267:$H327,62-20):$H327)*SQRT(245),"")</f>
        <v>0.133108775624468</v>
      </c>
      <c r="M327" s="45" t="n">
        <f aca="false">IF(AND(ISNUMBER($G327),$G327&gt;=60),MAX(INDEX($D$127:$D327,202-60):$D327),"")</f>
        <v>1114354</v>
      </c>
      <c r="N327" s="45" t="n">
        <f aca="false">IF(AND(ISNUMBER($G327),$G327&gt;=60),MIN(INDEX($E$127:$E327,202-60):$E327),"")</f>
        <v>1029319</v>
      </c>
      <c r="O327" s="46" t="n">
        <f aca="false">IF(OR(NOT(ISNUMBER($C327)),NOT(ISNUMBER($M327)),$M327=0),"",$C327/$M327-1)</f>
        <v>-0.049209676637765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1056874</v>
      </c>
      <c r="D328" s="42" t="n">
        <v>1061354</v>
      </c>
      <c r="E328" s="42" t="n">
        <v>1052011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-0.00249453288621138</v>
      </c>
      <c r="I328" s="45" t="n">
        <f aca="false">IF(AND(ISNUMBER($G328),$G328&gt;=MA_SHORT),AVERAGE(INDEX($C$5:$C328,325-MA_SHORT):$C328),"")</f>
        <v>1058309.35</v>
      </c>
      <c r="J328" s="45" t="n">
        <f aca="false">IF(AND(ISNUMBER($G328),$G328&gt;=MA_MED),AVERAGE(INDEX($C$5:$C328,325-MA_MED):$C328),"")</f>
        <v>1072724.8</v>
      </c>
      <c r="K328" s="45" t="n">
        <f aca="false">IF(AND(ISNUMBER($G328),$G328&gt;=MA_LONG2),AVERAGE(INDEX($C$5:$C328,325-MA_LONG2):$C328),"")</f>
        <v>1120070.325</v>
      </c>
      <c r="L328" s="46" t="n">
        <f aca="false">IF(AND(ISNUMBER($G328),$G328&gt;=21),STDEV(INDEX($H$268:$H328,62-20):$H328)*SQRT(245),"")</f>
        <v>0.129318481097173</v>
      </c>
      <c r="M328" s="45" t="n">
        <f aca="false">IF(AND(ISNUMBER($G328),$G328&gt;=60),MAX(INDEX($D$128:$D328,202-60):$D328),"")</f>
        <v>1114354</v>
      </c>
      <c r="N328" s="45" t="n">
        <f aca="false">IF(AND(ISNUMBER($G328),$G328&gt;=60),MIN(INDEX($E$128:$E328,202-60):$E328),"")</f>
        <v>1029319</v>
      </c>
      <c r="O328" s="46" t="n">
        <f aca="false">IF(OR(NOT(ISNUMBER($C328)),NOT(ISNUMBER($M328)),$M328=0),"",$C328/$M328-1)</f>
        <v>-0.0515814543672837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1065425</v>
      </c>
      <c r="D329" s="42" t="n">
        <v>1066605</v>
      </c>
      <c r="E329" s="42" t="n">
        <v>1060664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0.00809084148157679</v>
      </c>
      <c r="I329" s="45" t="n">
        <f aca="false">IF(AND(ISNUMBER($G329),$G329&gt;=MA_SHORT),AVERAGE(INDEX($C$5:$C329,326-MA_SHORT):$C329),"")</f>
        <v>1057315.55</v>
      </c>
      <c r="J329" s="45" t="n">
        <f aca="false">IF(AND(ISNUMBER($G329),$G329&gt;=MA_MED),AVERAGE(INDEX($C$5:$C329,326-MA_MED):$C329),"")</f>
        <v>1072661.84</v>
      </c>
      <c r="K329" s="45" t="n">
        <f aca="false">IF(AND(ISNUMBER($G329),$G329&gt;=MA_LONG2),AVERAGE(INDEX($C$5:$C329,326-MA_LONG2):$C329),"")</f>
        <v>1119867.58</v>
      </c>
      <c r="L329" s="46" t="n">
        <f aca="false">IF(AND(ISNUMBER($G329),$G329&gt;=21),STDEV(INDEX($H$269:$H329,62-20):$H329)*SQRT(245),"")</f>
        <v>0.132454892596826</v>
      </c>
      <c r="M329" s="45" t="n">
        <f aca="false">IF(AND(ISNUMBER($G329),$G329&gt;=60),MAX(INDEX($D$129:$D329,202-60):$D329),"")</f>
        <v>1114354</v>
      </c>
      <c r="N329" s="45" t="n">
        <f aca="false">IF(AND(ISNUMBER($G329),$G329&gt;=60),MIN(INDEX($E$129:$E329,202-60):$E329),"")</f>
        <v>1029319</v>
      </c>
      <c r="O329" s="46" t="n">
        <f aca="false">IF(OR(NOT(ISNUMBER($C329)),NOT(ISNUMBER($M329)),$M329=0),"",$C329/$M329-1)</f>
        <v>-0.0439079502563817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1051178</v>
      </c>
      <c r="D330" s="42" t="n">
        <v>1054403</v>
      </c>
      <c r="E330" s="42" t="n">
        <v>1047040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-0.0133721284933243</v>
      </c>
      <c r="I330" s="45" t="n">
        <f aca="false">IF(AND(ISNUMBER($G330),$G330&gt;=MA_SHORT),AVERAGE(INDEX($C$5:$C330,327-MA_SHORT):$C330),"")</f>
        <v>1055724.45</v>
      </c>
      <c r="J330" s="45" t="n">
        <f aca="false">IF(AND(ISNUMBER($G330),$G330&gt;=MA_MED),AVERAGE(INDEX($C$5:$C330,327-MA_MED):$C330),"")</f>
        <v>1071840.96</v>
      </c>
      <c r="K330" s="45" t="n">
        <f aca="false">IF(AND(ISNUMBER($G330),$G330&gt;=MA_LONG2),AVERAGE(INDEX($C$5:$C330,327-MA_LONG2):$C330),"")</f>
        <v>1119596.08</v>
      </c>
      <c r="L330" s="46" t="n">
        <f aca="false">IF(AND(ISNUMBER($G330),$G330&gt;=21),STDEV(INDEX($H$270:$H330,62-20):$H330)*SQRT(245),"")</f>
        <v>0.139471386021124</v>
      </c>
      <c r="M330" s="45" t="n">
        <f aca="false">IF(AND(ISNUMBER($G330),$G330&gt;=60),MAX(INDEX($D$130:$D330,202-60):$D330),"")</f>
        <v>1114354</v>
      </c>
      <c r="N330" s="45" t="n">
        <f aca="false">IF(AND(ISNUMBER($G330),$G330&gt;=60),MIN(INDEX($E$130:$E330,202-60):$E330),"")</f>
        <v>1029319</v>
      </c>
      <c r="O330" s="46" t="n">
        <f aca="false">IF(OR(NOT(ISNUMBER($C330)),NOT(ISNUMBER($M330)),$M330=0),"",$C330/$M330-1)</f>
        <v>-0.0566929359969992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1052252</v>
      </c>
      <c r="D331" s="42" t="n">
        <v>1055888</v>
      </c>
      <c r="E331" s="42" t="n">
        <v>1050614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0.00102171088055503</v>
      </c>
      <c r="I331" s="45" t="n">
        <f aca="false">IF(AND(ISNUMBER($G331),$G331&gt;=MA_SHORT),AVERAGE(INDEX($C$5:$C331,328-MA_SHORT):$C331),"")</f>
        <v>1054719.05</v>
      </c>
      <c r="J331" s="45" t="n">
        <f aca="false">IF(AND(ISNUMBER($G331),$G331&gt;=MA_MED),AVERAGE(INDEX($C$5:$C331,328-MA_MED):$C331),"")</f>
        <v>1070618.02</v>
      </c>
      <c r="K331" s="45" t="n">
        <f aca="false">IF(AND(ISNUMBER($G331),$G331&gt;=MA_LONG2),AVERAGE(INDEX($C$5:$C331,328-MA_LONG2):$C331),"")</f>
        <v>1119270.155</v>
      </c>
      <c r="L331" s="46" t="n">
        <f aca="false">IF(AND(ISNUMBER($G331),$G331&gt;=21),STDEV(INDEX($H$271:$H331,62-20):$H331)*SQRT(245),"")</f>
        <v>0.136203937133495</v>
      </c>
      <c r="M331" s="45" t="n">
        <f aca="false">IF(AND(ISNUMBER($G331),$G331&gt;=60),MAX(INDEX($D$131:$D331,202-60):$D331),"")</f>
        <v>1114354</v>
      </c>
      <c r="N331" s="45" t="n">
        <f aca="false">IF(AND(ISNUMBER($G331),$G331&gt;=60),MIN(INDEX($E$131:$E331,202-60):$E331),"")</f>
        <v>1029319</v>
      </c>
      <c r="O331" s="46" t="n">
        <f aca="false">IF(OR(NOT(ISNUMBER($C331)),NOT(ISNUMBER($M331)),$M331=0),"",$C331/$M331-1)</f>
        <v>-0.0557291489060029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1053880</v>
      </c>
      <c r="D332" s="42" t="n">
        <v>1058238</v>
      </c>
      <c r="E332" s="42" t="n">
        <v>1050637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0.00154715790514048</v>
      </c>
      <c r="I332" s="45" t="n">
        <f aca="false">IF(AND(ISNUMBER($G332),$G332&gt;=MA_SHORT),AVERAGE(INDEX($C$5:$C332,329-MA_SHORT):$C332),"")</f>
        <v>1054110.6</v>
      </c>
      <c r="J332" s="45" t="n">
        <f aca="false">IF(AND(ISNUMBER($G332),$G332&gt;=MA_MED),AVERAGE(INDEX($C$5:$C332,329-MA_MED):$C332),"")</f>
        <v>1069591.5</v>
      </c>
      <c r="K332" s="45" t="n">
        <f aca="false">IF(AND(ISNUMBER($G332),$G332&gt;=MA_LONG2),AVERAGE(INDEX($C$5:$C332,329-MA_LONG2):$C332),"")</f>
        <v>1118901.815</v>
      </c>
      <c r="L332" s="46" t="n">
        <f aca="false">IF(AND(ISNUMBER($G332),$G332&gt;=21),STDEV(INDEX($H$272:$H332,62-20):$H332)*SQRT(245),"")</f>
        <v>0.135183545981108</v>
      </c>
      <c r="M332" s="45" t="n">
        <f aca="false">IF(AND(ISNUMBER($G332),$G332&gt;=60),MAX(INDEX($D$132:$D332,202-60):$D332),"")</f>
        <v>1114354</v>
      </c>
      <c r="N332" s="45" t="n">
        <f aca="false">IF(AND(ISNUMBER($G332),$G332&gt;=60),MIN(INDEX($E$132:$E332,202-60):$E332),"")</f>
        <v>1029319</v>
      </c>
      <c r="O332" s="46" t="n">
        <f aca="false">IF(OR(NOT(ISNUMBER($C332)),NOT(ISNUMBER($M332)),$M332=0),"",$C332/$M332-1)</f>
        <v>-0.0542682127941391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1060475</v>
      </c>
      <c r="D333" s="42" t="n">
        <v>1062578</v>
      </c>
      <c r="E333" s="42" t="n">
        <v>1054538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0.00625782821573617</v>
      </c>
      <c r="I333" s="45" t="n">
        <f aca="false">IF(AND(ISNUMBER($G333),$G333&gt;=MA_SHORT),AVERAGE(INDEX($C$5:$C333,330-MA_SHORT):$C333),"")</f>
        <v>1053962.95</v>
      </c>
      <c r="J333" s="45" t="n">
        <f aca="false">IF(AND(ISNUMBER($G333),$G333&gt;=MA_MED),AVERAGE(INDEX($C$5:$C333,330-MA_MED):$C333),"")</f>
        <v>1068661.34</v>
      </c>
      <c r="K333" s="45" t="n">
        <f aca="false">IF(AND(ISNUMBER($G333),$G333&gt;=MA_LONG2),AVERAGE(INDEX($C$5:$C333,330-MA_LONG2):$C333),"")</f>
        <v>1118512.245</v>
      </c>
      <c r="L333" s="46" t="n">
        <f aca="false">IF(AND(ISNUMBER($G333),$G333&gt;=21),STDEV(INDEX($H$273:$H333,62-20):$H333)*SQRT(245),"")</f>
        <v>0.137017015720964</v>
      </c>
      <c r="M333" s="45" t="n">
        <f aca="false">IF(AND(ISNUMBER($G333),$G333&gt;=60),MAX(INDEX($D$133:$D333,202-60):$D333),"")</f>
        <v>1114354</v>
      </c>
      <c r="N333" s="45" t="n">
        <f aca="false">IF(AND(ISNUMBER($G333),$G333&gt;=60),MIN(INDEX($E$133:$E333,202-60):$E333),"")</f>
        <v>1029319</v>
      </c>
      <c r="O333" s="46" t="n">
        <f aca="false">IF(OR(NOT(ISNUMBER($C333)),NOT(ISNUMBER($M333)),$M333=0),"",$C333/$M333-1)</f>
        <v>-0.0483499857316436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1064464</v>
      </c>
      <c r="D334" s="42" t="n">
        <v>1069509</v>
      </c>
      <c r="E334" s="42" t="n">
        <v>1060465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0.0037615219594993</v>
      </c>
      <c r="I334" s="45" t="n">
        <f aca="false">IF(AND(ISNUMBER($G334),$G334&gt;=MA_SHORT),AVERAGE(INDEX($C$5:$C334,331-MA_SHORT):$C334),"")</f>
        <v>1053802.45</v>
      </c>
      <c r="J334" s="45" t="n">
        <f aca="false">IF(AND(ISNUMBER($G334),$G334&gt;=MA_MED),AVERAGE(INDEX($C$5:$C334,331-MA_MED):$C334),"")</f>
        <v>1067802.14</v>
      </c>
      <c r="K334" s="45" t="n">
        <f aca="false">IF(AND(ISNUMBER($G334),$G334&gt;=MA_LONG2),AVERAGE(INDEX($C$5:$C334,331-MA_LONG2):$C334),"")</f>
        <v>1118074.895</v>
      </c>
      <c r="L334" s="46" t="n">
        <f aca="false">IF(AND(ISNUMBER($G334),$G334&gt;=21),STDEV(INDEX($H$274:$H334,62-20):$H334)*SQRT(245),"")</f>
        <v>0.136930259744954</v>
      </c>
      <c r="M334" s="45" t="n">
        <f aca="false">IF(AND(ISNUMBER($G334),$G334&gt;=60),MAX(INDEX($D$134:$D334,202-60):$D334),"")</f>
        <v>1114354</v>
      </c>
      <c r="N334" s="45" t="n">
        <f aca="false">IF(AND(ISNUMBER($G334),$G334&gt;=60),MIN(INDEX($E$134:$E334,202-60):$E334),"")</f>
        <v>1029319</v>
      </c>
      <c r="O334" s="46" t="n">
        <f aca="false">IF(OR(NOT(ISNUMBER($C334)),NOT(ISNUMBER($M334)),$M334=0),"",$C334/$M334-1)</f>
        <v>-0.0447703333052154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1067651</v>
      </c>
      <c r="D335" s="42" t="n">
        <v>1073289</v>
      </c>
      <c r="E335" s="42" t="n">
        <v>1066706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0.00299399509988119</v>
      </c>
      <c r="I335" s="45" t="n">
        <f aca="false">IF(AND(ISNUMBER($G335),$G335&gt;=MA_SHORT),AVERAGE(INDEX($C$5:$C335,332-MA_SHORT):$C335),"")</f>
        <v>1053815.5</v>
      </c>
      <c r="J335" s="45" t="n">
        <f aca="false">IF(AND(ISNUMBER($G335),$G335&gt;=MA_MED),AVERAGE(INDEX($C$5:$C335,332-MA_MED):$C335),"")</f>
        <v>1067606.32</v>
      </c>
      <c r="K335" s="45" t="n">
        <f aca="false">IF(AND(ISNUMBER($G335),$G335&gt;=MA_LONG2),AVERAGE(INDEX($C$5:$C335,332-MA_LONG2):$C335),"")</f>
        <v>1117757.995</v>
      </c>
      <c r="L335" s="46" t="n">
        <f aca="false">IF(AND(ISNUMBER($G335),$G335&gt;=21),STDEV(INDEX($H$275:$H335,62-20):$H335)*SQRT(245),"")</f>
        <v>0.137358364155128</v>
      </c>
      <c r="M335" s="45" t="n">
        <f aca="false">IF(AND(ISNUMBER($G335),$G335&gt;=60),MAX(INDEX($D$135:$D335,202-60):$D335),"")</f>
        <v>1114354</v>
      </c>
      <c r="N335" s="45" t="n">
        <f aca="false">IF(AND(ISNUMBER($G335),$G335&gt;=60),MIN(INDEX($E$135:$E335,202-60):$E335),"")</f>
        <v>1029319</v>
      </c>
      <c r="O335" s="46" t="n">
        <f aca="false">IF(OR(NOT(ISNUMBER($C335)),NOT(ISNUMBER($M335)),$M335=0),"",$C335/$M335-1)</f>
        <v>-0.04191038036387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1078538</v>
      </c>
      <c r="D336" s="42" t="n">
        <v>1080021</v>
      </c>
      <c r="E336" s="42" t="n">
        <v>1075939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0.0101971524402638</v>
      </c>
      <c r="I336" s="45" t="n">
        <f aca="false">IF(AND(ISNUMBER($G336),$G336&gt;=MA_SHORT),AVERAGE(INDEX($C$5:$C336,333-MA_SHORT):$C336),"")</f>
        <v>1055202.9</v>
      </c>
      <c r="J336" s="45" t="n">
        <f aca="false">IF(AND(ISNUMBER($G336),$G336&gt;=MA_MED),AVERAGE(INDEX($C$5:$C336,333-MA_MED):$C336),"")</f>
        <v>1067887.86</v>
      </c>
      <c r="K336" s="45" t="n">
        <f aca="false">IF(AND(ISNUMBER($G336),$G336&gt;=MA_LONG2),AVERAGE(INDEX($C$5:$C336,333-MA_LONG2):$C336),"")</f>
        <v>1117451.94</v>
      </c>
      <c r="L336" s="46" t="n">
        <f aca="false">IF(AND(ISNUMBER($G336),$G336&gt;=21),STDEV(INDEX($H$276:$H336,62-20):$H336)*SQRT(245),"")</f>
        <v>0.12895538090289</v>
      </c>
      <c r="M336" s="45" t="n">
        <f aca="false">IF(AND(ISNUMBER($G336),$G336&gt;=60),MAX(INDEX($D$136:$D336,202-60):$D336),"")</f>
        <v>1114354</v>
      </c>
      <c r="N336" s="45" t="n">
        <f aca="false">IF(AND(ISNUMBER($G336),$G336&gt;=60),MIN(INDEX($E$136:$E336,202-60):$E336),"")</f>
        <v>1029319</v>
      </c>
      <c r="O336" s="46" t="n">
        <f aca="false">IF(OR(NOT(ISNUMBER($C336)),NOT(ISNUMBER($M336)),$M336=0),"",$C336/$M336-1)</f>
        <v>-0.0321405944610061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1091896</v>
      </c>
      <c r="D337" s="42" t="n">
        <v>1094529</v>
      </c>
      <c r="E337" s="42" t="n">
        <v>1090926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0.0123852845240502</v>
      </c>
      <c r="I337" s="45" t="n">
        <f aca="false">IF(AND(ISNUMBER($G337),$G337&gt;=MA_SHORT),AVERAGE(INDEX($C$5:$C337,334-MA_SHORT):$C337),"")</f>
        <v>1057705.45</v>
      </c>
      <c r="J337" s="45" t="n">
        <f aca="false">IF(AND(ISNUMBER($G337),$G337&gt;=MA_MED),AVERAGE(INDEX($C$5:$C337,334-MA_MED):$C337),"")</f>
        <v>1068650.86</v>
      </c>
      <c r="K337" s="45" t="n">
        <f aca="false">IF(AND(ISNUMBER($G337),$G337&gt;=MA_LONG2),AVERAGE(INDEX($C$5:$C337,334-MA_LONG2):$C337),"")</f>
        <v>1117206.09</v>
      </c>
      <c r="L337" s="46" t="n">
        <f aca="false">IF(AND(ISNUMBER($G337),$G337&gt;=21),STDEV(INDEX($H$277:$H337,62-20):$H337)*SQRT(245),"")</f>
        <v>0.129117444359788</v>
      </c>
      <c r="M337" s="45" t="n">
        <f aca="false">IF(AND(ISNUMBER($G337),$G337&gt;=60),MAX(INDEX($D$137:$D337,202-60):$D337),"")</f>
        <v>1114354</v>
      </c>
      <c r="N337" s="45" t="n">
        <f aca="false">IF(AND(ISNUMBER($G337),$G337&gt;=60),MIN(INDEX($E$137:$E337,202-60):$E337),"")</f>
        <v>1029319</v>
      </c>
      <c r="O337" s="46" t="n">
        <f aca="false">IF(OR(NOT(ISNUMBER($C337)),NOT(ISNUMBER($M337)),$M337=0),"",$C337/$M337-1)</f>
        <v>-0.0201533803441276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1099767</v>
      </c>
      <c r="D338" s="42" t="n">
        <v>1100937</v>
      </c>
      <c r="E338" s="42" t="n">
        <v>1097830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0.00720856198758857</v>
      </c>
      <c r="I338" s="45" t="n">
        <f aca="false">IF(AND(ISNUMBER($G338),$G338&gt;=MA_SHORT),AVERAGE(INDEX($C$5:$C338,335-MA_SHORT):$C338),"")</f>
        <v>1060574.8</v>
      </c>
      <c r="J338" s="45" t="n">
        <f aca="false">IF(AND(ISNUMBER($G338),$G338&gt;=MA_MED),AVERAGE(INDEX($C$5:$C338,335-MA_MED):$C338),"")</f>
        <v>1069349.18</v>
      </c>
      <c r="K338" s="45" t="n">
        <f aca="false">IF(AND(ISNUMBER($G338),$G338&gt;=MA_LONG2),AVERAGE(INDEX($C$5:$C338,335-MA_LONG2):$C338),"")</f>
        <v>1117069.515</v>
      </c>
      <c r="L338" s="46" t="n">
        <f aca="false">IF(AND(ISNUMBER($G338),$G338&gt;=21),STDEV(INDEX($H$278:$H338,62-20):$H338)*SQRT(245),"")</f>
        <v>0.1299920469254</v>
      </c>
      <c r="M338" s="45" t="n">
        <f aca="false">IF(AND(ISNUMBER($G338),$G338&gt;=60),MAX(INDEX($D$138:$D338,202-60):$D338),"")</f>
        <v>1114354</v>
      </c>
      <c r="N338" s="45" t="n">
        <f aca="false">IF(AND(ISNUMBER($G338),$G338&gt;=60),MIN(INDEX($E$138:$E338,202-60):$E338),"")</f>
        <v>1029319</v>
      </c>
      <c r="O338" s="46" t="n">
        <f aca="false">IF(OR(NOT(ISNUMBER($C338)),NOT(ISNUMBER($M338)),$M338=0),"",$C338/$M338-1)</f>
        <v>-0.0130900952480092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1119018</v>
      </c>
      <c r="D339" s="42" t="n">
        <v>1124425</v>
      </c>
      <c r="E339" s="42" t="n">
        <v>1112674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0.0175046168870314</v>
      </c>
      <c r="I339" s="45" t="n">
        <f aca="false">IF(AND(ISNUMBER($G339),$G339&gt;=MA_SHORT),AVERAGE(INDEX($C$5:$C339,336-MA_SHORT):$C339),"")</f>
        <v>1063576.95</v>
      </c>
      <c r="J339" s="45" t="n">
        <f aca="false">IF(AND(ISNUMBER($G339),$G339&gt;=MA_MED),AVERAGE(INDEX($C$5:$C339,336-MA_MED):$C339),"")</f>
        <v>1070519.86</v>
      </c>
      <c r="K339" s="45" t="n">
        <f aca="false">IF(AND(ISNUMBER($G339),$G339&gt;=MA_LONG2),AVERAGE(INDEX($C$5:$C339,336-MA_LONG2):$C339),"")</f>
        <v>1117074.35</v>
      </c>
      <c r="L339" s="46" t="n">
        <f aca="false">IF(AND(ISNUMBER($G339),$G339&gt;=21),STDEV(INDEX($H$279:$H339,62-20):$H339)*SQRT(245),"")</f>
        <v>0.132167299729785</v>
      </c>
      <c r="M339" s="45" t="n">
        <f aca="false">IF(AND(ISNUMBER($G339),$G339&gt;=60),MAX(INDEX($D$139:$D339,202-60):$D339),"")</f>
        <v>1124425</v>
      </c>
      <c r="N339" s="45" t="n">
        <f aca="false">IF(AND(ISNUMBER($G339),$G339&gt;=60),MIN(INDEX($E$139:$E339,202-60):$E339),"")</f>
        <v>1029319</v>
      </c>
      <c r="O339" s="46" t="n">
        <f aca="false">IF(OR(NOT(ISNUMBER($C339)),NOT(ISNUMBER($M339)),$M339=0),"",$C339/$M339-1)</f>
        <v>-0.00480867999199586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1112391</v>
      </c>
      <c r="D340" s="42" t="n">
        <v>1113957</v>
      </c>
      <c r="E340" s="42" t="n">
        <v>1111446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-0.00592215674814878</v>
      </c>
      <c r="I340" s="45" t="n">
        <f aca="false">IF(AND(ISNUMBER($G340),$G340&gt;=MA_SHORT),AVERAGE(INDEX($C$5:$C340,337-MA_SHORT):$C340),"")</f>
        <v>1066665.65</v>
      </c>
      <c r="J340" s="45" t="n">
        <f aca="false">IF(AND(ISNUMBER($G340),$G340&gt;=MA_MED),AVERAGE(INDEX($C$5:$C340,337-MA_MED):$C340),"")</f>
        <v>1071716.06</v>
      </c>
      <c r="K340" s="45" t="n">
        <f aca="false">IF(AND(ISNUMBER($G340),$G340&gt;=MA_LONG2),AVERAGE(INDEX($C$5:$C340,337-MA_LONG2):$C340),"")</f>
        <v>1116991.49</v>
      </c>
      <c r="L340" s="46" t="n">
        <f aca="false">IF(AND(ISNUMBER($G340),$G340&gt;=21),STDEV(INDEX($H$280:$H340,62-20):$H340)*SQRT(245),"")</f>
        <v>0.130279160232365</v>
      </c>
      <c r="M340" s="45" t="n">
        <f aca="false">IF(AND(ISNUMBER($G340),$G340&gt;=60),MAX(INDEX($D$140:$D340,202-60):$D340),"")</f>
        <v>1124425</v>
      </c>
      <c r="N340" s="45" t="n">
        <f aca="false">IF(AND(ISNUMBER($G340),$G340&gt;=60),MIN(INDEX($E$140:$E340,202-60):$E340),"")</f>
        <v>1029319</v>
      </c>
      <c r="O340" s="46" t="n">
        <f aca="false">IF(OR(NOT(ISNUMBER($C340)),NOT(ISNUMBER($M340)),$M340=0),"",$C340/$M340-1)</f>
        <v>-0.0107023589834805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1131975</v>
      </c>
      <c r="D341" s="42" t="n">
        <v>1136746</v>
      </c>
      <c r="E341" s="42" t="n">
        <v>1131606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0.0176053204313951</v>
      </c>
      <c r="I341" s="45" t="n">
        <f aca="false">IF(AND(ISNUMBER($G341),$G341&gt;=MA_SHORT),AVERAGE(INDEX($C$5:$C341,338-MA_SHORT):$C341),"")</f>
        <v>1071015.15</v>
      </c>
      <c r="J341" s="45" t="n">
        <f aca="false">IF(AND(ISNUMBER($G341),$G341&gt;=MA_MED),AVERAGE(INDEX($C$5:$C341,338-MA_MED):$C341),"")</f>
        <v>1073230.42</v>
      </c>
      <c r="K341" s="45" t="n">
        <f aca="false">IF(AND(ISNUMBER($G341),$G341&gt;=MA_LONG2),AVERAGE(INDEX($C$5:$C341,338-MA_LONG2):$C341),"")</f>
        <v>1116974.8</v>
      </c>
      <c r="L341" s="46" t="n">
        <f aca="false">IF(AND(ISNUMBER($G341),$G341&gt;=21),STDEV(INDEX($H$281:$H341,62-20):$H341)*SQRT(245),"")</f>
        <v>0.136179605199672</v>
      </c>
      <c r="M341" s="45" t="n">
        <f aca="false">IF(AND(ISNUMBER($G341),$G341&gt;=60),MAX(INDEX($D$141:$D341,202-60):$D341),"")</f>
        <v>1136746</v>
      </c>
      <c r="N341" s="45" t="n">
        <f aca="false">IF(AND(ISNUMBER($G341),$G341&gt;=60),MIN(INDEX($E$141:$E341,202-60):$E341),"")</f>
        <v>1029319</v>
      </c>
      <c r="O341" s="46" t="n">
        <f aca="false">IF(OR(NOT(ISNUMBER($C341)),NOT(ISNUMBER($M341)),$M341=0),"",$C341/$M341-1)</f>
        <v>-0.00419706777063655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1137634</v>
      </c>
      <c r="D342" s="42" t="n">
        <v>1137638</v>
      </c>
      <c r="E342" s="42" t="n">
        <v>1137547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0.00499922701473099</v>
      </c>
      <c r="I342" s="45" t="n">
        <f aca="false">IF(AND(ISNUMBER($G342),$G342&gt;=MA_SHORT),AVERAGE(INDEX($C$5:$C342,339-MA_SHORT):$C342),"")</f>
        <v>1076254.25</v>
      </c>
      <c r="J342" s="45" t="n">
        <f aca="false">IF(AND(ISNUMBER($G342),$G342&gt;=MA_MED),AVERAGE(INDEX($C$5:$C342,339-MA_MED):$C342),"")</f>
        <v>1074752.98</v>
      </c>
      <c r="K342" s="45" t="n">
        <f aca="false">IF(AND(ISNUMBER($G342),$G342&gt;=MA_LONG2),AVERAGE(INDEX($C$5:$C342,339-MA_LONG2):$C342),"")</f>
        <v>1117041.365</v>
      </c>
      <c r="L342" s="46" t="n">
        <f aca="false">IF(AND(ISNUMBER($G342),$G342&gt;=21),STDEV(INDEX($H$282:$H342,62-20):$H342)*SQRT(245),"")</f>
        <v>0.123367525839642</v>
      </c>
      <c r="M342" s="45" t="n">
        <f aca="false">IF(AND(ISNUMBER($G342),$G342&gt;=60),MAX(INDEX($D$142:$D342,202-60):$D342),"")</f>
        <v>1137638</v>
      </c>
      <c r="N342" s="45" t="n">
        <f aca="false">IF(AND(ISNUMBER($G342),$G342&gt;=60),MIN(INDEX($E$142:$E342,202-60):$E342),"")</f>
        <v>1029319</v>
      </c>
      <c r="O342" s="46" t="n">
        <f aca="false">IF(OR(NOT(ISNUMBER($C342)),NOT(ISNUMBER($M342)),$M342=0),"",$C342/$M342-1)</f>
        <v>-3.51605695314561E-006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1146558</v>
      </c>
      <c r="D343" s="42" t="n">
        <v>1146760</v>
      </c>
      <c r="E343" s="42" t="n">
        <v>1145025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0.00784435064352862</v>
      </c>
      <c r="I343" s="45" t="n">
        <f aca="false">IF(AND(ISNUMBER($G343),$G343&gt;=MA_SHORT),AVERAGE(INDEX($C$5:$C343,340-MA_SHORT):$C343),"")</f>
        <v>1081307.1</v>
      </c>
      <c r="J343" s="45" t="n">
        <f aca="false">IF(AND(ISNUMBER($G343),$G343&gt;=MA_MED),AVERAGE(INDEX($C$5:$C343,340-MA_MED):$C343),"")</f>
        <v>1076524.66</v>
      </c>
      <c r="K343" s="45" t="n">
        <f aca="false">IF(AND(ISNUMBER($G343),$G343&gt;=MA_LONG2),AVERAGE(INDEX($C$5:$C343,340-MA_LONG2):$C343),"")</f>
        <v>1117077.7</v>
      </c>
      <c r="L343" s="46" t="n">
        <f aca="false">IF(AND(ISNUMBER($G343),$G343&gt;=21),STDEV(INDEX($H$283:$H343,62-20):$H343)*SQRT(245),"")</f>
        <v>0.120912095486327</v>
      </c>
      <c r="M343" s="45" t="n">
        <f aca="false">IF(AND(ISNUMBER($G343),$G343&gt;=60),MAX(INDEX($D$143:$D343,202-60):$D343),"")</f>
        <v>1146760</v>
      </c>
      <c r="N343" s="45" t="n">
        <f aca="false">IF(AND(ISNUMBER($G343),$G343&gt;=60),MIN(INDEX($E$143:$E343,202-60):$E343),"")</f>
        <v>1029319</v>
      </c>
      <c r="O343" s="46" t="n">
        <f aca="false">IF(OR(NOT(ISNUMBER($C343)),NOT(ISNUMBER($M343)),$M343=0),"",$C343/$M343-1)</f>
        <v>-0.000176148453032932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1172828</v>
      </c>
      <c r="D344" s="42" t="n">
        <v>1176728</v>
      </c>
      <c r="E344" s="42" t="n">
        <v>1160671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0.0229120550377739</v>
      </c>
      <c r="I344" s="45" t="n">
        <f aca="false">IF(AND(ISNUMBER($G344),$G344&gt;=MA_SHORT),AVERAGE(INDEX($C$5:$C344,341-MA_SHORT):$C344),"")</f>
        <v>1087353.2</v>
      </c>
      <c r="J344" s="45" t="n">
        <f aca="false">IF(AND(ISNUMBER($G344),$G344&gt;=MA_MED),AVERAGE(INDEX($C$5:$C344,341-MA_MED):$C344),"")</f>
        <v>1078919.4</v>
      </c>
      <c r="K344" s="45" t="n">
        <f aca="false">IF(AND(ISNUMBER($G344),$G344&gt;=MA_LONG2),AVERAGE(INDEX($C$5:$C344,341-MA_LONG2):$C344),"")</f>
        <v>1117182.015</v>
      </c>
      <c r="L344" s="46" t="n">
        <f aca="false">IF(AND(ISNUMBER($G344),$G344&gt;=21),STDEV(INDEX($H$284:$H344,62-20):$H344)*SQRT(245),"")</f>
        <v>0.136782270501077</v>
      </c>
      <c r="M344" s="45" t="n">
        <f aca="false">IF(AND(ISNUMBER($G344),$G344&gt;=60),MAX(INDEX($D$144:$D344,202-60):$D344),"")</f>
        <v>1176728</v>
      </c>
      <c r="N344" s="45" t="n">
        <f aca="false">IF(AND(ISNUMBER($G344),$G344&gt;=60),MIN(INDEX($E$144:$E344,202-60):$E344),"")</f>
        <v>1029319</v>
      </c>
      <c r="O344" s="46" t="n">
        <f aca="false">IF(OR(NOT(ISNUMBER($C344)),NOT(ISNUMBER($M344)),$M344=0),"",$C344/$M344-1)</f>
        <v>-0.00331427483666569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1172905</v>
      </c>
      <c r="D345" s="42" t="n">
        <v>1176789</v>
      </c>
      <c r="E345" s="42" t="n">
        <v>1172683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6.56532756722061E-005</v>
      </c>
      <c r="I345" s="45" t="n">
        <f aca="false">IF(AND(ISNUMBER($G345),$G345&gt;=MA_SHORT),AVERAGE(INDEX($C$5:$C345,342-MA_SHORT):$C345),"")</f>
        <v>1092765.65</v>
      </c>
      <c r="J345" s="45" t="n">
        <f aca="false">IF(AND(ISNUMBER($G345),$G345&gt;=MA_MED),AVERAGE(INDEX($C$5:$C345,342-MA_MED):$C345),"")</f>
        <v>1080941.98</v>
      </c>
      <c r="K345" s="45" t="n">
        <f aca="false">IF(AND(ISNUMBER($G345),$G345&gt;=MA_LONG2),AVERAGE(INDEX($C$5:$C345,342-MA_LONG2):$C345),"")</f>
        <v>1117231.02</v>
      </c>
      <c r="L345" s="46" t="n">
        <f aca="false">IF(AND(ISNUMBER($G345),$G345&gt;=21),STDEV(INDEX($H$285:$H345,62-20):$H345)*SQRT(245),"")</f>
        <v>0.135752147403902</v>
      </c>
      <c r="M345" s="45" t="n">
        <f aca="false">IF(AND(ISNUMBER($G345),$G345&gt;=60),MAX(INDEX($D$145:$D345,202-60):$D345),"")</f>
        <v>1176789</v>
      </c>
      <c r="N345" s="45" t="n">
        <f aca="false">IF(AND(ISNUMBER($G345),$G345&gt;=60),MIN(INDEX($E$145:$E345,202-60):$E345),"")</f>
        <v>1029319</v>
      </c>
      <c r="O345" s="46" t="n">
        <f aca="false">IF(OR(NOT(ISNUMBER($C345)),NOT(ISNUMBER($M345)),$M345=0),"",$C345/$M345-1)</f>
        <v>-0.00330050671785687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1176605</v>
      </c>
      <c r="D346" s="42" t="n">
        <v>1176718</v>
      </c>
      <c r="E346" s="42" t="n">
        <v>1174084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0.00315456068479536</v>
      </c>
      <c r="I346" s="45" t="n">
        <f aca="false">IF(AND(ISNUMBER($G346),$G346&gt;=MA_SHORT),AVERAGE(INDEX($C$5:$C346,343-MA_SHORT):$C346),"")</f>
        <v>1098591.55</v>
      </c>
      <c r="J346" s="45" t="n">
        <f aca="false">IF(AND(ISNUMBER($G346),$G346&gt;=MA_MED),AVERAGE(INDEX($C$5:$C346,343-MA_MED):$C346),"")</f>
        <v>1082822.1</v>
      </c>
      <c r="K346" s="45" t="n">
        <f aca="false">IF(AND(ISNUMBER($G346),$G346&gt;=MA_LONG2),AVERAGE(INDEX($C$5:$C346,343-MA_LONG2):$C346),"")</f>
        <v>1117314.745</v>
      </c>
      <c r="L346" s="46" t="n">
        <f aca="false">IF(AND(ISNUMBER($G346),$G346&gt;=21),STDEV(INDEX($H$286:$H346,62-20):$H346)*SQRT(245),"")</f>
        <v>0.131700117167165</v>
      </c>
      <c r="M346" s="45" t="n">
        <f aca="false">IF(AND(ISNUMBER($G346),$G346&gt;=60),MAX(INDEX($D$146:$D346,202-60):$D346),"")</f>
        <v>1176789</v>
      </c>
      <c r="N346" s="45" t="n">
        <f aca="false">IF(AND(ISNUMBER($G346),$G346&gt;=60),MIN(INDEX($E$146:$E346,202-60):$E346),"")</f>
        <v>1029319</v>
      </c>
      <c r="O346" s="46" t="n">
        <f aca="false">IF(OR(NOT(ISNUMBER($C346)),NOT(ISNUMBER($M346)),$M346=0),"",$C346/$M346-1)</f>
        <v>-0.000156357681793451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1192468</v>
      </c>
      <c r="D347" s="42" t="n">
        <v>1193751</v>
      </c>
      <c r="E347" s="42" t="n">
        <v>1190663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0.013482009680394</v>
      </c>
      <c r="I347" s="45" t="n">
        <f aca="false">IF(AND(ISNUMBER($G347),$G347&gt;=MA_SHORT),AVERAGE(INDEX($C$5:$C347,344-MA_SHORT):$C347),"")</f>
        <v>1105239.1</v>
      </c>
      <c r="J347" s="45" t="n">
        <f aca="false">IF(AND(ISNUMBER($G347),$G347&gt;=MA_MED),AVERAGE(INDEX($C$5:$C347,344-MA_MED):$C347),"")</f>
        <v>1085035.56</v>
      </c>
      <c r="K347" s="45" t="n">
        <f aca="false">IF(AND(ISNUMBER($G347),$G347&gt;=MA_LONG2),AVERAGE(INDEX($C$5:$C347,344-MA_LONG2):$C347),"")</f>
        <v>1117400.435</v>
      </c>
      <c r="L347" s="46" t="n">
        <f aca="false">IF(AND(ISNUMBER($G347),$G347&gt;=21),STDEV(INDEX($H$287:$H347,62-20):$H347)*SQRT(245),"")</f>
        <v>0.132876047002922</v>
      </c>
      <c r="M347" s="45" t="n">
        <f aca="false">IF(AND(ISNUMBER($G347),$G347&gt;=60),MAX(INDEX($D$147:$D347,202-60):$D347),"")</f>
        <v>1193751</v>
      </c>
      <c r="N347" s="45" t="n">
        <f aca="false">IF(AND(ISNUMBER($G347),$G347&gt;=60),MIN(INDEX($E$147:$E347,202-60):$E347),"")</f>
        <v>1029319</v>
      </c>
      <c r="O347" s="46" t="n">
        <f aca="false">IF(OR(NOT(ISNUMBER($C347)),NOT(ISNUMBER($M347)),$M347=0),"",$C347/$M347-1)</f>
        <v>-0.00107476349758029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1203147</v>
      </c>
      <c r="D348" s="42" t="n">
        <v>1203366</v>
      </c>
      <c r="E348" s="42" t="n">
        <v>1197122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0.00895537658033585</v>
      </c>
      <c r="I348" s="45" t="n">
        <f aca="false">IF(AND(ISNUMBER($G348),$G348&gt;=MA_SHORT),AVERAGE(INDEX($C$5:$C348,345-MA_SHORT):$C348),"")</f>
        <v>1112552.75</v>
      </c>
      <c r="J348" s="45" t="n">
        <f aca="false">IF(AND(ISNUMBER($G348),$G348&gt;=MA_MED),AVERAGE(INDEX($C$5:$C348,345-MA_MED):$C348),"")</f>
        <v>1087284.48</v>
      </c>
      <c r="K348" s="45" t="n">
        <f aca="false">IF(AND(ISNUMBER($G348),$G348&gt;=MA_LONG2),AVERAGE(INDEX($C$5:$C348,345-MA_LONG2):$C348),"")</f>
        <v>1117567.825</v>
      </c>
      <c r="L348" s="46" t="n">
        <f aca="false">IF(AND(ISNUMBER($G348),$G348&gt;=21),STDEV(INDEX($H$288:$H348,62-20):$H348)*SQRT(245),"")</f>
        <v>0.129479241418217</v>
      </c>
      <c r="M348" s="45" t="n">
        <f aca="false">IF(AND(ISNUMBER($G348),$G348&gt;=60),MAX(INDEX($D$148:$D348,202-60):$D348),"")</f>
        <v>1203366</v>
      </c>
      <c r="N348" s="45" t="n">
        <f aca="false">IF(AND(ISNUMBER($G348),$G348&gt;=60),MIN(INDEX($E$148:$E348,202-60):$E348),"")</f>
        <v>1029319</v>
      </c>
      <c r="O348" s="46" t="n">
        <f aca="false">IF(OR(NOT(ISNUMBER($C348)),NOT(ISNUMBER($M348)),$M348=0),"",$C348/$M348-1)</f>
        <v>-0.000181989519398074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1220342</v>
      </c>
      <c r="D349" s="42" t="n">
        <v>1221184</v>
      </c>
      <c r="E349" s="42" t="n">
        <v>1218621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0.0142916867182481</v>
      </c>
      <c r="I349" s="45" t="n">
        <f aca="false">IF(AND(ISNUMBER($G349),$G349&gt;=MA_SHORT),AVERAGE(INDEX($C$5:$C349,346-MA_SHORT):$C349),"")</f>
        <v>1120298.6</v>
      </c>
      <c r="J349" s="45" t="n">
        <f aca="false">IF(AND(ISNUMBER($G349),$G349&gt;=MA_MED),AVERAGE(INDEX($C$5:$C349,346-MA_MED):$C349),"")</f>
        <v>1089754.18</v>
      </c>
      <c r="K349" s="45" t="n">
        <f aca="false">IF(AND(ISNUMBER($G349),$G349&gt;=MA_LONG2),AVERAGE(INDEX($C$5:$C349,346-MA_LONG2):$C349),"")</f>
        <v>1117878.135</v>
      </c>
      <c r="L349" s="46" t="n">
        <f aca="false">IF(AND(ISNUMBER($G349),$G349&gt;=21),STDEV(INDEX($H$289:$H349,62-20):$H349)*SQRT(245),"")</f>
        <v>0.132229926990407</v>
      </c>
      <c r="M349" s="45" t="n">
        <f aca="false">IF(AND(ISNUMBER($G349),$G349&gt;=60),MAX(INDEX($D$149:$D349,202-60):$D349),"")</f>
        <v>1221184</v>
      </c>
      <c r="N349" s="45" t="n">
        <f aca="false">IF(AND(ISNUMBER($G349),$G349&gt;=60),MIN(INDEX($E$149:$E349,202-60):$E349),"")</f>
        <v>1029319</v>
      </c>
      <c r="O349" s="46" t="n">
        <f aca="false">IF(OR(NOT(ISNUMBER($C349)),NOT(ISNUMBER($M349)),$M349=0),"",$C349/$M349-1)</f>
        <v>-0.0006894947853886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1220213</v>
      </c>
      <c r="D350" s="42" t="n">
        <v>1225372</v>
      </c>
      <c r="E350" s="42" t="n">
        <v>1219893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-0.0001057080719995</v>
      </c>
      <c r="I350" s="45" t="n">
        <f aca="false">IF(AND(ISNUMBER($G350),$G350&gt;=MA_SHORT),AVERAGE(INDEX($C$5:$C350,347-MA_SHORT):$C350),"")</f>
        <v>1128750.35</v>
      </c>
      <c r="J350" s="45" t="n">
        <f aca="false">IF(AND(ISNUMBER($G350),$G350&gt;=MA_MED),AVERAGE(INDEX($C$5:$C350,347-MA_MED):$C350),"")</f>
        <v>1092252.98</v>
      </c>
      <c r="K350" s="45" t="n">
        <f aca="false">IF(AND(ISNUMBER($G350),$G350&gt;=MA_LONG2),AVERAGE(INDEX($C$5:$C350,347-MA_LONG2):$C350),"")</f>
        <v>1118177.375</v>
      </c>
      <c r="L350" s="46" t="n">
        <f aca="false">IF(AND(ISNUMBER($G350),$G350&gt;=21),STDEV(INDEX($H$290:$H350,62-20):$H350)*SQRT(245),"")</f>
        <v>0.11280012090054</v>
      </c>
      <c r="M350" s="45" t="n">
        <f aca="false">IF(AND(ISNUMBER($G350),$G350&gt;=60),MAX(INDEX($D$150:$D350,202-60):$D350),"")</f>
        <v>1225372</v>
      </c>
      <c r="N350" s="45" t="n">
        <f aca="false">IF(AND(ISNUMBER($G350),$G350&gt;=60),MIN(INDEX($E$150:$E350,202-60):$E350),"")</f>
        <v>1029319</v>
      </c>
      <c r="O350" s="46" t="n">
        <f aca="false">IF(OR(NOT(ISNUMBER($C350)),NOT(ISNUMBER($M350)),$M350=0),"",$C350/$M350-1)</f>
        <v>-0.00421015006055303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1208645</v>
      </c>
      <c r="D351" s="42" t="n">
        <v>1210998</v>
      </c>
      <c r="E351" s="42" t="n">
        <v>1207987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-0.00948031204388089</v>
      </c>
      <c r="I351" s="45" t="n">
        <f aca="false">IF(AND(ISNUMBER($G351),$G351&gt;=MA_SHORT),AVERAGE(INDEX($C$5:$C351,348-MA_SHORT):$C351),"")</f>
        <v>1136570</v>
      </c>
      <c r="J351" s="45" t="n">
        <f aca="false">IF(AND(ISNUMBER($G351),$G351&gt;=MA_MED),AVERAGE(INDEX($C$5:$C351,348-MA_MED):$C351),"")</f>
        <v>1094251.32</v>
      </c>
      <c r="K351" s="45" t="n">
        <f aca="false">IF(AND(ISNUMBER($G351),$G351&gt;=MA_LONG2),AVERAGE(INDEX($C$5:$C351,348-MA_LONG2):$C351),"")</f>
        <v>1118342.43</v>
      </c>
      <c r="L351" s="46" t="n">
        <f aca="false">IF(AND(ISNUMBER($G351),$G351&gt;=21),STDEV(INDEX($H$291:$H351,62-20):$H351)*SQRT(245),"")</f>
        <v>0.125824124110857</v>
      </c>
      <c r="M351" s="45" t="n">
        <f aca="false">IF(AND(ISNUMBER($G351),$G351&gt;=60),MAX(INDEX($D$151:$D351,202-60):$D351),"")</f>
        <v>1225372</v>
      </c>
      <c r="N351" s="45" t="n">
        <f aca="false">IF(AND(ISNUMBER($G351),$G351&gt;=60),MIN(INDEX($E$151:$E351,202-60):$E351),"")</f>
        <v>1029319</v>
      </c>
      <c r="O351" s="46" t="n">
        <f aca="false">IF(OR(NOT(ISNUMBER($C351)),NOT(ISNUMBER($M351)),$M351=0),"",$C351/$M351-1)</f>
        <v>-0.0136505485681083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1211194</v>
      </c>
      <c r="D352" s="42" t="n">
        <v>1212494</v>
      </c>
      <c r="E352" s="42" t="n">
        <v>1205107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0.00210897327172166</v>
      </c>
      <c r="I352" s="45" t="n">
        <f aca="false">IF(AND(ISNUMBER($G352),$G352&gt;=MA_SHORT),AVERAGE(INDEX($C$5:$C352,349-MA_SHORT):$C352),"")</f>
        <v>1144435.7</v>
      </c>
      <c r="J352" s="45" t="n">
        <f aca="false">IF(AND(ISNUMBER($G352),$G352&gt;=MA_MED),AVERAGE(INDEX($C$5:$C352,349-MA_MED):$C352),"")</f>
        <v>1096374.5</v>
      </c>
      <c r="K352" s="45" t="n">
        <f aca="false">IF(AND(ISNUMBER($G352),$G352&gt;=MA_LONG2),AVERAGE(INDEX($C$5:$C352,349-MA_LONG2):$C352),"")</f>
        <v>1118459.17</v>
      </c>
      <c r="L352" s="46" t="n">
        <f aca="false">IF(AND(ISNUMBER($G352),$G352&gt;=21),STDEV(INDEX($H$292:$H352,62-20):$H352)*SQRT(245),"")</f>
        <v>0.125526166901184</v>
      </c>
      <c r="M352" s="45" t="n">
        <f aca="false">IF(AND(ISNUMBER($G352),$G352&gt;=60),MAX(INDEX($D$152:$D352,202-60):$D352),"")</f>
        <v>1225372</v>
      </c>
      <c r="N352" s="45" t="n">
        <f aca="false">IF(AND(ISNUMBER($G352),$G352&gt;=60),MIN(INDEX($E$152:$E352,202-60):$E352),"")</f>
        <v>1029319</v>
      </c>
      <c r="O352" s="46" t="n">
        <f aca="false">IF(OR(NOT(ISNUMBER($C352)),NOT(ISNUMBER($M352)),$M352=0),"",$C352/$M352-1)</f>
        <v>-0.0115703639384611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1198065</v>
      </c>
      <c r="D353" s="42" t="n">
        <v>1198531</v>
      </c>
      <c r="E353" s="42" t="n">
        <v>1193392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-0.0108397168413978</v>
      </c>
      <c r="I353" s="45" t="n">
        <f aca="false">IF(AND(ISNUMBER($G353),$G353&gt;=MA_SHORT),AVERAGE(INDEX($C$5:$C353,350-MA_SHORT):$C353),"")</f>
        <v>1151315.2</v>
      </c>
      <c r="J353" s="45" t="n">
        <f aca="false">IF(AND(ISNUMBER($G353),$G353&gt;=MA_MED),AVERAGE(INDEX($C$5:$C353,350-MA_MED):$C353),"")</f>
        <v>1098339.34</v>
      </c>
      <c r="K353" s="45" t="n">
        <f aca="false">IF(AND(ISNUMBER($G353),$G353&gt;=MA_LONG2),AVERAGE(INDEX($C$5:$C353,350-MA_LONG2):$C353),"")</f>
        <v>1118506.48</v>
      </c>
      <c r="L353" s="46" t="n">
        <f aca="false">IF(AND(ISNUMBER($G353),$G353&gt;=21),STDEV(INDEX($H$293:$H353,62-20):$H353)*SQRT(245),"")</f>
        <v>0.140249469416253</v>
      </c>
      <c r="M353" s="45" t="n">
        <f aca="false">IF(AND(ISNUMBER($G353),$G353&gt;=60),MAX(INDEX($D$153:$D353,202-60):$D353),"")</f>
        <v>1225372</v>
      </c>
      <c r="N353" s="45" t="n">
        <f aca="false">IF(AND(ISNUMBER($G353),$G353&gt;=60),MIN(INDEX($E$153:$E353,202-60):$E353),"")</f>
        <v>1029319</v>
      </c>
      <c r="O353" s="46" t="n">
        <f aca="false">IF(OR(NOT(ISNUMBER($C353)),NOT(ISNUMBER($M353)),$M353=0),"",$C353/$M353-1)</f>
        <v>-0.0222846613110141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1211400</v>
      </c>
      <c r="D354" s="42" t="n">
        <v>1212204</v>
      </c>
      <c r="E354" s="42" t="n">
        <v>1210306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0.0111304478471534</v>
      </c>
      <c r="I354" s="45" t="n">
        <f aca="false">IF(AND(ISNUMBER($G354),$G354&gt;=MA_SHORT),AVERAGE(INDEX($C$5:$C354,351-MA_SHORT):$C354),"")</f>
        <v>1158662</v>
      </c>
      <c r="J354" s="45" t="n">
        <f aca="false">IF(AND(ISNUMBER($G354),$G354&gt;=MA_MED),AVERAGE(INDEX($C$5:$C354,351-MA_MED):$C354),"")</f>
        <v>1100739.54</v>
      </c>
      <c r="K354" s="45" t="n">
        <f aca="false">IF(AND(ISNUMBER($G354),$G354&gt;=MA_LONG2),AVERAGE(INDEX($C$5:$C354,351-MA_LONG2):$C354),"")</f>
        <v>1118629.22</v>
      </c>
      <c r="L354" s="46" t="n">
        <f aca="false">IF(AND(ISNUMBER($G354),$G354&gt;=21),STDEV(INDEX($H$294:$H354,62-20):$H354)*SQRT(245),"")</f>
        <v>0.140996560695893</v>
      </c>
      <c r="M354" s="45" t="n">
        <f aca="false">IF(AND(ISNUMBER($G354),$G354&gt;=60),MAX(INDEX($D$154:$D354,202-60):$D354),"")</f>
        <v>1225372</v>
      </c>
      <c r="N354" s="45" t="n">
        <f aca="false">IF(AND(ISNUMBER($G354),$G354&gt;=60),MIN(INDEX($E$154:$E354,202-60):$E354),"")</f>
        <v>1029319</v>
      </c>
      <c r="O354" s="46" t="n">
        <f aca="false">IF(OR(NOT(ISNUMBER($C354)),NOT(ISNUMBER($M354)),$M354=0),"",$C354/$M354-1)</f>
        <v>-0.0114022517243743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1208664</v>
      </c>
      <c r="D355" s="42" t="n">
        <v>1210687</v>
      </c>
      <c r="E355" s="42" t="n">
        <v>1205071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-0.00225854383358093</v>
      </c>
      <c r="I355" s="45" t="n">
        <f aca="false">IF(AND(ISNUMBER($G355),$G355&gt;=MA_SHORT),AVERAGE(INDEX($C$5:$C355,352-MA_SHORT):$C355),"")</f>
        <v>1165712.65</v>
      </c>
      <c r="J355" s="45" t="n">
        <f aca="false">IF(AND(ISNUMBER($G355),$G355&gt;=MA_MED),AVERAGE(INDEX($C$5:$C355,352-MA_MED):$C355),"")</f>
        <v>1103163.62</v>
      </c>
      <c r="K355" s="45" t="n">
        <f aca="false">IF(AND(ISNUMBER($G355),$G355&gt;=MA_LONG2),AVERAGE(INDEX($C$5:$C355,352-MA_LONG2):$C355),"")</f>
        <v>1118790.595</v>
      </c>
      <c r="L355" s="46" t="n">
        <f aca="false">IF(AND(ISNUMBER($G355),$G355&gt;=21),STDEV(INDEX($H$295:$H355,62-20):$H355)*SQRT(245),"")</f>
        <v>0.143861911880165</v>
      </c>
      <c r="M355" s="45" t="n">
        <f aca="false">IF(AND(ISNUMBER($G355),$G355&gt;=60),MAX(INDEX($D$155:$D355,202-60):$D355),"")</f>
        <v>1225372</v>
      </c>
      <c r="N355" s="45" t="n">
        <f aca="false">IF(AND(ISNUMBER($G355),$G355&gt;=60),MIN(INDEX($E$155:$E355,202-60):$E355),"")</f>
        <v>1029319</v>
      </c>
      <c r="O355" s="46" t="n">
        <f aca="false">IF(OR(NOT(ISNUMBER($C355)),NOT(ISNUMBER($M355)),$M355=0),"",$C355/$M355-1)</f>
        <v>-0.0136350430726343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1206211</v>
      </c>
      <c r="D356" s="42" t="n">
        <v>1208517</v>
      </c>
      <c r="E356" s="42" t="n">
        <v>1205393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-0.00202951357862902</v>
      </c>
      <c r="I356" s="45" t="n">
        <f aca="false">IF(AND(ISNUMBER($G356),$G356&gt;=MA_SHORT),AVERAGE(INDEX($C$5:$C356,353-MA_SHORT):$C356),"")</f>
        <v>1172096.3</v>
      </c>
      <c r="J356" s="45" t="n">
        <f aca="false">IF(AND(ISNUMBER($G356),$G356&gt;=MA_MED),AVERAGE(INDEX($C$5:$C356,353-MA_MED):$C356),"")</f>
        <v>1105528.48</v>
      </c>
      <c r="K356" s="45" t="n">
        <f aca="false">IF(AND(ISNUMBER($G356),$G356&gt;=MA_LONG2),AVERAGE(INDEX($C$5:$C356,353-MA_LONG2):$C356),"")</f>
        <v>1118991.935</v>
      </c>
      <c r="L356" s="46" t="n">
        <f aca="false">IF(AND(ISNUMBER($G356),$G356&gt;=21),STDEV(INDEX($H$296:$H356,62-20):$H356)*SQRT(245),"")</f>
        <v>0.145899524114064</v>
      </c>
      <c r="M356" s="45" t="n">
        <f aca="false">IF(AND(ISNUMBER($G356),$G356&gt;=60),MAX(INDEX($D$156:$D356,202-60):$D356),"")</f>
        <v>1225372</v>
      </c>
      <c r="N356" s="45" t="n">
        <f aca="false">IF(AND(ISNUMBER($G356),$G356&gt;=60),MIN(INDEX($E$156:$E356,202-60):$E356),"")</f>
        <v>1029319</v>
      </c>
      <c r="O356" s="46" t="n">
        <f aca="false">IF(OR(NOT(ISNUMBER($C356)),NOT(ISNUMBER($M356)),$M356=0),"",$C356/$M356-1)</f>
        <v>-0.0156368841462021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1197958</v>
      </c>
      <c r="D357" s="42" t="n">
        <v>1203831</v>
      </c>
      <c r="E357" s="42" t="n">
        <v>1192229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-0.00684208650062057</v>
      </c>
      <c r="I357" s="45" t="n">
        <f aca="false">IF(AND(ISNUMBER($G357),$G357&gt;=MA_SHORT),AVERAGE(INDEX($C$5:$C357,354-MA_SHORT):$C357),"")</f>
        <v>1177399.4</v>
      </c>
      <c r="J357" s="45" t="n">
        <f aca="false">IF(AND(ISNUMBER($G357),$G357&gt;=MA_MED),AVERAGE(INDEX($C$5:$C357,354-MA_MED):$C357),"")</f>
        <v>1107631.92</v>
      </c>
      <c r="K357" s="45" t="n">
        <f aca="false">IF(AND(ISNUMBER($G357),$G357&gt;=MA_LONG2),AVERAGE(INDEX($C$5:$C357,354-MA_LONG2):$C357),"")</f>
        <v>1119190.205</v>
      </c>
      <c r="L357" s="46" t="n">
        <f aca="false">IF(AND(ISNUMBER($G357),$G357&gt;=21),STDEV(INDEX($H$297:$H357,62-20):$H357)*SQRT(245),"")</f>
        <v>0.149919691255102</v>
      </c>
      <c r="M357" s="45" t="n">
        <f aca="false">IF(AND(ISNUMBER($G357),$G357&gt;=60),MAX(INDEX($D$157:$D357,202-60):$D357),"")</f>
        <v>1225372</v>
      </c>
      <c r="N357" s="45" t="n">
        <f aca="false">IF(AND(ISNUMBER($G357),$G357&gt;=60),MIN(INDEX($E$157:$E357,202-60):$E357),"")</f>
        <v>1029319</v>
      </c>
      <c r="O357" s="46" t="n">
        <f aca="false">IF(OR(NOT(ISNUMBER($C357)),NOT(ISNUMBER($M357)),$M357=0),"",$C357/$M357-1)</f>
        <v>-0.0223719817328941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1198280</v>
      </c>
      <c r="D358" s="42" t="n">
        <v>1207501</v>
      </c>
      <c r="E358" s="42" t="n">
        <v>1196644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0.000268790725551416</v>
      </c>
      <c r="I358" s="45" t="n">
        <f aca="false">IF(AND(ISNUMBER($G358),$G358&gt;=MA_SHORT),AVERAGE(INDEX($C$5:$C358,355-MA_SHORT):$C358),"")</f>
        <v>1182325.05</v>
      </c>
      <c r="J358" s="45" t="n">
        <f aca="false">IF(AND(ISNUMBER($G358),$G358&gt;=MA_MED),AVERAGE(INDEX($C$5:$C358,355-MA_MED):$C358),"")</f>
        <v>1109964.28</v>
      </c>
      <c r="K358" s="45" t="n">
        <f aca="false">IF(AND(ISNUMBER($G358),$G358&gt;=MA_LONG2),AVERAGE(INDEX($C$5:$C358,355-MA_LONG2):$C358),"")</f>
        <v>1119367.865</v>
      </c>
      <c r="L358" s="46" t="n">
        <f aca="false">IF(AND(ISNUMBER($G358),$G358&gt;=21),STDEV(INDEX($H$298:$H358,62-20):$H358)*SQRT(245),"")</f>
        <v>0.150382805933202</v>
      </c>
      <c r="M358" s="45" t="n">
        <f aca="false">IF(AND(ISNUMBER($G358),$G358&gt;=60),MAX(INDEX($D$158:$D358,202-60):$D358),"")</f>
        <v>1225372</v>
      </c>
      <c r="N358" s="45" t="n">
        <f aca="false">IF(AND(ISNUMBER($G358),$G358&gt;=60),MIN(INDEX($E$158:$E358,202-60):$E358),"")</f>
        <v>1029319</v>
      </c>
      <c r="O358" s="46" t="n">
        <f aca="false">IF(OR(NOT(ISNUMBER($C358)),NOT(ISNUMBER($M358)),$M358=0),"",$C358/$M358-1)</f>
        <v>-0.0221092043885449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1209807</v>
      </c>
      <c r="D359" s="42" t="n">
        <v>1210132</v>
      </c>
      <c r="E359" s="42" t="n">
        <v>1209698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0.00961962145742223</v>
      </c>
      <c r="I359" s="45" t="n">
        <f aca="false">IF(AND(ISNUMBER($G359),$G359&gt;=MA_SHORT),AVERAGE(INDEX($C$5:$C359,356-MA_SHORT):$C359),"")</f>
        <v>1186864.5</v>
      </c>
      <c r="J359" s="45" t="n">
        <f aca="false">IF(AND(ISNUMBER($G359),$G359&gt;=MA_MED),AVERAGE(INDEX($C$5:$C359,356-MA_MED):$C359),"")</f>
        <v>1112454.4</v>
      </c>
      <c r="K359" s="45" t="n">
        <f aca="false">IF(AND(ISNUMBER($G359),$G359&gt;=MA_LONG2),AVERAGE(INDEX($C$5:$C359,356-MA_LONG2):$C359),"")</f>
        <v>1119550.635</v>
      </c>
      <c r="L359" s="46" t="n">
        <f aca="false">IF(AND(ISNUMBER($G359),$G359&gt;=21),STDEV(INDEX($H$299:$H359,62-20):$H359)*SQRT(245),"")</f>
        <v>0.143875098629474</v>
      </c>
      <c r="M359" s="45" t="n">
        <f aca="false">IF(AND(ISNUMBER($G359),$G359&gt;=60),MAX(INDEX($D$159:$D359,202-60):$D359),"")</f>
        <v>1225372</v>
      </c>
      <c r="N359" s="45" t="n">
        <f aca="false">IF(AND(ISNUMBER($G359),$G359&gt;=60),MIN(INDEX($E$159:$E359,202-60):$E359),"")</f>
        <v>1029319</v>
      </c>
      <c r="O359" s="46" t="n">
        <f aca="false">IF(OR(NOT(ISNUMBER($C359)),NOT(ISNUMBER($M359)),$M359=0),"",$C359/$M359-1)</f>
        <v>-0.0127022651080652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1202624</v>
      </c>
      <c r="D360" s="42" t="n">
        <v>1202740</v>
      </c>
      <c r="E360" s="42" t="n">
        <v>1201340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-0.00593731066194858</v>
      </c>
      <c r="I360" s="45" t="n">
        <f aca="false">IF(AND(ISNUMBER($G360),$G360&gt;=MA_SHORT),AVERAGE(INDEX($C$5:$C360,357-MA_SHORT):$C360),"")</f>
        <v>1191376.15</v>
      </c>
      <c r="J360" s="45" t="n">
        <f aca="false">IF(AND(ISNUMBER($G360),$G360&gt;=MA_MED),AVERAGE(INDEX($C$5:$C360,357-MA_MED):$C360),"")</f>
        <v>1114846.88</v>
      </c>
      <c r="K360" s="45" t="n">
        <f aca="false">IF(AND(ISNUMBER($G360),$G360&gt;=MA_LONG2),AVERAGE(INDEX($C$5:$C360,357-MA_LONG2):$C360),"")</f>
        <v>1119634.135</v>
      </c>
      <c r="L360" s="46" t="n">
        <f aca="false">IF(AND(ISNUMBER($G360),$G360&gt;=21),STDEV(INDEX($H$300:$H360,62-20):$H360)*SQRT(245),"")</f>
        <v>0.14388851305724</v>
      </c>
      <c r="M360" s="45" t="n">
        <f aca="false">IF(AND(ISNUMBER($G360),$G360&gt;=60),MAX(INDEX($D$160:$D360,202-60):$D360),"")</f>
        <v>1225372</v>
      </c>
      <c r="N360" s="45" t="n">
        <f aca="false">IF(AND(ISNUMBER($G360),$G360&gt;=60),MIN(INDEX($E$160:$E360,202-60):$E360),"")</f>
        <v>1029319</v>
      </c>
      <c r="O360" s="46" t="n">
        <f aca="false">IF(OR(NOT(ISNUMBER($C360)),NOT(ISNUMBER($M360)),$M360=0),"",$C360/$M360-1)</f>
        <v>-0.0185641584759567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1206890</v>
      </c>
      <c r="D361" s="42" t="n">
        <v>1207839</v>
      </c>
      <c r="E361" s="42" t="n">
        <v>1201869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0.00354724336118362</v>
      </c>
      <c r="I361" s="45" t="n">
        <f aca="false">IF(AND(ISNUMBER($G361),$G361&gt;=MA_SHORT),AVERAGE(INDEX($C$5:$C361,358-MA_SHORT):$C361),"")</f>
        <v>1195121.9</v>
      </c>
      <c r="J361" s="45" t="n">
        <f aca="false">IF(AND(ISNUMBER($G361),$G361&gt;=MA_MED),AVERAGE(INDEX($C$5:$C361,358-MA_MED):$C361),"")</f>
        <v>1117537.48</v>
      </c>
      <c r="K361" s="45" t="n">
        <f aca="false">IF(AND(ISNUMBER($G361),$G361&gt;=MA_LONG2),AVERAGE(INDEX($C$5:$C361,358-MA_LONG2):$C361),"")</f>
        <v>1119795.51</v>
      </c>
      <c r="L361" s="46" t="n">
        <f aca="false">IF(AND(ISNUMBER($G361),$G361&gt;=21),STDEV(INDEX($H$301:$H361,62-20):$H361)*SQRT(245),"")</f>
        <v>0.134807732660912</v>
      </c>
      <c r="M361" s="45" t="n">
        <f aca="false">IF(AND(ISNUMBER($G361),$G361&gt;=60),MAX(INDEX($D$161:$D361,202-60):$D361),"")</f>
        <v>1225372</v>
      </c>
      <c r="N361" s="45" t="n">
        <f aca="false">IF(AND(ISNUMBER($G361),$G361&gt;=60),MIN(INDEX($E$161:$E361,202-60):$E361),"")</f>
        <v>1029319</v>
      </c>
      <c r="O361" s="46" t="n">
        <f aca="false">IF(OR(NOT(ISNUMBER($C361)),NOT(ISNUMBER($M361)),$M361=0),"",$C361/$M361-1)</f>
        <v>-0.0150827667026829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1203355</v>
      </c>
      <c r="D362" s="42" t="n">
        <v>1212917</v>
      </c>
      <c r="E362" s="42" t="n">
        <v>1200505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-0.00292901590037198</v>
      </c>
      <c r="I362" s="45" t="n">
        <f aca="false">IF(AND(ISNUMBER($G362),$G362&gt;=MA_SHORT),AVERAGE(INDEX($C$5:$C362,359-MA_SHORT):$C362),"")</f>
        <v>1198407.95</v>
      </c>
      <c r="J362" s="45" t="n">
        <f aca="false">IF(AND(ISNUMBER($G362),$G362&gt;=MA_MED),AVERAGE(INDEX($C$5:$C362,359-MA_MED):$C362),"")</f>
        <v>1120283.6</v>
      </c>
      <c r="K362" s="45" t="n">
        <f aca="false">IF(AND(ISNUMBER($G362),$G362&gt;=MA_LONG2),AVERAGE(INDEX($C$5:$C362,359-MA_LONG2):$C362),"")</f>
        <v>1119976.56</v>
      </c>
      <c r="L362" s="46" t="n">
        <f aca="false">IF(AND(ISNUMBER($G362),$G362&gt;=21),STDEV(INDEX($H$302:$H362,62-20):$H362)*SQRT(245),"")</f>
        <v>0.136324283148475</v>
      </c>
      <c r="M362" s="45" t="n">
        <f aca="false">IF(AND(ISNUMBER($G362),$G362&gt;=60),MAX(INDEX($D$162:$D362,202-60):$D362),"")</f>
        <v>1225372</v>
      </c>
      <c r="N362" s="45" t="n">
        <f aca="false">IF(AND(ISNUMBER($G362),$G362&gt;=60),MIN(INDEX($E$162:$E362,202-60):$E362),"")</f>
        <v>1029319</v>
      </c>
      <c r="O362" s="46" t="n">
        <f aca="false">IF(OR(NOT(ISNUMBER($C362)),NOT(ISNUMBER($M362)),$M362=0),"",$C362/$M362-1)</f>
        <v>-0.0179676049395612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1204134</v>
      </c>
      <c r="D363" s="42" t="n">
        <v>1204507</v>
      </c>
      <c r="E363" s="42" t="n">
        <v>1202331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0.00064735676504446</v>
      </c>
      <c r="I363" s="45" t="n">
        <f aca="false">IF(AND(ISNUMBER($G363),$G363&gt;=MA_SHORT),AVERAGE(INDEX($C$5:$C363,360-MA_SHORT):$C363),"")</f>
        <v>1201286.75</v>
      </c>
      <c r="J363" s="45" t="n">
        <f aca="false">IF(AND(ISNUMBER($G363),$G363&gt;=MA_MED),AVERAGE(INDEX($C$5:$C363,360-MA_MED):$C363),"")</f>
        <v>1123097.72</v>
      </c>
      <c r="K363" s="45" t="n">
        <f aca="false">IF(AND(ISNUMBER($G363),$G363&gt;=MA_LONG2),AVERAGE(INDEX($C$5:$C363,360-MA_LONG2):$C363),"")</f>
        <v>1120101.755</v>
      </c>
      <c r="L363" s="46" t="n">
        <f aca="false">IF(AND(ISNUMBER($G363),$G363&gt;=21),STDEV(INDEX($H$303:$H363,62-20):$H363)*SQRT(245),"")</f>
        <v>0.135245889342677</v>
      </c>
      <c r="M363" s="45" t="n">
        <f aca="false">IF(AND(ISNUMBER($G363),$G363&gt;=60),MAX(INDEX($D$163:$D363,202-60):$D363),"")</f>
        <v>1225372</v>
      </c>
      <c r="N363" s="45" t="n">
        <f aca="false">IF(AND(ISNUMBER($G363),$G363&gt;=60),MIN(INDEX($E$163:$E363,202-60):$E363),"")</f>
        <v>1029319</v>
      </c>
      <c r="O363" s="46" t="n">
        <f aca="false">IF(OR(NOT(ISNUMBER($C363)),NOT(ISNUMBER($M363)),$M363=0),"",$C363/$M363-1)</f>
        <v>-0.0173318796251261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1187710</v>
      </c>
      <c r="D364" s="42" t="n">
        <v>1195972</v>
      </c>
      <c r="E364" s="42" t="n">
        <v>1185741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-0.0136396779760393</v>
      </c>
      <c r="I364" s="45" t="n">
        <f aca="false">IF(AND(ISNUMBER($G364),$G364&gt;=MA_SHORT),AVERAGE(INDEX($C$5:$C364,361-MA_SHORT):$C364),"")</f>
        <v>1202030.85</v>
      </c>
      <c r="J364" s="45" t="n">
        <f aca="false">IF(AND(ISNUMBER($G364),$G364&gt;=MA_MED),AVERAGE(INDEX($C$5:$C364,361-MA_MED):$C364),"")</f>
        <v>1125498.44</v>
      </c>
      <c r="K364" s="45" t="n">
        <f aca="false">IF(AND(ISNUMBER($G364),$G364&gt;=MA_LONG2),AVERAGE(INDEX($C$5:$C364,361-MA_LONG2):$C364),"")</f>
        <v>1120177.08</v>
      </c>
      <c r="L364" s="46" t="n">
        <f aca="false">IF(AND(ISNUMBER($G364),$G364&gt;=21),STDEV(INDEX($H$304:$H364,62-20):$H364)*SQRT(245),"")</f>
        <v>0.124117474283358</v>
      </c>
      <c r="M364" s="45" t="n">
        <f aca="false">IF(AND(ISNUMBER($G364),$G364&gt;=60),MAX(INDEX($D$164:$D364,202-60):$D364),"")</f>
        <v>1225372</v>
      </c>
      <c r="N364" s="45" t="n">
        <f aca="false">IF(AND(ISNUMBER($G364),$G364&gt;=60),MIN(INDEX($E$164:$E364,202-60):$E364),"")</f>
        <v>1029319</v>
      </c>
      <c r="O364" s="46" t="n">
        <f aca="false">IF(OR(NOT(ISNUMBER($C364)),NOT(ISNUMBER($M364)),$M364=0),"",$C364/$M364-1)</f>
        <v>-0.0307351563443591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1176812</v>
      </c>
      <c r="D365" s="42" t="n">
        <v>1176941</v>
      </c>
      <c r="E365" s="42" t="n">
        <v>1175547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-0.00917564051830833</v>
      </c>
      <c r="I365" s="45" t="n">
        <f aca="false">IF(AND(ISNUMBER($G365),$G365&gt;=MA_SHORT),AVERAGE(INDEX($C$5:$C365,362-MA_SHORT):$C365),"")</f>
        <v>1202226.2</v>
      </c>
      <c r="J365" s="45" t="n">
        <f aca="false">IF(AND(ISNUMBER($G365),$G365&gt;=MA_MED),AVERAGE(INDEX($C$5:$C365,362-MA_MED):$C365),"")</f>
        <v>1127686.88</v>
      </c>
      <c r="K365" s="45" t="n">
        <f aca="false">IF(AND(ISNUMBER($G365),$G365&gt;=MA_LONG2),AVERAGE(INDEX($C$5:$C365,362-MA_LONG2):$C365),"")</f>
        <v>1120134.29</v>
      </c>
      <c r="L365" s="46" t="n">
        <f aca="false">IF(AND(ISNUMBER($G365),$G365&gt;=21),STDEV(INDEX($H$305:$H365,62-20):$H365)*SQRT(245),"")</f>
        <v>0.128814139972368</v>
      </c>
      <c r="M365" s="45" t="n">
        <f aca="false">IF(AND(ISNUMBER($G365),$G365&gt;=60),MAX(INDEX($D$165:$D365,202-60):$D365),"")</f>
        <v>1225372</v>
      </c>
      <c r="N365" s="45" t="n">
        <f aca="false">IF(AND(ISNUMBER($G365),$G365&gt;=60),MIN(INDEX($E$165:$E365,202-60):$E365),"")</f>
        <v>1029319</v>
      </c>
      <c r="O365" s="46" t="n">
        <f aca="false">IF(OR(NOT(ISNUMBER($C365)),NOT(ISNUMBER($M365)),$M365=0),"",$C365/$M365-1)</f>
        <v>-0.0396287821167776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1183977</v>
      </c>
      <c r="D366" s="42" t="n">
        <v>1190308</v>
      </c>
      <c r="E366" s="42" t="n">
        <v>1173821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0.0060884831221979</v>
      </c>
      <c r="I366" s="45" t="n">
        <f aca="false">IF(AND(ISNUMBER($G366),$G366&gt;=MA_SHORT),AVERAGE(INDEX($C$5:$C366,363-MA_SHORT):$C366),"")</f>
        <v>1202594.8</v>
      </c>
      <c r="J366" s="45" t="n">
        <f aca="false">IF(AND(ISNUMBER($G366),$G366&gt;=MA_MED),AVERAGE(INDEX($C$5:$C366,363-MA_MED):$C366),"")</f>
        <v>1130350.62</v>
      </c>
      <c r="K366" s="45" t="n">
        <f aca="false">IF(AND(ISNUMBER($G366),$G366&gt;=MA_LONG2),AVERAGE(INDEX($C$5:$C366,363-MA_LONG2):$C366),"")</f>
        <v>1120025.885</v>
      </c>
      <c r="L366" s="46" t="n">
        <f aca="false">IF(AND(ISNUMBER($G366),$G366&gt;=21),STDEV(INDEX($H$306:$H366,62-20):$H366)*SQRT(245),"")</f>
        <v>0.130085369161233</v>
      </c>
      <c r="M366" s="45" t="n">
        <f aca="false">IF(AND(ISNUMBER($G366),$G366&gt;=60),MAX(INDEX($D$166:$D366,202-60):$D366),"")</f>
        <v>1225372</v>
      </c>
      <c r="N366" s="45" t="n">
        <f aca="false">IF(AND(ISNUMBER($G366),$G366&gt;=60),MIN(INDEX($E$166:$E366,202-60):$E366),"")</f>
        <v>1029319</v>
      </c>
      <c r="O366" s="46" t="n">
        <f aca="false">IF(OR(NOT(ISNUMBER($C366)),NOT(ISNUMBER($M366)),$M366=0),"",$C366/$M366-1)</f>
        <v>-0.033781578165651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1199102</v>
      </c>
      <c r="D367" s="42" t="n">
        <v>1199396</v>
      </c>
      <c r="E367" s="42" t="n">
        <v>1195409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0.0127747414012265</v>
      </c>
      <c r="I367" s="45" t="n">
        <f aca="false">IF(AND(ISNUMBER($G367),$G367&gt;=MA_SHORT),AVERAGE(INDEX($C$5:$C367,364-MA_SHORT):$C367),"")</f>
        <v>1202926.5</v>
      </c>
      <c r="J367" s="45" t="n">
        <f aca="false">IF(AND(ISNUMBER($G367),$G367&gt;=MA_MED),AVERAGE(INDEX($C$5:$C367,364-MA_MED):$C367),"")</f>
        <v>1133495.76</v>
      </c>
      <c r="K367" s="45" t="n">
        <f aca="false">IF(AND(ISNUMBER($G367),$G367&gt;=MA_LONG2),AVERAGE(INDEX($C$5:$C367,364-MA_LONG2):$C367),"")</f>
        <v>1120031.345</v>
      </c>
      <c r="L367" s="46" t="n">
        <f aca="false">IF(AND(ISNUMBER($G367),$G367&gt;=21),STDEV(INDEX($H$307:$H367,62-20):$H367)*SQRT(245),"")</f>
        <v>0.129184802708874</v>
      </c>
      <c r="M367" s="45" t="n">
        <f aca="false">IF(AND(ISNUMBER($G367),$G367&gt;=60),MAX(INDEX($D$167:$D367,202-60):$D367),"")</f>
        <v>1225372</v>
      </c>
      <c r="N367" s="45" t="n">
        <f aca="false">IF(AND(ISNUMBER($G367),$G367&gt;=60),MIN(INDEX($E$167:$E367,202-60):$E367),"")</f>
        <v>1029319</v>
      </c>
      <c r="O367" s="46" t="n">
        <f aca="false">IF(OR(NOT(ISNUMBER($C367)),NOT(ISNUMBER($M367)),$M367=0),"",$C367/$M367-1)</f>
        <v>-0.0214383876896159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1205221</v>
      </c>
      <c r="D368" s="42" t="n">
        <v>1207720</v>
      </c>
      <c r="E368" s="42" t="n">
        <v>1200926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0.00510298540074161</v>
      </c>
      <c r="I368" s="45" t="n">
        <f aca="false">IF(AND(ISNUMBER($G368),$G368&gt;=MA_SHORT),AVERAGE(INDEX($C$5:$C368,365-MA_SHORT):$C368),"")</f>
        <v>1203030.2</v>
      </c>
      <c r="J368" s="45" t="n">
        <f aca="false">IF(AND(ISNUMBER($G368),$G368&gt;=MA_MED),AVERAGE(INDEX($C$5:$C368,365-MA_MED):$C368),"")</f>
        <v>1136752.58</v>
      </c>
      <c r="K368" s="45" t="n">
        <f aca="false">IF(AND(ISNUMBER($G368),$G368&gt;=MA_LONG2),AVERAGE(INDEX($C$5:$C368,365-MA_LONG2):$C368),"")</f>
        <v>1120063.29</v>
      </c>
      <c r="L368" s="46" t="n">
        <f aca="false">IF(AND(ISNUMBER($G368),$G368&gt;=21),STDEV(INDEX($H$308:$H368,62-20):$H368)*SQRT(245),"")</f>
        <v>0.12653680333921</v>
      </c>
      <c r="M368" s="45" t="n">
        <f aca="false">IF(AND(ISNUMBER($G368),$G368&gt;=60),MAX(INDEX($D$168:$D368,202-60):$D368),"")</f>
        <v>1225372</v>
      </c>
      <c r="N368" s="45" t="n">
        <f aca="false">IF(AND(ISNUMBER($G368),$G368&gt;=60),MIN(INDEX($E$168:$E368,202-60):$E368),"")</f>
        <v>1029319</v>
      </c>
      <c r="O368" s="46" t="n">
        <f aca="false">IF(OR(NOT(ISNUMBER($C368)),NOT(ISNUMBER($M368)),$M368=0),"",$C368/$M368-1)</f>
        <v>-0.0164448020682699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1208065</v>
      </c>
      <c r="D369" s="42" t="n">
        <v>1211917</v>
      </c>
      <c r="E369" s="42" t="n">
        <v>1202762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0.00235973319416116</v>
      </c>
      <c r="I369" s="45" t="n">
        <f aca="false">IF(AND(ISNUMBER($G369),$G369&gt;=MA_SHORT),AVERAGE(INDEX($C$5:$C369,366-MA_SHORT):$C369),"")</f>
        <v>1202416.35</v>
      </c>
      <c r="J369" s="45" t="n">
        <f aca="false">IF(AND(ISNUMBER($G369),$G369&gt;=MA_MED),AVERAGE(INDEX($C$5:$C369,366-MA_MED):$C369),"")</f>
        <v>1139734.38</v>
      </c>
      <c r="K369" s="45" t="n">
        <f aca="false">IF(AND(ISNUMBER($G369),$G369&gt;=MA_LONG2),AVERAGE(INDEX($C$5:$C369,366-MA_LONG2):$C369),"")</f>
        <v>1120116.605</v>
      </c>
      <c r="L369" s="46" t="n">
        <f aca="false">IF(AND(ISNUMBER($G369),$G369&gt;=21),STDEV(INDEX($H$309:$H369,62-20):$H369)*SQRT(245),"")</f>
        <v>0.115731755339315</v>
      </c>
      <c r="M369" s="45" t="n">
        <f aca="false">IF(AND(ISNUMBER($G369),$G369&gt;=60),MAX(INDEX($D$169:$D369,202-60):$D369),"")</f>
        <v>1225372</v>
      </c>
      <c r="N369" s="45" t="n">
        <f aca="false">IF(AND(ISNUMBER($G369),$G369&gt;=60),MIN(INDEX($E$169:$E369,202-60):$E369),"")</f>
        <v>1029319</v>
      </c>
      <c r="O369" s="46" t="n">
        <f aca="false">IF(OR(NOT(ISNUMBER($C369)),NOT(ISNUMBER($M369)),$M369=0),"",$C369/$M369-1)</f>
        <v>-0.0141238742194207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1221218</v>
      </c>
      <c r="D370" s="42" t="n">
        <v>1222794</v>
      </c>
      <c r="E370" s="42" t="n">
        <v>1212470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0.0108876591905236</v>
      </c>
      <c r="I370" s="45" t="n">
        <f aca="false">IF(AND(ISNUMBER($G370),$G370&gt;=MA_SHORT),AVERAGE(INDEX($C$5:$C370,367-MA_SHORT):$C370),"")</f>
        <v>1202466.6</v>
      </c>
      <c r="J370" s="45" t="n">
        <f aca="false">IF(AND(ISNUMBER($G370),$G370&gt;=MA_MED),AVERAGE(INDEX($C$5:$C370,367-MA_MED):$C370),"")</f>
        <v>1143146.4</v>
      </c>
      <c r="K370" s="45" t="n">
        <f aca="false">IF(AND(ISNUMBER($G370),$G370&gt;=MA_LONG2),AVERAGE(INDEX($C$5:$C370,367-MA_LONG2):$C370),"")</f>
        <v>1120150.245</v>
      </c>
      <c r="L370" s="46" t="n">
        <f aca="false">IF(AND(ISNUMBER($G370),$G370&gt;=21),STDEV(INDEX($H$310:$H370,62-20):$H370)*SQRT(245),"")</f>
        <v>0.122393893152732</v>
      </c>
      <c r="M370" s="45" t="n">
        <f aca="false">IF(AND(ISNUMBER($G370),$G370&gt;=60),MAX(INDEX($D$170:$D370,202-60):$D370),"")</f>
        <v>1225372</v>
      </c>
      <c r="N370" s="45" t="n">
        <f aca="false">IF(AND(ISNUMBER($G370),$G370&gt;=60),MIN(INDEX($E$170:$E370,202-60):$E370),"")</f>
        <v>1029319</v>
      </c>
      <c r="O370" s="46" t="n">
        <f aca="false">IF(OR(NOT(ISNUMBER($C370)),NOT(ISNUMBER($M370)),$M370=0),"",$C370/$M370-1)</f>
        <v>-0.00338999095784787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1227035</v>
      </c>
      <c r="D371" s="42" t="n">
        <v>1228102</v>
      </c>
      <c r="E371" s="42" t="n">
        <v>1223965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0.00476327731821846</v>
      </c>
      <c r="I371" s="45" t="n">
        <f aca="false">IF(AND(ISNUMBER($G371),$G371&gt;=MA_SHORT),AVERAGE(INDEX($C$5:$C371,368-MA_SHORT):$C371),"")</f>
        <v>1203386.1</v>
      </c>
      <c r="J371" s="45" t="n">
        <f aca="false">IF(AND(ISNUMBER($G371),$G371&gt;=MA_MED),AVERAGE(INDEX($C$5:$C371,368-MA_MED):$C371),"")</f>
        <v>1146787.4</v>
      </c>
      <c r="K371" s="45" t="n">
        <f aca="false">IF(AND(ISNUMBER($G371),$G371&gt;=MA_LONG2),AVERAGE(INDEX($C$5:$C371,368-MA_LONG2):$C371),"")</f>
        <v>1120203.21</v>
      </c>
      <c r="L371" s="46" t="n">
        <f aca="false">IF(AND(ISNUMBER($G371),$G371&gt;=21),STDEV(INDEX($H$311:$H371,62-20):$H371)*SQRT(245),"")</f>
        <v>0.118141038064401</v>
      </c>
      <c r="M371" s="45" t="n">
        <f aca="false">IF(AND(ISNUMBER($G371),$G371&gt;=60),MAX(INDEX($D$171:$D371,202-60):$D371),"")</f>
        <v>1228102</v>
      </c>
      <c r="N371" s="45" t="n">
        <f aca="false">IF(AND(ISNUMBER($G371),$G371&gt;=60),MIN(INDEX($E$171:$E371,202-60):$E371),"")</f>
        <v>1029319</v>
      </c>
      <c r="O371" s="46" t="n">
        <f aca="false">IF(OR(NOT(ISNUMBER($C371)),NOT(ISNUMBER($M371)),$M371=0),"",$C371/$M371-1)</f>
        <v>-0.000868820342284304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1215582</v>
      </c>
      <c r="D372" s="42" t="n">
        <v>1224314</v>
      </c>
      <c r="E372" s="42" t="n">
        <v>1214698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-0.00933388208160324</v>
      </c>
      <c r="I372" s="45" t="n">
        <f aca="false">IF(AND(ISNUMBER($G372),$G372&gt;=MA_SHORT),AVERAGE(INDEX($C$5:$C372,369-MA_SHORT):$C372),"")</f>
        <v>1203605.5</v>
      </c>
      <c r="J372" s="45" t="n">
        <f aca="false">IF(AND(ISNUMBER($G372),$G372&gt;=MA_MED),AVERAGE(INDEX($C$5:$C372,369-MA_MED):$C372),"")</f>
        <v>1150442</v>
      </c>
      <c r="K372" s="45" t="n">
        <f aca="false">IF(AND(ISNUMBER($G372),$G372&gt;=MA_LONG2),AVERAGE(INDEX($C$5:$C372,369-MA_LONG2):$C372),"")</f>
        <v>1120241.095</v>
      </c>
      <c r="L372" s="46" t="n">
        <f aca="false">IF(AND(ISNUMBER($G372),$G372&gt;=21),STDEV(INDEX($H$312:$H372,62-20):$H372)*SQRT(245),"")</f>
        <v>0.123165844842841</v>
      </c>
      <c r="M372" s="45" t="n">
        <f aca="false">IF(AND(ISNUMBER($G372),$G372&gt;=60),MAX(INDEX($D$172:$D372,202-60):$D372),"")</f>
        <v>1228102</v>
      </c>
      <c r="N372" s="45" t="n">
        <f aca="false">IF(AND(ISNUMBER($G372),$G372&gt;=60),MIN(INDEX($E$172:$E372,202-60):$E372),"")</f>
        <v>1029319</v>
      </c>
      <c r="O372" s="46" t="n">
        <f aca="false">IF(OR(NOT(ISNUMBER($C372)),NOT(ISNUMBER($M372)),$M372=0),"",$C372/$M372-1)</f>
        <v>-0.0101945929572626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1233106</v>
      </c>
      <c r="D373" s="42" t="n">
        <v>1236899</v>
      </c>
      <c r="E373" s="42" t="n">
        <v>1231271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0.0144161397585683</v>
      </c>
      <c r="I373" s="45" t="n">
        <f aca="false">IF(AND(ISNUMBER($G373),$G373&gt;=MA_SHORT),AVERAGE(INDEX($C$5:$C373,370-MA_SHORT):$C373),"")</f>
        <v>1205357.55</v>
      </c>
      <c r="J373" s="45" t="n">
        <f aca="false">IF(AND(ISNUMBER($G373),$G373&gt;=MA_MED),AVERAGE(INDEX($C$5:$C373,370-MA_MED):$C373),"")</f>
        <v>1154194.1</v>
      </c>
      <c r="K373" s="45" t="n">
        <f aca="false">IF(AND(ISNUMBER($G373),$G373&gt;=MA_LONG2),AVERAGE(INDEX($C$5:$C373,370-MA_LONG2):$C373),"")</f>
        <v>1120382.29</v>
      </c>
      <c r="L373" s="46" t="n">
        <f aca="false">IF(AND(ISNUMBER($G373),$G373&gt;=21),STDEV(INDEX($H$313:$H373,62-20):$H373)*SQRT(245),"")</f>
        <v>0.125643774541817</v>
      </c>
      <c r="M373" s="45" t="n">
        <f aca="false">IF(AND(ISNUMBER($G373),$G373&gt;=60),MAX(INDEX($D$173:$D373,202-60):$D373),"")</f>
        <v>1236899</v>
      </c>
      <c r="N373" s="45" t="n">
        <f aca="false">IF(AND(ISNUMBER($G373),$G373&gt;=60),MIN(INDEX($E$173:$E373,202-60):$E373),"")</f>
        <v>1029319</v>
      </c>
      <c r="O373" s="46" t="n">
        <f aca="false">IF(OR(NOT(ISNUMBER($C373)),NOT(ISNUMBER($M373)),$M373=0),"",$C373/$M373-1)</f>
        <v>-0.00306653979023352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1232151</v>
      </c>
      <c r="D374" s="42" t="n">
        <v>1234145</v>
      </c>
      <c r="E374" s="42" t="n">
        <v>1232033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-0.000774467077445107</v>
      </c>
      <c r="I374" s="45" t="n">
        <f aca="false">IF(AND(ISNUMBER($G374),$G374&gt;=MA_SHORT),AVERAGE(INDEX($C$5:$C374,371-MA_SHORT):$C374),"")</f>
        <v>1206395.1</v>
      </c>
      <c r="J374" s="45" t="n">
        <f aca="false">IF(AND(ISNUMBER($G374),$G374&gt;=MA_MED),AVERAGE(INDEX($C$5:$C374,371-MA_MED):$C374),"")</f>
        <v>1157799</v>
      </c>
      <c r="K374" s="45" t="n">
        <f aca="false">IF(AND(ISNUMBER($G374),$G374&gt;=MA_LONG2),AVERAGE(INDEX($C$5:$C374,371-MA_LONG2):$C374),"")</f>
        <v>1120540.155</v>
      </c>
      <c r="L374" s="46" t="n">
        <f aca="false">IF(AND(ISNUMBER($G374),$G374&gt;=21),STDEV(INDEX($H$314:$H374,62-20):$H374)*SQRT(245),"")</f>
        <v>0.120654391570801</v>
      </c>
      <c r="M374" s="45" t="n">
        <f aca="false">IF(AND(ISNUMBER($G374),$G374&gt;=60),MAX(INDEX($D$174:$D374,202-60):$D374),"")</f>
        <v>1236899</v>
      </c>
      <c r="N374" s="45" t="n">
        <f aca="false">IF(AND(ISNUMBER($G374),$G374&gt;=60),MIN(INDEX($E$174:$E374,202-60):$E374),"")</f>
        <v>1029319</v>
      </c>
      <c r="O374" s="46" t="n">
        <f aca="false">IF(OR(NOT(ISNUMBER($C374)),NOT(ISNUMBER($M374)),$M374=0),"",$C374/$M374-1)</f>
        <v>-0.00383863193356937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1239503</v>
      </c>
      <c r="D375" s="42" t="n">
        <v>1240926</v>
      </c>
      <c r="E375" s="42" t="n">
        <v>1239045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0.00596680114693737</v>
      </c>
      <c r="I375" s="45" t="n">
        <f aca="false">IF(AND(ISNUMBER($G375),$G375&gt;=MA_SHORT),AVERAGE(INDEX($C$5:$C375,372-MA_SHORT):$C375),"")</f>
        <v>1207937.05</v>
      </c>
      <c r="J375" s="45" t="n">
        <f aca="false">IF(AND(ISNUMBER($G375),$G375&gt;=MA_MED),AVERAGE(INDEX($C$5:$C375,372-MA_MED):$C375),"")</f>
        <v>1161295.94</v>
      </c>
      <c r="K375" s="45" t="n">
        <f aca="false">IF(AND(ISNUMBER($G375),$G375&gt;=MA_LONG2),AVERAGE(INDEX($C$5:$C375,372-MA_LONG2):$C375),"")</f>
        <v>1120815.41</v>
      </c>
      <c r="L375" s="46" t="n">
        <f aca="false">IF(AND(ISNUMBER($G375),$G375&gt;=21),STDEV(INDEX($H$315:$H375,62-20):$H375)*SQRT(245),"")</f>
        <v>0.121329999605627</v>
      </c>
      <c r="M375" s="45" t="n">
        <f aca="false">IF(AND(ISNUMBER($G375),$G375&gt;=60),MAX(INDEX($D$175:$D375,202-60):$D375),"")</f>
        <v>1240926</v>
      </c>
      <c r="N375" s="45" t="n">
        <f aca="false">IF(AND(ISNUMBER($G375),$G375&gt;=60),MIN(INDEX($E$175:$E375,202-60):$E375),"")</f>
        <v>1029319</v>
      </c>
      <c r="O375" s="46" t="n">
        <f aca="false">IF(OR(NOT(ISNUMBER($C375)),NOT(ISNUMBER($M375)),$M375=0),"",$C375/$M375-1)</f>
        <v>-0.00114672430104612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1238418</v>
      </c>
      <c r="D376" s="42" t="n">
        <v>1240896</v>
      </c>
      <c r="E376" s="42" t="n">
        <v>1236561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-0.000875350846266554</v>
      </c>
      <c r="I376" s="45" t="n">
        <f aca="false">IF(AND(ISNUMBER($G376),$G376&gt;=MA_SHORT),AVERAGE(INDEX($C$5:$C376,373-MA_SHORT):$C376),"")</f>
        <v>1209547.4</v>
      </c>
      <c r="J376" s="45" t="n">
        <f aca="false">IF(AND(ISNUMBER($G376),$G376&gt;=MA_MED),AVERAGE(INDEX($C$5:$C376,373-MA_MED):$C376),"")</f>
        <v>1164862.56</v>
      </c>
      <c r="K376" s="45" t="n">
        <f aca="false">IF(AND(ISNUMBER($G376),$G376&gt;=MA_LONG2),AVERAGE(INDEX($C$5:$C376,373-MA_LONG2):$C376),"")</f>
        <v>1121080.705</v>
      </c>
      <c r="L376" s="46" t="n">
        <f aca="false">IF(AND(ISNUMBER($G376),$G376&gt;=21),STDEV(INDEX($H$316:$H376,62-20):$H376)*SQRT(245),"")</f>
        <v>0.12098970492949</v>
      </c>
      <c r="M376" s="45" t="n">
        <f aca="false">IF(AND(ISNUMBER($G376),$G376&gt;=60),MAX(INDEX($D$176:$D376,202-60):$D376),"")</f>
        <v>1240926</v>
      </c>
      <c r="N376" s="45" t="n">
        <f aca="false">IF(AND(ISNUMBER($G376),$G376&gt;=60),MIN(INDEX($E$176:$E376,202-60):$E376),"")</f>
        <v>1029319</v>
      </c>
      <c r="O376" s="46" t="n">
        <f aca="false">IF(OR(NOT(ISNUMBER($C376)),NOT(ISNUMBER($M376)),$M376=0),"",$C376/$M376-1)</f>
        <v>-0.00202107136122542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1230420</v>
      </c>
      <c r="D377" s="42" t="n">
        <v>1231522</v>
      </c>
      <c r="E377" s="42" t="n">
        <v>1225172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-0.00645823946357371</v>
      </c>
      <c r="I377" s="45" t="n">
        <f aca="false">IF(AND(ISNUMBER($G377),$G377&gt;=MA_SHORT),AVERAGE(INDEX($C$5:$C377,374-MA_SHORT):$C377),"")</f>
        <v>1211170.5</v>
      </c>
      <c r="J377" s="45" t="n">
        <f aca="false">IF(AND(ISNUMBER($G377),$G377&gt;=MA_MED),AVERAGE(INDEX($C$5:$C377,374-MA_MED):$C377),"")</f>
        <v>1168280.62</v>
      </c>
      <c r="K377" s="45" t="n">
        <f aca="false">IF(AND(ISNUMBER($G377),$G377&gt;=MA_LONG2),AVERAGE(INDEX($C$5:$C377,374-MA_LONG2):$C377),"")</f>
        <v>1121289.37</v>
      </c>
      <c r="L377" s="46" t="n">
        <f aca="false">IF(AND(ISNUMBER($G377),$G377&gt;=21),STDEV(INDEX($H$317:$H377,62-20):$H377)*SQRT(245),"")</f>
        <v>0.120661718702661</v>
      </c>
      <c r="M377" s="45" t="n">
        <f aca="false">IF(AND(ISNUMBER($G377),$G377&gt;=60),MAX(INDEX($D$177:$D377,202-60):$D377),"")</f>
        <v>1240926</v>
      </c>
      <c r="N377" s="45" t="n">
        <f aca="false">IF(AND(ISNUMBER($G377),$G377&gt;=60),MIN(INDEX($E$177:$E377,202-60):$E377),"")</f>
        <v>1029319</v>
      </c>
      <c r="O377" s="46" t="n">
        <f aca="false">IF(OR(NOT(ISNUMBER($C377)),NOT(ISNUMBER($M377)),$M377=0),"",$C377/$M377-1)</f>
        <v>-0.00846625826197534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1244094</v>
      </c>
      <c r="D378" s="42" t="n">
        <v>1246306</v>
      </c>
      <c r="E378" s="42" t="n">
        <v>1240425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0.0111132783927439</v>
      </c>
      <c r="I378" s="45" t="n">
        <f aca="false">IF(AND(ISNUMBER($G378),$G378&gt;=MA_SHORT),AVERAGE(INDEX($C$5:$C378,375-MA_SHORT):$C378),"")</f>
        <v>1213461.2</v>
      </c>
      <c r="J378" s="45" t="n">
        <f aca="false">IF(AND(ISNUMBER($G378),$G378&gt;=MA_MED),AVERAGE(INDEX($C$5:$C378,375-MA_MED):$C378),"")</f>
        <v>1172025.02</v>
      </c>
      <c r="K378" s="45" t="n">
        <f aca="false">IF(AND(ISNUMBER($G378),$G378&gt;=MA_LONG2),AVERAGE(INDEX($C$5:$C378,375-MA_LONG2):$C378),"")</f>
        <v>1121620.555</v>
      </c>
      <c r="L378" s="46" t="n">
        <f aca="false">IF(AND(ISNUMBER($G378),$G378&gt;=21),STDEV(INDEX($H$318:$H378,62-20):$H378)*SQRT(245),"")</f>
        <v>0.125271848605521</v>
      </c>
      <c r="M378" s="45" t="n">
        <f aca="false">IF(AND(ISNUMBER($G378),$G378&gt;=60),MAX(INDEX($D$178:$D378,202-60):$D378),"")</f>
        <v>1246306</v>
      </c>
      <c r="N378" s="45" t="n">
        <f aca="false">IF(AND(ISNUMBER($G378),$G378&gt;=60),MIN(INDEX($E$178:$E378,202-60):$E378),"")</f>
        <v>1029319</v>
      </c>
      <c r="O378" s="46" t="n">
        <f aca="false">IF(OR(NOT(ISNUMBER($C378)),NOT(ISNUMBER($M378)),$M378=0),"",$C378/$M378-1)</f>
        <v>-0.00177484502200909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1236322</v>
      </c>
      <c r="D379" s="42" t="n">
        <v>1239359</v>
      </c>
      <c r="E379" s="42" t="n">
        <v>1231372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-0.00624711637545072</v>
      </c>
      <c r="I379" s="45" t="n">
        <f aca="false">IF(AND(ISNUMBER($G379),$G379&gt;=MA_SHORT),AVERAGE(INDEX($C$5:$C379,376-MA_SHORT):$C379),"")</f>
        <v>1214786.95</v>
      </c>
      <c r="J379" s="45" t="n">
        <f aca="false">IF(AND(ISNUMBER($G379),$G379&gt;=MA_MED),AVERAGE(INDEX($C$5:$C379,376-MA_MED):$C379),"")</f>
        <v>1175442.96</v>
      </c>
      <c r="K379" s="45" t="n">
        <f aca="false">IF(AND(ISNUMBER($G379),$G379&gt;=MA_LONG2),AVERAGE(INDEX($C$5:$C379,376-MA_LONG2):$C379),"")</f>
        <v>1121883.18</v>
      </c>
      <c r="L379" s="46" t="n">
        <f aca="false">IF(AND(ISNUMBER($G379),$G379&gt;=21),STDEV(INDEX($H$319:$H379,62-20):$H379)*SQRT(245),"")</f>
        <v>0.124986142147728</v>
      </c>
      <c r="M379" s="45" t="n">
        <f aca="false">IF(AND(ISNUMBER($G379),$G379&gt;=60),MAX(INDEX($D$179:$D379,202-60):$D379),"")</f>
        <v>1246306</v>
      </c>
      <c r="N379" s="45" t="n">
        <f aca="false">IF(AND(ISNUMBER($G379),$G379&gt;=60),MIN(INDEX($E$179:$E379,202-60):$E379),"")</f>
        <v>1029319</v>
      </c>
      <c r="O379" s="46" t="n">
        <f aca="false">IF(OR(NOT(ISNUMBER($C379)),NOT(ISNUMBER($M379)),$M379=0),"",$C379/$M379-1)</f>
        <v>-0.00801087373405884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1239161</v>
      </c>
      <c r="D380" s="42" t="n">
        <v>1240168</v>
      </c>
      <c r="E380" s="42" t="n">
        <v>1238197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0.00229632733219987</v>
      </c>
      <c r="I380" s="45" t="n">
        <f aca="false">IF(AND(ISNUMBER($G380),$G380&gt;=MA_SHORT),AVERAGE(INDEX($C$5:$C380,377-MA_SHORT):$C380),"")</f>
        <v>1216613.8</v>
      </c>
      <c r="J380" s="45" t="n">
        <f aca="false">IF(AND(ISNUMBER($G380),$G380&gt;=MA_MED),AVERAGE(INDEX($C$5:$C380,377-MA_MED):$C380),"")</f>
        <v>1179202.62</v>
      </c>
      <c r="K380" s="45" t="n">
        <f aca="false">IF(AND(ISNUMBER($G380),$G380&gt;=MA_LONG2),AVERAGE(INDEX($C$5:$C380,377-MA_LONG2):$C380),"")</f>
        <v>1122160.235</v>
      </c>
      <c r="L380" s="46" t="n">
        <f aca="false">IF(AND(ISNUMBER($G380),$G380&gt;=21),STDEV(INDEX($H$320:$H380,62-20):$H380)*SQRT(245),"")</f>
        <v>0.12228872921496</v>
      </c>
      <c r="M380" s="45" t="n">
        <f aca="false">IF(AND(ISNUMBER($G380),$G380&gt;=60),MAX(INDEX($D$180:$D380,202-60):$D380),"")</f>
        <v>1246306</v>
      </c>
      <c r="N380" s="45" t="n">
        <f aca="false">IF(AND(ISNUMBER($G380),$G380&gt;=60),MIN(INDEX($E$180:$E380,202-60):$E380),"")</f>
        <v>1029319</v>
      </c>
      <c r="O380" s="46" t="n">
        <f aca="false">IF(OR(NOT(ISNUMBER($C380)),NOT(ISNUMBER($M380)),$M380=0),"",$C380/$M380-1)</f>
        <v>-0.00573294199016938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1232773</v>
      </c>
      <c r="D381" s="42" t="n">
        <v>1241700</v>
      </c>
      <c r="E381" s="42" t="n">
        <v>1231267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-0.00515510091101967</v>
      </c>
      <c r="I381" s="45" t="n">
        <f aca="false">IF(AND(ISNUMBER($G381),$G381&gt;=MA_SHORT),AVERAGE(INDEX($C$5:$C381,378-MA_SHORT):$C381),"")</f>
        <v>1217907.95</v>
      </c>
      <c r="J381" s="45" t="n">
        <f aca="false">IF(AND(ISNUMBER($G381),$G381&gt;=MA_MED),AVERAGE(INDEX($C$5:$C381,378-MA_MED):$C381),"")</f>
        <v>1182813.04</v>
      </c>
      <c r="K381" s="45" t="n">
        <f aca="false">IF(AND(ISNUMBER($G381),$G381&gt;=MA_LONG2),AVERAGE(INDEX($C$5:$C381,378-MA_LONG2):$C381),"")</f>
        <v>1122441.875</v>
      </c>
      <c r="L381" s="46" t="n">
        <f aca="false">IF(AND(ISNUMBER($G381),$G381&gt;=21),STDEV(INDEX($H$321:$H381,62-20):$H381)*SQRT(245),"")</f>
        <v>0.124212437034005</v>
      </c>
      <c r="M381" s="45" t="n">
        <f aca="false">IF(AND(ISNUMBER($G381),$G381&gt;=60),MAX(INDEX($D$181:$D381,202-60):$D381),"")</f>
        <v>1246306</v>
      </c>
      <c r="N381" s="45" t="n">
        <f aca="false">IF(AND(ISNUMBER($G381),$G381&gt;=60),MIN(INDEX($E$181:$E381,202-60):$E381),"")</f>
        <v>1029319</v>
      </c>
      <c r="O381" s="46" t="n">
        <f aca="false">IF(OR(NOT(ISNUMBER($C381)),NOT(ISNUMBER($M381)),$M381=0),"",$C381/$M381-1)</f>
        <v>-0.0108584890067126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1234491</v>
      </c>
      <c r="D382" s="42" t="n">
        <v>1234691</v>
      </c>
      <c r="E382" s="42" t="n">
        <v>1233053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0.00139360612213268</v>
      </c>
      <c r="I382" s="45" t="n">
        <f aca="false">IF(AND(ISNUMBER($G382),$G382&gt;=MA_SHORT),AVERAGE(INDEX($C$5:$C382,379-MA_SHORT):$C382),"")</f>
        <v>1219464.75</v>
      </c>
      <c r="J382" s="45" t="n">
        <f aca="false">IF(AND(ISNUMBER($G382),$G382&gt;=MA_MED),AVERAGE(INDEX($C$5:$C382,379-MA_MED):$C382),"")</f>
        <v>1186425.26</v>
      </c>
      <c r="K382" s="45" t="n">
        <f aca="false">IF(AND(ISNUMBER($G382),$G382&gt;=MA_LONG2),AVERAGE(INDEX($C$5:$C382,379-MA_LONG2):$C382),"")</f>
        <v>1122795.995</v>
      </c>
      <c r="L382" s="46" t="n">
        <f aca="false">IF(AND(ISNUMBER($G382),$G382&gt;=21),STDEV(INDEX($H$322:$H382,62-20):$H382)*SQRT(245),"")</f>
        <v>0.123326523391409</v>
      </c>
      <c r="M382" s="45" t="n">
        <f aca="false">IF(AND(ISNUMBER($G382),$G382&gt;=60),MAX(INDEX($D$182:$D382,202-60):$D382),"")</f>
        <v>1246306</v>
      </c>
      <c r="N382" s="45" t="n">
        <f aca="false">IF(AND(ISNUMBER($G382),$G382&gt;=60),MIN(INDEX($E$182:$E382,202-60):$E382),"")</f>
        <v>1043507</v>
      </c>
      <c r="O382" s="46" t="n">
        <f aca="false">IF(OR(NOT(ISNUMBER($C382)),NOT(ISNUMBER($M382)),$M382=0),"",$C382/$M382-1)</f>
        <v>-0.00948001534133669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1169960</v>
      </c>
      <c r="D383" s="42" t="n">
        <v>1176043</v>
      </c>
      <c r="E383" s="42" t="n">
        <v>1169799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-0.0522733661079748</v>
      </c>
      <c r="I383" s="45" t="n">
        <f aca="false">IF(AND(ISNUMBER($G383),$G383&gt;=MA_SHORT),AVERAGE(INDEX($C$5:$C383,380-MA_SHORT):$C383),"")</f>
        <v>1217756.05</v>
      </c>
      <c r="J383" s="45" t="n">
        <f aca="false">IF(AND(ISNUMBER($G383),$G383&gt;=MA_MED),AVERAGE(INDEX($C$5:$C383,380-MA_MED):$C383),"")</f>
        <v>1188614.96</v>
      </c>
      <c r="K383" s="45" t="n">
        <f aca="false">IF(AND(ISNUMBER($G383),$G383&gt;=MA_LONG2),AVERAGE(INDEX($C$5:$C383,380-MA_LONG2):$C383),"")</f>
        <v>1122835.795</v>
      </c>
      <c r="L383" s="46" t="n">
        <f aca="false">IF(AND(ISNUMBER($G383),$G383&gt;=21),STDEV(INDEX($H$323:$H383,62-20):$H383)*SQRT(245),"")</f>
        <v>0.224539175361731</v>
      </c>
      <c r="M383" s="45" t="n">
        <f aca="false">IF(AND(ISNUMBER($G383),$G383&gt;=60),MAX(INDEX($D$183:$D383,202-60):$D383),"")</f>
        <v>1246306</v>
      </c>
      <c r="N383" s="45" t="n">
        <f aca="false">IF(AND(ISNUMBER($G383),$G383&gt;=60),MIN(INDEX($E$183:$E383,202-60):$E383),"")</f>
        <v>1047040</v>
      </c>
      <c r="O383" s="46" t="n">
        <f aca="false">IF(OR(NOT(ISNUMBER($C383)),NOT(ISNUMBER($M383)),$M383=0),"",$C383/$M383-1)</f>
        <v>-0.0612578291366647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1170179</v>
      </c>
      <c r="D384" s="42" t="n">
        <v>1172182</v>
      </c>
      <c r="E384" s="42" t="n">
        <v>1166048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0.000187185886697083</v>
      </c>
      <c r="I384" s="45" t="n">
        <f aca="false">IF(AND(ISNUMBER($G384),$G384&gt;=MA_SHORT),AVERAGE(INDEX($C$5:$C384,381-MA_SHORT):$C384),"")</f>
        <v>1216879.5</v>
      </c>
      <c r="J384" s="45" t="n">
        <f aca="false">IF(AND(ISNUMBER($G384),$G384&gt;=MA_MED),AVERAGE(INDEX($C$5:$C384,381-MA_MED):$C384),"")</f>
        <v>1190729.26</v>
      </c>
      <c r="K384" s="45" t="n">
        <f aca="false">IF(AND(ISNUMBER($G384),$G384&gt;=MA_LONG2),AVERAGE(INDEX($C$5:$C384,381-MA_LONG2):$C384),"")</f>
        <v>1122874.795</v>
      </c>
      <c r="L384" s="46" t="n">
        <f aca="false">IF(AND(ISNUMBER($G384),$G384&gt;=21),STDEV(INDEX($H$324:$H384,62-20):$H384)*SQRT(245),"")</f>
        <v>0.219939474774224</v>
      </c>
      <c r="M384" s="45" t="n">
        <f aca="false">IF(AND(ISNUMBER($G384),$G384&gt;=60),MAX(INDEX($D$184:$D384,202-60):$D384),"")</f>
        <v>1246306</v>
      </c>
      <c r="N384" s="45" t="n">
        <f aca="false">IF(AND(ISNUMBER($G384),$G384&gt;=60),MIN(INDEX($E$184:$E384,202-60):$E384),"")</f>
        <v>1047040</v>
      </c>
      <c r="O384" s="46" t="n">
        <f aca="false">IF(OR(NOT(ISNUMBER($C384)),NOT(ISNUMBER($M384)),$M384=0),"",$C384/$M384-1)</f>
        <v>-0.0610821098510318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1185047</v>
      </c>
      <c r="D385" s="42" t="n">
        <v>1186574</v>
      </c>
      <c r="E385" s="42" t="n">
        <v>1185030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0.0127057484367776</v>
      </c>
      <c r="I385" s="45" t="n">
        <f aca="false">IF(AND(ISNUMBER($G385),$G385&gt;=MA_SHORT),AVERAGE(INDEX($C$5:$C385,382-MA_SHORT):$C385),"")</f>
        <v>1217291.25</v>
      </c>
      <c r="J385" s="45" t="n">
        <f aca="false">IF(AND(ISNUMBER($G385),$G385&gt;=MA_MED),AVERAGE(INDEX($C$5:$C385,382-MA_MED):$C385),"")</f>
        <v>1193077.18</v>
      </c>
      <c r="K385" s="45" t="n">
        <f aca="false">IF(AND(ISNUMBER($G385),$G385&gt;=MA_LONG2),AVERAGE(INDEX($C$5:$C385,382-MA_LONG2):$C385),"")</f>
        <v>1123082.315</v>
      </c>
      <c r="L385" s="46" t="n">
        <f aca="false">IF(AND(ISNUMBER($G385),$G385&gt;=21),STDEV(INDEX($H$325:$H385,62-20):$H385)*SQRT(245),"")</f>
        <v>0.222319373295764</v>
      </c>
      <c r="M385" s="45" t="n">
        <f aca="false">IF(AND(ISNUMBER($G385),$G385&gt;=60),MAX(INDEX($D$185:$D385,202-60):$D385),"")</f>
        <v>1246306</v>
      </c>
      <c r="N385" s="45" t="n">
        <f aca="false">IF(AND(ISNUMBER($G385),$G385&gt;=60),MIN(INDEX($E$185:$E385,202-60):$E385),"")</f>
        <v>1047040</v>
      </c>
      <c r="O385" s="46" t="n">
        <f aca="false">IF(OR(NOT(ISNUMBER($C385)),NOT(ISNUMBER($M385)),$M385=0),"",$C385/$M385-1)</f>
        <v>-0.049152455336009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1185748</v>
      </c>
      <c r="D386" s="42" t="n">
        <v>1186190</v>
      </c>
      <c r="E386" s="42" t="n">
        <v>1182649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0.000591537719601076</v>
      </c>
      <c r="I386" s="45" t="n">
        <f aca="false">IF(AND(ISNUMBER($G386),$G386&gt;=MA_SHORT),AVERAGE(INDEX($C$5:$C386,383-MA_SHORT):$C386),"")</f>
        <v>1217379.8</v>
      </c>
      <c r="J386" s="45" t="n">
        <f aca="false">IF(AND(ISNUMBER($G386),$G386&gt;=MA_MED),AVERAGE(INDEX($C$5:$C386,383-MA_MED):$C386),"")</f>
        <v>1195221.38</v>
      </c>
      <c r="K386" s="45" t="n">
        <f aca="false">IF(AND(ISNUMBER($G386),$G386&gt;=MA_LONG2),AVERAGE(INDEX($C$5:$C386,383-MA_LONG2):$C386),"")</f>
        <v>1123296.07</v>
      </c>
      <c r="L386" s="46" t="n">
        <f aca="false">IF(AND(ISNUMBER($G386),$G386&gt;=21),STDEV(INDEX($H$326:$H386,62-20):$H386)*SQRT(245),"")</f>
        <v>0.221351052161052</v>
      </c>
      <c r="M386" s="45" t="n">
        <f aca="false">IF(AND(ISNUMBER($G386),$G386&gt;=60),MAX(INDEX($D$186:$D386,202-60):$D386),"")</f>
        <v>1246306</v>
      </c>
      <c r="N386" s="45" t="n">
        <f aca="false">IF(AND(ISNUMBER($G386),$G386&gt;=60),MIN(INDEX($E$186:$E386,202-60):$E386),"")</f>
        <v>1047040</v>
      </c>
      <c r="O386" s="46" t="n">
        <f aca="false">IF(OR(NOT(ISNUMBER($C386)),NOT(ISNUMBER($M386)),$M386=0),"",$C386/$M386-1)</f>
        <v>-0.0485899931477503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1178986</v>
      </c>
      <c r="D387" s="42" t="n">
        <v>1180507</v>
      </c>
      <c r="E387" s="42" t="n">
        <v>1176168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-0.0057027294163684</v>
      </c>
      <c r="I387" s="45" t="n">
        <f aca="false">IF(AND(ISNUMBER($G387),$G387&gt;=MA_SHORT),AVERAGE(INDEX($C$5:$C387,384-MA_SHORT):$C387),"")</f>
        <v>1216374</v>
      </c>
      <c r="J387" s="45" t="n">
        <f aca="false">IF(AND(ISNUMBER($G387),$G387&gt;=MA_MED),AVERAGE(INDEX($C$5:$C387,384-MA_MED):$C387),"")</f>
        <v>1196963.18</v>
      </c>
      <c r="K387" s="45" t="n">
        <f aca="false">IF(AND(ISNUMBER($G387),$G387&gt;=MA_LONG2),AVERAGE(INDEX($C$5:$C387,384-MA_LONG2):$C387),"")</f>
        <v>1123481.53</v>
      </c>
      <c r="L387" s="46" t="n">
        <f aca="false">IF(AND(ISNUMBER($G387),$G387&gt;=21),STDEV(INDEX($H$327:$H387,62-20):$H387)*SQRT(245),"")</f>
        <v>0.217193852351331</v>
      </c>
      <c r="M387" s="45" t="n">
        <f aca="false">IF(AND(ISNUMBER($G387),$G387&gt;=60),MAX(INDEX($D$187:$D387,202-60):$D387),"")</f>
        <v>1246306</v>
      </c>
      <c r="N387" s="45" t="n">
        <f aca="false">IF(AND(ISNUMBER($G387),$G387&gt;=60),MIN(INDEX($E$187:$E387,202-60):$E387),"")</f>
        <v>1047040</v>
      </c>
      <c r="O387" s="46" t="n">
        <f aca="false">IF(OR(NOT(ISNUMBER($C387)),NOT(ISNUMBER($M387)),$M387=0),"",$C387/$M387-1)</f>
        <v>-0.0540156269808538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1173192</v>
      </c>
      <c r="D388" s="42" t="n">
        <v>1179104</v>
      </c>
      <c r="E388" s="42" t="n">
        <v>1168562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-0.00491439253731596</v>
      </c>
      <c r="I388" s="45" t="n">
        <f aca="false">IF(AND(ISNUMBER($G388),$G388&gt;=MA_SHORT),AVERAGE(INDEX($C$5:$C388,385-MA_SHORT):$C388),"")</f>
        <v>1214772.55</v>
      </c>
      <c r="J388" s="45" t="n">
        <f aca="false">IF(AND(ISNUMBER($G388),$G388&gt;=MA_MED),AVERAGE(INDEX($C$5:$C388,385-MA_MED):$C388),"")</f>
        <v>1198431.68</v>
      </c>
      <c r="K388" s="45" t="n">
        <f aca="false">IF(AND(ISNUMBER($G388),$G388&gt;=MA_LONG2),AVERAGE(INDEX($C$5:$C388,385-MA_LONG2):$C388),"")</f>
        <v>1123747.895</v>
      </c>
      <c r="L388" s="46" t="n">
        <f aca="false">IF(AND(ISNUMBER($G388),$G388&gt;=21),STDEV(INDEX($H$328:$H388,62-20):$H388)*SQRT(245),"")</f>
        <v>0.216540732619254</v>
      </c>
      <c r="M388" s="45" t="n">
        <f aca="false">IF(AND(ISNUMBER($G388),$G388&gt;=60),MAX(INDEX($D$188:$D388,202-60):$D388),"")</f>
        <v>1246306</v>
      </c>
      <c r="N388" s="45" t="n">
        <f aca="false">IF(AND(ISNUMBER($G388),$G388&gt;=60),MIN(INDEX($E$188:$E388,202-60):$E388),"")</f>
        <v>1047040</v>
      </c>
      <c r="O388" s="46" t="n">
        <f aca="false">IF(OR(NOT(ISNUMBER($C388)),NOT(ISNUMBER($M388)),$M388=0),"",$C388/$M388-1)</f>
        <v>-0.0586645655240367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1164033</v>
      </c>
      <c r="D389" s="42" t="n">
        <v>1165080</v>
      </c>
      <c r="E389" s="42" t="n">
        <v>1162593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-0.0078069062864391</v>
      </c>
      <c r="I389" s="45" t="n">
        <f aca="false">IF(AND(ISNUMBER($G389),$G389&gt;=MA_SHORT),AVERAGE(INDEX($C$5:$C389,386-MA_SHORT):$C389),"")</f>
        <v>1212570.95</v>
      </c>
      <c r="J389" s="45" t="n">
        <f aca="false">IF(AND(ISNUMBER($G389),$G389&gt;=MA_MED),AVERAGE(INDEX($C$5:$C389,386-MA_MED):$C389),"")</f>
        <v>1199331.98</v>
      </c>
      <c r="K389" s="45" t="n">
        <f aca="false">IF(AND(ISNUMBER($G389),$G389&gt;=MA_LONG2),AVERAGE(INDEX($C$5:$C389,386-MA_LONG2):$C389),"")</f>
        <v>1123936.345</v>
      </c>
      <c r="L389" s="46" t="n">
        <f aca="false">IF(AND(ISNUMBER($G389),$G389&gt;=21),STDEV(INDEX($H$329:$H389,62-20):$H389)*SQRT(245),"")</f>
        <v>0.217276119579464</v>
      </c>
      <c r="M389" s="45" t="n">
        <f aca="false">IF(AND(ISNUMBER($G389),$G389&gt;=60),MAX(INDEX($D$189:$D389,202-60):$D389),"")</f>
        <v>1246306</v>
      </c>
      <c r="N389" s="45" t="n">
        <f aca="false">IF(AND(ISNUMBER($G389),$G389&gt;=60),MIN(INDEX($E$189:$E389,202-60):$E389),"")</f>
        <v>1047040</v>
      </c>
      <c r="O389" s="46" t="n">
        <f aca="false">IF(OR(NOT(ISNUMBER($C389)),NOT(ISNUMBER($M389)),$M389=0),"",$C389/$M389-1)</f>
        <v>-0.0660134830450949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1174064</v>
      </c>
      <c r="D390" s="42" t="n">
        <v>1176337</v>
      </c>
      <c r="E390" s="42" t="n">
        <v>1172354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0.0086174532852592</v>
      </c>
      <c r="I390" s="45" t="n">
        <f aca="false">IF(AND(ISNUMBER($G390),$G390&gt;=MA_SHORT),AVERAGE(INDEX($C$5:$C390,387-MA_SHORT):$C390),"")</f>
        <v>1210213.25</v>
      </c>
      <c r="J390" s="45" t="n">
        <f aca="false">IF(AND(ISNUMBER($G390),$G390&gt;=MA_MED),AVERAGE(INDEX($C$5:$C390,387-MA_MED):$C390),"")</f>
        <v>1200565.44</v>
      </c>
      <c r="K390" s="45" t="n">
        <f aca="false">IF(AND(ISNUMBER($G390),$G390&gt;=MA_LONG2),AVERAGE(INDEX($C$5:$C390,387-MA_LONG2):$C390),"")</f>
        <v>1124163.42</v>
      </c>
      <c r="L390" s="46" t="n">
        <f aca="false">IF(AND(ISNUMBER($G390),$G390&gt;=21),STDEV(INDEX($H$330:$H390,62-20):$H390)*SQRT(245),"")</f>
        <v>0.215711613831475</v>
      </c>
      <c r="M390" s="45" t="n">
        <f aca="false">IF(AND(ISNUMBER($G390),$G390&gt;=60),MAX(INDEX($D$190:$D390,202-60):$D390),"")</f>
        <v>1246306</v>
      </c>
      <c r="N390" s="45" t="n">
        <f aca="false">IF(AND(ISNUMBER($G390),$G390&gt;=60),MIN(INDEX($E$190:$E390,202-60):$E390),"")</f>
        <v>1050614</v>
      </c>
      <c r="O390" s="46" t="n">
        <f aca="false">IF(OR(NOT(ISNUMBER($C390)),NOT(ISNUMBER($M390)),$M390=0),"",$C390/$M390-1)</f>
        <v>-0.0579648978661741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1175482</v>
      </c>
      <c r="D391" s="42" t="n">
        <v>1179988</v>
      </c>
      <c r="E391" s="42" t="n">
        <v>1174419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0.00120777061557131</v>
      </c>
      <c r="I391" s="45" t="n">
        <f aca="false">IF(AND(ISNUMBER($G391),$G391&gt;=MA_SHORT),AVERAGE(INDEX($C$5:$C391,388-MA_SHORT):$C391),"")</f>
        <v>1207635.6</v>
      </c>
      <c r="J391" s="45" t="n">
        <f aca="false">IF(AND(ISNUMBER($G391),$G391&gt;=MA_MED),AVERAGE(INDEX($C$5:$C391,388-MA_MED):$C391),"")</f>
        <v>1201435.58</v>
      </c>
      <c r="K391" s="45" t="n">
        <f aca="false">IF(AND(ISNUMBER($G391),$G391&gt;=MA_LONG2),AVERAGE(INDEX($C$5:$C391,388-MA_LONG2):$C391),"")</f>
        <v>1124345.98</v>
      </c>
      <c r="L391" s="46" t="n">
        <f aca="false">IF(AND(ISNUMBER($G391),$G391&gt;=21),STDEV(INDEX($H$331:$H391,62-20):$H391)*SQRT(245),"")</f>
        <v>0.214657193546916</v>
      </c>
      <c r="M391" s="45" t="n">
        <f aca="false">IF(AND(ISNUMBER($G391),$G391&gt;=60),MAX(INDEX($D$191:$D391,202-60):$D391),"")</f>
        <v>1246306</v>
      </c>
      <c r="N391" s="45" t="n">
        <f aca="false">IF(AND(ISNUMBER($G391),$G391&gt;=60),MIN(INDEX($E$191:$E391,202-60):$E391),"")</f>
        <v>1050637</v>
      </c>
      <c r="O391" s="46" t="n">
        <f aca="false">IF(OR(NOT(ISNUMBER($C391)),NOT(ISNUMBER($M391)),$M391=0),"",$C391/$M391-1)</f>
        <v>-0.0568271355509803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1181268</v>
      </c>
      <c r="D392" s="42" t="n">
        <v>1183888</v>
      </c>
      <c r="E392" s="42" t="n">
        <v>1173294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0.00492223615504117</v>
      </c>
      <c r="I392" s="45" t="n">
        <f aca="false">IF(AND(ISNUMBER($G392),$G392&gt;=MA_SHORT),AVERAGE(INDEX($C$5:$C392,389-MA_SHORT):$C392),"")</f>
        <v>1205919.9</v>
      </c>
      <c r="J392" s="45" t="n">
        <f aca="false">IF(AND(ISNUMBER($G392),$G392&gt;=MA_MED),AVERAGE(INDEX($C$5:$C392,389-MA_MED):$C392),"")</f>
        <v>1202308.26</v>
      </c>
      <c r="K392" s="45" t="n">
        <f aca="false">IF(AND(ISNUMBER($G392),$G392&gt;=MA_LONG2),AVERAGE(INDEX($C$5:$C392,389-MA_LONG2):$C392),"")</f>
        <v>1124531.92</v>
      </c>
      <c r="L392" s="46" t="n">
        <f aca="false">IF(AND(ISNUMBER($G392),$G392&gt;=21),STDEV(INDEX($H$332:$H392,62-20):$H392)*SQRT(245),"")</f>
        <v>0.214220043498012</v>
      </c>
      <c r="M392" s="45" t="n">
        <f aca="false">IF(AND(ISNUMBER($G392),$G392&gt;=60),MAX(INDEX($D$192:$D392,202-60):$D392),"")</f>
        <v>1246306</v>
      </c>
      <c r="N392" s="45" t="n">
        <f aca="false">IF(AND(ISNUMBER($G392),$G392&gt;=60),MIN(INDEX($E$192:$E392,202-60):$E392),"")</f>
        <v>1054538</v>
      </c>
      <c r="O392" s="46" t="n">
        <f aca="false">IF(OR(NOT(ISNUMBER($C392)),NOT(ISNUMBER($M392)),$M392=0),"",$C392/$M392-1)</f>
        <v>-0.0521846159771356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1184946</v>
      </c>
      <c r="D393" s="42" t="n">
        <v>1185158</v>
      </c>
      <c r="E393" s="42" t="n">
        <v>1184615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0.00311360334826638</v>
      </c>
      <c r="I393" s="45" t="n">
        <f aca="false">IF(AND(ISNUMBER($G393),$G393&gt;=MA_SHORT),AVERAGE(INDEX($C$5:$C393,390-MA_SHORT):$C393),"")</f>
        <v>1203511.9</v>
      </c>
      <c r="J393" s="45" t="n">
        <f aca="false">IF(AND(ISNUMBER($G393),$G393&gt;=MA_MED),AVERAGE(INDEX($C$5:$C393,390-MA_MED):$C393),"")</f>
        <v>1203076.02</v>
      </c>
      <c r="K393" s="45" t="n">
        <f aca="false">IF(AND(ISNUMBER($G393),$G393&gt;=MA_LONG2),AVERAGE(INDEX($C$5:$C393,390-MA_LONG2):$C393),"")</f>
        <v>1124684.54</v>
      </c>
      <c r="L393" s="46" t="n">
        <f aca="false">IF(AND(ISNUMBER($G393),$G393&gt;=21),STDEV(INDEX($H$333:$H393,62-20):$H393)*SQRT(245),"")</f>
        <v>0.207032804498884</v>
      </c>
      <c r="M393" s="45" t="n">
        <f aca="false">IF(AND(ISNUMBER($G393),$G393&gt;=60),MAX(INDEX($D$193:$D393,202-60):$D393),"")</f>
        <v>1246306</v>
      </c>
      <c r="N393" s="45" t="n">
        <f aca="false">IF(AND(ISNUMBER($G393),$G393&gt;=60),MIN(INDEX($E$193:$E393,202-60):$E393),"")</f>
        <v>1060465</v>
      </c>
      <c r="O393" s="46" t="n">
        <f aca="false">IF(OR(NOT(ISNUMBER($C393)),NOT(ISNUMBER($M393)),$M393=0),"",$C393/$M393-1)</f>
        <v>-0.0492334948239036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1170082</v>
      </c>
      <c r="D394" s="42" t="n">
        <v>1173159</v>
      </c>
      <c r="E394" s="42" t="n">
        <v>1165807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-0.0125440315423656</v>
      </c>
      <c r="I394" s="45" t="n">
        <f aca="false">IF(AND(ISNUMBER($G394),$G394&gt;=MA_SHORT),AVERAGE(INDEX($C$5:$C394,391-MA_SHORT):$C394),"")</f>
        <v>1200408.45</v>
      </c>
      <c r="J394" s="45" t="n">
        <f aca="false">IF(AND(ISNUMBER($G394),$G394&gt;=MA_MED),AVERAGE(INDEX($C$5:$C394,391-MA_MED):$C394),"")</f>
        <v>1203021.1</v>
      </c>
      <c r="K394" s="45" t="n">
        <f aca="false">IF(AND(ISNUMBER($G394),$G394&gt;=MA_LONG2),AVERAGE(INDEX($C$5:$C394,391-MA_LONG2):$C394),"")</f>
        <v>1124720.855</v>
      </c>
      <c r="L394" s="46" t="n">
        <f aca="false">IF(AND(ISNUMBER($G394),$G394&gt;=21),STDEV(INDEX($H$334:$H394,62-20):$H394)*SQRT(245),"")</f>
        <v>0.210277085081302</v>
      </c>
      <c r="M394" s="45" t="n">
        <f aca="false">IF(AND(ISNUMBER($G394),$G394&gt;=60),MAX(INDEX($D$194:$D394,202-60):$D394),"")</f>
        <v>1246306</v>
      </c>
      <c r="N394" s="45" t="n">
        <f aca="false">IF(AND(ISNUMBER($G394),$G394&gt;=60),MIN(INDEX($E$194:$E394,202-60):$E394),"")</f>
        <v>1066706</v>
      </c>
      <c r="O394" s="46" t="n">
        <f aca="false">IF(OR(NOT(ISNUMBER($C394)),NOT(ISNUMBER($M394)),$M394=0),"",$C394/$M394-1)</f>
        <v>-0.0611599398542573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1187474</v>
      </c>
      <c r="D395" s="42" t="n">
        <v>1189044</v>
      </c>
      <c r="E395" s="42" t="n">
        <v>1186986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0.0148639155204506</v>
      </c>
      <c r="I395" s="45" t="n">
        <f aca="false">IF(AND(ISNUMBER($G395),$G395&gt;=MA_SHORT),AVERAGE(INDEX($C$5:$C395,392-MA_SHORT):$C395),"")</f>
        <v>1197807</v>
      </c>
      <c r="J395" s="45" t="n">
        <f aca="false">IF(AND(ISNUMBER($G395),$G395&gt;=MA_MED),AVERAGE(INDEX($C$5:$C395,392-MA_MED):$C395),"")</f>
        <v>1203312.48</v>
      </c>
      <c r="K395" s="45" t="n">
        <f aca="false">IF(AND(ISNUMBER($G395),$G395&gt;=MA_LONG2),AVERAGE(INDEX($C$5:$C395,392-MA_LONG2):$C395),"")</f>
        <v>1124756.96</v>
      </c>
      <c r="L395" s="46" t="n">
        <f aca="false">IF(AND(ISNUMBER($G395),$G395&gt;=21),STDEV(INDEX($H$335:$H395,62-20):$H395)*SQRT(245),"")</f>
        <v>0.217088190960954</v>
      </c>
      <c r="M395" s="45" t="n">
        <f aca="false">IF(AND(ISNUMBER($G395),$G395&gt;=60),MAX(INDEX($D$195:$D395,202-60):$D395),"")</f>
        <v>1246306</v>
      </c>
      <c r="N395" s="45" t="n">
        <f aca="false">IF(AND(ISNUMBER($G395),$G395&gt;=60),MIN(INDEX($E$195:$E395,202-60):$E395),"")</f>
        <v>1075939</v>
      </c>
      <c r="O395" s="46" t="n">
        <f aca="false">IF(OR(NOT(ISNUMBER($C395)),NOT(ISNUMBER($M395)),$M395=0),"",$C395/$M395-1)</f>
        <v>-0.0472051005130362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1182282</v>
      </c>
      <c r="D396" s="42" t="n">
        <v>1185280</v>
      </c>
      <c r="E396" s="42" t="n">
        <v>1181147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-0.00437230625681062</v>
      </c>
      <c r="I396" s="45" t="n">
        <f aca="false">IF(AND(ISNUMBER($G396),$G396&gt;=MA_SHORT),AVERAGE(INDEX($C$5:$C396,393-MA_SHORT):$C396),"")</f>
        <v>1195000.2</v>
      </c>
      <c r="J396" s="45" t="n">
        <f aca="false">IF(AND(ISNUMBER($G396),$G396&gt;=MA_MED),AVERAGE(INDEX($C$5:$C396,393-MA_MED):$C396),"")</f>
        <v>1203426.02</v>
      </c>
      <c r="K396" s="45" t="n">
        <f aca="false">IF(AND(ISNUMBER($G396),$G396&gt;=MA_LONG2),AVERAGE(INDEX($C$5:$C396,393-MA_LONG2):$C396),"")</f>
        <v>1124739.055</v>
      </c>
      <c r="L396" s="46" t="n">
        <f aca="false">IF(AND(ISNUMBER($G396),$G396&gt;=21),STDEV(INDEX($H$336:$H396,62-20):$H396)*SQRT(245),"")</f>
        <v>0.217189568449441</v>
      </c>
      <c r="M396" s="45" t="n">
        <f aca="false">IF(AND(ISNUMBER($G396),$G396&gt;=60),MAX(INDEX($D$196:$D396,202-60):$D396),"")</f>
        <v>1246306</v>
      </c>
      <c r="N396" s="45" t="n">
        <f aca="false">IF(AND(ISNUMBER($G396),$G396&gt;=60),MIN(INDEX($E$196:$E396,202-60):$E396),"")</f>
        <v>1090926</v>
      </c>
      <c r="O396" s="46" t="n">
        <f aca="false">IF(OR(NOT(ISNUMBER($C396)),NOT(ISNUMBER($M396)),$M396=0),"",$C396/$M396-1)</f>
        <v>-0.0513710116135203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1169967</v>
      </c>
      <c r="D397" s="42" t="n">
        <v>1173021</v>
      </c>
      <c r="E397" s="42" t="n">
        <v>1167812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-0.0104162966195882</v>
      </c>
      <c r="I397" s="45" t="n">
        <f aca="false">IF(AND(ISNUMBER($G397),$G397&gt;=MA_SHORT),AVERAGE(INDEX($C$5:$C397,394-MA_SHORT):$C397),"")</f>
        <v>1191977.55</v>
      </c>
      <c r="J397" s="45" t="n">
        <f aca="false">IF(AND(ISNUMBER($G397),$G397&gt;=MA_MED),AVERAGE(INDEX($C$5:$C397,394-MA_MED):$C397),"")</f>
        <v>1202976</v>
      </c>
      <c r="K397" s="45" t="n">
        <f aca="false">IF(AND(ISNUMBER($G397),$G397&gt;=MA_LONG2),AVERAGE(INDEX($C$5:$C397,394-MA_LONG2):$C397),"")</f>
        <v>1124676.775</v>
      </c>
      <c r="L397" s="46" t="n">
        <f aca="false">IF(AND(ISNUMBER($G397),$G397&gt;=21),STDEV(INDEX($H$337:$H397,62-20):$H397)*SQRT(245),"")</f>
        <v>0.218621886375734</v>
      </c>
      <c r="M397" s="45" t="n">
        <f aca="false">IF(AND(ISNUMBER($G397),$G397&gt;=60),MAX(INDEX($D$197:$D397,202-60):$D397),"")</f>
        <v>1246306</v>
      </c>
      <c r="N397" s="45" t="n">
        <f aca="false">IF(AND(ISNUMBER($G397),$G397&gt;=60),MIN(INDEX($E$197:$E397,202-60):$E397),"")</f>
        <v>1097830</v>
      </c>
      <c r="O397" s="46" t="n">
        <f aca="false">IF(OR(NOT(ISNUMBER($C397)),NOT(ISNUMBER($M397)),$M397=0),"",$C397/$M397-1)</f>
        <v>-0.0612522125384938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1175827</v>
      </c>
      <c r="D398" s="42" t="n">
        <v>1179664</v>
      </c>
      <c r="E398" s="42" t="n">
        <v>1174108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0.00500868827924217</v>
      </c>
      <c r="I398" s="45" t="n">
        <f aca="false">IF(AND(ISNUMBER($G398),$G398&gt;=MA_SHORT),AVERAGE(INDEX($C$5:$C398,395-MA_SHORT):$C398),"")</f>
        <v>1188564.2</v>
      </c>
      <c r="J398" s="45" t="n">
        <f aca="false">IF(AND(ISNUMBER($G398),$G398&gt;=MA_MED),AVERAGE(INDEX($C$5:$C398,395-MA_MED):$C398),"")</f>
        <v>1202429.6</v>
      </c>
      <c r="K398" s="45" t="n">
        <f aca="false">IF(AND(ISNUMBER($G398),$G398&gt;=MA_LONG2),AVERAGE(INDEX($C$5:$C398,395-MA_LONG2):$C398),"")</f>
        <v>1124631.905</v>
      </c>
      <c r="L398" s="46" t="n">
        <f aca="false">IF(AND(ISNUMBER($G398),$G398&gt;=21),STDEV(INDEX($H$338:$H398,62-20):$H398)*SQRT(245),"")</f>
        <v>0.214758663157843</v>
      </c>
      <c r="M398" s="45" t="n">
        <f aca="false">IF(AND(ISNUMBER($G398),$G398&gt;=60),MAX(INDEX($D$198:$D398,202-60):$D398),"")</f>
        <v>1246306</v>
      </c>
      <c r="N398" s="45" t="n">
        <f aca="false">IF(AND(ISNUMBER($G398),$G398&gt;=60),MIN(INDEX($E$198:$E398,202-60):$E398),"")</f>
        <v>1111446</v>
      </c>
      <c r="O398" s="46" t="n">
        <f aca="false">IF(OR(NOT(ISNUMBER($C398)),NOT(ISNUMBER($M398)),$M398=0),"",$C398/$M398-1)</f>
        <v>-0.0565503174982709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1188426</v>
      </c>
      <c r="D399" s="42" t="n">
        <v>1191489</v>
      </c>
      <c r="E399" s="42" t="n">
        <v>1185849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0.0107150116471215</v>
      </c>
      <c r="I399" s="45" t="n">
        <f aca="false">IF(AND(ISNUMBER($G399),$G399&gt;=MA_SHORT),AVERAGE(INDEX($C$5:$C399,396-MA_SHORT):$C399),"")</f>
        <v>1186169.4</v>
      </c>
      <c r="J399" s="45" t="n">
        <f aca="false">IF(AND(ISNUMBER($G399),$G399&gt;=MA_MED),AVERAGE(INDEX($C$5:$C399,396-MA_MED):$C399),"")</f>
        <v>1201791.28</v>
      </c>
      <c r="K399" s="45" t="n">
        <f aca="false">IF(AND(ISNUMBER($G399),$G399&gt;=MA_LONG2),AVERAGE(INDEX($C$5:$C399,396-MA_LONG2):$C399),"")</f>
        <v>1124651.975</v>
      </c>
      <c r="L399" s="46" t="n">
        <f aca="false">IF(AND(ISNUMBER($G399),$G399&gt;=21),STDEV(INDEX($H$339:$H399,62-20):$H399)*SQRT(245),"")</f>
        <v>0.219329834026443</v>
      </c>
      <c r="M399" s="45" t="n">
        <f aca="false">IF(AND(ISNUMBER($G399),$G399&gt;=60),MAX(INDEX($D$199:$D399,202-60):$D399),"")</f>
        <v>1246306</v>
      </c>
      <c r="N399" s="45" t="n">
        <f aca="false">IF(AND(ISNUMBER($G399),$G399&gt;=60),MIN(INDEX($E$199:$E399,202-60):$E399),"")</f>
        <v>1111446</v>
      </c>
      <c r="O399" s="46" t="n">
        <f aca="false">IF(OR(NOT(ISNUMBER($C399)),NOT(ISNUMBER($M399)),$M399=0),"",$C399/$M399-1)</f>
        <v>-0.0464412431617918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1201946</v>
      </c>
      <c r="D400" s="42" t="n">
        <v>1207777</v>
      </c>
      <c r="E400" s="42" t="n">
        <v>1201774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0.0113763919671903</v>
      </c>
      <c r="I400" s="45" t="n">
        <f aca="false">IF(AND(ISNUMBER($G400),$G400&gt;=MA_SHORT),AVERAGE(INDEX($C$5:$C400,397-MA_SHORT):$C400),"")</f>
        <v>1184308.65</v>
      </c>
      <c r="J400" s="45" t="n">
        <f aca="false">IF(AND(ISNUMBER($G400),$G400&gt;=MA_MED),AVERAGE(INDEX($C$5:$C400,397-MA_MED):$C400),"")</f>
        <v>1201425.94</v>
      </c>
      <c r="K400" s="45" t="n">
        <f aca="false">IF(AND(ISNUMBER($G400),$G400&gt;=MA_LONG2),AVERAGE(INDEX($C$5:$C400,397-MA_LONG2):$C400),"")</f>
        <v>1124818.965</v>
      </c>
      <c r="L400" s="46" t="n">
        <f aca="false">IF(AND(ISNUMBER($G400),$G400&gt;=21),STDEV(INDEX($H$340:$H400,62-20):$H400)*SQRT(245),"")</f>
        <v>0.223814846288404</v>
      </c>
      <c r="M400" s="45" t="n">
        <f aca="false">IF(AND(ISNUMBER($G400),$G400&gt;=60),MAX(INDEX($D$200:$D400,202-60):$D400),"")</f>
        <v>1246306</v>
      </c>
      <c r="N400" s="45" t="n">
        <f aca="false">IF(AND(ISNUMBER($G400),$G400&gt;=60),MIN(INDEX($E$200:$E400,202-60):$E400),"")</f>
        <v>1131606</v>
      </c>
      <c r="O400" s="46" t="n">
        <f aca="false">IF(OR(NOT(ISNUMBER($C400)),NOT(ISNUMBER($M400)),$M400=0),"",$C400/$M400-1)</f>
        <v>-0.0355931849802537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1207412</v>
      </c>
      <c r="D401" s="42" t="n">
        <v>1208714</v>
      </c>
      <c r="E401" s="42" t="n">
        <v>1206103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0.00454762526769081</v>
      </c>
      <c r="I401" s="45" t="n">
        <f aca="false">IF(AND(ISNUMBER($G401),$G401&gt;=MA_SHORT),AVERAGE(INDEX($C$5:$C401,398-MA_SHORT):$C401),"")</f>
        <v>1183040.6</v>
      </c>
      <c r="J401" s="45" t="n">
        <f aca="false">IF(AND(ISNUMBER($G401),$G401&gt;=MA_MED),AVERAGE(INDEX($C$5:$C401,398-MA_MED):$C401),"")</f>
        <v>1201401.28</v>
      </c>
      <c r="K401" s="45" t="n">
        <f aca="false">IF(AND(ISNUMBER($G401),$G401&gt;=MA_LONG2),AVERAGE(INDEX($C$5:$C401,398-MA_LONG2):$C401),"")</f>
        <v>1125066.375</v>
      </c>
      <c r="L401" s="46" t="n">
        <f aca="false">IF(AND(ISNUMBER($G401),$G401&gt;=21),STDEV(INDEX($H$341:$H401,62-20):$H401)*SQRT(245),"")</f>
        <v>0.224305002167585</v>
      </c>
      <c r="M401" s="45" t="n">
        <f aca="false">IF(AND(ISNUMBER($G401),$G401&gt;=60),MAX(INDEX($D$201:$D401,202-60):$D401),"")</f>
        <v>1246306</v>
      </c>
      <c r="N401" s="45" t="n">
        <f aca="false">IF(AND(ISNUMBER($G401),$G401&gt;=60),MIN(INDEX($E$201:$E401,202-60):$E401),"")</f>
        <v>1137547</v>
      </c>
      <c r="O401" s="46" t="n">
        <f aca="false">IF(OR(NOT(ISNUMBER($C401)),NOT(ISNUMBER($M401)),$M401=0),"",$C401/$M401-1)</f>
        <v>-0.0312074241799365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1213259</v>
      </c>
      <c r="D402" s="42" t="n">
        <v>1213755</v>
      </c>
      <c r="E402" s="42" t="n">
        <v>1210136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0.00484258894229983</v>
      </c>
      <c r="I402" s="45" t="n">
        <f aca="false">IF(AND(ISNUMBER($G402),$G402&gt;=MA_SHORT),AVERAGE(INDEX($C$5:$C402,399-MA_SHORT):$C402),"")</f>
        <v>1181979</v>
      </c>
      <c r="J402" s="45" t="n">
        <f aca="false">IF(AND(ISNUMBER($G402),$G402&gt;=MA_MED),AVERAGE(INDEX($C$5:$C402,399-MA_MED):$C402),"")</f>
        <v>1201442.58</v>
      </c>
      <c r="K402" s="45" t="n">
        <f aca="false">IF(AND(ISNUMBER($G402),$G402&gt;=MA_LONG2),AVERAGE(INDEX($C$5:$C402,399-MA_LONG2):$C402),"")</f>
        <v>1125340.645</v>
      </c>
      <c r="L402" s="46" t="n">
        <f aca="false">IF(AND(ISNUMBER($G402),$G402&gt;=21),STDEV(INDEX($H$342:$H402,62-20):$H402)*SQRT(245),"")</f>
        <v>0.225090936540847</v>
      </c>
      <c r="M402" s="45" t="n">
        <f aca="false">IF(AND(ISNUMBER($G402),$G402&gt;=60),MAX(INDEX($D$202:$D402,202-60):$D402),"")</f>
        <v>1246306</v>
      </c>
      <c r="N402" s="45" t="n">
        <f aca="false">IF(AND(ISNUMBER($G402),$G402&gt;=60),MIN(INDEX($E$202:$E402,202-60):$E402),"")</f>
        <v>1145025</v>
      </c>
      <c r="O402" s="46" t="n">
        <f aca="false">IF(OR(NOT(ISNUMBER($C402)),NOT(ISNUMBER($M402)),$M402=0),"",$C402/$M402-1)</f>
        <v>-0.0265159599648882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1211089</v>
      </c>
      <c r="D403" s="42" t="n">
        <v>1211890</v>
      </c>
      <c r="E403" s="42" t="n">
        <v>1210886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-0.00178857111301045</v>
      </c>
      <c r="I403" s="45" t="n">
        <f aca="false">IF(AND(ISNUMBER($G403),$G403&gt;=MA_SHORT),AVERAGE(INDEX($C$5:$C403,400-MA_SHORT):$C403),"")</f>
        <v>1184035.45</v>
      </c>
      <c r="J403" s="45" t="n">
        <f aca="false">IF(AND(ISNUMBER($G403),$G403&gt;=MA_MED),AVERAGE(INDEX($C$5:$C403,400-MA_MED):$C403),"")</f>
        <v>1201703.06</v>
      </c>
      <c r="K403" s="45" t="n">
        <f aca="false">IF(AND(ISNUMBER($G403),$G403&gt;=MA_LONG2),AVERAGE(INDEX($C$5:$C403,400-MA_LONG2):$C403),"")</f>
        <v>1125543.89</v>
      </c>
      <c r="L403" s="46" t="n">
        <f aca="false">IF(AND(ISNUMBER($G403),$G403&gt;=21),STDEV(INDEX($H$343:$H403,62-20):$H403)*SQRT(245),"")</f>
        <v>0.121766094595294</v>
      </c>
      <c r="M403" s="45" t="n">
        <f aca="false">IF(AND(ISNUMBER($G403),$G403&gt;=60),MAX(INDEX($D$203:$D403,202-60):$D403),"")</f>
        <v>1246306</v>
      </c>
      <c r="N403" s="45" t="n">
        <f aca="false">IF(AND(ISNUMBER($G403),$G403&gt;=60),MIN(INDEX($E$203:$E403,202-60):$E403),"")</f>
        <v>1160671</v>
      </c>
      <c r="O403" s="46" t="n">
        <f aca="false">IF(OR(NOT(ISNUMBER($C403)),NOT(ISNUMBER($M403)),$M403=0),"",$C403/$M403-1)</f>
        <v>-0.0282571053978717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1205589</v>
      </c>
      <c r="D404" s="42" t="n">
        <v>1208500</v>
      </c>
      <c r="E404" s="42" t="n">
        <v>1202758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-0.0045413673148712</v>
      </c>
      <c r="I404" s="45" t="n">
        <f aca="false">IF(AND(ISNUMBER($G404),$G404&gt;=MA_SHORT),AVERAGE(INDEX($C$5:$C404,401-MA_SHORT):$C404),"")</f>
        <v>1185805.95</v>
      </c>
      <c r="J404" s="45" t="n">
        <f aca="false">IF(AND(ISNUMBER($G404),$G404&gt;=MA_MED),AVERAGE(INDEX($C$5:$C404,401-MA_MED):$C404),"")</f>
        <v>1201586.84</v>
      </c>
      <c r="K404" s="45" t="n">
        <f aca="false">IF(AND(ISNUMBER($G404),$G404&gt;=MA_LONG2),AVERAGE(INDEX($C$5:$C404,401-MA_LONG2):$C404),"")</f>
        <v>1125637.92</v>
      </c>
      <c r="L404" s="46" t="n">
        <f aca="false">IF(AND(ISNUMBER($G404),$G404&gt;=21),STDEV(INDEX($H$344:$H404,62-20):$H404)*SQRT(245),"")</f>
        <v>0.123662462764875</v>
      </c>
      <c r="M404" s="45" t="n">
        <f aca="false">IF(AND(ISNUMBER($G404),$G404&gt;=60),MAX(INDEX($D$204:$D404,202-60):$D404),"")</f>
        <v>1246306</v>
      </c>
      <c r="N404" s="45" t="n">
        <f aca="false">IF(AND(ISNUMBER($G404),$G404&gt;=60),MIN(INDEX($E$204:$E404,202-60):$E404),"")</f>
        <v>1162593</v>
      </c>
      <c r="O404" s="46" t="n">
        <f aca="false">IF(OR(NOT(ISNUMBER($C404)),NOT(ISNUMBER($M404)),$M404=0),"",$C404/$M404-1)</f>
        <v>-0.0326701468178762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1195219</v>
      </c>
      <c r="D405" s="42" t="n">
        <v>1197061</v>
      </c>
      <c r="E405" s="42" t="n">
        <v>1190565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-0.00860160469280991</v>
      </c>
      <c r="I405" s="45" t="n">
        <f aca="false">IF(AND(ISNUMBER($G405),$G405&gt;=MA_SHORT),AVERAGE(INDEX($C$5:$C405,402-MA_SHORT):$C405),"")</f>
        <v>1186314.55</v>
      </c>
      <c r="J405" s="45" t="n">
        <f aca="false">IF(AND(ISNUMBER($G405),$G405&gt;=MA_MED),AVERAGE(INDEX($C$5:$C405,402-MA_MED):$C405),"")</f>
        <v>1201317.94</v>
      </c>
      <c r="K405" s="45" t="n">
        <f aca="false">IF(AND(ISNUMBER($G405),$G405&gt;=MA_LONG2),AVERAGE(INDEX($C$5:$C405,402-MA_LONG2):$C405),"")</f>
        <v>1125695.58</v>
      </c>
      <c r="L405" s="46" t="n">
        <f aca="false">IF(AND(ISNUMBER($G405),$G405&gt;=21),STDEV(INDEX($H$345:$H405,62-20):$H405)*SQRT(245),"")</f>
        <v>0.121276663877699</v>
      </c>
      <c r="M405" s="45" t="n">
        <f aca="false">IF(AND(ISNUMBER($G405),$G405&gt;=60),MAX(INDEX($D$205:$D405,202-60):$D405),"")</f>
        <v>1246306</v>
      </c>
      <c r="N405" s="45" t="n">
        <f aca="false">IF(AND(ISNUMBER($G405),$G405&gt;=60),MIN(INDEX($E$205:$E405,202-60):$E405),"")</f>
        <v>1162593</v>
      </c>
      <c r="O405" s="46" t="n">
        <f aca="false">IF(OR(NOT(ISNUMBER($C405)),NOT(ISNUMBER($M405)),$M405=0),"",$C405/$M405-1)</f>
        <v>-0.0409907358225027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1208135</v>
      </c>
      <c r="D406" s="42" t="n">
        <v>1210219</v>
      </c>
      <c r="E406" s="42" t="n">
        <v>1203876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0.0108063877833267</v>
      </c>
      <c r="I406" s="45" t="n">
        <f aca="false">IF(AND(ISNUMBER($G406),$G406&gt;=MA_SHORT),AVERAGE(INDEX($C$6:$C406,402-MA_SHORT):$C406),"")</f>
        <v>1187433.9</v>
      </c>
      <c r="J406" s="45" t="n">
        <f aca="false">IF(AND(ISNUMBER($G406),$G406&gt;=MA_MED),AVERAGE(INDEX($C$6:$C406,402-MA_MED):$C406),"")</f>
        <v>1201356.42</v>
      </c>
      <c r="K406" s="45" t="n">
        <f aca="false">IF(AND(ISNUMBER($G406),$G406&gt;=MA_LONG2),AVERAGE(INDEX($C$6:$C406,402-MA_LONG2):$C406),"")</f>
        <v>1125808.52</v>
      </c>
      <c r="L406" s="46" t="n">
        <f aca="false">IF(AND(ISNUMBER($G406),$G406&gt;=21),STDEV(INDEX($H$346:$H406,62-20):$H406)*SQRT(245),"")</f>
        <v>0.126577867781326</v>
      </c>
      <c r="M406" s="45" t="n">
        <f aca="false">IF(AND(ISNUMBER($G406),$G406&gt;=60),MAX(INDEX($D$206:$D406,202-60):$D406),"")</f>
        <v>1246306</v>
      </c>
      <c r="N406" s="45" t="n">
        <f aca="false">IF(AND(ISNUMBER($G406),$G406&gt;=60),MIN(INDEX($E$206:$E406,202-60):$E406),"")</f>
        <v>1162593</v>
      </c>
      <c r="O406" s="46" t="n">
        <f aca="false">IF(OR(NOT(ISNUMBER($C406)),NOT(ISNUMBER($M406)),$M406=0),"",$C406/$M406-1)</f>
        <v>-0.0306273098259978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1188727</v>
      </c>
      <c r="D407" s="42" t="n">
        <v>1190152</v>
      </c>
      <c r="E407" s="42" t="n">
        <v>1186375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-0.016064429885733</v>
      </c>
      <c r="I407" s="45" t="n">
        <f aca="false">IF(AND(ISNUMBER($G407),$G407&gt;=MA_SHORT),AVERAGE(INDEX($C$7:$C407,402-MA_SHORT):$C407),"")</f>
        <v>1187920.95</v>
      </c>
      <c r="J407" s="45" t="n">
        <f aca="false">IF(AND(ISNUMBER($G407),$G407&gt;=MA_MED),AVERAGE(INDEX($C$7:$C407,402-MA_MED):$C407),"")</f>
        <v>1201171.8</v>
      </c>
      <c r="K407" s="45" t="n">
        <f aca="false">IF(AND(ISNUMBER($G407),$G407&gt;=MA_LONG2),AVERAGE(INDEX($C$7:$C407,402-MA_LONG2):$C407),"")</f>
        <v>1125937.575</v>
      </c>
      <c r="L407" s="46" t="n">
        <f aca="false">IF(AND(ISNUMBER($G407),$G407&gt;=21),STDEV(INDEX($H$347:$H407,62-20):$H407)*SQRT(245),"")</f>
        <v>0.138272890882965</v>
      </c>
      <c r="M407" s="45" t="n">
        <f aca="false">IF(AND(ISNUMBER($G407),$G407&gt;=60),MAX(INDEX($D$207:$D407,202-60):$D407),"")</f>
        <v>1246306</v>
      </c>
      <c r="N407" s="45" t="n">
        <f aca="false">IF(AND(ISNUMBER($G407),$G407&gt;=60),MIN(INDEX($E$207:$E407,202-60):$E407),"")</f>
        <v>1162593</v>
      </c>
      <c r="O407" s="46" t="n">
        <f aca="false">IF(OR(NOT(ISNUMBER($C407)),NOT(ISNUMBER($M407)),$M407=0),"",$C407/$M407-1)</f>
        <v>-0.0461997294404424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1202393</v>
      </c>
      <c r="D408" s="42" t="n">
        <v>1207901</v>
      </c>
      <c r="E408" s="42" t="n">
        <v>1198202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0.0114963317902259</v>
      </c>
      <c r="I408" s="45" t="n">
        <f aca="false">IF(AND(ISNUMBER($G408),$G408&gt;=MA_SHORT),AVERAGE(INDEX($C$8:$C408,402-MA_SHORT):$C408),"")</f>
        <v>1189381</v>
      </c>
      <c r="J408" s="45" t="n">
        <f aca="false">IF(AND(ISNUMBER($G408),$G408&gt;=MA_MED),AVERAGE(INDEX($C$8:$C408,402-MA_MED):$C408),"")</f>
        <v>1201254.06</v>
      </c>
      <c r="K408" s="45" t="n">
        <f aca="false">IF(AND(ISNUMBER($G408),$G408&gt;=MA_LONG2),AVERAGE(INDEX($C$8:$C408,402-MA_LONG2):$C408),"")</f>
        <v>1126128.335</v>
      </c>
      <c r="L408" s="46" t="n">
        <f aca="false">IF(AND(ISNUMBER($G408),$G408&gt;=21),STDEV(INDEX($H$348:$H408,62-20):$H408)*SQRT(245),"")</f>
        <v>0.141946190113484</v>
      </c>
      <c r="M408" s="45" t="n">
        <f aca="false">IF(AND(ISNUMBER($G408),$G408&gt;=60),MAX(INDEX($D$208:$D408,202-60):$D408),"")</f>
        <v>1246306</v>
      </c>
      <c r="N408" s="45" t="n">
        <f aca="false">IF(AND(ISNUMBER($G408),$G408&gt;=60),MIN(INDEX($E$208:$E408,202-60):$E408),"")</f>
        <v>1162593</v>
      </c>
      <c r="O408" s="46" t="n">
        <f aca="false">IF(OR(NOT(ISNUMBER($C408)),NOT(ISNUMBER($M408)),$M408=0),"",$C408/$M408-1)</f>
        <v>-0.0352345250684824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1206342</v>
      </c>
      <c r="D409" s="42" t="n">
        <v>1209176</v>
      </c>
      <c r="E409" s="42" t="n">
        <v>1198874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0.00328428392380853</v>
      </c>
      <c r="I409" s="45" t="n">
        <f aca="false">IF(AND(ISNUMBER($G409),$G409&gt;=MA_SHORT),AVERAGE(INDEX($C$9:$C409,402-MA_SHORT):$C409),"")</f>
        <v>1191496.45</v>
      </c>
      <c r="J409" s="45" t="n">
        <f aca="false">IF(AND(ISNUMBER($G409),$G409&gt;=MA_MED),AVERAGE(INDEX($C$9:$C409,402-MA_MED):$C409),"")</f>
        <v>1201184.76</v>
      </c>
      <c r="K409" s="45" t="n">
        <f aca="false">IF(AND(ISNUMBER($G409),$G409&gt;=MA_LONG2),AVERAGE(INDEX($C$9:$C409,402-MA_LONG2):$C409),"")</f>
        <v>1126401.45</v>
      </c>
      <c r="L409" s="46" t="n">
        <f aca="false">IF(AND(ISNUMBER($G409),$G409&gt;=21),STDEV(INDEX($H$349:$H409,62-20):$H409)*SQRT(245),"")</f>
        <v>0.138056428108611</v>
      </c>
      <c r="M409" s="45" t="n">
        <f aca="false">IF(AND(ISNUMBER($G409),$G409&gt;=60),MAX(INDEX($D$209:$D409,202-60):$D409),"")</f>
        <v>1246306</v>
      </c>
      <c r="N409" s="45" t="n">
        <f aca="false">IF(AND(ISNUMBER($G409),$G409&gt;=60),MIN(INDEX($E$209:$E409,202-60):$E409),"")</f>
        <v>1162593</v>
      </c>
      <c r="O409" s="46" t="n">
        <f aca="false">IF(OR(NOT(ISNUMBER($C409)),NOT(ISNUMBER($M409)),$M409=0),"",$C409/$M409-1)</f>
        <v>-0.0320659613289193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1208490</v>
      </c>
      <c r="D410" s="42" t="n">
        <v>1211689</v>
      </c>
      <c r="E410" s="42" t="n">
        <v>1201828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0.00178058958404836</v>
      </c>
      <c r="I410" s="45" t="n">
        <f aca="false">IF(AND(ISNUMBER($G410),$G410&gt;=MA_SHORT),AVERAGE(INDEX($C$10:$C410,402-MA_SHORT):$C410),"")</f>
        <v>1193217.75</v>
      </c>
      <c r="J410" s="45" t="n">
        <f aca="false">IF(AND(ISNUMBER($G410),$G410&gt;=MA_MED),AVERAGE(INDEX($C$10:$C410,402-MA_MED):$C410),"")</f>
        <v>1201302.08</v>
      </c>
      <c r="K410" s="45" t="n">
        <f aca="false">IF(AND(ISNUMBER($G410),$G410&gt;=MA_LONG2),AVERAGE(INDEX($C$10:$C410,402-MA_LONG2):$C410),"")</f>
        <v>1126679.145</v>
      </c>
      <c r="L410" s="46" t="n">
        <f aca="false">IF(AND(ISNUMBER($G410),$G410&gt;=21),STDEV(INDEX($H$350:$H410,62-20):$H410)*SQRT(245),"")</f>
        <v>0.135772987347402</v>
      </c>
      <c r="M410" s="45" t="n">
        <f aca="false">IF(AND(ISNUMBER($G410),$G410&gt;=60),MAX(INDEX($D$210:$D410,202-60):$D410),"")</f>
        <v>1246306</v>
      </c>
      <c r="N410" s="45" t="n">
        <f aca="false">IF(AND(ISNUMBER($G410),$G410&gt;=60),MIN(INDEX($E$210:$E410,202-60):$E410),"")</f>
        <v>1162593</v>
      </c>
      <c r="O410" s="46" t="n">
        <f aca="false">IF(OR(NOT(ISNUMBER($C410)),NOT(ISNUMBER($M410)),$M410=0),"",$C410/$M410-1)</f>
        <v>-0.0303424680616157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1223316</v>
      </c>
      <c r="D411" s="42" t="n">
        <v>1224378</v>
      </c>
      <c r="E411" s="42" t="n">
        <v>1220684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0.0122682024675422</v>
      </c>
      <c r="I411" s="45" t="n">
        <f aca="false">IF(AND(ISNUMBER($G411),$G411&gt;=MA_SHORT),AVERAGE(INDEX($C$11:$C411,402-MA_SHORT):$C411),"")</f>
        <v>1195609.45</v>
      </c>
      <c r="J411" s="45" t="n">
        <f aca="false">IF(AND(ISNUMBER($G411),$G411&gt;=MA_MED),AVERAGE(INDEX($C$11:$C411,402-MA_MED):$C411),"")</f>
        <v>1201630.6</v>
      </c>
      <c r="K411" s="45" t="n">
        <f aca="false">IF(AND(ISNUMBER($G411),$G411&gt;=MA_LONG2),AVERAGE(INDEX($C$11:$C411,402-MA_LONG2):$C411),"")</f>
        <v>1127010.065</v>
      </c>
      <c r="L411" s="46" t="n">
        <f aca="false">IF(AND(ISNUMBER($G411),$G411&gt;=21),STDEV(INDEX($H$351:$H411,62-20):$H411)*SQRT(245),"")</f>
        <v>0.140906737492094</v>
      </c>
      <c r="M411" s="45" t="n">
        <f aca="false">IF(AND(ISNUMBER($G411),$G411&gt;=60),MAX(INDEX($D$211:$D411,202-60):$D411),"")</f>
        <v>1246306</v>
      </c>
      <c r="N411" s="45" t="n">
        <f aca="false">IF(AND(ISNUMBER($G411),$G411&gt;=60),MIN(INDEX($E$211:$E411,202-60):$E411),"")</f>
        <v>1162593</v>
      </c>
      <c r="O411" s="46" t="n">
        <f aca="false">IF(OR(NOT(ISNUMBER($C411)),NOT(ISNUMBER($M411)),$M411=0),"",$C411/$M411-1)</f>
        <v>-0.0184465131356184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1198617</v>
      </c>
      <c r="D412" s="42" t="n">
        <v>1200331</v>
      </c>
      <c r="E412" s="42" t="n">
        <v>1190765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-0.0201902043298706</v>
      </c>
      <c r="I412" s="45" t="n">
        <f aca="false">IF(AND(ISNUMBER($G412),$G412&gt;=MA_SHORT),AVERAGE(INDEX($C$12:$C412,402-MA_SHORT):$C412),"")</f>
        <v>1196476.9</v>
      </c>
      <c r="J412" s="45" t="n">
        <f aca="false">IF(AND(ISNUMBER($G412),$G412&gt;=MA_MED),AVERAGE(INDEX($C$12:$C412,402-MA_MED):$C412),"")</f>
        <v>1201535.84</v>
      </c>
      <c r="K412" s="45" t="n">
        <f aca="false">IF(AND(ISNUMBER($G412),$G412&gt;=MA_LONG2),AVERAGE(INDEX($C$12:$C412,402-MA_LONG2):$C412),"")</f>
        <v>1127171.72</v>
      </c>
      <c r="L412" s="46" t="n">
        <f aca="false">IF(AND(ISNUMBER($G412),$G412&gt;=21),STDEV(INDEX($H$352:$H412,62-20):$H412)*SQRT(245),"")</f>
        <v>0.160343426416887</v>
      </c>
      <c r="M412" s="45" t="n">
        <f aca="false">IF(AND(ISNUMBER($G412),$G412&gt;=60),MAX(INDEX($D$212:$D412,202-60):$D412),"")</f>
        <v>1246306</v>
      </c>
      <c r="N412" s="45" t="n">
        <f aca="false">IF(AND(ISNUMBER($G412),$G412&gt;=60),MIN(INDEX($E$212:$E412,202-60):$E412),"")</f>
        <v>1162593</v>
      </c>
      <c r="O412" s="46" t="n">
        <f aca="false">IF(OR(NOT(ISNUMBER($C412)),NOT(ISNUMBER($M412)),$M412=0),"",$C412/$M412-1)</f>
        <v>-0.0382642785961073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1176427</v>
      </c>
      <c r="D413" s="42" t="n">
        <v>1180446</v>
      </c>
      <c r="E413" s="42" t="n">
        <v>1171184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-0.0185130029025118</v>
      </c>
      <c r="I413" s="45" t="n">
        <f aca="false">IF(AND(ISNUMBER($G413),$G413&gt;=MA_SHORT),AVERAGE(INDEX($C$13:$C413,402-MA_SHORT):$C413),"")</f>
        <v>1196050.95</v>
      </c>
      <c r="J413" s="45" t="n">
        <f aca="false">IF(AND(ISNUMBER($G413),$G413&gt;=MA_MED),AVERAGE(INDEX($C$13:$C413,402-MA_MED):$C413),"")</f>
        <v>1200981.7</v>
      </c>
      <c r="K413" s="45" t="n">
        <f aca="false">IF(AND(ISNUMBER($G413),$G413&gt;=MA_LONG2),AVERAGE(INDEX($C$13:$C413,402-MA_LONG2):$C413),"")</f>
        <v>1127206.07</v>
      </c>
      <c r="L413" s="46" t="n">
        <f aca="false">IF(AND(ISNUMBER($G413),$G413&gt;=21),STDEV(INDEX($H$353:$H413,62-20):$H413)*SQRT(245),"")</f>
        <v>0.173601550521259</v>
      </c>
      <c r="M413" s="45" t="n">
        <f aca="false">IF(AND(ISNUMBER($G413),$G413&gt;=60),MAX(INDEX($D$213:$D413,202-60):$D413),"")</f>
        <v>1246306</v>
      </c>
      <c r="N413" s="45" t="n">
        <f aca="false">IF(AND(ISNUMBER($G413),$G413&gt;=60),MIN(INDEX($E$213:$E413,202-60):$E413),"")</f>
        <v>1162593</v>
      </c>
      <c r="O413" s="46" t="n">
        <f aca="false">IF(OR(NOT(ISNUMBER($C413)),NOT(ISNUMBER($M413)),$M413=0),"",$C413/$M413-1)</f>
        <v>-0.0560688947979068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1182436</v>
      </c>
      <c r="D414" s="42" t="n">
        <v>1187583</v>
      </c>
      <c r="E414" s="42" t="n">
        <v>1178673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0.005107839245444</v>
      </c>
      <c r="I414" s="45" t="n">
        <f aca="false">IF(AND(ISNUMBER($G414),$G414&gt;=MA_SHORT),AVERAGE(INDEX($C$14:$C414,402-MA_SHORT):$C414),"")</f>
        <v>1196668.65</v>
      </c>
      <c r="J414" s="45" t="n">
        <f aca="false">IF(AND(ISNUMBER($G414),$G414&gt;=MA_MED),AVERAGE(INDEX($C$14:$C414,402-MA_MED):$C414),"")</f>
        <v>1200876.22</v>
      </c>
      <c r="K414" s="45" t="n">
        <f aca="false">IF(AND(ISNUMBER($G414),$G414&gt;=MA_LONG2),AVERAGE(INDEX($C$14:$C414,402-MA_LONG2):$C414),"")</f>
        <v>1127264.36</v>
      </c>
      <c r="L414" s="46" t="n">
        <f aca="false">IF(AND(ISNUMBER($G414),$G414&gt;=21),STDEV(INDEX($H$354:$H414,62-20):$H414)*SQRT(245),"")</f>
        <v>0.168468183348344</v>
      </c>
      <c r="M414" s="45" t="n">
        <f aca="false">IF(AND(ISNUMBER($G414),$G414&gt;=60),MAX(INDEX($D$214:$D414,202-60):$D414),"")</f>
        <v>1246306</v>
      </c>
      <c r="N414" s="45" t="n">
        <f aca="false">IF(AND(ISNUMBER($G414),$G414&gt;=60),MIN(INDEX($E$214:$E414,202-60):$E414),"")</f>
        <v>1162593</v>
      </c>
      <c r="O414" s="46" t="n">
        <f aca="false">IF(OR(NOT(ISNUMBER($C414)),NOT(ISNUMBER($M414)),$M414=0),"",$C414/$M414-1)</f>
        <v>-0.0512474464537601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1188586</v>
      </c>
      <c r="D415" s="42" t="n">
        <v>1191581</v>
      </c>
      <c r="E415" s="42" t="n">
        <v>1187540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0.00520112716459908</v>
      </c>
      <c r="I415" s="45" t="n">
        <f aca="false">IF(AND(ISNUMBER($G415),$G415&gt;=MA_SHORT),AVERAGE(INDEX($C$15:$C415,402-MA_SHORT):$C415),"")</f>
        <v>1196724.25</v>
      </c>
      <c r="J415" s="45" t="n">
        <f aca="false">IF(AND(ISNUMBER($G415),$G415&gt;=MA_MED),AVERAGE(INDEX($C$15:$C415,402-MA_MED):$C415),"")</f>
        <v>1201111.7</v>
      </c>
      <c r="K415" s="45" t="n">
        <f aca="false">IF(AND(ISNUMBER($G415),$G415&gt;=MA_LONG2),AVERAGE(INDEX($C$15:$C415,402-MA_LONG2):$C415),"")</f>
        <v>1127354.72</v>
      </c>
      <c r="L415" s="46" t="n">
        <f aca="false">IF(AND(ISNUMBER($G415),$G415&gt;=21),STDEV(INDEX($H$355:$H415,62-20):$H415)*SQRT(245),"")</f>
        <v>0.161139393136103</v>
      </c>
      <c r="M415" s="45" t="n">
        <f aca="false">IF(AND(ISNUMBER($G415),$G415&gt;=60),MAX(INDEX($D$215:$D415,202-60):$D415),"")</f>
        <v>1246306</v>
      </c>
      <c r="N415" s="45" t="n">
        <f aca="false">IF(AND(ISNUMBER($G415),$G415&gt;=60),MIN(INDEX($E$215:$E415,202-60):$E415),"")</f>
        <v>1162593</v>
      </c>
      <c r="O415" s="46" t="n">
        <f aca="false">IF(OR(NOT(ISNUMBER($C415)),NOT(ISNUMBER($M415)),$M415=0),"",$C415/$M415-1)</f>
        <v>-0.046312863775028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1182204</v>
      </c>
      <c r="D416" s="42" t="n">
        <v>1182391</v>
      </c>
      <c r="E416" s="42" t="n">
        <v>1180017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-0.00536940532700203</v>
      </c>
      <c r="I416" s="45" t="n">
        <f aca="false">IF(AND(ISNUMBER($G416),$G416&gt;=MA_SHORT),AVERAGE(INDEX($C$16:$C416,402-MA_SHORT):$C416),"")</f>
        <v>1196720.35</v>
      </c>
      <c r="J416" s="45" t="n">
        <f aca="false">IF(AND(ISNUMBER($G416),$G416&gt;=MA_MED),AVERAGE(INDEX($C$16:$C416,402-MA_MED):$C416),"")</f>
        <v>1201076.24</v>
      </c>
      <c r="K416" s="45" t="n">
        <f aca="false">IF(AND(ISNUMBER($G416),$G416&gt;=MA_LONG2),AVERAGE(INDEX($C$16:$C416,402-MA_LONG2):$C416),"")</f>
        <v>1127388.975</v>
      </c>
      <c r="L416" s="46" t="n">
        <f aca="false">IF(AND(ISNUMBER($G416),$G416&gt;=21),STDEV(INDEX($H$356:$H416,62-20):$H416)*SQRT(245),"")</f>
        <v>0.161533337453729</v>
      </c>
      <c r="M416" s="45" t="n">
        <f aca="false">IF(AND(ISNUMBER($G416),$G416&gt;=60),MAX(INDEX($D$216:$D416,202-60):$D416),"")</f>
        <v>1246306</v>
      </c>
      <c r="N416" s="45" t="n">
        <f aca="false">IF(AND(ISNUMBER($G416),$G416&gt;=60),MIN(INDEX($E$216:$E416,202-60):$E416),"")</f>
        <v>1162593</v>
      </c>
      <c r="O416" s="46" t="n">
        <f aca="false">IF(OR(NOT(ISNUMBER($C416)),NOT(ISNUMBER($M416)),$M416=0),"",$C416/$M416-1)</f>
        <v>-0.0514335965645676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1183748</v>
      </c>
      <c r="D417" s="42" t="n">
        <v>1186964</v>
      </c>
      <c r="E417" s="42" t="n">
        <v>1180193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0.00130603516821126</v>
      </c>
      <c r="I417" s="45" t="n">
        <f aca="false">IF(AND(ISNUMBER($G417),$G417&gt;=MA_SHORT),AVERAGE(INDEX($C$17:$C417,402-MA_SHORT):$C417),"")</f>
        <v>1197409.4</v>
      </c>
      <c r="J417" s="45" t="n">
        <f aca="false">IF(AND(ISNUMBER($G417),$G417&gt;=MA_MED),AVERAGE(INDEX($C$17:$C417,402-MA_MED):$C417),"")</f>
        <v>1200769.16</v>
      </c>
      <c r="K417" s="45" t="n">
        <f aca="false">IF(AND(ISNUMBER($G417),$G417&gt;=MA_LONG2),AVERAGE(INDEX($C$17:$C417,402-MA_LONG2):$C417),"")</f>
        <v>1127425.335</v>
      </c>
      <c r="L417" s="46" t="n">
        <f aca="false">IF(AND(ISNUMBER($G417),$G417&gt;=21),STDEV(INDEX($H$357:$H417,62-20):$H417)*SQRT(245),"")</f>
        <v>0.156885267008685</v>
      </c>
      <c r="M417" s="45" t="n">
        <f aca="false">IF(AND(ISNUMBER($G417),$G417&gt;=60),MAX(INDEX($D$217:$D417,202-60):$D417),"")</f>
        <v>1246306</v>
      </c>
      <c r="N417" s="45" t="n">
        <f aca="false">IF(AND(ISNUMBER($G417),$G417&gt;=60),MIN(INDEX($E$217:$E417,202-60):$E417),"")</f>
        <v>1162593</v>
      </c>
      <c r="O417" s="46" t="n">
        <f aca="false">IF(OR(NOT(ISNUMBER($C417)),NOT(ISNUMBER($M417)),$M417=0),"",$C417/$M417-1)</f>
        <v>-0.0501947354822973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1182297</v>
      </c>
      <c r="D418" s="42" t="n">
        <v>1182795</v>
      </c>
      <c r="E418" s="42" t="n">
        <v>1177940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-0.00122576764649229</v>
      </c>
      <c r="I418" s="45" t="n">
        <f aca="false">IF(AND(ISNUMBER($G418),$G418&gt;=MA_SHORT),AVERAGE(INDEX($C$18:$C418,402-MA_SHORT):$C418),"")</f>
        <v>1197732.9</v>
      </c>
      <c r="J418" s="45" t="n">
        <f aca="false">IF(AND(ISNUMBER($G418),$G418&gt;=MA_MED),AVERAGE(INDEX($C$18:$C418,402-MA_MED):$C418),"")</f>
        <v>1200310.68</v>
      </c>
      <c r="K418" s="45" t="n">
        <f aca="false">IF(AND(ISNUMBER($G418),$G418&gt;=MA_LONG2),AVERAGE(INDEX($C$18:$C418,402-MA_LONG2):$C418),"")</f>
        <v>1127533.73</v>
      </c>
      <c r="L418" s="46" t="n">
        <f aca="false">IF(AND(ISNUMBER($G418),$G418&gt;=21),STDEV(INDEX($H$358:$H418,62-20):$H418)*SQRT(245),"")</f>
        <v>0.15615917607072</v>
      </c>
      <c r="M418" s="45" t="n">
        <f aca="false">IF(AND(ISNUMBER($G418),$G418&gt;=60),MAX(INDEX($D$218:$D418,202-60):$D418),"")</f>
        <v>1246306</v>
      </c>
      <c r="N418" s="45" t="n">
        <f aca="false">IF(AND(ISNUMBER($G418),$G418&gt;=60),MIN(INDEX($E$218:$E418,202-60):$E418),"")</f>
        <v>1162593</v>
      </c>
      <c r="O418" s="46" t="n">
        <f aca="false">IF(OR(NOT(ISNUMBER($C418)),NOT(ISNUMBER($M418)),$M418=0),"",$C418/$M418-1)</f>
        <v>-0.0513589760460111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1179542</v>
      </c>
      <c r="D419" s="42" t="n">
        <v>1181228</v>
      </c>
      <c r="E419" s="42" t="n">
        <v>1174454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-0.00233020975271014</v>
      </c>
      <c r="I419" s="45" t="n">
        <f aca="false">IF(AND(ISNUMBER($G419),$G419&gt;=MA_SHORT),AVERAGE(INDEX($C$19:$C419,402-MA_SHORT):$C419),"")</f>
        <v>1197288.7</v>
      </c>
      <c r="J419" s="45" t="n">
        <f aca="false">IF(AND(ISNUMBER($G419),$G419&gt;=MA_MED),AVERAGE(INDEX($C$19:$C419,402-MA_MED):$C419),"")</f>
        <v>1199740.22</v>
      </c>
      <c r="K419" s="45" t="n">
        <f aca="false">IF(AND(ISNUMBER($G419),$G419&gt;=MA_LONG2),AVERAGE(INDEX($C$19:$C419,402-MA_LONG2):$C419),"")</f>
        <v>1127750.67</v>
      </c>
      <c r="L419" s="46" t="n">
        <f aca="false">IF(AND(ISNUMBER($G419),$G419&gt;=21),STDEV(INDEX($H$359:$H419,62-20):$H419)*SQRT(245),"")</f>
        <v>0.15157116850922</v>
      </c>
      <c r="M419" s="45" t="n">
        <f aca="false">IF(AND(ISNUMBER($G419),$G419&gt;=60),MAX(INDEX($D$219:$D419,202-60):$D419),"")</f>
        <v>1246306</v>
      </c>
      <c r="N419" s="45" t="n">
        <f aca="false">IF(AND(ISNUMBER($G419),$G419&gt;=60),MIN(INDEX($E$219:$E419,202-60):$E419),"")</f>
        <v>1162593</v>
      </c>
      <c r="O419" s="46" t="n">
        <f aca="false">IF(OR(NOT(ISNUMBER($C419)),NOT(ISNUMBER($M419)),$M419=0),"",$C419/$M419-1)</f>
        <v>-0.0535695086118497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1193522</v>
      </c>
      <c r="D420" s="42" t="n">
        <v>1194655</v>
      </c>
      <c r="E420" s="42" t="n">
        <v>1187387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0.0118520578326164</v>
      </c>
      <c r="I420" s="45" t="n">
        <f aca="false">IF(AND(ISNUMBER($G420),$G420&gt;=MA_SHORT),AVERAGE(INDEX($C$20:$C420,402-MA_SHORT):$C420),"")</f>
        <v>1196867.5</v>
      </c>
      <c r="J420" s="45" t="n">
        <f aca="false">IF(AND(ISNUMBER($G420),$G420&gt;=MA_MED),AVERAGE(INDEX($C$20:$C420,402-MA_MED):$C420),"")</f>
        <v>1199186.3</v>
      </c>
      <c r="K420" s="45" t="n">
        <f aca="false">IF(AND(ISNUMBER($G420),$G420&gt;=MA_LONG2),AVERAGE(INDEX($C$20:$C420,402-MA_LONG2):$C420),"")</f>
        <v>1128007.09</v>
      </c>
      <c r="L420" s="46" t="n">
        <f aca="false">IF(AND(ISNUMBER($G420),$G420&gt;=21),STDEV(INDEX($H$360:$H420,62-20):$H420)*SQRT(245),"")</f>
        <v>0.152053278500906</v>
      </c>
      <c r="M420" s="45" t="n">
        <f aca="false">IF(AND(ISNUMBER($G420),$G420&gt;=60),MAX(INDEX($D$220:$D420,202-60):$D420),"")</f>
        <v>1246306</v>
      </c>
      <c r="N420" s="45" t="n">
        <f aca="false">IF(AND(ISNUMBER($G420),$G420&gt;=60),MIN(INDEX($E$220:$E420,202-60):$E420),"")</f>
        <v>1162593</v>
      </c>
      <c r="O420" s="46" t="n">
        <f aca="false">IF(OR(NOT(ISNUMBER($C420)),NOT(ISNUMBER($M420)),$M420=0),"",$C420/$M420-1)</f>
        <v>-0.0423523596933658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1262686</v>
      </c>
      <c r="D421" s="42" t="n">
        <v>1267711</v>
      </c>
      <c r="E421" s="42" t="n">
        <v>1259756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0.0579494973699688</v>
      </c>
      <c r="I421" s="45" t="n">
        <f aca="false">IF(AND(ISNUMBER($G421),$G421&gt;=MA_SHORT),AVERAGE(INDEX($C$21:$C421,402-MA_SHORT):$C421),"")</f>
        <v>1199631.2</v>
      </c>
      <c r="J421" s="45" t="n">
        <f aca="false">IF(AND(ISNUMBER($G421),$G421&gt;=MA_MED),AVERAGE(INDEX($C$21:$C421,402-MA_MED):$C421),"")</f>
        <v>1199899.32</v>
      </c>
      <c r="K421" s="45" t="n">
        <f aca="false">IF(AND(ISNUMBER($G421),$G421&gt;=MA_LONG2),AVERAGE(INDEX($C$21:$C421,402-MA_LONG2):$C421),"")</f>
        <v>1128673.44</v>
      </c>
      <c r="L421" s="46" t="n">
        <f aca="false">IF(AND(ISNUMBER($G421),$G421&gt;=21),STDEV(INDEX($H$361:$H421,62-20):$H421)*SQRT(245),"")</f>
        <v>0.254439566448716</v>
      </c>
      <c r="M421" s="45" t="n">
        <f aca="false">IF(AND(ISNUMBER($G421),$G421&gt;=60),MAX(INDEX($D$221:$D421,202-60):$D421),"")</f>
        <v>1267711</v>
      </c>
      <c r="N421" s="45" t="n">
        <f aca="false">IF(AND(ISNUMBER($G421),$G421&gt;=60),MIN(INDEX($E$221:$E421,202-60):$E421),"")</f>
        <v>1162593</v>
      </c>
      <c r="O421" s="46" t="n">
        <f aca="false">IF(OR(NOT(ISNUMBER($C421)),NOT(ISNUMBER($M421)),$M421=0),"",$C421/$M421-1)</f>
        <v>-0.00396383718371141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1260921</v>
      </c>
      <c r="D422" s="42" t="n">
        <v>1264452</v>
      </c>
      <c r="E422" s="42" t="n">
        <v>1259702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-0.00139781386663029</v>
      </c>
      <c r="I422" s="45" t="n">
        <f aca="false">IF(AND(ISNUMBER($G422),$G422&gt;=MA_SHORT),AVERAGE(INDEX($C$22:$C422,402-MA_SHORT):$C422),"")</f>
        <v>1202014.3</v>
      </c>
      <c r="J422" s="45" t="n">
        <f aca="false">IF(AND(ISNUMBER($G422),$G422&gt;=MA_MED),AVERAGE(INDEX($C$22:$C422,402-MA_MED):$C422),"")</f>
        <v>1200806.1</v>
      </c>
      <c r="K422" s="45" t="n">
        <f aca="false">IF(AND(ISNUMBER($G422),$G422&gt;=MA_LONG2),AVERAGE(INDEX($C$22:$C422,402-MA_LONG2):$C422),"")</f>
        <v>1129269.585</v>
      </c>
      <c r="L422" s="46" t="n">
        <f aca="false">IF(AND(ISNUMBER($G422),$G422&gt;=21),STDEV(INDEX($H$362:$H422,62-20):$H422)*SQRT(245),"")</f>
        <v>0.254592943340652</v>
      </c>
      <c r="M422" s="45" t="n">
        <f aca="false">IF(AND(ISNUMBER($G422),$G422&gt;=60),MAX(INDEX($D$222:$D422,202-60):$D422),"")</f>
        <v>1267711</v>
      </c>
      <c r="N422" s="45" t="n">
        <f aca="false">IF(AND(ISNUMBER($G422),$G422&gt;=60),MIN(INDEX($E$222:$E422,202-60):$E422),"")</f>
        <v>1162593</v>
      </c>
      <c r="O422" s="46" t="n">
        <f aca="false">IF(OR(NOT(ISNUMBER($C422)),NOT(ISNUMBER($M422)),$M422=0),"",$C422/$M422-1)</f>
        <v>-0.00535611034376127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1277913</v>
      </c>
      <c r="D423" s="42" t="n">
        <v>1279399</v>
      </c>
      <c r="E423" s="42" t="n">
        <v>1269158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0.0134758640707864</v>
      </c>
      <c r="I423" s="45" t="n">
        <f aca="false">IF(AND(ISNUMBER($G423),$G423&gt;=MA_SHORT),AVERAGE(INDEX($C$23:$C423,402-MA_SHORT):$C423),"")</f>
        <v>1205355.5</v>
      </c>
      <c r="J423" s="45" t="n">
        <f aca="false">IF(AND(ISNUMBER($G423),$G423&gt;=MA_MED),AVERAGE(INDEX($C$23:$C423,402-MA_MED):$C423),"")</f>
        <v>1201702.24</v>
      </c>
      <c r="K423" s="45" t="n">
        <f aca="false">IF(AND(ISNUMBER($G423),$G423&gt;=MA_LONG2),AVERAGE(INDEX($C$23:$C423,402-MA_LONG2):$C423),"")</f>
        <v>1130064.775</v>
      </c>
      <c r="L423" s="46" t="n">
        <f aca="false">IF(AND(ISNUMBER($G423),$G423&gt;=21),STDEV(INDEX($H$363:$H423,62-20):$H423)*SQRT(245),"")</f>
        <v>0.257216182795328</v>
      </c>
      <c r="M423" s="45" t="n">
        <f aca="false">IF(AND(ISNUMBER($G423),$G423&gt;=60),MAX(INDEX($D$223:$D423,202-60):$D423),"")</f>
        <v>1279399</v>
      </c>
      <c r="N423" s="45" t="n">
        <f aca="false">IF(AND(ISNUMBER($G423),$G423&gt;=60),MIN(INDEX($E$223:$E423,202-60):$E423),"")</f>
        <v>1162593</v>
      </c>
      <c r="O423" s="46" t="n">
        <f aca="false">IF(OR(NOT(ISNUMBER($C423)),NOT(ISNUMBER($M423)),$M423=0),"",$C423/$M423-1)</f>
        <v>-0.00116148285249562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1282824</v>
      </c>
      <c r="D424" s="42" t="n">
        <v>1286318</v>
      </c>
      <c r="E424" s="42" t="n">
        <v>1279761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0.00384298461632371</v>
      </c>
      <c r="I424" s="45" t="n">
        <f aca="false">IF(AND(ISNUMBER($G424),$G424&gt;=MA_SHORT),AVERAGE(INDEX($C$24:$C424,402-MA_SHORT):$C424),"")</f>
        <v>1209217.25</v>
      </c>
      <c r="J424" s="45" t="n">
        <f aca="false">IF(AND(ISNUMBER($G424),$G424&gt;=MA_MED),AVERAGE(INDEX($C$24:$C424,402-MA_MED):$C424),"")</f>
        <v>1202715.7</v>
      </c>
      <c r="K424" s="45" t="n">
        <f aca="false">IF(AND(ISNUMBER($G424),$G424&gt;=MA_LONG2),AVERAGE(INDEX($C$24:$C424,402-MA_LONG2):$C424),"")</f>
        <v>1130830.565</v>
      </c>
      <c r="L424" s="46" t="n">
        <f aca="false">IF(AND(ISNUMBER($G424),$G424&gt;=21),STDEV(INDEX($H$364:$H424,62-20):$H424)*SQRT(245),"")</f>
        <v>0.255794282544798</v>
      </c>
      <c r="M424" s="45" t="n">
        <f aca="false">IF(AND(ISNUMBER($G424),$G424&gt;=60),MAX(INDEX($D$224:$D424,202-60):$D424),"")</f>
        <v>1286318</v>
      </c>
      <c r="N424" s="45" t="n">
        <f aca="false">IF(AND(ISNUMBER($G424),$G424&gt;=60),MIN(INDEX($E$224:$E424,202-60):$E424),"")</f>
        <v>1162593</v>
      </c>
      <c r="O424" s="46" t="n">
        <f aca="false">IF(OR(NOT(ISNUMBER($C424)),NOT(ISNUMBER($M424)),$M424=0),"",$C424/$M424-1)</f>
        <v>-0.00271628011113889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1282246</v>
      </c>
      <c r="D425" s="42" t="n">
        <v>1284101</v>
      </c>
      <c r="E425" s="42" t="n">
        <v>1279577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-0.000450568433393861</v>
      </c>
      <c r="I425" s="45" t="n">
        <f aca="false">IF(AND(ISNUMBER($G425),$G425&gt;=MA_SHORT),AVERAGE(INDEX($C$25:$C425,402-MA_SHORT):$C425),"")</f>
        <v>1213568.6</v>
      </c>
      <c r="J425" s="45" t="n">
        <f aca="false">IF(AND(ISNUMBER($G425),$G425&gt;=MA_MED),AVERAGE(INDEX($C$25:$C425,402-MA_MED):$C425),"")</f>
        <v>1203570.56</v>
      </c>
      <c r="K425" s="45" t="n">
        <f aca="false">IF(AND(ISNUMBER($G425),$G425&gt;=MA_LONG2),AVERAGE(INDEX($C$25:$C425,402-MA_LONG2):$C425),"")</f>
        <v>1131620.425</v>
      </c>
      <c r="L425" s="46" t="n">
        <f aca="false">IF(AND(ISNUMBER($G425),$G425&gt;=21),STDEV(INDEX($H$365:$H425,62-20):$H425)*SQRT(245),"")</f>
        <v>0.252500766358027</v>
      </c>
      <c r="M425" s="45" t="n">
        <f aca="false">IF(AND(ISNUMBER($G425),$G425&gt;=60),MAX(INDEX($D$225:$D425,202-60):$D425),"")</f>
        <v>1286318</v>
      </c>
      <c r="N425" s="45" t="n">
        <f aca="false">IF(AND(ISNUMBER($G425),$G425&gt;=60),MIN(INDEX($E$225:$E425,202-60):$E425),"")</f>
        <v>1162593</v>
      </c>
      <c r="O425" s="46" t="n">
        <f aca="false">IF(OR(NOT(ISNUMBER($C425)),NOT(ISNUMBER($M425)),$M425=0),"",$C425/$M425-1)</f>
        <v>-0.00316562467445847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1293500</v>
      </c>
      <c r="D426" s="42" t="n">
        <v>1300004</v>
      </c>
      <c r="E426" s="42" t="n">
        <v>1292806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0.00877678698159334</v>
      </c>
      <c r="I426" s="45" t="n">
        <f aca="false">IF(AND(ISNUMBER($G426),$G426&gt;=MA_SHORT),AVERAGE(INDEX($C$26:$C426,402-MA_SHORT):$C426),"")</f>
        <v>1217836.85</v>
      </c>
      <c r="J426" s="45" t="n">
        <f aca="false">IF(AND(ISNUMBER($G426),$G426&gt;=MA_MED),AVERAGE(INDEX($C$26:$C426,402-MA_MED):$C426),"")</f>
        <v>1204672.2</v>
      </c>
      <c r="K426" s="45" t="n">
        <f aca="false">IF(AND(ISNUMBER($G426),$G426&gt;=MA_LONG2),AVERAGE(INDEX($C$26:$C426,402-MA_LONG2):$C426),"")</f>
        <v>1132468.53</v>
      </c>
      <c r="L426" s="46" t="n">
        <f aca="false">IF(AND(ISNUMBER($G426),$G426&gt;=21),STDEV(INDEX($H$366:$H426,62-20):$H426)*SQRT(245),"")</f>
        <v>0.251857242680748</v>
      </c>
      <c r="M426" s="45" t="n">
        <f aca="false">IF(AND(ISNUMBER($G426),$G426&gt;=60),MAX(INDEX($D$226:$D426,202-60):$D426),"")</f>
        <v>1300004</v>
      </c>
      <c r="N426" s="45" t="n">
        <f aca="false">IF(AND(ISNUMBER($G426),$G426&gt;=60),MIN(INDEX($E$226:$E426,202-60):$E426),"")</f>
        <v>1162593</v>
      </c>
      <c r="O426" s="46" t="n">
        <f aca="false">IF(OR(NOT(ISNUMBER($C426)),NOT(ISNUMBER($M426)),$M426=0),"",$C426/$M426-1)</f>
        <v>-0.0050030615290414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1304706</v>
      </c>
      <c r="D427" s="42" t="n">
        <v>1309347</v>
      </c>
      <c r="E427" s="42" t="n">
        <v>1297364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0.00866331658291464</v>
      </c>
      <c r="I427" s="45" t="n">
        <f aca="false">IF(AND(ISNUMBER($G427),$G427&gt;=MA_SHORT),AVERAGE(INDEX($C$27:$C427,402-MA_SHORT):$C427),"")</f>
        <v>1223635.8</v>
      </c>
      <c r="J427" s="45" t="n">
        <f aca="false">IF(AND(ISNUMBER($G427),$G427&gt;=MA_MED),AVERAGE(INDEX($C$27:$C427,402-MA_MED):$C427),"")</f>
        <v>1206157.92</v>
      </c>
      <c r="K427" s="45" t="n">
        <f aca="false">IF(AND(ISNUMBER($G427),$G427&gt;=MA_LONG2),AVERAGE(INDEX($C$27:$C427,402-MA_LONG2):$C427),"")</f>
        <v>1133278.125</v>
      </c>
      <c r="L427" s="46" t="n">
        <f aca="false">IF(AND(ISNUMBER($G427),$G427&gt;=21),STDEV(INDEX($H$367:$H427,62-20):$H427)*SQRT(245),"")</f>
        <v>0.241703158780872</v>
      </c>
      <c r="M427" s="45" t="n">
        <f aca="false">IF(AND(ISNUMBER($G427),$G427&gt;=60),MAX(INDEX($D$227:$D427,202-60):$D427),"")</f>
        <v>1309347</v>
      </c>
      <c r="N427" s="45" t="n">
        <f aca="false">IF(AND(ISNUMBER($G427),$G427&gt;=60),MIN(INDEX($E$227:$E427,202-60):$E427),"")</f>
        <v>1162593</v>
      </c>
      <c r="O427" s="46" t="n">
        <f aca="false">IF(OR(NOT(ISNUMBER($C427)),NOT(ISNUMBER($M427)),$M427=0),"",$C427/$M427-1)</f>
        <v>-0.00354451493759866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1312354</v>
      </c>
      <c r="D428" s="42" t="n">
        <v>1316163</v>
      </c>
      <c r="E428" s="42" t="n">
        <v>1311213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0.00586185700073427</v>
      </c>
      <c r="I428" s="45" t="n">
        <f aca="false">IF(AND(ISNUMBER($G428),$G428&gt;=MA_SHORT),AVERAGE(INDEX($C$28:$C428,402-MA_SHORT):$C428),"")</f>
        <v>1229133.85</v>
      </c>
      <c r="J428" s="45" t="n">
        <f aca="false">IF(AND(ISNUMBER($G428),$G428&gt;=MA_MED),AVERAGE(INDEX($C$28:$C428,402-MA_MED):$C428),"")</f>
        <v>1207523.12</v>
      </c>
      <c r="K428" s="45" t="n">
        <f aca="false">IF(AND(ISNUMBER($G428),$G428&gt;=MA_LONG2),AVERAGE(INDEX($C$28:$C428,402-MA_LONG2):$C428),"")</f>
        <v>1133995.09</v>
      </c>
      <c r="L428" s="46" t="n">
        <f aca="false">IF(AND(ISNUMBER($G428),$G428&gt;=21),STDEV(INDEX($H$368:$H428,62-20):$H428)*SQRT(245),"")</f>
        <v>0.240484608317256</v>
      </c>
      <c r="M428" s="45" t="n">
        <f aca="false">IF(AND(ISNUMBER($G428),$G428&gt;=60),MAX(INDEX($D$228:$D428,202-60):$D428),"")</f>
        <v>1316163</v>
      </c>
      <c r="N428" s="45" t="n">
        <f aca="false">IF(AND(ISNUMBER($G428),$G428&gt;=60),MIN(INDEX($E$228:$E428,202-60):$E428),"")</f>
        <v>1162593</v>
      </c>
      <c r="O428" s="46" t="n">
        <f aca="false">IF(OR(NOT(ISNUMBER($C428)),NOT(ISNUMBER($M428)),$M428=0),"",$C428/$M428-1)</f>
        <v>-0.00289401844604353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1307348</v>
      </c>
      <c r="D429" s="42" t="n">
        <v>1312500</v>
      </c>
      <c r="E429" s="42" t="n">
        <v>1299474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-0.00381451955798506</v>
      </c>
      <c r="I429" s="45" t="n">
        <f aca="false">IF(AND(ISNUMBER($G429),$G429&gt;=MA_SHORT),AVERAGE(INDEX($C$29:$C429,402-MA_SHORT):$C429),"")</f>
        <v>1234184.15</v>
      </c>
      <c r="J429" s="45" t="n">
        <f aca="false">IF(AND(ISNUMBER($G429),$G429&gt;=MA_MED),AVERAGE(INDEX($C$29:$C429,402-MA_MED):$C429),"")</f>
        <v>1208943.64</v>
      </c>
      <c r="K429" s="45" t="n">
        <f aca="false">IF(AND(ISNUMBER($G429),$G429&gt;=MA_LONG2),AVERAGE(INDEX($C$29:$C429,402-MA_LONG2):$C429),"")</f>
        <v>1134692.58</v>
      </c>
      <c r="L429" s="46" t="n">
        <f aca="false">IF(AND(ISNUMBER($G429),$G429&gt;=21),STDEV(INDEX($H$369:$H429,62-20):$H429)*SQRT(245),"")</f>
        <v>0.242222526967656</v>
      </c>
      <c r="M429" s="45" t="n">
        <f aca="false">IF(AND(ISNUMBER($G429),$G429&gt;=60),MAX(INDEX($D$229:$D429,202-60):$D429),"")</f>
        <v>1316163</v>
      </c>
      <c r="N429" s="45" t="n">
        <f aca="false">IF(AND(ISNUMBER($G429),$G429&gt;=60),MIN(INDEX($E$229:$E429,202-60):$E429),"")</f>
        <v>1162593</v>
      </c>
      <c r="O429" s="46" t="n">
        <f aca="false">IF(OR(NOT(ISNUMBER($C429)),NOT(ISNUMBER($M429)),$M429=0),"",$C429/$M429-1)</f>
        <v>-0.006697498714065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1319368</v>
      </c>
      <c r="D430" s="42" t="n">
        <v>1320829</v>
      </c>
      <c r="E430" s="42" t="n">
        <v>1318043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0.00919418548083595</v>
      </c>
      <c r="I430" s="45" t="n">
        <f aca="false">IF(AND(ISNUMBER($G430),$G430&gt;=MA_SHORT),AVERAGE(INDEX($C$30:$C430,402-MA_SHORT):$C430),"")</f>
        <v>1239728.05</v>
      </c>
      <c r="J430" s="45" t="n">
        <f aca="false">IF(AND(ISNUMBER($G430),$G430&gt;=MA_MED),AVERAGE(INDEX($C$30:$C430,402-MA_MED):$C430),"")</f>
        <v>1210547.78</v>
      </c>
      <c r="K430" s="45" t="n">
        <f aca="false">IF(AND(ISNUMBER($G430),$G430&gt;=MA_LONG2),AVERAGE(INDEX($C$30:$C430,402-MA_LONG2):$C430),"")</f>
        <v>1135526.95</v>
      </c>
      <c r="L430" s="46" t="n">
        <f aca="false">IF(AND(ISNUMBER($G430),$G430&gt;=21),STDEV(INDEX($H$370:$H430,62-20):$H430)*SQRT(245),"")</f>
        <v>0.242680816353847</v>
      </c>
      <c r="M430" s="45" t="n">
        <f aca="false">IF(AND(ISNUMBER($G430),$G430&gt;=60),MAX(INDEX($D$230:$D430,202-60):$D430),"")</f>
        <v>1320829</v>
      </c>
      <c r="N430" s="45" t="n">
        <f aca="false">IF(AND(ISNUMBER($G430),$G430&gt;=60),MIN(INDEX($E$230:$E430,202-60):$E430),"")</f>
        <v>1162593</v>
      </c>
      <c r="O430" s="46" t="n">
        <f aca="false">IF(OR(NOT(ISNUMBER($C430)),NOT(ISNUMBER($M430)),$M430=0),"",$C430/$M430-1)</f>
        <v>-0.00110612350273953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1315757</v>
      </c>
      <c r="D431" s="42" t="n">
        <v>1318047</v>
      </c>
      <c r="E431" s="42" t="n">
        <v>1313275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-0.00273691646303387</v>
      </c>
      <c r="I431" s="45" t="n">
        <f aca="false">IF(AND(ISNUMBER($G431),$G431&gt;=MA_SHORT),AVERAGE(INDEX($C$31:$C431,402-MA_SHORT):$C431),"")</f>
        <v>1244350.1</v>
      </c>
      <c r="J431" s="45" t="n">
        <f aca="false">IF(AND(ISNUMBER($G431),$G431&gt;=MA_MED),AVERAGE(INDEX($C$31:$C431,402-MA_MED):$C431),"")</f>
        <v>1212207.46</v>
      </c>
      <c r="K431" s="45" t="n">
        <f aca="false">IF(AND(ISNUMBER($G431),$G431&gt;=MA_LONG2),AVERAGE(INDEX($C$31:$C431,402-MA_LONG2):$C431),"")</f>
        <v>1136410.975</v>
      </c>
      <c r="L431" s="46" t="n">
        <f aca="false">IF(AND(ISNUMBER($G431),$G431&gt;=21),STDEV(INDEX($H$371:$H431,62-20):$H431)*SQRT(245),"")</f>
        <v>0.242177716657275</v>
      </c>
      <c r="M431" s="45" t="n">
        <f aca="false">IF(AND(ISNUMBER($G431),$G431&gt;=60),MAX(INDEX($D$231:$D431,202-60):$D431),"")</f>
        <v>1320829</v>
      </c>
      <c r="N431" s="45" t="n">
        <f aca="false">IF(AND(ISNUMBER($G431),$G431&gt;=60),MIN(INDEX($E$231:$E431,202-60):$E431),"")</f>
        <v>1162593</v>
      </c>
      <c r="O431" s="46" t="n">
        <f aca="false">IF(OR(NOT(ISNUMBER($C431)),NOT(ISNUMBER($M431)),$M431=0),"",$C431/$M431-1)</f>
        <v>-0.00384001259814859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1314013</v>
      </c>
      <c r="D432" s="42" t="n">
        <v>1316446</v>
      </c>
      <c r="E432" s="42" t="n">
        <v>1313177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-0.00132547271266659</v>
      </c>
      <c r="I432" s="45" t="n">
        <f aca="false">IF(AND(ISNUMBER($G432),$G432&gt;=MA_SHORT),AVERAGE(INDEX($C$32:$C432,402-MA_SHORT):$C432),"")</f>
        <v>1250119.9</v>
      </c>
      <c r="J432" s="45" t="n">
        <f aca="false">IF(AND(ISNUMBER($G432),$G432&gt;=MA_MED),AVERAGE(INDEX($C$32:$C432,402-MA_MED):$C432),"")</f>
        <v>1213797.9</v>
      </c>
      <c r="K432" s="45" t="n">
        <f aca="false">IF(AND(ISNUMBER($G432),$G432&gt;=MA_LONG2),AVERAGE(INDEX($C$32:$C432,402-MA_LONG2):$C432),"")</f>
        <v>1137304.67</v>
      </c>
      <c r="L432" s="46" t="n">
        <f aca="false">IF(AND(ISNUMBER($G432),$G432&gt;=21),STDEV(INDEX($H$372:$H432,62-20):$H432)*SQRT(245),"")</f>
        <v>0.226621770517915</v>
      </c>
      <c r="M432" s="45" t="n">
        <f aca="false">IF(AND(ISNUMBER($G432),$G432&gt;=60),MAX(INDEX($D$232:$D432,202-60):$D432),"")</f>
        <v>1320829</v>
      </c>
      <c r="N432" s="45" t="n">
        <f aca="false">IF(AND(ISNUMBER($G432),$G432&gt;=60),MIN(INDEX($E$232:$E432,202-60):$E432),"")</f>
        <v>1162593</v>
      </c>
      <c r="O432" s="46" t="n">
        <f aca="false">IF(OR(NOT(ISNUMBER($C432)),NOT(ISNUMBER($M432)),$M432=0),"",$C432/$M432-1)</f>
        <v>-0.00516039547890002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1326940</v>
      </c>
      <c r="D433" s="42" t="n">
        <v>1329080</v>
      </c>
      <c r="E433" s="42" t="n">
        <v>1324787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0.00983780221352459</v>
      </c>
      <c r="I433" s="45" t="n">
        <f aca="false">IF(AND(ISNUMBER($G433),$G433&gt;=MA_SHORT),AVERAGE(INDEX($C$33:$C433,402-MA_SHORT):$C433),"")</f>
        <v>1257645.55</v>
      </c>
      <c r="J433" s="45" t="n">
        <f aca="false">IF(AND(ISNUMBER($G433),$G433&gt;=MA_MED),AVERAGE(INDEX($C$33:$C433,402-MA_MED):$C433),"")</f>
        <v>1216937.5</v>
      </c>
      <c r="K433" s="45" t="n">
        <f aca="false">IF(AND(ISNUMBER($G433),$G433&gt;=MA_LONG2),AVERAGE(INDEX($C$33:$C433,402-MA_LONG2):$C433),"")</f>
        <v>1138208.935</v>
      </c>
      <c r="L433" s="46" t="n">
        <f aca="false">IF(AND(ISNUMBER($G433),$G433&gt;=21),STDEV(INDEX($H$373:$H433,62-20):$H433)*SQRT(245),"")</f>
        <v>0.210306595066352</v>
      </c>
      <c r="M433" s="45" t="n">
        <f aca="false">IF(AND(ISNUMBER($G433),$G433&gt;=60),MAX(INDEX($D$233:$D433,202-60):$D433),"")</f>
        <v>1329080</v>
      </c>
      <c r="N433" s="45" t="n">
        <f aca="false">IF(AND(ISNUMBER($G433),$G433&gt;=60),MIN(INDEX($E$233:$E433,202-60):$E433),"")</f>
        <v>1162593</v>
      </c>
      <c r="O433" s="46" t="n">
        <f aca="false">IF(OR(NOT(ISNUMBER($C433)),NOT(ISNUMBER($M433)),$M433=0),"",$C433/$M433-1)</f>
        <v>-0.00161013633490836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1334986</v>
      </c>
      <c r="D434" s="42" t="n">
        <v>1336937</v>
      </c>
      <c r="E434" s="42" t="n">
        <v>1324900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0.00606357484136444</v>
      </c>
      <c r="I434" s="45" t="n">
        <f aca="false">IF(AND(ISNUMBER($G434),$G434&gt;=MA_SHORT),AVERAGE(INDEX($C$34:$C434,402-MA_SHORT):$C434),"")</f>
        <v>1265273.05</v>
      </c>
      <c r="J434" s="45" t="n">
        <f aca="false">IF(AND(ISNUMBER($G434),$G434&gt;=MA_MED),AVERAGE(INDEX($C$34:$C434,402-MA_MED):$C434),"")</f>
        <v>1220233.64</v>
      </c>
      <c r="K434" s="45" t="n">
        <f aca="false">IF(AND(ISNUMBER($G434),$G434&gt;=MA_LONG2),AVERAGE(INDEX($C$34:$C434,402-MA_LONG2):$C434),"")</f>
        <v>1139120.91</v>
      </c>
      <c r="L434" s="46" t="n">
        <f aca="false">IF(AND(ISNUMBER($G434),$G434&gt;=21),STDEV(INDEX($H$374:$H434,62-20):$H434)*SQRT(245),"")</f>
        <v>0.210273828081362</v>
      </c>
      <c r="M434" s="45" t="n">
        <f aca="false">IF(AND(ISNUMBER($G434),$G434&gt;=60),MAX(INDEX($D$234:$D434,202-60):$D434),"")</f>
        <v>1336937</v>
      </c>
      <c r="N434" s="45" t="n">
        <f aca="false">IF(AND(ISNUMBER($G434),$G434&gt;=60),MIN(INDEX($E$234:$E434,202-60):$E434),"")</f>
        <v>1162593</v>
      </c>
      <c r="O434" s="46" t="n">
        <f aca="false">IF(OR(NOT(ISNUMBER($C434)),NOT(ISNUMBER($M434)),$M434=0),"",$C434/$M434-1)</f>
        <v>-0.001459305861084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1324055</v>
      </c>
      <c r="D435" s="42" t="n">
        <v>1325908</v>
      </c>
      <c r="E435" s="42" t="n">
        <v>1322352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-0.00818810084899768</v>
      </c>
      <c r="I435" s="45" t="n">
        <f aca="false">IF(AND(ISNUMBER($G435),$G435&gt;=MA_SHORT),AVERAGE(INDEX($C$35:$C435,402-MA_SHORT):$C435),"")</f>
        <v>1272046.5</v>
      </c>
      <c r="J435" s="45" t="n">
        <f aca="false">IF(AND(ISNUMBER($G435),$G435&gt;=MA_MED),AVERAGE(INDEX($C$35:$C435,402-MA_MED):$C435),"")</f>
        <v>1223013.8</v>
      </c>
      <c r="K435" s="45" t="n">
        <f aca="false">IF(AND(ISNUMBER($G435),$G435&gt;=MA_LONG2),AVERAGE(INDEX($C$35:$C435,402-MA_LONG2):$C435),"")</f>
        <v>1139979.66</v>
      </c>
      <c r="L435" s="46" t="n">
        <f aca="false">IF(AND(ISNUMBER($G435),$G435&gt;=21),STDEV(INDEX($H$375:$H435,62-20):$H435)*SQRT(245),"")</f>
        <v>0.216206542305064</v>
      </c>
      <c r="M435" s="45" t="n">
        <f aca="false">IF(AND(ISNUMBER($G435),$G435&gt;=60),MAX(INDEX($D$235:$D435,202-60):$D435),"")</f>
        <v>1336937</v>
      </c>
      <c r="N435" s="45" t="n">
        <f aca="false">IF(AND(ISNUMBER($G435),$G435&gt;=60),MIN(INDEX($E$235:$E435,202-60):$E435),"")</f>
        <v>1162593</v>
      </c>
      <c r="O435" s="46" t="n">
        <f aca="false">IF(OR(NOT(ISNUMBER($C435)),NOT(ISNUMBER($M435)),$M435=0),"",$C435/$M435-1)</f>
        <v>-0.00963545776652153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1319220</v>
      </c>
      <c r="D436" s="42" t="n">
        <v>1319289</v>
      </c>
      <c r="E436" s="42" t="n">
        <v>1316448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-0.0036516609959556</v>
      </c>
      <c r="I436" s="45" t="n">
        <f aca="false">IF(AND(ISNUMBER($G436),$G436&gt;=MA_SHORT),AVERAGE(INDEX($C$36:$C436,402-MA_SHORT):$C436),"")</f>
        <v>1278897.3</v>
      </c>
      <c r="J436" s="45" t="n">
        <f aca="false">IF(AND(ISNUMBER($G436),$G436&gt;=MA_MED),AVERAGE(INDEX($C$36:$C436,402-MA_MED):$C436),"")</f>
        <v>1225683.24</v>
      </c>
      <c r="K436" s="45" t="n">
        <f aca="false">IF(AND(ISNUMBER($G436),$G436&gt;=MA_LONG2),AVERAGE(INDEX($C$36:$C436,402-MA_LONG2):$C436),"")</f>
        <v>1140869.8</v>
      </c>
      <c r="L436" s="46" t="n">
        <f aca="false">IF(AND(ISNUMBER($G436),$G436&gt;=21),STDEV(INDEX($H$376:$H436,62-20):$H436)*SQRT(245),"")</f>
        <v>0.215174198073607</v>
      </c>
      <c r="M436" s="45" t="n">
        <f aca="false">IF(AND(ISNUMBER($G436),$G436&gt;=60),MAX(INDEX($D$236:$D436,202-60):$D436),"")</f>
        <v>1336937</v>
      </c>
      <c r="N436" s="45" t="n">
        <f aca="false">IF(AND(ISNUMBER($G436),$G436&gt;=60),MIN(INDEX($E$236:$E436,202-60):$E436),"")</f>
        <v>1162593</v>
      </c>
      <c r="O436" s="46" t="n">
        <f aca="false">IF(OR(NOT(ISNUMBER($C436)),NOT(ISNUMBER($M436)),$M436=0),"",$C436/$M436-1)</f>
        <v>-0.013251933337173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1347597</v>
      </c>
      <c r="D437" s="42" t="n">
        <v>1349446</v>
      </c>
      <c r="E437" s="42" t="n">
        <v>1344425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0.0215104379860827</v>
      </c>
      <c r="I437" s="45" t="n">
        <f aca="false">IF(AND(ISNUMBER($G437),$G437&gt;=MA_SHORT),AVERAGE(INDEX($C$37:$C437,402-MA_SHORT):$C437),"")</f>
        <v>1287089.75</v>
      </c>
      <c r="J437" s="45" t="n">
        <f aca="false">IF(AND(ISNUMBER($G437),$G437&gt;=MA_MED),AVERAGE(INDEX($C$37:$C437,402-MA_MED):$C437),"")</f>
        <v>1229055.46</v>
      </c>
      <c r="K437" s="45" t="n">
        <f aca="false">IF(AND(ISNUMBER($G437),$G437&gt;=MA_LONG2),AVERAGE(INDEX($C$37:$C437,402-MA_LONG2):$C437),"")</f>
        <v>1141860.805</v>
      </c>
      <c r="L437" s="46" t="n">
        <f aca="false">IF(AND(ISNUMBER($G437),$G437&gt;=21),STDEV(INDEX($H$377:$H437,62-20):$H437)*SQRT(245),"")</f>
        <v>0.221519586029473</v>
      </c>
      <c r="M437" s="45" t="n">
        <f aca="false">IF(AND(ISNUMBER($G437),$G437&gt;=60),MAX(INDEX($D$237:$D437,202-60):$D437),"")</f>
        <v>1349446</v>
      </c>
      <c r="N437" s="45" t="n">
        <f aca="false">IF(AND(ISNUMBER($G437),$G437&gt;=60),MIN(INDEX($E$237:$E437,202-60):$E437),"")</f>
        <v>1162593</v>
      </c>
      <c r="O437" s="46" t="n">
        <f aca="false">IF(OR(NOT(ISNUMBER($C437)),NOT(ISNUMBER($M437)),$M437=0),"",$C437/$M437-1)</f>
        <v>-0.00137019191579357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1357505</v>
      </c>
      <c r="D438" s="42" t="n">
        <v>1359062</v>
      </c>
      <c r="E438" s="42" t="n">
        <v>1354237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0.00735234643591509</v>
      </c>
      <c r="I438" s="45" t="n">
        <f aca="false">IF(AND(ISNUMBER($G438),$G438&gt;=MA_SHORT),AVERAGE(INDEX($C$38:$C438,402-MA_SHORT):$C438),"")</f>
        <v>1295850.15</v>
      </c>
      <c r="J438" s="45" t="n">
        <f aca="false">IF(AND(ISNUMBER($G438),$G438&gt;=MA_MED),AVERAGE(INDEX($C$38:$C438,402-MA_MED):$C438),"")</f>
        <v>1232741.72</v>
      </c>
      <c r="K438" s="45" t="n">
        <f aca="false">IF(AND(ISNUMBER($G438),$G438&gt;=MA_LONG2),AVERAGE(INDEX($C$38:$C438,402-MA_LONG2):$C438),"")</f>
        <v>1142896.16</v>
      </c>
      <c r="L438" s="46" t="n">
        <f aca="false">IF(AND(ISNUMBER($G438),$G438&gt;=21),STDEV(INDEX($H$378:$H438,62-20):$H438)*SQRT(245),"")</f>
        <v>0.219640844733709</v>
      </c>
      <c r="M438" s="45" t="n">
        <f aca="false">IF(AND(ISNUMBER($G438),$G438&gt;=60),MAX(INDEX($D$238:$D438,202-60):$D438),"")</f>
        <v>1359062</v>
      </c>
      <c r="N438" s="45" t="n">
        <f aca="false">IF(AND(ISNUMBER($G438),$G438&gt;=60),MIN(INDEX($E$238:$E438,202-60):$E438),"")</f>
        <v>1162593</v>
      </c>
      <c r="O438" s="46" t="n">
        <f aca="false">IF(OR(NOT(ISNUMBER($C438)),NOT(ISNUMBER($M438)),$M438=0),"",$C438/$M438-1)</f>
        <v>-0.00114564309796017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1365021</v>
      </c>
      <c r="D439" s="42" t="n">
        <v>1372527</v>
      </c>
      <c r="E439" s="42" t="n">
        <v>1358899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0.00553662785772424</v>
      </c>
      <c r="I439" s="45" t="n">
        <f aca="false">IF(AND(ISNUMBER($G439),$G439&gt;=MA_SHORT),AVERAGE(INDEX($C$39:$C439,402-MA_SHORT):$C439),"")</f>
        <v>1305124.1</v>
      </c>
      <c r="J439" s="45" t="n">
        <f aca="false">IF(AND(ISNUMBER($G439),$G439&gt;=MA_MED),AVERAGE(INDEX($C$39:$C439,402-MA_MED):$C439),"")</f>
        <v>1236761.48</v>
      </c>
      <c r="K439" s="45" t="n">
        <f aca="false">IF(AND(ISNUMBER($G439),$G439&gt;=MA_LONG2),AVERAGE(INDEX($C$39:$C439,402-MA_LONG2):$C439),"")</f>
        <v>1143917.99</v>
      </c>
      <c r="L439" s="46" t="n">
        <f aca="false">IF(AND(ISNUMBER($G439),$G439&gt;=21),STDEV(INDEX($H$379:$H439,62-20):$H439)*SQRT(245),"")</f>
        <v>0.217030794446617</v>
      </c>
      <c r="M439" s="45" t="n">
        <f aca="false">IF(AND(ISNUMBER($G439),$G439&gt;=60),MAX(INDEX($D$239:$D439,202-60):$D439),"")</f>
        <v>1372527</v>
      </c>
      <c r="N439" s="45" t="n">
        <f aca="false">IF(AND(ISNUMBER($G439),$G439&gt;=60),MIN(INDEX($E$239:$E439,202-60):$E439),"")</f>
        <v>1162593</v>
      </c>
      <c r="O439" s="46" t="n">
        <f aca="false">IF(OR(NOT(ISNUMBER($C439)),NOT(ISNUMBER($M439)),$M439=0),"",$C439/$M439-1)</f>
        <v>-0.00546874487714999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1348148</v>
      </c>
      <c r="D440" s="42" t="n">
        <v>1349300</v>
      </c>
      <c r="E440" s="42" t="n">
        <v>1344907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-0.0123609819922185</v>
      </c>
      <c r="I440" s="45" t="n">
        <f aca="false">IF(AND(ISNUMBER($G440),$G440&gt;=MA_SHORT),AVERAGE(INDEX($C$40:$C440,402-MA_SHORT):$C440),"")</f>
        <v>1312855.4</v>
      </c>
      <c r="J440" s="45" t="n">
        <f aca="false">IF(AND(ISNUMBER($G440),$G440&gt;=MA_MED),AVERAGE(INDEX($C$40:$C440,402-MA_MED):$C440),"")</f>
        <v>1240243.16</v>
      </c>
      <c r="K440" s="45" t="n">
        <f aca="false">IF(AND(ISNUMBER($G440),$G440&gt;=MA_LONG2),AVERAGE(INDEX($C$40:$C440,402-MA_LONG2):$C440),"")</f>
        <v>1145105.27</v>
      </c>
      <c r="L440" s="46" t="n">
        <f aca="false">IF(AND(ISNUMBER($G440),$G440&gt;=21),STDEV(INDEX($H$380:$H440,62-20):$H440)*SQRT(245),"")</f>
        <v>0.22696946565031</v>
      </c>
      <c r="M440" s="45" t="n">
        <f aca="false">IF(AND(ISNUMBER($G440),$G440&gt;=60),MAX(INDEX($D$240:$D440,202-60):$D440),"")</f>
        <v>1372527</v>
      </c>
      <c r="N440" s="45" t="n">
        <f aca="false">IF(AND(ISNUMBER($G440),$G440&gt;=60),MIN(INDEX($E$240:$E440,202-60):$E440),"")</f>
        <v>1162593</v>
      </c>
      <c r="O440" s="46" t="n">
        <f aca="false">IF(OR(NOT(ISNUMBER($C440)),NOT(ISNUMBER($M440)),$M440=0),"",$C440/$M440-1)</f>
        <v>-0.0177621278124219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1363245</v>
      </c>
      <c r="D441" s="42" t="n">
        <v>1363968</v>
      </c>
      <c r="E441" s="42" t="n">
        <v>1359672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0.0111983254064094</v>
      </c>
      <c r="I441" s="45" t="n">
        <f aca="false">IF(AND(ISNUMBER($G441),$G441&gt;=MA_SHORT),AVERAGE(INDEX($C$41:$C441,402-MA_SHORT):$C441),"")</f>
        <v>1317883.35</v>
      </c>
      <c r="J441" s="45" t="n">
        <f aca="false">IF(AND(ISNUMBER($G441),$G441&gt;=MA_MED),AVERAGE(INDEX($C$41:$C441,402-MA_MED):$C441),"")</f>
        <v>1243998.42</v>
      </c>
      <c r="K441" s="45" t="n">
        <f aca="false">IF(AND(ISNUMBER($G441),$G441&gt;=MA_LONG2),AVERAGE(INDEX($C$41:$C441,402-MA_LONG2):$C441),"")</f>
        <v>1146249.485</v>
      </c>
      <c r="L441" s="46" t="n">
        <f aca="false">IF(AND(ISNUMBER($G441),$G441&gt;=21),STDEV(INDEX($H$381:$H441,62-20):$H441)*SQRT(245),"")</f>
        <v>0.126112099211102</v>
      </c>
      <c r="M441" s="45" t="n">
        <f aca="false">IF(AND(ISNUMBER($G441),$G441&gt;=60),MAX(INDEX($D$241:$D441,202-60):$D441),"")</f>
        <v>1372527</v>
      </c>
      <c r="N441" s="45" t="n">
        <f aca="false">IF(AND(ISNUMBER($G441),$G441&gt;=60),MIN(INDEX($E$241:$E441,202-60):$E441),"")</f>
        <v>1162593</v>
      </c>
      <c r="O441" s="46" t="n">
        <f aca="false">IF(OR(NOT(ISNUMBER($C441)),NOT(ISNUMBER($M441)),$M441=0),"",$C441/$M441-1)</f>
        <v>-0.00676270849316629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1380515</v>
      </c>
      <c r="D442" s="42" t="n">
        <v>1382818</v>
      </c>
      <c r="E442" s="42" t="n">
        <v>1380448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0.0126683024694754</v>
      </c>
      <c r="I442" s="45" t="n">
        <f aca="false">IF(AND(ISNUMBER($G442),$G442&gt;=MA_SHORT),AVERAGE(INDEX($C$42:$C442,402-MA_SHORT):$C442),"")</f>
        <v>1323863.05</v>
      </c>
      <c r="J442" s="45" t="n">
        <f aca="false">IF(AND(ISNUMBER($G442),$G442&gt;=MA_MED),AVERAGE(INDEX($C$42:$C442,402-MA_MED):$C442),"")</f>
        <v>1247983.36</v>
      </c>
      <c r="K442" s="45" t="n">
        <f aca="false">IF(AND(ISNUMBER($G442),$G442&gt;=MA_LONG2),AVERAGE(INDEX($C$42:$C442,402-MA_LONG2):$C442),"")</f>
        <v>1147647.855</v>
      </c>
      <c r="L442" s="46" t="n">
        <f aca="false">IF(AND(ISNUMBER($G442),$G442&gt;=21),STDEV(INDEX($H$382:$H442,62-20):$H442)*SQRT(245),"")</f>
        <v>0.12812989145327</v>
      </c>
      <c r="M442" s="45" t="n">
        <f aca="false">IF(AND(ISNUMBER($G442),$G442&gt;=60),MAX(INDEX($D$242:$D442,202-60):$D442),"")</f>
        <v>1382818</v>
      </c>
      <c r="N442" s="45" t="n">
        <f aca="false">IF(AND(ISNUMBER($G442),$G442&gt;=60),MIN(INDEX($E$242:$E442,202-60):$E442),"")</f>
        <v>1162593</v>
      </c>
      <c r="O442" s="46" t="n">
        <f aca="false">IF(OR(NOT(ISNUMBER($C442)),NOT(ISNUMBER($M442)),$M442=0),"",$C442/$M442-1)</f>
        <v>-0.00166543970356181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1364610</v>
      </c>
      <c r="D443" s="42" t="n">
        <v>1365334</v>
      </c>
      <c r="E443" s="42" t="n">
        <v>1362580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-0.0115210627917842</v>
      </c>
      <c r="I443" s="45" t="n">
        <f aca="false">IF(AND(ISNUMBER($G443),$G443&gt;=MA_SHORT),AVERAGE(INDEX($C$43:$C443,402-MA_SHORT):$C443),"")</f>
        <v>1328197.9</v>
      </c>
      <c r="J443" s="45" t="n">
        <f aca="false">IF(AND(ISNUMBER($G443),$G443&gt;=MA_MED),AVERAGE(INDEX($C$43:$C443,402-MA_MED):$C443),"")</f>
        <v>1251576.64</v>
      </c>
      <c r="K443" s="45" t="n">
        <f aca="false">IF(AND(ISNUMBER($G443),$G443&gt;=MA_LONG2),AVERAGE(INDEX($C$43:$C443,402-MA_LONG2):$C443),"")</f>
        <v>1148934.925</v>
      </c>
      <c r="L443" s="46" t="n">
        <f aca="false">IF(AND(ISNUMBER($G443),$G443&gt;=21),STDEV(INDEX($H$383:$H443,62-20):$H443)*SQRT(245),"")</f>
        <v>0.135396273162541</v>
      </c>
      <c r="M443" s="45" t="n">
        <f aca="false">IF(AND(ISNUMBER($G443),$G443&gt;=60),MAX(INDEX($D$243:$D443,202-60):$D443),"")</f>
        <v>1382818</v>
      </c>
      <c r="N443" s="45" t="n">
        <f aca="false">IF(AND(ISNUMBER($G443),$G443&gt;=60),MIN(INDEX($E$243:$E443,202-60):$E443),"")</f>
        <v>1162593</v>
      </c>
      <c r="O443" s="46" t="n">
        <f aca="false">IF(OR(NOT(ISNUMBER($C443)),NOT(ISNUMBER($M443)),$M443=0),"",$C443/$M443-1)</f>
        <v>-0.0131673148599454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1347589</v>
      </c>
      <c r="D444" s="42" t="n">
        <v>1352257</v>
      </c>
      <c r="E444" s="42" t="n">
        <v>1344929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-0.0124731608298342</v>
      </c>
      <c r="I444" s="45" t="n">
        <f aca="false">IF(AND(ISNUMBER($G444),$G444&gt;=MA_SHORT),AVERAGE(INDEX($C$44:$C444,402-MA_SHORT):$C444),"")</f>
        <v>1331436.15</v>
      </c>
      <c r="J444" s="45" t="n">
        <f aca="false">IF(AND(ISNUMBER($G444),$G444&gt;=MA_MED),AVERAGE(INDEX($C$44:$C444,402-MA_MED):$C444),"")</f>
        <v>1255126.78</v>
      </c>
      <c r="K444" s="45" t="n">
        <f aca="false">IF(AND(ISNUMBER($G444),$G444&gt;=MA_LONG2),AVERAGE(INDEX($C$44:$C444,402-MA_LONG2):$C444),"")</f>
        <v>1150192.235</v>
      </c>
      <c r="L444" s="46" t="n">
        <f aca="false">IF(AND(ISNUMBER($G444),$G444&gt;=21),STDEV(INDEX($H$384:$H444,62-20):$H444)*SQRT(245),"")</f>
        <v>0.146200017021538</v>
      </c>
      <c r="M444" s="45" t="n">
        <f aca="false">IF(AND(ISNUMBER($G444),$G444&gt;=60),MAX(INDEX($D$244:$D444,202-60):$D444),"")</f>
        <v>1382818</v>
      </c>
      <c r="N444" s="45" t="n">
        <f aca="false">IF(AND(ISNUMBER($G444),$G444&gt;=60),MIN(INDEX($E$244:$E444,202-60):$E444),"")</f>
        <v>1162593</v>
      </c>
      <c r="O444" s="46" t="n">
        <f aca="false">IF(OR(NOT(ISNUMBER($C444)),NOT(ISNUMBER($M444)),$M444=0),"",$C444/$M444-1)</f>
        <v>-0.0254762376538344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1351470</v>
      </c>
      <c r="D445" s="42" t="n">
        <v>1351923</v>
      </c>
      <c r="E445" s="42" t="n">
        <v>1349079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0.00287995820684195</v>
      </c>
      <c r="I445" s="45" t="n">
        <f aca="false">IF(AND(ISNUMBER($G445),$G445&gt;=MA_SHORT),AVERAGE(INDEX($C$45:$C445,402-MA_SHORT):$C445),"")</f>
        <v>1334897.35</v>
      </c>
      <c r="J445" s="45" t="n">
        <f aca="false">IF(AND(ISNUMBER($G445),$G445&gt;=MA_MED),AVERAGE(INDEX($C$45:$C445,402-MA_MED):$C445),"")</f>
        <v>1258406.7</v>
      </c>
      <c r="K445" s="45" t="n">
        <f aca="false">IF(AND(ISNUMBER($G445),$G445&gt;=MA_LONG2),AVERAGE(INDEX($C$45:$C445,402-MA_LONG2):$C445),"")</f>
        <v>1151445.415</v>
      </c>
      <c r="L445" s="46" t="n">
        <f aca="false">IF(AND(ISNUMBER($G445),$G445&gt;=21),STDEV(INDEX($H$385:$H445,62-20):$H445)*SQRT(245),"")</f>
        <v>0.145795367328597</v>
      </c>
      <c r="M445" s="45" t="n">
        <f aca="false">IF(AND(ISNUMBER($G445),$G445&gt;=60),MAX(INDEX($D$245:$D445,202-60):$D445),"")</f>
        <v>1382818</v>
      </c>
      <c r="N445" s="45" t="n">
        <f aca="false">IF(AND(ISNUMBER($G445),$G445&gt;=60),MIN(INDEX($E$245:$E445,202-60):$E445),"")</f>
        <v>1162593</v>
      </c>
      <c r="O445" s="46" t="n">
        <f aca="false">IF(OR(NOT(ISNUMBER($C445)),NOT(ISNUMBER($M445)),$M445=0),"",$C445/$M445-1)</f>
        <v>-0.0226696499467031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1375209</v>
      </c>
      <c r="D446" s="42" t="n">
        <v>1377124</v>
      </c>
      <c r="E446" s="42" t="n">
        <v>1372234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0.0175653177651003</v>
      </c>
      <c r="I446" s="45" t="n">
        <f aca="false">IF(AND(ISNUMBER($G446),$G446&gt;=MA_SHORT),AVERAGE(INDEX($C$46:$C446,402-MA_SHORT):$C446),"")</f>
        <v>1338982.8</v>
      </c>
      <c r="J446" s="45" t="n">
        <f aca="false">IF(AND(ISNUMBER($G446),$G446&gt;=MA_MED),AVERAGE(INDEX($C$46:$C446,402-MA_MED):$C446),"")</f>
        <v>1262265.24</v>
      </c>
      <c r="K446" s="45" t="n">
        <f aca="false">IF(AND(ISNUMBER($G446),$G446&gt;=MA_LONG2),AVERAGE(INDEX($C$46:$C446,402-MA_LONG2):$C446),"")</f>
        <v>1152814.525</v>
      </c>
      <c r="L446" s="46" t="n">
        <f aca="false">IF(AND(ISNUMBER($G446),$G446&gt;=21),STDEV(INDEX($H$386:$H446,62-20):$H446)*SQRT(245),"")</f>
        <v>0.153576557442033</v>
      </c>
      <c r="M446" s="45" t="n">
        <f aca="false">IF(AND(ISNUMBER($G446),$G446&gt;=60),MAX(INDEX($D$246:$D446,202-60):$D446),"")</f>
        <v>1382818</v>
      </c>
      <c r="N446" s="45" t="n">
        <f aca="false">IF(AND(ISNUMBER($G446),$G446&gt;=60),MIN(INDEX($E$246:$E446,202-60):$E446),"")</f>
        <v>1162593</v>
      </c>
      <c r="O446" s="46" t="n">
        <f aca="false">IF(OR(NOT(ISNUMBER($C446)),NOT(ISNUMBER($M446)),$M446=0),"",$C446/$M446-1)</f>
        <v>-0.00550253178654025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1387672</v>
      </c>
      <c r="D447" s="42" t="n">
        <v>1395701</v>
      </c>
      <c r="E447" s="42" t="n">
        <v>1382571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0.00906262248138279</v>
      </c>
      <c r="I447" s="45" t="n">
        <f aca="false">IF(AND(ISNUMBER($G447),$G447&gt;=MA_SHORT),AVERAGE(INDEX($C$47:$C447,402-MA_SHORT):$C447),"")</f>
        <v>1343131.1</v>
      </c>
      <c r="J447" s="45" t="n">
        <f aca="false">IF(AND(ISNUMBER($G447),$G447&gt;=MA_MED),AVERAGE(INDEX($C$47:$C447,402-MA_MED):$C447),"")</f>
        <v>1266619.34</v>
      </c>
      <c r="K447" s="45" t="n">
        <f aca="false">IF(AND(ISNUMBER($G447),$G447&gt;=MA_LONG2),AVERAGE(INDEX($C$47:$C447,402-MA_LONG2):$C447),"")</f>
        <v>1154208.665</v>
      </c>
      <c r="L447" s="46" t="n">
        <f aca="false">IF(AND(ISNUMBER($G447),$G447&gt;=21),STDEV(INDEX($H$387:$H447,62-20):$H447)*SQRT(245),"")</f>
        <v>0.153768880638021</v>
      </c>
      <c r="M447" s="45" t="n">
        <f aca="false">IF(AND(ISNUMBER($G447),$G447&gt;=60),MAX(INDEX($D$247:$D447,202-60):$D447),"")</f>
        <v>1395701</v>
      </c>
      <c r="N447" s="45" t="n">
        <f aca="false">IF(AND(ISNUMBER($G447),$G447&gt;=60),MIN(INDEX($E$247:$E447,202-60):$E447),"")</f>
        <v>1162593</v>
      </c>
      <c r="O447" s="46" t="n">
        <f aca="false">IF(OR(NOT(ISNUMBER($C447)),NOT(ISNUMBER($M447)),$M447=0),"",$C447/$M447-1)</f>
        <v>-0.0057526647899514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1369962</v>
      </c>
      <c r="D448" s="42" t="n">
        <v>1376918</v>
      </c>
      <c r="E448" s="42" t="n">
        <v>1367559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-0.0127623818885154</v>
      </c>
      <c r="I448" s="45" t="n">
        <f aca="false">IF(AND(ISNUMBER($G448),$G448&gt;=MA_SHORT),AVERAGE(INDEX($C$48:$C448,402-MA_SHORT):$C448),"")</f>
        <v>1346011.5</v>
      </c>
      <c r="J448" s="45" t="n">
        <f aca="false">IF(AND(ISNUMBER($G448),$G448&gt;=MA_MED),AVERAGE(INDEX($C$48:$C448,402-MA_MED):$C448),"")</f>
        <v>1270502.04</v>
      </c>
      <c r="K448" s="45" t="n">
        <f aca="false">IF(AND(ISNUMBER($G448),$G448&gt;=MA_LONG2),AVERAGE(INDEX($C$48:$C448,402-MA_LONG2):$C448),"")</f>
        <v>1155597.15</v>
      </c>
      <c r="L448" s="46" t="n">
        <f aca="false">IF(AND(ISNUMBER($G448),$G448&gt;=21),STDEV(INDEX($H$388:$H448,62-20):$H448)*SQRT(245),"")</f>
        <v>0.163043624909441</v>
      </c>
      <c r="M448" s="45" t="n">
        <f aca="false">IF(AND(ISNUMBER($G448),$G448&gt;=60),MAX(INDEX($D$248:$D448,202-60):$D448),"")</f>
        <v>1395701</v>
      </c>
      <c r="N448" s="45" t="n">
        <f aca="false">IF(AND(ISNUMBER($G448),$G448&gt;=60),MIN(INDEX($E$248:$E448,202-60):$E448),"")</f>
        <v>1162593</v>
      </c>
      <c r="O448" s="46" t="n">
        <f aca="false">IF(OR(NOT(ISNUMBER($C448)),NOT(ISNUMBER($M448)),$M448=0),"",$C448/$M448-1)</f>
        <v>-0.0184416289735408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1378833</v>
      </c>
      <c r="D449" s="42" t="n">
        <v>1384035</v>
      </c>
      <c r="E449" s="42" t="n">
        <v>1376738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0.00647536209033528</v>
      </c>
      <c r="I449" s="45" t="n">
        <f aca="false">IF(AND(ISNUMBER($G449),$G449&gt;=MA_SHORT),AVERAGE(INDEX($C$49:$C449,402-MA_SHORT):$C449),"")</f>
        <v>1349585.75</v>
      </c>
      <c r="J449" s="45" t="n">
        <f aca="false">IF(AND(ISNUMBER($G449),$G449&gt;=MA_MED),AVERAGE(INDEX($C$49:$C449,402-MA_MED):$C449),"")</f>
        <v>1274310.18</v>
      </c>
      <c r="K449" s="45" t="n">
        <f aca="false">IF(AND(ISNUMBER($G449),$G449&gt;=MA_LONG2),AVERAGE(INDEX($C$49:$C449,402-MA_LONG2):$C449),"")</f>
        <v>1157075.945</v>
      </c>
      <c r="L449" s="46" t="n">
        <f aca="false">IF(AND(ISNUMBER($G449),$G449&gt;=21),STDEV(INDEX($H$389:$H449,62-20):$H449)*SQRT(245),"")</f>
        <v>0.162122575639086</v>
      </c>
      <c r="M449" s="45" t="n">
        <f aca="false">IF(AND(ISNUMBER($G449),$G449&gt;=60),MAX(INDEX($D$249:$D449,202-60):$D449),"")</f>
        <v>1395701</v>
      </c>
      <c r="N449" s="45" t="n">
        <f aca="false">IF(AND(ISNUMBER($G449),$G449&gt;=60),MIN(INDEX($E$249:$E449,202-60):$E449),"")</f>
        <v>1165807</v>
      </c>
      <c r="O449" s="46" t="n">
        <f aca="false">IF(OR(NOT(ISNUMBER($C449)),NOT(ISNUMBER($M449)),$M449=0),"",$C449/$M449-1)</f>
        <v>-0.0120856831083448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1364897</v>
      </c>
      <c r="D450" s="42" t="n">
        <v>1370497</v>
      </c>
      <c r="E450" s="42" t="n">
        <v>1354816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-0.010107097813876</v>
      </c>
      <c r="I450" s="45" t="n">
        <f aca="false">IF(AND(ISNUMBER($G450),$G450&gt;=MA_SHORT),AVERAGE(INDEX($C$50:$C450,402-MA_SHORT):$C450),"")</f>
        <v>1351862.2</v>
      </c>
      <c r="J450" s="45" t="n">
        <f aca="false">IF(AND(ISNUMBER($G450),$G450&gt;=MA_MED),AVERAGE(INDEX($C$50:$C450,402-MA_MED):$C450),"")</f>
        <v>1277569.2</v>
      </c>
      <c r="K450" s="45" t="n">
        <f aca="false">IF(AND(ISNUMBER($G450),$G450&gt;=MA_LONG2),AVERAGE(INDEX($C$50:$C450,402-MA_LONG2):$C450),"")</f>
        <v>1158525.145</v>
      </c>
      <c r="L450" s="46" t="n">
        <f aca="false">IF(AND(ISNUMBER($G450),$G450&gt;=21),STDEV(INDEX($H$390:$H450,62-20):$H450)*SQRT(245),"")</f>
        <v>0.166201144465819</v>
      </c>
      <c r="M450" s="45" t="n">
        <f aca="false">IF(AND(ISNUMBER($G450),$G450&gt;=60),MAX(INDEX($D$250:$D450,202-60):$D450),"")</f>
        <v>1395701</v>
      </c>
      <c r="N450" s="45" t="n">
        <f aca="false">IF(AND(ISNUMBER($G450),$G450&gt;=60),MIN(INDEX($E$250:$E450,202-60):$E450),"")</f>
        <v>1165807</v>
      </c>
      <c r="O450" s="46" t="n">
        <f aca="false">IF(OR(NOT(ISNUMBER($C450)),NOT(ISNUMBER($M450)),$M450=0),"",$C450/$M450-1)</f>
        <v>-0.0220706297408972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1356270</v>
      </c>
      <c r="D451" s="42" t="n">
        <v>1358242</v>
      </c>
      <c r="E451" s="42" t="n">
        <v>1355566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-0.0063206234609644</v>
      </c>
      <c r="I451" s="45" t="n">
        <f aca="false">IF(AND(ISNUMBER($G451),$G451&gt;=MA_SHORT),AVERAGE(INDEX($C$51:$C451,402-MA_SHORT):$C451),"")</f>
        <v>1353887.85</v>
      </c>
      <c r="J451" s="45" t="n">
        <f aca="false">IF(AND(ISNUMBER($G451),$G451&gt;=MA_MED),AVERAGE(INDEX($C$51:$C451,402-MA_MED):$C451),"")</f>
        <v>1280546.36</v>
      </c>
      <c r="K451" s="45" t="n">
        <f aca="false">IF(AND(ISNUMBER($G451),$G451&gt;=MA_LONG2),AVERAGE(INDEX($C$51:$C451,402-MA_LONG2):$C451),"")</f>
        <v>1159933.605</v>
      </c>
      <c r="L451" s="46" t="n">
        <f aca="false">IF(AND(ISNUMBER($G451),$G451&gt;=21),STDEV(INDEX($H$391:$H451,62-20):$H451)*SQRT(245),"")</f>
        <v>0.167913508172198</v>
      </c>
      <c r="M451" s="45" t="n">
        <f aca="false">IF(AND(ISNUMBER($G451),$G451&gt;=60),MAX(INDEX($D$251:$D451,202-60):$D451),"")</f>
        <v>1395701</v>
      </c>
      <c r="N451" s="45" t="n">
        <f aca="false">IF(AND(ISNUMBER($G451),$G451&gt;=60),MIN(INDEX($E$251:$E451,202-60):$E451),"")</f>
        <v>1165807</v>
      </c>
      <c r="O451" s="46" t="n">
        <f aca="false">IF(OR(NOT(ISNUMBER($C451)),NOT(ISNUMBER($M451)),$M451=0),"",$C451/$M451-1)</f>
        <v>-0.0282517530617231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1359695</v>
      </c>
      <c r="D452" s="42" t="n">
        <v>1364230</v>
      </c>
      <c r="E452" s="42" t="n">
        <v>1355573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0.00252530838254916</v>
      </c>
      <c r="I452" s="45" t="n">
        <f aca="false">IF(AND(ISNUMBER($G452),$G452&gt;=MA_SHORT),AVERAGE(INDEX($C$52:$C452,402-MA_SHORT):$C452),"")</f>
        <v>1356171.95</v>
      </c>
      <c r="J452" s="45" t="n">
        <f aca="false">IF(AND(ISNUMBER($G452),$G452&gt;=MA_MED),AVERAGE(INDEX($C$52:$C452,402-MA_MED):$C452),"")</f>
        <v>1283475.08</v>
      </c>
      <c r="K452" s="45" t="n">
        <f aca="false">IF(AND(ISNUMBER($G452),$G452&gt;=MA_LONG2),AVERAGE(INDEX($C$52:$C452,402-MA_LONG2):$C452),"")</f>
        <v>1161393.585</v>
      </c>
      <c r="L452" s="46" t="n">
        <f aca="false">IF(AND(ISNUMBER($G452),$G452&gt;=21),STDEV(INDEX($H$392:$H452,62-20):$H452)*SQRT(245),"")</f>
        <v>0.167597279098059</v>
      </c>
      <c r="M452" s="45" t="n">
        <f aca="false">IF(AND(ISNUMBER($G452),$G452&gt;=60),MAX(INDEX($D$252:$D452,202-60):$D452),"")</f>
        <v>1395701</v>
      </c>
      <c r="N452" s="45" t="n">
        <f aca="false">IF(AND(ISNUMBER($G452),$G452&gt;=60),MIN(INDEX($E$252:$E452,202-60):$E452),"")</f>
        <v>1165807</v>
      </c>
      <c r="O452" s="46" t="n">
        <f aca="false">IF(OR(NOT(ISNUMBER($C452)),NOT(ISNUMBER($M452)),$M452=0),"",$C452/$M452-1)</f>
        <v>-0.0257977890680023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1342819</v>
      </c>
      <c r="D453" s="42" t="n">
        <v>1351475</v>
      </c>
      <c r="E453" s="42" t="n">
        <v>1340289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-0.0124116070148085</v>
      </c>
      <c r="I453" s="45" t="n">
        <f aca="false">IF(AND(ISNUMBER($G453),$G453&gt;=MA_SHORT),AVERAGE(INDEX($C$53:$C453,402-MA_SHORT):$C453),"")</f>
        <v>1356965.9</v>
      </c>
      <c r="J453" s="45" t="n">
        <f aca="false">IF(AND(ISNUMBER($G453),$G453&gt;=MA_MED),AVERAGE(INDEX($C$53:$C453,402-MA_MED):$C453),"")</f>
        <v>1286109.68</v>
      </c>
      <c r="K453" s="45" t="n">
        <f aca="false">IF(AND(ISNUMBER($G453),$G453&gt;=MA_LONG2),AVERAGE(INDEX($C$53:$C453,402-MA_LONG2):$C453),"")</f>
        <v>1162825.08</v>
      </c>
      <c r="L453" s="46" t="n">
        <f aca="false">IF(AND(ISNUMBER($G453),$G453&gt;=21),STDEV(INDEX($H$393:$H453,62-20):$H453)*SQRT(245),"")</f>
        <v>0.171815606191931</v>
      </c>
      <c r="M453" s="45" t="n">
        <f aca="false">IF(AND(ISNUMBER($G453),$G453&gt;=60),MAX(INDEX($D$253:$D453,202-60):$D453),"")</f>
        <v>1395701</v>
      </c>
      <c r="N453" s="45" t="n">
        <f aca="false">IF(AND(ISNUMBER($G453),$G453&gt;=60),MIN(INDEX($E$253:$E453,202-60):$E453),"")</f>
        <v>1165807</v>
      </c>
      <c r="O453" s="46" t="n">
        <f aca="false">IF(OR(NOT(ISNUMBER($C453)),NOT(ISNUMBER($M453)),$M453=0),"",$C453/$M453-1)</f>
        <v>-0.0378892040630479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1355967</v>
      </c>
      <c r="D454" s="42" t="n">
        <v>1356335</v>
      </c>
      <c r="E454" s="42" t="n">
        <v>1351173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0.00979134194556375</v>
      </c>
      <c r="I454" s="45" t="n">
        <f aca="false">IF(AND(ISNUMBER($G454),$G454&gt;=MA_SHORT),AVERAGE(INDEX($C$54:$C454,402-MA_SHORT):$C454),"")</f>
        <v>1358014.95</v>
      </c>
      <c r="J454" s="45" t="n">
        <f aca="false">IF(AND(ISNUMBER($G454),$G454&gt;=MA_MED),AVERAGE(INDEX($C$54:$C454,402-MA_MED):$C454),"")</f>
        <v>1289117.24</v>
      </c>
      <c r="K454" s="45" t="n">
        <f aca="false">IF(AND(ISNUMBER($G454),$G454&gt;=MA_LONG2),AVERAGE(INDEX($C$54:$C454,402-MA_LONG2):$C454),"")</f>
        <v>1164318.68</v>
      </c>
      <c r="L454" s="46" t="n">
        <f aca="false">IF(AND(ISNUMBER($G454),$G454&gt;=21),STDEV(INDEX($H$394:$H454,62-20):$H454)*SQRT(245),"")</f>
        <v>0.173813341589756</v>
      </c>
      <c r="M454" s="45" t="n">
        <f aca="false">IF(AND(ISNUMBER($G454),$G454&gt;=60),MAX(INDEX($D$254:$D454,202-60):$D454),"")</f>
        <v>1395701</v>
      </c>
      <c r="N454" s="45" t="n">
        <f aca="false">IF(AND(ISNUMBER($G454),$G454&gt;=60),MIN(INDEX($E$254:$E454,202-60):$E454),"")</f>
        <v>1167812</v>
      </c>
      <c r="O454" s="46" t="n">
        <f aca="false">IF(OR(NOT(ISNUMBER($C454)),NOT(ISNUMBER($M454)),$M454=0),"",$C454/$M454-1)</f>
        <v>-0.0284688482705107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1368006</v>
      </c>
      <c r="D455" s="42" t="n">
        <v>1369040</v>
      </c>
      <c r="E455" s="42" t="n">
        <v>1365323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0.00887853465460453</v>
      </c>
      <c r="I455" s="45" t="n">
        <f aca="false">IF(AND(ISNUMBER($G455),$G455&gt;=MA_SHORT),AVERAGE(INDEX($C$55:$C455,402-MA_SHORT):$C455),"")</f>
        <v>1360212.5</v>
      </c>
      <c r="J455" s="45" t="n">
        <f aca="false">IF(AND(ISNUMBER($G455),$G455&gt;=MA_MED),AVERAGE(INDEX($C$55:$C455,402-MA_MED):$C455),"")</f>
        <v>1292572.98</v>
      </c>
      <c r="K455" s="45" t="n">
        <f aca="false">IF(AND(ISNUMBER($G455),$G455&gt;=MA_LONG2),AVERAGE(INDEX($C$55:$C455,402-MA_LONG2):$C455),"")</f>
        <v>1165877.65</v>
      </c>
      <c r="L455" s="46" t="n">
        <f aca="false">IF(AND(ISNUMBER($G455),$G455&gt;=21),STDEV(INDEX($H$395:$H455,62-20):$H455)*SQRT(245),"")</f>
        <v>0.172644686496481</v>
      </c>
      <c r="M455" s="45" t="n">
        <f aca="false">IF(AND(ISNUMBER($G455),$G455&gt;=60),MAX(INDEX($D$255:$D455,202-60):$D455),"")</f>
        <v>1395701</v>
      </c>
      <c r="N455" s="45" t="n">
        <f aca="false">IF(AND(ISNUMBER($G455),$G455&gt;=60),MIN(INDEX($E$255:$E455,202-60):$E455),"")</f>
        <v>1167812</v>
      </c>
      <c r="O455" s="46" t="n">
        <f aca="false">IF(OR(NOT(ISNUMBER($C455)),NOT(ISNUMBER($M455)),$M455=0),"",$C455/$M455-1)</f>
        <v>-0.0198430752718526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1363135</v>
      </c>
      <c r="D456" s="42" t="n">
        <v>1366265</v>
      </c>
      <c r="E456" s="42" t="n">
        <v>1357005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-0.00356065689770368</v>
      </c>
      <c r="I456" s="45" t="n">
        <f aca="false">IF(AND(ISNUMBER($G456),$G456&gt;=MA_SHORT),AVERAGE(INDEX($C$56:$C456,402-MA_SHORT):$C456),"")</f>
        <v>1362408.25</v>
      </c>
      <c r="J456" s="45" t="n">
        <f aca="false">IF(AND(ISNUMBER($G456),$G456&gt;=MA_MED),AVERAGE(INDEX($C$56:$C456,402-MA_MED):$C456),"")</f>
        <v>1295672.98</v>
      </c>
      <c r="K456" s="45" t="n">
        <f aca="false">IF(AND(ISNUMBER($G456),$G456&gt;=MA_LONG2),AVERAGE(INDEX($C$56:$C456,402-MA_LONG2):$C456),"")</f>
        <v>1167457.375</v>
      </c>
      <c r="L456" s="46" t="n">
        <f aca="false">IF(AND(ISNUMBER($G456),$G456&gt;=21),STDEV(INDEX($H$396:$H456,62-20):$H456)*SQRT(245),"")</f>
        <v>0.17260865683254</v>
      </c>
      <c r="M456" s="45" t="n">
        <f aca="false">IF(AND(ISNUMBER($G456),$G456&gt;=60),MAX(INDEX($D$256:$D456,202-60):$D456),"")</f>
        <v>1395701</v>
      </c>
      <c r="N456" s="45" t="n">
        <f aca="false">IF(AND(ISNUMBER($G456),$G456&gt;=60),MIN(INDEX($E$256:$E456,202-60):$E456),"")</f>
        <v>1167812</v>
      </c>
      <c r="O456" s="46" t="n">
        <f aca="false">IF(OR(NOT(ISNUMBER($C456)),NOT(ISNUMBER($M456)),$M456=0),"",$C456/$M456-1)</f>
        <v>-0.0233330777867179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1358190</v>
      </c>
      <c r="D457" s="42" t="n">
        <v>1366774</v>
      </c>
      <c r="E457" s="42" t="n">
        <v>1355806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-0.0036276671056058</v>
      </c>
      <c r="I457" s="45" t="n">
        <f aca="false">IF(AND(ISNUMBER($G457),$G457&gt;=MA_SHORT),AVERAGE(INDEX($C$57:$C457,402-MA_SHORT):$C457),"")</f>
        <v>1362937.9</v>
      </c>
      <c r="J457" s="45" t="n">
        <f aca="false">IF(AND(ISNUMBER($G457),$G457&gt;=MA_MED),AVERAGE(INDEX($C$57:$C457,402-MA_MED):$C457),"")</f>
        <v>1299062.24</v>
      </c>
      <c r="K457" s="45" t="n">
        <f aca="false">IF(AND(ISNUMBER($G457),$G457&gt;=MA_LONG2),AVERAGE(INDEX($C$57:$C457,402-MA_LONG2):$C457),"")</f>
        <v>1168964.28</v>
      </c>
      <c r="L457" s="46" t="n">
        <f aca="false">IF(AND(ISNUMBER($G457),$G457&gt;=21),STDEV(INDEX($H$397:$H457,62-20):$H457)*SQRT(245),"")</f>
        <v>0.157128530481702</v>
      </c>
      <c r="M457" s="45" t="n">
        <f aca="false">IF(AND(ISNUMBER($G457),$G457&gt;=60),MAX(INDEX($D$257:$D457,202-60):$D457),"")</f>
        <v>1395701</v>
      </c>
      <c r="N457" s="45" t="n">
        <f aca="false">IF(AND(ISNUMBER($G457),$G457&gt;=60),MIN(INDEX($E$257:$E457,202-60):$E457),"")</f>
        <v>1171184</v>
      </c>
      <c r="O457" s="46" t="n">
        <f aca="false">IF(OR(NOT(ISNUMBER($C457)),NOT(ISNUMBER($M457)),$M457=0),"",$C457/$M457-1)</f>
        <v>-0.0268761002535644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1350976</v>
      </c>
      <c r="D458" s="42" t="n">
        <v>1351941</v>
      </c>
      <c r="E458" s="42" t="n">
        <v>1346726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-0.00531148072066501</v>
      </c>
      <c r="I458" s="45" t="n">
        <f aca="false">IF(AND(ISNUMBER($G458),$G458&gt;=MA_SHORT),AVERAGE(INDEX($C$58:$C458,402-MA_SHORT):$C458),"")</f>
        <v>1362611.45</v>
      </c>
      <c r="J458" s="45" t="n">
        <f aca="false">IF(AND(ISNUMBER($G458),$G458&gt;=MA_MED),AVERAGE(INDEX($C$58:$C458,402-MA_MED):$C458),"")</f>
        <v>1302033.9</v>
      </c>
      <c r="K458" s="45" t="n">
        <f aca="false">IF(AND(ISNUMBER($G458),$G458&gt;=MA_LONG2),AVERAGE(INDEX($C$58:$C458,402-MA_LONG2):$C458),"")</f>
        <v>1170456.79</v>
      </c>
      <c r="L458" s="46" t="n">
        <f aca="false">IF(AND(ISNUMBER($G458),$G458&gt;=21),STDEV(INDEX($H$398:$H458,62-20):$H458)*SQRT(245),"")</f>
        <v>0.156192921398561</v>
      </c>
      <c r="M458" s="45" t="n">
        <f aca="false">IF(AND(ISNUMBER($G458),$G458&gt;=60),MAX(INDEX($D$258:$D458,202-60):$D458),"")</f>
        <v>1395701</v>
      </c>
      <c r="N458" s="45" t="n">
        <f aca="false">IF(AND(ISNUMBER($G458),$G458&gt;=60),MIN(INDEX($E$258:$E458,202-60):$E458),"")</f>
        <v>1171184</v>
      </c>
      <c r="O458" s="46" t="n">
        <f aca="false">IF(OR(NOT(ISNUMBER($C458)),NOT(ISNUMBER($M458)),$M458=0),"",$C458/$M458-1)</f>
        <v>-0.0320448290858859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1343266</v>
      </c>
      <c r="D459" s="42" t="n">
        <v>1343459</v>
      </c>
      <c r="E459" s="42" t="n">
        <v>1342240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-0.00570698517220147</v>
      </c>
      <c r="I459" s="45" t="n">
        <f aca="false">IF(AND(ISNUMBER($G459),$G459&gt;=MA_SHORT),AVERAGE(INDEX($C$59:$C459,402-MA_SHORT):$C459),"")</f>
        <v>1361523.7</v>
      </c>
      <c r="J459" s="45" t="n">
        <f aca="false">IF(AND(ISNUMBER($G459),$G459&gt;=MA_MED),AVERAGE(INDEX($C$59:$C459,402-MA_MED):$C459),"")</f>
        <v>1304772.38</v>
      </c>
      <c r="K459" s="45" t="n">
        <f aca="false">IF(AND(ISNUMBER($G459),$G459&gt;=MA_LONG2),AVERAGE(INDEX($C$59:$C459,402-MA_LONG2):$C459),"")</f>
        <v>1171955.33</v>
      </c>
      <c r="L459" s="46" t="n">
        <f aca="false">IF(AND(ISNUMBER($G459),$G459&gt;=21),STDEV(INDEX($H$399:$H459,62-20):$H459)*SQRT(245),"")</f>
        <v>0.155830803901029</v>
      </c>
      <c r="M459" s="45" t="n">
        <f aca="false">IF(AND(ISNUMBER($G459),$G459&gt;=60),MAX(INDEX($D$259:$D459,202-60):$D459),"")</f>
        <v>1395701</v>
      </c>
      <c r="N459" s="45" t="n">
        <f aca="false">IF(AND(ISNUMBER($G459),$G459&gt;=60),MIN(INDEX($E$259:$E459,202-60):$E459),"")</f>
        <v>1171184</v>
      </c>
      <c r="O459" s="46" t="n">
        <f aca="false">IF(OR(NOT(ISNUMBER($C459)),NOT(ISNUMBER($M459)),$M459=0),"",$C459/$M459-1)</f>
        <v>-0.0375689348936484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1329215</v>
      </c>
      <c r="D460" s="42" t="n">
        <v>1329282</v>
      </c>
      <c r="E460" s="42" t="n">
        <v>1327549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-0.0104603258029311</v>
      </c>
      <c r="I460" s="45" t="n">
        <f aca="false">IF(AND(ISNUMBER($G460),$G460&gt;=MA_SHORT),AVERAGE(INDEX($C$60:$C460,402-MA_SHORT):$C460),"")</f>
        <v>1360577.05</v>
      </c>
      <c r="J460" s="45" t="n">
        <f aca="false">IF(AND(ISNUMBER($G460),$G460&gt;=MA_MED),AVERAGE(INDEX($C$60:$C460,402-MA_MED):$C460),"")</f>
        <v>1307186.88</v>
      </c>
      <c r="K460" s="45" t="n">
        <f aca="false">IF(AND(ISNUMBER($G460),$G460&gt;=MA_LONG2),AVERAGE(INDEX($C$60:$C460,402-MA_LONG2):$C460),"")</f>
        <v>1173450.67</v>
      </c>
      <c r="L460" s="46" t="n">
        <f aca="false">IF(AND(ISNUMBER($G460),$G460&gt;=21),STDEV(INDEX($H$400:$H460,62-20):$H460)*SQRT(245),"")</f>
        <v>0.154138407404308</v>
      </c>
      <c r="M460" s="45" t="n">
        <f aca="false">IF(AND(ISNUMBER($G460),$G460&gt;=60),MAX(INDEX($D$260:$D460,202-60):$D460),"")</f>
        <v>1395701</v>
      </c>
      <c r="N460" s="45" t="n">
        <f aca="false">IF(AND(ISNUMBER($G460),$G460&gt;=60),MIN(INDEX($E$260:$E460,202-60):$E460),"")</f>
        <v>1171184</v>
      </c>
      <c r="O460" s="46" t="n">
        <f aca="false">IF(OR(NOT(ISNUMBER($C460)),NOT(ISNUMBER($M460)),$M460=0),"",$C460/$M460-1)</f>
        <v>-0.0476362773975229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1337918</v>
      </c>
      <c r="D461" s="42" t="n">
        <v>1338864</v>
      </c>
      <c r="E461" s="42" t="n">
        <v>1334564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0.00654747350880025</v>
      </c>
      <c r="I461" s="45" t="n">
        <f aca="false">IF(AND(ISNUMBER($G461),$G461&gt;=MA_SHORT),AVERAGE(INDEX($C$61:$C461,402-MA_SHORT):$C461),"")</f>
        <v>1359310.7</v>
      </c>
      <c r="J461" s="45" t="n">
        <f aca="false">IF(AND(ISNUMBER($G461),$G461&gt;=MA_MED),AVERAGE(INDEX($C$61:$C461,402-MA_MED):$C461),"")</f>
        <v>1309478.92</v>
      </c>
      <c r="K461" s="45" t="n">
        <f aca="false">IF(AND(ISNUMBER($G461),$G461&gt;=MA_LONG2),AVERAGE(INDEX($C$61:$C461,402-MA_LONG2):$C461),"")</f>
        <v>1175020.925</v>
      </c>
      <c r="L461" s="46" t="n">
        <f aca="false">IF(AND(ISNUMBER($G461),$G461&gt;=21),STDEV(INDEX($H$401:$H461,62-20):$H461)*SQRT(245),"")</f>
        <v>0.150336922030508</v>
      </c>
      <c r="M461" s="45" t="n">
        <f aca="false">IF(AND(ISNUMBER($G461),$G461&gt;=60),MAX(INDEX($D$261:$D461,202-60):$D461),"")</f>
        <v>1395701</v>
      </c>
      <c r="N461" s="45" t="n">
        <f aca="false">IF(AND(ISNUMBER($G461),$G461&gt;=60),MIN(INDEX($E$261:$E461,202-60):$E461),"")</f>
        <v>1171184</v>
      </c>
      <c r="O461" s="46" t="n">
        <f aca="false">IF(OR(NOT(ISNUMBER($C461)),NOT(ISNUMBER($M461)),$M461=0),"",$C461/$M461-1)</f>
        <v>-0.0414007011530406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1347707</v>
      </c>
      <c r="D462" s="42" t="n">
        <v>1347993</v>
      </c>
      <c r="E462" s="42" t="n">
        <v>1344048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0.00731659189875611</v>
      </c>
      <c r="I462" s="45" t="n">
        <f aca="false">IF(AND(ISNUMBER($G462),$G462&gt;=MA_SHORT),AVERAGE(INDEX($C$62:$C462,402-MA_SHORT):$C462),"")</f>
        <v>1357670.3</v>
      </c>
      <c r="J462" s="45" t="n">
        <f aca="false">IF(AND(ISNUMBER($G462),$G462&gt;=MA_MED),AVERAGE(INDEX($C$62:$C462,402-MA_MED):$C462),"")</f>
        <v>1312460.72</v>
      </c>
      <c r="K462" s="45" t="n">
        <f aca="false">IF(AND(ISNUMBER($G462),$G462&gt;=MA_LONG2),AVERAGE(INDEX($C$62:$C462,402-MA_LONG2):$C462),"")</f>
        <v>1176672.69</v>
      </c>
      <c r="L462" s="46" t="n">
        <f aca="false">IF(AND(ISNUMBER($G462),$G462&gt;=21),STDEV(INDEX($H$402:$H462,62-20):$H462)*SQRT(245),"")</f>
        <v>0.145190488535039</v>
      </c>
      <c r="M462" s="45" t="n">
        <f aca="false">IF(AND(ISNUMBER($G462),$G462&gt;=60),MAX(INDEX($D$262:$D462,202-60):$D462),"")</f>
        <v>1395701</v>
      </c>
      <c r="N462" s="45" t="n">
        <f aca="false">IF(AND(ISNUMBER($G462),$G462&gt;=60),MIN(INDEX($E$262:$E462,202-60):$E462),"")</f>
        <v>1171184</v>
      </c>
      <c r="O462" s="46" t="n">
        <f aca="false">IF(OR(NOT(ISNUMBER($C462)),NOT(ISNUMBER($M462)),$M462=0),"",$C462/$M462-1)</f>
        <v>-0.0343870212889437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1352898</v>
      </c>
      <c r="D463" s="42" t="n">
        <v>1355200</v>
      </c>
      <c r="E463" s="42" t="n">
        <v>1350799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0.00385172741552875</v>
      </c>
      <c r="I463" s="45" t="n">
        <f aca="false">IF(AND(ISNUMBER($G463),$G463&gt;=MA_SHORT),AVERAGE(INDEX($C$63:$C463,402-MA_SHORT):$C463),"")</f>
        <v>1357084.7</v>
      </c>
      <c r="J463" s="45" t="n">
        <f aca="false">IF(AND(ISNUMBER($G463),$G463&gt;=MA_MED),AVERAGE(INDEX($C$63:$C463,402-MA_MED):$C463),"")</f>
        <v>1315990.14</v>
      </c>
      <c r="K463" s="45" t="n">
        <f aca="false">IF(AND(ISNUMBER($G463),$G463&gt;=MA_LONG2),AVERAGE(INDEX($C$63:$C463,402-MA_LONG2):$C463),"")</f>
        <v>1178274.66</v>
      </c>
      <c r="L463" s="46" t="n">
        <f aca="false">IF(AND(ISNUMBER($G463),$G463&gt;=21),STDEV(INDEX($H$403:$H463,62-20):$H463)*SQRT(245),"")</f>
        <v>0.140953647174536</v>
      </c>
      <c r="M463" s="45" t="n">
        <f aca="false">IF(AND(ISNUMBER($G463),$G463&gt;=60),MAX(INDEX($D$263:$D463,202-60):$D463),"")</f>
        <v>1395701</v>
      </c>
      <c r="N463" s="45" t="n">
        <f aca="false">IF(AND(ISNUMBER($G463),$G463&gt;=60),MIN(INDEX($E$263:$E463,202-60):$E463),"")</f>
        <v>1171184</v>
      </c>
      <c r="O463" s="46" t="n">
        <f aca="false">IF(OR(NOT(ISNUMBER($C463)),NOT(ISNUMBER($M463)),$M463=0),"",$C463/$M463-1)</f>
        <v>-0.0306677433060519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1382008</v>
      </c>
      <c r="D464" s="42" t="n">
        <v>1391166</v>
      </c>
      <c r="E464" s="42" t="n">
        <v>1381192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0.0215167736222539</v>
      </c>
      <c r="I464" s="45" t="n">
        <f aca="false">IF(AND(ISNUMBER($G464),$G464&gt;=MA_SHORT),AVERAGE(INDEX($C$64:$C464,402-MA_SHORT):$C464),"")</f>
        <v>1358805.65</v>
      </c>
      <c r="J464" s="45" t="n">
        <f aca="false">IF(AND(ISNUMBER($G464),$G464&gt;=MA_MED),AVERAGE(INDEX($C$64:$C464,402-MA_MED):$C464),"")</f>
        <v>1319981.58</v>
      </c>
      <c r="K464" s="45" t="n">
        <f aca="false">IF(AND(ISNUMBER($G464),$G464&gt;=MA_LONG2),AVERAGE(INDEX($C$64:$C464,402-MA_LONG2):$C464),"")</f>
        <v>1180038.45</v>
      </c>
      <c r="L464" s="46" t="n">
        <f aca="false">IF(AND(ISNUMBER($G464),$G464&gt;=21),STDEV(INDEX($H$404:$H464,62-20):$H464)*SQRT(245),"")</f>
        <v>0.153071070060735</v>
      </c>
      <c r="M464" s="45" t="n">
        <f aca="false">IF(AND(ISNUMBER($G464),$G464&gt;=60),MAX(INDEX($D$264:$D464,202-60):$D464),"")</f>
        <v>1395701</v>
      </c>
      <c r="N464" s="45" t="n">
        <f aca="false">IF(AND(ISNUMBER($G464),$G464&gt;=60),MIN(INDEX($E$264:$E464,202-60):$E464),"")</f>
        <v>1171184</v>
      </c>
      <c r="O464" s="46" t="n">
        <f aca="false">IF(OR(NOT(ISNUMBER($C464)),NOT(ISNUMBER($M464)),$M464=0),"",$C464/$M464-1)</f>
        <v>-0.00981084057401982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1363872</v>
      </c>
      <c r="D465" s="42" t="n">
        <v>1371866</v>
      </c>
      <c r="E465" s="42" t="n">
        <v>1359620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-0.0131229341653594</v>
      </c>
      <c r="I465" s="45" t="n">
        <f aca="false">IF(AND(ISNUMBER($G465),$G465&gt;=MA_SHORT),AVERAGE(INDEX($C$65:$C465,402-MA_SHORT):$C465),"")</f>
        <v>1359425.75</v>
      </c>
      <c r="J465" s="45" t="n">
        <f aca="false">IF(AND(ISNUMBER($G465),$G465&gt;=MA_MED),AVERAGE(INDEX($C$65:$C465,402-MA_MED):$C465),"")</f>
        <v>1323487.3</v>
      </c>
      <c r="K465" s="45" t="n">
        <f aca="false">IF(AND(ISNUMBER($G465),$G465&gt;=MA_LONG2),AVERAGE(INDEX($C$65:$C465,402-MA_LONG2):$C465),"")</f>
        <v>1181708.535</v>
      </c>
      <c r="L465" s="46" t="n">
        <f aca="false">IF(AND(ISNUMBER($G465),$G465&gt;=21),STDEV(INDEX($H$405:$H465,62-20):$H465)*SQRT(245),"")</f>
        <v>0.160993049393009</v>
      </c>
      <c r="M465" s="45" t="n">
        <f aca="false">IF(AND(ISNUMBER($G465),$G465&gt;=60),MAX(INDEX($D$265:$D465,202-60):$D465),"")</f>
        <v>1395701</v>
      </c>
      <c r="N465" s="45" t="n">
        <f aca="false">IF(AND(ISNUMBER($G465),$G465&gt;=60),MIN(INDEX($E$265:$E465,202-60):$E465),"")</f>
        <v>1171184</v>
      </c>
      <c r="O465" s="46" t="n">
        <f aca="false">IF(OR(NOT(ISNUMBER($C465)),NOT(ISNUMBER($M465)),$M465=0),"",$C465/$M465-1)</f>
        <v>-0.0228050277244195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1364506</v>
      </c>
      <c r="D466" s="42" t="n">
        <v>1373779</v>
      </c>
      <c r="E466" s="42" t="n">
        <v>1362965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0.000464853006733712</v>
      </c>
      <c r="I466" s="45" t="n">
        <f aca="false">IF(AND(ISNUMBER($G466),$G466&gt;=MA_SHORT),AVERAGE(INDEX($C$66:$C466,402-MA_SHORT):$C466),"")</f>
        <v>1358890.6</v>
      </c>
      <c r="J466" s="45" t="n">
        <f aca="false">IF(AND(ISNUMBER($G466),$G466&gt;=MA_MED),AVERAGE(INDEX($C$66:$C466,402-MA_MED):$C466),"")</f>
        <v>1327133.34</v>
      </c>
      <c r="K466" s="45" t="n">
        <f aca="false">IF(AND(ISNUMBER($G466),$G466&gt;=MA_LONG2),AVERAGE(INDEX($C$66:$C466,402-MA_LONG2):$C466),"")</f>
        <v>1183348.995</v>
      </c>
      <c r="L466" s="46" t="n">
        <f aca="false">IF(AND(ISNUMBER($G466),$G466&gt;=21),STDEV(INDEX($H$406:$H466,62-20):$H466)*SQRT(245),"")</f>
        <v>0.148249927483708</v>
      </c>
      <c r="M466" s="45" t="n">
        <f aca="false">IF(AND(ISNUMBER($G466),$G466&gt;=60),MAX(INDEX($D$266:$D466,202-60):$D466),"")</f>
        <v>1395701</v>
      </c>
      <c r="N466" s="45" t="n">
        <f aca="false">IF(AND(ISNUMBER($G466),$G466&gt;=60),MIN(INDEX($E$266:$E466,202-60):$E466),"")</f>
        <v>1171184</v>
      </c>
      <c r="O466" s="46" t="n">
        <f aca="false">IF(OR(NOT(ISNUMBER($C466)),NOT(ISNUMBER($M466)),$M466=0),"",$C466/$M466-1)</f>
        <v>-0.0223507757033921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1357603</v>
      </c>
      <c r="D467" s="42" t="n">
        <v>1358932</v>
      </c>
      <c r="E467" s="42" t="n">
        <v>1356161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-0.00505897372382391</v>
      </c>
      <c r="I467" s="45" t="n">
        <f aca="false">IF(AND(ISNUMBER($G467),$G467&gt;=MA_SHORT),AVERAGE(INDEX($C$67:$C467,402-MA_SHORT):$C467),"")</f>
        <v>1357387.15</v>
      </c>
      <c r="J467" s="45" t="n">
        <f aca="false">IF(AND(ISNUMBER($G467),$G467&gt;=MA_MED),AVERAGE(INDEX($C$67:$C467,402-MA_MED):$C467),"")</f>
        <v>1330610.44</v>
      </c>
      <c r="K467" s="45" t="n">
        <f aca="false">IF(AND(ISNUMBER($G467),$G467&gt;=MA_LONG2),AVERAGE(INDEX($C$67:$C467,402-MA_LONG2):$C467),"")</f>
        <v>1184930.93</v>
      </c>
      <c r="L467" s="46" t="n">
        <f aca="false">IF(AND(ISNUMBER($G467),$G467&gt;=21),STDEV(INDEX($H$407:$H467,62-20):$H467)*SQRT(245),"")</f>
        <v>0.144891916595252</v>
      </c>
      <c r="M467" s="45" t="n">
        <f aca="false">IF(AND(ISNUMBER($G467),$G467&gt;=60),MAX(INDEX($D$267:$D467,202-60):$D467),"")</f>
        <v>1395701</v>
      </c>
      <c r="N467" s="45" t="n">
        <f aca="false">IF(AND(ISNUMBER($G467),$G467&gt;=60),MIN(INDEX($E$267:$E467,202-60):$E467),"")</f>
        <v>1171184</v>
      </c>
      <c r="O467" s="46" t="n">
        <f aca="false">IF(OR(NOT(ISNUMBER($C467)),NOT(ISNUMBER($M467)),$M467=0),"",$C467/$M467-1)</f>
        <v>-0.0272966774402253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1362503</v>
      </c>
      <c r="D468" s="42" t="n">
        <v>1365006</v>
      </c>
      <c r="E468" s="42" t="n">
        <v>1360311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0.00360930257225411</v>
      </c>
      <c r="I468" s="45" t="n">
        <f aca="false">IF(AND(ISNUMBER($G468),$G468&gt;=MA_SHORT),AVERAGE(INDEX($C$68:$C468,402-MA_SHORT):$C468),"")</f>
        <v>1357014.2</v>
      </c>
      <c r="J468" s="45" t="n">
        <f aca="false">IF(AND(ISNUMBER($G468),$G468&gt;=MA_MED),AVERAGE(INDEX($C$68:$C468,402-MA_MED):$C468),"")</f>
        <v>1334214.56</v>
      </c>
      <c r="K468" s="45" t="n">
        <f aca="false">IF(AND(ISNUMBER($G468),$G468&gt;=MA_LONG2),AVERAGE(INDEX($C$68:$C468,402-MA_LONG2):$C468),"")</f>
        <v>1186518.76</v>
      </c>
      <c r="L468" s="46" t="n">
        <f aca="false">IF(AND(ISNUMBER($G468),$G468&gt;=21),STDEV(INDEX($H$408:$H468,62-20):$H468)*SQRT(245),"")</f>
        <v>0.139045457334945</v>
      </c>
      <c r="M468" s="45" t="n">
        <f aca="false">IF(AND(ISNUMBER($G468),$G468&gt;=60),MAX(INDEX($D$268:$D468,202-60):$D468),"")</f>
        <v>1395701</v>
      </c>
      <c r="N468" s="45" t="n">
        <f aca="false">IF(AND(ISNUMBER($G468),$G468&gt;=60),MIN(INDEX($E$268:$E468,202-60):$E468),"")</f>
        <v>1171184</v>
      </c>
      <c r="O468" s="46" t="n">
        <f aca="false">IF(OR(NOT(ISNUMBER($C468)),NOT(ISNUMBER($M468)),$M468=0),"",$C468/$M468-1)</f>
        <v>-0.0237858968360702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1362896</v>
      </c>
      <c r="D469" s="42" t="n">
        <v>1365474</v>
      </c>
      <c r="E469" s="42" t="n">
        <v>1358500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0.000288439731875867</v>
      </c>
      <c r="I469" s="45" t="n">
        <f aca="false">IF(AND(ISNUMBER($G469),$G469&gt;=MA_SHORT),AVERAGE(INDEX($C$69:$C469,402-MA_SHORT):$C469),"")</f>
        <v>1356217.35</v>
      </c>
      <c r="J469" s="45" t="n">
        <f aca="false">IF(AND(ISNUMBER($G469),$G469&gt;=MA_MED),AVERAGE(INDEX($C$69:$C469,402-MA_MED):$C469),"")</f>
        <v>1337881.64</v>
      </c>
      <c r="K469" s="45" t="n">
        <f aca="false">IF(AND(ISNUMBER($G469),$G469&gt;=MA_LONG2),AVERAGE(INDEX($C$69:$C469,402-MA_LONG2):$C469),"")</f>
        <v>1188075.87</v>
      </c>
      <c r="L469" s="46" t="n">
        <f aca="false">IF(AND(ISNUMBER($G469),$G469&gt;=21),STDEV(INDEX($H$409:$H469,62-20):$H469)*SQRT(245),"")</f>
        <v>0.136864049270762</v>
      </c>
      <c r="M469" s="45" t="n">
        <f aca="false">IF(AND(ISNUMBER($G469),$G469&gt;=60),MAX(INDEX($D$269:$D469,202-60):$D469),"")</f>
        <v>1395701</v>
      </c>
      <c r="N469" s="45" t="n">
        <f aca="false">IF(AND(ISNUMBER($G469),$G469&gt;=60),MIN(INDEX($E$269:$E469,202-60):$E469),"")</f>
        <v>1171184</v>
      </c>
      <c r="O469" s="46" t="n">
        <f aca="false">IF(OR(NOT(ISNUMBER($C469)),NOT(ISNUMBER($M469)),$M469=0),"",$C469/$M469-1)</f>
        <v>-0.0235043179019002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1362021</v>
      </c>
      <c r="D470" s="42" t="n">
        <v>1363261</v>
      </c>
      <c r="E470" s="42" t="n">
        <v>1358278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-0.000642015238140004</v>
      </c>
      <c r="I470" s="45" t="n">
        <f aca="false">IF(AND(ISNUMBER($G470),$G470&gt;=MA_SHORT),AVERAGE(INDEX($C$70:$C470,402-MA_SHORT):$C470),"")</f>
        <v>1356073.55</v>
      </c>
      <c r="J470" s="45" t="n">
        <f aca="false">IF(AND(ISNUMBER($G470),$G470&gt;=MA_MED),AVERAGE(INDEX($C$70:$C470,402-MA_MED):$C470),"")</f>
        <v>1341251.62</v>
      </c>
      <c r="K470" s="45" t="n">
        <f aca="false">IF(AND(ISNUMBER($G470),$G470&gt;=MA_LONG2),AVERAGE(INDEX($C$70:$C470,402-MA_LONG2):$C470),"")</f>
        <v>1189612.69</v>
      </c>
      <c r="L470" s="46" t="n">
        <f aca="false">IF(AND(ISNUMBER($G470),$G470&gt;=21),STDEV(INDEX($H$410:$H470,62-20):$H470)*SQRT(245),"")</f>
        <v>0.132269009085043</v>
      </c>
      <c r="M470" s="45" t="n">
        <f aca="false">IF(AND(ISNUMBER($G470),$G470&gt;=60),MAX(INDEX($D$270:$D470,202-60):$D470),"")</f>
        <v>1395701</v>
      </c>
      <c r="N470" s="45" t="n">
        <f aca="false">IF(AND(ISNUMBER($G470),$G470&gt;=60),MIN(INDEX($E$270:$E470,202-60):$E470),"")</f>
        <v>1171184</v>
      </c>
      <c r="O470" s="46" t="n">
        <f aca="false">IF(OR(NOT(ISNUMBER($C470)),NOT(ISNUMBER($M470)),$M470=0),"",$C470/$M470-1)</f>
        <v>-0.0241312430097851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1365044</v>
      </c>
      <c r="D471" s="42" t="n">
        <v>1371941</v>
      </c>
      <c r="E471" s="42" t="n">
        <v>1364789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0.00221949588148784</v>
      </c>
      <c r="I471" s="45" t="n">
        <f aca="false">IF(AND(ISNUMBER($G471),$G471&gt;=MA_SHORT),AVERAGE(INDEX($C$71:$C471,402-MA_SHORT):$C471),"")</f>
        <v>1356512.25</v>
      </c>
      <c r="J471" s="45" t="n">
        <f aca="false">IF(AND(ISNUMBER($G471),$G471&gt;=MA_MED),AVERAGE(INDEX($C$71:$C471,402-MA_MED):$C471),"")</f>
        <v>1343298.78</v>
      </c>
      <c r="K471" s="45" t="n">
        <f aca="false">IF(AND(ISNUMBER($G471),$G471&gt;=MA_LONG2),AVERAGE(INDEX($C$71:$C471,402-MA_LONG2):$C471),"")</f>
        <v>1191148.825</v>
      </c>
      <c r="L471" s="46" t="n">
        <f aca="false">IF(AND(ISNUMBER($G471),$G471&gt;=21),STDEV(INDEX($H$411:$H471,62-20):$H471)*SQRT(245),"")</f>
        <v>0.130430903845851</v>
      </c>
      <c r="M471" s="45" t="n">
        <f aca="false">IF(AND(ISNUMBER($G471),$G471&gt;=60),MAX(INDEX($D$271:$D471,202-60):$D471),"")</f>
        <v>1395701</v>
      </c>
      <c r="N471" s="45" t="n">
        <f aca="false">IF(AND(ISNUMBER($G471),$G471&gt;=60),MIN(INDEX($E$271:$E471,202-60):$E471),"")</f>
        <v>1171184</v>
      </c>
      <c r="O471" s="46" t="n">
        <f aca="false">IF(OR(NOT(ISNUMBER($C471)),NOT(ISNUMBER($M471)),$M471=0),"",$C471/$M471-1)</f>
        <v>-0.0219653063227726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1370806</v>
      </c>
      <c r="D472" s="42" t="n">
        <v>1375335</v>
      </c>
      <c r="E472" s="42" t="n">
        <v>1367598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0.00422110935618192</v>
      </c>
      <c r="I472" s="45" t="n">
        <f aca="false">IF(AND(ISNUMBER($G472),$G472&gt;=MA_SHORT),AVERAGE(INDEX($C$72:$C472,402-MA_SHORT):$C472),"")</f>
        <v>1357067.8</v>
      </c>
      <c r="J472" s="45" t="n">
        <f aca="false">IF(AND(ISNUMBER($G472),$G472&gt;=MA_MED),AVERAGE(INDEX($C$72:$C472,402-MA_MED):$C472),"")</f>
        <v>1345496.48</v>
      </c>
      <c r="K472" s="45" t="n">
        <f aca="false">IF(AND(ISNUMBER($G472),$G472&gt;=MA_LONG2),AVERAGE(INDEX($C$72:$C472,402-MA_LONG2):$C472),"")</f>
        <v>1192694.535</v>
      </c>
      <c r="L472" s="46" t="n">
        <f aca="false">IF(AND(ISNUMBER($G472),$G472&gt;=21),STDEV(INDEX($H$412:$H472,62-20):$H472)*SQRT(245),"")</f>
        <v>0.130928792218701</v>
      </c>
      <c r="M472" s="45" t="n">
        <f aca="false">IF(AND(ISNUMBER($G472),$G472&gt;=60),MAX(INDEX($D$272:$D472,202-60):$D472),"")</f>
        <v>1395701</v>
      </c>
      <c r="N472" s="45" t="n">
        <f aca="false">IF(AND(ISNUMBER($G472),$G472&gt;=60),MIN(INDEX($E$272:$E472,202-60):$E472),"")</f>
        <v>1171184</v>
      </c>
      <c r="O472" s="46" t="n">
        <f aca="false">IF(OR(NOT(ISNUMBER($C472)),NOT(ISNUMBER($M472)),$M472=0),"",$C472/$M472-1)</f>
        <v>-0.0178369149266211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1367936</v>
      </c>
      <c r="D473" s="42" t="n">
        <v>1369605</v>
      </c>
      <c r="E473" s="42" t="n">
        <v>1363047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-0.00209365876717782</v>
      </c>
      <c r="I473" s="45" t="n">
        <f aca="false">IF(AND(ISNUMBER($G473),$G473&gt;=MA_SHORT),AVERAGE(INDEX($C$73:$C473,402-MA_SHORT):$C473),"")</f>
        <v>1358323.65</v>
      </c>
      <c r="J473" s="45" t="n">
        <f aca="false">IF(AND(ISNUMBER($G473),$G473&gt;=MA_MED),AVERAGE(INDEX($C$73:$C473,402-MA_MED):$C473),"")</f>
        <v>1347296.94</v>
      </c>
      <c r="K473" s="45" t="n">
        <f aca="false">IF(AND(ISNUMBER($G473),$G473&gt;=MA_LONG2),AVERAGE(INDEX($C$73:$C473,402-MA_LONG2):$C473),"")</f>
        <v>1194172.645</v>
      </c>
      <c r="L473" s="46" t="n">
        <f aca="false">IF(AND(ISNUMBER($G473),$G473&gt;=21),STDEV(INDEX($H$413:$H473,62-20):$H473)*SQRT(245),"")</f>
        <v>0.122583453500357</v>
      </c>
      <c r="M473" s="45" t="n">
        <f aca="false">IF(AND(ISNUMBER($G473),$G473&gt;=60),MAX(INDEX($D$273:$D473,202-60):$D473),"")</f>
        <v>1395701</v>
      </c>
      <c r="N473" s="45" t="n">
        <f aca="false">IF(AND(ISNUMBER($G473),$G473&gt;=60),MIN(INDEX($E$273:$E473,202-60):$E473),"")</f>
        <v>1174454</v>
      </c>
      <c r="O473" s="46" t="n">
        <f aca="false">IF(OR(NOT(ISNUMBER($C473)),NOT(ISNUMBER($M473)),$M473=0),"",$C473/$M473-1)</f>
        <v>-0.0198932292804834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1357975</v>
      </c>
      <c r="D474" s="42" t="n">
        <v>1360485</v>
      </c>
      <c r="E474" s="42" t="n">
        <v>1356571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-0.00728177341630021</v>
      </c>
      <c r="I474" s="45" t="n">
        <f aca="false">IF(AND(ISNUMBER($G474),$G474&gt;=MA_SHORT),AVERAGE(INDEX($C$74:$C474,402-MA_SHORT):$C474),"")</f>
        <v>1358424.05</v>
      </c>
      <c r="J474" s="45" t="n">
        <f aca="false">IF(AND(ISNUMBER($G474),$G474&gt;=MA_MED),AVERAGE(INDEX($C$74:$C474,402-MA_MED):$C474),"")</f>
        <v>1348799.96</v>
      </c>
      <c r="K474" s="45" t="n">
        <f aca="false">IF(AND(ISNUMBER($G474),$G474&gt;=MA_LONG2),AVERAGE(INDEX($C$74:$C474,402-MA_LONG2):$C474),"")</f>
        <v>1195634.615</v>
      </c>
      <c r="L474" s="46" t="n">
        <f aca="false">IF(AND(ISNUMBER($G474),$G474&gt;=21),STDEV(INDEX($H$414:$H474,62-20):$H474)*SQRT(245),"")</f>
        <v>0.12127337728221</v>
      </c>
      <c r="M474" s="45" t="n">
        <f aca="false">IF(AND(ISNUMBER($G474),$G474&gt;=60),MAX(INDEX($D$274:$D474,202-60):$D474),"")</f>
        <v>1395701</v>
      </c>
      <c r="N474" s="45" t="n">
        <f aca="false">IF(AND(ISNUMBER($G474),$G474&gt;=60),MIN(INDEX($E$274:$E474,202-60):$E474),"")</f>
        <v>1174454</v>
      </c>
      <c r="O474" s="46" t="n">
        <f aca="false">IF(OR(NOT(ISNUMBER($C474)),NOT(ISNUMBER($M474)),$M474=0),"",$C474/$M474-1)</f>
        <v>-0.0270301447086446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1348343</v>
      </c>
      <c r="D475" s="42" t="n">
        <v>1351248</v>
      </c>
      <c r="E475" s="42" t="n">
        <v>1347643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-0.00709291408162893</v>
      </c>
      <c r="I475" s="45" t="n">
        <f aca="false">IF(AND(ISNUMBER($G475),$G475&gt;=MA_SHORT),AVERAGE(INDEX($C$75:$C475,402-MA_SHORT):$C475),"")</f>
        <v>1357440.9</v>
      </c>
      <c r="J475" s="45" t="n">
        <f aca="false">IF(AND(ISNUMBER($G475),$G475&gt;=MA_MED),AVERAGE(INDEX($C$75:$C475,402-MA_MED):$C475),"")</f>
        <v>1350121.9</v>
      </c>
      <c r="K475" s="45" t="n">
        <f aca="false">IF(AND(ISNUMBER($G475),$G475&gt;=MA_LONG2),AVERAGE(INDEX($C$75:$C475,402-MA_LONG2):$C475),"")</f>
        <v>1197044.615</v>
      </c>
      <c r="L475" s="46" t="n">
        <f aca="false">IF(AND(ISNUMBER($G475),$G475&gt;=21),STDEV(INDEX($H$415:$H475,62-20):$H475)*SQRT(245),"")</f>
        <v>0.119235893094236</v>
      </c>
      <c r="M475" s="45" t="n">
        <f aca="false">IF(AND(ISNUMBER($G475),$G475&gt;=60),MAX(INDEX($D$275:$D475,202-60):$D475),"")</f>
        <v>1395701</v>
      </c>
      <c r="N475" s="45" t="n">
        <f aca="false">IF(AND(ISNUMBER($G475),$G475&gt;=60),MIN(INDEX($E$275:$E475,202-60):$E475),"")</f>
        <v>1174454</v>
      </c>
      <c r="O475" s="46" t="n">
        <f aca="false">IF(OR(NOT(ISNUMBER($C475)),NOT(ISNUMBER($M475)),$M475=0),"",$C475/$M475-1)</f>
        <v>-0.0339313362962411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1330309</v>
      </c>
      <c r="D476" s="42" t="n">
        <v>1334860</v>
      </c>
      <c r="E476" s="42" t="n">
        <v>1325710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-0.0133749350128268</v>
      </c>
      <c r="I476" s="45" t="n">
        <f aca="false">IF(AND(ISNUMBER($G476),$G476&gt;=MA_SHORT),AVERAGE(INDEX($C$76:$C476,402-MA_SHORT):$C476),"")</f>
        <v>1355799.6</v>
      </c>
      <c r="J476" s="45" t="n">
        <f aca="false">IF(AND(ISNUMBER($G476),$G476&gt;=MA_MED),AVERAGE(INDEX($C$76:$C476,402-MA_MED):$C476),"")</f>
        <v>1350858.08</v>
      </c>
      <c r="K476" s="45" t="n">
        <f aca="false">IF(AND(ISNUMBER($G476),$G476&gt;=MA_LONG2),AVERAGE(INDEX($C$76:$C476,402-MA_LONG2):$C476),"")</f>
        <v>1198427.085</v>
      </c>
      <c r="L476" s="46" t="n">
        <f aca="false">IF(AND(ISNUMBER($G476),$G476&gt;=21),STDEV(INDEX($H$416:$H476,62-20):$H476)*SQRT(245),"")</f>
        <v>0.126972958787921</v>
      </c>
      <c r="M476" s="45" t="n">
        <f aca="false">IF(AND(ISNUMBER($G476),$G476&gt;=60),MAX(INDEX($D$276:$D476,202-60):$D476),"")</f>
        <v>1395701</v>
      </c>
      <c r="N476" s="45" t="n">
        <f aca="false">IF(AND(ISNUMBER($G476),$G476&gt;=60),MIN(INDEX($E$276:$E476,202-60):$E476),"")</f>
        <v>1174454</v>
      </c>
      <c r="O476" s="46" t="n">
        <f aca="false">IF(OR(NOT(ISNUMBER($C476)),NOT(ISNUMBER($M476)),$M476=0),"",$C476/$M476-1)</f>
        <v>-0.0468524418912074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1331322</v>
      </c>
      <c r="D477" s="42" t="n">
        <v>1332231</v>
      </c>
      <c r="E477" s="42" t="n">
        <v>1330496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0.000761477220705853</v>
      </c>
      <c r="I477" s="45" t="n">
        <f aca="false">IF(AND(ISNUMBER($G477),$G477&gt;=MA_SHORT),AVERAGE(INDEX($C$77:$C477,402-MA_SHORT):$C477),"")</f>
        <v>1354456.2</v>
      </c>
      <c r="J477" s="45" t="n">
        <f aca="false">IF(AND(ISNUMBER($G477),$G477&gt;=MA_MED),AVERAGE(INDEX($C$77:$C477,402-MA_MED):$C477),"")</f>
        <v>1351390.4</v>
      </c>
      <c r="K477" s="45" t="n">
        <f aca="false">IF(AND(ISNUMBER($G477),$G477&gt;=MA_LONG2),AVERAGE(INDEX($C$77:$C477,402-MA_LONG2):$C477),"")</f>
        <v>1199708.275</v>
      </c>
      <c r="L477" s="46" t="n">
        <f aca="false">IF(AND(ISNUMBER($G477),$G477&gt;=21),STDEV(INDEX($H$417:$H477,62-20):$H477)*SQRT(245),"")</f>
        <v>0.12681420805446</v>
      </c>
      <c r="M477" s="45" t="n">
        <f aca="false">IF(AND(ISNUMBER($G477),$G477&gt;=60),MAX(INDEX($D$277:$D477,202-60):$D477),"")</f>
        <v>1395701</v>
      </c>
      <c r="N477" s="45" t="n">
        <f aca="false">IF(AND(ISNUMBER($G477),$G477&gt;=60),MIN(INDEX($E$277:$E477,202-60):$E477),"")</f>
        <v>1174454</v>
      </c>
      <c r="O477" s="46" t="n">
        <f aca="false">IF(OR(NOT(ISNUMBER($C477)),NOT(ISNUMBER($M477)),$M477=0),"",$C477/$M477-1)</f>
        <v>-0.0461266417377361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1412138</v>
      </c>
      <c r="D478" s="42" t="n">
        <v>1416196</v>
      </c>
      <c r="E478" s="42" t="n">
        <v>1409379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0.0607035713373625</v>
      </c>
      <c r="I478" s="45" t="n">
        <f aca="false">IF(AND(ISNUMBER($G478),$G478&gt;=MA_SHORT),AVERAGE(INDEX($C$78:$C478,402-MA_SHORT):$C478),"")</f>
        <v>1357514.3</v>
      </c>
      <c r="J478" s="45" t="n">
        <f aca="false">IF(AND(ISNUMBER($G478),$G478&gt;=MA_MED),AVERAGE(INDEX($C$78:$C478,402-MA_MED):$C478),"")</f>
        <v>1353386.08</v>
      </c>
      <c r="K478" s="45" t="n">
        <f aca="false">IF(AND(ISNUMBER($G478),$G478&gt;=MA_LONG2),AVERAGE(INDEX($C$78:$C478,402-MA_LONG2):$C478),"")</f>
        <v>1201414.755</v>
      </c>
      <c r="L478" s="46" t="n">
        <f aca="false">IF(AND(ISNUMBER($G478),$G478&gt;=21),STDEV(INDEX($H$418:$H478,62-20):$H478)*SQRT(245),"")</f>
        <v>0.249141486625802</v>
      </c>
      <c r="M478" s="45" t="n">
        <f aca="false">IF(AND(ISNUMBER($G478),$G478&gt;=60),MAX(INDEX($D$278:$D478,202-60):$D478),"")</f>
        <v>1416196</v>
      </c>
      <c r="N478" s="45" t="n">
        <f aca="false">IF(AND(ISNUMBER($G478),$G478&gt;=60),MIN(INDEX($E$278:$E478,202-60):$E478),"")</f>
        <v>1174454</v>
      </c>
      <c r="O478" s="46" t="n">
        <f aca="false">IF(OR(NOT(ISNUMBER($C478)),NOT(ISNUMBER($M478)),$M478=0),"",$C478/$M478-1)</f>
        <v>-0.0028654225827498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1415855</v>
      </c>
      <c r="D479" s="42" t="n">
        <v>1419379</v>
      </c>
      <c r="E479" s="42" t="n">
        <v>1412290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0.00263217900800061</v>
      </c>
      <c r="I479" s="45" t="n">
        <f aca="false">IF(AND(ISNUMBER($G479),$G479&gt;=MA_SHORT),AVERAGE(INDEX($C$79:$C479,402-MA_SHORT):$C479),"")</f>
        <v>1361143.75</v>
      </c>
      <c r="J479" s="45" t="n">
        <f aca="false">IF(AND(ISNUMBER($G479),$G479&gt;=MA_MED),AVERAGE(INDEX($C$79:$C479,402-MA_MED):$C479),"")</f>
        <v>1355556.22</v>
      </c>
      <c r="K479" s="45" t="n">
        <f aca="false">IF(AND(ISNUMBER($G479),$G479&gt;=MA_LONG2),AVERAGE(INDEX($C$79:$C479,402-MA_LONG2):$C479),"")</f>
        <v>1203151.165</v>
      </c>
      <c r="L479" s="46" t="n">
        <f aca="false">IF(AND(ISNUMBER($G479),$G479&gt;=21),STDEV(INDEX($H$419:$H479,62-20):$H479)*SQRT(245),"")</f>
        <v>0.247374609405133</v>
      </c>
      <c r="M479" s="45" t="n">
        <f aca="false">IF(AND(ISNUMBER($G479),$G479&gt;=60),MAX(INDEX($D$279:$D479,202-60):$D479),"")</f>
        <v>1419379</v>
      </c>
      <c r="N479" s="45" t="n">
        <f aca="false">IF(AND(ISNUMBER($G479),$G479&gt;=60),MIN(INDEX($E$279:$E479,202-60):$E479),"")</f>
        <v>1187387</v>
      </c>
      <c r="O479" s="46" t="n">
        <f aca="false">IF(OR(NOT(ISNUMBER($C479)),NOT(ISNUMBER($M479)),$M479=0),"",$C479/$M479-1)</f>
        <v>-0.0024827759182009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1407484</v>
      </c>
      <c r="D480" s="42" t="n">
        <v>1408311</v>
      </c>
      <c r="E480" s="42" t="n">
        <v>1404070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-0.00591232859297031</v>
      </c>
      <c r="I480" s="45" t="n">
        <f aca="false">IF(AND(ISNUMBER($G480),$G480&gt;=MA_SHORT),AVERAGE(INDEX($C$80:$C480,402-MA_SHORT):$C480),"")</f>
        <v>1365057.2</v>
      </c>
      <c r="J480" s="45" t="n">
        <f aca="false">IF(AND(ISNUMBER($G480),$G480&gt;=MA_MED),AVERAGE(INDEX($C$80:$C480,402-MA_MED):$C480),"")</f>
        <v>1357318.54</v>
      </c>
      <c r="K480" s="45" t="n">
        <f aca="false">IF(AND(ISNUMBER($G480),$G480&gt;=MA_LONG2),AVERAGE(INDEX($C$80:$C480,402-MA_LONG2):$C480),"")</f>
        <v>1204727.475</v>
      </c>
      <c r="L480" s="46" t="n">
        <f aca="false">IF(AND(ISNUMBER($G480),$G480&gt;=21),STDEV(INDEX($H$420:$H480,62-20):$H480)*SQRT(245),"")</f>
        <v>0.244740888757777</v>
      </c>
      <c r="M480" s="45" t="n">
        <f aca="false">IF(AND(ISNUMBER($G480),$G480&gt;=60),MAX(INDEX($D$280:$D480,202-60):$D480),"")</f>
        <v>1419379</v>
      </c>
      <c r="N480" s="45" t="n">
        <f aca="false">IF(AND(ISNUMBER($G480),$G480&gt;=60),MIN(INDEX($E$280:$E480,202-60):$E480),"")</f>
        <v>1259702</v>
      </c>
      <c r="O480" s="46" t="n">
        <f aca="false">IF(OR(NOT(ISNUMBER($C480)),NOT(ISNUMBER($M480)),$M480=0),"",$C480/$M480-1)</f>
        <v>-0.00838042552412011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1389360</v>
      </c>
      <c r="D481" s="42" t="n">
        <v>1392847</v>
      </c>
      <c r="E481" s="42" t="n">
        <v>1383113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-0.0128768781741035</v>
      </c>
      <c r="I481" s="45" t="n">
        <f aca="false">IF(AND(ISNUMBER($G481),$G481&gt;=MA_SHORT),AVERAGE(INDEX($C$81:$C481,402-MA_SHORT):$C481),"")</f>
        <v>1367629.3</v>
      </c>
      <c r="J481" s="45" t="n">
        <f aca="false">IF(AND(ISNUMBER($G481),$G481&gt;=MA_MED),AVERAGE(INDEX($C$81:$C481,402-MA_MED):$C481),"")</f>
        <v>1358790.6</v>
      </c>
      <c r="K481" s="45" t="n">
        <f aca="false">IF(AND(ISNUMBER($G481),$G481&gt;=MA_LONG2),AVERAGE(INDEX($C$81:$C481,402-MA_LONG2):$C481),"")</f>
        <v>1206107.28</v>
      </c>
      <c r="L481" s="46" t="n">
        <f aca="false">IF(AND(ISNUMBER($G481),$G481&gt;=21),STDEV(INDEX($H$421:$H481,62-20):$H481)*SQRT(245),"")</f>
        <v>0.250463220518935</v>
      </c>
      <c r="M481" s="45" t="n">
        <f aca="false">IF(AND(ISNUMBER($G481),$G481&gt;=60),MAX(INDEX($D$281:$D481,202-60):$D481),"")</f>
        <v>1419379</v>
      </c>
      <c r="N481" s="45" t="n">
        <f aca="false">IF(AND(ISNUMBER($G481),$G481&gt;=60),MIN(INDEX($E$281:$E481,202-60):$E481),"")</f>
        <v>1259702</v>
      </c>
      <c r="O481" s="46" t="n">
        <f aca="false">IF(OR(NOT(ISNUMBER($C481)),NOT(ISNUMBER($M481)),$M481=0),"",$C481/$M481-1)</f>
        <v>-0.0211493899797024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1371072</v>
      </c>
      <c r="D482" s="42" t="n">
        <v>1375649</v>
      </c>
      <c r="E482" s="42" t="n">
        <v>1367560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-0.0131628951459665</v>
      </c>
      <c r="I482" s="45" t="n">
        <f aca="false">IF(AND(ISNUMBER($G482),$G482&gt;=MA_SHORT),AVERAGE(INDEX($C$82:$C482,402-MA_SHORT):$C482),"")</f>
        <v>1368797.55</v>
      </c>
      <c r="J482" s="45" t="n">
        <f aca="false">IF(AND(ISNUMBER($G482),$G482&gt;=MA_MED),AVERAGE(INDEX($C$82:$C482,402-MA_MED):$C482),"")</f>
        <v>1359931.78</v>
      </c>
      <c r="K482" s="45" t="n">
        <f aca="false">IF(AND(ISNUMBER($G482),$G482&gt;=MA_LONG2),AVERAGE(INDEX($C$82:$C482,402-MA_LONG2):$C482),"")</f>
        <v>1207436.61</v>
      </c>
      <c r="L482" s="46" t="n">
        <f aca="false">IF(AND(ISNUMBER($G482),$G482&gt;=21),STDEV(INDEX($H$422:$H482,62-20):$H482)*SQRT(245),"")</f>
        <v>0.255078446251294</v>
      </c>
      <c r="M482" s="45" t="n">
        <f aca="false">IF(AND(ISNUMBER($G482),$G482&gt;=60),MAX(INDEX($D$282:$D482,202-60):$D482),"")</f>
        <v>1419379</v>
      </c>
      <c r="N482" s="45" t="n">
        <f aca="false">IF(AND(ISNUMBER($G482),$G482&gt;=60),MIN(INDEX($E$282:$E482,202-60):$E482),"")</f>
        <v>1269158</v>
      </c>
      <c r="O482" s="46" t="n">
        <f aca="false">IF(OR(NOT(ISNUMBER($C482)),NOT(ISNUMBER($M482)),$M482=0),"",$C482/$M482-1)</f>
        <v>-0.0340338979229649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1379904</v>
      </c>
      <c r="D483" s="42" t="n">
        <v>1380602</v>
      </c>
      <c r="E483" s="42" t="n">
        <v>1371983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0.00644167483545721</v>
      </c>
      <c r="I483" s="45" t="n">
        <f aca="false">IF(AND(ISNUMBER($G483),$G483&gt;=MA_SHORT),AVERAGE(INDEX($C$83:$C483,402-MA_SHORT):$C483),"")</f>
        <v>1370147.85</v>
      </c>
      <c r="J483" s="45" t="n">
        <f aca="false">IF(AND(ISNUMBER($G483),$G483&gt;=MA_MED),AVERAGE(INDEX($C$83:$C483,402-MA_MED):$C483),"")</f>
        <v>1360991.06</v>
      </c>
      <c r="K483" s="45" t="n">
        <f aca="false">IF(AND(ISNUMBER($G483),$G483&gt;=MA_LONG2),AVERAGE(INDEX($C$83:$C483,402-MA_LONG2):$C483),"")</f>
        <v>1208801.215</v>
      </c>
      <c r="L483" s="46" t="n">
        <f aca="false">IF(AND(ISNUMBER($G483),$G483&gt;=21),STDEV(INDEX($H$423:$H483,62-20):$H483)*SQRT(245),"")</f>
        <v>0.255614614780927</v>
      </c>
      <c r="M483" s="45" t="n">
        <f aca="false">IF(AND(ISNUMBER($G483),$G483&gt;=60),MAX(INDEX($D$283:$D483,202-60):$D483),"")</f>
        <v>1419379</v>
      </c>
      <c r="N483" s="45" t="n">
        <f aca="false">IF(AND(ISNUMBER($G483),$G483&gt;=60),MIN(INDEX($E$283:$E483,202-60):$E483),"")</f>
        <v>1279577</v>
      </c>
      <c r="O483" s="46" t="n">
        <f aca="false">IF(OR(NOT(ISNUMBER($C483)),NOT(ISNUMBER($M483)),$M483=0),"",$C483/$M483-1)</f>
        <v>-0.0278114583913106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1388116</v>
      </c>
      <c r="D484" s="42" t="n">
        <v>1392136</v>
      </c>
      <c r="E484" s="42" t="n">
        <v>1384491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0.00595113862993357</v>
      </c>
      <c r="I484" s="45" t="n">
        <f aca="false">IF(AND(ISNUMBER($G484),$G484&gt;=MA_SHORT),AVERAGE(INDEX($C$84:$C484,402-MA_SHORT):$C484),"")</f>
        <v>1370453.25</v>
      </c>
      <c r="J484" s="45" t="n">
        <f aca="false">IF(AND(ISNUMBER($G484),$G484&gt;=MA_MED),AVERAGE(INDEX($C$84:$C484,402-MA_MED):$C484),"")</f>
        <v>1362053.66</v>
      </c>
      <c r="K484" s="45" t="n">
        <f aca="false">IF(AND(ISNUMBER($G484),$G484&gt;=MA_LONG2),AVERAGE(INDEX($C$84:$C484,402-MA_LONG2):$C484),"")</f>
        <v>1210204.675</v>
      </c>
      <c r="L484" s="46" t="n">
        <f aca="false">IF(AND(ISNUMBER($G484),$G484&gt;=21),STDEV(INDEX($H$424:$H484,62-20):$H484)*SQRT(245),"")</f>
        <v>0.245185203586803</v>
      </c>
      <c r="M484" s="45" t="n">
        <f aca="false">IF(AND(ISNUMBER($G484),$G484&gt;=60),MAX(INDEX($D$284:$D484,202-60):$D484),"")</f>
        <v>1419379</v>
      </c>
      <c r="N484" s="45" t="n">
        <f aca="false">IF(AND(ISNUMBER($G484),$G484&gt;=60),MIN(INDEX($E$284:$E484,202-60):$E484),"")</f>
        <v>1279577</v>
      </c>
      <c r="O484" s="46" t="n">
        <f aca="false">IF(OR(NOT(ISNUMBER($C484)),NOT(ISNUMBER($M484)),$M484=0),"",$C484/$M484-1)</f>
        <v>-0.0220258296057642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1380230</v>
      </c>
      <c r="D485" s="42" t="n">
        <v>1382045</v>
      </c>
      <c r="E485" s="42" t="n">
        <v>1377644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-0.00568108140818202</v>
      </c>
      <c r="I485" s="45" t="n">
        <f aca="false">IF(AND(ISNUMBER($G485),$G485&gt;=MA_SHORT),AVERAGE(INDEX($C$85:$C485,402-MA_SHORT):$C485),"")</f>
        <v>1371271.15</v>
      </c>
      <c r="J485" s="45" t="n">
        <f aca="false">IF(AND(ISNUMBER($G485),$G485&gt;=MA_MED),AVERAGE(INDEX($C$85:$C485,402-MA_MED):$C485),"")</f>
        <v>1363177.16</v>
      </c>
      <c r="K485" s="45" t="n">
        <f aca="false">IF(AND(ISNUMBER($G485),$G485&gt;=MA_LONG2),AVERAGE(INDEX($C$85:$C485,402-MA_LONG2):$C485),"")</f>
        <v>1211718.615</v>
      </c>
      <c r="L485" s="46" t="n">
        <f aca="false">IF(AND(ISNUMBER($G485),$G485&gt;=21),STDEV(INDEX($H$425:$H485,62-20):$H485)*SQRT(245),"")</f>
        <v>0.24127077545247</v>
      </c>
      <c r="M485" s="45" t="n">
        <f aca="false">IF(AND(ISNUMBER($G485),$G485&gt;=60),MAX(INDEX($D$285:$D485,202-60):$D485),"")</f>
        <v>1419379</v>
      </c>
      <c r="N485" s="45" t="n">
        <f aca="false">IF(AND(ISNUMBER($G485),$G485&gt;=60),MIN(INDEX($E$285:$E485,202-60):$E485),"")</f>
        <v>1292806</v>
      </c>
      <c r="O485" s="46" t="n">
        <f aca="false">IF(OR(NOT(ISNUMBER($C485)),NOT(ISNUMBER($M485)),$M485=0),"",$C485/$M485-1)</f>
        <v>-0.0275817804828732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1376090</v>
      </c>
      <c r="D486" s="42" t="n">
        <v>1378566</v>
      </c>
      <c r="E486" s="42" t="n">
        <v>1373351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-0.0029995000833194</v>
      </c>
      <c r="I486" s="45" t="n">
        <f aca="false">IF(AND(ISNUMBER($G486),$G486&gt;=MA_SHORT),AVERAGE(INDEX($C$86:$C486,402-MA_SHORT):$C486),"")</f>
        <v>1371850.35</v>
      </c>
      <c r="J486" s="45" t="n">
        <f aca="false">IF(AND(ISNUMBER($G486),$G486&gt;=MA_MED),AVERAGE(INDEX($C$86:$C486,402-MA_MED):$C486),"")</f>
        <v>1364314.56</v>
      </c>
      <c r="K486" s="45" t="n">
        <f aca="false">IF(AND(ISNUMBER($G486),$G486&gt;=MA_LONG2),AVERAGE(INDEX($C$86:$C486,402-MA_LONG2):$C486),"")</f>
        <v>1213276.76</v>
      </c>
      <c r="L486" s="46" t="n">
        <f aca="false">IF(AND(ISNUMBER($G486),$G486&gt;=21),STDEV(INDEX($H$426:$H486,62-20):$H486)*SQRT(245),"")</f>
        <v>0.241619814200638</v>
      </c>
      <c r="M486" s="45" t="n">
        <f aca="false">IF(AND(ISNUMBER($G486),$G486&gt;=60),MAX(INDEX($D$286:$D486,202-60):$D486),"")</f>
        <v>1419379</v>
      </c>
      <c r="N486" s="45" t="n">
        <f aca="false">IF(AND(ISNUMBER($G486),$G486&gt;=60),MIN(INDEX($E$286:$E486,202-60):$E486),"")</f>
        <v>1297364</v>
      </c>
      <c r="O486" s="46" t="n">
        <f aca="false">IF(OR(NOT(ISNUMBER($C486)),NOT(ISNUMBER($M486)),$M486=0),"",$C486/$M486-1)</f>
        <v>-0.0304985490133362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1375557</v>
      </c>
      <c r="D487" s="42" t="n">
        <v>1380081</v>
      </c>
      <c r="E487" s="42" t="n">
        <v>1374268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-0.000387329317123153</v>
      </c>
      <c r="I487" s="45" t="n">
        <f aca="false">IF(AND(ISNUMBER($G487),$G487&gt;=MA_SHORT),AVERAGE(INDEX($C$87:$C487,402-MA_SHORT):$C487),"")</f>
        <v>1372748.05</v>
      </c>
      <c r="J487" s="45" t="n">
        <f aca="false">IF(AND(ISNUMBER($G487),$G487&gt;=MA_MED),AVERAGE(INDEX($C$87:$C487,402-MA_MED):$C487),"")</f>
        <v>1364873.76</v>
      </c>
      <c r="K487" s="45" t="n">
        <f aca="false">IF(AND(ISNUMBER($G487),$G487&gt;=MA_LONG2),AVERAGE(INDEX($C$87:$C487,402-MA_LONG2):$C487),"")</f>
        <v>1214885.815</v>
      </c>
      <c r="L487" s="46" t="n">
        <f aca="false">IF(AND(ISNUMBER($G487),$G487&gt;=21),STDEV(INDEX($H$427:$H487,62-20):$H487)*SQRT(245),"")</f>
        <v>0.240777525134589</v>
      </c>
      <c r="M487" s="45" t="n">
        <f aca="false">IF(AND(ISNUMBER($G487),$G487&gt;=60),MAX(INDEX($D$287:$D487,202-60):$D487),"")</f>
        <v>1419379</v>
      </c>
      <c r="N487" s="45" t="n">
        <f aca="false">IF(AND(ISNUMBER($G487),$G487&gt;=60),MIN(INDEX($E$287:$E487,202-60):$E487),"")</f>
        <v>1299474</v>
      </c>
      <c r="O487" s="46" t="n">
        <f aca="false">IF(OR(NOT(ISNUMBER($C487)),NOT(ISNUMBER($M487)),$M487=0),"",$C487/$M487-1)</f>
        <v>-0.0308740653482967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1374600</v>
      </c>
      <c r="D488" s="42" t="n">
        <v>1376222</v>
      </c>
      <c r="E488" s="42" t="n">
        <v>1371426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-0.000695718170893644</v>
      </c>
      <c r="I488" s="45" t="n">
        <f aca="false">IF(AND(ISNUMBER($G488),$G488&gt;=MA_SHORT),AVERAGE(INDEX($C$88:$C488,402-MA_SHORT):$C488),"")</f>
        <v>1373352.9</v>
      </c>
      <c r="J488" s="45" t="n">
        <f aca="false">IF(AND(ISNUMBER($G488),$G488&gt;=MA_MED),AVERAGE(INDEX($C$88:$C488,402-MA_MED):$C488),"")</f>
        <v>1365215.66</v>
      </c>
      <c r="K488" s="45" t="n">
        <f aca="false">IF(AND(ISNUMBER($G488),$G488&gt;=MA_LONG2),AVERAGE(INDEX($C$88:$C488,402-MA_LONG2):$C488),"")</f>
        <v>1216434.56</v>
      </c>
      <c r="L488" s="46" t="n">
        <f aca="false">IF(AND(ISNUMBER($G488),$G488&gt;=21),STDEV(INDEX($H$428:$H488,62-20):$H488)*SQRT(245),"")</f>
        <v>0.240593412212659</v>
      </c>
      <c r="M488" s="45" t="n">
        <f aca="false">IF(AND(ISNUMBER($G488),$G488&gt;=60),MAX(INDEX($D$288:$D488,202-60):$D488),"")</f>
        <v>1419379</v>
      </c>
      <c r="N488" s="45" t="n">
        <f aca="false">IF(AND(ISNUMBER($G488),$G488&gt;=60),MIN(INDEX($E$288:$E488,202-60):$E488),"")</f>
        <v>1299474</v>
      </c>
      <c r="O488" s="46" t="n">
        <f aca="false">IF(OR(NOT(ISNUMBER($C488)),NOT(ISNUMBER($M488)),$M488=0),"",$C488/$M488-1)</f>
        <v>-0.0315483038709182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1378121</v>
      </c>
      <c r="D489" s="42" t="n">
        <v>1379154</v>
      </c>
      <c r="E489" s="42" t="n">
        <v>1377671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0.0025614724283427</v>
      </c>
      <c r="I489" s="45" t="n">
        <f aca="false">IF(AND(ISNUMBER($G489),$G489&gt;=MA_SHORT),AVERAGE(INDEX($C$89:$C489,402-MA_SHORT):$C489),"")</f>
        <v>1374114.15</v>
      </c>
      <c r="J489" s="45" t="n">
        <f aca="false">IF(AND(ISNUMBER($G489),$G489&gt;=MA_MED),AVERAGE(INDEX($C$89:$C489,402-MA_MED):$C489),"")</f>
        <v>1365477.66</v>
      </c>
      <c r="K489" s="45" t="n">
        <f aca="false">IF(AND(ISNUMBER($G489),$G489&gt;=MA_LONG2),AVERAGE(INDEX($C$89:$C489,402-MA_LONG2):$C489),"")</f>
        <v>1218022.745</v>
      </c>
      <c r="L489" s="46" t="n">
        <f aca="false">IF(AND(ISNUMBER($G489),$G489&gt;=21),STDEV(INDEX($H$429:$H489,62-20):$H489)*SQRT(245),"")</f>
        <v>0.240692949887158</v>
      </c>
      <c r="M489" s="45" t="n">
        <f aca="false">IF(AND(ISNUMBER($G489),$G489&gt;=60),MAX(INDEX($D$289:$D489,202-60):$D489),"")</f>
        <v>1419379</v>
      </c>
      <c r="N489" s="45" t="n">
        <f aca="false">IF(AND(ISNUMBER($G489),$G489&gt;=60),MIN(INDEX($E$289:$E489,202-60):$E489),"")</f>
        <v>1313177</v>
      </c>
      <c r="O489" s="46" t="n">
        <f aca="false">IF(OR(NOT(ISNUMBER($C489)),NOT(ISNUMBER($M489)),$M489=0),"",$C489/$M489-1)</f>
        <v>-0.0290676415531017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1370948</v>
      </c>
      <c r="D490" s="42" t="n">
        <v>1372362</v>
      </c>
      <c r="E490" s="42" t="n">
        <v>1361009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-0.00520491306641435</v>
      </c>
      <c r="I490" s="45" t="n">
        <f aca="false">IF(AND(ISNUMBER($G490),$G490&gt;=MA_SHORT),AVERAGE(INDEX($C$90:$C490,402-MA_SHORT):$C490),"")</f>
        <v>1374560.5</v>
      </c>
      <c r="J490" s="45" t="n">
        <f aca="false">IF(AND(ISNUMBER($G490),$G490&gt;=MA_MED),AVERAGE(INDEX($C$90:$C490,402-MA_MED):$C490),"")</f>
        <v>1365933.66</v>
      </c>
      <c r="K490" s="45" t="n">
        <f aca="false">IF(AND(ISNUMBER($G490),$G490&gt;=MA_LONG2),AVERAGE(INDEX($C$90:$C490,402-MA_LONG2):$C490),"")</f>
        <v>1219614.58</v>
      </c>
      <c r="L490" s="46" t="n">
        <f aca="false">IF(AND(ISNUMBER($G490),$G490&gt;=21),STDEV(INDEX($H$430:$H490,62-20):$H490)*SQRT(245),"")</f>
        <v>0.241540662884945</v>
      </c>
      <c r="M490" s="45" t="n">
        <f aca="false">IF(AND(ISNUMBER($G490),$G490&gt;=60),MAX(INDEX($D$290:$D490,202-60):$D490),"")</f>
        <v>1419379</v>
      </c>
      <c r="N490" s="45" t="n">
        <f aca="false">IF(AND(ISNUMBER($G490),$G490&gt;=60),MIN(INDEX($E$290:$E490,202-60):$E490),"")</f>
        <v>1313177</v>
      </c>
      <c r="O490" s="46" t="n">
        <f aca="false">IF(OR(NOT(ISNUMBER($C490)),NOT(ISNUMBER($M490)),$M490=0),"",$C490/$M490-1)</f>
        <v>-0.0341212600721865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1378842</v>
      </c>
      <c r="D491" s="42" t="n">
        <v>1379123</v>
      </c>
      <c r="E491" s="42" t="n">
        <v>1376212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0.00575805938664331</v>
      </c>
      <c r="I491" s="45" t="n">
        <f aca="false">IF(AND(ISNUMBER($G491),$G491&gt;=MA_SHORT),AVERAGE(INDEX($C$91:$C491,402-MA_SHORT):$C491),"")</f>
        <v>1375250.4</v>
      </c>
      <c r="J491" s="45" t="n">
        <f aca="false">IF(AND(ISNUMBER($G491),$G491&gt;=MA_MED),AVERAGE(INDEX($C$91:$C491,402-MA_MED):$C491),"")</f>
        <v>1366245.6</v>
      </c>
      <c r="K491" s="45" t="n">
        <f aca="false">IF(AND(ISNUMBER($G491),$G491&gt;=MA_LONG2),AVERAGE(INDEX($C$91:$C491,402-MA_LONG2):$C491),"")</f>
        <v>1221227.505</v>
      </c>
      <c r="L491" s="46" t="n">
        <f aca="false">IF(AND(ISNUMBER($G491),$G491&gt;=21),STDEV(INDEX($H$431:$H491,62-20):$H491)*SQRT(245),"")</f>
        <v>0.242194136374397</v>
      </c>
      <c r="M491" s="45" t="n">
        <f aca="false">IF(AND(ISNUMBER($G491),$G491&gt;=60),MAX(INDEX($D$291:$D491,202-60):$D491),"")</f>
        <v>1419379</v>
      </c>
      <c r="N491" s="45" t="n">
        <f aca="false">IF(AND(ISNUMBER($G491),$G491&gt;=60),MIN(INDEX($E$291:$E491,202-60):$E491),"")</f>
        <v>1313177</v>
      </c>
      <c r="O491" s="46" t="n">
        <f aca="false">IF(OR(NOT(ISNUMBER($C491)),NOT(ISNUMBER($M491)),$M491=0),"",$C491/$M491-1)</f>
        <v>-0.0285596729273858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1412488</v>
      </c>
      <c r="D492" s="42" t="n">
        <v>1415348</v>
      </c>
      <c r="E492" s="42" t="n">
        <v>1407333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0.0244016355753596</v>
      </c>
      <c r="I492" s="45" t="n">
        <f aca="false">IF(AND(ISNUMBER($G492),$G492&gt;=MA_SHORT),AVERAGE(INDEX($C$92:$C492,402-MA_SHORT):$C492),"")</f>
        <v>1377334.5</v>
      </c>
      <c r="J492" s="45" t="n">
        <f aca="false">IF(AND(ISNUMBER($G492),$G492&gt;=MA_MED),AVERAGE(INDEX($C$92:$C492,402-MA_MED):$C492),"")</f>
        <v>1366885.06</v>
      </c>
      <c r="K492" s="45" t="n">
        <f aca="false">IF(AND(ISNUMBER($G492),$G492&gt;=MA_LONG2),AVERAGE(INDEX($C$92:$C492,402-MA_LONG2):$C492),"")</f>
        <v>1222982.415</v>
      </c>
      <c r="L492" s="46" t="n">
        <f aca="false">IF(AND(ISNUMBER($G492),$G492&gt;=21),STDEV(INDEX($H$432:$H492,62-20):$H492)*SQRT(245),"")</f>
        <v>0.255977545789966</v>
      </c>
      <c r="M492" s="45" t="n">
        <f aca="false">IF(AND(ISNUMBER($G492),$G492&gt;=60),MAX(INDEX($D$292:$D492,202-60):$D492),"")</f>
        <v>1419379</v>
      </c>
      <c r="N492" s="45" t="n">
        <f aca="false">IF(AND(ISNUMBER($G492),$G492&gt;=60),MIN(INDEX($E$292:$E492,202-60):$E492),"")</f>
        <v>1316448</v>
      </c>
      <c r="O492" s="46" t="n">
        <f aca="false">IF(OR(NOT(ISNUMBER($C492)),NOT(ISNUMBER($M492)),$M492=0),"",$C492/$M492-1)</f>
        <v>-0.00485494008295173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1420916</v>
      </c>
      <c r="D493" s="42" t="n">
        <v>1425073</v>
      </c>
      <c r="E493" s="42" t="n">
        <v>1409528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0.00596677635491427</v>
      </c>
      <c r="I493" s="45" t="n">
        <f aca="false">IF(AND(ISNUMBER($G493),$G493&gt;=MA_SHORT),AVERAGE(INDEX($C$93:$C493,402-MA_SHORT):$C493),"")</f>
        <v>1379983.5</v>
      </c>
      <c r="J493" s="45" t="n">
        <f aca="false">IF(AND(ISNUMBER($G493),$G493&gt;=MA_MED),AVERAGE(INDEX($C$93:$C493,402-MA_MED):$C493),"")</f>
        <v>1368011.18</v>
      </c>
      <c r="K493" s="45" t="n">
        <f aca="false">IF(AND(ISNUMBER($G493),$G493&gt;=MA_LONG2),AVERAGE(INDEX($C$93:$C493,402-MA_LONG2):$C493),"")</f>
        <v>1224797.125</v>
      </c>
      <c r="L493" s="46" t="n">
        <f aca="false">IF(AND(ISNUMBER($G493),$G493&gt;=21),STDEV(INDEX($H$433:$H493,62-20):$H493)*SQRT(245),"")</f>
        <v>0.256023295843615</v>
      </c>
      <c r="M493" s="45" t="n">
        <f aca="false">IF(AND(ISNUMBER($G493),$G493&gt;=60),MAX(INDEX($D$293:$D493,202-60):$D493),"")</f>
        <v>1425073</v>
      </c>
      <c r="N493" s="45" t="n">
        <f aca="false">IF(AND(ISNUMBER($G493),$G493&gt;=60),MIN(INDEX($E$293:$E493,202-60):$E493),"")</f>
        <v>1316448</v>
      </c>
      <c r="O493" s="46" t="n">
        <f aca="false">IF(OR(NOT(ISNUMBER($C493)),NOT(ISNUMBER($M493)),$M493=0),"",$C493/$M493-1)</f>
        <v>-0.00291704354794453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1422331</v>
      </c>
      <c r="D494" s="42" t="n">
        <v>1424925</v>
      </c>
      <c r="E494" s="42" t="n">
        <v>1422156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0.000995836488574931</v>
      </c>
      <c r="I494" s="45" t="n">
        <f aca="false">IF(AND(ISNUMBER($G494),$G494&gt;=MA_SHORT),AVERAGE(INDEX($C$94:$C494,402-MA_SHORT):$C494),"")</f>
        <v>1383201.3</v>
      </c>
      <c r="J494" s="45" t="n">
        <f aca="false">IF(AND(ISNUMBER($G494),$G494&gt;=MA_MED),AVERAGE(INDEX($C$94:$C494,402-MA_MED):$C494),"")</f>
        <v>1369506.02</v>
      </c>
      <c r="K494" s="45" t="n">
        <f aca="false">IF(AND(ISNUMBER($G494),$G494&gt;=MA_LONG2),AVERAGE(INDEX($C$94:$C494,402-MA_LONG2):$C494),"")</f>
        <v>1226643.325</v>
      </c>
      <c r="L494" s="46" t="n">
        <f aca="false">IF(AND(ISNUMBER($G494),$G494&gt;=21),STDEV(INDEX($H$434:$H494,62-20):$H494)*SQRT(245),"")</f>
        <v>0.253772409658735</v>
      </c>
      <c r="M494" s="45" t="n">
        <f aca="false">IF(AND(ISNUMBER($G494),$G494&gt;=60),MAX(INDEX($D$294:$D494,202-60):$D494),"")</f>
        <v>1425073</v>
      </c>
      <c r="N494" s="45" t="n">
        <f aca="false">IF(AND(ISNUMBER($G494),$G494&gt;=60),MIN(INDEX($E$294:$E494,202-60):$E494),"")</f>
        <v>1316448</v>
      </c>
      <c r="O494" s="46" t="n">
        <f aca="false">IF(OR(NOT(ISNUMBER($C494)),NOT(ISNUMBER($M494)),$M494=0),"",$C494/$M494-1)</f>
        <v>-0.00192411195777342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1402909</v>
      </c>
      <c r="D495" s="42" t="n">
        <v>1405706</v>
      </c>
      <c r="E495" s="42" t="n">
        <v>1401127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-0.0136550493520847</v>
      </c>
      <c r="I495" s="45" t="n">
        <f aca="false">IF(AND(ISNUMBER($G495),$G495&gt;=MA_SHORT),AVERAGE(INDEX($C$95:$C495,402-MA_SHORT):$C495),"")</f>
        <v>1385929.6</v>
      </c>
      <c r="J495" s="45" t="n">
        <f aca="false">IF(AND(ISNUMBER($G495),$G495&gt;=MA_MED),AVERAGE(INDEX($C$95:$C495,402-MA_MED):$C495),"")</f>
        <v>1370534.8</v>
      </c>
      <c r="K495" s="45" t="n">
        <f aca="false">IF(AND(ISNUMBER($G495),$G495&gt;=MA_LONG2),AVERAGE(INDEX($C$95:$C495,402-MA_LONG2):$C495),"")</f>
        <v>1228298.99</v>
      </c>
      <c r="L495" s="46" t="n">
        <f aca="false">IF(AND(ISNUMBER($G495),$G495&gt;=21),STDEV(INDEX($H$435:$H495,62-20):$H495)*SQRT(245),"")</f>
        <v>0.257955635557127</v>
      </c>
      <c r="M495" s="45" t="n">
        <f aca="false">IF(AND(ISNUMBER($G495),$G495&gt;=60),MAX(INDEX($D$295:$D495,202-60):$D495),"")</f>
        <v>1425073</v>
      </c>
      <c r="N495" s="45" t="n">
        <f aca="false">IF(AND(ISNUMBER($G495),$G495&gt;=60),MIN(INDEX($E$295:$E495,202-60):$E495),"")</f>
        <v>1316448</v>
      </c>
      <c r="O495" s="46" t="n">
        <f aca="false">IF(OR(NOT(ISNUMBER($C495)),NOT(ISNUMBER($M495)),$M495=0),"",$C495/$M495-1)</f>
        <v>-0.0155528874661157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1415161</v>
      </c>
      <c r="D496" s="42" t="n">
        <v>1416196</v>
      </c>
      <c r="E496" s="42" t="n">
        <v>1410819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0.00873328205892188</v>
      </c>
      <c r="I496" s="45" t="n">
        <f aca="false">IF(AND(ISNUMBER($G496),$G496&gt;=MA_SHORT),AVERAGE(INDEX($C$96:$C496,402-MA_SHORT):$C496),"")</f>
        <v>1390172.2</v>
      </c>
      <c r="J496" s="45" t="n">
        <f aca="false">IF(AND(ISNUMBER($G496),$G496&gt;=MA_MED),AVERAGE(INDEX($C$96:$C496,402-MA_MED):$C496),"")</f>
        <v>1371333.84</v>
      </c>
      <c r="K496" s="45" t="n">
        <f aca="false">IF(AND(ISNUMBER($G496),$G496&gt;=MA_LONG2),AVERAGE(INDEX($C$96:$C496,402-MA_LONG2):$C496),"")</f>
        <v>1229961.8</v>
      </c>
      <c r="L496" s="46" t="n">
        <f aca="false">IF(AND(ISNUMBER($G496),$G496&gt;=21),STDEV(INDEX($H$436:$H496,62-20):$H496)*SQRT(245),"")</f>
        <v>0.252386690929214</v>
      </c>
      <c r="M496" s="45" t="n">
        <f aca="false">IF(AND(ISNUMBER($G496),$G496&gt;=60),MAX(INDEX($D$296:$D496,202-60):$D496),"")</f>
        <v>1425073</v>
      </c>
      <c r="N496" s="45" t="n">
        <f aca="false">IF(AND(ISNUMBER($G496),$G496&gt;=60),MIN(INDEX($E$296:$E496,202-60):$E496),"")</f>
        <v>1325710</v>
      </c>
      <c r="O496" s="46" t="n">
        <f aca="false">IF(OR(NOT(ISNUMBER($C496)),NOT(ISNUMBER($M496)),$M496=0),"",$C496/$M496-1)</f>
        <v>-0.00695543316026614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1393823</v>
      </c>
      <c r="D497" s="42" t="n">
        <v>1398924</v>
      </c>
      <c r="E497" s="42" t="n">
        <v>1392596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-0.0150781430522746</v>
      </c>
      <c r="I497" s="45" t="n">
        <f aca="false">IF(AND(ISNUMBER($G497),$G497&gt;=MA_SHORT),AVERAGE(INDEX($C$97:$C497,402-MA_SHORT):$C497),"")</f>
        <v>1393297.25</v>
      </c>
      <c r="J497" s="45" t="n">
        <f aca="false">IF(AND(ISNUMBER($G497),$G497&gt;=MA_MED),AVERAGE(INDEX($C$97:$C497,402-MA_MED):$C497),"")</f>
        <v>1371456.86</v>
      </c>
      <c r="K497" s="45" t="n">
        <f aca="false">IF(AND(ISNUMBER($G497),$G497&gt;=MA_LONG2),AVERAGE(INDEX($C$97:$C497,402-MA_LONG2):$C497),"")</f>
        <v>1231521.94</v>
      </c>
      <c r="L497" s="46" t="n">
        <f aca="false">IF(AND(ISNUMBER($G497),$G497&gt;=21),STDEV(INDEX($H$437:$H497,62-20):$H497)*SQRT(245),"")</f>
        <v>0.260337055524712</v>
      </c>
      <c r="M497" s="45" t="n">
        <f aca="false">IF(AND(ISNUMBER($G497),$G497&gt;=60),MAX(INDEX($D$297:$D497,202-60):$D497),"")</f>
        <v>1425073</v>
      </c>
      <c r="N497" s="45" t="n">
        <f aca="false">IF(AND(ISNUMBER($G497),$G497&gt;=60),MIN(INDEX($E$297:$E497,202-60):$E497),"")</f>
        <v>1325710</v>
      </c>
      <c r="O497" s="46" t="n">
        <f aca="false">IF(OR(NOT(ISNUMBER($C497)),NOT(ISNUMBER($M497)),$M497=0),"",$C497/$M497-1)</f>
        <v>-0.0219287011963598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1384005</v>
      </c>
      <c r="D498" s="42" t="n">
        <v>1388219</v>
      </c>
      <c r="E498" s="42" t="n">
        <v>1382234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-0.00704393599474251</v>
      </c>
      <c r="I498" s="45" t="n">
        <f aca="false">IF(AND(ISNUMBER($G498),$G498&gt;=MA_SHORT),AVERAGE(INDEX($C$98:$C498,402-MA_SHORT):$C498),"")</f>
        <v>1391890.6</v>
      </c>
      <c r="J498" s="45" t="n">
        <f aca="false">IF(AND(ISNUMBER($G498),$G498&gt;=MA_MED),AVERAGE(INDEX($C$98:$C498,402-MA_MED):$C498),"")</f>
        <v>1371737.72</v>
      </c>
      <c r="K498" s="45" t="n">
        <f aca="false">IF(AND(ISNUMBER($G498),$G498&gt;=MA_LONG2),AVERAGE(INDEX($C$98:$C498,402-MA_LONG2):$C498),"")</f>
        <v>1232988.46</v>
      </c>
      <c r="L498" s="46" t="n">
        <f aca="false">IF(AND(ISNUMBER($G498),$G498&gt;=21),STDEV(INDEX($H$438:$H498,62-20):$H498)*SQRT(245),"")</f>
        <v>0.148916328502219</v>
      </c>
      <c r="M498" s="45" t="n">
        <f aca="false">IF(AND(ISNUMBER($G498),$G498&gt;=60),MAX(INDEX($D$298:$D498,202-60):$D498),"")</f>
        <v>1425073</v>
      </c>
      <c r="N498" s="45" t="n">
        <f aca="false">IF(AND(ISNUMBER($G498),$G498&gt;=60),MIN(INDEX($E$298:$E498,202-60):$E498),"")</f>
        <v>1325710</v>
      </c>
      <c r="O498" s="46" t="n">
        <f aca="false">IF(OR(NOT(ISNUMBER($C498)),NOT(ISNUMBER($M498)),$M498=0),"",$C498/$M498-1)</f>
        <v>-0.0288181728234272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1356185</v>
      </c>
      <c r="D499" s="42" t="n">
        <v>1359015</v>
      </c>
      <c r="E499" s="42" t="n">
        <v>1352313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-0.0201010834498431</v>
      </c>
      <c r="I499" s="45" t="n">
        <f aca="false">IF(AND(ISNUMBER($G499),$G499&gt;=MA_SHORT),AVERAGE(INDEX($C$99:$C499,402-MA_SHORT):$C499),"")</f>
        <v>1388907.1</v>
      </c>
      <c r="J499" s="45" t="n">
        <f aca="false">IF(AND(ISNUMBER($G499),$G499&gt;=MA_MED),AVERAGE(INDEX($C$99:$C499,402-MA_MED):$C499),"")</f>
        <v>1371284.76</v>
      </c>
      <c r="K499" s="45" t="n">
        <f aca="false">IF(AND(ISNUMBER($G499),$G499&gt;=MA_LONG2),AVERAGE(INDEX($C$99:$C499,402-MA_LONG2):$C499),"")</f>
        <v>1234285.1</v>
      </c>
      <c r="L499" s="46" t="n">
        <f aca="false">IF(AND(ISNUMBER($G499),$G499&gt;=21),STDEV(INDEX($H$439:$H499,62-20):$H499)*SQRT(245),"")</f>
        <v>0.16247841671356</v>
      </c>
      <c r="M499" s="45" t="n">
        <f aca="false">IF(AND(ISNUMBER($G499),$G499&gt;=60),MAX(INDEX($D$299:$D499,202-60):$D499),"")</f>
        <v>1425073</v>
      </c>
      <c r="N499" s="45" t="n">
        <f aca="false">IF(AND(ISNUMBER($G499),$G499&gt;=60),MIN(INDEX($E$299:$E499,202-60):$E499),"")</f>
        <v>1325710</v>
      </c>
      <c r="O499" s="46" t="n">
        <f aca="false">IF(OR(NOT(ISNUMBER($C499)),NOT(ISNUMBER($M499)),$M499=0),"",$C499/$M499-1)</f>
        <v>-0.0483399797764746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1359687</v>
      </c>
      <c r="D500" s="42" t="n">
        <v>1367349</v>
      </c>
      <c r="E500" s="42" t="n">
        <v>1358038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0.00258224357296388</v>
      </c>
      <c r="I500" s="45" t="n">
        <f aca="false">IF(AND(ISNUMBER($G500),$G500&gt;=MA_SHORT),AVERAGE(INDEX($C$100:$C500,402-MA_SHORT):$C500),"")</f>
        <v>1386517.25</v>
      </c>
      <c r="J500" s="45" t="n">
        <f aca="false">IF(AND(ISNUMBER($G500),$G500&gt;=MA_MED),AVERAGE(INDEX($C$100:$C500,402-MA_MED):$C500),"")</f>
        <v>1371180.56</v>
      </c>
      <c r="K500" s="45" t="n">
        <f aca="false">IF(AND(ISNUMBER($G500),$G500&gt;=MA_LONG2),AVERAGE(INDEX($C$100:$C500,402-MA_LONG2):$C500),"")</f>
        <v>1235607.17</v>
      </c>
      <c r="L500" s="46" t="n">
        <f aca="false">IF(AND(ISNUMBER($G500),$G500&gt;=21),STDEV(INDEX($H$440:$H500,62-20):$H500)*SQRT(245),"")</f>
        <v>0.162628038176173</v>
      </c>
      <c r="M500" s="45" t="n">
        <f aca="false">IF(AND(ISNUMBER($G500),$G500&gt;=60),MAX(INDEX($D$300:$D500,202-60):$D500),"")</f>
        <v>1425073</v>
      </c>
      <c r="N500" s="45" t="n">
        <f aca="false">IF(AND(ISNUMBER($G500),$G500&gt;=60),MIN(INDEX($E$300:$E500,202-60):$E500),"")</f>
        <v>1325710</v>
      </c>
      <c r="O500" s="46" t="n">
        <f aca="false">IF(OR(NOT(ISNUMBER($C500)),NOT(ISNUMBER($M500)),$M500=0),"",$C500/$M500-1)</f>
        <v>-0.0458825618056058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1355491</v>
      </c>
      <c r="D501" s="42" t="n">
        <v>1359946</v>
      </c>
      <c r="E501" s="42" t="n">
        <v>1351885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-0.0030860043524723</v>
      </c>
      <c r="I501" s="45" t="n">
        <f aca="false">IF(AND(ISNUMBER($G501),$G501&gt;=MA_SHORT),AVERAGE(INDEX($C$101:$C501,402-MA_SHORT):$C501),"")</f>
        <v>1384823.8</v>
      </c>
      <c r="J501" s="45" t="n">
        <f aca="false">IF(AND(ISNUMBER($G501),$G501&gt;=MA_MED),AVERAGE(INDEX($C$101:$C501,402-MA_MED):$C501),"")</f>
        <v>1371164.98</v>
      </c>
      <c r="K501" s="45" t="n">
        <f aca="false">IF(AND(ISNUMBER($G501),$G501&gt;=MA_LONG2),AVERAGE(INDEX($C$101:$C501,402-MA_LONG2):$C501),"")</f>
        <v>1236840.985</v>
      </c>
      <c r="L501" s="46" t="n">
        <f aca="false">IF(AND(ISNUMBER($G501),$G501&gt;=21),STDEV(INDEX($H$441:$H501,62-20):$H501)*SQRT(245),"")</f>
        <v>0.157459890690419</v>
      </c>
      <c r="M501" s="45" t="n">
        <f aca="false">IF(AND(ISNUMBER($G501),$G501&gt;=60),MAX(INDEX($D$301:$D501,202-60):$D501),"")</f>
        <v>1425073</v>
      </c>
      <c r="N501" s="45" t="n">
        <f aca="false">IF(AND(ISNUMBER($G501),$G501&gt;=60),MIN(INDEX($E$301:$E501,202-60):$E501),"")</f>
        <v>1325710</v>
      </c>
      <c r="O501" s="46" t="n">
        <f aca="false">IF(OR(NOT(ISNUMBER($C501)),NOT(ISNUMBER($M501)),$M501=0),"",$C501/$M501-1)</f>
        <v>-0.0488269723726433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1333983</v>
      </c>
      <c r="D502" s="42" t="n">
        <v>1340823</v>
      </c>
      <c r="E502" s="42" t="n">
        <v>1330622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-0.0158673130253171</v>
      </c>
      <c r="I502" s="45" t="n">
        <f aca="false">IF(AND(ISNUMBER($G502),$G502&gt;=MA_SHORT),AVERAGE(INDEX($C$102:$C502,402-MA_SHORT):$C502),"")</f>
        <v>1382969.35</v>
      </c>
      <c r="J502" s="45" t="n">
        <f aca="false">IF(AND(ISNUMBER($G502),$G502&gt;=MA_MED),AVERAGE(INDEX($C$102:$C502,402-MA_MED):$C502),"")</f>
        <v>1370650.74</v>
      </c>
      <c r="K502" s="45" t="n">
        <f aca="false">IF(AND(ISNUMBER($G502),$G502&gt;=MA_LONG2),AVERAGE(INDEX($C$102:$C502,402-MA_LONG2):$C502),"")</f>
        <v>1237985.725</v>
      </c>
      <c r="L502" s="46" t="n">
        <f aca="false">IF(AND(ISNUMBER($G502),$G502&gt;=21),STDEV(INDEX($H$442:$H502,62-20):$H502)*SQRT(245),"")</f>
        <v>0.160370210089551</v>
      </c>
      <c r="M502" s="45" t="n">
        <f aca="false">IF(AND(ISNUMBER($G502),$G502&gt;=60),MAX(INDEX($D$302:$D502,202-60):$D502),"")</f>
        <v>1425073</v>
      </c>
      <c r="N502" s="45" t="n">
        <f aca="false">IF(AND(ISNUMBER($G502),$G502&gt;=60),MIN(INDEX($E$302:$E502,202-60):$E502),"")</f>
        <v>1325710</v>
      </c>
      <c r="O502" s="46" t="n">
        <f aca="false">IF(OR(NOT(ISNUMBER($C502)),NOT(ISNUMBER($M502)),$M502=0),"",$C502/$M502-1)</f>
        <v>-0.0639195325432451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1340963</v>
      </c>
      <c r="D503" s="42" t="n">
        <v>1342660</v>
      </c>
      <c r="E503" s="42" t="n">
        <v>1337035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0.00523245048849952</v>
      </c>
      <c r="I503" s="45" t="n">
        <f aca="false">IF(AND(ISNUMBER($G503),$G503&gt;=MA_SHORT),AVERAGE(INDEX($C$103:$C503,402-MA_SHORT):$C503),"")</f>
        <v>1381022.3</v>
      </c>
      <c r="J503" s="45" t="n">
        <f aca="false">IF(AND(ISNUMBER($G503),$G503&gt;=MA_MED),AVERAGE(INDEX($C$103:$C503,402-MA_MED):$C503),"")</f>
        <v>1370613.62</v>
      </c>
      <c r="K503" s="45" t="n">
        <f aca="false">IF(AND(ISNUMBER($G503),$G503&gt;=MA_LONG2),AVERAGE(INDEX($C$103:$C503,402-MA_LONG2):$C503),"")</f>
        <v>1239191.425</v>
      </c>
      <c r="L503" s="46" t="n">
        <f aca="false">IF(AND(ISNUMBER($G503),$G503&gt;=21),STDEV(INDEX($H$443:$H503,62-20):$H503)*SQRT(245),"")</f>
        <v>0.159669828957873</v>
      </c>
      <c r="M503" s="45" t="n">
        <f aca="false">IF(AND(ISNUMBER($G503),$G503&gt;=60),MAX(INDEX($D$303:$D503,202-60):$D503),"")</f>
        <v>1425073</v>
      </c>
      <c r="N503" s="45" t="n">
        <f aca="false">IF(AND(ISNUMBER($G503),$G503&gt;=60),MIN(INDEX($E$303:$E503,202-60):$E503),"")</f>
        <v>1325710</v>
      </c>
      <c r="O503" s="46" t="n">
        <f aca="false">IF(OR(NOT(ISNUMBER($C503)),NOT(ISNUMBER($M503)),$M503=0),"",$C503/$M503-1)</f>
        <v>-0.0590215378440262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1342547</v>
      </c>
      <c r="D504" s="42" t="n">
        <v>1345887</v>
      </c>
      <c r="E504" s="42" t="n">
        <v>1331723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0.00118124064571501</v>
      </c>
      <c r="I504" s="45" t="n">
        <f aca="false">IF(AND(ISNUMBER($G504),$G504&gt;=MA_SHORT),AVERAGE(INDEX($C$104:$C504,402-MA_SHORT):$C504),"")</f>
        <v>1378743.85</v>
      </c>
      <c r="J504" s="45" t="n">
        <f aca="false">IF(AND(ISNUMBER($G504),$G504&gt;=MA_MED),AVERAGE(INDEX($C$104:$C504,402-MA_MED):$C504),"")</f>
        <v>1370345.22</v>
      </c>
      <c r="K504" s="45" t="n">
        <f aca="false">IF(AND(ISNUMBER($G504),$G504&gt;=MA_LONG2),AVERAGE(INDEX($C$104:$C504,402-MA_LONG2):$C504),"")</f>
        <v>1240447.21</v>
      </c>
      <c r="L504" s="46" t="n">
        <f aca="false">IF(AND(ISNUMBER($G504),$G504&gt;=21),STDEV(INDEX($H$444:$H504,62-20):$H504)*SQRT(245),"")</f>
        <v>0.15770616100346</v>
      </c>
      <c r="M504" s="45" t="n">
        <f aca="false">IF(AND(ISNUMBER($G504),$G504&gt;=60),MAX(INDEX($D$304:$D504,202-60):$D504),"")</f>
        <v>1425073</v>
      </c>
      <c r="N504" s="45" t="n">
        <f aca="false">IF(AND(ISNUMBER($G504),$G504&gt;=60),MIN(INDEX($E$304:$E504,202-60):$E504),"")</f>
        <v>1325710</v>
      </c>
      <c r="O504" s="46" t="n">
        <f aca="false">IF(OR(NOT(ISNUMBER($C504)),NOT(ISNUMBER($M504)),$M504=0),"",$C504/$M504-1)</f>
        <v>-0.0579100158377851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649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955495</v>
      </c>
      <c r="D5" s="42" t="n">
        <v>959539</v>
      </c>
      <c r="E5" s="42" t="n">
        <v>953876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936917</v>
      </c>
      <c r="D6" s="42" t="n">
        <v>937377</v>
      </c>
      <c r="E6" s="42" t="n">
        <v>932405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-0.0194433251874683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939399</v>
      </c>
      <c r="D7" s="42" t="n">
        <v>939999</v>
      </c>
      <c r="E7" s="42" t="n">
        <v>934729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0.00264911406239832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940166</v>
      </c>
      <c r="D8" s="42" t="n">
        <v>940248</v>
      </c>
      <c r="E8" s="42" t="n">
        <v>938451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0.000816479472513843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935374</v>
      </c>
      <c r="D9" s="42" t="n">
        <v>937702</v>
      </c>
      <c r="E9" s="42" t="n">
        <v>933216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-0.00509697223681771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944050</v>
      </c>
      <c r="D10" s="42" t="n">
        <v>945781</v>
      </c>
      <c r="E10" s="42" t="n">
        <v>940266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0.00927543421134214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947931</v>
      </c>
      <c r="D11" s="42" t="n">
        <v>948039</v>
      </c>
      <c r="E11" s="42" t="n">
        <v>944327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0.00411101106932899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955883</v>
      </c>
      <c r="D12" s="42" t="n">
        <v>957889</v>
      </c>
      <c r="E12" s="42" t="n">
        <v>955080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0.00838879623094924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959386</v>
      </c>
      <c r="D13" s="42" t="n">
        <v>964171</v>
      </c>
      <c r="E13" s="42" t="n">
        <v>958440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0.00366467444237428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954862</v>
      </c>
      <c r="D14" s="42" t="n">
        <v>956851</v>
      </c>
      <c r="E14" s="42" t="n">
        <v>954321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-0.00471551596541953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957270</v>
      </c>
      <c r="D15" s="42" t="n">
        <v>957847</v>
      </c>
      <c r="E15" s="42" t="n">
        <v>956867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0.0025218303796779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955787</v>
      </c>
      <c r="D16" s="42" t="n">
        <v>957820</v>
      </c>
      <c r="E16" s="42" t="n">
        <v>954238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-0.00154919719619329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957641</v>
      </c>
      <c r="D17" s="42" t="n">
        <v>960458</v>
      </c>
      <c r="E17" s="42" t="n">
        <v>955953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0.00193976272956209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955984</v>
      </c>
      <c r="D18" s="42" t="n">
        <v>958644</v>
      </c>
      <c r="E18" s="42" t="n">
        <v>952736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-0.00173029350247123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946702</v>
      </c>
      <c r="D19" s="42" t="n">
        <v>947257</v>
      </c>
      <c r="E19" s="42" t="n">
        <v>945824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-0.00970936752079532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952799</v>
      </c>
      <c r="D20" s="42" t="n">
        <v>952983</v>
      </c>
      <c r="E20" s="42" t="n">
        <v>949805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0.00644025258212189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951196</v>
      </c>
      <c r="D21" s="42" t="n">
        <v>951927</v>
      </c>
      <c r="E21" s="42" t="n">
        <v>950003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-0.00168241150546966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947213</v>
      </c>
      <c r="D22" s="42" t="n">
        <v>947403</v>
      </c>
      <c r="E22" s="42" t="n">
        <v>944767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-0.00418735991320396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954960</v>
      </c>
      <c r="D23" s="42" t="n">
        <v>960798</v>
      </c>
      <c r="E23" s="42" t="n">
        <v>952902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0.00817873065509023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956529</v>
      </c>
      <c r="D24" s="42" t="n">
        <v>957954</v>
      </c>
      <c r="E24" s="42" t="n">
        <v>955950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0.00164300075395829</v>
      </c>
      <c r="I24" s="45" t="n">
        <f aca="false">IF(AND(ISNUMBER($G24),$G24&gt;=MA_SHORT),AVERAGE(INDEX($C$5:$C24,21-MA_SHORT):$C24),"")</f>
        <v>950277.2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966481</v>
      </c>
      <c r="D25" s="42" t="n">
        <v>972915</v>
      </c>
      <c r="E25" s="42" t="n">
        <v>965375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0.0104042846583847</v>
      </c>
      <c r="I25" s="45" t="n">
        <f aca="false">IF(AND(ISNUMBER($G25),$G25&gt;=MA_SHORT),AVERAGE(INDEX($C$5:$C25,22-MA_SHORT):$C25),"")</f>
        <v>950826.5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0.111437029062939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969624</v>
      </c>
      <c r="D26" s="42" t="n">
        <v>969728</v>
      </c>
      <c r="E26" s="42" t="n">
        <v>965878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0.00325200391937353</v>
      </c>
      <c r="I26" s="45" t="n">
        <f aca="false">IF(AND(ISNUMBER($G26),$G26&gt;=MA_SHORT),AVERAGE(INDEX($C$5:$C26,23-MA_SHORT):$C26),"")</f>
        <v>952461.85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0.0836595419031191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968875</v>
      </c>
      <c r="D27" s="42" t="n">
        <v>972437</v>
      </c>
      <c r="E27" s="42" t="n">
        <v>968586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-0.000772464377944426</v>
      </c>
      <c r="I27" s="45" t="n">
        <f aca="false">IF(AND(ISNUMBER($G27),$G27&gt;=MA_SHORT),AVERAGE(INDEX($C$5:$C27,24-MA_SHORT):$C27),"")</f>
        <v>953935.65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0.0840314927184598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983326</v>
      </c>
      <c r="D28" s="42" t="n">
        <v>988847</v>
      </c>
      <c r="E28" s="42" t="n">
        <v>978386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0.014915236743646</v>
      </c>
      <c r="I28" s="45" t="n">
        <f aca="false">IF(AND(ISNUMBER($G28),$G28&gt;=MA_SHORT),AVERAGE(INDEX($C$5:$C28,25-MA_SHORT):$C28),"")</f>
        <v>956093.65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0.0960524563472368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996090</v>
      </c>
      <c r="D29" s="42" t="n">
        <v>998167</v>
      </c>
      <c r="E29" s="42" t="n">
        <v>993105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0.0129804357863008</v>
      </c>
      <c r="I29" s="45" t="n">
        <f aca="false">IF(AND(ISNUMBER($G29),$G29&gt;=MA_SHORT),AVERAGE(INDEX($C$5:$C29,26-MA_SHORT):$C29),"")</f>
        <v>959129.45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0.0989812231439386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1010949</v>
      </c>
      <c r="D30" s="42" t="n">
        <v>1011567</v>
      </c>
      <c r="E30" s="42" t="n">
        <v>1010055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0.0149173267475831</v>
      </c>
      <c r="I30" s="45" t="n">
        <f aca="false">IF(AND(ISNUMBER($G30),$G30&gt;=MA_SHORT),AVERAGE(INDEX($C$5:$C30,27-MA_SHORT):$C30),"")</f>
        <v>962474.4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0.105241568852173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1002587</v>
      </c>
      <c r="D31" s="42" t="n">
        <v>1003230</v>
      </c>
      <c r="E31" s="42" t="n">
        <v>1002519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-0.00827143604672442</v>
      </c>
      <c r="I31" s="45" t="n">
        <f aca="false">IF(AND(ISNUMBER($G31),$G31&gt;=MA_SHORT),AVERAGE(INDEX($C$5:$C31,28-MA_SHORT):$C31),"")</f>
        <v>965207.2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0.112885363525672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994103</v>
      </c>
      <c r="D32" s="42" t="n">
        <v>998458</v>
      </c>
      <c r="E32" s="42" t="n">
        <v>993555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-0.0084621085252452</v>
      </c>
      <c r="I32" s="45" t="n">
        <f aca="false">IF(AND(ISNUMBER($G32),$G32&gt;=MA_SHORT),AVERAGE(INDEX($C$5:$C32,29-MA_SHORT):$C32),"")</f>
        <v>967118.2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0.117500744267251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986803</v>
      </c>
      <c r="D33" s="42" t="n">
        <v>990145</v>
      </c>
      <c r="E33" s="42" t="n">
        <v>986477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-0.0073433034605066</v>
      </c>
      <c r="I33" s="45" t="n">
        <f aca="false">IF(AND(ISNUMBER($G33),$G33&gt;=MA_SHORT),AVERAGE(INDEX($C$5:$C33,30-MA_SHORT):$C33),"")</f>
        <v>968489.05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0.121717219252593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985115</v>
      </c>
      <c r="D34" s="42" t="n">
        <v>985743</v>
      </c>
      <c r="E34" s="42" t="n">
        <v>984885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-0.00171057445103029</v>
      </c>
      <c r="I34" s="45" t="n">
        <f aca="false">IF(AND(ISNUMBER($G34),$G34&gt;=MA_SHORT),AVERAGE(INDEX($C$5:$C34,31-MA_SHORT):$C34),"")</f>
        <v>970001.7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0.120203105203812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979957</v>
      </c>
      <c r="D35" s="42" t="n">
        <v>981512</v>
      </c>
      <c r="E35" s="42" t="n">
        <v>977441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-0.00523593692107016</v>
      </c>
      <c r="I35" s="45" t="n">
        <f aca="false">IF(AND(ISNUMBER($G35),$G35&gt;=MA_SHORT),AVERAGE(INDEX($C$5:$C35,32-MA_SHORT):$C35),"")</f>
        <v>971136.05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0.122471796555051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985206</v>
      </c>
      <c r="D36" s="42" t="n">
        <v>990567</v>
      </c>
      <c r="E36" s="42" t="n">
        <v>983516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0.00535635747282792</v>
      </c>
      <c r="I36" s="45" t="n">
        <f aca="false">IF(AND(ISNUMBER($G36),$G36&gt;=MA_SHORT),AVERAGE(INDEX($C$5:$C36,33-MA_SHORT):$C36),"")</f>
        <v>972607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0.122856619538669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996988</v>
      </c>
      <c r="D37" s="42" t="n">
        <v>997377</v>
      </c>
      <c r="E37" s="42" t="n">
        <v>995169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0.0119589202664214</v>
      </c>
      <c r="I37" s="45" t="n">
        <f aca="false">IF(AND(ISNUMBER($G37),$G37&gt;=MA_SHORT),AVERAGE(INDEX($C$5:$C37,34-MA_SHORT):$C37),"")</f>
        <v>974574.35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0.128160693437047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986217</v>
      </c>
      <c r="D38" s="42" t="n">
        <v>989762</v>
      </c>
      <c r="E38" s="42" t="n">
        <v>985660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-0.010803540263273</v>
      </c>
      <c r="I38" s="45" t="n">
        <f aca="false">IF(AND(ISNUMBER($G38),$G38&gt;=MA_SHORT),AVERAGE(INDEX($C$5:$C38,35-MA_SHORT):$C38),"")</f>
        <v>976086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0.135342196301852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984563</v>
      </c>
      <c r="D39" s="42" t="n">
        <v>985612</v>
      </c>
      <c r="E39" s="42" t="n">
        <v>984427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-0.00167711568549311</v>
      </c>
      <c r="I39" s="45" t="n">
        <f aca="false">IF(AND(ISNUMBER($G39),$G39&gt;=MA_SHORT),AVERAGE(INDEX($C$5:$C39,36-MA_SHORT):$C39),"")</f>
        <v>977979.05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0.129485532586058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984950</v>
      </c>
      <c r="D40" s="42" t="n">
        <v>987971</v>
      </c>
      <c r="E40" s="42" t="n">
        <v>984678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0.000393067787434642</v>
      </c>
      <c r="I40" s="45" t="n">
        <f aca="false">IF(AND(ISNUMBER($G40),$G40&gt;=MA_SHORT),AVERAGE(INDEX($C$5:$C40,37-MA_SHORT):$C40),"")</f>
        <v>979586.6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0.128534879579499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991435</v>
      </c>
      <c r="D41" s="42" t="n">
        <v>992454</v>
      </c>
      <c r="E41" s="42" t="n">
        <v>990494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0.00658409056297282</v>
      </c>
      <c r="I41" s="45" t="n">
        <f aca="false">IF(AND(ISNUMBER($G41),$G41&gt;=MA_SHORT),AVERAGE(INDEX($C$5:$C41,38-MA_SHORT):$C41),"")</f>
        <v>981598.55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0.128991446992152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983868</v>
      </c>
      <c r="D42" s="42" t="n">
        <v>986302</v>
      </c>
      <c r="E42" s="42" t="n">
        <v>981077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-0.00763237125984051</v>
      </c>
      <c r="I42" s="45" t="n">
        <f aca="false">IF(AND(ISNUMBER($G42),$G42&gt;=MA_SHORT),AVERAGE(INDEX($C$5:$C42,39-MA_SHORT):$C42),"")</f>
        <v>983431.3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0.131694000246322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981440</v>
      </c>
      <c r="D43" s="42" t="n">
        <v>984579</v>
      </c>
      <c r="E43" s="42" t="n">
        <v>981144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-0.00246781072257662</v>
      </c>
      <c r="I43" s="45" t="n">
        <f aca="false">IF(AND(ISNUMBER($G43),$G43&gt;=MA_SHORT),AVERAGE(INDEX($C$5:$C43,40-MA_SHORT):$C43),"")</f>
        <v>984755.3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0.130449804093788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991500</v>
      </c>
      <c r="D44" s="42" t="n">
        <v>994003</v>
      </c>
      <c r="E44" s="42" t="n">
        <v>987372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0.0102502445386372</v>
      </c>
      <c r="I44" s="45" t="n">
        <f aca="false">IF(AND(ISNUMBER($G44),$G44&gt;=MA_SHORT),AVERAGE(INDEX($C$5:$C44,41-MA_SHORT):$C44),"")</f>
        <v>986503.85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0.134083247408409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990911</v>
      </c>
      <c r="D45" s="42" t="n">
        <v>992874</v>
      </c>
      <c r="E45" s="42" t="n">
        <v>985670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-0.000594049420070575</v>
      </c>
      <c r="I45" s="45" t="n">
        <f aca="false">IF(AND(ISNUMBER($G45),$G45&gt;=MA_SHORT),AVERAGE(INDEX($C$5:$C45,42-MA_SHORT):$C45),"")</f>
        <v>987725.35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0.130493671231384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996769</v>
      </c>
      <c r="D46" s="42" t="n">
        <v>999782</v>
      </c>
      <c r="E46" s="42" t="n">
        <v>995826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0.00591173172969106</v>
      </c>
      <c r="I46" s="45" t="n">
        <f aca="false">IF(AND(ISNUMBER($G46),$G46&gt;=MA_SHORT),AVERAGE(INDEX($C$5:$C46,43-MA_SHORT):$C46),"")</f>
        <v>989082.6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0.131340760682011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987257</v>
      </c>
      <c r="D47" s="42" t="n">
        <v>989198</v>
      </c>
      <c r="E47" s="42" t="n">
        <v>984519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-0.00954283289307756</v>
      </c>
      <c r="I47" s="45" t="n">
        <f aca="false">IF(AND(ISNUMBER($G47),$G47&gt;=MA_SHORT),AVERAGE(INDEX($C$5:$C47,44-MA_SHORT):$C47),"")</f>
        <v>990001.7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0.13670182140825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985953</v>
      </c>
      <c r="D48" s="42" t="n">
        <v>987523</v>
      </c>
      <c r="E48" s="42" t="n">
        <v>985812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-0.00132083135394334</v>
      </c>
      <c r="I48" s="45" t="n">
        <f aca="false">IF(AND(ISNUMBER($G48),$G48&gt;=MA_SHORT),AVERAGE(INDEX($C$5:$C48,45-MA_SHORT):$C48),"")</f>
        <v>990133.05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0.126807371879978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981739</v>
      </c>
      <c r="D49" s="42" t="n">
        <v>983661</v>
      </c>
      <c r="E49" s="42" t="n">
        <v>976592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-0.0042740374034056</v>
      </c>
      <c r="I49" s="45" t="n">
        <f aca="false">IF(AND(ISNUMBER($G49),$G49&gt;=MA_SHORT),AVERAGE(INDEX($C$5:$C49,46-MA_SHORT):$C49),"")</f>
        <v>989415.5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0.11842408203967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973816</v>
      </c>
      <c r="D50" s="42" t="n">
        <v>977220</v>
      </c>
      <c r="E50" s="42" t="n">
        <v>971408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-0.00807037308286618</v>
      </c>
      <c r="I50" s="45" t="n">
        <f aca="false">IF(AND(ISNUMBER($G50),$G50&gt;=MA_SHORT),AVERAGE(INDEX($C$5:$C50,47-MA_SHORT):$C50),"")</f>
        <v>987558.85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0.106019140807629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984192</v>
      </c>
      <c r="D51" s="42" t="n">
        <v>988471</v>
      </c>
      <c r="E51" s="42" t="n">
        <v>980834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0.0106549902651014</v>
      </c>
      <c r="I51" s="45" t="n">
        <f aca="false">IF(AND(ISNUMBER($G51),$G51&gt;=MA_SHORT),AVERAGE(INDEX($C$5:$C51,48-MA_SHORT):$C51),"")</f>
        <v>986639.1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0.111770447138339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989424</v>
      </c>
      <c r="D52" s="42" t="n">
        <v>991116</v>
      </c>
      <c r="E52" s="42" t="n">
        <v>987501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0.00531603589543495</v>
      </c>
      <c r="I52" s="45" t="n">
        <f aca="false">IF(AND(ISNUMBER($G52),$G52&gt;=MA_SHORT),AVERAGE(INDEX($C$5:$C52,49-MA_SHORT):$C52),"")</f>
        <v>986405.15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0.11014326937283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977937</v>
      </c>
      <c r="D53" s="42" t="n">
        <v>980640</v>
      </c>
      <c r="E53" s="42" t="n">
        <v>974977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-0.011609785087081</v>
      </c>
      <c r="I53" s="45" t="n">
        <f aca="false">IF(AND(ISNUMBER($G53),$G53&gt;=MA_SHORT),AVERAGE(INDEX($C$5:$C53,50-MA_SHORT):$C53),"")</f>
        <v>985961.85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0.114626105614987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983308</v>
      </c>
      <c r="D54" s="42" t="n">
        <v>985106</v>
      </c>
      <c r="E54" s="42" t="n">
        <v>981750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0.00549217383123857</v>
      </c>
      <c r="I54" s="45" t="n">
        <f aca="false">IF(AND(ISNUMBER($G54),$G54&gt;=MA_SHORT),AVERAGE(INDEX($C$5:$C54,51-MA_SHORT):$C54),"")</f>
        <v>985871.5</v>
      </c>
      <c r="J54" s="45" t="n">
        <f aca="false">IF(AND(ISNUMBER($G54),$G54&gt;=MA_MED),AVERAGE(INDEX($C$5:$C54,51-MA_MED):$C54),"")</f>
        <v>971738.54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0.116344296553889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976817</v>
      </c>
      <c r="D55" s="42" t="n">
        <v>979974</v>
      </c>
      <c r="E55" s="42" t="n">
        <v>976606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-0.00660118701363155</v>
      </c>
      <c r="I55" s="45" t="n">
        <f aca="false">IF(AND(ISNUMBER($G55),$G55&gt;=MA_SHORT),AVERAGE(INDEX($C$5:$C55,52-MA_SHORT):$C55),"")</f>
        <v>985714.5</v>
      </c>
      <c r="J55" s="45" t="n">
        <f aca="false">IF(AND(ISNUMBER($G55),$G55&gt;=MA_MED),AVERAGE(INDEX($C$5:$C55,52-MA_MED):$C55),"")</f>
        <v>972164.98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0.117221468420637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979116</v>
      </c>
      <c r="D56" s="42" t="n">
        <v>979580</v>
      </c>
      <c r="E56" s="42" t="n">
        <v>978130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0.00235356264274689</v>
      </c>
      <c r="I56" s="45" t="n">
        <f aca="false">IF(AND(ISNUMBER($G56),$G56&gt;=MA_SHORT),AVERAGE(INDEX($C$5:$C56,53-MA_SHORT):$C56),"")</f>
        <v>985410</v>
      </c>
      <c r="J56" s="45" t="n">
        <f aca="false">IF(AND(ISNUMBER($G56),$G56&gt;=MA_MED),AVERAGE(INDEX($C$5:$C56,53-MA_MED):$C56),"")</f>
        <v>973008.96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0.115871335532427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976828</v>
      </c>
      <c r="D57" s="42" t="n">
        <v>978898</v>
      </c>
      <c r="E57" s="42" t="n">
        <v>976417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-0.00233680176812556</v>
      </c>
      <c r="I57" s="45" t="n">
        <f aca="false">IF(AND(ISNUMBER($G57),$G57&gt;=MA_SHORT),AVERAGE(INDEX($C$5:$C57,54-MA_SHORT):$C57),"")</f>
        <v>984402</v>
      </c>
      <c r="J57" s="45" t="n">
        <f aca="false">IF(AND(ISNUMBER($G57),$G57&gt;=MA_MED),AVERAGE(INDEX($C$5:$C57,54-MA_MED):$C57),"")</f>
        <v>973757.54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0.106845576498345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975638</v>
      </c>
      <c r="D58" s="42" t="n">
        <v>975684</v>
      </c>
      <c r="E58" s="42" t="n">
        <v>973945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-0.00121822879770028</v>
      </c>
      <c r="I58" s="45" t="n">
        <f aca="false">IF(AND(ISNUMBER($G58),$G58&gt;=MA_SHORT),AVERAGE(INDEX($C$5:$C58,55-MA_SHORT):$C58),"")</f>
        <v>983873.05</v>
      </c>
      <c r="J58" s="45" t="n">
        <f aca="false">IF(AND(ISNUMBER($G58),$G58&gt;=MA_MED),AVERAGE(INDEX($C$5:$C58,55-MA_MED):$C58),"")</f>
        <v>974466.98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0.100586965453423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955898</v>
      </c>
      <c r="D59" s="42" t="n">
        <v>956806</v>
      </c>
      <c r="E59" s="42" t="n">
        <v>954453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-0.0202329142571323</v>
      </c>
      <c r="I59" s="45" t="n">
        <f aca="false">IF(AND(ISNUMBER($G59),$G59&gt;=MA_SHORT),AVERAGE(INDEX($C$5:$C59,56-MA_SHORT):$C59),"")</f>
        <v>982439.8</v>
      </c>
      <c r="J59" s="45" t="n">
        <f aca="false">IF(AND(ISNUMBER($G59),$G59&gt;=MA_MED),AVERAGE(INDEX($C$5:$C59,56-MA_MED):$C59),"")</f>
        <v>974877.46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0.122022992248755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947648</v>
      </c>
      <c r="D60" s="42" t="n">
        <v>950915</v>
      </c>
      <c r="E60" s="42" t="n">
        <v>945028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-0.00863062795402858</v>
      </c>
      <c r="I60" s="45" t="n">
        <f aca="false">IF(AND(ISNUMBER($G60),$G60&gt;=MA_SHORT),AVERAGE(INDEX($C$5:$C60,57-MA_SHORT):$C60),"")</f>
        <v>980574.7</v>
      </c>
      <c r="J60" s="45" t="n">
        <f aca="false">IF(AND(ISNUMBER($G60),$G60&gt;=MA_MED),AVERAGE(INDEX($C$5:$C60,57-MA_MED):$C60),"")</f>
        <v>974949.42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0.124333489340982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954759</v>
      </c>
      <c r="D61" s="42" t="n">
        <v>956629</v>
      </c>
      <c r="E61" s="42" t="n">
        <v>950708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0.0075038410886743</v>
      </c>
      <c r="I61" s="45" t="n">
        <f aca="false">IF(AND(ISNUMBER($G61),$G61&gt;=MA_SHORT),AVERAGE(INDEX($C$5:$C61,58-MA_SHORT):$C61),"")</f>
        <v>978740.9</v>
      </c>
      <c r="J61" s="45" t="n">
        <f aca="false">IF(AND(ISNUMBER($G61),$G61&gt;=MA_MED),AVERAGE(INDEX($C$5:$C61,58-MA_MED):$C61),"")</f>
        <v>975085.98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0.125181405312066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954814</v>
      </c>
      <c r="D62" s="42" t="n">
        <v>959120</v>
      </c>
      <c r="E62" s="42" t="n">
        <v>954306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5.76061602981515E-005</v>
      </c>
      <c r="I62" s="45" t="n">
        <f aca="false">IF(AND(ISNUMBER($G62),$G62&gt;=MA_SHORT),AVERAGE(INDEX($C$5:$C62,59-MA_SHORT):$C62),"")</f>
        <v>977288.2</v>
      </c>
      <c r="J62" s="45" t="n">
        <f aca="false">IF(AND(ISNUMBER($G62),$G62&gt;=MA_MED),AVERAGE(INDEX($C$5:$C62,59-MA_MED):$C62),"")</f>
        <v>975064.6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0.123484910785131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946874</v>
      </c>
      <c r="D63" s="42" t="n">
        <v>952775</v>
      </c>
      <c r="E63" s="42" t="n">
        <v>941869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-0.00831575573881405</v>
      </c>
      <c r="I63" s="45" t="n">
        <f aca="false">IF(AND(ISNUMBER($G63),$G63&gt;=MA_SHORT),AVERAGE(INDEX($C$5:$C63,60-MA_SHORT):$C63),"")</f>
        <v>975559.9</v>
      </c>
      <c r="J63" s="45" t="n">
        <f aca="false">IF(AND(ISNUMBER($G63),$G63&gt;=MA_MED),AVERAGE(INDEX($C$5:$C63,60-MA_MED):$C63),"")</f>
        <v>974814.36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0.125770610806859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966295</v>
      </c>
      <c r="D64" s="42" t="n">
        <v>968095</v>
      </c>
      <c r="E64" s="42" t="n">
        <v>966237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0.0205106487241176</v>
      </c>
      <c r="I64" s="45" t="n">
        <f aca="false">IF(AND(ISNUMBER($G64),$G64&gt;=MA_SHORT),AVERAGE(INDEX($C$5:$C64,61-MA_SHORT):$C64),"")</f>
        <v>974299.65</v>
      </c>
      <c r="J64" s="45" t="n">
        <f aca="false">IF(AND(ISNUMBER($G64),$G64&gt;=MA_MED),AVERAGE(INDEX($C$5:$C64,61-MA_MED):$C64),"")</f>
        <v>975043.02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0.142428957420901</v>
      </c>
      <c r="M64" s="45" t="n">
        <f aca="false">IF(AND(ISNUMBER($G64),$G64&gt;=60),MAX(INDEX($D$5:$D64,61-60):$D64),"")</f>
        <v>1011567</v>
      </c>
      <c r="N64" s="45" t="n">
        <f aca="false">IF(AND(ISNUMBER($G64),$G64&gt;=60),MIN(INDEX($E$5:$E64,61-60):$E64),"")</f>
        <v>932405</v>
      </c>
      <c r="O64" s="46" t="n">
        <f aca="false">IF(OR(NOT(ISNUMBER($C64)),NOT(ISNUMBER($M64)),$M64=0),"",$C64/$M64-1)</f>
        <v>-0.0447543267030262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962993</v>
      </c>
      <c r="D65" s="42" t="n">
        <v>965556</v>
      </c>
      <c r="E65" s="42" t="n">
        <v>960503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-0.00341717591418766</v>
      </c>
      <c r="I65" s="45" t="n">
        <f aca="false">IF(AND(ISNUMBER($G65),$G65&gt;=MA_SHORT),AVERAGE(INDEX($C$5:$C65,62-MA_SHORT):$C65),"")</f>
        <v>972903.75</v>
      </c>
      <c r="J65" s="45" t="n">
        <f aca="false">IF(AND(ISNUMBER($G65),$G65&gt;=MA_MED),AVERAGE(INDEX($C$5:$C65,62-MA_MED):$C65),"")</f>
        <v>975157.48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0.142604616768272</v>
      </c>
      <c r="M65" s="45" t="n">
        <f aca="false">IF(AND(ISNUMBER($G65),$G65&gt;=60),MAX(INDEX($D$5:$D65,62-60):$D65),"")</f>
        <v>1011567</v>
      </c>
      <c r="N65" s="45" t="n">
        <f aca="false">IF(AND(ISNUMBER($G65),$G65&gt;=60),MIN(INDEX($E$5:$E65,62-60):$E65),"")</f>
        <v>932405</v>
      </c>
      <c r="O65" s="46" t="n">
        <f aca="false">IF(OR(NOT(ISNUMBER($C65)),NOT(ISNUMBER($M65)),$M65=0),"",$C65/$M65-1)</f>
        <v>-0.0480185692099485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967379</v>
      </c>
      <c r="D66" s="42" t="n">
        <v>972840</v>
      </c>
      <c r="E66" s="42" t="n">
        <v>966028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0.00455455024075979</v>
      </c>
      <c r="I66" s="45" t="n">
        <f aca="false">IF(AND(ISNUMBER($G66),$G66&gt;=MA_SHORT),AVERAGE(INDEX($C$5:$C66,63-MA_SHORT):$C66),"")</f>
        <v>971434.25</v>
      </c>
      <c r="J66" s="45" t="n">
        <f aca="false">IF(AND(ISNUMBER($G66),$G66&gt;=MA_MED),AVERAGE(INDEX($C$5:$C66,63-MA_MED):$C66),"")</f>
        <v>975389.32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0.141785490064459</v>
      </c>
      <c r="M66" s="45" t="n">
        <f aca="false">IF(AND(ISNUMBER($G66),$G66&gt;=60),MAX(INDEX($D$5:$D66,63-60):$D66),"")</f>
        <v>1011567</v>
      </c>
      <c r="N66" s="45" t="n">
        <f aca="false">IF(AND(ISNUMBER($G66),$G66&gt;=60),MIN(INDEX($E$5:$E66,63-60):$E66),"")</f>
        <v>933216</v>
      </c>
      <c r="O66" s="46" t="n">
        <f aca="false">IF(OR(NOT(ISNUMBER($C66)),NOT(ISNUMBER($M66)),$M66=0),"",$C66/$M66-1)</f>
        <v>-0.0436827219551449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951073</v>
      </c>
      <c r="D67" s="42" t="n">
        <v>956611</v>
      </c>
      <c r="E67" s="42" t="n">
        <v>948113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-0.0168558548407605</v>
      </c>
      <c r="I67" s="45" t="n">
        <f aca="false">IF(AND(ISNUMBER($G67),$G67&gt;=MA_SHORT),AVERAGE(INDEX($C$5:$C67,64-MA_SHORT):$C67),"")</f>
        <v>969625.05</v>
      </c>
      <c r="J67" s="45" t="n">
        <f aca="false">IF(AND(ISNUMBER($G67),$G67&gt;=MA_MED),AVERAGE(INDEX($C$5:$C67,64-MA_MED):$C67),"")</f>
        <v>975257.96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0.149276119607404</v>
      </c>
      <c r="M67" s="45" t="n">
        <f aca="false">IF(AND(ISNUMBER($G67),$G67&gt;=60),MAX(INDEX($D$5:$D67,64-60):$D67),"")</f>
        <v>1011567</v>
      </c>
      <c r="N67" s="45" t="n">
        <f aca="false">IF(AND(ISNUMBER($G67),$G67&gt;=60),MIN(INDEX($E$5:$E67,64-60):$E67),"")</f>
        <v>933216</v>
      </c>
      <c r="O67" s="46" t="n">
        <f aca="false">IF(OR(NOT(ISNUMBER($C67)),NOT(ISNUMBER($M67)),$M67=0),"",$C67/$M67-1)</f>
        <v>-0.05980226717558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946521</v>
      </c>
      <c r="D68" s="42" t="n">
        <v>948181</v>
      </c>
      <c r="E68" s="42" t="n">
        <v>944571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-0.00478617309081431</v>
      </c>
      <c r="I68" s="45" t="n">
        <f aca="false">IF(AND(ISNUMBER($G68),$G68&gt;=MA_SHORT),AVERAGE(INDEX($C$5:$C68,65-MA_SHORT):$C68),"")</f>
        <v>967653.45</v>
      </c>
      <c r="J68" s="45" t="n">
        <f aca="false">IF(AND(ISNUMBER($G68),$G68&gt;=MA_MED),AVERAGE(INDEX($C$5:$C68,65-MA_MED):$C68),"")</f>
        <v>975068.7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0.149618432381438</v>
      </c>
      <c r="M68" s="45" t="n">
        <f aca="false">IF(AND(ISNUMBER($G68),$G68&gt;=60),MAX(INDEX($D$5:$D68,65-60):$D68),"")</f>
        <v>1011567</v>
      </c>
      <c r="N68" s="45" t="n">
        <f aca="false">IF(AND(ISNUMBER($G68),$G68&gt;=60),MIN(INDEX($E$5:$E68,65-60):$E68),"")</f>
        <v>933216</v>
      </c>
      <c r="O68" s="46" t="n">
        <f aca="false">IF(OR(NOT(ISNUMBER($C68)),NOT(ISNUMBER($M68)),$M68=0),"",$C68/$M68-1)</f>
        <v>-0.0643022162644689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949330</v>
      </c>
      <c r="D69" s="42" t="n">
        <v>949969</v>
      </c>
      <c r="E69" s="42" t="n">
        <v>947924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0.00296771017230468</v>
      </c>
      <c r="I69" s="45" t="n">
        <f aca="false">IF(AND(ISNUMBER($G69),$G69&gt;=MA_SHORT),AVERAGE(INDEX($C$5:$C69,66-MA_SHORT):$C69),"")</f>
        <v>966033</v>
      </c>
      <c r="J69" s="45" t="n">
        <f aca="false">IF(AND(ISNUMBER($G69),$G69&gt;=MA_MED),AVERAGE(INDEX($C$5:$C69,66-MA_MED):$C69),"")</f>
        <v>975121.26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0.150341336181319</v>
      </c>
      <c r="M69" s="45" t="n">
        <f aca="false">IF(AND(ISNUMBER($G69),$G69&gt;=60),MAX(INDEX($D$5:$D69,66-60):$D69),"")</f>
        <v>1011567</v>
      </c>
      <c r="N69" s="45" t="n">
        <f aca="false">IF(AND(ISNUMBER($G69),$G69&gt;=60),MIN(INDEX($E$5:$E69,66-60):$E69),"")</f>
        <v>940266</v>
      </c>
      <c r="O69" s="46" t="n">
        <f aca="false">IF(OR(NOT(ISNUMBER($C69)),NOT(ISNUMBER($M69)),$M69=0),"",$C69/$M69-1)</f>
        <v>-0.061525336433474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954704</v>
      </c>
      <c r="D70" s="42" t="n">
        <v>956123</v>
      </c>
      <c r="E70" s="42" t="n">
        <v>951022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0.00566083448326715</v>
      </c>
      <c r="I70" s="45" t="n">
        <f aca="false">IF(AND(ISNUMBER($G70),$G70&gt;=MA_SHORT),AVERAGE(INDEX($C$5:$C70,67-MA_SHORT):$C70),"")</f>
        <v>965077.4</v>
      </c>
      <c r="J70" s="45" t="n">
        <f aca="false">IF(AND(ISNUMBER($G70),$G70&gt;=MA_MED),AVERAGE(INDEX($C$5:$C70,67-MA_MED):$C70),"")</f>
        <v>975159.36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0.150441572182197</v>
      </c>
      <c r="M70" s="45" t="n">
        <f aca="false">IF(AND(ISNUMBER($G70),$G70&gt;=60),MAX(INDEX($D$5:$D70,67-60):$D70),"")</f>
        <v>1011567</v>
      </c>
      <c r="N70" s="45" t="n">
        <f aca="false">IF(AND(ISNUMBER($G70),$G70&gt;=60),MIN(INDEX($E$5:$E70,67-60):$E70),"")</f>
        <v>941869</v>
      </c>
      <c r="O70" s="46" t="n">
        <f aca="false">IF(OR(NOT(ISNUMBER($C70)),NOT(ISNUMBER($M70)),$M70=0),"",$C70/$M70-1)</f>
        <v>-0.056212786696284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954538</v>
      </c>
      <c r="D71" s="42" t="n">
        <v>955886</v>
      </c>
      <c r="E71" s="42" t="n">
        <v>949680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-0.000173875881948726</v>
      </c>
      <c r="I71" s="45" t="n">
        <f aca="false">IF(AND(ISNUMBER($G71),$G71&gt;=MA_SHORT),AVERAGE(INDEX($C$5:$C71,68-MA_SHORT):$C71),"")</f>
        <v>963594.7</v>
      </c>
      <c r="J71" s="45" t="n">
        <f aca="false">IF(AND(ISNUMBER($G71),$G71&gt;=MA_MED),AVERAGE(INDEX($C$5:$C71,68-MA_MED):$C71),"")</f>
        <v>975226.2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0.144323117426559</v>
      </c>
      <c r="M71" s="45" t="n">
        <f aca="false">IF(AND(ISNUMBER($G71),$G71&gt;=60),MAX(INDEX($D$5:$D71,68-60):$D71),"")</f>
        <v>1011567</v>
      </c>
      <c r="N71" s="45" t="n">
        <f aca="false">IF(AND(ISNUMBER($G71),$G71&gt;=60),MIN(INDEX($E$5:$E71,68-60):$E71),"")</f>
        <v>941869</v>
      </c>
      <c r="O71" s="46" t="n">
        <f aca="false">IF(OR(NOT(ISNUMBER($C71)),NOT(ISNUMBER($M71)),$M71=0),"",$C71/$M71-1)</f>
        <v>-0.0563768885303693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943361</v>
      </c>
      <c r="D72" s="42" t="n">
        <v>943428</v>
      </c>
      <c r="E72" s="42" t="n">
        <v>941688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-0.011709329539526</v>
      </c>
      <c r="I72" s="45" t="n">
        <f aca="false">IF(AND(ISNUMBER($G72),$G72&gt;=MA_SHORT),AVERAGE(INDEX($C$5:$C72,69-MA_SHORT):$C72),"")</f>
        <v>961291.55</v>
      </c>
      <c r="J72" s="45" t="n">
        <f aca="false">IF(AND(ISNUMBER($G72),$G72&gt;=MA_MED),AVERAGE(INDEX($C$5:$C72,69-MA_MED):$C72),"")</f>
        <v>975149.16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0.146261649732524</v>
      </c>
      <c r="M72" s="45" t="n">
        <f aca="false">IF(AND(ISNUMBER($G72),$G72&gt;=60),MAX(INDEX($D$5:$D72,69-60):$D72),"")</f>
        <v>1011567</v>
      </c>
      <c r="N72" s="45" t="n">
        <f aca="false">IF(AND(ISNUMBER($G72),$G72&gt;=60),MIN(INDEX($E$5:$E72,69-60):$E72),"")</f>
        <v>941688</v>
      </c>
      <c r="O72" s="46" t="n">
        <f aca="false">IF(OR(NOT(ISNUMBER($C72)),NOT(ISNUMBER($M72)),$M72=0),"",$C72/$M72-1)</f>
        <v>-0.06742608250368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951926</v>
      </c>
      <c r="D73" s="42" t="n">
        <v>956062</v>
      </c>
      <c r="E73" s="42" t="n">
        <v>951116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0.00907923901878505</v>
      </c>
      <c r="I73" s="45" t="n">
        <f aca="false">IF(AND(ISNUMBER($G73),$G73&gt;=MA_SHORT),AVERAGE(INDEX($C$5:$C73,70-MA_SHORT):$C73),"")</f>
        <v>959991</v>
      </c>
      <c r="J73" s="45" t="n">
        <f aca="false">IF(AND(ISNUMBER($G73),$G73&gt;=MA_MED),AVERAGE(INDEX($C$5:$C73,70-MA_MED):$C73),"")</f>
        <v>975088.48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0.147273817976571</v>
      </c>
      <c r="M73" s="45" t="n">
        <f aca="false">IF(AND(ISNUMBER($G73),$G73&gt;=60),MAX(INDEX($D$5:$D73,70-60):$D73),"")</f>
        <v>1011567</v>
      </c>
      <c r="N73" s="45" t="n">
        <f aca="false">IF(AND(ISNUMBER($G73),$G73&gt;=60),MIN(INDEX($E$5:$E73,70-60):$E73),"")</f>
        <v>941688</v>
      </c>
      <c r="O73" s="46" t="n">
        <f aca="false">IF(OR(NOT(ISNUMBER($C73)),NOT(ISNUMBER($M73)),$M73=0),"",$C73/$M73-1)</f>
        <v>-0.0589590210040462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951505</v>
      </c>
      <c r="D74" s="42" t="n">
        <v>952210</v>
      </c>
      <c r="E74" s="42" t="n">
        <v>951383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-0.000442261268207789</v>
      </c>
      <c r="I74" s="45" t="n">
        <f aca="false">IF(AND(ISNUMBER($G74),$G74&gt;=MA_SHORT),AVERAGE(INDEX($C$5:$C74,71-MA_SHORT):$C74),"")</f>
        <v>958400.85</v>
      </c>
      <c r="J74" s="45" t="n">
        <f aca="false">IF(AND(ISNUMBER($G74),$G74&gt;=MA_MED),AVERAGE(INDEX($C$5:$C74,71-MA_MED):$C74),"")</f>
        <v>974988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0.145192042668946</v>
      </c>
      <c r="M74" s="45" t="n">
        <f aca="false">IF(AND(ISNUMBER($G74),$G74&gt;=60),MAX(INDEX($D$5:$D74,71-60):$D74),"")</f>
        <v>1011567</v>
      </c>
      <c r="N74" s="45" t="n">
        <f aca="false">IF(AND(ISNUMBER($G74),$G74&gt;=60),MIN(INDEX($E$5:$E74,71-60):$E74),"")</f>
        <v>941688</v>
      </c>
      <c r="O74" s="46" t="n">
        <f aca="false">IF(OR(NOT(ISNUMBER($C74)),NOT(ISNUMBER($M74)),$M74=0),"",$C74/$M74-1)</f>
        <v>-0.0593752069808525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954329</v>
      </c>
      <c r="D75" s="42" t="n">
        <v>955965</v>
      </c>
      <c r="E75" s="42" t="n">
        <v>953575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0.00296792975339066</v>
      </c>
      <c r="I75" s="45" t="n">
        <f aca="false">IF(AND(ISNUMBER($G75),$G75&gt;=MA_SHORT),AVERAGE(INDEX($C$5:$C75,72-MA_SHORT):$C75),"")</f>
        <v>957276.45</v>
      </c>
      <c r="J75" s="45" t="n">
        <f aca="false">IF(AND(ISNUMBER($G75),$G75&gt;=MA_MED),AVERAGE(INDEX($C$5:$C75,72-MA_MED):$C75),"")</f>
        <v>974744.96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0.144805487058803</v>
      </c>
      <c r="M75" s="45" t="n">
        <f aca="false">IF(AND(ISNUMBER($G75),$G75&gt;=60),MAX(INDEX($D$5:$D75,72-60):$D75),"")</f>
        <v>1011567</v>
      </c>
      <c r="N75" s="45" t="n">
        <f aca="false">IF(AND(ISNUMBER($G75),$G75&gt;=60),MIN(INDEX($E$5:$E75,72-60):$E75),"")</f>
        <v>941688</v>
      </c>
      <c r="O75" s="46" t="n">
        <f aca="false">IF(OR(NOT(ISNUMBER($C75)),NOT(ISNUMBER($M75)),$M75=0),"",$C75/$M75-1)</f>
        <v>-0.056583498670874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958605</v>
      </c>
      <c r="D76" s="42" t="n">
        <v>961789</v>
      </c>
      <c r="E76" s="42" t="n">
        <v>957306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0.00448063508496555</v>
      </c>
      <c r="I76" s="45" t="n">
        <f aca="false">IF(AND(ISNUMBER($G76),$G76&gt;=MA_SHORT),AVERAGE(INDEX($C$5:$C76,73-MA_SHORT):$C76),"")</f>
        <v>956250.9</v>
      </c>
      <c r="J76" s="45" t="n">
        <f aca="false">IF(AND(ISNUMBER($G76),$G76&gt;=MA_MED),AVERAGE(INDEX($C$5:$C76,73-MA_MED):$C76),"")</f>
        <v>974524.58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0.145652917824816</v>
      </c>
      <c r="M76" s="45" t="n">
        <f aca="false">IF(AND(ISNUMBER($G76),$G76&gt;=60),MAX(INDEX($D$5:$D76,73-60):$D76),"")</f>
        <v>1011567</v>
      </c>
      <c r="N76" s="45" t="n">
        <f aca="false">IF(AND(ISNUMBER($G76),$G76&gt;=60),MIN(INDEX($E$5:$E76,73-60):$E76),"")</f>
        <v>941688</v>
      </c>
      <c r="O76" s="46" t="n">
        <f aca="false">IF(OR(NOT(ISNUMBER($C76)),NOT(ISNUMBER($M76)),$M76=0),"",$C76/$M76-1)</f>
        <v>-0.0523563935952833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970320</v>
      </c>
      <c r="D77" s="42" t="n">
        <v>972788</v>
      </c>
      <c r="E77" s="42" t="n">
        <v>964723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0.0122208834712942</v>
      </c>
      <c r="I77" s="45" t="n">
        <f aca="false">IF(AND(ISNUMBER($G77),$G77&gt;=MA_SHORT),AVERAGE(INDEX($C$5:$C77,74-MA_SHORT):$C77),"")</f>
        <v>955925.5</v>
      </c>
      <c r="J77" s="45" t="n">
        <f aca="false">IF(AND(ISNUMBER($G77),$G77&gt;=MA_MED),AVERAGE(INDEX($C$5:$C77,74-MA_MED):$C77),"")</f>
        <v>974553.48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0.152693462791249</v>
      </c>
      <c r="M77" s="45" t="n">
        <f aca="false">IF(AND(ISNUMBER($G77),$G77&gt;=60),MAX(INDEX($D$5:$D77,74-60):$D77),"")</f>
        <v>1011567</v>
      </c>
      <c r="N77" s="45" t="n">
        <f aca="false">IF(AND(ISNUMBER($G77),$G77&gt;=60),MIN(INDEX($E$5:$E77,74-60):$E77),"")</f>
        <v>941688</v>
      </c>
      <c r="O77" s="46" t="n">
        <f aca="false">IF(OR(NOT(ISNUMBER($C77)),NOT(ISNUMBER($M77)),$M77=0),"",$C77/$M77-1)</f>
        <v>-0.0407753515090943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964552</v>
      </c>
      <c r="D78" s="42" t="n">
        <v>967011</v>
      </c>
      <c r="E78" s="42" t="n">
        <v>962911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-0.00594443070327311</v>
      </c>
      <c r="I78" s="45" t="n">
        <f aca="false">IF(AND(ISNUMBER($G78),$G78&gt;=MA_SHORT),AVERAGE(INDEX($C$5:$C78,75-MA_SHORT):$C78),"")</f>
        <v>955371.2</v>
      </c>
      <c r="J78" s="45" t="n">
        <f aca="false">IF(AND(ISNUMBER($G78),$G78&gt;=MA_MED),AVERAGE(INDEX($C$5:$C78,75-MA_MED):$C78),"")</f>
        <v>974178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0.153955162645727</v>
      </c>
      <c r="M78" s="45" t="n">
        <f aca="false">IF(AND(ISNUMBER($G78),$G78&gt;=60),MAX(INDEX($D$5:$D78,75-60):$D78),"")</f>
        <v>1011567</v>
      </c>
      <c r="N78" s="45" t="n">
        <f aca="false">IF(AND(ISNUMBER($G78),$G78&gt;=60),MIN(INDEX($E$5:$E78,75-60):$E78),"")</f>
        <v>941688</v>
      </c>
      <c r="O78" s="46" t="n">
        <f aca="false">IF(OR(NOT(ISNUMBER($C78)),NOT(ISNUMBER($M78)),$M78=0),"",$C78/$M78-1)</f>
        <v>-0.04647739596092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967208</v>
      </c>
      <c r="D79" s="42" t="n">
        <v>968084</v>
      </c>
      <c r="E79" s="42" t="n">
        <v>962833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0.00275360996607743</v>
      </c>
      <c r="I79" s="45" t="n">
        <f aca="false">IF(AND(ISNUMBER($G79),$G79&gt;=MA_SHORT),AVERAGE(INDEX($C$5:$C79,76-MA_SHORT):$C79),"")</f>
        <v>955936.7</v>
      </c>
      <c r="J79" s="45" t="n">
        <f aca="false">IF(AND(ISNUMBER($G79),$G79&gt;=MA_MED),AVERAGE(INDEX($C$5:$C79,76-MA_MED):$C79),"")</f>
        <v>973600.36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0.135985032110275</v>
      </c>
      <c r="M79" s="45" t="n">
        <f aca="false">IF(AND(ISNUMBER($G79),$G79&gt;=60),MAX(INDEX($D$5:$D79,76-60):$D79),"")</f>
        <v>1011567</v>
      </c>
      <c r="N79" s="45" t="n">
        <f aca="false">IF(AND(ISNUMBER($G79),$G79&gt;=60),MIN(INDEX($E$5:$E79,76-60):$E79),"")</f>
        <v>941688</v>
      </c>
      <c r="O79" s="46" t="n">
        <f aca="false">IF(OR(NOT(ISNUMBER($C79)),NOT(ISNUMBER($M79)),$M79=0),"",$C79/$M79-1)</f>
        <v>-0.0438517666155579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978531</v>
      </c>
      <c r="D80" s="42" t="n">
        <v>979879</v>
      </c>
      <c r="E80" s="42" t="n">
        <v>975966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0.011706892416109</v>
      </c>
      <c r="I80" s="45" t="n">
        <f aca="false">IF(AND(ISNUMBER($G80),$G80&gt;=MA_SHORT),AVERAGE(INDEX($C$5:$C80,77-MA_SHORT):$C80),"")</f>
        <v>957480.85</v>
      </c>
      <c r="J80" s="45" t="n">
        <f aca="false">IF(AND(ISNUMBER($G80),$G80&gt;=MA_MED),AVERAGE(INDEX($C$5:$C80,77-MA_MED):$C80),"")</f>
        <v>972952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0.136764983044936</v>
      </c>
      <c r="M80" s="45" t="n">
        <f aca="false">IF(AND(ISNUMBER($G80),$G80&gt;=60),MAX(INDEX($D$5:$D80,77-60):$D80),"")</f>
        <v>1011567</v>
      </c>
      <c r="N80" s="45" t="n">
        <f aca="false">IF(AND(ISNUMBER($G80),$G80&gt;=60),MIN(INDEX($E$5:$E80,77-60):$E80),"")</f>
        <v>941688</v>
      </c>
      <c r="O80" s="46" t="n">
        <f aca="false">IF(OR(NOT(ISNUMBER($C80)),NOT(ISNUMBER($M80)),$M80=0),"",$C80/$M80-1)</f>
        <v>-0.0326582421134735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969322</v>
      </c>
      <c r="D81" s="42" t="n">
        <v>970657</v>
      </c>
      <c r="E81" s="42" t="n">
        <v>969222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-0.00941104574101381</v>
      </c>
      <c r="I81" s="45" t="n">
        <f aca="false">IF(AND(ISNUMBER($G81),$G81&gt;=MA_SHORT),AVERAGE(INDEX($C$5:$C81,78-MA_SHORT):$C81),"")</f>
        <v>958209</v>
      </c>
      <c r="J81" s="45" t="n">
        <f aca="false">IF(AND(ISNUMBER($G81),$G81&gt;=MA_MED),AVERAGE(INDEX($C$5:$C81,78-MA_MED):$C81),"")</f>
        <v>972286.7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0.140185646261253</v>
      </c>
      <c r="M81" s="45" t="n">
        <f aca="false">IF(AND(ISNUMBER($G81),$G81&gt;=60),MAX(INDEX($D$5:$D81,78-60):$D81),"")</f>
        <v>1011567</v>
      </c>
      <c r="N81" s="45" t="n">
        <f aca="false">IF(AND(ISNUMBER($G81),$G81&gt;=60),MIN(INDEX($E$5:$E81,78-60):$E81),"")</f>
        <v>941688</v>
      </c>
      <c r="O81" s="46" t="n">
        <f aca="false">IF(OR(NOT(ISNUMBER($C81)),NOT(ISNUMBER($M81)),$M81=0),"",$C81/$M81-1)</f>
        <v>-0.0417619396441363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973284</v>
      </c>
      <c r="D82" s="42" t="n">
        <v>975992</v>
      </c>
      <c r="E82" s="42" t="n">
        <v>971147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0.00408739304379768</v>
      </c>
      <c r="I82" s="45" t="n">
        <f aca="false">IF(AND(ISNUMBER($G82),$G82&gt;=MA_SHORT),AVERAGE(INDEX($C$5:$C82,79-MA_SHORT):$C82),"")</f>
        <v>959132.5</v>
      </c>
      <c r="J82" s="45" t="n">
        <f aca="false">IF(AND(ISNUMBER($G82),$G82&gt;=MA_MED),AVERAGE(INDEX($C$5:$C82,79-MA_MED):$C82),"")</f>
        <v>971870.32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0.14062107542567</v>
      </c>
      <c r="M82" s="45" t="n">
        <f aca="false">IF(AND(ISNUMBER($G82),$G82&gt;=60),MAX(INDEX($D$5:$D82,79-60):$D82),"")</f>
        <v>1011567</v>
      </c>
      <c r="N82" s="45" t="n">
        <f aca="false">IF(AND(ISNUMBER($G82),$G82&gt;=60),MIN(INDEX($E$5:$E82,79-60):$E82),"")</f>
        <v>941688</v>
      </c>
      <c r="O82" s="46" t="n">
        <f aca="false">IF(OR(NOT(ISNUMBER($C82)),NOT(ISNUMBER($M82)),$M82=0),"",$C82/$M82-1)</f>
        <v>-0.0378452440619356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982155</v>
      </c>
      <c r="D83" s="42" t="n">
        <v>985238</v>
      </c>
      <c r="E83" s="42" t="n">
        <v>979397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0.00911450306385397</v>
      </c>
      <c r="I83" s="45" t="n">
        <f aca="false">IF(AND(ISNUMBER($G83),$G83&gt;=MA_SHORT),AVERAGE(INDEX($C$5:$C83,80-MA_SHORT):$C83),"")</f>
        <v>960896.55</v>
      </c>
      <c r="J83" s="45" t="n">
        <f aca="false">IF(AND(ISNUMBER($G83),$G83&gt;=MA_MED),AVERAGE(INDEX($C$5:$C83,80-MA_MED):$C83),"")</f>
        <v>971777.36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0.13896002605099</v>
      </c>
      <c r="M83" s="45" t="n">
        <f aca="false">IF(AND(ISNUMBER($G83),$G83&gt;=60),MAX(INDEX($D$5:$D83,80-60):$D83),"")</f>
        <v>1011567</v>
      </c>
      <c r="N83" s="45" t="n">
        <f aca="false">IF(AND(ISNUMBER($G83),$G83&gt;=60),MIN(INDEX($E$5:$E83,80-60):$E83),"")</f>
        <v>941688</v>
      </c>
      <c r="O83" s="46" t="n">
        <f aca="false">IF(OR(NOT(ISNUMBER($C83)),NOT(ISNUMBER($M83)),$M83=0),"",$C83/$M83-1)</f>
        <v>-0.0290756815910365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996882</v>
      </c>
      <c r="D84" s="42" t="n">
        <v>999224</v>
      </c>
      <c r="E84" s="42" t="n">
        <v>995843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0.0149945782488508</v>
      </c>
      <c r="I84" s="45" t="n">
        <f aca="false">IF(AND(ISNUMBER($G84),$G84&gt;=MA_SHORT),AVERAGE(INDEX($C$5:$C84,81-MA_SHORT):$C84),"")</f>
        <v>962425.9</v>
      </c>
      <c r="J84" s="45" t="n">
        <f aca="false">IF(AND(ISNUMBER($G84),$G84&gt;=MA_MED),AVERAGE(INDEX($C$5:$C84,81-MA_MED):$C84),"")</f>
        <v>972012.7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0.130501395908888</v>
      </c>
      <c r="M84" s="45" t="n">
        <f aca="false">IF(AND(ISNUMBER($G84),$G84&gt;=60),MAX(INDEX($D$5:$D84,81-60):$D84),"")</f>
        <v>1011567</v>
      </c>
      <c r="N84" s="45" t="n">
        <f aca="false">IF(AND(ISNUMBER($G84),$G84&gt;=60),MIN(INDEX($E$5:$E84,81-60):$E84),"")</f>
        <v>941688</v>
      </c>
      <c r="O84" s="46" t="n">
        <f aca="false">IF(OR(NOT(ISNUMBER($C84)),NOT(ISNUMBER($M84)),$M84=0),"",$C84/$M84-1)</f>
        <v>-0.0145170809249412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989042</v>
      </c>
      <c r="D85" s="42" t="n">
        <v>989087</v>
      </c>
      <c r="E85" s="42" t="n">
        <v>986904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-0.0078645215782811</v>
      </c>
      <c r="I85" s="45" t="n">
        <f aca="false">IF(AND(ISNUMBER($G85),$G85&gt;=MA_SHORT),AVERAGE(INDEX($C$5:$C85,82-MA_SHORT):$C85),"")</f>
        <v>963728.35</v>
      </c>
      <c r="J85" s="45" t="n">
        <f aca="false">IF(AND(ISNUMBER($G85),$G85&gt;=MA_MED),AVERAGE(INDEX($C$5:$C85,82-MA_MED):$C85),"")</f>
        <v>972194.4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0.133594464677825</v>
      </c>
      <c r="M85" s="45" t="n">
        <f aca="false">IF(AND(ISNUMBER($G85),$G85&gt;=60),MAX(INDEX($D$5:$D85,82-60):$D85),"")</f>
        <v>1011567</v>
      </c>
      <c r="N85" s="45" t="n">
        <f aca="false">IF(AND(ISNUMBER($G85),$G85&gt;=60),MIN(INDEX($E$5:$E85,82-60):$E85),"")</f>
        <v>941688</v>
      </c>
      <c r="O85" s="46" t="n">
        <f aca="false">IF(OR(NOT(ISNUMBER($C85)),NOT(ISNUMBER($M85)),$M85=0),"",$C85/$M85-1)</f>
        <v>-0.0222674326070345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999841</v>
      </c>
      <c r="D86" s="42" t="n">
        <v>1002058</v>
      </c>
      <c r="E86" s="42" t="n">
        <v>992498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0.010918646528661</v>
      </c>
      <c r="I86" s="45" t="n">
        <f aca="false">IF(AND(ISNUMBER($G86),$G86&gt;=MA_SHORT),AVERAGE(INDEX($C$5:$C86,83-MA_SHORT):$C86),"")</f>
        <v>965351.45</v>
      </c>
      <c r="J86" s="45" t="n">
        <f aca="false">IF(AND(ISNUMBER($G86),$G86&gt;=MA_MED),AVERAGE(INDEX($C$5:$C86,83-MA_MED):$C86),"")</f>
        <v>972487.1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0.137354600912781</v>
      </c>
      <c r="M86" s="45" t="n">
        <f aca="false">IF(AND(ISNUMBER($G86),$G86&gt;=60),MAX(INDEX($D$5:$D86,83-60):$D86),"")</f>
        <v>1011567</v>
      </c>
      <c r="N86" s="45" t="n">
        <f aca="false">IF(AND(ISNUMBER($G86),$G86&gt;=60),MIN(INDEX($E$5:$E86,83-60):$E86),"")</f>
        <v>941688</v>
      </c>
      <c r="O86" s="46" t="n">
        <f aca="false">IF(OR(NOT(ISNUMBER($C86)),NOT(ISNUMBER($M86)),$M86=0),"",$C86/$M86-1)</f>
        <v>-0.0115919163041104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992966</v>
      </c>
      <c r="D87" s="42" t="n">
        <v>998737</v>
      </c>
      <c r="E87" s="42" t="n">
        <v>990291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-0.00687609329883454</v>
      </c>
      <c r="I87" s="45" t="n">
        <f aca="false">IF(AND(ISNUMBER($G87),$G87&gt;=MA_SHORT),AVERAGE(INDEX($C$5:$C87,84-MA_SHORT):$C87),"")</f>
        <v>967446.1</v>
      </c>
      <c r="J87" s="45" t="n">
        <f aca="false">IF(AND(ISNUMBER($G87),$G87&gt;=MA_MED),AVERAGE(INDEX($C$5:$C87,84-MA_MED):$C87),"")</f>
        <v>972406.66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0.123748051208841</v>
      </c>
      <c r="M87" s="45" t="n">
        <f aca="false">IF(AND(ISNUMBER($G87),$G87&gt;=60),MAX(INDEX($D$5:$D87,84-60):$D87),"")</f>
        <v>1011567</v>
      </c>
      <c r="N87" s="45" t="n">
        <f aca="false">IF(AND(ISNUMBER($G87),$G87&gt;=60),MIN(INDEX($E$5:$E87,84-60):$E87),"")</f>
        <v>941688</v>
      </c>
      <c r="O87" s="46" t="n">
        <f aca="false">IF(OR(NOT(ISNUMBER($C87)),NOT(ISNUMBER($M87)),$M87=0),"",$C87/$M87-1)</f>
        <v>-0.0183883025049255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997591</v>
      </c>
      <c r="D88" s="42" t="n">
        <v>999360</v>
      </c>
      <c r="E88" s="42" t="n">
        <v>995763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0.0046577627028519</v>
      </c>
      <c r="I88" s="45" t="n">
        <f aca="false">IF(AND(ISNUMBER($G88),$G88&gt;=MA_SHORT),AVERAGE(INDEX($C$5:$C88,85-MA_SHORT):$C88),"")</f>
        <v>969999.6</v>
      </c>
      <c r="J88" s="45" t="n">
        <f aca="false">IF(AND(ISNUMBER($G88),$G88&gt;=MA_MED),AVERAGE(INDEX($C$5:$C88,85-MA_MED):$C88),"")</f>
        <v>972634.14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0.121275408500471</v>
      </c>
      <c r="M88" s="45" t="n">
        <f aca="false">IF(AND(ISNUMBER($G88),$G88&gt;=60),MAX(INDEX($D$5:$D88,85-60):$D88),"")</f>
        <v>1011567</v>
      </c>
      <c r="N88" s="45" t="n">
        <f aca="false">IF(AND(ISNUMBER($G88),$G88&gt;=60),MIN(INDEX($E$5:$E88,85-60):$E88),"")</f>
        <v>941688</v>
      </c>
      <c r="O88" s="46" t="n">
        <f aca="false">IF(OR(NOT(ISNUMBER($C88)),NOT(ISNUMBER($M88)),$M88=0),"",$C88/$M88-1)</f>
        <v>-0.0138161881516499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1003628</v>
      </c>
      <c r="D89" s="42" t="n">
        <v>1004280</v>
      </c>
      <c r="E89" s="42" t="n">
        <v>1000996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0.00605157825200919</v>
      </c>
      <c r="I89" s="45" t="n">
        <f aca="false">IF(AND(ISNUMBER($G89),$G89&gt;=MA_SHORT),AVERAGE(INDEX($C$5:$C89,86-MA_SHORT):$C89),"")</f>
        <v>972714.5</v>
      </c>
      <c r="J89" s="45" t="n">
        <f aca="false">IF(AND(ISNUMBER($G89),$G89&gt;=MA_MED),AVERAGE(INDEX($C$5:$C89,86-MA_MED):$C89),"")</f>
        <v>973015.44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0.121855411369795</v>
      </c>
      <c r="M89" s="45" t="n">
        <f aca="false">IF(AND(ISNUMBER($G89),$G89&gt;=60),MAX(INDEX($D$5:$D89,86-60):$D89),"")</f>
        <v>1011567</v>
      </c>
      <c r="N89" s="45" t="n">
        <f aca="false">IF(AND(ISNUMBER($G89),$G89&gt;=60),MIN(INDEX($E$5:$E89,86-60):$E89),"")</f>
        <v>941688</v>
      </c>
      <c r="O89" s="46" t="n">
        <f aca="false">IF(OR(NOT(ISNUMBER($C89)),NOT(ISNUMBER($M89)),$M89=0),"",$C89/$M89-1)</f>
        <v>-0.007848219643385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1006298</v>
      </c>
      <c r="D90" s="42" t="n">
        <v>1006427</v>
      </c>
      <c r="E90" s="42" t="n">
        <v>1002661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0.00266034825652528</v>
      </c>
      <c r="I90" s="45" t="n">
        <f aca="false">IF(AND(ISNUMBER($G90),$G90&gt;=MA_SHORT),AVERAGE(INDEX($C$5:$C90,87-MA_SHORT):$C90),"")</f>
        <v>975294.2</v>
      </c>
      <c r="J90" s="45" t="n">
        <f aca="false">IF(AND(ISNUMBER($G90),$G90&gt;=MA_MED),AVERAGE(INDEX($C$5:$C90,87-MA_MED):$C90),"")</f>
        <v>973442.4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0.121403084276736</v>
      </c>
      <c r="M90" s="45" t="n">
        <f aca="false">IF(AND(ISNUMBER($G90),$G90&gt;=60),MAX(INDEX($D$5:$D90,87-60):$D90),"")</f>
        <v>1006427</v>
      </c>
      <c r="N90" s="45" t="n">
        <f aca="false">IF(AND(ISNUMBER($G90),$G90&gt;=60),MIN(INDEX($E$5:$E90,87-60):$E90),"")</f>
        <v>941688</v>
      </c>
      <c r="O90" s="46" t="n">
        <f aca="false">IF(OR(NOT(ISNUMBER($C90)),NOT(ISNUMBER($M90)),$M90=0),"",$C90/$M90-1)</f>
        <v>-0.000128176211488751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999297</v>
      </c>
      <c r="D91" s="42" t="n">
        <v>1001196</v>
      </c>
      <c r="E91" s="42" t="n">
        <v>994792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-0.00695718365732612</v>
      </c>
      <c r="I91" s="45" t="n">
        <f aca="false">IF(AND(ISNUMBER($G91),$G91&gt;=MA_SHORT),AVERAGE(INDEX($C$5:$C91,88-MA_SHORT):$C91),"")</f>
        <v>977532.15</v>
      </c>
      <c r="J91" s="45" t="n">
        <f aca="false">IF(AND(ISNUMBER($G91),$G91&gt;=MA_MED),AVERAGE(INDEX($C$5:$C91,88-MA_MED):$C91),"")</f>
        <v>973599.64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0.125693108016947</v>
      </c>
      <c r="M91" s="45" t="n">
        <f aca="false">IF(AND(ISNUMBER($G91),$G91&gt;=60),MAX(INDEX($D$5:$D91,88-60):$D91),"")</f>
        <v>1006427</v>
      </c>
      <c r="N91" s="45" t="n">
        <f aca="false">IF(AND(ISNUMBER($G91),$G91&gt;=60),MIN(INDEX($E$5:$E91,88-60):$E91),"")</f>
        <v>941688</v>
      </c>
      <c r="O91" s="46" t="n">
        <f aca="false">IF(OR(NOT(ISNUMBER($C91)),NOT(ISNUMBER($M91)),$M91=0),"",$C91/$M91-1)</f>
        <v>-0.00708446812337105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998406</v>
      </c>
      <c r="D92" s="42" t="n">
        <v>1001869</v>
      </c>
      <c r="E92" s="42" t="n">
        <v>996117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-0.000891626813649959</v>
      </c>
      <c r="I92" s="45" t="n">
        <f aca="false">IF(AND(ISNUMBER($G92),$G92&gt;=MA_SHORT),AVERAGE(INDEX($C$5:$C92,89-MA_SHORT):$C92),"")</f>
        <v>980284.4</v>
      </c>
      <c r="J92" s="45" t="n">
        <f aca="false">IF(AND(ISNUMBER($G92),$G92&gt;=MA_MED),AVERAGE(INDEX($C$5:$C92,89-MA_MED):$C92),"")</f>
        <v>973890.4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0.11539973814694</v>
      </c>
      <c r="M92" s="45" t="n">
        <f aca="false">IF(AND(ISNUMBER($G92),$G92&gt;=60),MAX(INDEX($D$5:$D92,89-60):$D92),"")</f>
        <v>1006427</v>
      </c>
      <c r="N92" s="45" t="n">
        <f aca="false">IF(AND(ISNUMBER($G92),$G92&gt;=60),MIN(INDEX($E$5:$E92,89-60):$E92),"")</f>
        <v>941688</v>
      </c>
      <c r="O92" s="46" t="n">
        <f aca="false">IF(OR(NOT(ISNUMBER($C92)),NOT(ISNUMBER($M92)),$M92=0),"",$C92/$M92-1)</f>
        <v>-0.00796977823528189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1013143</v>
      </c>
      <c r="D93" s="42" t="n">
        <v>1015495</v>
      </c>
      <c r="E93" s="42" t="n">
        <v>1008044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0.0147605282820817</v>
      </c>
      <c r="I93" s="45" t="n">
        <f aca="false">IF(AND(ISNUMBER($G93),$G93&gt;=MA_SHORT),AVERAGE(INDEX($C$5:$C93,90-MA_SHORT):$C93),"")</f>
        <v>983345.25</v>
      </c>
      <c r="J93" s="45" t="n">
        <f aca="false">IF(AND(ISNUMBER($G93),$G93&gt;=MA_MED),AVERAGE(INDEX($C$5:$C93,90-MA_MED):$C93),"")</f>
        <v>974524.46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0.120925339900414</v>
      </c>
      <c r="M93" s="45" t="n">
        <f aca="false">IF(AND(ISNUMBER($G93),$G93&gt;=60),MAX(INDEX($D$5:$D93,90-60):$D93),"")</f>
        <v>1015495</v>
      </c>
      <c r="N93" s="45" t="n">
        <f aca="false">IF(AND(ISNUMBER($G93),$G93&gt;=60),MIN(INDEX($E$5:$E93,90-60):$E93),"")</f>
        <v>941688</v>
      </c>
      <c r="O93" s="46" t="n">
        <f aca="false">IF(OR(NOT(ISNUMBER($C93)),NOT(ISNUMBER($M93)),$M93=0),"",$C93/$M93-1)</f>
        <v>-0.00231611184693181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1016379</v>
      </c>
      <c r="D94" s="42" t="n">
        <v>1016826</v>
      </c>
      <c r="E94" s="42" t="n">
        <v>1014699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0.00319402098223054</v>
      </c>
      <c r="I94" s="45" t="n">
        <f aca="false">IF(AND(ISNUMBER($G94),$G94&gt;=MA_SHORT),AVERAGE(INDEX($C$5:$C94,91-MA_SHORT):$C94),"")</f>
        <v>986588.95</v>
      </c>
      <c r="J94" s="45" t="n">
        <f aca="false">IF(AND(ISNUMBER($G94),$G94&gt;=MA_MED),AVERAGE(INDEX($C$5:$C94,91-MA_MED):$C94),"")</f>
        <v>975022.04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0.120200230233137</v>
      </c>
      <c r="M94" s="45" t="n">
        <f aca="false">IF(AND(ISNUMBER($G94),$G94&gt;=60),MAX(INDEX($D$5:$D94,91-60):$D94),"")</f>
        <v>1016826</v>
      </c>
      <c r="N94" s="45" t="n">
        <f aca="false">IF(AND(ISNUMBER($G94),$G94&gt;=60),MIN(INDEX($E$5:$E94,91-60):$E94),"")</f>
        <v>941688</v>
      </c>
      <c r="O94" s="46" t="n">
        <f aca="false">IF(OR(NOT(ISNUMBER($C94)),NOT(ISNUMBER($M94)),$M94=0),"",$C94/$M94-1)</f>
        <v>-0.000439603235951824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1017968</v>
      </c>
      <c r="D95" s="42" t="n">
        <v>1025773</v>
      </c>
      <c r="E95" s="42" t="n">
        <v>1017724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0.00156339318305476</v>
      </c>
      <c r="I95" s="45" t="n">
        <f aca="false">IF(AND(ISNUMBER($G95),$G95&gt;=MA_SHORT),AVERAGE(INDEX($C$5:$C95,92-MA_SHORT):$C95),"")</f>
        <v>989770.9</v>
      </c>
      <c r="J95" s="45" t="n">
        <f aca="false">IF(AND(ISNUMBER($G95),$G95&gt;=MA_MED),AVERAGE(INDEX($C$5:$C95,92-MA_MED):$C95),"")</f>
        <v>975563.18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0.120355392122282</v>
      </c>
      <c r="M95" s="45" t="n">
        <f aca="false">IF(AND(ISNUMBER($G95),$G95&gt;=60),MAX(INDEX($D$5:$D95,92-60):$D95),"")</f>
        <v>1025773</v>
      </c>
      <c r="N95" s="45" t="n">
        <f aca="false">IF(AND(ISNUMBER($G95),$G95&gt;=60),MIN(INDEX($E$5:$E95,92-60):$E95),"")</f>
        <v>941688</v>
      </c>
      <c r="O95" s="46" t="n">
        <f aca="false">IF(OR(NOT(ISNUMBER($C95)),NOT(ISNUMBER($M95)),$M95=0),"",$C95/$M95-1)</f>
        <v>-0.00760889592531677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1017819</v>
      </c>
      <c r="D96" s="42" t="n">
        <v>1022335</v>
      </c>
      <c r="E96" s="42" t="n">
        <v>1016360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-0.000146370023419218</v>
      </c>
      <c r="I96" s="45" t="n">
        <f aca="false">IF(AND(ISNUMBER($G96),$G96&gt;=MA_SHORT),AVERAGE(INDEX($C$5:$C96,93-MA_SHORT):$C96),"")</f>
        <v>992731.6</v>
      </c>
      <c r="J96" s="45" t="n">
        <f aca="false">IF(AND(ISNUMBER($G96),$G96&gt;=MA_MED),AVERAGE(INDEX($C$5:$C96,93-MA_MED):$C96),"")</f>
        <v>975984.18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0.120839337175399</v>
      </c>
      <c r="M96" s="45" t="n">
        <f aca="false">IF(AND(ISNUMBER($G96),$G96&gt;=60),MAX(INDEX($D$5:$D96,93-60):$D96),"")</f>
        <v>1025773</v>
      </c>
      <c r="N96" s="45" t="n">
        <f aca="false">IF(AND(ISNUMBER($G96),$G96&gt;=60),MIN(INDEX($E$5:$E96,93-60):$E96),"")</f>
        <v>941688</v>
      </c>
      <c r="O96" s="46" t="n">
        <f aca="false">IF(OR(NOT(ISNUMBER($C96)),NOT(ISNUMBER($M96)),$M96=0),"",$C96/$M96-1)</f>
        <v>-0.00775415223446119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1003004</v>
      </c>
      <c r="D97" s="42" t="n">
        <v>1007415</v>
      </c>
      <c r="E97" s="42" t="n">
        <v>994791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-0.0145556331724992</v>
      </c>
      <c r="I97" s="45" t="n">
        <f aca="false">IF(AND(ISNUMBER($G97),$G97&gt;=MA_SHORT),AVERAGE(INDEX($C$5:$C97,94-MA_SHORT):$C97),"")</f>
        <v>994365.8</v>
      </c>
      <c r="J97" s="45" t="n">
        <f aca="false">IF(AND(ISNUMBER($G97),$G97&gt;=MA_MED),AVERAGE(INDEX($C$5:$C97,94-MA_MED):$C97),"")</f>
        <v>976299.12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0.130530231119657</v>
      </c>
      <c r="M97" s="45" t="n">
        <f aca="false">IF(AND(ISNUMBER($G97),$G97&gt;=60),MAX(INDEX($D$5:$D97,94-60):$D97),"")</f>
        <v>1025773</v>
      </c>
      <c r="N97" s="45" t="n">
        <f aca="false">IF(AND(ISNUMBER($G97),$G97&gt;=60),MIN(INDEX($E$5:$E97,94-60):$E97),"")</f>
        <v>941688</v>
      </c>
      <c r="O97" s="46" t="n">
        <f aca="false">IF(OR(NOT(ISNUMBER($C97)),NOT(ISNUMBER($M97)),$M97=0),"",$C97/$M97-1)</f>
        <v>-0.0221969188114719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1000551</v>
      </c>
      <c r="D98" s="42" t="n">
        <v>1002734</v>
      </c>
      <c r="E98" s="42" t="n">
        <v>998435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-0.00244565325761414</v>
      </c>
      <c r="I98" s="45" t="n">
        <f aca="false">IF(AND(ISNUMBER($G98),$G98&gt;=MA_SHORT),AVERAGE(INDEX($C$5:$C98,95-MA_SHORT):$C98),"")</f>
        <v>996165.75</v>
      </c>
      <c r="J98" s="45" t="n">
        <f aca="false">IF(AND(ISNUMBER($G98),$G98&gt;=MA_MED),AVERAGE(INDEX($C$5:$C98,95-MA_MED):$C98),"")</f>
        <v>976591.08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0.128449048414386</v>
      </c>
      <c r="M98" s="45" t="n">
        <f aca="false">IF(AND(ISNUMBER($G98),$G98&gt;=60),MAX(INDEX($D$5:$D98,95-60):$D98),"")</f>
        <v>1025773</v>
      </c>
      <c r="N98" s="45" t="n">
        <f aca="false">IF(AND(ISNUMBER($G98),$G98&gt;=60),MIN(INDEX($E$5:$E98,95-60):$E98),"")</f>
        <v>941688</v>
      </c>
      <c r="O98" s="46" t="n">
        <f aca="false">IF(OR(NOT(ISNUMBER($C98)),NOT(ISNUMBER($M98)),$M98=0),"",$C98/$M98-1)</f>
        <v>-0.0245882861022858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1009802</v>
      </c>
      <c r="D99" s="42" t="n">
        <v>1009943</v>
      </c>
      <c r="E99" s="42" t="n">
        <v>1005064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0.00924590550606608</v>
      </c>
      <c r="I99" s="45" t="n">
        <f aca="false">IF(AND(ISNUMBER($G99),$G99&gt;=MA_SHORT),AVERAGE(INDEX($C$5:$C99,96-MA_SHORT):$C99),"")</f>
        <v>998295.45</v>
      </c>
      <c r="J99" s="45" t="n">
        <f aca="false">IF(AND(ISNUMBER($G99),$G99&gt;=MA_MED),AVERAGE(INDEX($C$5:$C99,96-MA_MED):$C99),"")</f>
        <v>977152.34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0.131012023187251</v>
      </c>
      <c r="M99" s="45" t="n">
        <f aca="false">IF(AND(ISNUMBER($G99),$G99&gt;=60),MAX(INDEX($D$5:$D99,96-60):$D99),"")</f>
        <v>1025773</v>
      </c>
      <c r="N99" s="45" t="n">
        <f aca="false">IF(AND(ISNUMBER($G99),$G99&gt;=60),MIN(INDEX($E$5:$E99,96-60):$E99),"")</f>
        <v>941688</v>
      </c>
      <c r="O99" s="46" t="n">
        <f aca="false">IF(OR(NOT(ISNUMBER($C99)),NOT(ISNUMBER($M99)),$M99=0),"",$C99/$M99-1)</f>
        <v>-0.0155697215660775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1024709</v>
      </c>
      <c r="D100" s="42" t="n">
        <v>1025981</v>
      </c>
      <c r="E100" s="42" t="n">
        <v>1024016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0.0147622999360271</v>
      </c>
      <c r="I100" s="45" t="n">
        <f aca="false">IF(AND(ISNUMBER($G100),$G100&gt;=MA_SHORT),AVERAGE(INDEX($C$5:$C100,97-MA_SHORT):$C100),"")</f>
        <v>1000604.35</v>
      </c>
      <c r="J100" s="45" t="n">
        <f aca="false">IF(AND(ISNUMBER($G100),$G100&gt;=MA_MED),AVERAGE(INDEX($C$5:$C100,97-MA_MED):$C100),"")</f>
        <v>978170.2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0.134269828906006</v>
      </c>
      <c r="M100" s="45" t="n">
        <f aca="false">IF(AND(ISNUMBER($G100),$G100&gt;=60),MAX(INDEX($D$5:$D100,97-60):$D100),"")</f>
        <v>1025981</v>
      </c>
      <c r="N100" s="45" t="n">
        <f aca="false">IF(AND(ISNUMBER($G100),$G100&gt;=60),MIN(INDEX($E$5:$E100,97-60):$E100),"")</f>
        <v>941688</v>
      </c>
      <c r="O100" s="46" t="n">
        <f aca="false">IF(OR(NOT(ISNUMBER($C100)),NOT(ISNUMBER($M100)),$M100=0),"",$C100/$M100-1)</f>
        <v>-0.0012397890409277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1017462</v>
      </c>
      <c r="D101" s="42" t="n">
        <v>1020847</v>
      </c>
      <c r="E101" s="42" t="n">
        <v>1014359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-0.00707225173195514</v>
      </c>
      <c r="I101" s="45" t="n">
        <f aca="false">IF(AND(ISNUMBER($G101),$G101&gt;=MA_SHORT),AVERAGE(INDEX($C$5:$C101,98-MA_SHORT):$C101),"")</f>
        <v>1003011.35</v>
      </c>
      <c r="J101" s="45" t="n">
        <f aca="false">IF(AND(ISNUMBER($G101),$G101&gt;=MA_MED),AVERAGE(INDEX($C$5:$C101,98-MA_MED):$C101),"")</f>
        <v>978835.6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0.131857594550963</v>
      </c>
      <c r="M101" s="45" t="n">
        <f aca="false">IF(AND(ISNUMBER($G101),$G101&gt;=60),MAX(INDEX($D$5:$D101,98-60):$D101),"")</f>
        <v>1025981</v>
      </c>
      <c r="N101" s="45" t="n">
        <f aca="false">IF(AND(ISNUMBER($G101),$G101&gt;=60),MIN(INDEX($E$5:$E101,98-60):$E101),"")</f>
        <v>941688</v>
      </c>
      <c r="O101" s="46" t="n">
        <f aca="false">IF(OR(NOT(ISNUMBER($C101)),NOT(ISNUMBER($M101)),$M101=0),"",$C101/$M101-1)</f>
        <v>-0.00830327267269082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1018276</v>
      </c>
      <c r="D102" s="42" t="n">
        <v>1019677</v>
      </c>
      <c r="E102" s="42" t="n">
        <v>1015923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0.000800029878265773</v>
      </c>
      <c r="I102" s="45" t="n">
        <f aca="false">IF(AND(ISNUMBER($G102),$G102&gt;=MA_SHORT),AVERAGE(INDEX($C$5:$C102,99-MA_SHORT):$C102),"")</f>
        <v>1005260.95</v>
      </c>
      <c r="J102" s="45" t="n">
        <f aca="false">IF(AND(ISNUMBER($G102),$G102&gt;=MA_MED),AVERAGE(INDEX($C$5:$C102,99-MA_MED):$C102),"")</f>
        <v>979412.64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0.131836434814738</v>
      </c>
      <c r="M102" s="45" t="n">
        <f aca="false">IF(AND(ISNUMBER($G102),$G102&gt;=60),MAX(INDEX($D$5:$D102,99-60):$D102),"")</f>
        <v>1025981</v>
      </c>
      <c r="N102" s="45" t="n">
        <f aca="false">IF(AND(ISNUMBER($G102),$G102&gt;=60),MIN(INDEX($E$5:$E102,99-60):$E102),"")</f>
        <v>941688</v>
      </c>
      <c r="O102" s="46" t="n">
        <f aca="false">IF(OR(NOT(ISNUMBER($C102)),NOT(ISNUMBER($M102)),$M102=0),"",$C102/$M102-1)</f>
        <v>-0.00750988566065058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1023849</v>
      </c>
      <c r="D103" s="42" t="n">
        <v>1026830</v>
      </c>
      <c r="E103" s="42" t="n">
        <v>1023320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0.00547297589258711</v>
      </c>
      <c r="I103" s="45" t="n">
        <f aca="false">IF(AND(ISNUMBER($G103),$G103&gt;=MA_SHORT),AVERAGE(INDEX($C$5:$C103,100-MA_SHORT):$C103),"")</f>
        <v>1007345.65</v>
      </c>
      <c r="J103" s="45" t="n">
        <f aca="false">IF(AND(ISNUMBER($G103),$G103&gt;=MA_MED),AVERAGE(INDEX($C$5:$C103,100-MA_MED):$C103),"")</f>
        <v>980330.88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0.130011214399358</v>
      </c>
      <c r="M103" s="45" t="n">
        <f aca="false">IF(AND(ISNUMBER($G103),$G103&gt;=60),MAX(INDEX($D$5:$D103,100-60):$D103),"")</f>
        <v>1026830</v>
      </c>
      <c r="N103" s="45" t="n">
        <f aca="false">IF(AND(ISNUMBER($G103),$G103&gt;=60),MIN(INDEX($E$5:$E103,100-60):$E103),"")</f>
        <v>941688</v>
      </c>
      <c r="O103" s="46" t="n">
        <f aca="false">IF(OR(NOT(ISNUMBER($C103)),NOT(ISNUMBER($M103)),$M103=0),"",$C103/$M103-1)</f>
        <v>-0.00290310957023066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1028069</v>
      </c>
      <c r="D104" s="42" t="n">
        <v>1032200</v>
      </c>
      <c r="E104" s="42" t="n">
        <v>1022005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0.00412170153997327</v>
      </c>
      <c r="I104" s="45" t="n">
        <f aca="false">IF(AND(ISNUMBER($G104),$G104&gt;=MA_SHORT),AVERAGE(INDEX($C$5:$C104,101-MA_SHORT):$C104),"")</f>
        <v>1008905</v>
      </c>
      <c r="J104" s="45" t="n">
        <f aca="false">IF(AND(ISNUMBER($G104),$G104&gt;=MA_MED),AVERAGE(INDEX($C$5:$C104,101-MA_MED):$C104),"")</f>
        <v>981226.1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0.121405163827161</v>
      </c>
      <c r="M104" s="45" t="n">
        <f aca="false">IF(AND(ISNUMBER($G104),$G104&gt;=60),MAX(INDEX($D$5:$D104,101-60):$D104),"")</f>
        <v>1032200</v>
      </c>
      <c r="N104" s="45" t="n">
        <f aca="false">IF(AND(ISNUMBER($G104),$G104&gt;=60),MIN(INDEX($E$5:$E104,101-60):$E104),"")</f>
        <v>941688</v>
      </c>
      <c r="O104" s="46" t="n">
        <f aca="false">IF(OR(NOT(ISNUMBER($C104)),NOT(ISNUMBER($M104)),$M104=0),"",$C104/$M104-1)</f>
        <v>-0.00400213136988958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1021202</v>
      </c>
      <c r="D105" s="42" t="n">
        <v>1021699</v>
      </c>
      <c r="E105" s="42" t="n">
        <v>1020936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-0.00667951275643952</v>
      </c>
      <c r="I105" s="45" t="n">
        <f aca="false">IF(AND(ISNUMBER($G105),$G105&gt;=MA_SHORT),AVERAGE(INDEX($C$5:$C105,102-MA_SHORT):$C105),"")</f>
        <v>1010513</v>
      </c>
      <c r="J105" s="45" t="n">
        <f aca="false">IF(AND(ISNUMBER($G105),$G105&gt;=MA_MED),AVERAGE(INDEX($C$5:$C105,102-MA_MED):$C105),"")</f>
        <v>982113.8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0.120283373509121</v>
      </c>
      <c r="M105" s="45" t="n">
        <f aca="false">IF(AND(ISNUMBER($G105),$G105&gt;=60),MAX(INDEX($D$5:$D105,102-60):$D105),"")</f>
        <v>1032200</v>
      </c>
      <c r="N105" s="45" t="n">
        <f aca="false">IF(AND(ISNUMBER($G105),$G105&gt;=60),MIN(INDEX($E$5:$E105,102-60):$E105),"")</f>
        <v>941688</v>
      </c>
      <c r="O105" s="46" t="n">
        <f aca="false">IF(OR(NOT(ISNUMBER($C105)),NOT(ISNUMBER($M105)),$M105=0),"",$C105/$M105-1)</f>
        <v>-0.010654911838791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1036587</v>
      </c>
      <c r="D106" s="42" t="n">
        <v>1039095</v>
      </c>
      <c r="E106" s="42" t="n">
        <v>1035620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0.0150655795817085</v>
      </c>
      <c r="I106" s="45" t="n">
        <f aca="false">IF(AND(ISNUMBER($G106),$G106&gt;=MA_SHORT),AVERAGE(INDEX($C$5:$C106,103-MA_SHORT):$C106),"")</f>
        <v>1012350.3</v>
      </c>
      <c r="J106" s="45" t="n">
        <f aca="false">IF(AND(ISNUMBER($G106),$G106&gt;=MA_MED),AVERAGE(INDEX($C$5:$C106,103-MA_MED):$C106),"")</f>
        <v>983263.22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0.125188776288013</v>
      </c>
      <c r="M106" s="45" t="n">
        <f aca="false">IF(AND(ISNUMBER($G106),$G106&gt;=60),MAX(INDEX($D$5:$D106,103-60):$D106),"")</f>
        <v>1039095</v>
      </c>
      <c r="N106" s="45" t="n">
        <f aca="false">IF(AND(ISNUMBER($G106),$G106&gt;=60),MIN(INDEX($E$5:$E106,103-60):$E106),"")</f>
        <v>941688</v>
      </c>
      <c r="O106" s="46" t="n">
        <f aca="false">IF(OR(NOT(ISNUMBER($C106)),NOT(ISNUMBER($M106)),$M106=0),"",$C106/$M106-1)</f>
        <v>-0.00241363879144829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1041665</v>
      </c>
      <c r="D107" s="42" t="n">
        <v>1044241</v>
      </c>
      <c r="E107" s="42" t="n">
        <v>1034311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0.00489876874782347</v>
      </c>
      <c r="I107" s="45" t="n">
        <f aca="false">IF(AND(ISNUMBER($G107),$G107&gt;=MA_SHORT),AVERAGE(INDEX($C$5:$C107,104-MA_SHORT):$C107),"")</f>
        <v>1014785.25</v>
      </c>
      <c r="J107" s="45" t="n">
        <f aca="false">IF(AND(ISNUMBER($G107),$G107&gt;=MA_MED),AVERAGE(INDEX($C$5:$C107,104-MA_MED):$C107),"")</f>
        <v>984559.96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0.121346204584076</v>
      </c>
      <c r="M107" s="45" t="n">
        <f aca="false">IF(AND(ISNUMBER($G107),$G107&gt;=60),MAX(INDEX($D$5:$D107,104-60):$D107),"")</f>
        <v>1044241</v>
      </c>
      <c r="N107" s="45" t="n">
        <f aca="false">IF(AND(ISNUMBER($G107),$G107&gt;=60),MIN(INDEX($E$5:$E107,104-60):$E107),"")</f>
        <v>941688</v>
      </c>
      <c r="O107" s="46" t="n">
        <f aca="false">IF(OR(NOT(ISNUMBER($C107)),NOT(ISNUMBER($M107)),$M107=0),"",$C107/$M107-1)</f>
        <v>-0.00246686349223979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1044183</v>
      </c>
      <c r="D108" s="42" t="n">
        <v>1049399</v>
      </c>
      <c r="E108" s="42" t="n">
        <v>1037921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0.00241728386765416</v>
      </c>
      <c r="I108" s="45" t="n">
        <f aca="false">IF(AND(ISNUMBER($G108),$G108&gt;=MA_SHORT),AVERAGE(INDEX($C$5:$C108,105-MA_SHORT):$C108),"")</f>
        <v>1017114.85</v>
      </c>
      <c r="J108" s="45" t="n">
        <f aca="false">IF(AND(ISNUMBER($G108),$G108&gt;=MA_MED),AVERAGE(INDEX($C$5:$C108,105-MA_MED):$C108),"")</f>
        <v>985930.86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0.12106775683463</v>
      </c>
      <c r="M108" s="45" t="n">
        <f aca="false">IF(AND(ISNUMBER($G108),$G108&gt;=60),MAX(INDEX($D$5:$D108,105-60):$D108),"")</f>
        <v>1049399</v>
      </c>
      <c r="N108" s="45" t="n">
        <f aca="false">IF(AND(ISNUMBER($G108),$G108&gt;=60),MIN(INDEX($E$5:$E108,105-60):$E108),"")</f>
        <v>941688</v>
      </c>
      <c r="O108" s="46" t="n">
        <f aca="false">IF(OR(NOT(ISNUMBER($C108)),NOT(ISNUMBER($M108)),$M108=0),"",$C108/$M108-1)</f>
        <v>-0.00497046404656376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1047060</v>
      </c>
      <c r="D109" s="42" t="n">
        <v>1047592</v>
      </c>
      <c r="E109" s="42" t="n">
        <v>1044934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0.00275526416346561</v>
      </c>
      <c r="I109" s="45" t="n">
        <f aca="false">IF(AND(ISNUMBER($G109),$G109&gt;=MA_SHORT),AVERAGE(INDEX($C$5:$C109,106-MA_SHORT):$C109),"")</f>
        <v>1019286.45</v>
      </c>
      <c r="J109" s="45" t="n">
        <f aca="false">IF(AND(ISNUMBER($G109),$G109&gt;=MA_MED),AVERAGE(INDEX($C$5:$C109,106-MA_MED):$C109),"")</f>
        <v>987754.1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0.120302599219402</v>
      </c>
      <c r="M109" s="45" t="n">
        <f aca="false">IF(AND(ISNUMBER($G109),$G109&gt;=60),MAX(INDEX($D$5:$D109,106-60):$D109),"")</f>
        <v>1049399</v>
      </c>
      <c r="N109" s="45" t="n">
        <f aca="false">IF(AND(ISNUMBER($G109),$G109&gt;=60),MIN(INDEX($E$5:$E109,106-60):$E109),"")</f>
        <v>941688</v>
      </c>
      <c r="O109" s="46" t="n">
        <f aca="false">IF(OR(NOT(ISNUMBER($C109)),NOT(ISNUMBER($M109)),$M109=0),"",$C109/$M109-1)</f>
        <v>-0.00222889482456146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1061548</v>
      </c>
      <c r="D110" s="42" t="n">
        <v>1067949</v>
      </c>
      <c r="E110" s="42" t="n">
        <v>1057355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0.0138368383855749</v>
      </c>
      <c r="I110" s="45" t="n">
        <f aca="false">IF(AND(ISNUMBER($G110),$G110&gt;=MA_SHORT),AVERAGE(INDEX($C$5:$C110,107-MA_SHORT):$C110),"")</f>
        <v>1022048.95</v>
      </c>
      <c r="J110" s="45" t="n">
        <f aca="false">IF(AND(ISNUMBER($G110),$G110&gt;=MA_MED),AVERAGE(INDEX($C$5:$C110,107-MA_MED):$C110),"")</f>
        <v>990032.1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0.127084404740848</v>
      </c>
      <c r="M110" s="45" t="n">
        <f aca="false">IF(AND(ISNUMBER($G110),$G110&gt;=60),MAX(INDEX($D$5:$D110,107-60):$D110),"")</f>
        <v>1067949</v>
      </c>
      <c r="N110" s="45" t="n">
        <f aca="false">IF(AND(ISNUMBER($G110),$G110&gt;=60),MIN(INDEX($E$5:$E110,107-60):$E110),"")</f>
        <v>941688</v>
      </c>
      <c r="O110" s="46" t="n">
        <f aca="false">IF(OR(NOT(ISNUMBER($C110)),NOT(ISNUMBER($M110)),$M110=0),"",$C110/$M110-1)</f>
        <v>-0.00599373191041897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1057507</v>
      </c>
      <c r="D111" s="42" t="n">
        <v>1061725</v>
      </c>
      <c r="E111" s="42" t="n">
        <v>1049395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-0.00380670492526014</v>
      </c>
      <c r="I111" s="45" t="n">
        <f aca="false">IF(AND(ISNUMBER($G111),$G111&gt;=MA_SHORT),AVERAGE(INDEX($C$5:$C111,108-MA_SHORT):$C111),"")</f>
        <v>1024959.45</v>
      </c>
      <c r="J111" s="45" t="n">
        <f aca="false">IF(AND(ISNUMBER($G111),$G111&gt;=MA_MED),AVERAGE(INDEX($C$5:$C111,108-MA_MED):$C111),"")</f>
        <v>992087.06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0.124445974594403</v>
      </c>
      <c r="M111" s="45" t="n">
        <f aca="false">IF(AND(ISNUMBER($G111),$G111&gt;=60),MAX(INDEX($D$5:$D111,108-60):$D111),"")</f>
        <v>1067949</v>
      </c>
      <c r="N111" s="45" t="n">
        <f aca="false">IF(AND(ISNUMBER($G111),$G111&gt;=60),MIN(INDEX($E$5:$E111,108-60):$E111),"")</f>
        <v>941688</v>
      </c>
      <c r="O111" s="46" t="n">
        <f aca="false">IF(OR(NOT(ISNUMBER($C111)),NOT(ISNUMBER($M111)),$M111=0),"",$C111/$M111-1)</f>
        <v>-0.00977762046689501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1040188</v>
      </c>
      <c r="D112" s="42" t="n">
        <v>1045987</v>
      </c>
      <c r="E112" s="42" t="n">
        <v>1034896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-0.0163771965575642</v>
      </c>
      <c r="I112" s="45" t="n">
        <f aca="false">IF(AND(ISNUMBER($G112),$G112&gt;=MA_SHORT),AVERAGE(INDEX($C$5:$C112,109-MA_SHORT):$C112),"")</f>
        <v>1027048.55</v>
      </c>
      <c r="J112" s="45" t="n">
        <f aca="false">IF(AND(ISNUMBER($G112),$G112&gt;=MA_MED),AVERAGE(INDEX($C$5:$C112,109-MA_MED):$C112),"")</f>
        <v>993794.54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0.14115447819769</v>
      </c>
      <c r="M112" s="45" t="n">
        <f aca="false">IF(AND(ISNUMBER($G112),$G112&gt;=60),MAX(INDEX($D$5:$D112,109-60):$D112),"")</f>
        <v>1067949</v>
      </c>
      <c r="N112" s="45" t="n">
        <f aca="false">IF(AND(ISNUMBER($G112),$G112&gt;=60),MIN(INDEX($E$5:$E112,109-60):$E112),"")</f>
        <v>941688</v>
      </c>
      <c r="O112" s="46" t="n">
        <f aca="false">IF(OR(NOT(ISNUMBER($C112)),NOT(ISNUMBER($M112)),$M112=0),"",$C112/$M112-1)</f>
        <v>-0.0259946870122075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1044491</v>
      </c>
      <c r="D113" s="42" t="n">
        <v>1046512</v>
      </c>
      <c r="E113" s="42" t="n">
        <v>1042163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0.00413675220248644</v>
      </c>
      <c r="I113" s="45" t="n">
        <f aca="false">IF(AND(ISNUMBER($G113),$G113&gt;=MA_SHORT),AVERAGE(INDEX($C$5:$C113,110-MA_SHORT):$C113),"")</f>
        <v>1028615.95</v>
      </c>
      <c r="J113" s="45" t="n">
        <f aca="false">IF(AND(ISNUMBER($G113),$G113&gt;=MA_MED),AVERAGE(INDEX($C$5:$C113,110-MA_MED):$C113),"")</f>
        <v>995746.88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0.133550893339882</v>
      </c>
      <c r="M113" s="45" t="n">
        <f aca="false">IF(AND(ISNUMBER($G113),$G113&gt;=60),MAX(INDEX($D$5:$D113,110-60):$D113),"")</f>
        <v>1067949</v>
      </c>
      <c r="N113" s="45" t="n">
        <f aca="false">IF(AND(ISNUMBER($G113),$G113&gt;=60),MIN(INDEX($E$5:$E113,110-60):$E113),"")</f>
        <v>941688</v>
      </c>
      <c r="O113" s="46" t="n">
        <f aca="false">IF(OR(NOT(ISNUMBER($C113)),NOT(ISNUMBER($M113)),$M113=0),"",$C113/$M113-1)</f>
        <v>-0.0219654683884717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1054479</v>
      </c>
      <c r="D114" s="42" t="n">
        <v>1056287</v>
      </c>
      <c r="E114" s="42" t="n">
        <v>1050983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0.00956255247771409</v>
      </c>
      <c r="I114" s="45" t="n">
        <f aca="false">IF(AND(ISNUMBER($G114),$G114&gt;=MA_SHORT),AVERAGE(INDEX($C$5:$C114,111-MA_SHORT):$C114),"")</f>
        <v>1030520.95</v>
      </c>
      <c r="J114" s="45" t="n">
        <f aca="false">IF(AND(ISNUMBER($G114),$G114&gt;=MA_MED),AVERAGE(INDEX($C$5:$C114,111-MA_MED):$C114),"")</f>
        <v>997510.56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0.136386051579528</v>
      </c>
      <c r="M114" s="45" t="n">
        <f aca="false">IF(AND(ISNUMBER($G114),$G114&gt;=60),MAX(INDEX($D$5:$D114,111-60):$D114),"")</f>
        <v>1067949</v>
      </c>
      <c r="N114" s="45" t="n">
        <f aca="false">IF(AND(ISNUMBER($G114),$G114&gt;=60),MIN(INDEX($E$5:$E114,111-60):$E114),"")</f>
        <v>941688</v>
      </c>
      <c r="O114" s="46" t="n">
        <f aca="false">IF(OR(NOT(ISNUMBER($C114)),NOT(ISNUMBER($M114)),$M114=0),"",$C114/$M114-1)</f>
        <v>-0.01261296185492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1055182</v>
      </c>
      <c r="D115" s="42" t="n">
        <v>1057350</v>
      </c>
      <c r="E115" s="42" t="n">
        <v>1053646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0.000666679943365445</v>
      </c>
      <c r="I115" s="45" t="n">
        <f aca="false">IF(AND(ISNUMBER($G115),$G115&gt;=MA_SHORT),AVERAGE(INDEX($C$5:$C115,112-MA_SHORT):$C115),"")</f>
        <v>1032381.65</v>
      </c>
      <c r="J115" s="45" t="n">
        <f aca="false">IF(AND(ISNUMBER($G115),$G115&gt;=MA_MED),AVERAGE(INDEX($C$5:$C115,112-MA_MED):$C115),"")</f>
        <v>999354.34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0.13644880413042</v>
      </c>
      <c r="M115" s="45" t="n">
        <f aca="false">IF(AND(ISNUMBER($G115),$G115&gt;=60),MAX(INDEX($D$5:$D115,112-60):$D115),"")</f>
        <v>1067949</v>
      </c>
      <c r="N115" s="45" t="n">
        <f aca="false">IF(AND(ISNUMBER($G115),$G115&gt;=60),MIN(INDEX($E$5:$E115,112-60):$E115),"")</f>
        <v>941688</v>
      </c>
      <c r="O115" s="46" t="n">
        <f aca="false">IF(OR(NOT(ISNUMBER($C115)),NOT(ISNUMBER($M115)),$M115=0),"",$C115/$M115-1)</f>
        <v>-0.0119546907202498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1047937</v>
      </c>
      <c r="D116" s="42" t="n">
        <v>1049770</v>
      </c>
      <c r="E116" s="42" t="n">
        <v>1047553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-0.00686611409216609</v>
      </c>
      <c r="I116" s="45" t="n">
        <f aca="false">IF(AND(ISNUMBER($G116),$G116&gt;=MA_SHORT),AVERAGE(INDEX($C$5:$C116,113-MA_SHORT):$C116),"")</f>
        <v>1033887.55</v>
      </c>
      <c r="J116" s="45" t="n">
        <f aca="false">IF(AND(ISNUMBER($G116),$G116&gt;=MA_MED),AVERAGE(INDEX($C$5:$C116,113-MA_MED):$C116),"")</f>
        <v>1000965.5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0.139694096545907</v>
      </c>
      <c r="M116" s="45" t="n">
        <f aca="false">IF(AND(ISNUMBER($G116),$G116&gt;=60),MAX(INDEX($D$5:$D116,113-60):$D116),"")</f>
        <v>1067949</v>
      </c>
      <c r="N116" s="45" t="n">
        <f aca="false">IF(AND(ISNUMBER($G116),$G116&gt;=60),MIN(INDEX($E$5:$E116,113-60):$E116),"")</f>
        <v>941688</v>
      </c>
      <c r="O116" s="46" t="n">
        <f aca="false">IF(OR(NOT(ISNUMBER($C116)),NOT(ISNUMBER($M116)),$M116=0),"",$C116/$M116-1)</f>
        <v>-0.018738722541994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1046851</v>
      </c>
      <c r="D117" s="42" t="n">
        <v>1047576</v>
      </c>
      <c r="E117" s="42" t="n">
        <v>1044785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-0.00103632183995794</v>
      </c>
      <c r="I117" s="45" t="n">
        <f aca="false">IF(AND(ISNUMBER($G117),$G117&gt;=MA_SHORT),AVERAGE(INDEX($C$5:$C117,114-MA_SHORT):$C117),"")</f>
        <v>1036079.9</v>
      </c>
      <c r="J117" s="45" t="n">
        <f aca="false">IF(AND(ISNUMBER($G117),$G117&gt;=MA_MED),AVERAGE(INDEX($C$5:$C117,114-MA_MED):$C117),"")</f>
        <v>1002881.06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0.127108445135897</v>
      </c>
      <c r="M117" s="45" t="n">
        <f aca="false">IF(AND(ISNUMBER($G117),$G117&gt;=60),MAX(INDEX($D$5:$D117,114-60):$D117),"")</f>
        <v>1067949</v>
      </c>
      <c r="N117" s="45" t="n">
        <f aca="false">IF(AND(ISNUMBER($G117),$G117&gt;=60),MIN(INDEX($E$5:$E117,114-60):$E117),"")</f>
        <v>941688</v>
      </c>
      <c r="O117" s="46" t="n">
        <f aca="false">IF(OR(NOT(ISNUMBER($C117)),NOT(ISNUMBER($M117)),$M117=0),"",$C117/$M117-1)</f>
        <v>-0.0197556250345288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1049760</v>
      </c>
      <c r="D118" s="42" t="n">
        <v>1051095</v>
      </c>
      <c r="E118" s="42" t="n">
        <v>1044273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0.00277880997391233</v>
      </c>
      <c r="I118" s="45" t="n">
        <f aca="false">IF(AND(ISNUMBER($G118),$G118&gt;=MA_SHORT),AVERAGE(INDEX($C$5:$C118,115-MA_SHORT):$C118),"")</f>
        <v>1038540.35</v>
      </c>
      <c r="J118" s="45" t="n">
        <f aca="false">IF(AND(ISNUMBER($G118),$G118&gt;=MA_MED),AVERAGE(INDEX($C$5:$C118,115-MA_MED):$C118),"")</f>
        <v>1004945.84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0.125970745598763</v>
      </c>
      <c r="M118" s="45" t="n">
        <f aca="false">IF(AND(ISNUMBER($G118),$G118&gt;=60),MAX(INDEX($D$5:$D118,115-60):$D118),"")</f>
        <v>1067949</v>
      </c>
      <c r="N118" s="45" t="n">
        <f aca="false">IF(AND(ISNUMBER($G118),$G118&gt;=60),MIN(INDEX($E$5:$E118,115-60):$E118),"")</f>
        <v>941688</v>
      </c>
      <c r="O118" s="46" t="n">
        <f aca="false">IF(OR(NOT(ISNUMBER($C118)),NOT(ISNUMBER($M118)),$M118=0),"",$C118/$M118-1)</f>
        <v>-0.0170317121885034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1035753</v>
      </c>
      <c r="D119" s="42" t="n">
        <v>1036196</v>
      </c>
      <c r="E119" s="42" t="n">
        <v>1030463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-0.0133430498399634</v>
      </c>
      <c r="I119" s="45" t="n">
        <f aca="false">IF(AND(ISNUMBER($G119),$G119&gt;=MA_SHORT),AVERAGE(INDEX($C$5:$C119,116-MA_SHORT):$C119),"")</f>
        <v>1039837.9</v>
      </c>
      <c r="J119" s="45" t="n">
        <f aca="false">IF(AND(ISNUMBER($G119),$G119&gt;=MA_MED),AVERAGE(INDEX($C$5:$C119,116-MA_MED):$C119),"")</f>
        <v>1006674.3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0.134726007279368</v>
      </c>
      <c r="M119" s="45" t="n">
        <f aca="false">IF(AND(ISNUMBER($G119),$G119&gt;=60),MAX(INDEX($D$5:$D119,116-60):$D119),"")</f>
        <v>1067949</v>
      </c>
      <c r="N119" s="45" t="n">
        <f aca="false">IF(AND(ISNUMBER($G119),$G119&gt;=60),MIN(INDEX($E$5:$E119,116-60):$E119),"")</f>
        <v>941688</v>
      </c>
      <c r="O119" s="46" t="n">
        <f aca="false">IF(OR(NOT(ISNUMBER($C119)),NOT(ISNUMBER($M119)),$M119=0),"",$C119/$M119-1)</f>
        <v>-0.0301475070438757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1024584</v>
      </c>
      <c r="D120" s="42" t="n">
        <v>1026414</v>
      </c>
      <c r="E120" s="42" t="n">
        <v>1022892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-0.0107834589907053</v>
      </c>
      <c r="I120" s="45" t="n">
        <f aca="false">IF(AND(ISNUMBER($G120),$G120&gt;=MA_SHORT),AVERAGE(INDEX($C$5:$C120,117-MA_SHORT):$C120),"")</f>
        <v>1039831.65</v>
      </c>
      <c r="J120" s="45" t="n">
        <f aca="false">IF(AND(ISNUMBER($G120),$G120&gt;=MA_MED),AVERAGE(INDEX($C$5:$C120,117-MA_MED):$C120),"")</f>
        <v>1008071.9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0.131450605795187</v>
      </c>
      <c r="M120" s="45" t="n">
        <f aca="false">IF(AND(ISNUMBER($G120),$G120&gt;=60),MAX(INDEX($D$5:$D120,117-60):$D120),"")</f>
        <v>1067949</v>
      </c>
      <c r="N120" s="45" t="n">
        <f aca="false">IF(AND(ISNUMBER($G120),$G120&gt;=60),MIN(INDEX($E$5:$E120,117-60):$E120),"")</f>
        <v>941688</v>
      </c>
      <c r="O120" s="46" t="n">
        <f aca="false">IF(OR(NOT(ISNUMBER($C120)),NOT(ISNUMBER($M120)),$M120=0),"",$C120/$M120-1)</f>
        <v>-0.0406058716287013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1003706</v>
      </c>
      <c r="D121" s="42" t="n">
        <v>1006456</v>
      </c>
      <c r="E121" s="42" t="n">
        <v>1002859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-0.0203770505883364</v>
      </c>
      <c r="I121" s="45" t="n">
        <f aca="false">IF(AND(ISNUMBER($G121),$G121&gt;=MA_SHORT),AVERAGE(INDEX($C$5:$C121,118-MA_SHORT):$C121),"")</f>
        <v>1039143.85</v>
      </c>
      <c r="J121" s="45" t="n">
        <f aca="false">IF(AND(ISNUMBER($G121),$G121&gt;=MA_MED),AVERAGE(INDEX($C$5:$C121,118-MA_MED):$C121),"")</f>
        <v>1009055.26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0.147931734893526</v>
      </c>
      <c r="M121" s="45" t="n">
        <f aca="false">IF(AND(ISNUMBER($G121),$G121&gt;=60),MAX(INDEX($D$5:$D121,118-60):$D121),"")</f>
        <v>1067949</v>
      </c>
      <c r="N121" s="45" t="n">
        <f aca="false">IF(AND(ISNUMBER($G121),$G121&gt;=60),MIN(INDEX($E$5:$E121,118-60):$E121),"")</f>
        <v>941688</v>
      </c>
      <c r="O121" s="46" t="n">
        <f aca="false">IF(OR(NOT(ISNUMBER($C121)),NOT(ISNUMBER($M121)),$M121=0),"",$C121/$M121-1)</f>
        <v>-0.0601554943166762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1002529</v>
      </c>
      <c r="D122" s="42" t="n">
        <v>1008067</v>
      </c>
      <c r="E122" s="42" t="n">
        <v>999403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-0.00117265414374323</v>
      </c>
      <c r="I122" s="45" t="n">
        <f aca="false">IF(AND(ISNUMBER($G122),$G122&gt;=MA_SHORT),AVERAGE(INDEX($C$5:$C122,119-MA_SHORT):$C122),"")</f>
        <v>1038356.5</v>
      </c>
      <c r="J122" s="45" t="n">
        <f aca="false">IF(AND(ISNUMBER($G122),$G122&gt;=MA_MED),AVERAGE(INDEX($C$5:$C122,119-MA_MED):$C122),"")</f>
        <v>1010238.62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0.14784559362744</v>
      </c>
      <c r="M122" s="45" t="n">
        <f aca="false">IF(AND(ISNUMBER($G122),$G122&gt;=60),MAX(INDEX($D$5:$D122,119-60):$D122),"")</f>
        <v>1067949</v>
      </c>
      <c r="N122" s="45" t="n">
        <f aca="false">IF(AND(ISNUMBER($G122),$G122&gt;=60),MIN(INDEX($E$5:$E122,119-60):$E122),"")</f>
        <v>941688</v>
      </c>
      <c r="O122" s="46" t="n">
        <f aca="false">IF(OR(NOT(ISNUMBER($C122)),NOT(ISNUMBER($M122)),$M122=0),"",$C122/$M122-1)</f>
        <v>-0.0612576068707401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998176</v>
      </c>
      <c r="D123" s="42" t="n">
        <v>1000158</v>
      </c>
      <c r="E123" s="42" t="n">
        <v>998172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-0.00434201903386333</v>
      </c>
      <c r="I123" s="45" t="n">
        <f aca="false">IF(AND(ISNUMBER($G123),$G123&gt;=MA_SHORT),AVERAGE(INDEX($C$5:$C123,120-MA_SHORT):$C123),"")</f>
        <v>1037072.85</v>
      </c>
      <c r="J123" s="45" t="n">
        <f aca="false">IF(AND(ISNUMBER($G123),$G123&gt;=MA_MED),AVERAGE(INDEX($C$5:$C123,120-MA_MED):$C123),"")</f>
        <v>1011163.62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0.146515058800611</v>
      </c>
      <c r="M123" s="45" t="n">
        <f aca="false">IF(AND(ISNUMBER($G123),$G123&gt;=60),MAX(INDEX($D$5:$D123,120-60):$D123),"")</f>
        <v>1067949</v>
      </c>
      <c r="N123" s="45" t="n">
        <f aca="false">IF(AND(ISNUMBER($G123),$G123&gt;=60),MIN(INDEX($E$5:$E123,120-60):$E123),"")</f>
        <v>941688</v>
      </c>
      <c r="O123" s="46" t="n">
        <f aca="false">IF(OR(NOT(ISNUMBER($C123)),NOT(ISNUMBER($M123)),$M123=0),"",$C123/$M123-1)</f>
        <v>-0.0653336442096018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998976</v>
      </c>
      <c r="D124" s="42" t="n">
        <v>1004198</v>
      </c>
      <c r="E124" s="42" t="n">
        <v>993886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0.000801461866444475</v>
      </c>
      <c r="I124" s="45" t="n">
        <f aca="false">IF(AND(ISNUMBER($G124),$G124&gt;=MA_SHORT),AVERAGE(INDEX($C$5:$C124,121-MA_SHORT):$C124),"")</f>
        <v>1035618.2</v>
      </c>
      <c r="J124" s="45" t="n">
        <f aca="false">IF(AND(ISNUMBER($G124),$G124&gt;=MA_MED),AVERAGE(INDEX($C$5:$C124,121-MA_MED):$C124),"")</f>
        <v>1012113.04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0.145408718249995</v>
      </c>
      <c r="M124" s="45" t="n">
        <f aca="false">IF(AND(ISNUMBER($G124),$G124&gt;=60),MAX(INDEX($D$5:$D124,121-60):$D124),"")</f>
        <v>1067949</v>
      </c>
      <c r="N124" s="45" t="n">
        <f aca="false">IF(AND(ISNUMBER($G124),$G124&gt;=60),MIN(INDEX($E$5:$E124,121-60):$E124),"")</f>
        <v>941688</v>
      </c>
      <c r="O124" s="46" t="n">
        <f aca="false">IF(OR(NOT(ISNUMBER($C124)),NOT(ISNUMBER($M124)),$M124=0),"",$C124/$M124-1)</f>
        <v>-0.0645845447675872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998395</v>
      </c>
      <c r="D125" s="42" t="n">
        <v>998462</v>
      </c>
      <c r="E125" s="42" t="n">
        <v>994460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-0.000581595553847181</v>
      </c>
      <c r="I125" s="45" t="n">
        <f aca="false">IF(AND(ISNUMBER($G125),$G125&gt;=MA_SHORT),AVERAGE(INDEX($C$5:$C125,122-MA_SHORT):$C125),"")</f>
        <v>1034477.85</v>
      </c>
      <c r="J125" s="45" t="n">
        <f aca="false">IF(AND(ISNUMBER($G125),$G125&gt;=MA_MED),AVERAGE(INDEX($C$5:$C125,122-MA_MED):$C125),"")</f>
        <v>1012994.36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0.144110620107399</v>
      </c>
      <c r="M125" s="45" t="n">
        <f aca="false">IF(AND(ISNUMBER($G125),$G125&gt;=60),MAX(INDEX($D$5:$D125,122-60):$D125),"")</f>
        <v>1067949</v>
      </c>
      <c r="N125" s="45" t="n">
        <f aca="false">IF(AND(ISNUMBER($G125),$G125&gt;=60),MIN(INDEX($E$5:$E125,122-60):$E125),"")</f>
        <v>941688</v>
      </c>
      <c r="O125" s="46" t="n">
        <f aca="false">IF(OR(NOT(ISNUMBER($C125)),NOT(ISNUMBER($M125)),$M125=0),"",$C125/$M125-1)</f>
        <v>-0.0651285782373503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996387</v>
      </c>
      <c r="D126" s="42" t="n">
        <v>996914</v>
      </c>
      <c r="E126" s="42" t="n">
        <v>992250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-0.00201122802097364</v>
      </c>
      <c r="I126" s="45" t="n">
        <f aca="false">IF(AND(ISNUMBER($G126),$G126&gt;=MA_SHORT),AVERAGE(INDEX($C$5:$C126,123-MA_SHORT):$C126),"")</f>
        <v>1032467.85</v>
      </c>
      <c r="J126" s="45" t="n">
        <f aca="false">IF(AND(ISNUMBER($G126),$G126&gt;=MA_MED),AVERAGE(INDEX($C$5:$C126,123-MA_MED):$C126),"")</f>
        <v>1013750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0.131247783528282</v>
      </c>
      <c r="M126" s="45" t="n">
        <f aca="false">IF(AND(ISNUMBER($G126),$G126&gt;=60),MAX(INDEX($D$5:$D126,123-60):$D126),"")</f>
        <v>1067949</v>
      </c>
      <c r="N126" s="45" t="n">
        <f aca="false">IF(AND(ISNUMBER($G126),$G126&gt;=60),MIN(INDEX($E$5:$E126,123-60):$E126),"")</f>
        <v>941688</v>
      </c>
      <c r="O126" s="46" t="n">
        <f aca="false">IF(OR(NOT(ISNUMBER($C126)),NOT(ISNUMBER($M126)),$M126=0),"",$C126/$M126-1)</f>
        <v>-0.0670088178368068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1011481</v>
      </c>
      <c r="D127" s="42" t="n">
        <v>1012527</v>
      </c>
      <c r="E127" s="42" t="n">
        <v>1008738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0.015148732370053</v>
      </c>
      <c r="I127" s="45" t="n">
        <f aca="false">IF(AND(ISNUMBER($G127),$G127&gt;=MA_SHORT),AVERAGE(INDEX($C$5:$C127,124-MA_SHORT):$C127),"")</f>
        <v>1030958.65</v>
      </c>
      <c r="J127" s="45" t="n">
        <f aca="false">IF(AND(ISNUMBER($G127),$G127&gt;=MA_MED),AVERAGE(INDEX($C$5:$C127,124-MA_MED):$C127),"")</f>
        <v>1014573.22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0.142552879234709</v>
      </c>
      <c r="M127" s="45" t="n">
        <f aca="false">IF(AND(ISNUMBER($G127),$G127&gt;=60),MAX(INDEX($D$5:$D127,124-60):$D127),"")</f>
        <v>1067949</v>
      </c>
      <c r="N127" s="45" t="n">
        <f aca="false">IF(AND(ISNUMBER($G127),$G127&gt;=60),MIN(INDEX($E$5:$E127,124-60):$E127),"")</f>
        <v>941688</v>
      </c>
      <c r="O127" s="46" t="n">
        <f aca="false">IF(OR(NOT(ISNUMBER($C127)),NOT(ISNUMBER($M127)),$M127=0),"",$C127/$M127-1)</f>
        <v>-0.0528751841145972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1019935</v>
      </c>
      <c r="D128" s="42" t="n">
        <v>1026553</v>
      </c>
      <c r="E128" s="42" t="n">
        <v>1016634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0.00835804132751883</v>
      </c>
      <c r="I128" s="45" t="n">
        <f aca="false">IF(AND(ISNUMBER($G128),$G128&gt;=MA_SHORT),AVERAGE(INDEX($C$5:$C128,125-MA_SHORT):$C128),"")</f>
        <v>1029746.25</v>
      </c>
      <c r="J128" s="45" t="n">
        <f aca="false">IF(AND(ISNUMBER($G128),$G128&gt;=MA_MED),AVERAGE(INDEX($C$5:$C128,125-MA_MED):$C128),"")</f>
        <v>1015680.88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0.14609258290929</v>
      </c>
      <c r="M128" s="45" t="n">
        <f aca="false">IF(AND(ISNUMBER($G128),$G128&gt;=60),MAX(INDEX($D$5:$D128,125-60):$D128),"")</f>
        <v>1067949</v>
      </c>
      <c r="N128" s="45" t="n">
        <f aca="false">IF(AND(ISNUMBER($G128),$G128&gt;=60),MIN(INDEX($E$5:$E128,125-60):$E128),"")</f>
        <v>941688</v>
      </c>
      <c r="O128" s="46" t="n">
        <f aca="false">IF(OR(NOT(ISNUMBER($C128)),NOT(ISNUMBER($M128)),$M128=0),"",$C128/$M128-1)</f>
        <v>-0.0449590757611085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1020396</v>
      </c>
      <c r="D129" s="42" t="n">
        <v>1022312</v>
      </c>
      <c r="E129" s="42" t="n">
        <v>1017035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0.000451989587571866</v>
      </c>
      <c r="I129" s="45" t="n">
        <f aca="false">IF(AND(ISNUMBER($G129),$G129&gt;=MA_SHORT),AVERAGE(INDEX($C$5:$C129,126-MA_SHORT):$C129),"")</f>
        <v>1028413.05</v>
      </c>
      <c r="J129" s="45" t="n">
        <f aca="false">IF(AND(ISNUMBER($G129),$G129&gt;=MA_MED),AVERAGE(INDEX($C$5:$C129,126-MA_MED):$C129),"")</f>
        <v>1016744.64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0.145523500161511</v>
      </c>
      <c r="M129" s="45" t="n">
        <f aca="false">IF(AND(ISNUMBER($G129),$G129&gt;=60),MAX(INDEX($D$5:$D129,126-60):$D129),"")</f>
        <v>1067949</v>
      </c>
      <c r="N129" s="45" t="n">
        <f aca="false">IF(AND(ISNUMBER($G129),$G129&gt;=60),MIN(INDEX($E$5:$E129,126-60):$E129),"")</f>
        <v>941688</v>
      </c>
      <c r="O129" s="46" t="n">
        <f aca="false">IF(OR(NOT(ISNUMBER($C129)),NOT(ISNUMBER($M129)),$M129=0),"",$C129/$M129-1)</f>
        <v>-0.0445274072076476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1010072</v>
      </c>
      <c r="D130" s="42" t="n">
        <v>1011638</v>
      </c>
      <c r="E130" s="42" t="n">
        <v>1008646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-0.0101176406022759</v>
      </c>
      <c r="I130" s="45" t="n">
        <f aca="false">IF(AND(ISNUMBER($G130),$G130&gt;=MA_SHORT),AVERAGE(INDEX($C$5:$C130,127-MA_SHORT):$C130),"")</f>
        <v>1025839.25</v>
      </c>
      <c r="J130" s="45" t="n">
        <f aca="false">IF(AND(ISNUMBER($G130),$G130&gt;=MA_MED),AVERAGE(INDEX($C$5:$C130,127-MA_MED):$C130),"")</f>
        <v>1017375.46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0.137431706863991</v>
      </c>
      <c r="M130" s="45" t="n">
        <f aca="false">IF(AND(ISNUMBER($G130),$G130&gt;=60),MAX(INDEX($D$5:$D130,127-60):$D130),"")</f>
        <v>1067949</v>
      </c>
      <c r="N130" s="45" t="n">
        <f aca="false">IF(AND(ISNUMBER($G130),$G130&gt;=60),MIN(INDEX($E$5:$E130,127-60):$E130),"")</f>
        <v>941688</v>
      </c>
      <c r="O130" s="46" t="n">
        <f aca="false">IF(OR(NOT(ISNUMBER($C130)),NOT(ISNUMBER($M130)),$M130=0),"",$C130/$M130-1)</f>
        <v>-0.0541945355068454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998662</v>
      </c>
      <c r="D131" s="42" t="n">
        <v>1001675</v>
      </c>
      <c r="E131" s="42" t="n">
        <v>996633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-0.0112962244275655</v>
      </c>
      <c r="I131" s="45" t="n">
        <f aca="false">IF(AND(ISNUMBER($G131),$G131&gt;=MA_SHORT),AVERAGE(INDEX($C$5:$C131,128-MA_SHORT):$C131),"")</f>
        <v>1022897</v>
      </c>
      <c r="J131" s="45" t="n">
        <f aca="false">IF(AND(ISNUMBER($G131),$G131&gt;=MA_MED),AVERAGE(INDEX($C$5:$C131,128-MA_MED):$C131),"")</f>
        <v>1017962.26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0.140845765787784</v>
      </c>
      <c r="M131" s="45" t="n">
        <f aca="false">IF(AND(ISNUMBER($G131),$G131&gt;=60),MAX(INDEX($D$5:$D131,128-60):$D131),"")</f>
        <v>1067949</v>
      </c>
      <c r="N131" s="45" t="n">
        <f aca="false">IF(AND(ISNUMBER($G131),$G131&gt;=60),MIN(INDEX($E$5:$E131,128-60):$E131),"")</f>
        <v>941688</v>
      </c>
      <c r="O131" s="46" t="n">
        <f aca="false">IF(OR(NOT(ISNUMBER($C131)),NOT(ISNUMBER($M131)),$M131=0),"",$C131/$M131-1)</f>
        <v>-0.0648785662985779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1003132</v>
      </c>
      <c r="D132" s="42" t="n">
        <v>1009426</v>
      </c>
      <c r="E132" s="42" t="n">
        <v>998897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0.00447598887311229</v>
      </c>
      <c r="I132" s="45" t="n">
        <f aca="false">IF(AND(ISNUMBER($G132),$G132&gt;=MA_SHORT),AVERAGE(INDEX($C$5:$C132,129-MA_SHORT):$C132),"")</f>
        <v>1021044.2</v>
      </c>
      <c r="J132" s="45" t="n">
        <f aca="false">IF(AND(ISNUMBER($G132),$G132&gt;=MA_MED),AVERAGE(INDEX($C$5:$C132,129-MA_MED):$C132),"")</f>
        <v>1018559.22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0.133691937405508</v>
      </c>
      <c r="M132" s="45" t="n">
        <f aca="false">IF(AND(ISNUMBER($G132),$G132&gt;=60),MAX(INDEX($D$5:$D132,129-60):$D132),"")</f>
        <v>1067949</v>
      </c>
      <c r="N132" s="45" t="n">
        <f aca="false">IF(AND(ISNUMBER($G132),$G132&gt;=60),MIN(INDEX($E$5:$E132,129-60):$E132),"")</f>
        <v>951116</v>
      </c>
      <c r="O132" s="46" t="n">
        <f aca="false">IF(OR(NOT(ISNUMBER($C132)),NOT(ISNUMBER($M132)),$M132=0),"",$C132/$M132-1)</f>
        <v>-0.0606929731663216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1006865</v>
      </c>
      <c r="D133" s="42" t="n">
        <v>1009160</v>
      </c>
      <c r="E133" s="42" t="n">
        <v>1002910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0.00372134474824848</v>
      </c>
      <c r="I133" s="45" t="n">
        <f aca="false">IF(AND(ISNUMBER($G133),$G133&gt;=MA_SHORT),AVERAGE(INDEX($C$5:$C133,130-MA_SHORT):$C133),"")</f>
        <v>1019162.9</v>
      </c>
      <c r="J133" s="45" t="n">
        <f aca="false">IF(AND(ISNUMBER($G133),$G133&gt;=MA_MED),AVERAGE(INDEX($C$5:$C133,130-MA_MED):$C133),"")</f>
        <v>1019053.42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0.133462690572042</v>
      </c>
      <c r="M133" s="45" t="n">
        <f aca="false">IF(AND(ISNUMBER($G133),$G133&gt;=60),MAX(INDEX($D$5:$D133,130-60):$D133),"")</f>
        <v>1067949</v>
      </c>
      <c r="N133" s="45" t="n">
        <f aca="false">IF(AND(ISNUMBER($G133),$G133&gt;=60),MIN(INDEX($E$5:$E133,130-60):$E133),"")</f>
        <v>951383</v>
      </c>
      <c r="O133" s="46" t="n">
        <f aca="false">IF(OR(NOT(ISNUMBER($C133)),NOT(ISNUMBER($M133)),$M133=0),"",$C133/$M133-1)</f>
        <v>-0.0571974878950212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1004490</v>
      </c>
      <c r="D134" s="42" t="n">
        <v>1004622</v>
      </c>
      <c r="E134" s="42" t="n">
        <v>1003386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-0.00235880679137723</v>
      </c>
      <c r="I134" s="45" t="n">
        <f aca="false">IF(AND(ISNUMBER($G134),$G134&gt;=MA_SHORT),AVERAGE(INDEX($C$5:$C134,131-MA_SHORT):$C134),"")</f>
        <v>1016663.45</v>
      </c>
      <c r="J134" s="45" t="n">
        <f aca="false">IF(AND(ISNUMBER($G134),$G134&gt;=MA_MED),AVERAGE(INDEX($C$5:$C134,131-MA_MED):$C134),"")</f>
        <v>1019205.58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0.12672989586683</v>
      </c>
      <c r="M134" s="45" t="n">
        <f aca="false">IF(AND(ISNUMBER($G134),$G134&gt;=60),MAX(INDEX($D$5:$D134,131-60):$D134),"")</f>
        <v>1067949</v>
      </c>
      <c r="N134" s="45" t="n">
        <f aca="false">IF(AND(ISNUMBER($G134),$G134&gt;=60),MIN(INDEX($E$5:$E134,131-60):$E134),"")</f>
        <v>953575</v>
      </c>
      <c r="O134" s="46" t="n">
        <f aca="false">IF(OR(NOT(ISNUMBER($C134)),NOT(ISNUMBER($M134)),$M134=0),"",$C134/$M134-1)</f>
        <v>-0.0594213768635019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1003468</v>
      </c>
      <c r="D135" s="42" t="n">
        <v>1004438</v>
      </c>
      <c r="E135" s="42" t="n">
        <v>998980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-0.00101743173152546</v>
      </c>
      <c r="I135" s="45" t="n">
        <f aca="false">IF(AND(ISNUMBER($G135),$G135&gt;=MA_SHORT),AVERAGE(INDEX($C$5:$C135,132-MA_SHORT):$C135),"")</f>
        <v>1014077.75</v>
      </c>
      <c r="J135" s="45" t="n">
        <f aca="false">IF(AND(ISNUMBER($G135),$G135&gt;=MA_MED),AVERAGE(INDEX($C$5:$C135,132-MA_MED):$C135),"")</f>
        <v>1019494.1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0.126341881618994</v>
      </c>
      <c r="M135" s="45" t="n">
        <f aca="false">IF(AND(ISNUMBER($G135),$G135&gt;=60),MAX(INDEX($D$5:$D135,132-60):$D135),"")</f>
        <v>1067949</v>
      </c>
      <c r="N135" s="45" t="n">
        <f aca="false">IF(AND(ISNUMBER($G135),$G135&gt;=60),MIN(INDEX($E$5:$E135,132-60):$E135),"")</f>
        <v>957306</v>
      </c>
      <c r="O135" s="46" t="n">
        <f aca="false">IF(OR(NOT(ISNUMBER($C135)),NOT(ISNUMBER($M135)),$M135=0),"",$C135/$M135-1)</f>
        <v>-0.0603783514006755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1001035</v>
      </c>
      <c r="D136" s="42" t="n">
        <v>1003826</v>
      </c>
      <c r="E136" s="42" t="n">
        <v>998293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-0.00242459151662033</v>
      </c>
      <c r="I136" s="45" t="n">
        <f aca="false">IF(AND(ISNUMBER($G136),$G136&gt;=MA_SHORT),AVERAGE(INDEX($C$5:$C136,133-MA_SHORT):$C136),"")</f>
        <v>1011732.65</v>
      </c>
      <c r="J136" s="45" t="n">
        <f aca="false">IF(AND(ISNUMBER($G136),$G136&gt;=MA_MED),AVERAGE(INDEX($C$5:$C136,133-MA_MED):$C136),"")</f>
        <v>1019517.98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0.125304968899527</v>
      </c>
      <c r="M136" s="45" t="n">
        <f aca="false">IF(AND(ISNUMBER($G136),$G136&gt;=60),MAX(INDEX($D$5:$D136,133-60):$D136),"")</f>
        <v>1067949</v>
      </c>
      <c r="N136" s="45" t="n">
        <f aca="false">IF(AND(ISNUMBER($G136),$G136&gt;=60),MIN(INDEX($E$5:$E136,133-60):$E136),"")</f>
        <v>962833</v>
      </c>
      <c r="O136" s="46" t="n">
        <f aca="false">IF(OR(NOT(ISNUMBER($C136)),NOT(ISNUMBER($M136)),$M136=0),"",$C136/$M136-1)</f>
        <v>-0.0626565500787023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1004010</v>
      </c>
      <c r="D137" s="42" t="n">
        <v>1004565</v>
      </c>
      <c r="E137" s="42" t="n">
        <v>1001253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0.00297192405859925</v>
      </c>
      <c r="I137" s="45" t="n">
        <f aca="false">IF(AND(ISNUMBER($G137),$G137&gt;=MA_SHORT),AVERAGE(INDEX($C$5:$C137,134-MA_SHORT):$C137),"")</f>
        <v>1009590.6</v>
      </c>
      <c r="J137" s="45" t="n">
        <f aca="false">IF(AND(ISNUMBER($G137),$G137&gt;=MA_MED),AVERAGE(INDEX($C$5:$C137,134-MA_MED):$C137),"")</f>
        <v>1019738.86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0.126586936331231</v>
      </c>
      <c r="M137" s="45" t="n">
        <f aca="false">IF(AND(ISNUMBER($G137),$G137&gt;=60),MAX(INDEX($D$5:$D137,134-60):$D137),"")</f>
        <v>1067949</v>
      </c>
      <c r="N137" s="45" t="n">
        <f aca="false">IF(AND(ISNUMBER($G137),$G137&gt;=60),MIN(INDEX($E$5:$E137,134-60):$E137),"")</f>
        <v>962833</v>
      </c>
      <c r="O137" s="46" t="n">
        <f aca="false">IF(OR(NOT(ISNUMBER($C137)),NOT(ISNUMBER($M137)),$M137=0),"",$C137/$M137-1)</f>
        <v>-0.0598708365287106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990493</v>
      </c>
      <c r="D138" s="42" t="n">
        <v>993881</v>
      </c>
      <c r="E138" s="42" t="n">
        <v>990304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-0.0134630133166004</v>
      </c>
      <c r="I138" s="45" t="n">
        <f aca="false">IF(AND(ISNUMBER($G138),$G138&gt;=MA_SHORT),AVERAGE(INDEX($C$5:$C138,135-MA_SHORT):$C138),"")</f>
        <v>1006627.25</v>
      </c>
      <c r="J138" s="45" t="n">
        <f aca="false">IF(AND(ISNUMBER($G138),$G138&gt;=MA_MED),AVERAGE(INDEX($C$5:$C138,135-MA_MED):$C138),"")</f>
        <v>1019596.9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0.131265643741041</v>
      </c>
      <c r="M138" s="45" t="n">
        <f aca="false">IF(AND(ISNUMBER($G138),$G138&gt;=60),MAX(INDEX($D$5:$D138,135-60):$D138),"")</f>
        <v>1067949</v>
      </c>
      <c r="N138" s="45" t="n">
        <f aca="false">IF(AND(ISNUMBER($G138),$G138&gt;=60),MIN(INDEX($E$5:$E138,135-60):$E138),"")</f>
        <v>962833</v>
      </c>
      <c r="O138" s="46" t="n">
        <f aca="false">IF(OR(NOT(ISNUMBER($C138)),NOT(ISNUMBER($M138)),$M138=0),"",$C138/$M138-1)</f>
        <v>-0.072527807975849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998207</v>
      </c>
      <c r="D139" s="42" t="n">
        <v>998525</v>
      </c>
      <c r="E139" s="42" t="n">
        <v>997189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0.00778804090488272</v>
      </c>
      <c r="I139" s="45" t="n">
        <f aca="false">IF(AND(ISNUMBER($G139),$G139&gt;=MA_SHORT),AVERAGE(INDEX($C$5:$C139,136-MA_SHORT):$C139),"")</f>
        <v>1004749.95</v>
      </c>
      <c r="J139" s="45" t="n">
        <f aca="false">IF(AND(ISNUMBER($G139),$G139&gt;=MA_MED),AVERAGE(INDEX($C$5:$C139,136-MA_MED):$C139),"")</f>
        <v>1019488.48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0.130353658359945</v>
      </c>
      <c r="M139" s="45" t="n">
        <f aca="false">IF(AND(ISNUMBER($G139),$G139&gt;=60),MAX(INDEX($D$5:$D139,136-60):$D139),"")</f>
        <v>1067949</v>
      </c>
      <c r="N139" s="45" t="n">
        <f aca="false">IF(AND(ISNUMBER($G139),$G139&gt;=60),MIN(INDEX($E$5:$E139,136-60):$E139),"")</f>
        <v>969222</v>
      </c>
      <c r="O139" s="46" t="n">
        <f aca="false">IF(OR(NOT(ISNUMBER($C139)),NOT(ISNUMBER($M139)),$M139=0),"",$C139/$M139-1)</f>
        <v>-0.0653046166062237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1008361</v>
      </c>
      <c r="D140" s="42" t="n">
        <v>1012560</v>
      </c>
      <c r="E140" s="42" t="n">
        <v>1007838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0.0101722388242118</v>
      </c>
      <c r="I140" s="45" t="n">
        <f aca="false">IF(AND(ISNUMBER($G140),$G140&gt;=MA_SHORT),AVERAGE(INDEX($C$5:$C140,137-MA_SHORT):$C140),"")</f>
        <v>1003938.8</v>
      </c>
      <c r="J140" s="45" t="n">
        <f aca="false">IF(AND(ISNUMBER($G140),$G140&gt;=MA_MED),AVERAGE(INDEX($C$5:$C140,137-MA_MED):$C140),"")</f>
        <v>1019529.74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0.132373466223771</v>
      </c>
      <c r="M140" s="45" t="n">
        <f aca="false">IF(AND(ISNUMBER($G140),$G140&gt;=60),MAX(INDEX($D$5:$D140,137-60):$D140),"")</f>
        <v>1067949</v>
      </c>
      <c r="N140" s="45" t="n">
        <f aca="false">IF(AND(ISNUMBER($G140),$G140&gt;=60),MIN(INDEX($E$5:$E140,137-60):$E140),"")</f>
        <v>969222</v>
      </c>
      <c r="O140" s="46" t="n">
        <f aca="false">IF(OR(NOT(ISNUMBER($C140)),NOT(ISNUMBER($M140)),$M140=0),"",$C140/$M140-1)</f>
        <v>-0.0557966719384539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1022935</v>
      </c>
      <c r="D141" s="42" t="n">
        <v>1026874</v>
      </c>
      <c r="E141" s="42" t="n">
        <v>1020423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0.0144531571530433</v>
      </c>
      <c r="I141" s="45" t="n">
        <f aca="false">IF(AND(ISNUMBER($G141),$G141&gt;=MA_SHORT),AVERAGE(INDEX($C$5:$C141,138-MA_SHORT):$C141),"")</f>
        <v>1004900.25</v>
      </c>
      <c r="J141" s="45" t="n">
        <f aca="false">IF(AND(ISNUMBER($G141),$G141&gt;=MA_MED),AVERAGE(INDEX($C$5:$C141,138-MA_MED):$C141),"")</f>
        <v>1020002.5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0.121515133014418</v>
      </c>
      <c r="M141" s="45" t="n">
        <f aca="false">IF(AND(ISNUMBER($G141),$G141&gt;=60),MAX(INDEX($D$5:$D141,138-60):$D141),"")</f>
        <v>1067949</v>
      </c>
      <c r="N141" s="45" t="n">
        <f aca="false">IF(AND(ISNUMBER($G141),$G141&gt;=60),MIN(INDEX($E$5:$E141,138-60):$E141),"")</f>
        <v>971147</v>
      </c>
      <c r="O141" s="46" t="n">
        <f aca="false">IF(OR(NOT(ISNUMBER($C141)),NOT(ISNUMBER($M141)),$M141=0),"",$C141/$M141-1)</f>
        <v>-0.0421499528535538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1035052</v>
      </c>
      <c r="D142" s="42" t="n">
        <v>1040304</v>
      </c>
      <c r="E142" s="42" t="n">
        <v>1031481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0.0118453274157204</v>
      </c>
      <c r="I142" s="45" t="n">
        <f aca="false">IF(AND(ISNUMBER($G142),$G142&gt;=MA_SHORT),AVERAGE(INDEX($C$5:$C142,139-MA_SHORT):$C142),"")</f>
        <v>1006526.4</v>
      </c>
      <c r="J142" s="45" t="n">
        <f aca="false">IF(AND(ISNUMBER($G142),$G142&gt;=MA_MED),AVERAGE(INDEX($C$5:$C142,139-MA_MED):$C142),"")</f>
        <v>1020735.42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0.12696422555085</v>
      </c>
      <c r="M142" s="45" t="n">
        <f aca="false">IF(AND(ISNUMBER($G142),$G142&gt;=60),MAX(INDEX($D$5:$D142,139-60):$D142),"")</f>
        <v>1067949</v>
      </c>
      <c r="N142" s="45" t="n">
        <f aca="false">IF(AND(ISNUMBER($G142),$G142&gt;=60),MIN(INDEX($E$5:$E142,139-60):$E142),"")</f>
        <v>979397</v>
      </c>
      <c r="O142" s="46" t="n">
        <f aca="false">IF(OR(NOT(ISNUMBER($C142)),NOT(ISNUMBER($M142)),$M142=0),"",$C142/$M142-1)</f>
        <v>-0.0308039054299409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1035753</v>
      </c>
      <c r="D143" s="42" t="n">
        <v>1036522</v>
      </c>
      <c r="E143" s="42" t="n">
        <v>1031142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0.000677260659367907</v>
      </c>
      <c r="I143" s="45" t="n">
        <f aca="false">IF(AND(ISNUMBER($G143),$G143&gt;=MA_SHORT),AVERAGE(INDEX($C$5:$C143,140-MA_SHORT):$C143),"")</f>
        <v>1008405.25</v>
      </c>
      <c r="J143" s="45" t="n">
        <f aca="false">IF(AND(ISNUMBER($G143),$G143&gt;=MA_MED),AVERAGE(INDEX($C$5:$C143,140-MA_MED):$C143),"")</f>
        <v>1021187.62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0.125122510687791</v>
      </c>
      <c r="M143" s="45" t="n">
        <f aca="false">IF(AND(ISNUMBER($G143),$G143&gt;=60),MAX(INDEX($D$5:$D143,140-60):$D143),"")</f>
        <v>1067949</v>
      </c>
      <c r="N143" s="45" t="n">
        <f aca="false">IF(AND(ISNUMBER($G143),$G143&gt;=60),MIN(INDEX($E$5:$E143,140-60):$E143),"")</f>
        <v>986904</v>
      </c>
      <c r="O143" s="46" t="n">
        <f aca="false">IF(OR(NOT(ISNUMBER($C143)),NOT(ISNUMBER($M143)),$M143=0),"",$C143/$M143-1)</f>
        <v>-0.0301475070438757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1028796</v>
      </c>
      <c r="D144" s="42" t="n">
        <v>1029396</v>
      </c>
      <c r="E144" s="42" t="n">
        <v>1025250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-0.00671685237696629</v>
      </c>
      <c r="I144" s="45" t="n">
        <f aca="false">IF(AND(ISNUMBER($G144),$G144&gt;=MA_SHORT),AVERAGE(INDEX($C$5:$C144,141-MA_SHORT):$C144),"")</f>
        <v>1009896.25</v>
      </c>
      <c r="J144" s="45" t="n">
        <f aca="false">IF(AND(ISNUMBER($G144),$G144&gt;=MA_MED),AVERAGE(INDEX($C$5:$C144,141-MA_MED):$C144),"")</f>
        <v>1021435.96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0.128674578742895</v>
      </c>
      <c r="M144" s="45" t="n">
        <f aca="false">IF(AND(ISNUMBER($G144),$G144&gt;=60),MAX(INDEX($D$5:$D144,141-60):$D144),"")</f>
        <v>1067949</v>
      </c>
      <c r="N144" s="45" t="n">
        <f aca="false">IF(AND(ISNUMBER($G144),$G144&gt;=60),MIN(INDEX($E$5:$E144,141-60):$E144),"")</f>
        <v>986904</v>
      </c>
      <c r="O144" s="46" t="n">
        <f aca="false">IF(OR(NOT(ISNUMBER($C144)),NOT(ISNUMBER($M144)),$M144=0),"",$C144/$M144-1)</f>
        <v>-0.0366618630664948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1045113</v>
      </c>
      <c r="D145" s="42" t="n">
        <v>1046740</v>
      </c>
      <c r="E145" s="42" t="n">
        <v>1044549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0.0158602871706344</v>
      </c>
      <c r="I145" s="45" t="n">
        <f aca="false">IF(AND(ISNUMBER($G145),$G145&gt;=MA_SHORT),AVERAGE(INDEX($C$5:$C145,142-MA_SHORT):$C145),"")</f>
        <v>1012232.15</v>
      </c>
      <c r="J145" s="45" t="n">
        <f aca="false">IF(AND(ISNUMBER($G145),$G145&gt;=MA_MED),AVERAGE(INDEX($C$5:$C145,142-MA_MED):$C145),"")</f>
        <v>1021978.86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0.137784172125456</v>
      </c>
      <c r="M145" s="45" t="n">
        <f aca="false">IF(AND(ISNUMBER($G145),$G145&gt;=60),MAX(INDEX($D$5:$D145,142-60):$D145),"")</f>
        <v>1067949</v>
      </c>
      <c r="N145" s="45" t="n">
        <f aca="false">IF(AND(ISNUMBER($G145),$G145&gt;=60),MIN(INDEX($E$5:$E145,142-60):$E145),"")</f>
        <v>990291</v>
      </c>
      <c r="O145" s="46" t="n">
        <f aca="false">IF(OR(NOT(ISNUMBER($C145)),NOT(ISNUMBER($M145)),$M145=0),"",$C145/$M145-1)</f>
        <v>-0.0213830435723055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1041396</v>
      </c>
      <c r="D146" s="42" t="n">
        <v>1041505</v>
      </c>
      <c r="E146" s="42" t="n">
        <v>1038593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-0.00355655321481985</v>
      </c>
      <c r="I146" s="45" t="n">
        <f aca="false">IF(AND(ISNUMBER($G146),$G146&gt;=MA_SHORT),AVERAGE(INDEX($C$5:$C146,143-MA_SHORT):$C146),"")</f>
        <v>1014482.6</v>
      </c>
      <c r="J146" s="45" t="n">
        <f aca="false">IF(AND(ISNUMBER($G146),$G146&gt;=MA_MED),AVERAGE(INDEX($C$5:$C146,143-MA_MED):$C146),"")</f>
        <v>1022450.4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0.138515633190528</v>
      </c>
      <c r="M146" s="45" t="n">
        <f aca="false">IF(AND(ISNUMBER($G146),$G146&gt;=60),MAX(INDEX($D$5:$D146,143-60):$D146),"")</f>
        <v>1067949</v>
      </c>
      <c r="N146" s="45" t="n">
        <f aca="false">IF(AND(ISNUMBER($G146),$G146&gt;=60),MIN(INDEX($E$5:$E146,143-60):$E146),"")</f>
        <v>990291</v>
      </c>
      <c r="O146" s="46" t="n">
        <f aca="false">IF(OR(NOT(ISNUMBER($C146)),NOT(ISNUMBER($M146)),$M146=0),"",$C146/$M146-1)</f>
        <v>-0.0248635468547656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1027897</v>
      </c>
      <c r="D147" s="42" t="n">
        <v>1028125</v>
      </c>
      <c r="E147" s="42" t="n">
        <v>1021174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-0.0129624081521342</v>
      </c>
      <c r="I147" s="45" t="n">
        <f aca="false">IF(AND(ISNUMBER($G147),$G147&gt;=MA_SHORT),AVERAGE(INDEX($C$5:$C147,144-MA_SHORT):$C147),"")</f>
        <v>1015303.4</v>
      </c>
      <c r="J147" s="45" t="n">
        <f aca="false">IF(AND(ISNUMBER($G147),$G147&gt;=MA_MED),AVERAGE(INDEX($C$5:$C147,144-MA_MED):$C147),"")</f>
        <v>1022948.26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0.139695347045237</v>
      </c>
      <c r="M147" s="45" t="n">
        <f aca="false">IF(AND(ISNUMBER($G147),$G147&gt;=60),MAX(INDEX($D$5:$D147,144-60):$D147),"")</f>
        <v>1067949</v>
      </c>
      <c r="N147" s="45" t="n">
        <f aca="false">IF(AND(ISNUMBER($G147),$G147&gt;=60),MIN(INDEX($E$5:$E147,144-60):$E147),"")</f>
        <v>990304</v>
      </c>
      <c r="O147" s="46" t="n">
        <f aca="false">IF(OR(NOT(ISNUMBER($C147)),NOT(ISNUMBER($M147)),$M147=0),"",$C147/$M147-1)</f>
        <v>-0.0375036635644586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1026367</v>
      </c>
      <c r="D148" s="42" t="n">
        <v>1028197</v>
      </c>
      <c r="E148" s="42" t="n">
        <v>1021119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-0.00148847598543433</v>
      </c>
      <c r="I148" s="45" t="n">
        <f aca="false">IF(AND(ISNUMBER($G148),$G148&gt;=MA_SHORT),AVERAGE(INDEX($C$5:$C148,145-MA_SHORT):$C148),"")</f>
        <v>1015625</v>
      </c>
      <c r="J148" s="45" t="n">
        <f aca="false">IF(AND(ISNUMBER($G148),$G148&gt;=MA_MED),AVERAGE(INDEX($C$5:$C148,145-MA_MED):$C148),"")</f>
        <v>1023464.58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0.137091788252515</v>
      </c>
      <c r="M148" s="45" t="n">
        <f aca="false">IF(AND(ISNUMBER($G148),$G148&gt;=60),MAX(INDEX($D$5:$D148,145-60):$D148),"")</f>
        <v>1067949</v>
      </c>
      <c r="N148" s="45" t="n">
        <f aca="false">IF(AND(ISNUMBER($G148),$G148&gt;=60),MIN(INDEX($E$5:$E148,145-60):$E148),"")</f>
        <v>990304</v>
      </c>
      <c r="O148" s="46" t="n">
        <f aca="false">IF(OR(NOT(ISNUMBER($C148)),NOT(ISNUMBER($M148)),$M148=0),"",$C148/$M148-1)</f>
        <v>-0.0389363162473114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1025572</v>
      </c>
      <c r="D149" s="42" t="n">
        <v>1027050</v>
      </c>
      <c r="E149" s="42" t="n">
        <v>1025006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-0.00077457673522241</v>
      </c>
      <c r="I149" s="45" t="n">
        <f aca="false">IF(AND(ISNUMBER($G149),$G149&gt;=MA_SHORT),AVERAGE(INDEX($C$5:$C149,146-MA_SHORT):$C149),"")</f>
        <v>1015883.8</v>
      </c>
      <c r="J149" s="45" t="n">
        <f aca="false">IF(AND(ISNUMBER($G149),$G149&gt;=MA_MED),AVERAGE(INDEX($C$5:$C149,146-MA_MED):$C149),"")</f>
        <v>1023779.98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0.13714731688345</v>
      </c>
      <c r="M149" s="45" t="n">
        <f aca="false">IF(AND(ISNUMBER($G149),$G149&gt;=60),MAX(INDEX($D$5:$D149,146-60):$D149),"")</f>
        <v>1067949</v>
      </c>
      <c r="N149" s="45" t="n">
        <f aca="false">IF(AND(ISNUMBER($G149),$G149&gt;=60),MIN(INDEX($E$5:$E149,146-60):$E149),"")</f>
        <v>990304</v>
      </c>
      <c r="O149" s="46" t="n">
        <f aca="false">IF(OR(NOT(ISNUMBER($C149)),NOT(ISNUMBER($M149)),$M149=0),"",$C149/$M149-1)</f>
        <v>-0.0396807338178135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1016536</v>
      </c>
      <c r="D150" s="42" t="n">
        <v>1017598</v>
      </c>
      <c r="E150" s="42" t="n">
        <v>1013030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-0.00881069295963621</v>
      </c>
      <c r="I150" s="45" t="n">
        <f aca="false">IF(AND(ISNUMBER($G150),$G150&gt;=MA_SHORT),AVERAGE(INDEX($C$5:$C150,147-MA_SHORT):$C150),"")</f>
        <v>1016207</v>
      </c>
      <c r="J150" s="45" t="n">
        <f aca="false">IF(AND(ISNUMBER($G150),$G150&gt;=MA_MED),AVERAGE(INDEX($C$5:$C150,147-MA_MED):$C150),"")</f>
        <v>1023616.52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0.135939452710438</v>
      </c>
      <c r="M150" s="45" t="n">
        <f aca="false">IF(AND(ISNUMBER($G150),$G150&gt;=60),MAX(INDEX($D$5:$D150,147-60):$D150),"")</f>
        <v>1067949</v>
      </c>
      <c r="N150" s="45" t="n">
        <f aca="false">IF(AND(ISNUMBER($G150),$G150&gt;=60),MIN(INDEX($E$5:$E150,147-60):$E150),"")</f>
        <v>990304</v>
      </c>
      <c r="O150" s="46" t="n">
        <f aca="false">IF(OR(NOT(ISNUMBER($C150)),NOT(ISNUMBER($M150)),$M150=0),"",$C150/$M150-1)</f>
        <v>-0.0481418120153678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1029695</v>
      </c>
      <c r="D151" s="42" t="n">
        <v>1033262</v>
      </c>
      <c r="E151" s="42" t="n">
        <v>1029268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0.0129449424319454</v>
      </c>
      <c r="I151" s="45" t="n">
        <f aca="false">IF(AND(ISNUMBER($G151),$G151&gt;=MA_SHORT),AVERAGE(INDEX($C$5:$C151,148-MA_SHORT):$C151),"")</f>
        <v>1017758.65</v>
      </c>
      <c r="J151" s="45" t="n">
        <f aca="false">IF(AND(ISNUMBER($G151),$G151&gt;=MA_MED),AVERAGE(INDEX($C$5:$C151,148-MA_MED):$C151),"")</f>
        <v>1023861.18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0.135625292478998</v>
      </c>
      <c r="M151" s="45" t="n">
        <f aca="false">IF(AND(ISNUMBER($G151),$G151&gt;=60),MAX(INDEX($D$5:$D151,148-60):$D151),"")</f>
        <v>1067949</v>
      </c>
      <c r="N151" s="45" t="n">
        <f aca="false">IF(AND(ISNUMBER($G151),$G151&gt;=60),MIN(INDEX($E$5:$E151,148-60):$E151),"")</f>
        <v>990304</v>
      </c>
      <c r="O151" s="46" t="n">
        <f aca="false">IF(OR(NOT(ISNUMBER($C151)),NOT(ISNUMBER($M151)),$M151=0),"",$C151/$M151-1)</f>
        <v>-0.0358200625685309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1026136</v>
      </c>
      <c r="D152" s="42" t="n">
        <v>1028410</v>
      </c>
      <c r="E152" s="42" t="n">
        <v>1022502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-0.0034563632920428</v>
      </c>
      <c r="I152" s="45" t="n">
        <f aca="false">IF(AND(ISNUMBER($G152),$G152&gt;=MA_SHORT),AVERAGE(INDEX($C$5:$C152,149-MA_SHORT):$C152),"")</f>
        <v>1018908.85</v>
      </c>
      <c r="J152" s="45" t="n">
        <f aca="false">IF(AND(ISNUMBER($G152),$G152&gt;=MA_MED),AVERAGE(INDEX($C$5:$C152,149-MA_MED):$C152),"")</f>
        <v>1024018.38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0.136271391602106</v>
      </c>
      <c r="M152" s="45" t="n">
        <f aca="false">IF(AND(ISNUMBER($G152),$G152&gt;=60),MAX(INDEX($D$5:$D152,149-60):$D152),"")</f>
        <v>1067949</v>
      </c>
      <c r="N152" s="45" t="n">
        <f aca="false">IF(AND(ISNUMBER($G152),$G152&gt;=60),MIN(INDEX($E$5:$E152,149-60):$E152),"")</f>
        <v>990304</v>
      </c>
      <c r="O152" s="46" t="n">
        <f aca="false">IF(OR(NOT(ISNUMBER($C152)),NOT(ISNUMBER($M152)),$M152=0),"",$C152/$M152-1)</f>
        <v>-0.0391526187111931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1023510</v>
      </c>
      <c r="D153" s="42" t="n">
        <v>1023935</v>
      </c>
      <c r="E153" s="42" t="n">
        <v>1020514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-0.00255911497111494</v>
      </c>
      <c r="I153" s="45" t="n">
        <f aca="false">IF(AND(ISNUMBER($G153),$G153&gt;=MA_SHORT),AVERAGE(INDEX($C$5:$C153,150-MA_SHORT):$C153),"")</f>
        <v>1019741.1</v>
      </c>
      <c r="J153" s="45" t="n">
        <f aca="false">IF(AND(ISNUMBER($G153),$G153&gt;=MA_MED),AVERAGE(INDEX($C$5:$C153,150-MA_MED):$C153),"")</f>
        <v>1024011.6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0.136527950099453</v>
      </c>
      <c r="M153" s="45" t="n">
        <f aca="false">IF(AND(ISNUMBER($G153),$G153&gt;=60),MAX(INDEX($D$5:$D153,150-60):$D153),"")</f>
        <v>1067949</v>
      </c>
      <c r="N153" s="45" t="n">
        <f aca="false">IF(AND(ISNUMBER($G153),$G153&gt;=60),MIN(INDEX($E$5:$E153,150-60):$E153),"")</f>
        <v>990304</v>
      </c>
      <c r="O153" s="46" t="n">
        <f aca="false">IF(OR(NOT(ISNUMBER($C153)),NOT(ISNUMBER($M153)),$M153=0),"",$C153/$M153-1)</f>
        <v>-0.0416115376296059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1006791</v>
      </c>
      <c r="D154" s="42" t="n">
        <v>1008443</v>
      </c>
      <c r="E154" s="42" t="n">
        <v>1004095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-0.0163349649734736</v>
      </c>
      <c r="I154" s="45" t="n">
        <f aca="false">IF(AND(ISNUMBER($G154),$G154&gt;=MA_SHORT),AVERAGE(INDEX($C$5:$C154,151-MA_SHORT):$C154),"")</f>
        <v>1019856.15</v>
      </c>
      <c r="J154" s="45" t="n">
        <f aca="false">IF(AND(ISNUMBER($G154),$G154&gt;=MA_MED),AVERAGE(INDEX($C$5:$C154,151-MA_MED):$C154),"")</f>
        <v>1023586.04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0.148968203315196</v>
      </c>
      <c r="M154" s="45" t="n">
        <f aca="false">IF(AND(ISNUMBER($G154),$G154&gt;=60),MAX(INDEX($D$5:$D154,151-60):$D154),"")</f>
        <v>1067949</v>
      </c>
      <c r="N154" s="45" t="n">
        <f aca="false">IF(AND(ISNUMBER($G154),$G154&gt;=60),MIN(INDEX($E$5:$E154,151-60):$E154),"")</f>
        <v>990304</v>
      </c>
      <c r="O154" s="46" t="n">
        <f aca="false">IF(OR(NOT(ISNUMBER($C154)),NOT(ISNUMBER($M154)),$M154=0),"",$C154/$M154-1)</f>
        <v>-0.0572667795934075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1012705</v>
      </c>
      <c r="D155" s="42" t="n">
        <v>1012974</v>
      </c>
      <c r="E155" s="42" t="n">
        <v>1009563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0.00587410892628171</v>
      </c>
      <c r="I155" s="45" t="n">
        <f aca="false">IF(AND(ISNUMBER($G155),$G155&gt;=MA_SHORT),AVERAGE(INDEX($C$5:$C155,152-MA_SHORT):$C155),"")</f>
        <v>1020318</v>
      </c>
      <c r="J155" s="45" t="n">
        <f aca="false">IF(AND(ISNUMBER($G155),$G155&gt;=MA_MED),AVERAGE(INDEX($C$5:$C155,152-MA_MED):$C155),"")</f>
        <v>1023416.1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0.150214898640996</v>
      </c>
      <c r="M155" s="45" t="n">
        <f aca="false">IF(AND(ISNUMBER($G155),$G155&gt;=60),MAX(INDEX($D$5:$D155,152-60):$D155),"")</f>
        <v>1067949</v>
      </c>
      <c r="N155" s="45" t="n">
        <f aca="false">IF(AND(ISNUMBER($G155),$G155&gt;=60),MIN(INDEX($E$5:$E155,152-60):$E155),"")</f>
        <v>990304</v>
      </c>
      <c r="O155" s="46" t="n">
        <f aca="false">IF(OR(NOT(ISNUMBER($C155)),NOT(ISNUMBER($M155)),$M155=0),"",$C155/$M155-1)</f>
        <v>-0.051729061968315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998254</v>
      </c>
      <c r="D156" s="42" t="n">
        <v>1004165</v>
      </c>
      <c r="E156" s="42" t="n">
        <v>996551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-0.0142697034180734</v>
      </c>
      <c r="I156" s="45" t="n">
        <f aca="false">IF(AND(ISNUMBER($G156),$G156&gt;=MA_SHORT),AVERAGE(INDEX($C$5:$C156,153-MA_SHORT):$C156),"")</f>
        <v>1020178.95</v>
      </c>
      <c r="J156" s="45" t="n">
        <f aca="false">IF(AND(ISNUMBER($G156),$G156&gt;=MA_MED),AVERAGE(INDEX($C$5:$C156,153-MA_MED):$C156),"")</f>
        <v>1022649.44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0.158673502852316</v>
      </c>
      <c r="M156" s="45" t="n">
        <f aca="false">IF(AND(ISNUMBER($G156),$G156&gt;=60),MAX(INDEX($D$5:$D156,153-60):$D156),"")</f>
        <v>1067949</v>
      </c>
      <c r="N156" s="45" t="n">
        <f aca="false">IF(AND(ISNUMBER($G156),$G156&gt;=60),MIN(INDEX($E$5:$E156,153-60):$E156),"")</f>
        <v>990304</v>
      </c>
      <c r="O156" s="46" t="n">
        <f aca="false">IF(OR(NOT(ISNUMBER($C156)),NOT(ISNUMBER($M156)),$M156=0),"",$C156/$M156-1)</f>
        <v>-0.0652606070140054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1003765</v>
      </c>
      <c r="D157" s="42" t="n">
        <v>1006976</v>
      </c>
      <c r="E157" s="42" t="n">
        <v>996820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0.0055206390357565</v>
      </c>
      <c r="I157" s="45" t="n">
        <f aca="false">IF(AND(ISNUMBER($G157),$G157&gt;=MA_SHORT),AVERAGE(INDEX($C$5:$C157,154-MA_SHORT):$C157),"")</f>
        <v>1020166.7</v>
      </c>
      <c r="J157" s="45" t="n">
        <f aca="false">IF(AND(ISNUMBER($G157),$G157&gt;=MA_MED),AVERAGE(INDEX($C$5:$C157,154-MA_MED):$C157),"")</f>
        <v>1021891.44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0.159556052989551</v>
      </c>
      <c r="M157" s="45" t="n">
        <f aca="false">IF(AND(ISNUMBER($G157),$G157&gt;=60),MAX(INDEX($D$5:$D157,154-60):$D157),"")</f>
        <v>1067949</v>
      </c>
      <c r="N157" s="45" t="n">
        <f aca="false">IF(AND(ISNUMBER($G157),$G157&gt;=60),MIN(INDEX($E$5:$E157,154-60):$E157),"")</f>
        <v>990304</v>
      </c>
      <c r="O157" s="46" t="n">
        <f aca="false">IF(OR(NOT(ISNUMBER($C157)),NOT(ISNUMBER($M157)),$M157=0),"",$C157/$M157-1)</f>
        <v>-0.0601002482328276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993931</v>
      </c>
      <c r="D158" s="42" t="n">
        <v>995169</v>
      </c>
      <c r="E158" s="42" t="n">
        <v>993242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-0.00979711386629345</v>
      </c>
      <c r="I158" s="45" t="n">
        <f aca="false">IF(AND(ISNUMBER($G158),$G158&gt;=MA_SHORT),AVERAGE(INDEX($C$5:$C158,155-MA_SHORT):$C158),"")</f>
        <v>1020338.6</v>
      </c>
      <c r="J158" s="45" t="n">
        <f aca="false">IF(AND(ISNUMBER($G158),$G158&gt;=MA_MED),AVERAGE(INDEX($C$5:$C158,155-MA_MED):$C158),"")</f>
        <v>1020886.4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0.156033428989253</v>
      </c>
      <c r="M158" s="45" t="n">
        <f aca="false">IF(AND(ISNUMBER($G158),$G158&gt;=60),MAX(INDEX($D$5:$D158,155-60):$D158),"")</f>
        <v>1067949</v>
      </c>
      <c r="N158" s="45" t="n">
        <f aca="false">IF(AND(ISNUMBER($G158),$G158&gt;=60),MIN(INDEX($E$5:$E158,155-60):$E158),"")</f>
        <v>990304</v>
      </c>
      <c r="O158" s="46" t="n">
        <f aca="false">IF(OR(NOT(ISNUMBER($C158)),NOT(ISNUMBER($M158)),$M158=0),"",$C158/$M158-1)</f>
        <v>-0.0693085531237915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999135</v>
      </c>
      <c r="D159" s="42" t="n">
        <v>1002533</v>
      </c>
      <c r="E159" s="42" t="n">
        <v>996231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0.00523577592408331</v>
      </c>
      <c r="I159" s="45" t="n">
        <f aca="false">IF(AND(ISNUMBER($G159),$G159&gt;=MA_SHORT),AVERAGE(INDEX($C$5:$C159,156-MA_SHORT):$C159),"")</f>
        <v>1020385</v>
      </c>
      <c r="J159" s="45" t="n">
        <f aca="false">IF(AND(ISNUMBER($G159),$G159&gt;=MA_MED),AVERAGE(INDEX($C$5:$C159,156-MA_MED):$C159),"")</f>
        <v>1019927.9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0.154687161835888</v>
      </c>
      <c r="M159" s="45" t="n">
        <f aca="false">IF(AND(ISNUMBER($G159),$G159&gt;=60),MAX(INDEX($D$5:$D159,156-60):$D159),"")</f>
        <v>1067949</v>
      </c>
      <c r="N159" s="45" t="n">
        <f aca="false">IF(AND(ISNUMBER($G159),$G159&gt;=60),MIN(INDEX($E$5:$E159,156-60):$E159),"")</f>
        <v>990304</v>
      </c>
      <c r="O159" s="46" t="n">
        <f aca="false">IF(OR(NOT(ISNUMBER($C159)),NOT(ISNUMBER($M159)),$M159=0),"",$C159/$M159-1)</f>
        <v>-0.0644356612534869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1006481</v>
      </c>
      <c r="D160" s="42" t="n">
        <v>1007035</v>
      </c>
      <c r="E160" s="42" t="n">
        <v>1005379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0.00735235979121951</v>
      </c>
      <c r="I160" s="45" t="n">
        <f aca="false">IF(AND(ISNUMBER($G160),$G160&gt;=MA_SHORT),AVERAGE(INDEX($C$5:$C160,157-MA_SHORT):$C160),"")</f>
        <v>1020291</v>
      </c>
      <c r="J160" s="45" t="n">
        <f aca="false">IF(AND(ISNUMBER($G160),$G160&gt;=MA_MED),AVERAGE(INDEX($C$5:$C160,157-MA_MED):$C160),"")</f>
        <v>1018826.56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0.152618874683322</v>
      </c>
      <c r="M160" s="45" t="n">
        <f aca="false">IF(AND(ISNUMBER($G160),$G160&gt;=60),MAX(INDEX($D$5:$D160,157-60):$D160),"")</f>
        <v>1067949</v>
      </c>
      <c r="N160" s="45" t="n">
        <f aca="false">IF(AND(ISNUMBER($G160),$G160&gt;=60),MIN(INDEX($E$5:$E160,157-60):$E160),"")</f>
        <v>990304</v>
      </c>
      <c r="O160" s="46" t="n">
        <f aca="false">IF(OR(NOT(ISNUMBER($C160)),NOT(ISNUMBER($M160)),$M160=0),"",$C160/$M160-1)</f>
        <v>-0.0575570556271882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1013867</v>
      </c>
      <c r="D161" s="42" t="n">
        <v>1014334</v>
      </c>
      <c r="E161" s="42" t="n">
        <v>1010455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0.00733843957312663</v>
      </c>
      <c r="I161" s="45" t="n">
        <f aca="false">IF(AND(ISNUMBER($G161),$G161&gt;=MA_SHORT),AVERAGE(INDEX($C$5:$C161,158-MA_SHORT):$C161),"")</f>
        <v>1019837.6</v>
      </c>
      <c r="J161" s="45" t="n">
        <f aca="false">IF(AND(ISNUMBER($G161),$G161&gt;=MA_MED),AVERAGE(INDEX($C$5:$C161,158-MA_MED):$C161),"")</f>
        <v>1017953.76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0.145780097341992</v>
      </c>
      <c r="M161" s="45" t="n">
        <f aca="false">IF(AND(ISNUMBER($G161),$G161&gt;=60),MAX(INDEX($D$5:$D161,158-60):$D161),"")</f>
        <v>1067949</v>
      </c>
      <c r="N161" s="45" t="n">
        <f aca="false">IF(AND(ISNUMBER($G161),$G161&gt;=60),MIN(INDEX($E$5:$E161,158-60):$E161),"")</f>
        <v>990304</v>
      </c>
      <c r="O161" s="46" t="n">
        <f aca="false">IF(OR(NOT(ISNUMBER($C161)),NOT(ISNUMBER($M161)),$M161=0),"",$C161/$M161-1)</f>
        <v>-0.0506409950287888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1022284</v>
      </c>
      <c r="D162" s="42" t="n">
        <v>1023919</v>
      </c>
      <c r="E162" s="42" t="n">
        <v>1019910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0.00830187785971925</v>
      </c>
      <c r="I162" s="45" t="n">
        <f aca="false">IF(AND(ISNUMBER($G162),$G162&gt;=MA_SHORT),AVERAGE(INDEX($C$5:$C162,159-MA_SHORT):$C162),"")</f>
        <v>1019199.2</v>
      </c>
      <c r="J162" s="45" t="n">
        <f aca="false">IF(AND(ISNUMBER($G162),$G162&gt;=MA_MED),AVERAGE(INDEX($C$5:$C162,159-MA_MED):$C162),"")</f>
        <v>1017595.68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0.142429877347983</v>
      </c>
      <c r="M162" s="45" t="n">
        <f aca="false">IF(AND(ISNUMBER($G162),$G162&gt;=60),MAX(INDEX($D$5:$D162,159-60):$D162),"")</f>
        <v>1067949</v>
      </c>
      <c r="N162" s="45" t="n">
        <f aca="false">IF(AND(ISNUMBER($G162),$G162&gt;=60),MIN(INDEX($E$5:$E162,159-60):$E162),"")</f>
        <v>990304</v>
      </c>
      <c r="O162" s="46" t="n">
        <f aca="false">IF(OR(NOT(ISNUMBER($C162)),NOT(ISNUMBER($M162)),$M162=0),"",$C162/$M162-1)</f>
        <v>-0.0427595325244932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1028267</v>
      </c>
      <c r="D163" s="42" t="n">
        <v>1033513</v>
      </c>
      <c r="E163" s="42" t="n">
        <v>1026748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0.00585258108314313</v>
      </c>
      <c r="I163" s="45" t="n">
        <f aca="false">IF(AND(ISNUMBER($G163),$G163&gt;=MA_SHORT),AVERAGE(INDEX($C$5:$C163,160-MA_SHORT):$C163),"")</f>
        <v>1018824.9</v>
      </c>
      <c r="J163" s="45" t="n">
        <f aca="false">IF(AND(ISNUMBER($G163),$G163&gt;=MA_MED),AVERAGE(INDEX($C$5:$C163,160-MA_MED):$C163),"")</f>
        <v>1017271.2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0.144160741200986</v>
      </c>
      <c r="M163" s="45" t="n">
        <f aca="false">IF(AND(ISNUMBER($G163),$G163&gt;=60),MAX(INDEX($D$5:$D163,160-60):$D163),"")</f>
        <v>1067949</v>
      </c>
      <c r="N163" s="45" t="n">
        <f aca="false">IF(AND(ISNUMBER($G163),$G163&gt;=60),MIN(INDEX($E$5:$E163,160-60):$E163),"")</f>
        <v>990304</v>
      </c>
      <c r="O163" s="46" t="n">
        <f aca="false">IF(OR(NOT(ISNUMBER($C163)),NOT(ISNUMBER($M163)),$M163=0),"",$C163/$M163-1)</f>
        <v>-0.0371572050725268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1040048</v>
      </c>
      <c r="D164" s="42" t="n">
        <v>1042266</v>
      </c>
      <c r="E164" s="42" t="n">
        <v>1039609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0.0114571409954807</v>
      </c>
      <c r="I164" s="45" t="n">
        <f aca="false">IF(AND(ISNUMBER($G164),$G164&gt;=MA_SHORT),AVERAGE(INDEX($C$5:$C164,161-MA_SHORT):$C164),"")</f>
        <v>1019387.5</v>
      </c>
      <c r="J164" s="45" t="n">
        <f aca="false">IF(AND(ISNUMBER($G164),$G164&gt;=MA_MED),AVERAGE(INDEX($C$5:$C164,161-MA_MED):$C164),"")</f>
        <v>1016982.58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0.14775420330302</v>
      </c>
      <c r="M164" s="45" t="n">
        <f aca="false">IF(AND(ISNUMBER($G164),$G164&gt;=60),MAX(INDEX($D$5:$D164,161-60):$D164),"")</f>
        <v>1067949</v>
      </c>
      <c r="N164" s="45" t="n">
        <f aca="false">IF(AND(ISNUMBER($G164),$G164&gt;=60),MIN(INDEX($E$5:$E164,161-60):$E164),"")</f>
        <v>990304</v>
      </c>
      <c r="O164" s="46" t="n">
        <f aca="false">IF(OR(NOT(ISNUMBER($C164)),NOT(ISNUMBER($M164)),$M164=0),"",$C164/$M164-1)</f>
        <v>-0.0261257794145601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1031583</v>
      </c>
      <c r="D165" s="42" t="n">
        <v>1032228</v>
      </c>
      <c r="E165" s="42" t="n">
        <v>1030264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-0.00813904742858018</v>
      </c>
      <c r="I165" s="45" t="n">
        <f aca="false">IF(AND(ISNUMBER($G165),$G165&gt;=MA_SHORT),AVERAGE(INDEX($C$5:$C165,162-MA_SHORT):$C165),"")</f>
        <v>1018711</v>
      </c>
      <c r="J165" s="45" t="n">
        <f aca="false">IF(AND(ISNUMBER($G165),$G165&gt;=MA_MED),AVERAGE(INDEX($C$5:$C165,162-MA_MED):$C165),"")</f>
        <v>1016510.6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0.13940390565079</v>
      </c>
      <c r="M165" s="45" t="n">
        <f aca="false">IF(AND(ISNUMBER($G165),$G165&gt;=60),MAX(INDEX($D$5:$D165,162-60):$D165),"")</f>
        <v>1067949</v>
      </c>
      <c r="N165" s="45" t="n">
        <f aca="false">IF(AND(ISNUMBER($G165),$G165&gt;=60),MIN(INDEX($E$5:$E165,162-60):$E165),"")</f>
        <v>990304</v>
      </c>
      <c r="O165" s="46" t="n">
        <f aca="false">IF(OR(NOT(ISNUMBER($C165)),NOT(ISNUMBER($M165)),$M165=0),"",$C165/$M165-1)</f>
        <v>-0.0340521878853766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1018267</v>
      </c>
      <c r="D166" s="42" t="n">
        <v>1020500</v>
      </c>
      <c r="E166" s="42" t="n">
        <v>1014880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-0.0129083166356948</v>
      </c>
      <c r="I166" s="45" t="n">
        <f aca="false">IF(AND(ISNUMBER($G166),$G166&gt;=MA_SHORT),AVERAGE(INDEX($C$5:$C166,163-MA_SHORT):$C166),"")</f>
        <v>1017554.55</v>
      </c>
      <c r="J166" s="45" t="n">
        <f aca="false">IF(AND(ISNUMBER($G166),$G166&gt;=MA_MED),AVERAGE(INDEX($C$5:$C166,163-MA_MED):$C166),"")</f>
        <v>1015917.2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0.145652193876932</v>
      </c>
      <c r="M166" s="45" t="n">
        <f aca="false">IF(AND(ISNUMBER($G166),$G166&gt;=60),MAX(INDEX($D$5:$D166,163-60):$D166),"")</f>
        <v>1067949</v>
      </c>
      <c r="N166" s="45" t="n">
        <f aca="false">IF(AND(ISNUMBER($G166),$G166&gt;=60),MIN(INDEX($E$5:$E166,163-60):$E166),"")</f>
        <v>990304</v>
      </c>
      <c r="O166" s="46" t="n">
        <f aca="false">IF(OR(NOT(ISNUMBER($C166)),NOT(ISNUMBER($M166)),$M166=0),"",$C166/$M166-1)</f>
        <v>-0.0465209480977088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1008393</v>
      </c>
      <c r="D167" s="42" t="n">
        <v>1010325</v>
      </c>
      <c r="E167" s="42" t="n">
        <v>1005381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-0.00969686732458186</v>
      </c>
      <c r="I167" s="45" t="n">
        <f aca="false">IF(AND(ISNUMBER($G167),$G167&gt;=MA_SHORT),AVERAGE(INDEX($C$5:$C167,164-MA_SHORT):$C167),"")</f>
        <v>1016579.35</v>
      </c>
      <c r="J167" s="45" t="n">
        <f aca="false">IF(AND(ISNUMBER($G167),$G167&gt;=MA_MED),AVERAGE(INDEX($C$5:$C167,164-MA_MED):$C167),"")</f>
        <v>1015148.04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0.142634474505094</v>
      </c>
      <c r="M167" s="45" t="n">
        <f aca="false">IF(AND(ISNUMBER($G167),$G167&gt;=60),MAX(INDEX($D$5:$D167,164-60):$D167),"")</f>
        <v>1067949</v>
      </c>
      <c r="N167" s="45" t="n">
        <f aca="false">IF(AND(ISNUMBER($G167),$G167&gt;=60),MIN(INDEX($E$5:$E167,164-60):$E167),"")</f>
        <v>990304</v>
      </c>
      <c r="O167" s="46" t="n">
        <f aca="false">IF(OR(NOT(ISNUMBER($C167)),NOT(ISNUMBER($M167)),$M167=0),"",$C167/$M167-1)</f>
        <v>-0.0557667079607734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1003284</v>
      </c>
      <c r="D168" s="42" t="n">
        <v>1006550</v>
      </c>
      <c r="E168" s="42" t="n">
        <v>1002967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-0.00506647705805174</v>
      </c>
      <c r="I168" s="45" t="n">
        <f aca="false">IF(AND(ISNUMBER($G168),$G168&gt;=MA_SHORT),AVERAGE(INDEX($C$5:$C168,165-MA_SHORT):$C168),"")</f>
        <v>1015425.2</v>
      </c>
      <c r="J168" s="45" t="n">
        <f aca="false">IF(AND(ISNUMBER($G168),$G168&gt;=MA_MED),AVERAGE(INDEX($C$5:$C168,165-MA_MED):$C168),"")</f>
        <v>1014218.52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0.143366912509922</v>
      </c>
      <c r="M168" s="45" t="n">
        <f aca="false">IF(AND(ISNUMBER($G168),$G168&gt;=60),MAX(INDEX($D$5:$D168,165-60):$D168),"")</f>
        <v>1067949</v>
      </c>
      <c r="N168" s="45" t="n">
        <f aca="false">IF(AND(ISNUMBER($G168),$G168&gt;=60),MIN(INDEX($E$5:$E168,165-60):$E168),"")</f>
        <v>990304</v>
      </c>
      <c r="O168" s="46" t="n">
        <f aca="false">IF(OR(NOT(ISNUMBER($C168)),NOT(ISNUMBER($M168)),$M168=0),"",$C168/$M168-1)</f>
        <v>-0.0605506442723388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991940</v>
      </c>
      <c r="D169" s="42" t="n">
        <v>994735</v>
      </c>
      <c r="E169" s="42" t="n">
        <v>991050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-0.0113068682446844</v>
      </c>
      <c r="I169" s="45" t="n">
        <f aca="false">IF(AND(ISNUMBER($G169),$G169&gt;=MA_SHORT),AVERAGE(INDEX($C$5:$C169,166-MA_SHORT):$C169),"")</f>
        <v>1013743.6</v>
      </c>
      <c r="J169" s="45" t="n">
        <f aca="false">IF(AND(ISNUMBER($G169),$G169&gt;=MA_MED),AVERAGE(INDEX($C$5:$C169,166-MA_MED):$C169),"")</f>
        <v>1013342.26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0.147734354068737</v>
      </c>
      <c r="M169" s="45" t="n">
        <f aca="false">IF(AND(ISNUMBER($G169),$G169&gt;=60),MAX(INDEX($D$5:$D169,166-60):$D169),"")</f>
        <v>1067949</v>
      </c>
      <c r="N169" s="45" t="n">
        <f aca="false">IF(AND(ISNUMBER($G169),$G169&gt;=60),MIN(INDEX($E$5:$E169,166-60):$E169),"")</f>
        <v>990304</v>
      </c>
      <c r="O169" s="46" t="n">
        <f aca="false">IF(OR(NOT(ISNUMBER($C169)),NOT(ISNUMBER($M169)),$M169=0),"",$C169/$M169-1)</f>
        <v>-0.0711728743601052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993896</v>
      </c>
      <c r="D170" s="42" t="n">
        <v>997549</v>
      </c>
      <c r="E170" s="42" t="n">
        <v>990660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0.001971893461298</v>
      </c>
      <c r="I170" s="45" t="n">
        <f aca="false">IF(AND(ISNUMBER($G170),$G170&gt;=MA_SHORT),AVERAGE(INDEX($C$5:$C170,167-MA_SHORT):$C170),"")</f>
        <v>1012611.6</v>
      </c>
      <c r="J170" s="45" t="n">
        <f aca="false">IF(AND(ISNUMBER($G170),$G170&gt;=MA_MED),AVERAGE(INDEX($C$5:$C170,167-MA_MED):$C170),"")</f>
        <v>1012728.5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0.145777392901727</v>
      </c>
      <c r="M170" s="45" t="n">
        <f aca="false">IF(AND(ISNUMBER($G170),$G170&gt;=60),MAX(INDEX($D$5:$D170,167-60):$D170),"")</f>
        <v>1061725</v>
      </c>
      <c r="N170" s="45" t="n">
        <f aca="false">IF(AND(ISNUMBER($G170),$G170&gt;=60),MIN(INDEX($E$5:$E170,167-60):$E170),"")</f>
        <v>990304</v>
      </c>
      <c r="O170" s="46" t="n">
        <f aca="false">IF(OR(NOT(ISNUMBER($C170)),NOT(ISNUMBER($M170)),$M170=0),"",$C170/$M170-1)</f>
        <v>-0.0638856577739057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996314</v>
      </c>
      <c r="D171" s="42" t="n">
        <v>997720</v>
      </c>
      <c r="E171" s="42" t="n">
        <v>992129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0.00243285011711492</v>
      </c>
      <c r="I171" s="45" t="n">
        <f aca="false">IF(AND(ISNUMBER($G171),$G171&gt;=MA_SHORT),AVERAGE(INDEX($C$5:$C171,168-MA_SHORT):$C171),"")</f>
        <v>1010942.55</v>
      </c>
      <c r="J171" s="45" t="n">
        <f aca="false">IF(AND(ISNUMBER($G171),$G171&gt;=MA_MED),AVERAGE(INDEX($C$5:$C171,168-MA_MED):$C171),"")</f>
        <v>1012580.66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0.137118159120712</v>
      </c>
      <c r="M171" s="45" t="n">
        <f aca="false">IF(AND(ISNUMBER($G171),$G171&gt;=60),MAX(INDEX($D$5:$D171,168-60):$D171),"")</f>
        <v>1057350</v>
      </c>
      <c r="N171" s="45" t="n">
        <f aca="false">IF(AND(ISNUMBER($G171),$G171&gt;=60),MIN(INDEX($E$5:$E171,168-60):$E171),"")</f>
        <v>990304</v>
      </c>
      <c r="O171" s="46" t="n">
        <f aca="false">IF(OR(NOT(ISNUMBER($C171)),NOT(ISNUMBER($M171)),$M171=0),"",$C171/$M171-1)</f>
        <v>-0.057725445689696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1012683</v>
      </c>
      <c r="D172" s="42" t="n">
        <v>1016113</v>
      </c>
      <c r="E172" s="42" t="n">
        <v>1012428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0.0164295593557855</v>
      </c>
      <c r="I172" s="45" t="n">
        <f aca="false">IF(AND(ISNUMBER($G172),$G172&gt;=MA_SHORT),AVERAGE(INDEX($C$5:$C172,169-MA_SHORT):$C172),"")</f>
        <v>1010269.9</v>
      </c>
      <c r="J172" s="45" t="n">
        <f aca="false">IF(AND(ISNUMBER($G172),$G172&gt;=MA_MED),AVERAGE(INDEX($C$5:$C172,169-MA_MED):$C172),"")</f>
        <v>1012783.74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0.15066079702236</v>
      </c>
      <c r="M172" s="45" t="n">
        <f aca="false">IF(AND(ISNUMBER($G172),$G172&gt;=60),MAX(INDEX($D$5:$D172,169-60):$D172),"")</f>
        <v>1057350</v>
      </c>
      <c r="N172" s="45" t="n">
        <f aca="false">IF(AND(ISNUMBER($G172),$G172&gt;=60),MIN(INDEX($E$5:$E172,169-60):$E172),"")</f>
        <v>990304</v>
      </c>
      <c r="O172" s="46" t="n">
        <f aca="false">IF(OR(NOT(ISNUMBER($C172)),NOT(ISNUMBER($M172)),$M172=0),"",$C172/$M172-1)</f>
        <v>-0.0422442899702086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1002903</v>
      </c>
      <c r="D173" s="42" t="n">
        <v>1005034</v>
      </c>
      <c r="E173" s="42" t="n">
        <v>1002025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-0.00965751375306978</v>
      </c>
      <c r="I173" s="45" t="n">
        <f aca="false">IF(AND(ISNUMBER($G173),$G173&gt;=MA_SHORT),AVERAGE(INDEX($C$5:$C173,170-MA_SHORT):$C173),"")</f>
        <v>1009239.55</v>
      </c>
      <c r="J173" s="45" t="n">
        <f aca="false">IF(AND(ISNUMBER($G173),$G173&gt;=MA_MED),AVERAGE(INDEX($C$5:$C173,170-MA_MED):$C173),"")</f>
        <v>1012878.28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0.15385614777324</v>
      </c>
      <c r="M173" s="45" t="n">
        <f aca="false">IF(AND(ISNUMBER($G173),$G173&gt;=60),MAX(INDEX($D$5:$D173,170-60):$D173),"")</f>
        <v>1057350</v>
      </c>
      <c r="N173" s="45" t="n">
        <f aca="false">IF(AND(ISNUMBER($G173),$G173&gt;=60),MIN(INDEX($E$5:$E173,170-60):$E173),"")</f>
        <v>990304</v>
      </c>
      <c r="O173" s="46" t="n">
        <f aca="false">IF(OR(NOT(ISNUMBER($C173)),NOT(ISNUMBER($M173)),$M173=0),"",$C173/$M173-1)</f>
        <v>-0.0514938289119024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1001430</v>
      </c>
      <c r="D174" s="42" t="n">
        <v>1003127</v>
      </c>
      <c r="E174" s="42" t="n">
        <v>1001325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-0.00146873625864119</v>
      </c>
      <c r="I174" s="45" t="n">
        <f aca="false">IF(AND(ISNUMBER($G174),$G174&gt;=MA_SHORT),AVERAGE(INDEX($C$5:$C174,171-MA_SHORT):$C174),"")</f>
        <v>1008971.5</v>
      </c>
      <c r="J174" s="45" t="n">
        <f aca="false">IF(AND(ISNUMBER($G174),$G174&gt;=MA_MED),AVERAGE(INDEX($C$5:$C174,171-MA_MED):$C174),"")</f>
        <v>1012927.36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0.143137694020833</v>
      </c>
      <c r="M174" s="45" t="n">
        <f aca="false">IF(AND(ISNUMBER($G174),$G174&gt;=60),MAX(INDEX($D$5:$D174,171-60):$D174),"")</f>
        <v>1057350</v>
      </c>
      <c r="N174" s="45" t="n">
        <f aca="false">IF(AND(ISNUMBER($G174),$G174&gt;=60),MIN(INDEX($E$5:$E174,171-60):$E174),"")</f>
        <v>990304</v>
      </c>
      <c r="O174" s="46" t="n">
        <f aca="false">IF(OR(NOT(ISNUMBER($C174)),NOT(ISNUMBER($M174)),$M174=0),"",$C174/$M174-1)</f>
        <v>-0.0528869343169244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998045</v>
      </c>
      <c r="D175" s="42" t="n">
        <v>1001528</v>
      </c>
      <c r="E175" s="42" t="n">
        <v>997307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-0.00338016636210214</v>
      </c>
      <c r="I175" s="45" t="n">
        <f aca="false">IF(AND(ISNUMBER($G175),$G175&gt;=MA_SHORT),AVERAGE(INDEX($C$5:$C175,172-MA_SHORT):$C175),"")</f>
        <v>1008238.5</v>
      </c>
      <c r="J175" s="45" t="n">
        <f aca="false">IF(AND(ISNUMBER($G175),$G175&gt;=MA_MED),AVERAGE(INDEX($C$5:$C175,172-MA_MED):$C175),"")</f>
        <v>1012920.36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0.141708715742246</v>
      </c>
      <c r="M175" s="45" t="n">
        <f aca="false">IF(AND(ISNUMBER($G175),$G175&gt;=60),MAX(INDEX($D$5:$D175,172-60):$D175),"")</f>
        <v>1051095</v>
      </c>
      <c r="N175" s="45" t="n">
        <f aca="false">IF(AND(ISNUMBER($G175),$G175&gt;=60),MIN(INDEX($E$5:$E175,172-60):$E175),"")</f>
        <v>990304</v>
      </c>
      <c r="O175" s="46" t="n">
        <f aca="false">IF(OR(NOT(ISNUMBER($C175)),NOT(ISNUMBER($M175)),$M175=0),"",$C175/$M175-1)</f>
        <v>-0.0504711752981415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991488</v>
      </c>
      <c r="D176" s="42" t="n">
        <v>995584</v>
      </c>
      <c r="E176" s="42" t="n">
        <v>988816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-0.00656984404510819</v>
      </c>
      <c r="I176" s="45" t="n">
        <f aca="false">IF(AND(ISNUMBER($G176),$G176&gt;=MA_SHORT),AVERAGE(INDEX($C$5:$C176,173-MA_SHORT):$C176),"")</f>
        <v>1007900.2</v>
      </c>
      <c r="J176" s="45" t="n">
        <f aca="false">IF(AND(ISNUMBER($G176),$G176&gt;=MA_MED),AVERAGE(INDEX($C$5:$C176,173-MA_MED):$C176),"")</f>
        <v>1012822.38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0.134577186860408</v>
      </c>
      <c r="M176" s="45" t="n">
        <f aca="false">IF(AND(ISNUMBER($G176),$G176&gt;=60),MAX(INDEX($D$5:$D176,173-60):$D176),"")</f>
        <v>1051095</v>
      </c>
      <c r="N176" s="45" t="n">
        <f aca="false">IF(AND(ISNUMBER($G176),$G176&gt;=60),MIN(INDEX($E$5:$E176,173-60):$E176),"")</f>
        <v>988816</v>
      </c>
      <c r="O176" s="46" t="n">
        <f aca="false">IF(OR(NOT(ISNUMBER($C176)),NOT(ISNUMBER($M176)),$M176=0),"",$C176/$M176-1)</f>
        <v>-0.0567094315927675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992796</v>
      </c>
      <c r="D177" s="42" t="n">
        <v>993903</v>
      </c>
      <c r="E177" s="42" t="n">
        <v>992711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0.00131922927962824</v>
      </c>
      <c r="I177" s="45" t="n">
        <f aca="false">IF(AND(ISNUMBER($G177),$G177&gt;=MA_SHORT),AVERAGE(INDEX($C$5:$C177,174-MA_SHORT):$C177),"")</f>
        <v>1007351.75</v>
      </c>
      <c r="J177" s="45" t="n">
        <f aca="false">IF(AND(ISNUMBER($G177),$G177&gt;=MA_MED),AVERAGE(INDEX($C$5:$C177,174-MA_MED):$C177),"")</f>
        <v>1012448.68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0.133026484407813</v>
      </c>
      <c r="M177" s="45" t="n">
        <f aca="false">IF(AND(ISNUMBER($G177),$G177&gt;=60),MAX(INDEX($D$5:$D177,174-60):$D177),"")</f>
        <v>1051095</v>
      </c>
      <c r="N177" s="45" t="n">
        <f aca="false">IF(AND(ISNUMBER($G177),$G177&gt;=60),MIN(INDEX($E$5:$E177,174-60):$E177),"")</f>
        <v>988816</v>
      </c>
      <c r="O177" s="46" t="n">
        <f aca="false">IF(OR(NOT(ISNUMBER($C177)),NOT(ISNUMBER($M177)),$M177=0),"",$C177/$M177-1)</f>
        <v>-0.0554650150557277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1000628</v>
      </c>
      <c r="D178" s="42" t="n">
        <v>1003036</v>
      </c>
      <c r="E178" s="42" t="n">
        <v>997387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0.0078888311395291</v>
      </c>
      <c r="I178" s="45" t="n">
        <f aca="false">IF(AND(ISNUMBER($G178),$G178&gt;=MA_SHORT),AVERAGE(INDEX($C$5:$C178,175-MA_SHORT):$C178),"")</f>
        <v>1007686.6</v>
      </c>
      <c r="J178" s="45" t="n">
        <f aca="false">IF(AND(ISNUMBER($G178),$G178&gt;=MA_MED),AVERAGE(INDEX($C$5:$C178,175-MA_MED):$C178),"")</f>
        <v>1012062.54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0.131506889767714</v>
      </c>
      <c r="M178" s="45" t="n">
        <f aca="false">IF(AND(ISNUMBER($G178),$G178&gt;=60),MAX(INDEX($D$5:$D178,175-60):$D178),"")</f>
        <v>1046740</v>
      </c>
      <c r="N178" s="45" t="n">
        <f aca="false">IF(AND(ISNUMBER($G178),$G178&gt;=60),MIN(INDEX($E$5:$E178,175-60):$E178),"")</f>
        <v>988816</v>
      </c>
      <c r="O178" s="46" t="n">
        <f aca="false">IF(OR(NOT(ISNUMBER($C178)),NOT(ISNUMBER($M178)),$M178=0),"",$C178/$M178-1)</f>
        <v>-0.0440529644419818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1015713</v>
      </c>
      <c r="D179" s="42" t="n">
        <v>1016989</v>
      </c>
      <c r="E179" s="42" t="n">
        <v>1012770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0.0150755325655489</v>
      </c>
      <c r="I179" s="45" t="n">
        <f aca="false">IF(AND(ISNUMBER($G179),$G179&gt;=MA_SHORT),AVERAGE(INDEX($C$5:$C179,176-MA_SHORT):$C179),"")</f>
        <v>1008515.5</v>
      </c>
      <c r="J179" s="45" t="n">
        <f aca="false">IF(AND(ISNUMBER($G179),$G179&gt;=MA_MED),AVERAGE(INDEX($C$5:$C179,176-MA_MED):$C179),"")</f>
        <v>1011968.88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0.140410239857417</v>
      </c>
      <c r="M179" s="45" t="n">
        <f aca="false">IF(AND(ISNUMBER($G179),$G179&gt;=60),MAX(INDEX($D$5:$D179,176-60):$D179),"")</f>
        <v>1046740</v>
      </c>
      <c r="N179" s="45" t="n">
        <f aca="false">IF(AND(ISNUMBER($G179),$G179&gt;=60),MIN(INDEX($E$5:$E179,176-60):$E179),"")</f>
        <v>988816</v>
      </c>
      <c r="O179" s="46" t="n">
        <f aca="false">IF(OR(NOT(ISNUMBER($C179)),NOT(ISNUMBER($M179)),$M179=0),"",$C179/$M179-1)</f>
        <v>-0.029641553776487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1016951</v>
      </c>
      <c r="D180" s="42" t="n">
        <v>1018146</v>
      </c>
      <c r="E180" s="42" t="n">
        <v>1012985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0.00121884823764185</v>
      </c>
      <c r="I180" s="45" t="n">
        <f aca="false">IF(AND(ISNUMBER($G180),$G180&gt;=MA_SHORT),AVERAGE(INDEX($C$5:$C180,177-MA_SHORT):$C180),"")</f>
        <v>1009039</v>
      </c>
      <c r="J180" s="45" t="n">
        <f aca="false">IF(AND(ISNUMBER($G180),$G180&gt;=MA_MED),AVERAGE(INDEX($C$5:$C180,177-MA_MED):$C180),"")</f>
        <v>1012106.46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0.138380372795659</v>
      </c>
      <c r="M180" s="45" t="n">
        <f aca="false">IF(AND(ISNUMBER($G180),$G180&gt;=60),MAX(INDEX($D$5:$D180,177-60):$D180),"")</f>
        <v>1046740</v>
      </c>
      <c r="N180" s="45" t="n">
        <f aca="false">IF(AND(ISNUMBER($G180),$G180&gt;=60),MIN(INDEX($E$5:$E180,177-60):$E180),"")</f>
        <v>988816</v>
      </c>
      <c r="O180" s="46" t="n">
        <f aca="false">IF(OR(NOT(ISNUMBER($C180)),NOT(ISNUMBER($M180)),$M180=0),"",$C180/$M180-1)</f>
        <v>-0.0284588340944265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1013569</v>
      </c>
      <c r="D181" s="42" t="n">
        <v>1014662</v>
      </c>
      <c r="E181" s="42" t="n">
        <v>1009677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-0.0033256272917771</v>
      </c>
      <c r="I181" s="45" t="n">
        <f aca="false">IF(AND(ISNUMBER($G181),$G181&gt;=MA_SHORT),AVERAGE(INDEX($C$5:$C181,178-MA_SHORT):$C181),"")</f>
        <v>1009024.1</v>
      </c>
      <c r="J181" s="45" t="n">
        <f aca="false">IF(AND(ISNUMBER($G181),$G181&gt;=MA_MED),AVERAGE(INDEX($C$5:$C181,178-MA_MED):$C181),"")</f>
        <v>1012404.6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0.136662148820663</v>
      </c>
      <c r="M181" s="45" t="n">
        <f aca="false">IF(AND(ISNUMBER($G181),$G181&gt;=60),MAX(INDEX($D$5:$D181,178-60):$D181),"")</f>
        <v>1046740</v>
      </c>
      <c r="N181" s="45" t="n">
        <f aca="false">IF(AND(ISNUMBER($G181),$G181&gt;=60),MIN(INDEX($E$5:$E181,178-60):$E181),"")</f>
        <v>988816</v>
      </c>
      <c r="O181" s="46" t="n">
        <f aca="false">IF(OR(NOT(ISNUMBER($C181)),NOT(ISNUMBER($M181)),$M181=0),"",$C181/$M181-1)</f>
        <v>-0.031689817910847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1024531</v>
      </c>
      <c r="D182" s="42" t="n">
        <v>1028699</v>
      </c>
      <c r="E182" s="42" t="n">
        <v>1023396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0.0108152479012282</v>
      </c>
      <c r="I182" s="45" t="n">
        <f aca="false">IF(AND(ISNUMBER($G182),$G182&gt;=MA_SHORT),AVERAGE(INDEX($C$5:$C182,179-MA_SHORT):$C182),"")</f>
        <v>1009136.45</v>
      </c>
      <c r="J182" s="45" t="n">
        <f aca="false">IF(AND(ISNUMBER($G182),$G182&gt;=MA_MED),AVERAGE(INDEX($C$5:$C182,179-MA_MED):$C182),"")</f>
        <v>1012832.58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0.138890790731219</v>
      </c>
      <c r="M182" s="45" t="n">
        <f aca="false">IF(AND(ISNUMBER($G182),$G182&gt;=60),MAX(INDEX($D$5:$D182,179-60):$D182),"")</f>
        <v>1046740</v>
      </c>
      <c r="N182" s="45" t="n">
        <f aca="false">IF(AND(ISNUMBER($G182),$G182&gt;=60),MIN(INDEX($E$5:$E182,179-60):$E182),"")</f>
        <v>988816</v>
      </c>
      <c r="O182" s="46" t="n">
        <f aca="false">IF(OR(NOT(ISNUMBER($C182)),NOT(ISNUMBER($M182)),$M182=0),"",$C182/$M182-1)</f>
        <v>-0.0212173032462694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1021668</v>
      </c>
      <c r="D183" s="42" t="n">
        <v>1024792</v>
      </c>
      <c r="E183" s="42" t="n">
        <v>1019826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-0.00279444936268403</v>
      </c>
      <c r="I183" s="45" t="n">
        <f aca="false">IF(AND(ISNUMBER($G183),$G183&gt;=MA_SHORT),AVERAGE(INDEX($C$5:$C183,180-MA_SHORT):$C183),"")</f>
        <v>1008806.5</v>
      </c>
      <c r="J183" s="45" t="n">
        <f aca="false">IF(AND(ISNUMBER($G183),$G183&gt;=MA_MED),AVERAGE(INDEX($C$5:$C183,180-MA_MED):$C183),"")</f>
        <v>1013128.64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0.137601835651739</v>
      </c>
      <c r="M183" s="45" t="n">
        <f aca="false">IF(AND(ISNUMBER($G183),$G183&gt;=60),MAX(INDEX($D$5:$D183,180-60):$D183),"")</f>
        <v>1046740</v>
      </c>
      <c r="N183" s="45" t="n">
        <f aca="false">IF(AND(ISNUMBER($G183),$G183&gt;=60),MIN(INDEX($E$5:$E183,180-60):$E183),"")</f>
        <v>988816</v>
      </c>
      <c r="O183" s="46" t="n">
        <f aca="false">IF(OR(NOT(ISNUMBER($C183)),NOT(ISNUMBER($M183)),$M183=0),"",$C183/$M183-1)</f>
        <v>-0.0239524619294189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1012894</v>
      </c>
      <c r="D184" s="42" t="n">
        <v>1018027</v>
      </c>
      <c r="E184" s="42" t="n">
        <v>1009643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-0.00858791701413764</v>
      </c>
      <c r="I184" s="45" t="n">
        <f aca="false">IF(AND(ISNUMBER($G184),$G184&gt;=MA_SHORT),AVERAGE(INDEX($C$5:$C184,181-MA_SHORT):$C184),"")</f>
        <v>1007448.8</v>
      </c>
      <c r="J184" s="45" t="n">
        <f aca="false">IF(AND(ISNUMBER($G184),$G184&gt;=MA_MED),AVERAGE(INDEX($C$5:$C184,181-MA_MED):$C184),"")</f>
        <v>1013296.72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0.133364641286913</v>
      </c>
      <c r="M184" s="45" t="n">
        <f aca="false">IF(AND(ISNUMBER($G184),$G184&gt;=60),MAX(INDEX($D$5:$D184,181-60):$D184),"")</f>
        <v>1046740</v>
      </c>
      <c r="N184" s="45" t="n">
        <f aca="false">IF(AND(ISNUMBER($G184),$G184&gt;=60),MIN(INDEX($E$5:$E184,181-60):$E184),"")</f>
        <v>988816</v>
      </c>
      <c r="O184" s="46" t="n">
        <f aca="false">IF(OR(NOT(ISNUMBER($C184)),NOT(ISNUMBER($M184)),$M184=0),"",$C184/$M184-1)</f>
        <v>-0.0323346771882225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1001388</v>
      </c>
      <c r="D185" s="42" t="n">
        <v>1001888</v>
      </c>
      <c r="E185" s="42" t="n">
        <v>995046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-0.0113595302173771</v>
      </c>
      <c r="I185" s="45" t="n">
        <f aca="false">IF(AND(ISNUMBER($G185),$G185&gt;=MA_SHORT),AVERAGE(INDEX($C$5:$C185,182-MA_SHORT):$C185),"")</f>
        <v>1005939.05</v>
      </c>
      <c r="J185" s="45" t="n">
        <f aca="false">IF(AND(ISNUMBER($G185),$G185&gt;=MA_MED),AVERAGE(INDEX($C$5:$C185,182-MA_MED):$C185),"")</f>
        <v>1013255.12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0.135949370855094</v>
      </c>
      <c r="M185" s="45" t="n">
        <f aca="false">IF(AND(ISNUMBER($G185),$G185&gt;=60),MAX(INDEX($D$5:$D185,182-60):$D185),"")</f>
        <v>1046740</v>
      </c>
      <c r="N185" s="45" t="n">
        <f aca="false">IF(AND(ISNUMBER($G185),$G185&gt;=60),MIN(INDEX($E$5:$E185,182-60):$E185),"")</f>
        <v>988816</v>
      </c>
      <c r="O185" s="46" t="n">
        <f aca="false">IF(OR(NOT(ISNUMBER($C185)),NOT(ISNUMBER($M185)),$M185=0),"",$C185/$M185-1)</f>
        <v>-0.0433269006630109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999288</v>
      </c>
      <c r="D186" s="42" t="n">
        <v>1002071</v>
      </c>
      <c r="E186" s="42" t="n">
        <v>997589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-0.00209708924013474</v>
      </c>
      <c r="I186" s="45" t="n">
        <f aca="false">IF(AND(ISNUMBER($G186),$G186&gt;=MA_SHORT),AVERAGE(INDEX($C$5:$C186,183-MA_SHORT):$C186),"")</f>
        <v>1004990.1</v>
      </c>
      <c r="J186" s="45" t="n">
        <f aca="false">IF(AND(ISNUMBER($G186),$G186&gt;=MA_MED),AVERAGE(INDEX($C$5:$C186,183-MA_MED):$C186),"")</f>
        <v>1013220.18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0.12930146770146</v>
      </c>
      <c r="M186" s="45" t="n">
        <f aca="false">IF(AND(ISNUMBER($G186),$G186&gt;=60),MAX(INDEX($D$5:$D186,183-60):$D186),"")</f>
        <v>1046740</v>
      </c>
      <c r="N186" s="45" t="n">
        <f aca="false">IF(AND(ISNUMBER($G186),$G186&gt;=60),MIN(INDEX($E$5:$E186,183-60):$E186),"")</f>
        <v>988816</v>
      </c>
      <c r="O186" s="46" t="n">
        <f aca="false">IF(OR(NOT(ISNUMBER($C186)),NOT(ISNUMBER($M186)),$M186=0),"",$C186/$M186-1)</f>
        <v>-0.0453331295259568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1009051</v>
      </c>
      <c r="D187" s="42" t="n">
        <v>1011728</v>
      </c>
      <c r="E187" s="42" t="n">
        <v>1005674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0.00976995620882071</v>
      </c>
      <c r="I187" s="45" t="n">
        <f aca="false">IF(AND(ISNUMBER($G187),$G187&gt;=MA_SHORT),AVERAGE(INDEX($C$5:$C187,184-MA_SHORT):$C187),"")</f>
        <v>1005023</v>
      </c>
      <c r="J187" s="45" t="n">
        <f aca="false">IF(AND(ISNUMBER($G187),$G187&gt;=MA_MED),AVERAGE(INDEX($C$5:$C187,184-MA_MED):$C187),"")</f>
        <v>1013321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0.130187239785386</v>
      </c>
      <c r="M187" s="45" t="n">
        <f aca="false">IF(AND(ISNUMBER($G187),$G187&gt;=60),MAX(INDEX($D$5:$D187,184-60):$D187),"")</f>
        <v>1046740</v>
      </c>
      <c r="N187" s="45" t="n">
        <f aca="false">IF(AND(ISNUMBER($G187),$G187&gt;=60),MIN(INDEX($E$5:$E187,184-60):$E187),"")</f>
        <v>988816</v>
      </c>
      <c r="O187" s="46" t="n">
        <f aca="false">IF(OR(NOT(ISNUMBER($C187)),NOT(ISNUMBER($M187)),$M187=0),"",$C187/$M187-1)</f>
        <v>-0.0360060760074135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1025952</v>
      </c>
      <c r="D188" s="42" t="n">
        <v>1033141</v>
      </c>
      <c r="E188" s="42" t="n">
        <v>1022653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0.0167494011700102</v>
      </c>
      <c r="I188" s="45" t="n">
        <f aca="false">IF(AND(ISNUMBER($G188),$G188&gt;=MA_SHORT),AVERAGE(INDEX($C$5:$C188,185-MA_SHORT):$C188),"")</f>
        <v>1006156.4</v>
      </c>
      <c r="J188" s="45" t="n">
        <f aca="false">IF(AND(ISNUMBER($G188),$G188&gt;=MA_MED),AVERAGE(INDEX($C$5:$C188,185-MA_MED):$C188),"")</f>
        <v>1014030.18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0.141037590395984</v>
      </c>
      <c r="M188" s="45" t="n">
        <f aca="false">IF(AND(ISNUMBER($G188),$G188&gt;=60),MAX(INDEX($D$5:$D188,185-60):$D188),"")</f>
        <v>1046740</v>
      </c>
      <c r="N188" s="45" t="n">
        <f aca="false">IF(AND(ISNUMBER($G188),$G188&gt;=60),MIN(INDEX($E$5:$E188,185-60):$E188),"")</f>
        <v>988816</v>
      </c>
      <c r="O188" s="46" t="n">
        <f aca="false">IF(OR(NOT(ISNUMBER($C188)),NOT(ISNUMBER($M188)),$M188=0),"",$C188/$M188-1)</f>
        <v>-0.0198597550490093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1020409</v>
      </c>
      <c r="D189" s="42" t="n">
        <v>1023285</v>
      </c>
      <c r="E189" s="42" t="n">
        <v>1016327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-0.00540278687501949</v>
      </c>
      <c r="I189" s="45" t="n">
        <f aca="false">IF(AND(ISNUMBER($G189),$G189&gt;=MA_SHORT),AVERAGE(INDEX($C$5:$C189,186-MA_SHORT):$C189),"")</f>
        <v>1007579.85</v>
      </c>
      <c r="J189" s="45" t="n">
        <f aca="false">IF(AND(ISNUMBER($G189),$G189&gt;=MA_MED),AVERAGE(INDEX($C$5:$C189,186-MA_MED):$C189),"")</f>
        <v>1014474.22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0.135723805997058</v>
      </c>
      <c r="M189" s="45" t="n">
        <f aca="false">IF(AND(ISNUMBER($G189),$G189&gt;=60),MAX(INDEX($D$5:$D189,186-60):$D189),"")</f>
        <v>1046740</v>
      </c>
      <c r="N189" s="45" t="n">
        <f aca="false">IF(AND(ISNUMBER($G189),$G189&gt;=60),MIN(INDEX($E$5:$E189,186-60):$E189),"")</f>
        <v>988816</v>
      </c>
      <c r="O189" s="46" t="n">
        <f aca="false">IF(OR(NOT(ISNUMBER($C189)),NOT(ISNUMBER($M189)),$M189=0),"",$C189/$M189-1)</f>
        <v>-0.0251552439001089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1024052</v>
      </c>
      <c r="D190" s="42" t="n">
        <v>1026757</v>
      </c>
      <c r="E190" s="42" t="n">
        <v>1022567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0.00357013707248766</v>
      </c>
      <c r="I190" s="45" t="n">
        <f aca="false">IF(AND(ISNUMBER($G190),$G190&gt;=MA_SHORT),AVERAGE(INDEX($C$5:$C190,187-MA_SHORT):$C190),"")</f>
        <v>1009087.65</v>
      </c>
      <c r="J190" s="45" t="n">
        <f aca="false">IF(AND(ISNUMBER($G190),$G190&gt;=MA_MED),AVERAGE(INDEX($C$5:$C190,187-MA_MED):$C190),"")</f>
        <v>1014788.04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0.135917978832845</v>
      </c>
      <c r="M190" s="45" t="n">
        <f aca="false">IF(AND(ISNUMBER($G190),$G190&gt;=60),MAX(INDEX($D$5:$D190,187-60):$D190),"")</f>
        <v>1046740</v>
      </c>
      <c r="N190" s="45" t="n">
        <f aca="false">IF(AND(ISNUMBER($G190),$G190&gt;=60),MIN(INDEX($E$5:$E190,187-60):$E190),"")</f>
        <v>988816</v>
      </c>
      <c r="O190" s="46" t="n">
        <f aca="false">IF(OR(NOT(ISNUMBER($C190)),NOT(ISNUMBER($M190)),$M190=0),"",$C190/$M190-1)</f>
        <v>-0.0216749144964365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1018125</v>
      </c>
      <c r="D191" s="42" t="n">
        <v>1025015</v>
      </c>
      <c r="E191" s="42" t="n">
        <v>1017741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-0.00578779202618618</v>
      </c>
      <c r="I191" s="45" t="n">
        <f aca="false">IF(AND(ISNUMBER($G191),$G191&gt;=MA_SHORT),AVERAGE(INDEX($C$5:$C191,188-MA_SHORT):$C191),"")</f>
        <v>1010178.2</v>
      </c>
      <c r="J191" s="45" t="n">
        <f aca="false">IF(AND(ISNUMBER($G191),$G191&gt;=MA_MED),AVERAGE(INDEX($C$5:$C191,188-MA_MED):$C191),"")</f>
        <v>1014691.84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0.138240386346206</v>
      </c>
      <c r="M191" s="45" t="n">
        <f aca="false">IF(AND(ISNUMBER($G191),$G191&gt;=60),MAX(INDEX($D$5:$D191,188-60):$D191),"")</f>
        <v>1046740</v>
      </c>
      <c r="N191" s="45" t="n">
        <f aca="false">IF(AND(ISNUMBER($G191),$G191&gt;=60),MIN(INDEX($E$5:$E191,188-60):$E191),"")</f>
        <v>988816</v>
      </c>
      <c r="O191" s="46" t="n">
        <f aca="false">IF(OR(NOT(ISNUMBER($C191)),NOT(ISNUMBER($M191)),$M191=0),"",$C191/$M191-1)</f>
        <v>-0.0273372566253319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1023614</v>
      </c>
      <c r="D192" s="42" t="n">
        <v>1024914</v>
      </c>
      <c r="E192" s="42" t="n">
        <v>1021608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0.0053912829957028</v>
      </c>
      <c r="I192" s="45" t="n">
        <f aca="false">IF(AND(ISNUMBER($G192),$G192&gt;=MA_SHORT),AVERAGE(INDEX($C$5:$C192,189-MA_SHORT):$C192),"")</f>
        <v>1010724.75</v>
      </c>
      <c r="J192" s="45" t="n">
        <f aca="false">IF(AND(ISNUMBER($G192),$G192&gt;=MA_MED),AVERAGE(INDEX($C$5:$C192,189-MA_MED):$C192),"")</f>
        <v>1014463.08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0.12745536632233</v>
      </c>
      <c r="M192" s="45" t="n">
        <f aca="false">IF(AND(ISNUMBER($G192),$G192&gt;=60),MAX(INDEX($D$5:$D192,189-60):$D192),"")</f>
        <v>1046740</v>
      </c>
      <c r="N192" s="45" t="n">
        <f aca="false">IF(AND(ISNUMBER($G192),$G192&gt;=60),MIN(INDEX($E$5:$E192,189-60):$E192),"")</f>
        <v>988816</v>
      </c>
      <c r="O192" s="46" t="n">
        <f aca="false">IF(OR(NOT(ISNUMBER($C192)),NOT(ISNUMBER($M192)),$M192=0),"",$C192/$M192-1)</f>
        <v>-0.0220933565164224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1036552</v>
      </c>
      <c r="D193" s="42" t="n">
        <v>1037016</v>
      </c>
      <c r="E193" s="42" t="n">
        <v>1035474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0.012639530135383</v>
      </c>
      <c r="I193" s="45" t="n">
        <f aca="false">IF(AND(ISNUMBER($G193),$G193&gt;=MA_SHORT),AVERAGE(INDEX($C$5:$C193,190-MA_SHORT):$C193),"")</f>
        <v>1012407.2</v>
      </c>
      <c r="J193" s="45" t="n">
        <f aca="false">IF(AND(ISNUMBER($G193),$G193&gt;=MA_MED),AVERAGE(INDEX($C$5:$C193,190-MA_MED):$C193),"")</f>
        <v>1014479.06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0.128276611483648</v>
      </c>
      <c r="M193" s="45" t="n">
        <f aca="false">IF(AND(ISNUMBER($G193),$G193&gt;=60),MAX(INDEX($D$5:$D193,190-60):$D193),"")</f>
        <v>1046740</v>
      </c>
      <c r="N193" s="45" t="n">
        <f aca="false">IF(AND(ISNUMBER($G193),$G193&gt;=60),MIN(INDEX($E$5:$E193,190-60):$E193),"")</f>
        <v>988816</v>
      </c>
      <c r="O193" s="46" t="n">
        <f aca="false">IF(OR(NOT(ISNUMBER($C193)),NOT(ISNUMBER($M193)),$M193=0),"",$C193/$M193-1)</f>
        <v>-0.0097330760265204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1030913</v>
      </c>
      <c r="D194" s="42" t="n">
        <v>1034021</v>
      </c>
      <c r="E194" s="42" t="n">
        <v>1028818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-0.00544015157946731</v>
      </c>
      <c r="I194" s="45" t="n">
        <f aca="false">IF(AND(ISNUMBER($G194),$G194&gt;=MA_SHORT),AVERAGE(INDEX($C$5:$C194,191-MA_SHORT):$C194),"")</f>
        <v>1013881.35</v>
      </c>
      <c r="J194" s="45" t="n">
        <f aca="false">IF(AND(ISNUMBER($G194),$G194&gt;=MA_MED),AVERAGE(INDEX($C$5:$C194,191-MA_MED):$C194),"")</f>
        <v>1014521.4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0.130272489858258</v>
      </c>
      <c r="M194" s="45" t="n">
        <f aca="false">IF(AND(ISNUMBER($G194),$G194&gt;=60),MAX(INDEX($D$5:$D194,191-60):$D194),"")</f>
        <v>1046740</v>
      </c>
      <c r="N194" s="45" t="n">
        <f aca="false">IF(AND(ISNUMBER($G194),$G194&gt;=60),MIN(INDEX($E$5:$E194,191-60):$E194),"")</f>
        <v>988816</v>
      </c>
      <c r="O194" s="46" t="n">
        <f aca="false">IF(OR(NOT(ISNUMBER($C194)),NOT(ISNUMBER($M194)),$M194=0),"",$C194/$M194-1)</f>
        <v>-0.015120278197069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1029556</v>
      </c>
      <c r="D195" s="42" t="n">
        <v>1031042</v>
      </c>
      <c r="E195" s="42" t="n">
        <v>1025784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-0.00131630894168566</v>
      </c>
      <c r="I195" s="45" t="n">
        <f aca="false">IF(AND(ISNUMBER($G195),$G195&gt;=MA_SHORT),AVERAGE(INDEX($C$5:$C195,192-MA_SHORT):$C195),"")</f>
        <v>1015456.9</v>
      </c>
      <c r="J195" s="45" t="n">
        <f aca="false">IF(AND(ISNUMBER($G195),$G195&gt;=MA_MED),AVERAGE(INDEX($C$5:$C195,192-MA_MED):$C195),"")</f>
        <v>1014210.26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0.129476514490908</v>
      </c>
      <c r="M195" s="45" t="n">
        <f aca="false">IF(AND(ISNUMBER($G195),$G195&gt;=60),MAX(INDEX($D$5:$D195,192-60):$D195),"")</f>
        <v>1046740</v>
      </c>
      <c r="N195" s="45" t="n">
        <f aca="false">IF(AND(ISNUMBER($G195),$G195&gt;=60),MIN(INDEX($E$5:$E195,192-60):$E195),"")</f>
        <v>988816</v>
      </c>
      <c r="O195" s="46" t="n">
        <f aca="false">IF(OR(NOT(ISNUMBER($C195)),NOT(ISNUMBER($M195)),$M195=0),"",$C195/$M195-1)</f>
        <v>-0.0164166841813631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1021476</v>
      </c>
      <c r="D196" s="42" t="n">
        <v>1022741</v>
      </c>
      <c r="E196" s="42" t="n">
        <v>1020794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-0.00784804323417088</v>
      </c>
      <c r="I196" s="45" t="n">
        <f aca="false">IF(AND(ISNUMBER($G196),$G196&gt;=MA_SHORT),AVERAGE(INDEX($C$5:$C196,193-MA_SHORT):$C196),"")</f>
        <v>1016956.3</v>
      </c>
      <c r="J196" s="45" t="n">
        <f aca="false">IF(AND(ISNUMBER($G196),$G196&gt;=MA_MED),AVERAGE(INDEX($C$5:$C196,193-MA_MED):$C196),"")</f>
        <v>1013811.86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0.130587487385633</v>
      </c>
      <c r="M196" s="45" t="n">
        <f aca="false">IF(AND(ISNUMBER($G196),$G196&gt;=60),MAX(INDEX($D$5:$D196,193-60):$D196),"")</f>
        <v>1046740</v>
      </c>
      <c r="N196" s="45" t="n">
        <f aca="false">IF(AND(ISNUMBER($G196),$G196&gt;=60),MIN(INDEX($E$5:$E196,193-60):$E196),"")</f>
        <v>988816</v>
      </c>
      <c r="O196" s="46" t="n">
        <f aca="false">IF(OR(NOT(ISNUMBER($C196)),NOT(ISNUMBER($M196)),$M196=0),"",$C196/$M196-1)</f>
        <v>-0.0241358885683168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1013935</v>
      </c>
      <c r="D197" s="42" t="n">
        <v>1019683</v>
      </c>
      <c r="E197" s="42" t="n">
        <v>1009466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-0.00738245440911001</v>
      </c>
      <c r="I197" s="45" t="n">
        <f aca="false">IF(AND(ISNUMBER($G197),$G197&gt;=MA_SHORT),AVERAGE(INDEX($C$5:$C197,194-MA_SHORT):$C197),"")</f>
        <v>1018013.25</v>
      </c>
      <c r="J197" s="45" t="n">
        <f aca="false">IF(AND(ISNUMBER($G197),$G197&gt;=MA_MED),AVERAGE(INDEX($C$5:$C197,194-MA_MED):$C197),"")</f>
        <v>1013532.62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0.13426312667548</v>
      </c>
      <c r="M197" s="45" t="n">
        <f aca="false">IF(AND(ISNUMBER($G197),$G197&gt;=60),MAX(INDEX($D$5:$D197,194-60):$D197),"")</f>
        <v>1046740</v>
      </c>
      <c r="N197" s="45" t="n">
        <f aca="false">IF(AND(ISNUMBER($G197),$G197&gt;=60),MIN(INDEX($E$5:$E197,194-60):$E197),"")</f>
        <v>988816</v>
      </c>
      <c r="O197" s="46" t="n">
        <f aca="false">IF(OR(NOT(ISNUMBER($C197)),NOT(ISNUMBER($M197)),$M197=0),"",$C197/$M197-1)</f>
        <v>-0.0313401608804479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1001605</v>
      </c>
      <c r="D198" s="42" t="n">
        <v>1007611</v>
      </c>
      <c r="E198" s="42" t="n">
        <v>1000670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-0.0121605428355861</v>
      </c>
      <c r="I198" s="45" t="n">
        <f aca="false">IF(AND(ISNUMBER($G198),$G198&gt;=MA_SHORT),AVERAGE(INDEX($C$5:$C198,195-MA_SHORT):$C198),"")</f>
        <v>1018062.1</v>
      </c>
      <c r="J198" s="45" t="n">
        <f aca="false">IF(AND(ISNUMBER($G198),$G198&gt;=MA_MED),AVERAGE(INDEX($C$5:$C198,195-MA_MED):$C198),"")</f>
        <v>1013037.38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0.139408690886378</v>
      </c>
      <c r="M198" s="45" t="n">
        <f aca="false">IF(AND(ISNUMBER($G198),$G198&gt;=60),MAX(INDEX($D$5:$D198,195-60):$D198),"")</f>
        <v>1046740</v>
      </c>
      <c r="N198" s="45" t="n">
        <f aca="false">IF(AND(ISNUMBER($G198),$G198&gt;=60),MIN(INDEX($E$5:$E198,195-60):$E198),"")</f>
        <v>988816</v>
      </c>
      <c r="O198" s="46" t="n">
        <f aca="false">IF(OR(NOT(ISNUMBER($C198)),NOT(ISNUMBER($M198)),$M198=0),"",$C198/$M198-1)</f>
        <v>-0.0431195903471732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1018794</v>
      </c>
      <c r="D199" s="42" t="n">
        <v>1023573</v>
      </c>
      <c r="E199" s="42" t="n">
        <v>1015310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0.0171614558633393</v>
      </c>
      <c r="I199" s="45" t="n">
        <f aca="false">IF(AND(ISNUMBER($G199),$G199&gt;=MA_SHORT),AVERAGE(INDEX($C$5:$C199,196-MA_SHORT):$C199),"")</f>
        <v>1018216.15</v>
      </c>
      <c r="J199" s="45" t="n">
        <f aca="false">IF(AND(ISNUMBER($G199),$G199&gt;=MA_MED),AVERAGE(INDEX($C$5:$C199,196-MA_MED):$C199),"")</f>
        <v>1012901.82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0.142458499777725</v>
      </c>
      <c r="M199" s="45" t="n">
        <f aca="false">IF(AND(ISNUMBER($G199),$G199&gt;=60),MAX(INDEX($D$5:$D199,196-60):$D199),"")</f>
        <v>1046740</v>
      </c>
      <c r="N199" s="45" t="n">
        <f aca="false">IF(AND(ISNUMBER($G199),$G199&gt;=60),MIN(INDEX($E$5:$E199,196-60):$E199),"")</f>
        <v>988816</v>
      </c>
      <c r="O199" s="46" t="n">
        <f aca="false">IF(OR(NOT(ISNUMBER($C199)),NOT(ISNUMBER($M199)),$M199=0),"",$C199/$M199-1)</f>
        <v>-0.026698129430422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1015134</v>
      </c>
      <c r="D200" s="42" t="n">
        <v>1019503</v>
      </c>
      <c r="E200" s="42" t="n">
        <v>1014469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-0.00359248287681313</v>
      </c>
      <c r="I200" s="45" t="n">
        <f aca="false">IF(AND(ISNUMBER($G200),$G200&gt;=MA_SHORT),AVERAGE(INDEX($C$5:$C200,197-MA_SHORT):$C200),"")</f>
        <v>1018125.3</v>
      </c>
      <c r="J200" s="45" t="n">
        <f aca="false">IF(AND(ISNUMBER($G200),$G200&gt;=MA_MED),AVERAGE(INDEX($C$5:$C200,197-MA_MED):$C200),"")</f>
        <v>1012873.78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0.143004960479691</v>
      </c>
      <c r="M200" s="45" t="n">
        <f aca="false">IF(AND(ISNUMBER($G200),$G200&gt;=60),MAX(INDEX($D$5:$D200,197-60):$D200),"")</f>
        <v>1046740</v>
      </c>
      <c r="N200" s="45" t="n">
        <f aca="false">IF(AND(ISNUMBER($G200),$G200&gt;=60),MIN(INDEX($E$5:$E200,197-60):$E200),"")</f>
        <v>988816</v>
      </c>
      <c r="O200" s="46" t="n">
        <f aca="false">IF(OR(NOT(ISNUMBER($C200)),NOT(ISNUMBER($M200)),$M200=0),"",$C200/$M200-1)</f>
        <v>-0.0301946997344135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1012089</v>
      </c>
      <c r="D201" s="42" t="n">
        <v>1018646</v>
      </c>
      <c r="E201" s="42" t="n">
        <v>1008079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-0.00299960399316745</v>
      </c>
      <c r="I201" s="45" t="n">
        <f aca="false">IF(AND(ISNUMBER($G201),$G201&gt;=MA_SHORT),AVERAGE(INDEX($C$5:$C201,198-MA_SHORT):$C201),"")</f>
        <v>1018051.3</v>
      </c>
      <c r="J201" s="45" t="n">
        <f aca="false">IF(AND(ISNUMBER($G201),$G201&gt;=MA_MED),AVERAGE(INDEX($C$5:$C201,198-MA_MED):$C201),"")</f>
        <v>1012521.66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0.142913185688485</v>
      </c>
      <c r="M201" s="45" t="n">
        <f aca="false">IF(AND(ISNUMBER($G201),$G201&gt;=60),MAX(INDEX($D$5:$D201,198-60):$D201),"")</f>
        <v>1046740</v>
      </c>
      <c r="N201" s="45" t="n">
        <f aca="false">IF(AND(ISNUMBER($G201),$G201&gt;=60),MIN(INDEX($E$5:$E201,198-60):$E201),"")</f>
        <v>988816</v>
      </c>
      <c r="O201" s="46" t="n">
        <f aca="false">IF(OR(NOT(ISNUMBER($C201)),NOT(ISNUMBER($M201)),$M201=0),"",$C201/$M201-1)</f>
        <v>-0.033103731585685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1022272</v>
      </c>
      <c r="D202" s="42" t="n">
        <v>1022880</v>
      </c>
      <c r="E202" s="42" t="n">
        <v>1019743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0.0100613681207877</v>
      </c>
      <c r="I202" s="45" t="n">
        <f aca="false">IF(AND(ISNUMBER($G202),$G202&gt;=MA_SHORT),AVERAGE(INDEX($C$5:$C202,199-MA_SHORT):$C202),"")</f>
        <v>1017938.35</v>
      </c>
      <c r="J202" s="45" t="n">
        <f aca="false">IF(AND(ISNUMBER($G202),$G202&gt;=MA_MED),AVERAGE(INDEX($C$5:$C202,199-MA_MED):$C202),"")</f>
        <v>1012444.38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0.142197804272899</v>
      </c>
      <c r="M202" s="45" t="n">
        <f aca="false">IF(AND(ISNUMBER($G202),$G202&gt;=60),MAX(INDEX($D$5:$D202,199-60):$D202),"")</f>
        <v>1046740</v>
      </c>
      <c r="N202" s="45" t="n">
        <f aca="false">IF(AND(ISNUMBER($G202),$G202&gt;=60),MIN(INDEX($E$5:$E202,199-60):$E202),"")</f>
        <v>988816</v>
      </c>
      <c r="O202" s="46" t="n">
        <f aca="false">IF(OR(NOT(ISNUMBER($C202)),NOT(ISNUMBER($M202)),$M202=0),"",$C202/$M202-1)</f>
        <v>-0.0233754322945526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1023665</v>
      </c>
      <c r="D203" s="42" t="n">
        <v>1025179</v>
      </c>
      <c r="E203" s="42" t="n">
        <v>1023414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0.00136265103612354</v>
      </c>
      <c r="I203" s="45" t="n">
        <f aca="false">IF(AND(ISNUMBER($G203),$G203&gt;=MA_SHORT),AVERAGE(INDEX($C$5:$C203,200-MA_SHORT):$C203),"")</f>
        <v>1018038.2</v>
      </c>
      <c r="J203" s="45" t="n">
        <f aca="false">IF(AND(ISNUMBER($G203),$G203&gt;=MA_MED),AVERAGE(INDEX($C$5:$C203,200-MA_MED):$C203),"")</f>
        <v>1012447.48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0.141915349887996</v>
      </c>
      <c r="M203" s="45" t="n">
        <f aca="false">IF(AND(ISNUMBER($G203),$G203&gt;=60),MAX(INDEX($D$5:$D203,200-60):$D203),"")</f>
        <v>1046740</v>
      </c>
      <c r="N203" s="45" t="n">
        <f aca="false">IF(AND(ISNUMBER($G203),$G203&gt;=60),MIN(INDEX($E$5:$E203,200-60):$E203),"")</f>
        <v>988816</v>
      </c>
      <c r="O203" s="46" t="n">
        <f aca="false">IF(OR(NOT(ISNUMBER($C203)),NOT(ISNUMBER($M203)),$M203=0),"",$C203/$M203-1)</f>
        <v>-0.0220446338154652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1038838</v>
      </c>
      <c r="D204" s="42" t="n">
        <v>1039401</v>
      </c>
      <c r="E204" s="42" t="n">
        <v>1032354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0.0148222318825006</v>
      </c>
      <c r="I204" s="45" t="n">
        <f aca="false">IF(AND(ISNUMBER($G204),$G204&gt;=MA_SHORT),AVERAGE(INDEX($C$5:$C204,201-MA_SHORT):$C204),"")</f>
        <v>1019335.4</v>
      </c>
      <c r="J204" s="45" t="n">
        <f aca="false">IF(AND(ISNUMBER($G204),$G204&gt;=MA_MED),AVERAGE(INDEX($C$5:$C204,201-MA_MED):$C204),"")</f>
        <v>1013088.42</v>
      </c>
      <c r="K204" s="45" t="n">
        <f aca="false">IF(AND(ISNUMBER($G204),$G204&gt;=MA_LONG2),AVERAGE(INDEX($C$5:$C204,201-MA_LONG2):$C204),"")</f>
        <v>997409.775</v>
      </c>
      <c r="L204" s="46" t="n">
        <f aca="false">IF(AND(ISNUMBER($G204),$G204&gt;=21),STDEV(INDEX($H$144:$H204,62-20):$H204)*SQRT(245),"")</f>
        <v>0.146922169922836</v>
      </c>
      <c r="M204" s="45" t="n">
        <f aca="false">IF(AND(ISNUMBER($G204),$G204&gt;=60),MAX(INDEX($D$5:$D204,201-60):$D204),"")</f>
        <v>1046740</v>
      </c>
      <c r="N204" s="45" t="n">
        <f aca="false">IF(AND(ISNUMBER($G204),$G204&gt;=60),MIN(INDEX($E$5:$E204,201-60):$E204),"")</f>
        <v>988816</v>
      </c>
      <c r="O204" s="46" t="n">
        <f aca="false">IF(OR(NOT(ISNUMBER($C204)),NOT(ISNUMBER($M204)),$M204=0),"",$C204/$M204-1)</f>
        <v>-0.00754915260714217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1041813</v>
      </c>
      <c r="D205" s="42" t="n">
        <v>1042866</v>
      </c>
      <c r="E205" s="42" t="n">
        <v>1041243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0.00286377664274884</v>
      </c>
      <c r="I205" s="45" t="n">
        <f aca="false">IF(AND(ISNUMBER($G205),$G205&gt;=MA_SHORT),AVERAGE(INDEX($C$5:$C205,202-MA_SHORT):$C205),"")</f>
        <v>1021356.65</v>
      </c>
      <c r="J205" s="45" t="n">
        <f aca="false">IF(AND(ISNUMBER($G205),$G205&gt;=MA_MED),AVERAGE(INDEX($C$5:$C205,202-MA_MED):$C205),"")</f>
        <v>1013670.58</v>
      </c>
      <c r="K205" s="45" t="n">
        <f aca="false">IF(AND(ISNUMBER($G205),$G205&gt;=MA_LONG2),AVERAGE(INDEX($C$5:$C205,202-MA_LONG2):$C205),"")</f>
        <v>997841.365</v>
      </c>
      <c r="L205" s="46" t="n">
        <f aca="false">IF(AND(ISNUMBER($G205),$G205&gt;=21),STDEV(INDEX($H$145:$H205,62-20):$H205)*SQRT(245),"")</f>
        <v>0.139348758189887</v>
      </c>
      <c r="M205" s="45" t="n">
        <f aca="false">IF(AND(ISNUMBER($G205),$G205&gt;=60),MAX(INDEX($D$5:$D205,202-60):$D205),"")</f>
        <v>1042866</v>
      </c>
      <c r="N205" s="45" t="n">
        <f aca="false">IF(AND(ISNUMBER($G205),$G205&gt;=60),MIN(INDEX($E$5:$E205,202-60):$E205),"")</f>
        <v>988816</v>
      </c>
      <c r="O205" s="46" t="n">
        <f aca="false">IF(OR(NOT(ISNUMBER($C205)),NOT(ISNUMBER($M205)),$M205=0),"",$C205/$M205-1)</f>
        <v>-0.00100971745171474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1030487</v>
      </c>
      <c r="D206" s="42" t="n">
        <v>1031727</v>
      </c>
      <c r="E206" s="42" t="n">
        <v>1027857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-0.0108714327811229</v>
      </c>
      <c r="I206" s="45" t="n">
        <f aca="false">IF(AND(ISNUMBER($G206),$G206&gt;=MA_SHORT),AVERAGE(INDEX($C$5:$C206,203-MA_SHORT):$C206),"")</f>
        <v>1022916.6</v>
      </c>
      <c r="J206" s="45" t="n">
        <f aca="false">IF(AND(ISNUMBER($G206),$G206&gt;=MA_MED),AVERAGE(INDEX($C$5:$C206,203-MA_MED):$C206),"")</f>
        <v>1014315.24</v>
      </c>
      <c r="K206" s="45" t="n">
        <f aca="false">IF(AND(ISNUMBER($G206),$G206&gt;=MA_LONG2),AVERAGE(INDEX($C$5:$C206,203-MA_LONG2):$C206),"")</f>
        <v>998309.215</v>
      </c>
      <c r="L206" s="46" t="n">
        <f aca="false">IF(AND(ISNUMBER($G206),$G206&gt;=21),STDEV(INDEX($H$146:$H206,62-20):$H206)*SQRT(245),"")</f>
        <v>0.14591925886797</v>
      </c>
      <c r="M206" s="45" t="n">
        <f aca="false">IF(AND(ISNUMBER($G206),$G206&gt;=60),MAX(INDEX($D$6:$D206,202-60):$D206),"")</f>
        <v>1042866</v>
      </c>
      <c r="N206" s="45" t="n">
        <f aca="false">IF(AND(ISNUMBER($G206),$G206&gt;=60),MIN(INDEX($E$6:$E206,202-60):$E206),"")</f>
        <v>988816</v>
      </c>
      <c r="O206" s="46" t="n">
        <f aca="false">IF(OR(NOT(ISNUMBER($C206)),NOT(ISNUMBER($M206)),$M206=0),"",$C206/$M206-1)</f>
        <v>-0.0118701731574334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1034087</v>
      </c>
      <c r="D207" s="42" t="n">
        <v>1037982</v>
      </c>
      <c r="E207" s="42" t="n">
        <v>1027830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0.00349349385290654</v>
      </c>
      <c r="I207" s="45" t="n">
        <f aca="false">IF(AND(ISNUMBER($G207),$G207&gt;=MA_SHORT),AVERAGE(INDEX($C$5:$C207,204-MA_SHORT):$C207),"")</f>
        <v>1024168.4</v>
      </c>
      <c r="J207" s="45" t="n">
        <f aca="false">IF(AND(ISNUMBER($G207),$G207&gt;=MA_MED),AVERAGE(INDEX($C$5:$C207,204-MA_MED):$C207),"")</f>
        <v>1014921.68</v>
      </c>
      <c r="K207" s="45" t="n">
        <f aca="false">IF(AND(ISNUMBER($G207),$G207&gt;=MA_LONG2),AVERAGE(INDEX($C$5:$C207,204-MA_LONG2):$C207),"")</f>
        <v>998782.655</v>
      </c>
      <c r="L207" s="46" t="n">
        <f aca="false">IF(AND(ISNUMBER($G207),$G207&gt;=21),STDEV(INDEX($H$147:$H207,62-20):$H207)*SQRT(245),"")</f>
        <v>0.143000860535336</v>
      </c>
      <c r="M207" s="45" t="n">
        <f aca="false">IF(AND(ISNUMBER($G207),$G207&gt;=60),MAX(INDEX($D$7:$D207,202-60):$D207),"")</f>
        <v>1042866</v>
      </c>
      <c r="N207" s="45" t="n">
        <f aca="false">IF(AND(ISNUMBER($G207),$G207&gt;=60),MIN(INDEX($E$7:$E207,202-60):$E207),"")</f>
        <v>988816</v>
      </c>
      <c r="O207" s="46" t="n">
        <f aca="false">IF(OR(NOT(ISNUMBER($C207)),NOT(ISNUMBER($M207)),$M207=0),"",$C207/$M207-1)</f>
        <v>-0.00841814768148541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1026536</v>
      </c>
      <c r="D208" s="42" t="n">
        <v>1031813</v>
      </c>
      <c r="E208" s="42" t="n">
        <v>1024150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-0.00730209353758438</v>
      </c>
      <c r="I208" s="45" t="n">
        <f aca="false">IF(AND(ISNUMBER($G208),$G208&gt;=MA_SHORT),AVERAGE(INDEX($C$5:$C208,205-MA_SHORT):$C208),"")</f>
        <v>1024197.6</v>
      </c>
      <c r="J208" s="45" t="n">
        <f aca="false">IF(AND(ISNUMBER($G208),$G208&gt;=MA_MED),AVERAGE(INDEX($C$5:$C208,205-MA_MED):$C208),"")</f>
        <v>1015573.78</v>
      </c>
      <c r="K208" s="45" t="n">
        <f aca="false">IF(AND(ISNUMBER($G208),$G208&gt;=MA_LONG2),AVERAGE(INDEX($C$5:$C208,205-MA_LONG2):$C208),"")</f>
        <v>999214.505</v>
      </c>
      <c r="L208" s="46" t="n">
        <f aca="false">IF(AND(ISNUMBER($G208),$G208&gt;=21),STDEV(INDEX($H$148:$H208,62-20):$H208)*SQRT(245),"")</f>
        <v>0.133908141306564</v>
      </c>
      <c r="M208" s="45" t="n">
        <f aca="false">IF(AND(ISNUMBER($G208),$G208&gt;=60),MAX(INDEX($D$8:$D208,202-60):$D208),"")</f>
        <v>1042866</v>
      </c>
      <c r="N208" s="45" t="n">
        <f aca="false">IF(AND(ISNUMBER($G208),$G208&gt;=60),MIN(INDEX($E$8:$E208,202-60):$E208),"")</f>
        <v>988816</v>
      </c>
      <c r="O208" s="46" t="n">
        <f aca="false">IF(OR(NOT(ISNUMBER($C208)),NOT(ISNUMBER($M208)),$M208=0),"",$C208/$M208-1)</f>
        <v>-0.0156587711172864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1028267</v>
      </c>
      <c r="D209" s="42" t="n">
        <v>1029366</v>
      </c>
      <c r="E209" s="42" t="n">
        <v>1028070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0.0016862535751303</v>
      </c>
      <c r="I209" s="45" t="n">
        <f aca="false">IF(AND(ISNUMBER($G209),$G209&gt;=MA_SHORT),AVERAGE(INDEX($C$5:$C209,206-MA_SHORT):$C209),"")</f>
        <v>1024590.5</v>
      </c>
      <c r="J209" s="45" t="n">
        <f aca="false">IF(AND(ISNUMBER($G209),$G209&gt;=MA_MED),AVERAGE(INDEX($C$5:$C209,206-MA_MED):$C209),"")</f>
        <v>1016156.42</v>
      </c>
      <c r="K209" s="45" t="n">
        <f aca="false">IF(AND(ISNUMBER($G209),$G209&gt;=MA_LONG2),AVERAGE(INDEX($C$5:$C209,206-MA_LONG2):$C209),"")</f>
        <v>999678.97</v>
      </c>
      <c r="L209" s="46" t="n">
        <f aca="false">IF(AND(ISNUMBER($G209),$G209&gt;=21),STDEV(INDEX($H$149:$H209,62-20):$H209)*SQRT(245),"")</f>
        <v>0.132467799677351</v>
      </c>
      <c r="M209" s="45" t="n">
        <f aca="false">IF(AND(ISNUMBER($G209),$G209&gt;=60),MAX(INDEX($D$9:$D209,202-60):$D209),"")</f>
        <v>1042866</v>
      </c>
      <c r="N209" s="45" t="n">
        <f aca="false">IF(AND(ISNUMBER($G209),$G209&gt;=60),MIN(INDEX($E$9:$E209,202-60):$E209),"")</f>
        <v>988816</v>
      </c>
      <c r="O209" s="46" t="n">
        <f aca="false">IF(OR(NOT(ISNUMBER($C209)),NOT(ISNUMBER($M209)),$M209=0),"",$C209/$M209-1)</f>
        <v>-0.0139989222009347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1035261</v>
      </c>
      <c r="D210" s="42" t="n">
        <v>1038407</v>
      </c>
      <c r="E210" s="42" t="n">
        <v>1034878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0.00680173534694784</v>
      </c>
      <c r="I210" s="45" t="n">
        <f aca="false">IF(AND(ISNUMBER($G210),$G210&gt;=MA_SHORT),AVERAGE(INDEX($C$5:$C210,207-MA_SHORT):$C210),"")</f>
        <v>1025150.95</v>
      </c>
      <c r="J210" s="45" t="n">
        <f aca="false">IF(AND(ISNUMBER($G210),$G210&gt;=MA_MED),AVERAGE(INDEX($C$5:$C210,207-MA_MED):$C210),"")</f>
        <v>1016732.02</v>
      </c>
      <c r="K210" s="45" t="n">
        <f aca="false">IF(AND(ISNUMBER($G210),$G210&gt;=MA_LONG2),AVERAGE(INDEX($C$5:$C210,207-MA_LONG2):$C210),"")</f>
        <v>1000135.025</v>
      </c>
      <c r="L210" s="46" t="n">
        <f aca="false">IF(AND(ISNUMBER($G210),$G210&gt;=21),STDEV(INDEX($H$150:$H210,62-20):$H210)*SQRT(245),"")</f>
        <v>0.133934262942162</v>
      </c>
      <c r="M210" s="45" t="n">
        <f aca="false">IF(AND(ISNUMBER($G210),$G210&gt;=60),MAX(INDEX($D$10:$D210,202-60):$D210),"")</f>
        <v>1042866</v>
      </c>
      <c r="N210" s="45" t="n">
        <f aca="false">IF(AND(ISNUMBER($G210),$G210&gt;=60),MIN(INDEX($E$10:$E210,202-60):$E210),"")</f>
        <v>988816</v>
      </c>
      <c r="O210" s="46" t="n">
        <f aca="false">IF(OR(NOT(ISNUMBER($C210)),NOT(ISNUMBER($M210)),$M210=0),"",$C210/$M210-1)</f>
        <v>-0.00729240381794016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1025260</v>
      </c>
      <c r="D211" s="42" t="n">
        <v>1028453</v>
      </c>
      <c r="E211" s="42" t="n">
        <v>1023831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-0.00966036584011176</v>
      </c>
      <c r="I211" s="45" t="n">
        <f aca="false">IF(AND(ISNUMBER($G211),$G211&gt;=MA_SHORT),AVERAGE(INDEX($C$5:$C211,208-MA_SHORT):$C211),"")</f>
        <v>1025507.7</v>
      </c>
      <c r="J211" s="45" t="n">
        <f aca="false">IF(AND(ISNUMBER($G211),$G211&gt;=MA_MED),AVERAGE(INDEX($C$5:$C211,208-MA_MED):$C211),"")</f>
        <v>1016959.88</v>
      </c>
      <c r="K211" s="45" t="n">
        <f aca="false">IF(AND(ISNUMBER($G211),$G211&gt;=MA_LONG2),AVERAGE(INDEX($C$5:$C211,208-MA_LONG2):$C211),"")</f>
        <v>1000521.67</v>
      </c>
      <c r="L211" s="46" t="n">
        <f aca="false">IF(AND(ISNUMBER($G211),$G211&gt;=21),STDEV(INDEX($H$151:$H211,62-20):$H211)*SQRT(245),"")</f>
        <v>0.136959754103429</v>
      </c>
      <c r="M211" s="45" t="n">
        <f aca="false">IF(AND(ISNUMBER($G211),$G211&gt;=60),MAX(INDEX($D$11:$D211,202-60):$D211),"")</f>
        <v>1042866</v>
      </c>
      <c r="N211" s="45" t="n">
        <f aca="false">IF(AND(ISNUMBER($G211),$G211&gt;=60),MIN(INDEX($E$11:$E211,202-60):$E211),"")</f>
        <v>988816</v>
      </c>
      <c r="O211" s="46" t="n">
        <f aca="false">IF(OR(NOT(ISNUMBER($C211)),NOT(ISNUMBER($M211)),$M211=0),"",$C211/$M211-1)</f>
        <v>-0.0168823223693169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1025010</v>
      </c>
      <c r="D212" s="42" t="n">
        <v>1025204</v>
      </c>
      <c r="E212" s="42" t="n">
        <v>1021062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-0.000243840586777955</v>
      </c>
      <c r="I212" s="45" t="n">
        <f aca="false">IF(AND(ISNUMBER($G212),$G212&gt;=MA_SHORT),AVERAGE(INDEX($C$5:$C212,209-MA_SHORT):$C212),"")</f>
        <v>1025577.5</v>
      </c>
      <c r="J212" s="45" t="n">
        <f aca="false">IF(AND(ISNUMBER($G212),$G212&gt;=MA_MED),AVERAGE(INDEX($C$5:$C212,209-MA_MED):$C212),"")</f>
        <v>1017014.4</v>
      </c>
      <c r="K212" s="45" t="n">
        <f aca="false">IF(AND(ISNUMBER($G212),$G212&gt;=MA_LONG2),AVERAGE(INDEX($C$5:$C212,209-MA_LONG2):$C212),"")</f>
        <v>1000867.305</v>
      </c>
      <c r="L212" s="46" t="n">
        <f aca="false">IF(AND(ISNUMBER($G212),$G212&gt;=21),STDEV(INDEX($H$152:$H212,62-20):$H212)*SQRT(245),"")</f>
        <v>0.13571844276422</v>
      </c>
      <c r="M212" s="45" t="n">
        <f aca="false">IF(AND(ISNUMBER($G212),$G212&gt;=60),MAX(INDEX($D$12:$D212,202-60):$D212),"")</f>
        <v>1042866</v>
      </c>
      <c r="N212" s="45" t="n">
        <f aca="false">IF(AND(ISNUMBER($G212),$G212&gt;=60),MIN(INDEX($E$12:$E212,202-60):$E212),"")</f>
        <v>988816</v>
      </c>
      <c r="O212" s="46" t="n">
        <f aca="false">IF(OR(NOT(ISNUMBER($C212)),NOT(ISNUMBER($M212)),$M212=0),"",$C212/$M212-1)</f>
        <v>-0.0171220463607021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1028365</v>
      </c>
      <c r="D213" s="42" t="n">
        <v>1032080</v>
      </c>
      <c r="E213" s="42" t="n">
        <v>1025617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0.00327313879864577</v>
      </c>
      <c r="I213" s="45" t="n">
        <f aca="false">IF(AND(ISNUMBER($G213),$G213&gt;=MA_SHORT),AVERAGE(INDEX($C$5:$C213,210-MA_SHORT):$C213),"")</f>
        <v>1025168.15</v>
      </c>
      <c r="J213" s="45" t="n">
        <f aca="false">IF(AND(ISNUMBER($G213),$G213&gt;=MA_MED),AVERAGE(INDEX($C$5:$C213,210-MA_MED):$C213),"")</f>
        <v>1017016.36</v>
      </c>
      <c r="K213" s="45" t="n">
        <f aca="false">IF(AND(ISNUMBER($G213),$G213&gt;=MA_LONG2),AVERAGE(INDEX($C$5:$C213,210-MA_LONG2):$C213),"")</f>
        <v>1001212.2</v>
      </c>
      <c r="L213" s="46" t="n">
        <f aca="false">IF(AND(ISNUMBER($G213),$G213&gt;=21),STDEV(INDEX($H$153:$H213,62-20):$H213)*SQRT(245),"")</f>
        <v>0.128320341177819</v>
      </c>
      <c r="M213" s="45" t="n">
        <f aca="false">IF(AND(ISNUMBER($G213),$G213&gt;=60),MAX(INDEX($D$13:$D213,202-60):$D213),"")</f>
        <v>1042866</v>
      </c>
      <c r="N213" s="45" t="n">
        <f aca="false">IF(AND(ISNUMBER($G213),$G213&gt;=60),MIN(INDEX($E$13:$E213,202-60):$E213),"")</f>
        <v>988816</v>
      </c>
      <c r="O213" s="46" t="n">
        <f aca="false">IF(OR(NOT(ISNUMBER($C213)),NOT(ISNUMBER($M213)),$M213=0),"",$C213/$M213-1)</f>
        <v>-0.0139049503963117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1061010</v>
      </c>
      <c r="D214" s="42" t="n">
        <v>1063917</v>
      </c>
      <c r="E214" s="42" t="n">
        <v>1060011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0.031744565402362</v>
      </c>
      <c r="I214" s="45" t="n">
        <f aca="false">IF(AND(ISNUMBER($G214),$G214&gt;=MA_SHORT),AVERAGE(INDEX($C$5:$C214,211-MA_SHORT):$C214),"")</f>
        <v>1026673</v>
      </c>
      <c r="J214" s="45" t="n">
        <f aca="false">IF(AND(ISNUMBER($G214),$G214&gt;=MA_MED),AVERAGE(INDEX($C$5:$C214,211-MA_MED):$C214),"")</f>
        <v>1017435.6</v>
      </c>
      <c r="K214" s="45" t="n">
        <f aca="false">IF(AND(ISNUMBER($G214),$G214&gt;=MA_LONG2),AVERAGE(INDEX($C$5:$C214,211-MA_LONG2):$C214),"")</f>
        <v>1001742.94</v>
      </c>
      <c r="L214" s="46" t="n">
        <f aca="false">IF(AND(ISNUMBER($G214),$G214&gt;=21),STDEV(INDEX($H$154:$H214,62-20):$H214)*SQRT(245),"")</f>
        <v>0.168928573192105</v>
      </c>
      <c r="M214" s="45" t="n">
        <f aca="false">IF(AND(ISNUMBER($G214),$G214&gt;=60),MAX(INDEX($D$14:$D214,202-60):$D214),"")</f>
        <v>1063917</v>
      </c>
      <c r="N214" s="45" t="n">
        <f aca="false">IF(AND(ISNUMBER($G214),$G214&gt;=60),MIN(INDEX($E$14:$E214,202-60):$E214),"")</f>
        <v>988816</v>
      </c>
      <c r="O214" s="46" t="n">
        <f aca="false">IF(OR(NOT(ISNUMBER($C214)),NOT(ISNUMBER($M214)),$M214=0),"",$C214/$M214-1)</f>
        <v>-0.00273235600145505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1080969</v>
      </c>
      <c r="D215" s="42" t="n">
        <v>1082419</v>
      </c>
      <c r="E215" s="42" t="n">
        <v>1077570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0.0188113212882066</v>
      </c>
      <c r="I215" s="45" t="n">
        <f aca="false">IF(AND(ISNUMBER($G215),$G215&gt;=MA_SHORT),AVERAGE(INDEX($C$5:$C215,212-MA_SHORT):$C215),"")</f>
        <v>1029243.65</v>
      </c>
      <c r="J215" s="45" t="n">
        <f aca="false">IF(AND(ISNUMBER($G215),$G215&gt;=MA_MED),AVERAGE(INDEX($C$5:$C215,212-MA_MED):$C215),"")</f>
        <v>1018423.32</v>
      </c>
      <c r="K215" s="45" t="n">
        <f aca="false">IF(AND(ISNUMBER($G215),$G215&gt;=MA_LONG2),AVERAGE(INDEX($C$5:$C215,212-MA_LONG2):$C215),"")</f>
        <v>1002361.435</v>
      </c>
      <c r="L215" s="46" t="n">
        <f aca="false">IF(AND(ISNUMBER($G215),$G215&gt;=21),STDEV(INDEX($H$155:$H215,62-20):$H215)*SQRT(245),"")</f>
        <v>0.178998527460916</v>
      </c>
      <c r="M215" s="45" t="n">
        <f aca="false">IF(AND(ISNUMBER($G215),$G215&gt;=60),MAX(INDEX($D$15:$D215,202-60):$D215),"")</f>
        <v>1082419</v>
      </c>
      <c r="N215" s="45" t="n">
        <f aca="false">IF(AND(ISNUMBER($G215),$G215&gt;=60),MIN(INDEX($E$15:$E215,202-60):$E215),"")</f>
        <v>988816</v>
      </c>
      <c r="O215" s="46" t="n">
        <f aca="false">IF(OR(NOT(ISNUMBER($C215)),NOT(ISNUMBER($M215)),$M215=0),"",$C215/$M215-1)</f>
        <v>-0.00133959215423973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1082414</v>
      </c>
      <c r="D216" s="42" t="n">
        <v>1083257</v>
      </c>
      <c r="E216" s="42" t="n">
        <v>1081224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0.00133676358896517</v>
      </c>
      <c r="I216" s="45" t="n">
        <f aca="false">IF(AND(ISNUMBER($G216),$G216&gt;=MA_SHORT),AVERAGE(INDEX($C$5:$C216,213-MA_SHORT):$C216),"")</f>
        <v>1032290.55</v>
      </c>
      <c r="J216" s="45" t="n">
        <f aca="false">IF(AND(ISNUMBER($G216),$G216&gt;=MA_MED),AVERAGE(INDEX($C$5:$C216,213-MA_MED):$C216),"")</f>
        <v>1019706.26</v>
      </c>
      <c r="K216" s="45" t="n">
        <f aca="false">IF(AND(ISNUMBER($G216),$G216&gt;=MA_LONG2),AVERAGE(INDEX($C$5:$C216,213-MA_LONG2):$C216),"")</f>
        <v>1002994.57</v>
      </c>
      <c r="L216" s="46" t="n">
        <f aca="false">IF(AND(ISNUMBER($G216),$G216&gt;=21),STDEV(INDEX($H$156:$H216,62-20):$H216)*SQRT(245),"")</f>
        <v>0.174992817110345</v>
      </c>
      <c r="M216" s="45" t="n">
        <f aca="false">IF(AND(ISNUMBER($G216),$G216&gt;=60),MAX(INDEX($D$16:$D216,202-60):$D216),"")</f>
        <v>1083257</v>
      </c>
      <c r="N216" s="45" t="n">
        <f aca="false">IF(AND(ISNUMBER($G216),$G216&gt;=60),MIN(INDEX($E$16:$E216,202-60):$E216),"")</f>
        <v>988816</v>
      </c>
      <c r="O216" s="46" t="n">
        <f aca="false">IF(OR(NOT(ISNUMBER($C216)),NOT(ISNUMBER($M216)),$M216=0),"",$C216/$M216-1)</f>
        <v>-0.000778208679934722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1093973</v>
      </c>
      <c r="D217" s="42" t="n">
        <v>1096470</v>
      </c>
      <c r="E217" s="42" t="n">
        <v>1093867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0.0106789084398391</v>
      </c>
      <c r="I217" s="45" t="n">
        <f aca="false">IF(AND(ISNUMBER($G217),$G217&gt;=MA_SHORT),AVERAGE(INDEX($C$5:$C217,214-MA_SHORT):$C217),"")</f>
        <v>1036292.45</v>
      </c>
      <c r="J217" s="45" t="n">
        <f aca="false">IF(AND(ISNUMBER($G217),$G217&gt;=MA_MED),AVERAGE(INDEX($C$5:$C217,214-MA_MED):$C217),"")</f>
        <v>1021417.86</v>
      </c>
      <c r="K217" s="45" t="n">
        <f aca="false">IF(AND(ISNUMBER($G217),$G217&gt;=MA_LONG2),AVERAGE(INDEX($C$5:$C217,214-MA_LONG2):$C217),"")</f>
        <v>1003676.23</v>
      </c>
      <c r="L217" s="46" t="n">
        <f aca="false">IF(AND(ISNUMBER($G217),$G217&gt;=21),STDEV(INDEX($H$157:$H217,62-20):$H217)*SQRT(245),"")</f>
        <v>0.172629694943773</v>
      </c>
      <c r="M217" s="45" t="n">
        <f aca="false">IF(AND(ISNUMBER($G217),$G217&gt;=60),MAX(INDEX($D$17:$D217,202-60):$D217),"")</f>
        <v>1096470</v>
      </c>
      <c r="N217" s="45" t="n">
        <f aca="false">IF(AND(ISNUMBER($G217),$G217&gt;=60),MIN(INDEX($E$17:$E217,202-60):$E217),"")</f>
        <v>988816</v>
      </c>
      <c r="O217" s="46" t="n">
        <f aca="false">IF(OR(NOT(ISNUMBER($C217)),NOT(ISNUMBER($M217)),$M217=0),"",$C217/$M217-1)</f>
        <v>-0.00227730808868465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1095331</v>
      </c>
      <c r="D218" s="42" t="n">
        <v>1095423</v>
      </c>
      <c r="E218" s="42" t="n">
        <v>1093871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0.00124134690709909</v>
      </c>
      <c r="I218" s="45" t="n">
        <f aca="false">IF(AND(ISNUMBER($G218),$G218&gt;=MA_SHORT),AVERAGE(INDEX($C$5:$C218,215-MA_SHORT):$C218),"")</f>
        <v>1040978.75</v>
      </c>
      <c r="J218" s="45" t="n">
        <f aca="false">IF(AND(ISNUMBER($G218),$G218&gt;=MA_MED),AVERAGE(INDEX($C$5:$C218,215-MA_MED):$C218),"")</f>
        <v>1023258.8</v>
      </c>
      <c r="K218" s="45" t="n">
        <f aca="false">IF(AND(ISNUMBER($G218),$G218&gt;=MA_LONG2),AVERAGE(INDEX($C$5:$C218,215-MA_LONG2):$C218),"")</f>
        <v>1004372.965</v>
      </c>
      <c r="L218" s="46" t="n">
        <f aca="false">IF(AND(ISNUMBER($G218),$G218&gt;=21),STDEV(INDEX($H$158:$H218,62-20):$H218)*SQRT(245),"")</f>
        <v>0.162674324536654</v>
      </c>
      <c r="M218" s="45" t="n">
        <f aca="false">IF(AND(ISNUMBER($G218),$G218&gt;=60),MAX(INDEX($D$18:$D218,202-60):$D218),"")</f>
        <v>1096470</v>
      </c>
      <c r="N218" s="45" t="n">
        <f aca="false">IF(AND(ISNUMBER($G218),$G218&gt;=60),MIN(INDEX($E$18:$E218,202-60):$E218),"")</f>
        <v>988816</v>
      </c>
      <c r="O218" s="46" t="n">
        <f aca="false">IF(OR(NOT(ISNUMBER($C218)),NOT(ISNUMBER($M218)),$M218=0),"",$C218/$M218-1)</f>
        <v>-0.00103878811093783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1116106</v>
      </c>
      <c r="D219" s="42" t="n">
        <v>1116351</v>
      </c>
      <c r="E219" s="42" t="n">
        <v>1113544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0.0189668693755587</v>
      </c>
      <c r="I219" s="45" t="n">
        <f aca="false">IF(AND(ISNUMBER($G219),$G219&gt;=MA_SHORT),AVERAGE(INDEX($C$5:$C219,216-MA_SHORT):$C219),"")</f>
        <v>1045844.35</v>
      </c>
      <c r="J219" s="45" t="n">
        <f aca="false">IF(AND(ISNUMBER($G219),$G219&gt;=MA_MED),AVERAGE(INDEX($C$5:$C219,216-MA_MED):$C219),"")</f>
        <v>1025742.12</v>
      </c>
      <c r="K219" s="45" t="n">
        <f aca="false">IF(AND(ISNUMBER($G219),$G219&gt;=MA_LONG2),AVERAGE(INDEX($C$5:$C219,216-MA_LONG2):$C219),"")</f>
        <v>1005219.985</v>
      </c>
      <c r="L219" s="46" t="n">
        <f aca="false">IF(AND(ISNUMBER($G219),$G219&gt;=21),STDEV(INDEX($H$159:$H219,62-20):$H219)*SQRT(245),"")</f>
        <v>0.164592930755535</v>
      </c>
      <c r="M219" s="45" t="n">
        <f aca="false">IF(AND(ISNUMBER($G219),$G219&gt;=60),MAX(INDEX($D$19:$D219,202-60):$D219),"")</f>
        <v>1116351</v>
      </c>
      <c r="N219" s="45" t="n">
        <f aca="false">IF(AND(ISNUMBER($G219),$G219&gt;=60),MIN(INDEX($E$19:$E219,202-60):$E219),"")</f>
        <v>988816</v>
      </c>
      <c r="O219" s="46" t="n">
        <f aca="false">IF(OR(NOT(ISNUMBER($C219)),NOT(ISNUMBER($M219)),$M219=0),"",$C219/$M219-1)</f>
        <v>-0.000219465024889121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1125764</v>
      </c>
      <c r="D220" s="42" t="n">
        <v>1128161</v>
      </c>
      <c r="E220" s="42" t="n">
        <v>1125384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0.00865329995538056</v>
      </c>
      <c r="I220" s="45" t="n">
        <f aca="false">IF(AND(ISNUMBER($G220),$G220&gt;=MA_SHORT),AVERAGE(INDEX($C$5:$C220,217-MA_SHORT):$C220),"")</f>
        <v>1051375.85</v>
      </c>
      <c r="J220" s="45" t="n">
        <f aca="false">IF(AND(ISNUMBER($G220),$G220&gt;=MA_MED),AVERAGE(INDEX($C$5:$C220,217-MA_MED):$C220),"")</f>
        <v>1028379.48</v>
      </c>
      <c r="K220" s="45" t="n">
        <f aca="false">IF(AND(ISNUMBER($G220),$G220&gt;=MA_LONG2),AVERAGE(INDEX($C$5:$C220,217-MA_LONG2):$C220),"")</f>
        <v>1006084.81</v>
      </c>
      <c r="L220" s="46" t="n">
        <f aca="false">IF(AND(ISNUMBER($G220),$G220&gt;=21),STDEV(INDEX($H$160:$H220,62-20):$H220)*SQRT(245),"")</f>
        <v>0.162274618808298</v>
      </c>
      <c r="M220" s="45" t="n">
        <f aca="false">IF(AND(ISNUMBER($G220),$G220&gt;=60),MAX(INDEX($D$20:$D220,202-60):$D220),"")</f>
        <v>1128161</v>
      </c>
      <c r="N220" s="45" t="n">
        <f aca="false">IF(AND(ISNUMBER($G220),$G220&gt;=60),MIN(INDEX($E$20:$E220,202-60):$E220),"")</f>
        <v>988816</v>
      </c>
      <c r="O220" s="46" t="n">
        <f aca="false">IF(OR(NOT(ISNUMBER($C220)),NOT(ISNUMBER($M220)),$M220=0),"",$C220/$M220-1)</f>
        <v>-0.00212469674097937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1110230</v>
      </c>
      <c r="D221" s="42" t="n">
        <v>1113204</v>
      </c>
      <c r="E221" s="42" t="n">
        <v>1108322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-0.0137986291975938</v>
      </c>
      <c r="I221" s="45" t="n">
        <f aca="false">IF(AND(ISNUMBER($G221),$G221&gt;=MA_SHORT),AVERAGE(INDEX($C$5:$C221,218-MA_SHORT):$C221),"")</f>
        <v>1056282.9</v>
      </c>
      <c r="J221" s="45" t="n">
        <f aca="false">IF(AND(ISNUMBER($G221),$G221&gt;=MA_MED),AVERAGE(INDEX($C$5:$C221,218-MA_MED):$C221),"")</f>
        <v>1030657.8</v>
      </c>
      <c r="K221" s="45" t="n">
        <f aca="false">IF(AND(ISNUMBER($G221),$G221&gt;=MA_LONG2),AVERAGE(INDEX($C$5:$C221,218-MA_LONG2):$C221),"")</f>
        <v>1006879.98</v>
      </c>
      <c r="L221" s="46" t="n">
        <f aca="false">IF(AND(ISNUMBER($G221),$G221&gt;=21),STDEV(INDEX($H$161:$H221,62-20):$H221)*SQRT(245),"")</f>
        <v>0.173364543046021</v>
      </c>
      <c r="M221" s="45" t="n">
        <f aca="false">IF(AND(ISNUMBER($G221),$G221&gt;=60),MAX(INDEX($D$21:$D221,202-60):$D221),"")</f>
        <v>1128161</v>
      </c>
      <c r="N221" s="45" t="n">
        <f aca="false">IF(AND(ISNUMBER($G221),$G221&gt;=60),MIN(INDEX($E$21:$E221,202-60):$E221),"")</f>
        <v>988816</v>
      </c>
      <c r="O221" s="46" t="n">
        <f aca="false">IF(OR(NOT(ISNUMBER($C221)),NOT(ISNUMBER($M221)),$M221=0),"",$C221/$M221-1)</f>
        <v>-0.0158940080360871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1116185</v>
      </c>
      <c r="D222" s="42" t="n">
        <v>1119394</v>
      </c>
      <c r="E222" s="42" t="n">
        <v>1115035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0.00536375345649098</v>
      </c>
      <c r="I222" s="45" t="n">
        <f aca="false">IF(AND(ISNUMBER($G222),$G222&gt;=MA_SHORT),AVERAGE(INDEX($C$5:$C222,219-MA_SHORT):$C222),"")</f>
        <v>1060978.55</v>
      </c>
      <c r="J222" s="45" t="n">
        <f aca="false">IF(AND(ISNUMBER($G222),$G222&gt;=MA_MED),AVERAGE(INDEX($C$5:$C222,219-MA_MED):$C222),"")</f>
        <v>1032727.84</v>
      </c>
      <c r="K222" s="45" t="n">
        <f aca="false">IF(AND(ISNUMBER($G222),$G222&gt;=MA_LONG2),AVERAGE(INDEX($C$5:$C222,219-MA_LONG2):$C222),"")</f>
        <v>1007724.84</v>
      </c>
      <c r="L222" s="46" t="n">
        <f aca="false">IF(AND(ISNUMBER($G222),$G222&gt;=21),STDEV(INDEX($H$162:$H222,62-20):$H222)*SQRT(245),"")</f>
        <v>0.172266049762811</v>
      </c>
      <c r="M222" s="45" t="n">
        <f aca="false">IF(AND(ISNUMBER($G222),$G222&gt;=60),MAX(INDEX($D$22:$D222,202-60):$D222),"")</f>
        <v>1128161</v>
      </c>
      <c r="N222" s="45" t="n">
        <f aca="false">IF(AND(ISNUMBER($G222),$G222&gt;=60),MIN(INDEX($E$22:$E222,202-60):$E222),"")</f>
        <v>988816</v>
      </c>
      <c r="O222" s="46" t="n">
        <f aca="false">IF(OR(NOT(ISNUMBER($C222)),NOT(ISNUMBER($M222)),$M222=0),"",$C222/$M222-1)</f>
        <v>-0.0106155061201371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1119569</v>
      </c>
      <c r="D223" s="42" t="n">
        <v>1120985</v>
      </c>
      <c r="E223" s="42" t="n">
        <v>1117679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0.00303175548856149</v>
      </c>
      <c r="I223" s="45" t="n">
        <f aca="false">IF(AND(ISNUMBER($G223),$G223&gt;=MA_SHORT),AVERAGE(INDEX($C$5:$C223,220-MA_SHORT):$C223),"")</f>
        <v>1065773.75</v>
      </c>
      <c r="J223" s="45" t="n">
        <f aca="false">IF(AND(ISNUMBER($G223),$G223&gt;=MA_MED),AVERAGE(INDEX($C$5:$C223,220-MA_MED):$C223),"")</f>
        <v>1035061.16</v>
      </c>
      <c r="K223" s="45" t="n">
        <f aca="false">IF(AND(ISNUMBER($G223),$G223&gt;=MA_LONG2),AVERAGE(INDEX($C$5:$C223,220-MA_LONG2):$C223),"")</f>
        <v>1008547.885</v>
      </c>
      <c r="L223" s="46" t="n">
        <f aca="false">IF(AND(ISNUMBER($G223),$G223&gt;=21),STDEV(INDEX($H$163:$H223,62-20):$H223)*SQRT(245),"")</f>
        <v>0.171977736318771</v>
      </c>
      <c r="M223" s="45" t="n">
        <f aca="false">IF(AND(ISNUMBER($G223),$G223&gt;=60),MAX(INDEX($D$23:$D223,202-60):$D223),"")</f>
        <v>1128161</v>
      </c>
      <c r="N223" s="45" t="n">
        <f aca="false">IF(AND(ISNUMBER($G223),$G223&gt;=60),MIN(INDEX($E$23:$E223,202-60):$E223),"")</f>
        <v>988816</v>
      </c>
      <c r="O223" s="46" t="n">
        <f aca="false">IF(OR(NOT(ISNUMBER($C223)),NOT(ISNUMBER($M223)),$M223=0),"",$C223/$M223-1)</f>
        <v>-0.00761593425051921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1116633</v>
      </c>
      <c r="D224" s="42" t="n">
        <v>1119709</v>
      </c>
      <c r="E224" s="42" t="n">
        <v>1114944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-0.00262243774166671</v>
      </c>
      <c r="I224" s="45" t="n">
        <f aca="false">IF(AND(ISNUMBER($G224),$G224&gt;=MA_SHORT),AVERAGE(INDEX($C$5:$C224,221-MA_SHORT):$C224),"")</f>
        <v>1069663.5</v>
      </c>
      <c r="J224" s="45" t="n">
        <f aca="false">IF(AND(ISNUMBER($G224),$G224&gt;=MA_MED),AVERAGE(INDEX($C$5:$C224,221-MA_MED):$C224),"")</f>
        <v>1037365.22</v>
      </c>
      <c r="K224" s="45" t="n">
        <f aca="false">IF(AND(ISNUMBER($G224),$G224&gt;=MA_LONG2),AVERAGE(INDEX($C$5:$C224,221-MA_LONG2):$C224),"")</f>
        <v>1009348.405</v>
      </c>
      <c r="L224" s="46" t="n">
        <f aca="false">IF(AND(ISNUMBER($G224),$G224&gt;=21),STDEV(INDEX($H$164:$H224,62-20):$H224)*SQRT(245),"")</f>
        <v>0.169353022087495</v>
      </c>
      <c r="M224" s="45" t="n">
        <f aca="false">IF(AND(ISNUMBER($G224),$G224&gt;=60),MAX(INDEX($D$24:$D224,202-60):$D224),"")</f>
        <v>1128161</v>
      </c>
      <c r="N224" s="45" t="n">
        <f aca="false">IF(AND(ISNUMBER($G224),$G224&gt;=60),MIN(INDEX($E$24:$E224,202-60):$E224),"")</f>
        <v>988816</v>
      </c>
      <c r="O224" s="46" t="n">
        <f aca="false">IF(OR(NOT(ISNUMBER($C224)),NOT(ISNUMBER($M224)),$M224=0),"",$C224/$M224-1)</f>
        <v>-0.0102183996787693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1126581</v>
      </c>
      <c r="D225" s="42" t="n">
        <v>1126910</v>
      </c>
      <c r="E225" s="42" t="n">
        <v>1126035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0.00890892531386767</v>
      </c>
      <c r="I225" s="45" t="n">
        <f aca="false">IF(AND(ISNUMBER($G225),$G225&gt;=MA_SHORT),AVERAGE(INDEX($C$5:$C225,222-MA_SHORT):$C225),"")</f>
        <v>1073901.9</v>
      </c>
      <c r="J225" s="45" t="n">
        <f aca="false">IF(AND(ISNUMBER($G225),$G225&gt;=MA_MED),AVERAGE(INDEX($C$5:$C225,222-MA_MED):$C225),"")</f>
        <v>1039935.94</v>
      </c>
      <c r="K225" s="45" t="n">
        <f aca="false">IF(AND(ISNUMBER($G225),$G225&gt;=MA_LONG2),AVERAGE(INDEX($C$5:$C225,222-MA_LONG2):$C225),"")</f>
        <v>1010148.905</v>
      </c>
      <c r="L225" s="46" t="n">
        <f aca="false">IF(AND(ISNUMBER($G225),$G225&gt;=21),STDEV(INDEX($H$165:$H225,62-20):$H225)*SQRT(245),"")</f>
        <v>0.17029985654529</v>
      </c>
      <c r="M225" s="45" t="n">
        <f aca="false">IF(AND(ISNUMBER($G225),$G225&gt;=60),MAX(INDEX($D$25:$D225,202-60):$D225),"")</f>
        <v>1128161</v>
      </c>
      <c r="N225" s="45" t="n">
        <f aca="false">IF(AND(ISNUMBER($G225),$G225&gt;=60),MIN(INDEX($E$25:$E225,202-60):$E225),"")</f>
        <v>988816</v>
      </c>
      <c r="O225" s="46" t="n">
        <f aca="false">IF(OR(NOT(ISNUMBER($C225)),NOT(ISNUMBER($M225)),$M225=0),"",$C225/$M225-1)</f>
        <v>-0.001400509324467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1115629</v>
      </c>
      <c r="D226" s="42" t="n">
        <v>1125311</v>
      </c>
      <c r="E226" s="42" t="n">
        <v>1114143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-0.00972144923445362</v>
      </c>
      <c r="I226" s="45" t="n">
        <f aca="false">IF(AND(ISNUMBER($G226),$G226&gt;=MA_SHORT),AVERAGE(INDEX($C$5:$C226,223-MA_SHORT):$C226),"")</f>
        <v>1078159</v>
      </c>
      <c r="J226" s="45" t="n">
        <f aca="false">IF(AND(ISNUMBER($G226),$G226&gt;=MA_MED),AVERAGE(INDEX($C$5:$C226,223-MA_MED):$C226),"")</f>
        <v>1042418.76</v>
      </c>
      <c r="K226" s="45" t="n">
        <f aca="false">IF(AND(ISNUMBER($G226),$G226&gt;=MA_LONG2),AVERAGE(INDEX($C$5:$C226,223-MA_LONG2):$C226),"")</f>
        <v>1010878.93</v>
      </c>
      <c r="L226" s="46" t="n">
        <f aca="false">IF(AND(ISNUMBER($G226),$G226&gt;=21),STDEV(INDEX($H$166:$H226,62-20):$H226)*SQRT(245),"")</f>
        <v>0.169050121410615</v>
      </c>
      <c r="M226" s="45" t="n">
        <f aca="false">IF(AND(ISNUMBER($G226),$G226&gt;=60),MAX(INDEX($D$26:$D226,202-60):$D226),"")</f>
        <v>1128161</v>
      </c>
      <c r="N226" s="45" t="n">
        <f aca="false">IF(AND(ISNUMBER($G226),$G226&gt;=60),MIN(INDEX($E$26:$E226,202-60):$E226),"")</f>
        <v>988816</v>
      </c>
      <c r="O226" s="46" t="n">
        <f aca="false">IF(OR(NOT(ISNUMBER($C226)),NOT(ISNUMBER($M226)),$M226=0),"",$C226/$M226-1)</f>
        <v>-0.0111083435786205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1115296</v>
      </c>
      <c r="D227" s="42" t="n">
        <v>1117972</v>
      </c>
      <c r="E227" s="42" t="n">
        <v>1108356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-0.000298486324754932</v>
      </c>
      <c r="I227" s="45" t="n">
        <f aca="false">IF(AND(ISNUMBER($G227),$G227&gt;=MA_SHORT),AVERAGE(INDEX($C$5:$C227,224-MA_SHORT):$C227),"")</f>
        <v>1082219.45</v>
      </c>
      <c r="J227" s="45" t="n">
        <f aca="false">IF(AND(ISNUMBER($G227),$G227&gt;=MA_MED),AVERAGE(INDEX($C$5:$C227,224-MA_MED):$C227),"")</f>
        <v>1044868.76</v>
      </c>
      <c r="K227" s="45" t="n">
        <f aca="false">IF(AND(ISNUMBER($G227),$G227&gt;=MA_LONG2),AVERAGE(INDEX($C$5:$C227,224-MA_LONG2):$C227),"")</f>
        <v>1011611.035</v>
      </c>
      <c r="L227" s="46" t="n">
        <f aca="false">IF(AND(ISNUMBER($G227),$G227&gt;=21),STDEV(INDEX($H$167:$H227,62-20):$H227)*SQRT(245),"")</f>
        <v>0.169725561197173</v>
      </c>
      <c r="M227" s="45" t="n">
        <f aca="false">IF(AND(ISNUMBER($G227),$G227&gt;=60),MAX(INDEX($D$27:$D227,202-60):$D227),"")</f>
        <v>1128161</v>
      </c>
      <c r="N227" s="45" t="n">
        <f aca="false">IF(AND(ISNUMBER($G227),$G227&gt;=60),MIN(INDEX($E$27:$E227,202-60):$E227),"")</f>
        <v>988816</v>
      </c>
      <c r="O227" s="46" t="n">
        <f aca="false">IF(OR(NOT(ISNUMBER($C227)),NOT(ISNUMBER($M227)),$M227=0),"",$C227/$M227-1)</f>
        <v>-0.0114035142147264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1114660</v>
      </c>
      <c r="D228" s="42" t="n">
        <v>1115095</v>
      </c>
      <c r="E228" s="42" t="n">
        <v>1114450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-0.000570252202105936</v>
      </c>
      <c r="I228" s="45" t="n">
        <f aca="false">IF(AND(ISNUMBER($G228),$G228&gt;=MA_SHORT),AVERAGE(INDEX($C$5:$C228,225-MA_SHORT):$C228),"")</f>
        <v>1086625.65</v>
      </c>
      <c r="J228" s="45" t="n">
        <f aca="false">IF(AND(ISNUMBER($G228),$G228&gt;=MA_MED),AVERAGE(INDEX($C$5:$C228,225-MA_MED):$C228),"")</f>
        <v>1047149.4</v>
      </c>
      <c r="K228" s="45" t="n">
        <f aca="false">IF(AND(ISNUMBER($G228),$G228&gt;=MA_LONG2),AVERAGE(INDEX($C$5:$C228,225-MA_LONG2):$C228),"")</f>
        <v>1012267.705</v>
      </c>
      <c r="L228" s="46" t="n">
        <f aca="false">IF(AND(ISNUMBER($G228),$G228&gt;=21),STDEV(INDEX($H$168:$H228,62-20):$H228)*SQRT(245),"")</f>
        <v>0.165611219858203</v>
      </c>
      <c r="M228" s="45" t="n">
        <f aca="false">IF(AND(ISNUMBER($G228),$G228&gt;=60),MAX(INDEX($D$28:$D228,202-60):$D228),"")</f>
        <v>1128161</v>
      </c>
      <c r="N228" s="45" t="n">
        <f aca="false">IF(AND(ISNUMBER($G228),$G228&gt;=60),MIN(INDEX($E$28:$E228,202-60):$E228),"")</f>
        <v>988816</v>
      </c>
      <c r="O228" s="46" t="n">
        <f aca="false">IF(OR(NOT(ISNUMBER($C228)),NOT(ISNUMBER($M228)),$M228=0),"",$C228/$M228-1)</f>
        <v>-0.0119672635377397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1120574</v>
      </c>
      <c r="D229" s="42" t="n">
        <v>1124961</v>
      </c>
      <c r="E229" s="42" t="n">
        <v>1117608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0.00530565374194825</v>
      </c>
      <c r="I229" s="45" t="n">
        <f aca="false">IF(AND(ISNUMBER($G229),$G229&gt;=MA_SHORT),AVERAGE(INDEX($C$5:$C229,226-MA_SHORT):$C229),"")</f>
        <v>1091241</v>
      </c>
      <c r="J229" s="45" t="n">
        <f aca="false">IF(AND(ISNUMBER($G229),$G229&gt;=MA_MED),AVERAGE(INDEX($C$5:$C229,226-MA_MED):$C229),"")</f>
        <v>1049246.62</v>
      </c>
      <c r="K229" s="45" t="n">
        <f aca="false">IF(AND(ISNUMBER($G229),$G229&gt;=MA_LONG2),AVERAGE(INDEX($C$5:$C229,226-MA_LONG2):$C229),"")</f>
        <v>1012890.125</v>
      </c>
      <c r="L229" s="46" t="n">
        <f aca="false">IF(AND(ISNUMBER($G229),$G229&gt;=21),STDEV(INDEX($H$169:$H229,62-20):$H229)*SQRT(245),"")</f>
        <v>0.165393041054165</v>
      </c>
      <c r="M229" s="45" t="n">
        <f aca="false">IF(AND(ISNUMBER($G229),$G229&gt;=60),MAX(INDEX($D$29:$D229,202-60):$D229),"")</f>
        <v>1128161</v>
      </c>
      <c r="N229" s="45" t="n">
        <f aca="false">IF(AND(ISNUMBER($G229),$G229&gt;=60),MIN(INDEX($E$29:$E229,202-60):$E229),"")</f>
        <v>988816</v>
      </c>
      <c r="O229" s="46" t="n">
        <f aca="false">IF(OR(NOT(ISNUMBER($C229)),NOT(ISNUMBER($M229)),$M229=0),"",$C229/$M229-1)</f>
        <v>-0.00672510395236137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1117926</v>
      </c>
      <c r="D230" s="42" t="n">
        <v>1119723</v>
      </c>
      <c r="E230" s="42" t="n">
        <v>1114629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-0.00236307463853347</v>
      </c>
      <c r="I230" s="45" t="n">
        <f aca="false">IF(AND(ISNUMBER($G230),$G230&gt;=MA_SHORT),AVERAGE(INDEX($C$5:$C230,227-MA_SHORT):$C230),"")</f>
        <v>1095374.25</v>
      </c>
      <c r="J230" s="45" t="n">
        <f aca="false">IF(AND(ISNUMBER($G230),$G230&gt;=MA_MED),AVERAGE(INDEX($C$5:$C230,227-MA_MED):$C230),"")</f>
        <v>1051266.12</v>
      </c>
      <c r="K230" s="45" t="n">
        <f aca="false">IF(AND(ISNUMBER($G230),$G230&gt;=MA_LONG2),AVERAGE(INDEX($C$5:$C230,227-MA_LONG2):$C230),"")</f>
        <v>1013425.01</v>
      </c>
      <c r="L230" s="46" t="n">
        <f aca="false">IF(AND(ISNUMBER($G230),$G230&gt;=21),STDEV(INDEX($H$170:$H230,62-20):$H230)*SQRT(245),"")</f>
        <v>0.166753392545749</v>
      </c>
      <c r="M230" s="45" t="n">
        <f aca="false">IF(AND(ISNUMBER($G230),$G230&gt;=60),MAX(INDEX($D$30:$D230,202-60):$D230),"")</f>
        <v>1128161</v>
      </c>
      <c r="N230" s="45" t="n">
        <f aca="false">IF(AND(ISNUMBER($G230),$G230&gt;=60),MIN(INDEX($E$30:$E230,202-60):$E230),"")</f>
        <v>988816</v>
      </c>
      <c r="O230" s="46" t="n">
        <f aca="false">IF(OR(NOT(ISNUMBER($C230)),NOT(ISNUMBER($M230)),$M230=0),"",$C230/$M230-1)</f>
        <v>-0.00907228666830351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1112824</v>
      </c>
      <c r="D231" s="42" t="n">
        <v>1117831</v>
      </c>
      <c r="E231" s="42" t="n">
        <v>1108181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-0.00456380833794012</v>
      </c>
      <c r="I231" s="45" t="n">
        <f aca="false">IF(AND(ISNUMBER($G231),$G231&gt;=MA_SHORT),AVERAGE(INDEX($C$5:$C231,228-MA_SHORT):$C231),"")</f>
        <v>1099752.45</v>
      </c>
      <c r="J231" s="45" t="n">
        <f aca="false">IF(AND(ISNUMBER($G231),$G231&gt;=MA_MED),AVERAGE(INDEX($C$5:$C231,228-MA_MED):$C231),"")</f>
        <v>1053251.22</v>
      </c>
      <c r="K231" s="45" t="n">
        <f aca="false">IF(AND(ISNUMBER($G231),$G231&gt;=MA_LONG2),AVERAGE(INDEX($C$5:$C231,228-MA_LONG2):$C231),"")</f>
        <v>1013976.195</v>
      </c>
      <c r="L231" s="46" t="n">
        <f aca="false">IF(AND(ISNUMBER($G231),$G231&gt;=21),STDEV(INDEX($H$171:$H231,62-20):$H231)*SQRT(245),"")</f>
        <v>0.162303102772336</v>
      </c>
      <c r="M231" s="45" t="n">
        <f aca="false">IF(AND(ISNUMBER($G231),$G231&gt;=60),MAX(INDEX($D$31:$D231,202-60):$D231),"")</f>
        <v>1128161</v>
      </c>
      <c r="N231" s="45" t="n">
        <f aca="false">IF(AND(ISNUMBER($G231),$G231&gt;=60),MIN(INDEX($E$31:$E231,202-60):$E231),"")</f>
        <v>988816</v>
      </c>
      <c r="O231" s="46" t="n">
        <f aca="false">IF(OR(NOT(ISNUMBER($C231)),NOT(ISNUMBER($M231)),$M231=0),"",$C231/$M231-1)</f>
        <v>-0.0135946908287027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1118810</v>
      </c>
      <c r="D232" s="42" t="n">
        <v>1122909</v>
      </c>
      <c r="E232" s="42" t="n">
        <v>1117955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0.0053791075677736</v>
      </c>
      <c r="I232" s="45" t="n">
        <f aca="false">IF(AND(ISNUMBER($G232),$G232&gt;=MA_SHORT),AVERAGE(INDEX($C$5:$C232,229-MA_SHORT):$C232),"")</f>
        <v>1104442.45</v>
      </c>
      <c r="J232" s="45" t="n">
        <f aca="false">IF(AND(ISNUMBER($G232),$G232&gt;=MA_MED),AVERAGE(INDEX($C$5:$C232,229-MA_MED):$C232),"")</f>
        <v>1055136.8</v>
      </c>
      <c r="K232" s="45" t="n">
        <f aca="false">IF(AND(ISNUMBER($G232),$G232&gt;=MA_LONG2),AVERAGE(INDEX($C$5:$C232,229-MA_LONG2):$C232),"")</f>
        <v>1014599.73</v>
      </c>
      <c r="L232" s="46" t="n">
        <f aca="false">IF(AND(ISNUMBER($G232),$G232&gt;=21),STDEV(INDEX($H$172:$H232,62-20):$H232)*SQRT(245),"")</f>
        <v>0.161528557000312</v>
      </c>
      <c r="M232" s="45" t="n">
        <f aca="false">IF(AND(ISNUMBER($G232),$G232&gt;=60),MAX(INDEX($D$32:$D232,202-60):$D232),"")</f>
        <v>1128161</v>
      </c>
      <c r="N232" s="45" t="n">
        <f aca="false">IF(AND(ISNUMBER($G232),$G232&gt;=60),MIN(INDEX($E$32:$E232,202-60):$E232),"")</f>
        <v>988816</v>
      </c>
      <c r="O232" s="46" t="n">
        <f aca="false">IF(OR(NOT(ISNUMBER($C232)),NOT(ISNUMBER($M232)),$M232=0),"",$C232/$M232-1)</f>
        <v>-0.00828871056524738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1119580</v>
      </c>
      <c r="D233" s="42" t="n">
        <v>1123013</v>
      </c>
      <c r="E233" s="42" t="n">
        <v>1119320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0.000688231245698612</v>
      </c>
      <c r="I233" s="45" t="n">
        <f aca="false">IF(AND(ISNUMBER($G233),$G233&gt;=MA_SHORT),AVERAGE(INDEX($C$5:$C233,230-MA_SHORT):$C233),"")</f>
        <v>1109003.2</v>
      </c>
      <c r="J233" s="45" t="n">
        <f aca="false">IF(AND(ISNUMBER($G233),$G233&gt;=MA_MED),AVERAGE(INDEX($C$5:$C233,230-MA_MED):$C233),"")</f>
        <v>1057095.04</v>
      </c>
      <c r="K233" s="45" t="n">
        <f aca="false">IF(AND(ISNUMBER($G233),$G233&gt;=MA_LONG2),AVERAGE(INDEX($C$5:$C233,230-MA_LONG2):$C233),"")</f>
        <v>1015263.615</v>
      </c>
      <c r="L233" s="46" t="n">
        <f aca="false">IF(AND(ISNUMBER($G233),$G233&gt;=21),STDEV(INDEX($H$173:$H233,62-20):$H233)*SQRT(245),"")</f>
        <v>0.162021512918473</v>
      </c>
      <c r="M233" s="45" t="n">
        <f aca="false">IF(AND(ISNUMBER($G233),$G233&gt;=60),MAX(INDEX($D$33:$D233,202-60):$D233),"")</f>
        <v>1128161</v>
      </c>
      <c r="N233" s="45" t="n">
        <f aca="false">IF(AND(ISNUMBER($G233),$G233&gt;=60),MIN(INDEX($E$33:$E233,202-60):$E233),"")</f>
        <v>988816</v>
      </c>
      <c r="O233" s="46" t="n">
        <f aca="false">IF(OR(NOT(ISNUMBER($C233)),NOT(ISNUMBER($M233)),$M233=0),"",$C233/$M233-1)</f>
        <v>-0.00760618386914636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1106334</v>
      </c>
      <c r="D234" s="42" t="n">
        <v>1108752</v>
      </c>
      <c r="E234" s="42" t="n">
        <v>1106014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-0.0118312224226942</v>
      </c>
      <c r="I234" s="45" t="n">
        <f aca="false">IF(AND(ISNUMBER($G234),$G234&gt;=MA_SHORT),AVERAGE(INDEX($C$5:$C234,231-MA_SHORT):$C234),"")</f>
        <v>1111269.4</v>
      </c>
      <c r="J234" s="45" t="n">
        <f aca="false">IF(AND(ISNUMBER($G234),$G234&gt;=MA_MED),AVERAGE(INDEX($C$5:$C234,231-MA_MED):$C234),"")</f>
        <v>1058963.84</v>
      </c>
      <c r="K234" s="45" t="n">
        <f aca="false">IF(AND(ISNUMBER($G234),$G234&gt;=MA_LONG2),AVERAGE(INDEX($C$5:$C234,231-MA_LONG2):$C234),"")</f>
        <v>1015869.71</v>
      </c>
      <c r="L234" s="46" t="n">
        <f aca="false">IF(AND(ISNUMBER($G234),$G234&gt;=21),STDEV(INDEX($H$174:$H234,62-20):$H234)*SQRT(245),"")</f>
        <v>0.136672781818687</v>
      </c>
      <c r="M234" s="45" t="n">
        <f aca="false">IF(AND(ISNUMBER($G234),$G234&gt;=60),MAX(INDEX($D$34:$D234,202-60):$D234),"")</f>
        <v>1128161</v>
      </c>
      <c r="N234" s="45" t="n">
        <f aca="false">IF(AND(ISNUMBER($G234),$G234&gt;=60),MIN(INDEX($E$34:$E234,202-60):$E234),"")</f>
        <v>988816</v>
      </c>
      <c r="O234" s="46" t="n">
        <f aca="false">IF(OR(NOT(ISNUMBER($C234)),NOT(ISNUMBER($M234)),$M234=0),"",$C234/$M234-1)</f>
        <v>-0.0193474158386968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1113590</v>
      </c>
      <c r="D235" s="42" t="n">
        <v>1116417</v>
      </c>
      <c r="E235" s="42" t="n">
        <v>1112120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0.00655859803639758</v>
      </c>
      <c r="I235" s="45" t="n">
        <f aca="false">IF(AND(ISNUMBER($G235),$G235&gt;=MA_SHORT),AVERAGE(INDEX($C$5:$C235,232-MA_SHORT):$C235),"")</f>
        <v>1112900.45</v>
      </c>
      <c r="J235" s="45" t="n">
        <f aca="false">IF(AND(ISNUMBER($G235),$G235&gt;=MA_MED),AVERAGE(INDEX($C$5:$C235,232-MA_MED):$C235),"")</f>
        <v>1061207.88</v>
      </c>
      <c r="K235" s="45" t="n">
        <f aca="false">IF(AND(ISNUMBER($G235),$G235&gt;=MA_LONG2),AVERAGE(INDEX($C$5:$C235,232-MA_LONG2):$C235),"")</f>
        <v>1016537.875</v>
      </c>
      <c r="L235" s="46" t="n">
        <f aca="false">IF(AND(ISNUMBER($G235),$G235&gt;=21),STDEV(INDEX($H$175:$H235,62-20):$H235)*SQRT(245),"")</f>
        <v>0.123480063565035</v>
      </c>
      <c r="M235" s="45" t="n">
        <f aca="false">IF(AND(ISNUMBER($G235),$G235&gt;=60),MAX(INDEX($D$35:$D235,202-60):$D235),"")</f>
        <v>1128161</v>
      </c>
      <c r="N235" s="45" t="n">
        <f aca="false">IF(AND(ISNUMBER($G235),$G235&gt;=60),MIN(INDEX($E$35:$E235,202-60):$E235),"")</f>
        <v>988816</v>
      </c>
      <c r="O235" s="46" t="n">
        <f aca="false">IF(OR(NOT(ISNUMBER($C235)),NOT(ISNUMBER($M235)),$M235=0),"",$C235/$M235-1)</f>
        <v>-0.0129157097258281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1139210</v>
      </c>
      <c r="D236" s="42" t="n">
        <v>1139489</v>
      </c>
      <c r="E236" s="42" t="n">
        <v>1138598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0.0230066721145126</v>
      </c>
      <c r="I236" s="45" t="n">
        <f aca="false">IF(AND(ISNUMBER($G236),$G236&gt;=MA_SHORT),AVERAGE(INDEX($C$5:$C236,233-MA_SHORT):$C236),"")</f>
        <v>1115740.25</v>
      </c>
      <c r="J236" s="45" t="n">
        <f aca="false">IF(AND(ISNUMBER($G236),$G236&gt;=MA_MED),AVERAGE(INDEX($C$5:$C236,233-MA_MED):$C236),"")</f>
        <v>1064006.32</v>
      </c>
      <c r="K236" s="45" t="n">
        <f aca="false">IF(AND(ISNUMBER($G236),$G236&gt;=MA_LONG2),AVERAGE(INDEX($C$5:$C236,233-MA_LONG2):$C236),"")</f>
        <v>1017307.895</v>
      </c>
      <c r="L236" s="46" t="n">
        <f aca="false">IF(AND(ISNUMBER($G236),$G236&gt;=21),STDEV(INDEX($H$176:$H236,62-20):$H236)*SQRT(245),"")</f>
        <v>0.144564545369593</v>
      </c>
      <c r="M236" s="45" t="n">
        <f aca="false">IF(AND(ISNUMBER($G236),$G236&gt;=60),MAX(INDEX($D$36:$D236,202-60):$D236),"")</f>
        <v>1139489</v>
      </c>
      <c r="N236" s="45" t="n">
        <f aca="false">IF(AND(ISNUMBER($G236),$G236&gt;=60),MIN(INDEX($E$36:$E236,202-60):$E236),"")</f>
        <v>992711</v>
      </c>
      <c r="O236" s="46" t="n">
        <f aca="false">IF(OR(NOT(ISNUMBER($C236)),NOT(ISNUMBER($M236)),$M236=0),"",$C236/$M236-1)</f>
        <v>-0.000244846593516868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1130495</v>
      </c>
      <c r="D237" s="42" t="n">
        <v>1135313</v>
      </c>
      <c r="E237" s="42" t="n">
        <v>1128867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-0.00765003818435583</v>
      </c>
      <c r="I237" s="45" t="n">
        <f aca="false">IF(AND(ISNUMBER($G237),$G237&gt;=MA_SHORT),AVERAGE(INDEX($C$5:$C237,234-MA_SHORT):$C237),"")</f>
        <v>1117566.35</v>
      </c>
      <c r="J237" s="45" t="n">
        <f aca="false">IF(AND(ISNUMBER($G237),$G237&gt;=MA_MED),AVERAGE(INDEX($C$5:$C237,234-MA_MED):$C237),"")</f>
        <v>1066435.2</v>
      </c>
      <c r="K237" s="45" t="n">
        <f aca="false">IF(AND(ISNUMBER($G237),$G237&gt;=MA_LONG2),AVERAGE(INDEX($C$5:$C237,234-MA_LONG2):$C237),"")</f>
        <v>1017975.43</v>
      </c>
      <c r="L237" s="46" t="n">
        <f aca="false">IF(AND(ISNUMBER($G237),$G237&gt;=21),STDEV(INDEX($H$177:$H237,62-20):$H237)*SQRT(245),"")</f>
        <v>0.145587682792883</v>
      </c>
      <c r="M237" s="45" t="n">
        <f aca="false">IF(AND(ISNUMBER($G237),$G237&gt;=60),MAX(INDEX($D$37:$D237,202-60):$D237),"")</f>
        <v>1139489</v>
      </c>
      <c r="N237" s="45" t="n">
        <f aca="false">IF(AND(ISNUMBER($G237),$G237&gt;=60),MIN(INDEX($E$37:$E237,202-60):$E237),"")</f>
        <v>995046</v>
      </c>
      <c r="O237" s="46" t="n">
        <f aca="false">IF(OR(NOT(ISNUMBER($C237)),NOT(ISNUMBER($M237)),$M237=0),"",$C237/$M237-1)</f>
        <v>-0.00789301169208301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1125004</v>
      </c>
      <c r="D238" s="42" t="n">
        <v>1126075</v>
      </c>
      <c r="E238" s="42" t="n">
        <v>1124494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-0.004857164339515</v>
      </c>
      <c r="I238" s="45" t="n">
        <f aca="false">IF(AND(ISNUMBER($G238),$G238&gt;=MA_SHORT),AVERAGE(INDEX($C$5:$C238,235-MA_SHORT):$C238),"")</f>
        <v>1119050</v>
      </c>
      <c r="J238" s="45" t="n">
        <f aca="false">IF(AND(ISNUMBER($G238),$G238&gt;=MA_MED),AVERAGE(INDEX($C$5:$C238,235-MA_MED):$C238),"")</f>
        <v>1068416.24</v>
      </c>
      <c r="K238" s="45" t="n">
        <f aca="false">IF(AND(ISNUMBER($G238),$G238&gt;=MA_LONG2),AVERAGE(INDEX($C$5:$C238,235-MA_LONG2):$C238),"")</f>
        <v>1018669.365</v>
      </c>
      <c r="L238" s="46" t="n">
        <f aca="false">IF(AND(ISNUMBER($G238),$G238&gt;=21),STDEV(INDEX($H$178:$H238,62-20):$H238)*SQRT(245),"")</f>
        <v>0.14738056385878</v>
      </c>
      <c r="M238" s="45" t="n">
        <f aca="false">IF(AND(ISNUMBER($G238),$G238&gt;=60),MAX(INDEX($D$38:$D238,202-60):$D238),"")</f>
        <v>1139489</v>
      </c>
      <c r="N238" s="45" t="n">
        <f aca="false">IF(AND(ISNUMBER($G238),$G238&gt;=60),MIN(INDEX($E$38:$E238,202-60):$E238),"")</f>
        <v>995046</v>
      </c>
      <c r="O238" s="46" t="n">
        <f aca="false">IF(OR(NOT(ISNUMBER($C238)),NOT(ISNUMBER($M238)),$M238=0),"",$C238/$M238-1)</f>
        <v>-0.0127118383766759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1117341</v>
      </c>
      <c r="D239" s="42" t="n">
        <v>1123328</v>
      </c>
      <c r="E239" s="42" t="n">
        <v>1115252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-0.00681153133677748</v>
      </c>
      <c r="I239" s="45" t="n">
        <f aca="false">IF(AND(ISNUMBER($G239),$G239&gt;=MA_SHORT),AVERAGE(INDEX($C$5:$C239,236-MA_SHORT):$C239),"")</f>
        <v>1119111.75</v>
      </c>
      <c r="J239" s="45" t="n">
        <f aca="false">IF(AND(ISNUMBER($G239),$G239&gt;=MA_MED),AVERAGE(INDEX($C$5:$C239,236-MA_MED):$C239),"")</f>
        <v>1070354.88</v>
      </c>
      <c r="K239" s="45" t="n">
        <f aca="false">IF(AND(ISNUMBER($G239),$G239&gt;=MA_LONG2),AVERAGE(INDEX($C$5:$C239,236-MA_LONG2):$C239),"")</f>
        <v>1019333.255</v>
      </c>
      <c r="L239" s="46" t="n">
        <f aca="false">IF(AND(ISNUMBER($G239),$G239&gt;=21),STDEV(INDEX($H$179:$H239,62-20):$H239)*SQRT(245),"")</f>
        <v>0.134792681982255</v>
      </c>
      <c r="M239" s="45" t="n">
        <f aca="false">IF(AND(ISNUMBER($G239),$G239&gt;=60),MAX(INDEX($D$39:$D239,202-60):$D239),"")</f>
        <v>1139489</v>
      </c>
      <c r="N239" s="45" t="n">
        <f aca="false">IF(AND(ISNUMBER($G239),$G239&gt;=60),MIN(INDEX($E$39:$E239,202-60):$E239),"")</f>
        <v>995046</v>
      </c>
      <c r="O239" s="46" t="n">
        <f aca="false">IF(OR(NOT(ISNUMBER($C239)),NOT(ISNUMBER($M239)),$M239=0),"",$C239/$M239-1)</f>
        <v>-0.0194367826280025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1114285</v>
      </c>
      <c r="D240" s="42" t="n">
        <v>1117033</v>
      </c>
      <c r="E240" s="42" t="n">
        <v>1113921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-0.00273506476536711</v>
      </c>
      <c r="I240" s="45" t="n">
        <f aca="false">IF(AND(ISNUMBER($G240),$G240&gt;=MA_SHORT),AVERAGE(INDEX($C$5:$C240,237-MA_SHORT):$C240),"")</f>
        <v>1118537.8</v>
      </c>
      <c r="J240" s="45" t="n">
        <f aca="false">IF(AND(ISNUMBER($G240),$G240&gt;=MA_MED),AVERAGE(INDEX($C$5:$C240,237-MA_MED):$C240),"")</f>
        <v>1072159.54</v>
      </c>
      <c r="K240" s="45" t="n">
        <f aca="false">IF(AND(ISNUMBER($G240),$G240&gt;=MA_LONG2),AVERAGE(INDEX($C$5:$C240,237-MA_LONG2):$C240),"")</f>
        <v>1019979.93</v>
      </c>
      <c r="L240" s="46" t="n">
        <f aca="false">IF(AND(ISNUMBER($G240),$G240&gt;=21),STDEV(INDEX($H$180:$H240,62-20):$H240)*SQRT(245),"")</f>
        <v>0.131312240400127</v>
      </c>
      <c r="M240" s="45" t="n">
        <f aca="false">IF(AND(ISNUMBER($G240),$G240&gt;=60),MAX(INDEX($D$40:$D240,202-60):$D240),"")</f>
        <v>1139489</v>
      </c>
      <c r="N240" s="45" t="n">
        <f aca="false">IF(AND(ISNUMBER($G240),$G240&gt;=60),MIN(INDEX($E$40:$E240,202-60):$E240),"")</f>
        <v>995046</v>
      </c>
      <c r="O240" s="46" t="n">
        <f aca="false">IF(OR(NOT(ISNUMBER($C240)),NOT(ISNUMBER($M240)),$M240=0),"",$C240/$M240-1)</f>
        <v>-0.0221186865340517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1107779</v>
      </c>
      <c r="D241" s="42" t="n">
        <v>1110653</v>
      </c>
      <c r="E241" s="42" t="n">
        <v>1101923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-0.00583872169148825</v>
      </c>
      <c r="I241" s="45" t="n">
        <f aca="false">IF(AND(ISNUMBER($G241),$G241&gt;=MA_SHORT),AVERAGE(INDEX($C$5:$C241,238-MA_SHORT):$C241),"")</f>
        <v>1118415.25</v>
      </c>
      <c r="J241" s="45" t="n">
        <f aca="false">IF(AND(ISNUMBER($G241),$G241&gt;=MA_MED),AVERAGE(INDEX($C$5:$C241,238-MA_MED):$C241),"")</f>
        <v>1073952.62</v>
      </c>
      <c r="K241" s="45" t="n">
        <f aca="false">IF(AND(ISNUMBER($G241),$G241&gt;=MA_LONG2),AVERAGE(INDEX($C$5:$C241,238-MA_LONG2):$C241),"")</f>
        <v>1020561.65</v>
      </c>
      <c r="L241" s="46" t="n">
        <f aca="false">IF(AND(ISNUMBER($G241),$G241&gt;=21),STDEV(INDEX($H$181:$H241,62-20):$H241)*SQRT(245),"")</f>
        <v>0.123631682785181</v>
      </c>
      <c r="M241" s="45" t="n">
        <f aca="false">IF(AND(ISNUMBER($G241),$G241&gt;=60),MAX(INDEX($D$41:$D241,202-60):$D241),"")</f>
        <v>1139489</v>
      </c>
      <c r="N241" s="45" t="n">
        <f aca="false">IF(AND(ISNUMBER($G241),$G241&gt;=60),MIN(INDEX($E$41:$E241,202-60):$E241),"")</f>
        <v>995046</v>
      </c>
      <c r="O241" s="46" t="n">
        <f aca="false">IF(OR(NOT(ISNUMBER($C241)),NOT(ISNUMBER($M241)),$M241=0),"",$C241/$M241-1)</f>
        <v>-0.0278282633706863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1114439</v>
      </c>
      <c r="D242" s="42" t="n">
        <v>1115467</v>
      </c>
      <c r="E242" s="42" t="n">
        <v>1110984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0.00601202947519308</v>
      </c>
      <c r="I242" s="45" t="n">
        <f aca="false">IF(AND(ISNUMBER($G242),$G242&gt;=MA_SHORT),AVERAGE(INDEX($C$5:$C242,239-MA_SHORT):$C242),"")</f>
        <v>1118327.95</v>
      </c>
      <c r="J242" s="45" t="n">
        <f aca="false">IF(AND(ISNUMBER($G242),$G242&gt;=MA_MED),AVERAGE(INDEX($C$5:$C242,239-MA_MED):$C242),"")</f>
        <v>1075769.12</v>
      </c>
      <c r="K242" s="45" t="n">
        <f aca="false">IF(AND(ISNUMBER($G242),$G242&gt;=MA_LONG2),AVERAGE(INDEX($C$5:$C242,239-MA_LONG2):$C242),"")</f>
        <v>1021214.505</v>
      </c>
      <c r="L242" s="46" t="n">
        <f aca="false">IF(AND(ISNUMBER($G242),$G242&gt;=21),STDEV(INDEX($H$182:$H242,62-20):$H242)*SQRT(245),"")</f>
        <v>0.124020042104765</v>
      </c>
      <c r="M242" s="45" t="n">
        <f aca="false">IF(AND(ISNUMBER($G242),$G242&gt;=60),MAX(INDEX($D$42:$D242,202-60):$D242),"")</f>
        <v>1139489</v>
      </c>
      <c r="N242" s="45" t="n">
        <f aca="false">IF(AND(ISNUMBER($G242),$G242&gt;=60),MIN(INDEX($E$42:$E242,202-60):$E242),"")</f>
        <v>995046</v>
      </c>
      <c r="O242" s="46" t="n">
        <f aca="false">IF(OR(NOT(ISNUMBER($C242)),NOT(ISNUMBER($M242)),$M242=0),"",$C242/$M242-1)</f>
        <v>-0.0219835382351212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1101154</v>
      </c>
      <c r="D243" s="42" t="n">
        <v>1104976</v>
      </c>
      <c r="E243" s="42" t="n">
        <v>1097147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-0.011920796023829</v>
      </c>
      <c r="I243" s="45" t="n">
        <f aca="false">IF(AND(ISNUMBER($G243),$G243&gt;=MA_SHORT),AVERAGE(INDEX($C$5:$C243,240-MA_SHORT):$C243),"")</f>
        <v>1117407.2</v>
      </c>
      <c r="J243" s="45" t="n">
        <f aca="false">IF(AND(ISNUMBER($G243),$G243&gt;=MA_MED),AVERAGE(INDEX($C$5:$C243,240-MA_MED):$C243),"")</f>
        <v>1077061.16</v>
      </c>
      <c r="K243" s="45" t="n">
        <f aca="false">IF(AND(ISNUMBER($G243),$G243&gt;=MA_LONG2),AVERAGE(INDEX($C$5:$C243,240-MA_LONG2):$C243),"")</f>
        <v>1021813.075</v>
      </c>
      <c r="L243" s="46" t="n">
        <f aca="false">IF(AND(ISNUMBER($G243),$G243&gt;=21),STDEV(INDEX($H$183:$H243,62-20):$H243)*SQRT(245),"")</f>
        <v>0.130122879925532</v>
      </c>
      <c r="M243" s="45" t="n">
        <f aca="false">IF(AND(ISNUMBER($G243),$G243&gt;=60),MAX(INDEX($D$43:$D243,202-60):$D243),"")</f>
        <v>1139489</v>
      </c>
      <c r="N243" s="45" t="n">
        <f aca="false">IF(AND(ISNUMBER($G243),$G243&gt;=60),MIN(INDEX($E$43:$E243,202-60):$E243),"")</f>
        <v>995046</v>
      </c>
      <c r="O243" s="46" t="n">
        <f aca="false">IF(OR(NOT(ISNUMBER($C243)),NOT(ISNUMBER($M243)),$M243=0),"",$C243/$M243-1)</f>
        <v>-0.0336422729837673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1087687</v>
      </c>
      <c r="D244" s="42" t="n">
        <v>1092816</v>
      </c>
      <c r="E244" s="42" t="n">
        <v>1086397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-0.0122298969989666</v>
      </c>
      <c r="I244" s="45" t="n">
        <f aca="false">IF(AND(ISNUMBER($G244),$G244&gt;=MA_SHORT),AVERAGE(INDEX($C$5:$C244,241-MA_SHORT):$C244),"")</f>
        <v>1115959.9</v>
      </c>
      <c r="J244" s="45" t="n">
        <f aca="false">IF(AND(ISNUMBER($G244),$G244&gt;=MA_MED),AVERAGE(INDEX($C$5:$C244,241-MA_MED):$C244),"")</f>
        <v>1078196.64</v>
      </c>
      <c r="K244" s="45" t="n">
        <f aca="false">IF(AND(ISNUMBER($G244),$G244&gt;=MA_LONG2),AVERAGE(INDEX($C$5:$C244,241-MA_LONG2):$C244),"")</f>
        <v>1022294.01</v>
      </c>
      <c r="L244" s="46" t="n">
        <f aca="false">IF(AND(ISNUMBER($G244),$G244&gt;=21),STDEV(INDEX($H$184:$H244,62-20):$H244)*SQRT(245),"")</f>
        <v>0.136070415709307</v>
      </c>
      <c r="M244" s="45" t="n">
        <f aca="false">IF(AND(ISNUMBER($G244),$G244&gt;=60),MAX(INDEX($D$44:$D244,202-60):$D244),"")</f>
        <v>1139489</v>
      </c>
      <c r="N244" s="45" t="n">
        <f aca="false">IF(AND(ISNUMBER($G244),$G244&gt;=60),MIN(INDEX($E$44:$E244,202-60):$E244),"")</f>
        <v>995046</v>
      </c>
      <c r="O244" s="46" t="n">
        <f aca="false">IF(OR(NOT(ISNUMBER($C244)),NOT(ISNUMBER($M244)),$M244=0),"",$C244/$M244-1)</f>
        <v>-0.0454607284493312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1090079</v>
      </c>
      <c r="D245" s="42" t="n">
        <v>1094501</v>
      </c>
      <c r="E245" s="42" t="n">
        <v>1088365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0.00219916207511894</v>
      </c>
      <c r="I245" s="45" t="n">
        <f aca="false">IF(AND(ISNUMBER($G245),$G245&gt;=MA_SHORT),AVERAGE(INDEX($C$5:$C245,242-MA_SHORT):$C245),"")</f>
        <v>1114134.8</v>
      </c>
      <c r="J245" s="45" t="n">
        <f aca="false">IF(AND(ISNUMBER($G245),$G245&gt;=MA_MED),AVERAGE(INDEX($C$5:$C245,242-MA_MED):$C245),"")</f>
        <v>1079407.1</v>
      </c>
      <c r="K245" s="45" t="n">
        <f aca="false">IF(AND(ISNUMBER($G245),$G245&gt;=MA_LONG2),AVERAGE(INDEX($C$5:$C245,242-MA_LONG2):$C245),"")</f>
        <v>1022789.85</v>
      </c>
      <c r="L245" s="46" t="n">
        <f aca="false">IF(AND(ISNUMBER($G245),$G245&gt;=21),STDEV(INDEX($H$185:$H245,62-20):$H245)*SQRT(245),"")</f>
        <v>0.13154522292683</v>
      </c>
      <c r="M245" s="45" t="n">
        <f aca="false">IF(AND(ISNUMBER($G245),$G245&gt;=60),MAX(INDEX($D$45:$D245,202-60):$D245),"")</f>
        <v>1139489</v>
      </c>
      <c r="N245" s="45" t="n">
        <f aca="false">IF(AND(ISNUMBER($G245),$G245&gt;=60),MIN(INDEX($E$45:$E245,202-60):$E245),"")</f>
        <v>997589</v>
      </c>
      <c r="O245" s="46" t="n">
        <f aca="false">IF(OR(NOT(ISNUMBER($C245)),NOT(ISNUMBER($M245)),$M245=0),"",$C245/$M245-1)</f>
        <v>-0.0433615418841252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1098411</v>
      </c>
      <c r="D246" s="42" t="n">
        <v>1102877</v>
      </c>
      <c r="E246" s="42" t="n">
        <v>1097685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0.00764348272005977</v>
      </c>
      <c r="I246" s="45" t="n">
        <f aca="false">IF(AND(ISNUMBER($G246),$G246&gt;=MA_SHORT),AVERAGE(INDEX($C$5:$C246,243-MA_SHORT):$C246),"")</f>
        <v>1113273.9</v>
      </c>
      <c r="J246" s="45" t="n">
        <f aca="false">IF(AND(ISNUMBER($G246),$G246&gt;=MA_MED),AVERAGE(INDEX($C$5:$C246,243-MA_MED):$C246),"")</f>
        <v>1080945.8</v>
      </c>
      <c r="K246" s="45" t="n">
        <f aca="false">IF(AND(ISNUMBER($G246),$G246&gt;=MA_LONG2),AVERAGE(INDEX($C$5:$C246,243-MA_LONG2):$C246),"")</f>
        <v>1023298.06</v>
      </c>
      <c r="L246" s="46" t="n">
        <f aca="false">IF(AND(ISNUMBER($G246),$G246&gt;=21),STDEV(INDEX($H$186:$H246,62-20):$H246)*SQRT(245),"")</f>
        <v>0.131781609566821</v>
      </c>
      <c r="M246" s="45" t="n">
        <f aca="false">IF(AND(ISNUMBER($G246),$G246&gt;=60),MAX(INDEX($D$46:$D246,202-60):$D246),"")</f>
        <v>1139489</v>
      </c>
      <c r="N246" s="45" t="n">
        <f aca="false">IF(AND(ISNUMBER($G246),$G246&gt;=60),MIN(INDEX($E$46:$E246,202-60):$E246),"")</f>
        <v>1000670</v>
      </c>
      <c r="O246" s="46" t="n">
        <f aca="false">IF(OR(NOT(ISNUMBER($C246)),NOT(ISNUMBER($M246)),$M246=0),"",$C246/$M246-1)</f>
        <v>-0.036049492360172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1092991</v>
      </c>
      <c r="D247" s="42" t="n">
        <v>1098557</v>
      </c>
      <c r="E247" s="42" t="n">
        <v>1090615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-0.00493440069336526</v>
      </c>
      <c r="I247" s="45" t="n">
        <f aca="false">IF(AND(ISNUMBER($G247),$G247&gt;=MA_SHORT),AVERAGE(INDEX($C$5:$C247,244-MA_SHORT):$C247),"")</f>
        <v>1112158.65</v>
      </c>
      <c r="J247" s="45" t="n">
        <f aca="false">IF(AND(ISNUMBER($G247),$G247&gt;=MA_MED),AVERAGE(INDEX($C$5:$C247,244-MA_MED):$C247),"")</f>
        <v>1082526.92</v>
      </c>
      <c r="K247" s="45" t="n">
        <f aca="false">IF(AND(ISNUMBER($G247),$G247&gt;=MA_LONG2),AVERAGE(INDEX($C$5:$C247,244-MA_LONG2):$C247),"")</f>
        <v>1023826.73</v>
      </c>
      <c r="L247" s="46" t="n">
        <f aca="false">IF(AND(ISNUMBER($G247),$G247&gt;=21),STDEV(INDEX($H$187:$H247,62-20):$H247)*SQRT(245),"")</f>
        <v>0.13257608590305</v>
      </c>
      <c r="M247" s="45" t="n">
        <f aca="false">IF(AND(ISNUMBER($G247),$G247&gt;=60),MAX(INDEX($D$47:$D247,202-60):$D247),"")</f>
        <v>1139489</v>
      </c>
      <c r="N247" s="45" t="n">
        <f aca="false">IF(AND(ISNUMBER($G247),$G247&gt;=60),MIN(INDEX($E$47:$E247,202-60):$E247),"")</f>
        <v>1000670</v>
      </c>
      <c r="O247" s="46" t="n">
        <f aca="false">IF(OR(NOT(ISNUMBER($C247)),NOT(ISNUMBER($M247)),$M247=0),"",$C247/$M247-1)</f>
        <v>-0.0408060104134397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1089600</v>
      </c>
      <c r="D248" s="42" t="n">
        <v>1090916</v>
      </c>
      <c r="E248" s="42" t="n">
        <v>1086879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-0.00310249581195088</v>
      </c>
      <c r="I248" s="45" t="n">
        <f aca="false">IF(AND(ISNUMBER($G248),$G248&gt;=MA_SHORT),AVERAGE(INDEX($C$5:$C248,245-MA_SHORT):$C248),"")</f>
        <v>1110905.65</v>
      </c>
      <c r="J248" s="45" t="n">
        <f aca="false">IF(AND(ISNUMBER($G248),$G248&gt;=MA_MED),AVERAGE(INDEX($C$5:$C248,245-MA_MED):$C248),"")</f>
        <v>1084286.82</v>
      </c>
      <c r="K248" s="45" t="n">
        <f aca="false">IF(AND(ISNUMBER($G248),$G248&gt;=MA_LONG2),AVERAGE(INDEX($C$5:$C248,245-MA_LONG2):$C248),"")</f>
        <v>1024344.965</v>
      </c>
      <c r="L248" s="46" t="n">
        <f aca="false">IF(AND(ISNUMBER($G248),$G248&gt;=21),STDEV(INDEX($H$188:$H248,62-20):$H248)*SQRT(245),"")</f>
        <v>0.132772338989026</v>
      </c>
      <c r="M248" s="45" t="n">
        <f aca="false">IF(AND(ISNUMBER($G248),$G248&gt;=60),MAX(INDEX($D$48:$D248,202-60):$D248),"")</f>
        <v>1139489</v>
      </c>
      <c r="N248" s="45" t="n">
        <f aca="false">IF(AND(ISNUMBER($G248),$G248&gt;=60),MIN(INDEX($E$48:$E248,202-60):$E248),"")</f>
        <v>1000670</v>
      </c>
      <c r="O248" s="46" t="n">
        <f aca="false">IF(OR(NOT(ISNUMBER($C248)),NOT(ISNUMBER($M248)),$M248=0),"",$C248/$M248-1)</f>
        <v>-0.0437819057489804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1083659</v>
      </c>
      <c r="D249" s="42" t="n">
        <v>1087301</v>
      </c>
      <c r="E249" s="42" t="n">
        <v>1082758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-0.00545245961820851</v>
      </c>
      <c r="I249" s="45" t="n">
        <f aca="false">IF(AND(ISNUMBER($G249),$G249&gt;=MA_SHORT),AVERAGE(INDEX($C$5:$C249,246-MA_SHORT):$C249),"")</f>
        <v>1109059.9</v>
      </c>
      <c r="J249" s="45" t="n">
        <f aca="false">IF(AND(ISNUMBER($G249),$G249&gt;=MA_MED),AVERAGE(INDEX($C$5:$C249,246-MA_MED):$C249),"")</f>
        <v>1085584.12</v>
      </c>
      <c r="K249" s="45" t="n">
        <f aca="false">IF(AND(ISNUMBER($G249),$G249&gt;=MA_LONG2),AVERAGE(INDEX($C$5:$C249,246-MA_LONG2):$C249),"")</f>
        <v>1024854.565</v>
      </c>
      <c r="L249" s="46" t="n">
        <f aca="false">IF(AND(ISNUMBER($G249),$G249&gt;=21),STDEV(INDEX($H$189:$H249,62-20):$H249)*SQRT(245),"")</f>
        <v>0.131409362850805</v>
      </c>
      <c r="M249" s="45" t="n">
        <f aca="false">IF(AND(ISNUMBER($G249),$G249&gt;=60),MAX(INDEX($D$49:$D249,202-60):$D249),"")</f>
        <v>1139489</v>
      </c>
      <c r="N249" s="45" t="n">
        <f aca="false">IF(AND(ISNUMBER($G249),$G249&gt;=60),MIN(INDEX($E$49:$E249,202-60):$E249),"")</f>
        <v>1000670</v>
      </c>
      <c r="O249" s="46" t="n">
        <f aca="false">IF(OR(NOT(ISNUMBER($C249)),NOT(ISNUMBER($M249)),$M249=0),"",$C249/$M249-1)</f>
        <v>-0.0489956462940845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1085029</v>
      </c>
      <c r="D250" s="42" t="n">
        <v>1085686</v>
      </c>
      <c r="E250" s="42" t="n">
        <v>1083868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0.00126423533602371</v>
      </c>
      <c r="I250" s="45" t="n">
        <f aca="false">IF(AND(ISNUMBER($G250),$G250&gt;=MA_SHORT),AVERAGE(INDEX($C$5:$C250,247-MA_SHORT):$C250),"")</f>
        <v>1107415.05</v>
      </c>
      <c r="J250" s="45" t="n">
        <f aca="false">IF(AND(ISNUMBER($G250),$G250&gt;=MA_MED),AVERAGE(INDEX($C$5:$C250,247-MA_MED):$C250),"")</f>
        <v>1086982.02</v>
      </c>
      <c r="K250" s="45" t="n">
        <f aca="false">IF(AND(ISNUMBER($G250),$G250&gt;=MA_LONG2),AVERAGE(INDEX($C$5:$C250,247-MA_LONG2):$C250),"")</f>
        <v>1025410.63</v>
      </c>
      <c r="L250" s="46" t="n">
        <f aca="false">IF(AND(ISNUMBER($G250),$G250&gt;=21),STDEV(INDEX($H$190:$H250,62-20):$H250)*SQRT(245),"")</f>
        <v>0.131764841078757</v>
      </c>
      <c r="M250" s="45" t="n">
        <f aca="false">IF(AND(ISNUMBER($G250),$G250&gt;=60),MAX(INDEX($D$50:$D250,202-60):$D250),"")</f>
        <v>1139489</v>
      </c>
      <c r="N250" s="45" t="n">
        <f aca="false">IF(AND(ISNUMBER($G250),$G250&gt;=60),MIN(INDEX($E$50:$E250,202-60):$E250),"")</f>
        <v>1000670</v>
      </c>
      <c r="O250" s="46" t="n">
        <f aca="false">IF(OR(NOT(ISNUMBER($C250)),NOT(ISNUMBER($M250)),$M250=0),"",$C250/$M250-1)</f>
        <v>-0.0477933529854171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1083182</v>
      </c>
      <c r="D251" s="42" t="n">
        <v>1087558</v>
      </c>
      <c r="E251" s="42" t="n">
        <v>1082119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-0.00170225864930795</v>
      </c>
      <c r="I251" s="45" t="n">
        <f aca="false">IF(AND(ISNUMBER($G251),$G251&gt;=MA_SHORT),AVERAGE(INDEX($C$5:$C251,248-MA_SHORT):$C251),"")</f>
        <v>1105932.95</v>
      </c>
      <c r="J251" s="45" t="n">
        <f aca="false">IF(AND(ISNUMBER($G251),$G251&gt;=MA_MED),AVERAGE(INDEX($C$5:$C251,248-MA_MED):$C251),"")</f>
        <v>1088403.88</v>
      </c>
      <c r="K251" s="45" t="n">
        <f aca="false">IF(AND(ISNUMBER($G251),$G251&gt;=MA_LONG2),AVERAGE(INDEX($C$5:$C251,248-MA_LONG2):$C251),"")</f>
        <v>1025905.58</v>
      </c>
      <c r="L251" s="46" t="n">
        <f aca="false">IF(AND(ISNUMBER($G251),$G251&gt;=21),STDEV(INDEX($H$191:$H251,62-20):$H251)*SQRT(245),"")</f>
        <v>0.131275052428359</v>
      </c>
      <c r="M251" s="45" t="n">
        <f aca="false">IF(AND(ISNUMBER($G251),$G251&gt;=60),MAX(INDEX($D$51:$D251,202-60):$D251),"")</f>
        <v>1139489</v>
      </c>
      <c r="N251" s="45" t="n">
        <f aca="false">IF(AND(ISNUMBER($G251),$G251&gt;=60),MIN(INDEX($E$51:$E251,202-60):$E251),"")</f>
        <v>1000670</v>
      </c>
      <c r="O251" s="46" t="n">
        <f aca="false">IF(OR(NOT(ISNUMBER($C251)),NOT(ISNUMBER($M251)),$M251=0),"",$C251/$M251-1)</f>
        <v>-0.0494142549862263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1092482</v>
      </c>
      <c r="D252" s="42" t="n">
        <v>1095248</v>
      </c>
      <c r="E252" s="42" t="n">
        <v>1091197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0.00858581475689224</v>
      </c>
      <c r="I252" s="45" t="n">
        <f aca="false">IF(AND(ISNUMBER($G252),$G252&gt;=MA_SHORT),AVERAGE(INDEX($C$5:$C252,249-MA_SHORT):$C252),"")</f>
        <v>1104616.55</v>
      </c>
      <c r="J252" s="45" t="n">
        <f aca="false">IF(AND(ISNUMBER($G252),$G252&gt;=MA_MED),AVERAGE(INDEX($C$5:$C252,249-MA_MED):$C252),"")</f>
        <v>1089808.08</v>
      </c>
      <c r="K252" s="45" t="n">
        <f aca="false">IF(AND(ISNUMBER($G252),$G252&gt;=MA_LONG2),AVERAGE(INDEX($C$5:$C252,249-MA_LONG2):$C252),"")</f>
        <v>1026420.87</v>
      </c>
      <c r="L252" s="46" t="n">
        <f aca="false">IF(AND(ISNUMBER($G252),$G252&gt;=21),STDEV(INDEX($H$192:$H252,62-20):$H252)*SQRT(245),"")</f>
        <v>0.133838573742551</v>
      </c>
      <c r="M252" s="45" t="n">
        <f aca="false">IF(AND(ISNUMBER($G252),$G252&gt;=60),MAX(INDEX($D$52:$D252,202-60):$D252),"")</f>
        <v>1139489</v>
      </c>
      <c r="N252" s="45" t="n">
        <f aca="false">IF(AND(ISNUMBER($G252),$G252&gt;=60),MIN(INDEX($E$52:$E252,202-60):$E252),"")</f>
        <v>1000670</v>
      </c>
      <c r="O252" s="46" t="n">
        <f aca="false">IF(OR(NOT(ISNUMBER($C252)),NOT(ISNUMBER($M252)),$M252=0),"",$C252/$M252-1)</f>
        <v>-0.0412527018689957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1092458</v>
      </c>
      <c r="D253" s="42" t="n">
        <v>1093647</v>
      </c>
      <c r="E253" s="42" t="n">
        <v>1089783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-2.19683253362968E-005</v>
      </c>
      <c r="I253" s="45" t="n">
        <f aca="false">IF(AND(ISNUMBER($G253),$G253&gt;=MA_SHORT),AVERAGE(INDEX($C$5:$C253,250-MA_SHORT):$C253),"")</f>
        <v>1103260.45</v>
      </c>
      <c r="J253" s="45" t="n">
        <f aca="false">IF(AND(ISNUMBER($G253),$G253&gt;=MA_MED),AVERAGE(INDEX($C$5:$C253,250-MA_MED):$C253),"")</f>
        <v>1091183.94</v>
      </c>
      <c r="K253" s="45" t="n">
        <f aca="false">IF(AND(ISNUMBER($G253),$G253&gt;=MA_LONG2),AVERAGE(INDEX($C$5:$C253,250-MA_LONG2):$C253),"")</f>
        <v>1026993.475</v>
      </c>
      <c r="L253" s="46" t="n">
        <f aca="false">IF(AND(ISNUMBER($G253),$G253&gt;=21),STDEV(INDEX($H$193:$H253,62-20):$H253)*SQRT(245),"")</f>
        <v>0.133735467739985</v>
      </c>
      <c r="M253" s="45" t="n">
        <f aca="false">IF(AND(ISNUMBER($G253),$G253&gt;=60),MAX(INDEX($D$53:$D253,202-60):$D253),"")</f>
        <v>1139489</v>
      </c>
      <c r="N253" s="45" t="n">
        <f aca="false">IF(AND(ISNUMBER($G253),$G253&gt;=60),MIN(INDEX($E$53:$E253,202-60):$E253),"")</f>
        <v>1000670</v>
      </c>
      <c r="O253" s="46" t="n">
        <f aca="false">IF(OR(NOT(ISNUMBER($C253)),NOT(ISNUMBER($M253)),$M253=0),"",$C253/$M253-1)</f>
        <v>-0.0412737639415562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1089141</v>
      </c>
      <c r="D254" s="42" t="n">
        <v>1091589</v>
      </c>
      <c r="E254" s="42" t="n">
        <v>1084717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-0.00303627233266635</v>
      </c>
      <c r="I254" s="45" t="n">
        <f aca="false">IF(AND(ISNUMBER($G254),$G254&gt;=MA_SHORT),AVERAGE(INDEX($C$5:$C254,251-MA_SHORT):$C254),"")</f>
        <v>1102400.8</v>
      </c>
      <c r="J254" s="45" t="n">
        <f aca="false">IF(AND(ISNUMBER($G254),$G254&gt;=MA_MED),AVERAGE(INDEX($C$5:$C254,251-MA_MED):$C254),"")</f>
        <v>1092190</v>
      </c>
      <c r="K254" s="45" t="n">
        <f aca="false">IF(AND(ISNUMBER($G254),$G254&gt;=MA_LONG2),AVERAGE(INDEX($C$5:$C254,251-MA_LONG2):$C254),"")</f>
        <v>1027522.64</v>
      </c>
      <c r="L254" s="46" t="n">
        <f aca="false">IF(AND(ISNUMBER($G254),$G254&gt;=21),STDEV(INDEX($H$194:$H254,62-20):$H254)*SQRT(245),"")</f>
        <v>0.128137893395582</v>
      </c>
      <c r="M254" s="45" t="n">
        <f aca="false">IF(AND(ISNUMBER($G254),$G254&gt;=60),MAX(INDEX($D$54:$D254,202-60):$D254),"")</f>
        <v>1139489</v>
      </c>
      <c r="N254" s="45" t="n">
        <f aca="false">IF(AND(ISNUMBER($G254),$G254&gt;=60),MIN(INDEX($E$54:$E254,202-60):$E254),"")</f>
        <v>1000670</v>
      </c>
      <c r="O254" s="46" t="n">
        <f aca="false">IF(OR(NOT(ISNUMBER($C254)),NOT(ISNUMBER($M254)),$M254=0),"",$C254/$M254-1)</f>
        <v>-0.0441847178867019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1086031</v>
      </c>
      <c r="D255" s="42" t="n">
        <v>1089173</v>
      </c>
      <c r="E255" s="42" t="n">
        <v>1083181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-0.00285546132227144</v>
      </c>
      <c r="I255" s="45" t="n">
        <f aca="false">IF(AND(ISNUMBER($G255),$G255&gt;=MA_SHORT),AVERAGE(INDEX($C$5:$C255,252-MA_SHORT):$C255),"")</f>
        <v>1101022.85</v>
      </c>
      <c r="J255" s="45" t="n">
        <f aca="false">IF(AND(ISNUMBER($G255),$G255&gt;=MA_MED),AVERAGE(INDEX($C$5:$C255,252-MA_MED):$C255),"")</f>
        <v>1093074.36</v>
      </c>
      <c r="K255" s="45" t="n">
        <f aca="false">IF(AND(ISNUMBER($G255),$G255&gt;=MA_LONG2),AVERAGE(INDEX($C$5:$C255,252-MA_LONG2):$C255),"")</f>
        <v>1028068.71</v>
      </c>
      <c r="L255" s="46" t="n">
        <f aca="false">IF(AND(ISNUMBER($G255),$G255&gt;=21),STDEV(INDEX($H$195:$H255,62-20):$H255)*SQRT(245),"")</f>
        <v>0.125420420613833</v>
      </c>
      <c r="M255" s="45" t="n">
        <f aca="false">IF(AND(ISNUMBER($G255),$G255&gt;=60),MAX(INDEX($D$55:$D255,202-60):$D255),"")</f>
        <v>1139489</v>
      </c>
      <c r="N255" s="45" t="n">
        <f aca="false">IF(AND(ISNUMBER($G255),$G255&gt;=60),MIN(INDEX($E$55:$E255,202-60):$E255),"")</f>
        <v>1000670</v>
      </c>
      <c r="O255" s="46" t="n">
        <f aca="false">IF(OR(NOT(ISNUMBER($C255)),NOT(ISNUMBER($M255)),$M255=0),"",$C255/$M255-1)</f>
        <v>-0.0469140114560123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1091561</v>
      </c>
      <c r="D256" s="42" t="n">
        <v>1091680</v>
      </c>
      <c r="E256" s="42" t="n">
        <v>1089860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0.0050919356813941</v>
      </c>
      <c r="I256" s="45" t="n">
        <f aca="false">IF(AND(ISNUMBER($G256),$G256&gt;=MA_SHORT),AVERAGE(INDEX($C$5:$C256,253-MA_SHORT):$C256),"")</f>
        <v>1098640.4</v>
      </c>
      <c r="J256" s="45" t="n">
        <f aca="false">IF(AND(ISNUMBER($G256),$G256&gt;=MA_MED),AVERAGE(INDEX($C$5:$C256,253-MA_MED):$C256),"")</f>
        <v>1094295.84</v>
      </c>
      <c r="K256" s="45" t="n">
        <f aca="false">IF(AND(ISNUMBER($G256),$G256&gt;=MA_LONG2),AVERAGE(INDEX($C$5:$C256,253-MA_LONG2):$C256),"")</f>
        <v>1028630.935</v>
      </c>
      <c r="L256" s="46" t="n">
        <f aca="false">IF(AND(ISNUMBER($G256),$G256&gt;=21),STDEV(INDEX($H$196:$H256,62-20):$H256)*SQRT(245),"")</f>
        <v>0.0920212355866891</v>
      </c>
      <c r="M256" s="45" t="n">
        <f aca="false">IF(AND(ISNUMBER($G256),$G256&gt;=60),MAX(INDEX($D$56:$D256,202-60):$D256),"")</f>
        <v>1139489</v>
      </c>
      <c r="N256" s="45" t="n">
        <f aca="false">IF(AND(ISNUMBER($G256),$G256&gt;=60),MIN(INDEX($E$56:$E256,202-60):$E256),"")</f>
        <v>1000670</v>
      </c>
      <c r="O256" s="46" t="n">
        <f aca="false">IF(OR(NOT(ISNUMBER($C256)),NOT(ISNUMBER($M256)),$M256=0),"",$C256/$M256-1)</f>
        <v>-0.0420609589035085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1093369</v>
      </c>
      <c r="D257" s="42" t="n">
        <v>1094710</v>
      </c>
      <c r="E257" s="42" t="n">
        <v>1092042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0.0016563435300454</v>
      </c>
      <c r="I257" s="45" t="n">
        <f aca="false">IF(AND(ISNUMBER($G257),$G257&gt;=MA_SHORT),AVERAGE(INDEX($C$5:$C257,254-MA_SHORT):$C257),"")</f>
        <v>1096784.1</v>
      </c>
      <c r="J257" s="45" t="n">
        <f aca="false">IF(AND(ISNUMBER($G257),$G257&gt;=MA_MED),AVERAGE(INDEX($C$5:$C257,254-MA_MED):$C257),"")</f>
        <v>1095481.48</v>
      </c>
      <c r="K257" s="45" t="n">
        <f aca="false">IF(AND(ISNUMBER($G257),$G257&gt;=MA_LONG2),AVERAGE(INDEX($C$5:$C257,254-MA_LONG2):$C257),"")</f>
        <v>1029213.64</v>
      </c>
      <c r="L257" s="46" t="n">
        <f aca="false">IF(AND(ISNUMBER($G257),$G257&gt;=21),STDEV(INDEX($H$197:$H257,62-20):$H257)*SQRT(245),"")</f>
        <v>0.0905596000216142</v>
      </c>
      <c r="M257" s="45" t="n">
        <f aca="false">IF(AND(ISNUMBER($G257),$G257&gt;=60),MAX(INDEX($D$57:$D257,202-60):$D257),"")</f>
        <v>1139489</v>
      </c>
      <c r="N257" s="45" t="n">
        <f aca="false">IF(AND(ISNUMBER($G257),$G257&gt;=60),MIN(INDEX($E$57:$E257,202-60):$E257),"")</f>
        <v>1000670</v>
      </c>
      <c r="O257" s="46" t="n">
        <f aca="false">IF(OR(NOT(ISNUMBER($C257)),NOT(ISNUMBER($M257)),$M257=0),"",$C257/$M257-1)</f>
        <v>-0.0404742827706104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1104341</v>
      </c>
      <c r="D258" s="42" t="n">
        <v>1105134</v>
      </c>
      <c r="E258" s="42" t="n">
        <v>1103542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0.0100350384911223</v>
      </c>
      <c r="I258" s="45" t="n">
        <f aca="false">IF(AND(ISNUMBER($G258),$G258&gt;=MA_SHORT),AVERAGE(INDEX($C$5:$C258,255-MA_SHORT):$C258),"")</f>
        <v>1095750.95</v>
      </c>
      <c r="J258" s="45" t="n">
        <f aca="false">IF(AND(ISNUMBER($G258),$G258&gt;=MA_MED),AVERAGE(INDEX($C$5:$C258,255-MA_MED):$C258),"")</f>
        <v>1097037.58</v>
      </c>
      <c r="K258" s="45" t="n">
        <f aca="false">IF(AND(ISNUMBER($G258),$G258&gt;=MA_LONG2),AVERAGE(INDEX($C$5:$C258,255-MA_LONG2):$C258),"")</f>
        <v>1029857.155</v>
      </c>
      <c r="L258" s="46" t="n">
        <f aca="false">IF(AND(ISNUMBER($G258),$G258&gt;=21),STDEV(INDEX($H$198:$H258,62-20):$H258)*SQRT(245),"")</f>
        <v>0.0984222605748265</v>
      </c>
      <c r="M258" s="45" t="n">
        <f aca="false">IF(AND(ISNUMBER($G258),$G258&gt;=60),MAX(INDEX($D$58:$D258,202-60):$D258),"")</f>
        <v>1139489</v>
      </c>
      <c r="N258" s="45" t="n">
        <f aca="false">IF(AND(ISNUMBER($G258),$G258&gt;=60),MIN(INDEX($E$58:$E258,202-60):$E258),"")</f>
        <v>1008079</v>
      </c>
      <c r="O258" s="46" t="n">
        <f aca="false">IF(OR(NOT(ISNUMBER($C258)),NOT(ISNUMBER($M258)),$M258=0),"",$C258/$M258-1)</f>
        <v>-0.0308454052649916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1122647</v>
      </c>
      <c r="D259" s="42" t="n">
        <v>1124682</v>
      </c>
      <c r="E259" s="42" t="n">
        <v>1116665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0.0165764016730339</v>
      </c>
      <c r="I259" s="45" t="n">
        <f aca="false">IF(AND(ISNUMBER($G259),$G259&gt;=MA_SHORT),AVERAGE(INDEX($C$5:$C259,256-MA_SHORT):$C259),"")</f>
        <v>1096016.25</v>
      </c>
      <c r="J259" s="45" t="n">
        <f aca="false">IF(AND(ISNUMBER($G259),$G259&gt;=MA_MED),AVERAGE(INDEX($C$5:$C259,256-MA_MED):$C259),"")</f>
        <v>1098925.18</v>
      </c>
      <c r="K259" s="45" t="n">
        <f aca="false">IF(AND(ISNUMBER($G259),$G259&gt;=MA_LONG2),AVERAGE(INDEX($C$5:$C259,256-MA_LONG2):$C259),"")</f>
        <v>1030690.9</v>
      </c>
      <c r="L259" s="46" t="n">
        <f aca="false">IF(AND(ISNUMBER($G259),$G259&gt;=21),STDEV(INDEX($H$199:$H259,62-20):$H259)*SQRT(245),"")</f>
        <v>0.113254774907916</v>
      </c>
      <c r="M259" s="45" t="n">
        <f aca="false">IF(AND(ISNUMBER($G259),$G259&gt;=60),MAX(INDEX($D$59:$D259,202-60):$D259),"")</f>
        <v>1139489</v>
      </c>
      <c r="N259" s="45" t="n">
        <f aca="false">IF(AND(ISNUMBER($G259),$G259&gt;=60),MIN(INDEX($E$59:$E259,202-60):$E259),"")</f>
        <v>1008079</v>
      </c>
      <c r="O259" s="46" t="n">
        <f aca="false">IF(OR(NOT(ISNUMBER($C259)),NOT(ISNUMBER($M259)),$M259=0),"",$C259/$M259-1)</f>
        <v>-0.0147803094193977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1121538</v>
      </c>
      <c r="D260" s="42" t="n">
        <v>1126116</v>
      </c>
      <c r="E260" s="42" t="n">
        <v>1114528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-0.000987843908191954</v>
      </c>
      <c r="I260" s="45" t="n">
        <f aca="false">IF(AND(ISNUMBER($G260),$G260&gt;=MA_SHORT),AVERAGE(INDEX($C$5:$C260,257-MA_SHORT):$C260),"")</f>
        <v>1096378.9</v>
      </c>
      <c r="J260" s="45" t="n">
        <f aca="false">IF(AND(ISNUMBER($G260),$G260&gt;=MA_MED),AVERAGE(INDEX($C$5:$C260,257-MA_MED):$C260),"")</f>
        <v>1100650.72</v>
      </c>
      <c r="K260" s="45" t="n">
        <f aca="false">IF(AND(ISNUMBER($G260),$G260&gt;=MA_LONG2),AVERAGE(INDEX($C$5:$C260,257-MA_LONG2):$C260),"")</f>
        <v>1031560.35</v>
      </c>
      <c r="L260" s="46" t="n">
        <f aca="false">IF(AND(ISNUMBER($G260),$G260&gt;=21),STDEV(INDEX($H$200:$H260,62-20):$H260)*SQRT(245),"")</f>
        <v>0.112822893088681</v>
      </c>
      <c r="M260" s="45" t="n">
        <f aca="false">IF(AND(ISNUMBER($G260),$G260&gt;=60),MAX(INDEX($D$60:$D260,202-60):$D260),"")</f>
        <v>1139489</v>
      </c>
      <c r="N260" s="45" t="n">
        <f aca="false">IF(AND(ISNUMBER($G260),$G260&gt;=60),MIN(INDEX($E$60:$E260,202-60):$E260),"")</f>
        <v>1008079</v>
      </c>
      <c r="O260" s="46" t="n">
        <f aca="false">IF(OR(NOT(ISNUMBER($C260)),NOT(ISNUMBER($M260)),$M260=0),"",$C260/$M260-1)</f>
        <v>-0.0157535526889685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1129794</v>
      </c>
      <c r="D261" s="42" t="n">
        <v>1135579</v>
      </c>
      <c r="E261" s="42" t="n">
        <v>1128414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0.00736131990177769</v>
      </c>
      <c r="I261" s="45" t="n">
        <f aca="false">IF(AND(ISNUMBER($G261),$G261&gt;=MA_SHORT),AVERAGE(INDEX($C$5:$C261,258-MA_SHORT):$C261),"")</f>
        <v>1097479.65</v>
      </c>
      <c r="J261" s="45" t="n">
        <f aca="false">IF(AND(ISNUMBER($G261),$G261&gt;=MA_MED),AVERAGE(INDEX($C$5:$C261,258-MA_MED):$C261),"")</f>
        <v>1102741.4</v>
      </c>
      <c r="K261" s="45" t="n">
        <f aca="false">IF(AND(ISNUMBER($G261),$G261&gt;=MA_LONG2),AVERAGE(INDEX($C$5:$C261,258-MA_LONG2):$C261),"")</f>
        <v>1032435.525</v>
      </c>
      <c r="L261" s="46" t="n">
        <f aca="false">IF(AND(ISNUMBER($G261),$G261&gt;=21),STDEV(INDEX($H$201:$H261,62-20):$H261)*SQRT(245),"")</f>
        <v>0.112946843628282</v>
      </c>
      <c r="M261" s="45" t="n">
        <f aca="false">IF(AND(ISNUMBER($G261),$G261&gt;=60),MAX(INDEX($D$61:$D261,202-60):$D261),"")</f>
        <v>1139489</v>
      </c>
      <c r="N261" s="45" t="n">
        <f aca="false">IF(AND(ISNUMBER($G261),$G261&gt;=60),MIN(INDEX($E$61:$E261,202-60):$E261),"")</f>
        <v>1019743</v>
      </c>
      <c r="O261" s="46" t="n">
        <f aca="false">IF(OR(NOT(ISNUMBER($C261)),NOT(ISNUMBER($M261)),$M261=0),"",$C261/$M261-1)</f>
        <v>-0.00850819972812378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1126930</v>
      </c>
      <c r="D262" s="42" t="n">
        <v>1129881</v>
      </c>
      <c r="E262" s="42" t="n">
        <v>1126518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-0.00253497540259551</v>
      </c>
      <c r="I262" s="45" t="n">
        <f aca="false">IF(AND(ISNUMBER($G262),$G262&gt;=MA_SHORT),AVERAGE(INDEX($C$5:$C262,259-MA_SHORT):$C262),"")</f>
        <v>1098104.2</v>
      </c>
      <c r="J262" s="45" t="n">
        <f aca="false">IF(AND(ISNUMBER($G262),$G262&gt;=MA_MED),AVERAGE(INDEX($C$5:$C262,259-MA_MED):$C262),"")</f>
        <v>1104779.8</v>
      </c>
      <c r="K262" s="45" t="n">
        <f aca="false">IF(AND(ISNUMBER($G262),$G262&gt;=MA_LONG2),AVERAGE(INDEX($C$5:$C262,259-MA_LONG2):$C262),"")</f>
        <v>1033296.105</v>
      </c>
      <c r="L262" s="46" t="n">
        <f aca="false">IF(AND(ISNUMBER($G262),$G262&gt;=21),STDEV(INDEX($H$202:$H262,62-20):$H262)*SQRT(245),"")</f>
        <v>0.112022798193067</v>
      </c>
      <c r="M262" s="45" t="n">
        <f aca="false">IF(AND(ISNUMBER($G262),$G262&gt;=60),MAX(INDEX($D$62:$D262,202-60):$D262),"")</f>
        <v>1139489</v>
      </c>
      <c r="N262" s="45" t="n">
        <f aca="false">IF(AND(ISNUMBER($G262),$G262&gt;=60),MIN(INDEX($E$62:$E262,202-60):$E262),"")</f>
        <v>1021062</v>
      </c>
      <c r="O262" s="46" t="n">
        <f aca="false">IF(OR(NOT(ISNUMBER($C262)),NOT(ISNUMBER($M262)),$M262=0),"",$C262/$M262-1)</f>
        <v>-0.0110216070536882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1159223</v>
      </c>
      <c r="D263" s="42" t="n">
        <v>1159725</v>
      </c>
      <c r="E263" s="42" t="n">
        <v>1158865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0.0286557283948425</v>
      </c>
      <c r="I263" s="45" t="n">
        <f aca="false">IF(AND(ISNUMBER($G263),$G263&gt;=MA_SHORT),AVERAGE(INDEX($C$5:$C263,260-MA_SHORT):$C263),"")</f>
        <v>1101007.65</v>
      </c>
      <c r="J263" s="45" t="n">
        <f aca="false">IF(AND(ISNUMBER($G263),$G263&gt;=MA_MED),AVERAGE(INDEX($C$5:$C263,260-MA_MED):$C263),"")</f>
        <v>1107396.96</v>
      </c>
      <c r="K263" s="45" t="n">
        <f aca="false">IF(AND(ISNUMBER($G263),$G263&gt;=MA_LONG2),AVERAGE(INDEX($C$5:$C263,260-MA_LONG2):$C263),"")</f>
        <v>1034357.85</v>
      </c>
      <c r="L263" s="46" t="n">
        <f aca="false">IF(AND(ISNUMBER($G263),$G263&gt;=21),STDEV(INDEX($H$203:$H263,62-20):$H263)*SQRT(245),"")</f>
        <v>0.140124671216708</v>
      </c>
      <c r="M263" s="45" t="n">
        <f aca="false">IF(AND(ISNUMBER($G263),$G263&gt;=60),MAX(INDEX($D$63:$D263,202-60):$D263),"")</f>
        <v>1159725</v>
      </c>
      <c r="N263" s="45" t="n">
        <f aca="false">IF(AND(ISNUMBER($G263),$G263&gt;=60),MIN(INDEX($E$63:$E263,202-60):$E263),"")</f>
        <v>1021062</v>
      </c>
      <c r="O263" s="46" t="n">
        <f aca="false">IF(OR(NOT(ISNUMBER($C263)),NOT(ISNUMBER($M263)),$M263=0),"",$C263/$M263-1)</f>
        <v>-0.000432861238655713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1156197</v>
      </c>
      <c r="D264" s="42" t="n">
        <v>1157211</v>
      </c>
      <c r="E264" s="42" t="n">
        <v>1149327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-0.00261036918694679</v>
      </c>
      <c r="I264" s="45" t="n">
        <f aca="false">IF(AND(ISNUMBER($G264),$G264&gt;=MA_SHORT),AVERAGE(INDEX($C$5:$C264,261-MA_SHORT):$C264),"")</f>
        <v>1104433.15</v>
      </c>
      <c r="J264" s="45" t="n">
        <f aca="false">IF(AND(ISNUMBER($G264),$G264&gt;=MA_MED),AVERAGE(INDEX($C$5:$C264,261-MA_MED):$C264),"")</f>
        <v>1109300.7</v>
      </c>
      <c r="K264" s="45" t="n">
        <f aca="false">IF(AND(ISNUMBER($G264),$G264&gt;=MA_LONG2),AVERAGE(INDEX($C$5:$C264,261-MA_LONG2):$C264),"")</f>
        <v>1035307.36</v>
      </c>
      <c r="L264" s="46" t="n">
        <f aca="false">IF(AND(ISNUMBER($G264),$G264&gt;=21),STDEV(INDEX($H$204:$H264,62-20):$H264)*SQRT(245),"")</f>
        <v>0.130716562436466</v>
      </c>
      <c r="M264" s="45" t="n">
        <f aca="false">IF(AND(ISNUMBER($G264),$G264&gt;=60),MAX(INDEX($D$64:$D264,202-60):$D264),"")</f>
        <v>1159725</v>
      </c>
      <c r="N264" s="45" t="n">
        <f aca="false">IF(AND(ISNUMBER($G264),$G264&gt;=60),MIN(INDEX($E$64:$E264,202-60):$E264),"")</f>
        <v>1021062</v>
      </c>
      <c r="O264" s="46" t="n">
        <f aca="false">IF(OR(NOT(ISNUMBER($C264)),NOT(ISNUMBER($M264)),$M264=0),"",$C264/$M264-1)</f>
        <v>-0.00304210049796283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1166776</v>
      </c>
      <c r="D265" s="42" t="n">
        <v>1168129</v>
      </c>
      <c r="E265" s="42" t="n">
        <v>1166758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0.0091498248135915</v>
      </c>
      <c r="I265" s="45" t="n">
        <f aca="false">IF(AND(ISNUMBER($G265),$G265&gt;=MA_SHORT),AVERAGE(INDEX($C$5:$C265,262-MA_SHORT):$C265),"")</f>
        <v>1108268</v>
      </c>
      <c r="J265" s="45" t="n">
        <f aca="false">IF(AND(ISNUMBER($G265),$G265&gt;=MA_MED),AVERAGE(INDEX($C$5:$C265,262-MA_MED):$C265),"")</f>
        <v>1111016.84</v>
      </c>
      <c r="K265" s="45" t="n">
        <f aca="false">IF(AND(ISNUMBER($G265),$G265&gt;=MA_LONG2),AVERAGE(INDEX($C$5:$C265,262-MA_LONG2):$C265),"")</f>
        <v>1036326.275</v>
      </c>
      <c r="L265" s="46" t="n">
        <f aca="false">IF(AND(ISNUMBER($G265),$G265&gt;=21),STDEV(INDEX($H$205:$H265,62-20):$H265)*SQRT(245),"")</f>
        <v>0.132358129746565</v>
      </c>
      <c r="M265" s="45" t="n">
        <f aca="false">IF(AND(ISNUMBER($G265),$G265&gt;=60),MAX(INDEX($D$65:$D265,202-60):$D265),"")</f>
        <v>1168129</v>
      </c>
      <c r="N265" s="45" t="n">
        <f aca="false">IF(AND(ISNUMBER($G265),$G265&gt;=60),MIN(INDEX($E$65:$E265,202-60):$E265),"")</f>
        <v>1021062</v>
      </c>
      <c r="O265" s="46" t="n">
        <f aca="false">IF(OR(NOT(ISNUMBER($C265)),NOT(ISNUMBER($M265)),$M265=0),"",$C265/$M265-1)</f>
        <v>-0.00115826248642059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1153985</v>
      </c>
      <c r="D266" s="42" t="n">
        <v>1158130</v>
      </c>
      <c r="E266" s="42" t="n">
        <v>1151123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-0.0109626869253395</v>
      </c>
      <c r="I266" s="45" t="n">
        <f aca="false">IF(AND(ISNUMBER($G266),$G266&gt;=MA_SHORT),AVERAGE(INDEX($C$5:$C266,263-MA_SHORT):$C266),"")</f>
        <v>1111046.7</v>
      </c>
      <c r="J266" s="45" t="n">
        <f aca="false">IF(AND(ISNUMBER($G266),$G266&gt;=MA_MED),AVERAGE(INDEX($C$5:$C266,263-MA_MED):$C266),"")</f>
        <v>1112448.26</v>
      </c>
      <c r="K266" s="45" t="n">
        <f aca="false">IF(AND(ISNUMBER($G266),$G266&gt;=MA_LONG2),AVERAGE(INDEX($C$5:$C266,263-MA_LONG2):$C266),"")</f>
        <v>1037259.305</v>
      </c>
      <c r="L266" s="46" t="n">
        <f aca="false">IF(AND(ISNUMBER($G266),$G266&gt;=21),STDEV(INDEX($H$206:$H266,62-20):$H266)*SQRT(245),"")</f>
        <v>0.140506378483886</v>
      </c>
      <c r="M266" s="45" t="n">
        <f aca="false">IF(AND(ISNUMBER($G266),$G266&gt;=60),MAX(INDEX($D$66:$D266,202-60):$D266),"")</f>
        <v>1168129</v>
      </c>
      <c r="N266" s="45" t="n">
        <f aca="false">IF(AND(ISNUMBER($G266),$G266&gt;=60),MIN(INDEX($E$66:$E266,202-60):$E266),"")</f>
        <v>1021062</v>
      </c>
      <c r="O266" s="46" t="n">
        <f aca="false">IF(OR(NOT(ISNUMBER($C266)),NOT(ISNUMBER($M266)),$M266=0),"",$C266/$M266-1)</f>
        <v>-0.0121082517427442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1139806</v>
      </c>
      <c r="D267" s="42" t="n">
        <v>1140495</v>
      </c>
      <c r="E267" s="42" t="n">
        <v>1137129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-0.012286988132428</v>
      </c>
      <c r="I267" s="45" t="n">
        <f aca="false">IF(AND(ISNUMBER($G267),$G267&gt;=MA_SHORT),AVERAGE(INDEX($C$5:$C267,264-MA_SHORT):$C267),"")</f>
        <v>1113387.45</v>
      </c>
      <c r="J267" s="45" t="n">
        <f aca="false">IF(AND(ISNUMBER($G267),$G267&gt;=MA_MED),AVERAGE(INDEX($C$5:$C267,264-MA_MED):$C267),"")</f>
        <v>1113364.92</v>
      </c>
      <c r="K267" s="45" t="n">
        <f aca="false">IF(AND(ISNUMBER($G267),$G267&gt;=MA_LONG2),AVERAGE(INDEX($C$5:$C267,264-MA_LONG2):$C267),"")</f>
        <v>1038202.97</v>
      </c>
      <c r="L267" s="46" t="n">
        <f aca="false">IF(AND(ISNUMBER($G267),$G267&gt;=21),STDEV(INDEX($H$207:$H267,62-20):$H267)*SQRT(245),"")</f>
        <v>0.147701231470437</v>
      </c>
      <c r="M267" s="45" t="n">
        <f aca="false">IF(AND(ISNUMBER($G267),$G267&gt;=60),MAX(INDEX($D$67:$D267,202-60):$D267),"")</f>
        <v>1168129</v>
      </c>
      <c r="N267" s="45" t="n">
        <f aca="false">IF(AND(ISNUMBER($G267),$G267&gt;=60),MIN(INDEX($E$67:$E267,202-60):$E267),"")</f>
        <v>1021062</v>
      </c>
      <c r="O267" s="46" t="n">
        <f aca="false">IF(OR(NOT(ISNUMBER($C267)),NOT(ISNUMBER($M267)),$M267=0),"",$C267/$M267-1)</f>
        <v>-0.0242464659297047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1136754</v>
      </c>
      <c r="D268" s="42" t="n">
        <v>1137832</v>
      </c>
      <c r="E268" s="42" t="n">
        <v>1135291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-0.00267764865248998</v>
      </c>
      <c r="I268" s="45" t="n">
        <f aca="false">IF(AND(ISNUMBER($G268),$G268&gt;=MA_SHORT),AVERAGE(INDEX($C$5:$C268,265-MA_SHORT):$C268),"")</f>
        <v>1115745.15</v>
      </c>
      <c r="J268" s="45" t="n">
        <f aca="false">IF(AND(ISNUMBER($G268),$G268&gt;=MA_MED),AVERAGE(INDEX($C$5:$C268,265-MA_MED):$C268),"")</f>
        <v>1114193.38</v>
      </c>
      <c r="K268" s="45" t="n">
        <f aca="false">IF(AND(ISNUMBER($G268),$G268&gt;=MA_LONG2),AVERAGE(INDEX($C$5:$C268,265-MA_LONG2):$C268),"")</f>
        <v>1039154.135</v>
      </c>
      <c r="L268" s="46" t="n">
        <f aca="false">IF(AND(ISNUMBER($G268),$G268&gt;=21),STDEV(INDEX($H$208:$H268,62-20):$H268)*SQRT(245),"")</f>
        <v>0.14751410938919</v>
      </c>
      <c r="M268" s="45" t="n">
        <f aca="false">IF(AND(ISNUMBER($G268),$G268&gt;=60),MAX(INDEX($D$68:$D268,202-60):$D268),"")</f>
        <v>1168129</v>
      </c>
      <c r="N268" s="45" t="n">
        <f aca="false">IF(AND(ISNUMBER($G268),$G268&gt;=60),MIN(INDEX($E$68:$E268,202-60):$E268),"")</f>
        <v>1021062</v>
      </c>
      <c r="O268" s="46" t="n">
        <f aca="false">IF(OR(NOT(ISNUMBER($C268)),NOT(ISNUMBER($M268)),$M268=0),"",$C268/$M268-1)</f>
        <v>-0.0268591910653704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1140013</v>
      </c>
      <c r="D269" s="42" t="n">
        <v>1146276</v>
      </c>
      <c r="E269" s="42" t="n">
        <v>1137448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0.00286693515043712</v>
      </c>
      <c r="I269" s="45" t="n">
        <f aca="false">IF(AND(ISNUMBER($G269),$G269&gt;=MA_SHORT),AVERAGE(INDEX($C$5:$C269,266-MA_SHORT):$C269),"")</f>
        <v>1118562.85</v>
      </c>
      <c r="J269" s="45" t="n">
        <f aca="false">IF(AND(ISNUMBER($G269),$G269&gt;=MA_MED),AVERAGE(INDEX($C$5:$C269,266-MA_MED):$C269),"")</f>
        <v>1114671.52</v>
      </c>
      <c r="K269" s="45" t="n">
        <f aca="false">IF(AND(ISNUMBER($G269),$G269&gt;=MA_LONG2),AVERAGE(INDEX($C$5:$C269,266-MA_LONG2):$C269),"")</f>
        <v>1040107.55</v>
      </c>
      <c r="L269" s="46" t="n">
        <f aca="false">IF(AND(ISNUMBER($G269),$G269&gt;=21),STDEV(INDEX($H$209:$H269,62-20):$H269)*SQRT(245),"")</f>
        <v>0.144825678196851</v>
      </c>
      <c r="M269" s="45" t="n">
        <f aca="false">IF(AND(ISNUMBER($G269),$G269&gt;=60),MAX(INDEX($D$69:$D269,202-60):$D269),"")</f>
        <v>1168129</v>
      </c>
      <c r="N269" s="45" t="n">
        <f aca="false">IF(AND(ISNUMBER($G269),$G269&gt;=60),MIN(INDEX($E$69:$E269,202-60):$E269),"")</f>
        <v>1021062</v>
      </c>
      <c r="O269" s="46" t="n">
        <f aca="false">IF(OR(NOT(ISNUMBER($C269)),NOT(ISNUMBER($M269)),$M269=0),"",$C269/$M269-1)</f>
        <v>-0.0240692594739108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1139026</v>
      </c>
      <c r="D270" s="42" t="n">
        <v>1141321</v>
      </c>
      <c r="E270" s="42" t="n">
        <v>1135220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-0.000865779600758954</v>
      </c>
      <c r="I270" s="45" t="n">
        <f aca="false">IF(AND(ISNUMBER($G270),$G270&gt;=MA_SHORT),AVERAGE(INDEX($C$5:$C270,267-MA_SHORT):$C270),"")</f>
        <v>1121262.7</v>
      </c>
      <c r="J270" s="45" t="n">
        <f aca="false">IF(AND(ISNUMBER($G270),$G270&gt;=MA_MED),AVERAGE(INDEX($C$5:$C270,267-MA_MED):$C270),"")</f>
        <v>1114936.76</v>
      </c>
      <c r="K270" s="45" t="n">
        <f aca="false">IF(AND(ISNUMBER($G270),$G270&gt;=MA_LONG2),AVERAGE(INDEX($C$5:$C270,267-MA_LONG2):$C270),"")</f>
        <v>1041029.16</v>
      </c>
      <c r="L270" s="46" t="n">
        <f aca="false">IF(AND(ISNUMBER($G270),$G270&gt;=21),STDEV(INDEX($H$210:$H270,62-20):$H270)*SQRT(245),"")</f>
        <v>0.145266107738089</v>
      </c>
      <c r="M270" s="45" t="n">
        <f aca="false">IF(AND(ISNUMBER($G270),$G270&gt;=60),MAX(INDEX($D$70:$D270,202-60):$D270),"")</f>
        <v>1168129</v>
      </c>
      <c r="N270" s="45" t="n">
        <f aca="false">IF(AND(ISNUMBER($G270),$G270&gt;=60),MIN(INDEX($E$70:$E270,202-60):$E270),"")</f>
        <v>1021062</v>
      </c>
      <c r="O270" s="46" t="n">
        <f aca="false">IF(OR(NOT(ISNUMBER($C270)),NOT(ISNUMBER($M270)),$M270=0),"",$C270/$M270-1)</f>
        <v>-0.0249142004008119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1139842</v>
      </c>
      <c r="D271" s="42" t="n">
        <v>1139883</v>
      </c>
      <c r="E271" s="42" t="n">
        <v>1131384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0.000716401557119939</v>
      </c>
      <c r="I271" s="45" t="n">
        <f aca="false">IF(AND(ISNUMBER($G271),$G271&gt;=MA_SHORT),AVERAGE(INDEX($C$5:$C271,268-MA_SHORT):$C271),"")</f>
        <v>1124095.7</v>
      </c>
      <c r="J271" s="45" t="n">
        <f aca="false">IF(AND(ISNUMBER($G271),$G271&gt;=MA_MED),AVERAGE(INDEX($C$5:$C271,268-MA_MED):$C271),"")</f>
        <v>1115529</v>
      </c>
      <c r="K271" s="45" t="n">
        <f aca="false">IF(AND(ISNUMBER($G271),$G271&gt;=MA_LONG2),AVERAGE(INDEX($C$5:$C271,268-MA_LONG2):$C271),"")</f>
        <v>1041955.68</v>
      </c>
      <c r="L271" s="46" t="n">
        <f aca="false">IF(AND(ISNUMBER($G271),$G271&gt;=21),STDEV(INDEX($H$211:$H271,62-20):$H271)*SQRT(245),"")</f>
        <v>0.144615141568698</v>
      </c>
      <c r="M271" s="45" t="n">
        <f aca="false">IF(AND(ISNUMBER($G271),$G271&gt;=60),MAX(INDEX($D$71:$D271,202-60):$D271),"")</f>
        <v>1168129</v>
      </c>
      <c r="N271" s="45" t="n">
        <f aca="false">IF(AND(ISNUMBER($G271),$G271&gt;=60),MIN(INDEX($E$71:$E271,202-60):$E271),"")</f>
        <v>1021062</v>
      </c>
      <c r="O271" s="46" t="n">
        <f aca="false">IF(OR(NOT(ISNUMBER($C271)),NOT(ISNUMBER($M271)),$M271=0),"",$C271/$M271-1)</f>
        <v>-0.0242156474156536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1147225</v>
      </c>
      <c r="D272" s="42" t="n">
        <v>1149363</v>
      </c>
      <c r="E272" s="42" t="n">
        <v>1143091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0.00647721350853892</v>
      </c>
      <c r="I272" s="45" t="n">
        <f aca="false">IF(AND(ISNUMBER($G272),$G272&gt;=MA_SHORT),AVERAGE(INDEX($C$5:$C272,269-MA_SHORT):$C272),"")</f>
        <v>1126832.85</v>
      </c>
      <c r="J272" s="45" t="n">
        <f aca="false">IF(AND(ISNUMBER($G272),$G272&gt;=MA_MED),AVERAGE(INDEX($C$5:$C272,269-MA_MED):$C272),"")</f>
        <v>1116149.8</v>
      </c>
      <c r="K272" s="45" t="n">
        <f aca="false">IF(AND(ISNUMBER($G272),$G272&gt;=MA_LONG2),AVERAGE(INDEX($C$5:$C272,269-MA_LONG2):$C272),"")</f>
        <v>1042975</v>
      </c>
      <c r="L272" s="46" t="n">
        <f aca="false">IF(AND(ISNUMBER($G272),$G272&gt;=21),STDEV(INDEX($H$212:$H272,62-20):$H272)*SQRT(245),"")</f>
        <v>0.143673609230218</v>
      </c>
      <c r="M272" s="45" t="n">
        <f aca="false">IF(AND(ISNUMBER($G272),$G272&gt;=60),MAX(INDEX($D$72:$D272,202-60):$D272),"")</f>
        <v>1168129</v>
      </c>
      <c r="N272" s="45" t="n">
        <f aca="false">IF(AND(ISNUMBER($G272),$G272&gt;=60),MIN(INDEX($E$72:$E272,202-60):$E272),"")</f>
        <v>1025617</v>
      </c>
      <c r="O272" s="46" t="n">
        <f aca="false">IF(OR(NOT(ISNUMBER($C272)),NOT(ISNUMBER($M272)),$M272=0),"",$C272/$M272-1)</f>
        <v>-0.0178952838256734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1136147</v>
      </c>
      <c r="D273" s="42" t="n">
        <v>1140085</v>
      </c>
      <c r="E273" s="42" t="n">
        <v>1131507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-0.00965634465776111</v>
      </c>
      <c r="I273" s="45" t="n">
        <f aca="false">IF(AND(ISNUMBER($G273),$G273&gt;=MA_SHORT),AVERAGE(INDEX($C$5:$C273,270-MA_SHORT):$C273),"")</f>
        <v>1129017.3</v>
      </c>
      <c r="J273" s="45" t="n">
        <f aca="false">IF(AND(ISNUMBER($G273),$G273&gt;=MA_MED),AVERAGE(INDEX($C$5:$C273,270-MA_MED):$C273),"")</f>
        <v>1116481.36</v>
      </c>
      <c r="K273" s="45" t="n">
        <f aca="false">IF(AND(ISNUMBER($G273),$G273&gt;=MA_LONG2),AVERAGE(INDEX($C$5:$C273,270-MA_LONG2):$C273),"")</f>
        <v>1043896.105</v>
      </c>
      <c r="L273" s="46" t="n">
        <f aca="false">IF(AND(ISNUMBER($G273),$G273&gt;=21),STDEV(INDEX($H$213:$H273,62-20):$H273)*SQRT(245),"")</f>
        <v>0.149675137041418</v>
      </c>
      <c r="M273" s="45" t="n">
        <f aca="false">IF(AND(ISNUMBER($G273),$G273&gt;=60),MAX(INDEX($D$73:$D273,202-60):$D273),"")</f>
        <v>1168129</v>
      </c>
      <c r="N273" s="45" t="n">
        <f aca="false">IF(AND(ISNUMBER($G273),$G273&gt;=60),MIN(INDEX($E$73:$E273,202-60):$E273),"")</f>
        <v>1060011</v>
      </c>
      <c r="O273" s="46" t="n">
        <f aca="false">IF(OR(NOT(ISNUMBER($C273)),NOT(ISNUMBER($M273)),$M273=0),"",$C273/$M273-1)</f>
        <v>-0.0273788254550653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1142808</v>
      </c>
      <c r="D274" s="42" t="n">
        <v>1147655</v>
      </c>
      <c r="E274" s="42" t="n">
        <v>1142387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0.00586279768375042</v>
      </c>
      <c r="I274" s="45" t="n">
        <f aca="false">IF(AND(ISNUMBER($G274),$G274&gt;=MA_SHORT),AVERAGE(INDEX($C$5:$C274,271-MA_SHORT):$C274),"")</f>
        <v>1131700.65</v>
      </c>
      <c r="J274" s="45" t="n">
        <f aca="false">IF(AND(ISNUMBER($G274),$G274&gt;=MA_MED),AVERAGE(INDEX($C$5:$C274,271-MA_MED):$C274),"")</f>
        <v>1117004.86</v>
      </c>
      <c r="K274" s="45" t="n">
        <f aca="false">IF(AND(ISNUMBER($G274),$G274&gt;=MA_LONG2),AVERAGE(INDEX($C$5:$C274,271-MA_LONG2):$C274),"")</f>
        <v>1044852.62</v>
      </c>
      <c r="L274" s="46" t="n">
        <f aca="false">IF(AND(ISNUMBER($G274),$G274&gt;=21),STDEV(INDEX($H$214:$H274,62-20):$H274)*SQRT(245),"")</f>
        <v>0.14904910617842</v>
      </c>
      <c r="M274" s="45" t="n">
        <f aca="false">IF(AND(ISNUMBER($G274),$G274&gt;=60),MAX(INDEX($D$74:$D274,202-60):$D274),"")</f>
        <v>1168129</v>
      </c>
      <c r="N274" s="45" t="n">
        <f aca="false">IF(AND(ISNUMBER($G274),$G274&gt;=60),MIN(INDEX($E$74:$E274,202-60):$E274),"")</f>
        <v>1077570</v>
      </c>
      <c r="O274" s="46" t="n">
        <f aca="false">IF(OR(NOT(ISNUMBER($C274)),NOT(ISNUMBER($M274)),$M274=0),"",$C274/$M274-1)</f>
        <v>-0.0216765442857767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1132529</v>
      </c>
      <c r="D275" s="42" t="n">
        <v>1132734</v>
      </c>
      <c r="E275" s="42" t="n">
        <v>1130395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-0.0089945117640059</v>
      </c>
      <c r="I275" s="45" t="n">
        <f aca="false">IF(AND(ISNUMBER($G275),$G275&gt;=MA_SHORT),AVERAGE(INDEX($C$5:$C275,272-MA_SHORT):$C275),"")</f>
        <v>1134025.55</v>
      </c>
      <c r="J275" s="45" t="n">
        <f aca="false">IF(AND(ISNUMBER($G275),$G275&gt;=MA_MED),AVERAGE(INDEX($C$5:$C275,272-MA_MED):$C275),"")</f>
        <v>1117123.82</v>
      </c>
      <c r="K275" s="45" t="n">
        <f aca="false">IF(AND(ISNUMBER($G275),$G275&gt;=MA_LONG2),AVERAGE(INDEX($C$5:$C275,272-MA_LONG2):$C275),"")</f>
        <v>1045743.62</v>
      </c>
      <c r="L275" s="46" t="n">
        <f aca="false">IF(AND(ISNUMBER($G275),$G275&gt;=21),STDEV(INDEX($H$215:$H275,62-20):$H275)*SQRT(245),"")</f>
        <v>0.153353783730832</v>
      </c>
      <c r="M275" s="45" t="n">
        <f aca="false">IF(AND(ISNUMBER($G275),$G275&gt;=60),MAX(INDEX($D$75:$D275,202-60):$D275),"")</f>
        <v>1168129</v>
      </c>
      <c r="N275" s="45" t="n">
        <f aca="false">IF(AND(ISNUMBER($G275),$G275&gt;=60),MIN(INDEX($E$75:$E275,202-60):$E275),"")</f>
        <v>1081224</v>
      </c>
      <c r="O275" s="46" t="n">
        <f aca="false">IF(OR(NOT(ISNUMBER($C275)),NOT(ISNUMBER($M275)),$M275=0),"",$C275/$M275-1)</f>
        <v>-0.0304760861172011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1135631</v>
      </c>
      <c r="D276" s="42" t="n">
        <v>1138710</v>
      </c>
      <c r="E276" s="42" t="n">
        <v>1132393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0.00273900270986438</v>
      </c>
      <c r="I276" s="45" t="n">
        <f aca="false">IF(AND(ISNUMBER($G276),$G276&gt;=MA_SHORT),AVERAGE(INDEX($C$5:$C276,273-MA_SHORT):$C276),"")</f>
        <v>1136229.05</v>
      </c>
      <c r="J276" s="45" t="n">
        <f aca="false">IF(AND(ISNUMBER($G276),$G276&gt;=MA_MED),AVERAGE(INDEX($C$5:$C276,273-MA_MED):$C276),"")</f>
        <v>1117523.86</v>
      </c>
      <c r="K276" s="45" t="n">
        <f aca="false">IF(AND(ISNUMBER($G276),$G276&gt;=MA_LONG2),AVERAGE(INDEX($C$5:$C276,273-MA_LONG2):$C276),"")</f>
        <v>1046628.75</v>
      </c>
      <c r="L276" s="46" t="n">
        <f aca="false">IF(AND(ISNUMBER($G276),$G276&gt;=21),STDEV(INDEX($H$216:$H276,62-20):$H276)*SQRT(245),"")</f>
        <v>0.152991167434152</v>
      </c>
      <c r="M276" s="45" t="n">
        <f aca="false">IF(AND(ISNUMBER($G276),$G276&gt;=60),MAX(INDEX($D$76:$D276,202-60):$D276),"")</f>
        <v>1168129</v>
      </c>
      <c r="N276" s="45" t="n">
        <f aca="false">IF(AND(ISNUMBER($G276),$G276&gt;=60),MIN(INDEX($E$76:$E276,202-60):$E276),"")</f>
        <v>1082119</v>
      </c>
      <c r="O276" s="46" t="n">
        <f aca="false">IF(OR(NOT(ISNUMBER($C276)),NOT(ISNUMBER($M276)),$M276=0),"",$C276/$M276-1)</f>
        <v>-0.0278205574897978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1138626</v>
      </c>
      <c r="D277" s="42" t="n">
        <v>1139490</v>
      </c>
      <c r="E277" s="42" t="n">
        <v>1134773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0.00263730032026244</v>
      </c>
      <c r="I277" s="45" t="n">
        <f aca="false">IF(AND(ISNUMBER($G277),$G277&gt;=MA_SHORT),AVERAGE(INDEX($C$5:$C277,274-MA_SHORT):$C277),"")</f>
        <v>1138491.9</v>
      </c>
      <c r="J277" s="45" t="n">
        <f aca="false">IF(AND(ISNUMBER($G277),$G277&gt;=MA_MED),AVERAGE(INDEX($C$5:$C277,274-MA_MED):$C277),"")</f>
        <v>1117990.46</v>
      </c>
      <c r="K277" s="45" t="n">
        <f aca="false">IF(AND(ISNUMBER($G277),$G277&gt;=MA_LONG2),AVERAGE(INDEX($C$5:$C277,274-MA_LONG2):$C277),"")</f>
        <v>1047470.28</v>
      </c>
      <c r="L277" s="46" t="n">
        <f aca="false">IF(AND(ISNUMBER($G277),$G277&gt;=21),STDEV(INDEX($H$217:$H277,62-20):$H277)*SQRT(245),"")</f>
        <v>0.152999129646312</v>
      </c>
      <c r="M277" s="45" t="n">
        <f aca="false">IF(AND(ISNUMBER($G277),$G277&gt;=60),MAX(INDEX($D$77:$D277,202-60):$D277),"")</f>
        <v>1168129</v>
      </c>
      <c r="N277" s="45" t="n">
        <f aca="false">IF(AND(ISNUMBER($G277),$G277&gt;=60),MIN(INDEX($E$77:$E277,202-60):$E277),"")</f>
        <v>1082119</v>
      </c>
      <c r="O277" s="46" t="n">
        <f aca="false">IF(OR(NOT(ISNUMBER($C277)),NOT(ISNUMBER($M277)),$M277=0),"",$C277/$M277-1)</f>
        <v>-0.025256628334713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1130813</v>
      </c>
      <c r="D278" s="42" t="n">
        <v>1130961</v>
      </c>
      <c r="E278" s="42" t="n">
        <v>1127679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-0.00686177902138196</v>
      </c>
      <c r="I278" s="45" t="n">
        <f aca="false">IF(AND(ISNUMBER($G278),$G278&gt;=MA_SHORT),AVERAGE(INDEX($C$5:$C278,275-MA_SHORT):$C278),"")</f>
        <v>1139815.5</v>
      </c>
      <c r="J278" s="45" t="n">
        <f aca="false">IF(AND(ISNUMBER($G278),$G278&gt;=MA_MED),AVERAGE(INDEX($C$5:$C278,275-MA_MED):$C278),"")</f>
        <v>1118313.52</v>
      </c>
      <c r="K278" s="45" t="n">
        <f aca="false">IF(AND(ISNUMBER($G278),$G278&gt;=MA_LONG2),AVERAGE(INDEX($C$5:$C278,275-MA_LONG2):$C278),"")</f>
        <v>1048301.585</v>
      </c>
      <c r="L278" s="46" t="n">
        <f aca="false">IF(AND(ISNUMBER($G278),$G278&gt;=21),STDEV(INDEX($H$218:$H278,62-20):$H278)*SQRT(245),"")</f>
        <v>0.153093075446726</v>
      </c>
      <c r="M278" s="45" t="n">
        <f aca="false">IF(AND(ISNUMBER($G278),$G278&gt;=60),MAX(INDEX($D$78:$D278,202-60):$D278),"")</f>
        <v>1168129</v>
      </c>
      <c r="N278" s="45" t="n">
        <f aca="false">IF(AND(ISNUMBER($G278),$G278&gt;=60),MIN(INDEX($E$78:$E278,202-60):$E278),"")</f>
        <v>1082119</v>
      </c>
      <c r="O278" s="46" t="n">
        <f aca="false">IF(OR(NOT(ISNUMBER($C278)),NOT(ISNUMBER($M278)),$M278=0),"",$C278/$M278-1)</f>
        <v>-0.031945101953637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1130186</v>
      </c>
      <c r="D279" s="42" t="n">
        <v>1134970</v>
      </c>
      <c r="E279" s="42" t="n">
        <v>1128177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-0.00055446833384476</v>
      </c>
      <c r="I279" s="45" t="n">
        <f aca="false">IF(AND(ISNUMBER($G279),$G279&gt;=MA_SHORT),AVERAGE(INDEX($C$5:$C279,276-MA_SHORT):$C279),"")</f>
        <v>1140192.45</v>
      </c>
      <c r="J279" s="45" t="n">
        <f aca="false">IF(AND(ISNUMBER($G279),$G279&gt;=MA_MED),AVERAGE(INDEX($C$5:$C279,276-MA_MED):$C279),"")</f>
        <v>1118505.76</v>
      </c>
      <c r="K279" s="45" t="n">
        <f aca="false">IF(AND(ISNUMBER($G279),$G279&gt;=MA_LONG2),AVERAGE(INDEX($C$5:$C279,276-MA_LONG2):$C279),"")</f>
        <v>1049116.475</v>
      </c>
      <c r="L279" s="46" t="n">
        <f aca="false">IF(AND(ISNUMBER($G279),$G279&gt;=21),STDEV(INDEX($H$219:$H279,62-20):$H279)*SQRT(245),"")</f>
        <v>0.142311505171214</v>
      </c>
      <c r="M279" s="45" t="n">
        <f aca="false">IF(AND(ISNUMBER($G279),$G279&gt;=60),MAX(INDEX($D$79:$D279,202-60):$D279),"")</f>
        <v>1168129</v>
      </c>
      <c r="N279" s="45" t="n">
        <f aca="false">IF(AND(ISNUMBER($G279),$G279&gt;=60),MIN(INDEX($E$79:$E279,202-60):$E279),"")</f>
        <v>1082119</v>
      </c>
      <c r="O279" s="46" t="n">
        <f aca="false">IF(OR(NOT(ISNUMBER($C279)),NOT(ISNUMBER($M279)),$M279=0),"",$C279/$M279-1)</f>
        <v>-0.032481857740027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1126311</v>
      </c>
      <c r="D280" s="42" t="n">
        <v>1131132</v>
      </c>
      <c r="E280" s="42" t="n">
        <v>1122113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-0.00342863917974567</v>
      </c>
      <c r="I280" s="45" t="n">
        <f aca="false">IF(AND(ISNUMBER($G280),$G280&gt;=MA_SHORT),AVERAGE(INDEX($C$5:$C280,277-MA_SHORT):$C280),"")</f>
        <v>1140431.1</v>
      </c>
      <c r="J280" s="45" t="n">
        <f aca="false">IF(AND(ISNUMBER($G280),$G280&gt;=MA_MED),AVERAGE(INDEX($C$5:$C280,277-MA_MED):$C280),"")</f>
        <v>1118673.46</v>
      </c>
      <c r="K280" s="45" t="n">
        <f aca="false">IF(AND(ISNUMBER($G280),$G280&gt;=MA_LONG2),AVERAGE(INDEX($C$5:$C280,277-MA_LONG2):$C280),"")</f>
        <v>1049855.375</v>
      </c>
      <c r="L280" s="46" t="n">
        <f aca="false">IF(AND(ISNUMBER($G280),$G280&gt;=21),STDEV(INDEX($H$220:$H280,62-20):$H280)*SQRT(245),"")</f>
        <v>0.142867931240089</v>
      </c>
      <c r="M280" s="45" t="n">
        <f aca="false">IF(AND(ISNUMBER($G280),$G280&gt;=60),MAX(INDEX($D$80:$D280,202-60):$D280),"")</f>
        <v>1168129</v>
      </c>
      <c r="N280" s="45" t="n">
        <f aca="false">IF(AND(ISNUMBER($G280),$G280&gt;=60),MIN(INDEX($E$80:$E280,202-60):$E280),"")</f>
        <v>1082119</v>
      </c>
      <c r="O280" s="46" t="n">
        <f aca="false">IF(OR(NOT(ISNUMBER($C280)),NOT(ISNUMBER($M280)),$M280=0),"",$C280/$M280-1)</f>
        <v>-0.0357991283496942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1139348</v>
      </c>
      <c r="D281" s="42" t="n">
        <v>1145119</v>
      </c>
      <c r="E281" s="42" t="n">
        <v>1134128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0.0115749557626623</v>
      </c>
      <c r="I281" s="45" t="n">
        <f aca="false">IF(AND(ISNUMBER($G281),$G281&gt;=MA_SHORT),AVERAGE(INDEX($C$5:$C281,278-MA_SHORT):$C281),"")</f>
        <v>1140908.8</v>
      </c>
      <c r="J281" s="45" t="n">
        <f aca="false">IF(AND(ISNUMBER($G281),$G281&gt;=MA_MED),AVERAGE(INDEX($C$5:$C281,278-MA_MED):$C281),"")</f>
        <v>1119203.94</v>
      </c>
      <c r="K281" s="45" t="n">
        <f aca="false">IF(AND(ISNUMBER($G281),$G281&gt;=MA_LONG2),AVERAGE(INDEX($C$5:$C281,278-MA_LONG2):$C281),"")</f>
        <v>1050705.505</v>
      </c>
      <c r="L281" s="46" t="n">
        <f aca="false">IF(AND(ISNUMBER($G281),$G281&gt;=21),STDEV(INDEX($H$221:$H281,62-20):$H281)*SQRT(245),"")</f>
        <v>0.146291949588609</v>
      </c>
      <c r="M281" s="45" t="n">
        <f aca="false">IF(AND(ISNUMBER($G281),$G281&gt;=60),MAX(INDEX($D$81:$D281,202-60):$D281),"")</f>
        <v>1168129</v>
      </c>
      <c r="N281" s="45" t="n">
        <f aca="false">IF(AND(ISNUMBER($G281),$G281&gt;=60),MIN(INDEX($E$81:$E281,202-60):$E281),"")</f>
        <v>1082119</v>
      </c>
      <c r="O281" s="46" t="n">
        <f aca="false">IF(OR(NOT(ISNUMBER($C281)),NOT(ISNUMBER($M281)),$M281=0),"",$C281/$M281-1)</f>
        <v>-0.0246385459140215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1163133</v>
      </c>
      <c r="D282" s="42" t="n">
        <v>1165088</v>
      </c>
      <c r="E282" s="42" t="n">
        <v>1157992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0.0208759746802558</v>
      </c>
      <c r="I282" s="45" t="n">
        <f aca="false">IF(AND(ISNUMBER($G282),$G282&gt;=MA_SHORT),AVERAGE(INDEX($C$5:$C282,279-MA_SHORT):$C282),"")</f>
        <v>1142718.95</v>
      </c>
      <c r="J282" s="45" t="n">
        <f aca="false">IF(AND(ISNUMBER($G282),$G282&gt;=MA_MED),AVERAGE(INDEX($C$5:$C282,279-MA_MED):$C282),"")</f>
        <v>1120090.4</v>
      </c>
      <c r="K282" s="45" t="n">
        <f aca="false">IF(AND(ISNUMBER($G282),$G282&gt;=MA_LONG2),AVERAGE(INDEX($C$5:$C282,279-MA_LONG2):$C282),"")</f>
        <v>1051654.75</v>
      </c>
      <c r="L282" s="46" t="n">
        <f aca="false">IF(AND(ISNUMBER($G282),$G282&gt;=21),STDEV(INDEX($H$222:$H282,62-20):$H282)*SQRT(245),"")</f>
        <v>0.162190016182447</v>
      </c>
      <c r="M282" s="45" t="n">
        <f aca="false">IF(AND(ISNUMBER($G282),$G282&gt;=60),MAX(INDEX($D$82:$D282,202-60):$D282),"")</f>
        <v>1168129</v>
      </c>
      <c r="N282" s="45" t="n">
        <f aca="false">IF(AND(ISNUMBER($G282),$G282&gt;=60),MIN(INDEX($E$82:$E282,202-60):$E282),"")</f>
        <v>1082119</v>
      </c>
      <c r="O282" s="46" t="n">
        <f aca="false">IF(OR(NOT(ISNUMBER($C282)),NOT(ISNUMBER($M282)),$M282=0),"",$C282/$M282-1)</f>
        <v>-0.00427692489442522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1181381</v>
      </c>
      <c r="D283" s="42" t="n">
        <v>1185465</v>
      </c>
      <c r="E283" s="42" t="n">
        <v>1178469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0.0156886615718066</v>
      </c>
      <c r="I283" s="45" t="n">
        <f aca="false">IF(AND(ISNUMBER($G283),$G283&gt;=MA_SHORT),AVERAGE(INDEX($C$5:$C283,280-MA_SHORT):$C283),"")</f>
        <v>1143826.85</v>
      </c>
      <c r="J283" s="45" t="n">
        <f aca="false">IF(AND(ISNUMBER($G283),$G283&gt;=MA_MED),AVERAGE(INDEX($C$5:$C283,280-MA_MED):$C283),"")</f>
        <v>1121326.42</v>
      </c>
      <c r="K283" s="45" t="n">
        <f aca="false">IF(AND(ISNUMBER($G283),$G283&gt;=MA_LONG2),AVERAGE(INDEX($C$5:$C283,280-MA_LONG2):$C283),"")</f>
        <v>1052650.88</v>
      </c>
      <c r="L283" s="46" t="n">
        <f aca="false">IF(AND(ISNUMBER($G283),$G283&gt;=21),STDEV(INDEX($H$223:$H283,62-20):$H283)*SQRT(245),"")</f>
        <v>0.139027155055289</v>
      </c>
      <c r="M283" s="45" t="n">
        <f aca="false">IF(AND(ISNUMBER($G283),$G283&gt;=60),MAX(INDEX($D$83:$D283,202-60):$D283),"")</f>
        <v>1185465</v>
      </c>
      <c r="N283" s="45" t="n">
        <f aca="false">IF(AND(ISNUMBER($G283),$G283&gt;=60),MIN(INDEX($E$83:$E283,202-60):$E283),"")</f>
        <v>1082119</v>
      </c>
      <c r="O283" s="46" t="n">
        <f aca="false">IF(OR(NOT(ISNUMBER($C283)),NOT(ISNUMBER($M283)),$M283=0),"",$C283/$M283-1)</f>
        <v>-0.00344506164247782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1189377</v>
      </c>
      <c r="D284" s="42" t="n">
        <v>1196097</v>
      </c>
      <c r="E284" s="42" t="n">
        <v>1189320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0.00676834992267517</v>
      </c>
      <c r="I284" s="45" t="n">
        <f aca="false">IF(AND(ISNUMBER($G284),$G284&gt;=MA_SHORT),AVERAGE(INDEX($C$5:$C284,281-MA_SHORT):$C284),"")</f>
        <v>1145485.85</v>
      </c>
      <c r="J284" s="45" t="n">
        <f aca="false">IF(AND(ISNUMBER($G284),$G284&gt;=MA_MED),AVERAGE(INDEX($C$5:$C284,281-MA_MED):$C284),"")</f>
        <v>1122987.28</v>
      </c>
      <c r="K284" s="45" t="n">
        <f aca="false">IF(AND(ISNUMBER($G284),$G284&gt;=MA_LONG2),AVERAGE(INDEX($C$5:$C284,281-MA_LONG2):$C284),"")</f>
        <v>1053613.355</v>
      </c>
      <c r="L284" s="46" t="n">
        <f aca="false">IF(AND(ISNUMBER($G284),$G284&gt;=21),STDEV(INDEX($H$224:$H284,62-20):$H284)*SQRT(245),"")</f>
        <v>0.139773270556337</v>
      </c>
      <c r="M284" s="45" t="n">
        <f aca="false">IF(AND(ISNUMBER($G284),$G284&gt;=60),MAX(INDEX($D$84:$D284,202-60):$D284),"")</f>
        <v>1196097</v>
      </c>
      <c r="N284" s="45" t="n">
        <f aca="false">IF(AND(ISNUMBER($G284),$G284&gt;=60),MIN(INDEX($E$84:$E284,202-60):$E284),"")</f>
        <v>1082119</v>
      </c>
      <c r="O284" s="46" t="n">
        <f aca="false">IF(OR(NOT(ISNUMBER($C284)),NOT(ISNUMBER($M284)),$M284=0),"",$C284/$M284-1)</f>
        <v>-0.00561827343434518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1174332</v>
      </c>
      <c r="D285" s="42" t="n">
        <v>1175269</v>
      </c>
      <c r="E285" s="42" t="n">
        <v>1171337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-0.012649479517428</v>
      </c>
      <c r="I285" s="45" t="n">
        <f aca="false">IF(AND(ISNUMBER($G285),$G285&gt;=MA_SHORT),AVERAGE(INDEX($C$5:$C285,282-MA_SHORT):$C285),"")</f>
        <v>1145863.65</v>
      </c>
      <c r="J285" s="45" t="n">
        <f aca="false">IF(AND(ISNUMBER($G285),$G285&gt;=MA_MED),AVERAGE(INDEX($C$5:$C285,282-MA_MED):$C285),"")</f>
        <v>1124202.12</v>
      </c>
      <c r="K285" s="45" t="n">
        <f aca="false">IF(AND(ISNUMBER($G285),$G285&gt;=MA_LONG2),AVERAGE(INDEX($C$5:$C285,282-MA_LONG2):$C285),"")</f>
        <v>1054539.805</v>
      </c>
      <c r="L285" s="46" t="n">
        <f aca="false">IF(AND(ISNUMBER($G285),$G285&gt;=21),STDEV(INDEX($H$225:$H285,62-20):$H285)*SQRT(245),"")</f>
        <v>0.145020787162485</v>
      </c>
      <c r="M285" s="45" t="n">
        <f aca="false">IF(AND(ISNUMBER($G285),$G285&gt;=60),MAX(INDEX($D$85:$D285,202-60):$D285),"")</f>
        <v>1196097</v>
      </c>
      <c r="N285" s="45" t="n">
        <f aca="false">IF(AND(ISNUMBER($G285),$G285&gt;=60),MIN(INDEX($E$85:$E285,202-60):$E285),"")</f>
        <v>1082119</v>
      </c>
      <c r="O285" s="46" t="n">
        <f aca="false">IF(OR(NOT(ISNUMBER($C285)),NOT(ISNUMBER($M285)),$M285=0),"",$C285/$M285-1)</f>
        <v>-0.0181966847170422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1156534</v>
      </c>
      <c r="D286" s="42" t="n">
        <v>1162611</v>
      </c>
      <c r="E286" s="42" t="n">
        <v>1154265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-0.0151558503046838</v>
      </c>
      <c r="I286" s="45" t="n">
        <f aca="false">IF(AND(ISNUMBER($G286),$G286&gt;=MA_SHORT),AVERAGE(INDEX($C$5:$C286,283-MA_SHORT):$C286),"")</f>
        <v>1145991.1</v>
      </c>
      <c r="J286" s="45" t="n">
        <f aca="false">IF(AND(ISNUMBER($G286),$G286&gt;=MA_MED),AVERAGE(INDEX($C$5:$C286,283-MA_MED):$C286),"")</f>
        <v>1124548.6</v>
      </c>
      <c r="K286" s="45" t="n">
        <f aca="false">IF(AND(ISNUMBER($G286),$G286&gt;=MA_LONG2),AVERAGE(INDEX($C$5:$C286,283-MA_LONG2):$C286),"")</f>
        <v>1055323.27</v>
      </c>
      <c r="L286" s="46" t="n">
        <f aca="false">IF(AND(ISNUMBER($G286),$G286&gt;=21),STDEV(INDEX($H$226:$H286,62-20):$H286)*SQRT(245),"")</f>
        <v>0.149904035158887</v>
      </c>
      <c r="M286" s="45" t="n">
        <f aca="false">IF(AND(ISNUMBER($G286),$G286&gt;=60),MAX(INDEX($D$86:$D286,202-60):$D286),"")</f>
        <v>1196097</v>
      </c>
      <c r="N286" s="45" t="n">
        <f aca="false">IF(AND(ISNUMBER($G286),$G286&gt;=60),MIN(INDEX($E$86:$E286,202-60):$E286),"")</f>
        <v>1082119</v>
      </c>
      <c r="O286" s="46" t="n">
        <f aca="false">IF(OR(NOT(ISNUMBER($C286)),NOT(ISNUMBER($M286)),$M286=0),"",$C286/$M286-1)</f>
        <v>-0.033076748792113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1168778</v>
      </c>
      <c r="D287" s="42" t="n">
        <v>1172951</v>
      </c>
      <c r="E287" s="42" t="n">
        <v>1163914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0.0105868050571796</v>
      </c>
      <c r="I287" s="45" t="n">
        <f aca="false">IF(AND(ISNUMBER($G287),$G287&gt;=MA_SHORT),AVERAGE(INDEX($C$5:$C287,284-MA_SHORT):$C287),"")</f>
        <v>1147439.7</v>
      </c>
      <c r="J287" s="45" t="n">
        <f aca="false">IF(AND(ISNUMBER($G287),$G287&gt;=MA_MED),AVERAGE(INDEX($C$5:$C287,284-MA_MED):$C287),"")</f>
        <v>1125314.26</v>
      </c>
      <c r="K287" s="45" t="n">
        <f aca="false">IF(AND(ISNUMBER($G287),$G287&gt;=MA_LONG2),AVERAGE(INDEX($C$5:$C287,284-MA_LONG2):$C287),"")</f>
        <v>1056202.33</v>
      </c>
      <c r="L287" s="46" t="n">
        <f aca="false">IF(AND(ISNUMBER($G287),$G287&gt;=21),STDEV(INDEX($H$227:$H287,62-20):$H287)*SQRT(245),"")</f>
        <v>0.146770858653744</v>
      </c>
      <c r="M287" s="45" t="n">
        <f aca="false">IF(AND(ISNUMBER($G287),$G287&gt;=60),MAX(INDEX($D$87:$D287,202-60):$D287),"")</f>
        <v>1196097</v>
      </c>
      <c r="N287" s="45" t="n">
        <f aca="false">IF(AND(ISNUMBER($G287),$G287&gt;=60),MIN(INDEX($E$87:$E287,202-60):$E287),"")</f>
        <v>1082119</v>
      </c>
      <c r="O287" s="46" t="n">
        <f aca="false">IF(OR(NOT(ISNUMBER($C287)),NOT(ISNUMBER($M287)),$M287=0),"",$C287/$M287-1)</f>
        <v>-0.0228401208263209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1169031</v>
      </c>
      <c r="D288" s="42" t="n">
        <v>1170375</v>
      </c>
      <c r="E288" s="42" t="n">
        <v>1164643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0.000216465402326227</v>
      </c>
      <c r="I288" s="45" t="n">
        <f aca="false">IF(AND(ISNUMBER($G288),$G288&gt;=MA_SHORT),AVERAGE(INDEX($C$5:$C288,285-MA_SHORT):$C288),"")</f>
        <v>1149053.55</v>
      </c>
      <c r="J288" s="45" t="n">
        <f aca="false">IF(AND(ISNUMBER($G288),$G288&gt;=MA_MED),AVERAGE(INDEX($C$5:$C288,285-MA_MED):$C288),"")</f>
        <v>1126194.8</v>
      </c>
      <c r="K288" s="45" t="n">
        <f aca="false">IF(AND(ISNUMBER($G288),$G288&gt;=MA_LONG2),AVERAGE(INDEX($C$5:$C288,285-MA_LONG2):$C288),"")</f>
        <v>1057059.53</v>
      </c>
      <c r="L288" s="46" t="n">
        <f aca="false">IF(AND(ISNUMBER($G288),$G288&gt;=21),STDEV(INDEX($H$228:$H288,62-20):$H288)*SQRT(245),"")</f>
        <v>0.146108159240294</v>
      </c>
      <c r="M288" s="45" t="n">
        <f aca="false">IF(AND(ISNUMBER($G288),$G288&gt;=60),MAX(INDEX($D$88:$D288,202-60):$D288),"")</f>
        <v>1196097</v>
      </c>
      <c r="N288" s="45" t="n">
        <f aca="false">IF(AND(ISNUMBER($G288),$G288&gt;=60),MIN(INDEX($E$88:$E288,202-60):$E288),"")</f>
        <v>1082119</v>
      </c>
      <c r="O288" s="46" t="n">
        <f aca="false">IF(OR(NOT(ISNUMBER($C288)),NOT(ISNUMBER($M288)),$M288=0),"",$C288/$M288-1)</f>
        <v>-0.0226285995199386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1168851</v>
      </c>
      <c r="D289" s="42" t="n">
        <v>1169222</v>
      </c>
      <c r="E289" s="42" t="n">
        <v>1166121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-0.000153973675633967</v>
      </c>
      <c r="I289" s="45" t="n">
        <f aca="false">IF(AND(ISNUMBER($G289),$G289&gt;=MA_SHORT),AVERAGE(INDEX($C$5:$C289,286-MA_SHORT):$C289),"")</f>
        <v>1150495.45</v>
      </c>
      <c r="J289" s="45" t="n">
        <f aca="false">IF(AND(ISNUMBER($G289),$G289&gt;=MA_MED),AVERAGE(INDEX($C$5:$C289,286-MA_MED):$C289),"")</f>
        <v>1127225</v>
      </c>
      <c r="K289" s="45" t="n">
        <f aca="false">IF(AND(ISNUMBER($G289),$G289&gt;=MA_LONG2),AVERAGE(INDEX($C$5:$C289,286-MA_LONG2):$C289),"")</f>
        <v>1057885.645</v>
      </c>
      <c r="L289" s="46" t="n">
        <f aca="false">IF(AND(ISNUMBER($G289),$G289&gt;=21),STDEV(INDEX($H$229:$H289,62-20):$H289)*SQRT(245),"")</f>
        <v>0.146110877855958</v>
      </c>
      <c r="M289" s="45" t="n">
        <f aca="false">IF(AND(ISNUMBER($G289),$G289&gt;=60),MAX(INDEX($D$89:$D289,202-60):$D289),"")</f>
        <v>1196097</v>
      </c>
      <c r="N289" s="45" t="n">
        <f aca="false">IF(AND(ISNUMBER($G289),$G289&gt;=60),MIN(INDEX($E$89:$E289,202-60):$E289),"")</f>
        <v>1082119</v>
      </c>
      <c r="O289" s="46" t="n">
        <f aca="false">IF(OR(NOT(ISNUMBER($C289)),NOT(ISNUMBER($M289)),$M289=0),"",$C289/$M289-1)</f>
        <v>-0.02277908898693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1172965</v>
      </c>
      <c r="D290" s="42" t="n">
        <v>1177847</v>
      </c>
      <c r="E290" s="42" t="n">
        <v>1171434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0.00351969583804945</v>
      </c>
      <c r="I290" s="45" t="n">
        <f aca="false">IF(AND(ISNUMBER($G290),$G290&gt;=MA_SHORT),AVERAGE(INDEX($C$5:$C290,287-MA_SHORT):$C290),"")</f>
        <v>1152192.4</v>
      </c>
      <c r="J290" s="45" t="n">
        <f aca="false">IF(AND(ISNUMBER($G290),$G290&gt;=MA_MED),AVERAGE(INDEX($C$5:$C290,287-MA_MED):$C290),"")</f>
        <v>1128398.6</v>
      </c>
      <c r="K290" s="45" t="n">
        <f aca="false">IF(AND(ISNUMBER($G290),$G290&gt;=MA_LONG2),AVERAGE(INDEX($C$5:$C290,287-MA_LONG2):$C290),"")</f>
        <v>1058718.98</v>
      </c>
      <c r="L290" s="46" t="n">
        <f aca="false">IF(AND(ISNUMBER($G290),$G290&gt;=21),STDEV(INDEX($H$230:$H290,62-20):$H290)*SQRT(245),"")</f>
        <v>0.146082299006267</v>
      </c>
      <c r="M290" s="45" t="n">
        <f aca="false">IF(AND(ISNUMBER($G290),$G290&gt;=60),MAX(INDEX($D$90:$D290,202-60):$D290),"")</f>
        <v>1196097</v>
      </c>
      <c r="N290" s="45" t="n">
        <f aca="false">IF(AND(ISNUMBER($G290),$G290&gt;=60),MIN(INDEX($E$90:$E290,202-60):$E290),"")</f>
        <v>1082119</v>
      </c>
      <c r="O290" s="46" t="n">
        <f aca="false">IF(OR(NOT(ISNUMBER($C290)),NOT(ISNUMBER($M290)),$M290=0),"",$C290/$M290-1)</f>
        <v>-0.0193395686135823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1175073</v>
      </c>
      <c r="D291" s="42" t="n">
        <v>1182612</v>
      </c>
      <c r="E291" s="42" t="n">
        <v>1171906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0.00179715507282818</v>
      </c>
      <c r="I291" s="45" t="n">
        <f aca="false">IF(AND(ISNUMBER($G291),$G291&gt;=MA_SHORT),AVERAGE(INDEX($C$5:$C291,288-MA_SHORT):$C291),"")</f>
        <v>1153953.95</v>
      </c>
      <c r="J291" s="45" t="n">
        <f aca="false">IF(AND(ISNUMBER($G291),$G291&gt;=MA_MED),AVERAGE(INDEX($C$5:$C291,288-MA_MED):$C291),"")</f>
        <v>1129744.48</v>
      </c>
      <c r="K291" s="45" t="n">
        <f aca="false">IF(AND(ISNUMBER($G291),$G291&gt;=MA_LONG2),AVERAGE(INDEX($C$5:$C291,288-MA_LONG2):$C291),"")</f>
        <v>1059597.86</v>
      </c>
      <c r="L291" s="46" t="n">
        <f aca="false">IF(AND(ISNUMBER($G291),$G291&gt;=21),STDEV(INDEX($H$231:$H291,62-20):$H291)*SQRT(245),"")</f>
        <v>0.146055521112186</v>
      </c>
      <c r="M291" s="45" t="n">
        <f aca="false">IF(AND(ISNUMBER($G291),$G291&gt;=60),MAX(INDEX($D$91:$D291,202-60):$D291),"")</f>
        <v>1196097</v>
      </c>
      <c r="N291" s="45" t="n">
        <f aca="false">IF(AND(ISNUMBER($G291),$G291&gt;=60),MIN(INDEX($E$91:$E291,202-60):$E291),"")</f>
        <v>1082119</v>
      </c>
      <c r="O291" s="46" t="n">
        <f aca="false">IF(OR(NOT(ISNUMBER($C291)),NOT(ISNUMBER($M291)),$M291=0),"",$C291/$M291-1)</f>
        <v>-0.0175771697445943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1174700</v>
      </c>
      <c r="D292" s="42" t="n">
        <v>1179042</v>
      </c>
      <c r="E292" s="42" t="n">
        <v>1172956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-0.000317427087508593</v>
      </c>
      <c r="I292" s="45" t="n">
        <f aca="false">IF(AND(ISNUMBER($G292),$G292&gt;=MA_SHORT),AVERAGE(INDEX($C$5:$C292,289-MA_SHORT):$C292),"")</f>
        <v>1155327.7</v>
      </c>
      <c r="J292" s="45" t="n">
        <f aca="false">IF(AND(ISNUMBER($G292),$G292&gt;=MA_MED),AVERAGE(INDEX($C$5:$C292,289-MA_MED):$C292),"")</f>
        <v>1130949.7</v>
      </c>
      <c r="K292" s="45" t="n">
        <f aca="false">IF(AND(ISNUMBER($G292),$G292&gt;=MA_LONG2),AVERAGE(INDEX($C$5:$C292,289-MA_LONG2):$C292),"")</f>
        <v>1060479.33</v>
      </c>
      <c r="L292" s="46" t="n">
        <f aca="false">IF(AND(ISNUMBER($G292),$G292&gt;=21),STDEV(INDEX($H$232:$H292,62-20):$H292)*SQRT(245),"")</f>
        <v>0.145041032357323</v>
      </c>
      <c r="M292" s="45" t="n">
        <f aca="false">IF(AND(ISNUMBER($G292),$G292&gt;=60),MAX(INDEX($D$92:$D292,202-60):$D292),"")</f>
        <v>1196097</v>
      </c>
      <c r="N292" s="45" t="n">
        <f aca="false">IF(AND(ISNUMBER($G292),$G292&gt;=60),MIN(INDEX($E$92:$E292,202-60):$E292),"")</f>
        <v>1082119</v>
      </c>
      <c r="O292" s="46" t="n">
        <f aca="false">IF(OR(NOT(ISNUMBER($C292)),NOT(ISNUMBER($M292)),$M292=0),"",$C292/$M292-1)</f>
        <v>-0.0178890173623042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1169814</v>
      </c>
      <c r="D293" s="42" t="n">
        <v>1172772</v>
      </c>
      <c r="E293" s="42" t="n">
        <v>1168350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-0.00415935983655402</v>
      </c>
      <c r="I293" s="45" t="n">
        <f aca="false">IF(AND(ISNUMBER($G293),$G293&gt;=MA_SHORT),AVERAGE(INDEX($C$5:$C293,290-MA_SHORT):$C293),"")</f>
        <v>1157011.05</v>
      </c>
      <c r="J293" s="45" t="n">
        <f aca="false">IF(AND(ISNUMBER($G293),$G293&gt;=MA_MED),AVERAGE(INDEX($C$5:$C293,290-MA_MED):$C293),"")</f>
        <v>1132322.9</v>
      </c>
      <c r="K293" s="45" t="n">
        <f aca="false">IF(AND(ISNUMBER($G293),$G293&gt;=MA_LONG2),AVERAGE(INDEX($C$5:$C293,290-MA_LONG2):$C293),"")</f>
        <v>1061262.685</v>
      </c>
      <c r="L293" s="46" t="n">
        <f aca="false">IF(AND(ISNUMBER($G293),$G293&gt;=21),STDEV(INDEX($H$233:$H293,62-20):$H293)*SQRT(245),"")</f>
        <v>0.140941506718135</v>
      </c>
      <c r="M293" s="45" t="n">
        <f aca="false">IF(AND(ISNUMBER($G293),$G293&gt;=60),MAX(INDEX($D$93:$D293,202-60):$D293),"")</f>
        <v>1196097</v>
      </c>
      <c r="N293" s="45" t="n">
        <f aca="false">IF(AND(ISNUMBER($G293),$G293&gt;=60),MIN(INDEX($E$93:$E293,202-60):$E293),"")</f>
        <v>1082119</v>
      </c>
      <c r="O293" s="46" t="n">
        <f aca="false">IF(OR(NOT(ISNUMBER($C293)),NOT(ISNUMBER($M293)),$M293=0),"",$C293/$M293-1)</f>
        <v>-0.0219739703385261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1172401</v>
      </c>
      <c r="D294" s="42" t="n">
        <v>1174944</v>
      </c>
      <c r="E294" s="42" t="n">
        <v>1169989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0.00221146267697248</v>
      </c>
      <c r="I294" s="45" t="n">
        <f aca="false">IF(AND(ISNUMBER($G294),$G294&gt;=MA_SHORT),AVERAGE(INDEX($C$5:$C294,291-MA_SHORT):$C294),"")</f>
        <v>1158490.7</v>
      </c>
      <c r="J294" s="45" t="n">
        <f aca="false">IF(AND(ISNUMBER($G294),$G294&gt;=MA_MED),AVERAGE(INDEX($C$5:$C294,291-MA_MED):$C294),"")</f>
        <v>1134017.18</v>
      </c>
      <c r="K294" s="45" t="n">
        <f aca="false">IF(AND(ISNUMBER($G294),$G294&gt;=MA_LONG2),AVERAGE(INDEX($C$5:$C294,291-MA_LONG2):$C294),"")</f>
        <v>1062042.795</v>
      </c>
      <c r="L294" s="46" t="n">
        <f aca="false">IF(AND(ISNUMBER($G294),$G294&gt;=21),STDEV(INDEX($H$234:$H294,62-20):$H294)*SQRT(245),"")</f>
        <v>0.140060565144917</v>
      </c>
      <c r="M294" s="45" t="n">
        <f aca="false">IF(AND(ISNUMBER($G294),$G294&gt;=60),MAX(INDEX($D$94:$D294,202-60):$D294),"")</f>
        <v>1196097</v>
      </c>
      <c r="N294" s="45" t="n">
        <f aca="false">IF(AND(ISNUMBER($G294),$G294&gt;=60),MIN(INDEX($E$94:$E294,202-60):$E294),"")</f>
        <v>1082119</v>
      </c>
      <c r="O294" s="46" t="n">
        <f aca="false">IF(OR(NOT(ISNUMBER($C294)),NOT(ISNUMBER($M294)),$M294=0),"",$C294/$M294-1)</f>
        <v>-0.019811102276822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1180648</v>
      </c>
      <c r="D295" s="42" t="n">
        <v>1182614</v>
      </c>
      <c r="E295" s="42" t="n">
        <v>1179728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0.00703428263878991</v>
      </c>
      <c r="I295" s="45" t="n">
        <f aca="false">IF(AND(ISNUMBER($G295),$G295&gt;=MA_SHORT),AVERAGE(INDEX($C$5:$C295,292-MA_SHORT):$C295),"")</f>
        <v>1160896.65</v>
      </c>
      <c r="J295" s="45" t="n">
        <f aca="false">IF(AND(ISNUMBER($G295),$G295&gt;=MA_MED),AVERAGE(INDEX($C$5:$C295,292-MA_MED):$C295),"")</f>
        <v>1135828.56</v>
      </c>
      <c r="K295" s="45" t="n">
        <f aca="false">IF(AND(ISNUMBER($G295),$G295&gt;=MA_LONG2),AVERAGE(INDEX($C$5:$C295,292-MA_LONG2):$C295),"")</f>
        <v>1062856.195</v>
      </c>
      <c r="L295" s="46" t="n">
        <f aca="false">IF(AND(ISNUMBER($G295),$G295&gt;=21),STDEV(INDEX($H$235:$H295,62-20):$H295)*SQRT(245),"")</f>
        <v>0.136021100591474</v>
      </c>
      <c r="M295" s="45" t="n">
        <f aca="false">IF(AND(ISNUMBER($G295),$G295&gt;=60),MAX(INDEX($D$95:$D295,202-60):$D295),"")</f>
        <v>1196097</v>
      </c>
      <c r="N295" s="45" t="n">
        <f aca="false">IF(AND(ISNUMBER($G295),$G295&gt;=60),MIN(INDEX($E$95:$E295,202-60):$E295),"")</f>
        <v>1082119</v>
      </c>
      <c r="O295" s="46" t="n">
        <f aca="false">IF(OR(NOT(ISNUMBER($C295)),NOT(ISNUMBER($M295)),$M295=0),"",$C295/$M295-1)</f>
        <v>-0.0129161765308332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1173636</v>
      </c>
      <c r="D296" s="42" t="n">
        <v>1179987</v>
      </c>
      <c r="E296" s="42" t="n">
        <v>1165819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-0.00593911140322945</v>
      </c>
      <c r="I296" s="45" t="n">
        <f aca="false">IF(AND(ISNUMBER($G296),$G296&gt;=MA_SHORT),AVERAGE(INDEX($C$5:$C296,293-MA_SHORT):$C296),"")</f>
        <v>1162796.9</v>
      </c>
      <c r="J296" s="45" t="n">
        <f aca="false">IF(AND(ISNUMBER($G296),$G296&gt;=MA_MED),AVERAGE(INDEX($C$5:$C296,293-MA_MED):$C296),"")</f>
        <v>1137333.06</v>
      </c>
      <c r="K296" s="45" t="n">
        <f aca="false">IF(AND(ISNUMBER($G296),$G296&gt;=MA_LONG2),AVERAGE(INDEX($C$5:$C296,293-MA_LONG2):$C296),"")</f>
        <v>1063635.28</v>
      </c>
      <c r="L296" s="46" t="n">
        <f aca="false">IF(AND(ISNUMBER($G296),$G296&gt;=21),STDEV(INDEX($H$236:$H296,62-20):$H296)*SQRT(245),"")</f>
        <v>0.138871892506524</v>
      </c>
      <c r="M296" s="45" t="n">
        <f aca="false">IF(AND(ISNUMBER($G296),$G296&gt;=60),MAX(INDEX($D$96:$D296,202-60):$D296),"")</f>
        <v>1196097</v>
      </c>
      <c r="N296" s="45" t="n">
        <f aca="false">IF(AND(ISNUMBER($G296),$G296&gt;=60),MIN(INDEX($E$96:$E296,202-60):$E296),"")</f>
        <v>1082119</v>
      </c>
      <c r="O296" s="46" t="n">
        <f aca="false">IF(OR(NOT(ISNUMBER($C296)),NOT(ISNUMBER($M296)),$M296=0),"",$C296/$M296-1)</f>
        <v>-0.0187785773227422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1174243</v>
      </c>
      <c r="D297" s="42" t="n">
        <v>1175375</v>
      </c>
      <c r="E297" s="42" t="n">
        <v>1173259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0.000517196132361342</v>
      </c>
      <c r="I297" s="45" t="n">
        <f aca="false">IF(AND(ISNUMBER($G297),$G297&gt;=MA_SHORT),AVERAGE(INDEX($C$5:$C297,294-MA_SHORT):$C297),"")</f>
        <v>1164577.75</v>
      </c>
      <c r="J297" s="45" t="n">
        <f aca="false">IF(AND(ISNUMBER($G297),$G297&gt;=MA_MED),AVERAGE(INDEX($C$5:$C297,294-MA_MED):$C297),"")</f>
        <v>1138958.1</v>
      </c>
      <c r="K297" s="45" t="n">
        <f aca="false">IF(AND(ISNUMBER($G297),$G297&gt;=MA_LONG2),AVERAGE(INDEX($C$5:$C297,294-MA_LONG2):$C297),"")</f>
        <v>1064491.475</v>
      </c>
      <c r="L297" s="46" t="n">
        <f aca="false">IF(AND(ISNUMBER($G297),$G297&gt;=21),STDEV(INDEX($H$237:$H297,62-20):$H297)*SQRT(245),"")</f>
        <v>0.138882581579309</v>
      </c>
      <c r="M297" s="45" t="n">
        <f aca="false">IF(AND(ISNUMBER($G297),$G297&gt;=60),MAX(INDEX($D$97:$D297,202-60):$D297),"")</f>
        <v>1196097</v>
      </c>
      <c r="N297" s="45" t="n">
        <f aca="false">IF(AND(ISNUMBER($G297),$G297&gt;=60),MIN(INDEX($E$97:$E297,202-60):$E297),"")</f>
        <v>1082119</v>
      </c>
      <c r="O297" s="46" t="n">
        <f aca="false">IF(OR(NOT(ISNUMBER($C297)),NOT(ISNUMBER($M297)),$M297=0),"",$C297/$M297-1)</f>
        <v>-0.0182710933979435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1175002</v>
      </c>
      <c r="D298" s="42" t="n">
        <v>1176879</v>
      </c>
      <c r="E298" s="42" t="n">
        <v>1174835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0.000646373876616702</v>
      </c>
      <c r="I298" s="45" t="n">
        <f aca="false">IF(AND(ISNUMBER($G298),$G298&gt;=MA_SHORT),AVERAGE(INDEX($C$5:$C298,295-MA_SHORT):$C298),"")</f>
        <v>1166787.2</v>
      </c>
      <c r="J298" s="45" t="n">
        <f aca="false">IF(AND(ISNUMBER($G298),$G298&gt;=MA_MED),AVERAGE(INDEX($C$5:$C298,295-MA_MED):$C298),"")</f>
        <v>1140666.14</v>
      </c>
      <c r="K298" s="45" t="n">
        <f aca="false">IF(AND(ISNUMBER($G298),$G298&gt;=MA_LONG2),AVERAGE(INDEX($C$5:$C298,295-MA_LONG2):$C298),"")</f>
        <v>1065363.73</v>
      </c>
      <c r="L298" s="46" t="n">
        <f aca="false">IF(AND(ISNUMBER($G298),$G298&gt;=21),STDEV(INDEX($H$238:$H298,62-20):$H298)*SQRT(245),"")</f>
        <v>0.135442318742102</v>
      </c>
      <c r="M298" s="45" t="n">
        <f aca="false">IF(AND(ISNUMBER($G298),$G298&gt;=60),MAX(INDEX($D$98:$D298,202-60):$D298),"")</f>
        <v>1196097</v>
      </c>
      <c r="N298" s="45" t="n">
        <f aca="false">IF(AND(ISNUMBER($G298),$G298&gt;=60),MIN(INDEX($E$98:$E298,202-60):$E298),"")</f>
        <v>1082119</v>
      </c>
      <c r="O298" s="46" t="n">
        <f aca="false">IF(OR(NOT(ISNUMBER($C298)),NOT(ISNUMBER($M298)),$M298=0),"",$C298/$M298-1)</f>
        <v>-0.0176365294787965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1184147</v>
      </c>
      <c r="D299" s="42" t="n">
        <v>1185795</v>
      </c>
      <c r="E299" s="42" t="n">
        <v>1178231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0.00778296547580348</v>
      </c>
      <c r="I299" s="45" t="n">
        <f aca="false">IF(AND(ISNUMBER($G299),$G299&gt;=MA_SHORT),AVERAGE(INDEX($C$5:$C299,296-MA_SHORT):$C299),"")</f>
        <v>1169485.25</v>
      </c>
      <c r="J299" s="45" t="n">
        <f aca="false">IF(AND(ISNUMBER($G299),$G299&gt;=MA_MED),AVERAGE(INDEX($C$5:$C299,296-MA_MED):$C299),"")</f>
        <v>1142675.9</v>
      </c>
      <c r="K299" s="45" t="n">
        <f aca="false">IF(AND(ISNUMBER($G299),$G299&gt;=MA_LONG2),AVERAGE(INDEX($C$5:$C299,296-MA_LONG2):$C299),"")</f>
        <v>1066235.455</v>
      </c>
      <c r="L299" s="46" t="n">
        <f aca="false">IF(AND(ISNUMBER($G299),$G299&gt;=21),STDEV(INDEX($H$239:$H299,62-20):$H299)*SQRT(245),"")</f>
        <v>0.136589888440301</v>
      </c>
      <c r="M299" s="45" t="n">
        <f aca="false">IF(AND(ISNUMBER($G299),$G299&gt;=60),MAX(INDEX($D$99:$D299,202-60):$D299),"")</f>
        <v>1196097</v>
      </c>
      <c r="N299" s="45" t="n">
        <f aca="false">IF(AND(ISNUMBER($G299),$G299&gt;=60),MIN(INDEX($E$99:$E299,202-60):$E299),"")</f>
        <v>1082119</v>
      </c>
      <c r="O299" s="46" t="n">
        <f aca="false">IF(OR(NOT(ISNUMBER($C299)),NOT(ISNUMBER($M299)),$M299=0),"",$C299/$M299-1)</f>
        <v>-0.00999082850303945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1165465</v>
      </c>
      <c r="D300" s="42" t="n">
        <v>1165794</v>
      </c>
      <c r="E300" s="42" t="n">
        <v>1162077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-0.0157767574464994</v>
      </c>
      <c r="I300" s="45" t="n">
        <f aca="false">IF(AND(ISNUMBER($G300),$G300&gt;=MA_SHORT),AVERAGE(INDEX($C$5:$C300,297-MA_SHORT):$C300),"")</f>
        <v>1171442.95</v>
      </c>
      <c r="J300" s="45" t="n">
        <f aca="false">IF(AND(ISNUMBER($G300),$G300&gt;=MA_MED),AVERAGE(INDEX($C$5:$C300,297-MA_MED):$C300),"")</f>
        <v>1144284.62</v>
      </c>
      <c r="K300" s="45" t="n">
        <f aca="false">IF(AND(ISNUMBER($G300),$G300&gt;=MA_LONG2),AVERAGE(INDEX($C$5:$C300,297-MA_LONG2):$C300),"")</f>
        <v>1066939.235</v>
      </c>
      <c r="L300" s="46" t="n">
        <f aca="false">IF(AND(ISNUMBER($G300),$G300&gt;=21),STDEV(INDEX($H$240:$H300,62-20):$H300)*SQRT(245),"")</f>
        <v>0.149570976048373</v>
      </c>
      <c r="M300" s="45" t="n">
        <f aca="false">IF(AND(ISNUMBER($G300),$G300&gt;=60),MAX(INDEX($D$100:$D300,202-60):$D300),"")</f>
        <v>1196097</v>
      </c>
      <c r="N300" s="45" t="n">
        <f aca="false">IF(AND(ISNUMBER($G300),$G300&gt;=60),MIN(INDEX($E$100:$E300,202-60):$E300),"")</f>
        <v>1082119</v>
      </c>
      <c r="O300" s="46" t="n">
        <f aca="false">IF(OR(NOT(ISNUMBER($C300)),NOT(ISNUMBER($M300)),$M300=0),"",$C300/$M300-1)</f>
        <v>-0.0256099630715569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1165685</v>
      </c>
      <c r="D301" s="42" t="n">
        <v>1168456</v>
      </c>
      <c r="E301" s="42" t="n">
        <v>1161873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0.00018876585740446</v>
      </c>
      <c r="I301" s="45" t="n">
        <f aca="false">IF(AND(ISNUMBER($G301),$G301&gt;=MA_SHORT),AVERAGE(INDEX($C$5:$C301,298-MA_SHORT):$C301),"")</f>
        <v>1172759.8</v>
      </c>
      <c r="J301" s="45" t="n">
        <f aca="false">IF(AND(ISNUMBER($G301),$G301&gt;=MA_MED),AVERAGE(INDEX($C$5:$C301,298-MA_MED):$C301),"")</f>
        <v>1145934.68</v>
      </c>
      <c r="K301" s="45" t="n">
        <f aca="false">IF(AND(ISNUMBER($G301),$G301&gt;=MA_LONG2),AVERAGE(INDEX($C$5:$C301,298-MA_LONG2):$C301),"")</f>
        <v>1067680.35</v>
      </c>
      <c r="L301" s="46" t="n">
        <f aca="false">IF(AND(ISNUMBER($G301),$G301&gt;=21),STDEV(INDEX($H$241:$H301,62-20):$H301)*SQRT(245),"")</f>
        <v>0.145174372069796</v>
      </c>
      <c r="M301" s="45" t="n">
        <f aca="false">IF(AND(ISNUMBER($G301),$G301&gt;=60),MAX(INDEX($D$101:$D301,202-60):$D301),"")</f>
        <v>1196097</v>
      </c>
      <c r="N301" s="45" t="n">
        <f aca="false">IF(AND(ISNUMBER($G301),$G301&gt;=60),MIN(INDEX($E$101:$E301,202-60):$E301),"")</f>
        <v>1082119</v>
      </c>
      <c r="O301" s="46" t="n">
        <f aca="false">IF(OR(NOT(ISNUMBER($C301)),NOT(ISNUMBER($M301)),$M301=0),"",$C301/$M301-1)</f>
        <v>-0.0254260315007897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1171258</v>
      </c>
      <c r="D302" s="42" t="n">
        <v>1175442</v>
      </c>
      <c r="E302" s="42" t="n">
        <v>1167471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0.00478087991181142</v>
      </c>
      <c r="I302" s="45" t="n">
        <f aca="false">IF(AND(ISNUMBER($G302),$G302&gt;=MA_SHORT),AVERAGE(INDEX($C$5:$C302,299-MA_SHORT):$C302),"")</f>
        <v>1173166.05</v>
      </c>
      <c r="J302" s="45" t="n">
        <f aca="false">IF(AND(ISNUMBER($G302),$G302&gt;=MA_MED),AVERAGE(INDEX($C$5:$C302,299-MA_MED):$C302),"")</f>
        <v>1147510.2</v>
      </c>
      <c r="K302" s="45" t="n">
        <f aca="false">IF(AND(ISNUMBER($G302),$G302&gt;=MA_LONG2),AVERAGE(INDEX($C$5:$C302,299-MA_LONG2):$C302),"")</f>
        <v>1068445.26</v>
      </c>
      <c r="L302" s="46" t="n">
        <f aca="false">IF(AND(ISNUMBER($G302),$G302&gt;=21),STDEV(INDEX($H$242:$H302,62-20):$H302)*SQRT(245),"")</f>
        <v>0.126788042478217</v>
      </c>
      <c r="M302" s="45" t="n">
        <f aca="false">IF(AND(ISNUMBER($G302),$G302&gt;=60),MAX(INDEX($D$102:$D302,202-60):$D302),"")</f>
        <v>1196097</v>
      </c>
      <c r="N302" s="45" t="n">
        <f aca="false">IF(AND(ISNUMBER($G302),$G302&gt;=60),MIN(INDEX($E$102:$E302,202-60):$E302),"")</f>
        <v>1082119</v>
      </c>
      <c r="O302" s="46" t="n">
        <f aca="false">IF(OR(NOT(ISNUMBER($C302)),NOT(ISNUMBER($M302)),$M302=0),"",$C302/$M302-1)</f>
        <v>-0.0207667103922173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1176965</v>
      </c>
      <c r="D303" s="42" t="n">
        <v>1177701</v>
      </c>
      <c r="E303" s="42" t="n">
        <v>1173777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0.00487253875747284</v>
      </c>
      <c r="I303" s="45" t="n">
        <f aca="false">IF(AND(ISNUMBER($G303),$G303&gt;=MA_SHORT),AVERAGE(INDEX($C$5:$C303,300-MA_SHORT):$C303),"")</f>
        <v>1172945.25</v>
      </c>
      <c r="J303" s="45" t="n">
        <f aca="false">IF(AND(ISNUMBER($G303),$G303&gt;=MA_MED),AVERAGE(INDEX($C$5:$C303,300-MA_MED):$C303),"")</f>
        <v>1149200.34</v>
      </c>
      <c r="K303" s="45" t="n">
        <f aca="false">IF(AND(ISNUMBER($G303),$G303&gt;=MA_LONG2),AVERAGE(INDEX($C$5:$C303,300-MA_LONG2):$C303),"")</f>
        <v>1069210.84</v>
      </c>
      <c r="L303" s="46" t="n">
        <f aca="false">IF(AND(ISNUMBER($G303),$G303&gt;=21),STDEV(INDEX($H$243:$H303,62-20):$H303)*SQRT(245),"")</f>
        <v>0.115056102181613</v>
      </c>
      <c r="M303" s="45" t="n">
        <f aca="false">IF(AND(ISNUMBER($G303),$G303&gt;=60),MAX(INDEX($D$103:$D303,202-60):$D303),"")</f>
        <v>1196097</v>
      </c>
      <c r="N303" s="45" t="n">
        <f aca="false">IF(AND(ISNUMBER($G303),$G303&gt;=60),MIN(INDEX($E$103:$E303,202-60):$E303),"")</f>
        <v>1082119</v>
      </c>
      <c r="O303" s="46" t="n">
        <f aca="false">IF(OR(NOT(ISNUMBER($C303)),NOT(ISNUMBER($M303)),$M303=0),"",$C303/$M303-1)</f>
        <v>-0.015995358235996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1186462</v>
      </c>
      <c r="D304" s="42" t="n">
        <v>1191970</v>
      </c>
      <c r="E304" s="42" t="n">
        <v>1186061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0.00806905897796462</v>
      </c>
      <c r="I304" s="45" t="n">
        <f aca="false">IF(AND(ISNUMBER($G304),$G304&gt;=MA_SHORT),AVERAGE(INDEX($C$5:$C304,301-MA_SHORT):$C304),"")</f>
        <v>1172799.5</v>
      </c>
      <c r="J304" s="45" t="n">
        <f aca="false">IF(AND(ISNUMBER($G304),$G304&gt;=MA_MED),AVERAGE(INDEX($C$5:$C304,301-MA_MED):$C304),"")</f>
        <v>1151146.76</v>
      </c>
      <c r="K304" s="45" t="n">
        <f aca="false">IF(AND(ISNUMBER($G304),$G304&gt;=MA_LONG2),AVERAGE(INDEX($C$5:$C304,301-MA_LONG2):$C304),"")</f>
        <v>1070002.805</v>
      </c>
      <c r="L304" s="46" t="n">
        <f aca="false">IF(AND(ISNUMBER($G304),$G304&gt;=21),STDEV(INDEX($H$244:$H304,62-20):$H304)*SQRT(245),"")</f>
        <v>0.116151147892741</v>
      </c>
      <c r="M304" s="45" t="n">
        <f aca="false">IF(AND(ISNUMBER($G304),$G304&gt;=60),MAX(INDEX($D$104:$D304,202-60):$D304),"")</f>
        <v>1196097</v>
      </c>
      <c r="N304" s="45" t="n">
        <f aca="false">IF(AND(ISNUMBER($G304),$G304&gt;=60),MIN(INDEX($E$104:$E304,202-60):$E304),"")</f>
        <v>1082119</v>
      </c>
      <c r="O304" s="46" t="n">
        <f aca="false">IF(OR(NOT(ISNUMBER($C304)),NOT(ISNUMBER($M304)),$M304=0),"",$C304/$M304-1)</f>
        <v>-0.00805536674701135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1203436</v>
      </c>
      <c r="D305" s="42" t="n">
        <v>1204648</v>
      </c>
      <c r="E305" s="42" t="n">
        <v>1202397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0.0143064000364108</v>
      </c>
      <c r="I305" s="45" t="n">
        <f aca="false">IF(AND(ISNUMBER($G305),$G305&gt;=MA_SHORT),AVERAGE(INDEX($C$5:$C305,302-MA_SHORT):$C305),"")</f>
        <v>1174254.7</v>
      </c>
      <c r="J305" s="45" t="n">
        <f aca="false">IF(AND(ISNUMBER($G305),$G305&gt;=MA_MED),AVERAGE(INDEX($C$5:$C305,302-MA_MED):$C305),"")</f>
        <v>1153494.86</v>
      </c>
      <c r="K305" s="45" t="n">
        <f aca="false">IF(AND(ISNUMBER($G305),$G305&gt;=MA_LONG2),AVERAGE(INDEX($C$5:$C305,302-MA_LONG2):$C305),"")</f>
        <v>1070913.975</v>
      </c>
      <c r="L305" s="46" t="n">
        <f aca="false">IF(AND(ISNUMBER($G305),$G305&gt;=21),STDEV(INDEX($H$245:$H305,62-20):$H305)*SQRT(245),"")</f>
        <v>0.116899804055256</v>
      </c>
      <c r="M305" s="45" t="n">
        <f aca="false">IF(AND(ISNUMBER($G305),$G305&gt;=60),MAX(INDEX($D$105:$D305,202-60):$D305),"")</f>
        <v>1204648</v>
      </c>
      <c r="N305" s="45" t="n">
        <f aca="false">IF(AND(ISNUMBER($G305),$G305&gt;=60),MIN(INDEX($E$105:$E305,202-60):$E305),"")</f>
        <v>1082119</v>
      </c>
      <c r="O305" s="46" t="n">
        <f aca="false">IF(OR(NOT(ISNUMBER($C305)),NOT(ISNUMBER($M305)),$M305=0),"",$C305/$M305-1)</f>
        <v>-0.0010061030276064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1204781</v>
      </c>
      <c r="D306" s="42" t="n">
        <v>1207794</v>
      </c>
      <c r="E306" s="42" t="n">
        <v>1202722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0.00111763317700309</v>
      </c>
      <c r="I306" s="45" t="n">
        <f aca="false">IF(AND(ISNUMBER($G306),$G306&gt;=MA_SHORT),AVERAGE(INDEX($C$5:$C306,303-MA_SHORT):$C306),"")</f>
        <v>1176667.05</v>
      </c>
      <c r="J306" s="45" t="n">
        <f aca="false">IF(AND(ISNUMBER($G306),$G306&gt;=MA_MED),AVERAGE(INDEX($C$5:$C306,303-MA_MED):$C306),"")</f>
        <v>1155759.26</v>
      </c>
      <c r="K306" s="45" t="n">
        <f aca="false">IF(AND(ISNUMBER($G306),$G306&gt;=MA_LONG2),AVERAGE(INDEX($C$5:$C306,303-MA_LONG2):$C306),"")</f>
        <v>1071754.945</v>
      </c>
      <c r="L306" s="46" t="n">
        <f aca="false">IF(AND(ISNUMBER($G306),$G306&gt;=21),STDEV(INDEX($H$246:$H306,62-20):$H306)*SQRT(245),"")</f>
        <v>0.100119055045695</v>
      </c>
      <c r="M306" s="45" t="n">
        <f aca="false">IF(AND(ISNUMBER($G306),$G306&gt;=60),MAX(INDEX($D$106:$D306,202-60):$D306),"")</f>
        <v>1207794</v>
      </c>
      <c r="N306" s="45" t="n">
        <f aca="false">IF(AND(ISNUMBER($G306),$G306&gt;=60),MIN(INDEX($E$106:$E306,202-60):$E306),"")</f>
        <v>1082119</v>
      </c>
      <c r="O306" s="46" t="n">
        <f aca="false">IF(OR(NOT(ISNUMBER($C306)),NOT(ISNUMBER($M306)),$M306=0),"",$C306/$M306-1)</f>
        <v>-0.00249463070689204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1206365</v>
      </c>
      <c r="D307" s="42" t="n">
        <v>1207367</v>
      </c>
      <c r="E307" s="42" t="n">
        <v>1206197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0.00131476176998135</v>
      </c>
      <c r="I307" s="45" t="n">
        <f aca="false">IF(AND(ISNUMBER($G307),$G307&gt;=MA_SHORT),AVERAGE(INDEX($C$5:$C307,304-MA_SHORT):$C307),"")</f>
        <v>1178546.4</v>
      </c>
      <c r="J307" s="45" t="n">
        <f aca="false">IF(AND(ISNUMBER($G307),$G307&gt;=MA_MED),AVERAGE(INDEX($C$5:$C307,304-MA_MED):$C307),"")</f>
        <v>1158019.18</v>
      </c>
      <c r="K307" s="45" t="n">
        <f aca="false">IF(AND(ISNUMBER($G307),$G307&gt;=MA_LONG2),AVERAGE(INDEX($C$5:$C307,304-MA_LONG2):$C307),"")</f>
        <v>1072578.445</v>
      </c>
      <c r="L307" s="46" t="n">
        <f aca="false">IF(AND(ISNUMBER($G307),$G307&gt;=21),STDEV(INDEX($H$247:$H307,62-20):$H307)*SQRT(245),"")</f>
        <v>0.0950748985226519</v>
      </c>
      <c r="M307" s="45" t="n">
        <f aca="false">IF(AND(ISNUMBER($G307),$G307&gt;=60),MAX(INDEX($D$107:$D307,202-60):$D307),"")</f>
        <v>1207794</v>
      </c>
      <c r="N307" s="45" t="n">
        <f aca="false">IF(AND(ISNUMBER($G307),$G307&gt;=60),MIN(INDEX($E$107:$E307,202-60):$E307),"")</f>
        <v>1082119</v>
      </c>
      <c r="O307" s="46" t="n">
        <f aca="false">IF(OR(NOT(ISNUMBER($C307)),NOT(ISNUMBER($M307)),$M307=0),"",$C307/$M307-1)</f>
        <v>-0.00118314878199433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1199095</v>
      </c>
      <c r="D308" s="42" t="n">
        <v>1200336</v>
      </c>
      <c r="E308" s="42" t="n">
        <v>1197519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-0.0060263684705707</v>
      </c>
      <c r="I308" s="45" t="n">
        <f aca="false">IF(AND(ISNUMBER($G308),$G308&gt;=MA_SHORT),AVERAGE(INDEX($C$5:$C308,305-MA_SHORT):$C308),"")</f>
        <v>1180049.6</v>
      </c>
      <c r="J308" s="45" t="n">
        <f aca="false">IF(AND(ISNUMBER($G308),$G308&gt;=MA_MED),AVERAGE(INDEX($C$5:$C308,305-MA_MED):$C308),"")</f>
        <v>1159914.26</v>
      </c>
      <c r="K308" s="45" t="n">
        <f aca="false">IF(AND(ISNUMBER($G308),$G308&gt;=MA_LONG2),AVERAGE(INDEX($C$5:$C308,305-MA_LONG2):$C308),"")</f>
        <v>1073353.005</v>
      </c>
      <c r="L308" s="46" t="n">
        <f aca="false">IF(AND(ISNUMBER($G308),$G308&gt;=21),STDEV(INDEX($H$248:$H308,62-20):$H308)*SQRT(245),"")</f>
        <v>0.0986895992926998</v>
      </c>
      <c r="M308" s="45" t="n">
        <f aca="false">IF(AND(ISNUMBER($G308),$G308&gt;=60),MAX(INDEX($D$108:$D308,202-60):$D308),"")</f>
        <v>1207794</v>
      </c>
      <c r="N308" s="45" t="n">
        <f aca="false">IF(AND(ISNUMBER($G308),$G308&gt;=60),MIN(INDEX($E$108:$E308,202-60):$E308),"")</f>
        <v>1082119</v>
      </c>
      <c r="O308" s="46" t="n">
        <f aca="false">IF(OR(NOT(ISNUMBER($C308)),NOT(ISNUMBER($M308)),$M308=0),"",$C308/$M308-1)</f>
        <v>-0.00720238716204913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1206858</v>
      </c>
      <c r="D309" s="42" t="n">
        <v>1210386</v>
      </c>
      <c r="E309" s="42" t="n">
        <v>1204878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0.0064740491787556</v>
      </c>
      <c r="I309" s="45" t="n">
        <f aca="false">IF(AND(ISNUMBER($G309),$G309&gt;=MA_SHORT),AVERAGE(INDEX($C$5:$C309,306-MA_SHORT):$C309),"")</f>
        <v>1181949.95</v>
      </c>
      <c r="J309" s="45" t="n">
        <f aca="false">IF(AND(ISNUMBER($G309),$G309&gt;=MA_MED),AVERAGE(INDEX($C$5:$C309,306-MA_MED):$C309),"")</f>
        <v>1161598.48</v>
      </c>
      <c r="K309" s="45" t="n">
        <f aca="false">IF(AND(ISNUMBER($G309),$G309&gt;=MA_LONG2),AVERAGE(INDEX($C$5:$C309,306-MA_LONG2):$C309),"")</f>
        <v>1074151.995</v>
      </c>
      <c r="L309" s="46" t="n">
        <f aca="false">IF(AND(ISNUMBER($G309),$G309&gt;=21),STDEV(INDEX($H$249:$H309,62-20):$H309)*SQRT(245),"")</f>
        <v>0.100155294584184</v>
      </c>
      <c r="M309" s="45" t="n">
        <f aca="false">IF(AND(ISNUMBER($G309),$G309&gt;=60),MAX(INDEX($D$109:$D309,202-60):$D309),"")</f>
        <v>1210386</v>
      </c>
      <c r="N309" s="45" t="n">
        <f aca="false">IF(AND(ISNUMBER($G309),$G309&gt;=60),MIN(INDEX($E$109:$E309,202-60):$E309),"")</f>
        <v>1082119</v>
      </c>
      <c r="O309" s="46" t="n">
        <f aca="false">IF(OR(NOT(ISNUMBER($C309)),NOT(ISNUMBER($M309)),$M309=0),"",$C309/$M309-1)</f>
        <v>-0.00291477264277673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1214411</v>
      </c>
      <c r="D310" s="42" t="n">
        <v>1217716</v>
      </c>
      <c r="E310" s="42" t="n">
        <v>1212445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0.00625839991117427</v>
      </c>
      <c r="I310" s="45" t="n">
        <f aca="false">IF(AND(ISNUMBER($G310),$G310&gt;=MA_SHORT),AVERAGE(INDEX($C$5:$C310,307-MA_SHORT):$C310),"")</f>
        <v>1184022.25</v>
      </c>
      <c r="J310" s="45" t="n">
        <f aca="false">IF(AND(ISNUMBER($G310),$G310&gt;=MA_MED),AVERAGE(INDEX($C$5:$C310,307-MA_MED):$C310),"")</f>
        <v>1163455.94</v>
      </c>
      <c r="K310" s="45" t="n">
        <f aca="false">IF(AND(ISNUMBER($G310),$G310&gt;=MA_LONG2),AVERAGE(INDEX($C$5:$C310,307-MA_LONG2):$C310),"")</f>
        <v>1074916.31</v>
      </c>
      <c r="L310" s="46" t="n">
        <f aca="false">IF(AND(ISNUMBER($G310),$G310&gt;=21),STDEV(INDEX($H$250:$H310,62-20):$H310)*SQRT(245),"")</f>
        <v>0.101277287903176</v>
      </c>
      <c r="M310" s="45" t="n">
        <f aca="false">IF(AND(ISNUMBER($G310),$G310&gt;=60),MAX(INDEX($D$110:$D310,202-60):$D310),"")</f>
        <v>1217716</v>
      </c>
      <c r="N310" s="45" t="n">
        <f aca="false">IF(AND(ISNUMBER($G310),$G310&gt;=60),MIN(INDEX($E$110:$E310,202-60):$E310),"")</f>
        <v>1082119</v>
      </c>
      <c r="O310" s="46" t="n">
        <f aca="false">IF(OR(NOT(ISNUMBER($C310)),NOT(ISNUMBER($M310)),$M310=0),"",$C310/$M310-1)</f>
        <v>-0.00271409753998464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1212862</v>
      </c>
      <c r="D311" s="42" t="n">
        <v>1213175</v>
      </c>
      <c r="E311" s="42" t="n">
        <v>1209299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-0.00127551545564064</v>
      </c>
      <c r="I311" s="45" t="n">
        <f aca="false">IF(AND(ISNUMBER($G311),$G311&gt;=MA_SHORT),AVERAGE(INDEX($C$5:$C311,308-MA_SHORT):$C311),"")</f>
        <v>1185911.7</v>
      </c>
      <c r="J311" s="45" t="n">
        <f aca="false">IF(AND(ISNUMBER($G311),$G311&gt;=MA_MED),AVERAGE(INDEX($C$5:$C311,308-MA_MED):$C311),"")</f>
        <v>1165117.3</v>
      </c>
      <c r="K311" s="45" t="n">
        <f aca="false">IF(AND(ISNUMBER($G311),$G311&gt;=MA_LONG2),AVERAGE(INDEX($C$5:$C311,308-MA_LONG2):$C311),"")</f>
        <v>1075693.085</v>
      </c>
      <c r="L311" s="46" t="n">
        <f aca="false">IF(AND(ISNUMBER($G311),$G311&gt;=21),STDEV(INDEX($H$251:$H311,62-20):$H311)*SQRT(245),"")</f>
        <v>0.101831302352936</v>
      </c>
      <c r="M311" s="45" t="n">
        <f aca="false">IF(AND(ISNUMBER($G311),$G311&gt;=60),MAX(INDEX($D$111:$D311,202-60):$D311),"")</f>
        <v>1217716</v>
      </c>
      <c r="N311" s="45" t="n">
        <f aca="false">IF(AND(ISNUMBER($G311),$G311&gt;=60),MIN(INDEX($E$111:$E311,202-60):$E311),"")</f>
        <v>1083181</v>
      </c>
      <c r="O311" s="46" t="n">
        <f aca="false">IF(OR(NOT(ISNUMBER($C311)),NOT(ISNUMBER($M311)),$M311=0),"",$C311/$M311-1)</f>
        <v>-0.00398615112226497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1207958</v>
      </c>
      <c r="D312" s="42" t="n">
        <v>1208723</v>
      </c>
      <c r="E312" s="42" t="n">
        <v>1201603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-0.00404332891953085</v>
      </c>
      <c r="I312" s="45" t="n">
        <f aca="false">IF(AND(ISNUMBER($G312),$G312&gt;=MA_SHORT),AVERAGE(INDEX($C$5:$C312,309-MA_SHORT):$C312),"")</f>
        <v>1187574.6</v>
      </c>
      <c r="J312" s="45" t="n">
        <f aca="false">IF(AND(ISNUMBER($G312),$G312&gt;=MA_MED),AVERAGE(INDEX($C$5:$C312,309-MA_MED):$C312),"")</f>
        <v>1166737.86</v>
      </c>
      <c r="K312" s="45" t="n">
        <f aca="false">IF(AND(ISNUMBER($G312),$G312&gt;=MA_LONG2),AVERAGE(INDEX($C$5:$C312,309-MA_LONG2):$C312),"")</f>
        <v>1076531.935</v>
      </c>
      <c r="L312" s="46" t="n">
        <f aca="false">IF(AND(ISNUMBER($G312),$G312&gt;=21),STDEV(INDEX($H$252:$H312,62-20):$H312)*SQRT(245),"")</f>
        <v>0.103558206123035</v>
      </c>
      <c r="M312" s="45" t="n">
        <f aca="false">IF(AND(ISNUMBER($G312),$G312&gt;=60),MAX(INDEX($D$112:$D312,202-60):$D312),"")</f>
        <v>1217716</v>
      </c>
      <c r="N312" s="45" t="n">
        <f aca="false">IF(AND(ISNUMBER($G312),$G312&gt;=60),MIN(INDEX($E$112:$E312,202-60):$E312),"")</f>
        <v>1083181</v>
      </c>
      <c r="O312" s="46" t="n">
        <f aca="false">IF(OR(NOT(ISNUMBER($C312)),NOT(ISNUMBER($M312)),$M312=0),"",$C312/$M312-1)</f>
        <v>-0.00801336272168551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1180386</v>
      </c>
      <c r="D313" s="42" t="n">
        <v>1182757</v>
      </c>
      <c r="E313" s="42" t="n">
        <v>1174980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-0.0228252969060183</v>
      </c>
      <c r="I313" s="45" t="n">
        <f aca="false">IF(AND(ISNUMBER($G313),$G313&gt;=MA_SHORT),AVERAGE(INDEX($C$5:$C313,310-MA_SHORT):$C313),"")</f>
        <v>1188103.2</v>
      </c>
      <c r="J313" s="45" t="n">
        <f aca="false">IF(AND(ISNUMBER($G313),$G313&gt;=MA_MED),AVERAGE(INDEX($C$5:$C313,310-MA_MED):$C313),"")</f>
        <v>1167161.12</v>
      </c>
      <c r="K313" s="45" t="n">
        <f aca="false">IF(AND(ISNUMBER($G313),$G313&gt;=MA_LONG2),AVERAGE(INDEX($C$5:$C313,310-MA_LONG2):$C313),"")</f>
        <v>1077211.41</v>
      </c>
      <c r="L313" s="46" t="n">
        <f aca="false">IF(AND(ISNUMBER($G313),$G313&gt;=21),STDEV(INDEX($H$253:$H313,62-20):$H313)*SQRT(245),"")</f>
        <v>0.132955375749171</v>
      </c>
      <c r="M313" s="45" t="n">
        <f aca="false">IF(AND(ISNUMBER($G313),$G313&gt;=60),MAX(INDEX($D$113:$D313,202-60):$D313),"")</f>
        <v>1217716</v>
      </c>
      <c r="N313" s="45" t="n">
        <f aca="false">IF(AND(ISNUMBER($G313),$G313&gt;=60),MIN(INDEX($E$113:$E313,202-60):$E313),"")</f>
        <v>1083181</v>
      </c>
      <c r="O313" s="46" t="n">
        <f aca="false">IF(OR(NOT(ISNUMBER($C313)),NOT(ISNUMBER($M313)),$M313=0),"",$C313/$M313-1)</f>
        <v>-0.0306557522443657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1171885</v>
      </c>
      <c r="D314" s="42" t="n">
        <v>1174857</v>
      </c>
      <c r="E314" s="42" t="n">
        <v>1169410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-0.00720188141845124</v>
      </c>
      <c r="I314" s="45" t="n">
        <f aca="false">IF(AND(ISNUMBER($G314),$G314&gt;=MA_SHORT),AVERAGE(INDEX($C$5:$C314,311-MA_SHORT):$C314),"")</f>
        <v>1188077.4</v>
      </c>
      <c r="J314" s="45" t="n">
        <f aca="false">IF(AND(ISNUMBER($G314),$G314&gt;=MA_MED),AVERAGE(INDEX($C$5:$C314,311-MA_MED):$C314),"")</f>
        <v>1167474.88</v>
      </c>
      <c r="K314" s="45" t="n">
        <f aca="false">IF(AND(ISNUMBER($G314),$G314&gt;=MA_LONG2),AVERAGE(INDEX($C$5:$C314,311-MA_LONG2):$C314),"")</f>
        <v>1077798.44</v>
      </c>
      <c r="L314" s="46" t="n">
        <f aca="false">IF(AND(ISNUMBER($G314),$G314&gt;=21),STDEV(INDEX($H$254:$H314,62-20):$H314)*SQRT(245),"")</f>
        <v>0.135437628817351</v>
      </c>
      <c r="M314" s="45" t="n">
        <f aca="false">IF(AND(ISNUMBER($G314),$G314&gt;=60),MAX(INDEX($D$114:$D314,202-60):$D314),"")</f>
        <v>1217716</v>
      </c>
      <c r="N314" s="45" t="n">
        <f aca="false">IF(AND(ISNUMBER($G314),$G314&gt;=60),MIN(INDEX($E$114:$E314,202-60):$E314),"")</f>
        <v>1083181</v>
      </c>
      <c r="O314" s="46" t="n">
        <f aca="false">IF(OR(NOT(ISNUMBER($C314)),NOT(ISNUMBER($M314)),$M314=0),"",$C314/$M314-1)</f>
        <v>-0.0376368545703596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1169986</v>
      </c>
      <c r="D315" s="42" t="n">
        <v>1175473</v>
      </c>
      <c r="E315" s="42" t="n">
        <v>1166280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-0.00162046617202205</v>
      </c>
      <c r="I315" s="45" t="n">
        <f aca="false">IF(AND(ISNUMBER($G315),$G315&gt;=MA_SHORT),AVERAGE(INDEX($C$5:$C315,312-MA_SHORT):$C315),"")</f>
        <v>1187544.3</v>
      </c>
      <c r="J315" s="45" t="n">
        <f aca="false">IF(AND(ISNUMBER($G315),$G315&gt;=MA_MED),AVERAGE(INDEX($C$5:$C315,312-MA_MED):$C315),"")</f>
        <v>1167539.08</v>
      </c>
      <c r="K315" s="45" t="n">
        <f aca="false">IF(AND(ISNUMBER($G315),$G315&gt;=MA_LONG2),AVERAGE(INDEX($C$5:$C315,312-MA_LONG2):$C315),"")</f>
        <v>1078372.46</v>
      </c>
      <c r="L315" s="46" t="n">
        <f aca="false">IF(AND(ISNUMBER($G315),$G315&gt;=21),STDEV(INDEX($H$255:$H315,62-20):$H315)*SQRT(245),"")</f>
        <v>0.133018574911531</v>
      </c>
      <c r="M315" s="45" t="n">
        <f aca="false">IF(AND(ISNUMBER($G315),$G315&gt;=60),MAX(INDEX($D$115:$D315,202-60):$D315),"")</f>
        <v>1217716</v>
      </c>
      <c r="N315" s="45" t="n">
        <f aca="false">IF(AND(ISNUMBER($G315),$G315&gt;=60),MIN(INDEX($E$115:$E315,202-60):$E315),"")</f>
        <v>1089860</v>
      </c>
      <c r="O315" s="46" t="n">
        <f aca="false">IF(OR(NOT(ISNUMBER($C315)),NOT(ISNUMBER($M315)),$M315=0),"",$C315/$M315-1)</f>
        <v>-0.0391963314927291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1149989</v>
      </c>
      <c r="D316" s="42" t="n">
        <v>1153407</v>
      </c>
      <c r="E316" s="42" t="n">
        <v>1146235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-0.0170916575070129</v>
      </c>
      <c r="I316" s="45" t="n">
        <f aca="false">IF(AND(ISNUMBER($G316),$G316&gt;=MA_SHORT),AVERAGE(INDEX($C$5:$C316,313-MA_SHORT):$C316),"")</f>
        <v>1186361.95</v>
      </c>
      <c r="J316" s="45" t="n">
        <f aca="false">IF(AND(ISNUMBER($G316),$G316&gt;=MA_MED),AVERAGE(INDEX($C$5:$C316,313-MA_MED):$C316),"")</f>
        <v>1167459.16</v>
      </c>
      <c r="K316" s="45" t="n">
        <f aca="false">IF(AND(ISNUMBER($G316),$G316&gt;=MA_LONG2),AVERAGE(INDEX($C$5:$C316,313-MA_LONG2):$C316),"")</f>
        <v>1078882.72</v>
      </c>
      <c r="L316" s="46" t="n">
        <f aca="false">IF(AND(ISNUMBER($G316),$G316&gt;=21),STDEV(INDEX($H$256:$H316,62-20):$H316)*SQRT(245),"")</f>
        <v>0.144240343881241</v>
      </c>
      <c r="M316" s="45" t="n">
        <f aca="false">IF(AND(ISNUMBER($G316),$G316&gt;=60),MAX(INDEX($D$116:$D316,202-60):$D316),"")</f>
        <v>1217716</v>
      </c>
      <c r="N316" s="45" t="n">
        <f aca="false">IF(AND(ISNUMBER($G316),$G316&gt;=60),MIN(INDEX($E$116:$E316,202-60):$E316),"")</f>
        <v>1092042</v>
      </c>
      <c r="O316" s="46" t="n">
        <f aca="false">IF(OR(NOT(ISNUMBER($C316)),NOT(ISNUMBER($M316)),$M316=0),"",$C316/$M316-1)</f>
        <v>-0.0556180587263369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1152639</v>
      </c>
      <c r="D317" s="42" t="n">
        <v>1154760</v>
      </c>
      <c r="E317" s="42" t="n">
        <v>1150999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0.00230436986788574</v>
      </c>
      <c r="I317" s="45" t="n">
        <f aca="false">IF(AND(ISNUMBER($G317),$G317&gt;=MA_SHORT),AVERAGE(INDEX($C$5:$C317,314-MA_SHORT):$C317),"")</f>
        <v>1185281.75</v>
      </c>
      <c r="J317" s="45" t="n">
        <f aca="false">IF(AND(ISNUMBER($G317),$G317&gt;=MA_MED),AVERAGE(INDEX($C$5:$C317,314-MA_MED):$C317),"")</f>
        <v>1167715.82</v>
      </c>
      <c r="K317" s="45" t="n">
        <f aca="false">IF(AND(ISNUMBER($G317),$G317&gt;=MA_LONG2),AVERAGE(INDEX($C$5:$C317,314-MA_LONG2):$C317),"")</f>
        <v>1079411.66</v>
      </c>
      <c r="L317" s="46" t="n">
        <f aca="false">IF(AND(ISNUMBER($G317),$G317&gt;=21),STDEV(INDEX($H$257:$H317,62-20):$H317)*SQRT(245),"")</f>
        <v>0.144614152908553</v>
      </c>
      <c r="M317" s="45" t="n">
        <f aca="false">IF(AND(ISNUMBER($G317),$G317&gt;=60),MAX(INDEX($D$117:$D317,202-60):$D317),"")</f>
        <v>1217716</v>
      </c>
      <c r="N317" s="45" t="n">
        <f aca="false">IF(AND(ISNUMBER($G317),$G317&gt;=60),MIN(INDEX($E$117:$E317,202-60):$E317),"")</f>
        <v>1103542</v>
      </c>
      <c r="O317" s="46" t="n">
        <f aca="false">IF(OR(NOT(ISNUMBER($C317)),NOT(ISNUMBER($M317)),$M317=0),"",$C317/$M317-1)</f>
        <v>-0.0534418534370904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1177143</v>
      </c>
      <c r="D318" s="42" t="n">
        <v>1178099</v>
      </c>
      <c r="E318" s="42" t="n">
        <v>1174771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0.0212590412089129</v>
      </c>
      <c r="I318" s="45" t="n">
        <f aca="false">IF(AND(ISNUMBER($G318),$G318&gt;=MA_SHORT),AVERAGE(INDEX($C$5:$C318,315-MA_SHORT):$C318),"")</f>
        <v>1185388.8</v>
      </c>
      <c r="J318" s="45" t="n">
        <f aca="false">IF(AND(ISNUMBER($G318),$G318&gt;=MA_MED),AVERAGE(INDEX($C$5:$C318,315-MA_MED):$C318),"")</f>
        <v>1168523.6</v>
      </c>
      <c r="K318" s="45" t="n">
        <f aca="false">IF(AND(ISNUMBER($G318),$G318&gt;=MA_LONG2),AVERAGE(INDEX($C$5:$C318,315-MA_LONG2):$C318),"")</f>
        <v>1080048.575</v>
      </c>
      <c r="L318" s="46" t="n">
        <f aca="false">IF(AND(ISNUMBER($G318),$G318&gt;=21),STDEV(INDEX($H$258:$H318,62-20):$H318)*SQRT(245),"")</f>
        <v>0.16411373882233</v>
      </c>
      <c r="M318" s="45" t="n">
        <f aca="false">IF(AND(ISNUMBER($G318),$G318&gt;=60),MAX(INDEX($D$118:$D318,202-60):$D318),"")</f>
        <v>1217716</v>
      </c>
      <c r="N318" s="45" t="n">
        <f aca="false">IF(AND(ISNUMBER($G318),$G318&gt;=60),MIN(INDEX($E$118:$E318,202-60):$E318),"")</f>
        <v>1114528</v>
      </c>
      <c r="O318" s="46" t="n">
        <f aca="false">IF(OR(NOT(ISNUMBER($C318)),NOT(ISNUMBER($M318)),$M318=0),"",$C318/$M318-1)</f>
        <v>-0.0333189347926774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1181477</v>
      </c>
      <c r="D319" s="42" t="n">
        <v>1185624</v>
      </c>
      <c r="E319" s="42" t="n">
        <v>1179211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0.00368179566968507</v>
      </c>
      <c r="I319" s="45" t="n">
        <f aca="false">IF(AND(ISNUMBER($G319),$G319&gt;=MA_SHORT),AVERAGE(INDEX($C$5:$C319,316-MA_SHORT):$C319),"")</f>
        <v>1185255.3</v>
      </c>
      <c r="J319" s="45" t="n">
        <f aca="false">IF(AND(ISNUMBER($G319),$G319&gt;=MA_MED),AVERAGE(INDEX($C$5:$C319,316-MA_MED):$C319),"")</f>
        <v>1169352.88</v>
      </c>
      <c r="K319" s="45" t="n">
        <f aca="false">IF(AND(ISNUMBER($G319),$G319&gt;=MA_LONG2),AVERAGE(INDEX($C$5:$C319,316-MA_LONG2):$C319),"")</f>
        <v>1080777.195</v>
      </c>
      <c r="L319" s="46" t="n">
        <f aca="false">IF(AND(ISNUMBER($G319),$G319&gt;=21),STDEV(INDEX($H$259:$H319,62-20):$H319)*SQRT(245),"")</f>
        <v>0.162269353642042</v>
      </c>
      <c r="M319" s="45" t="n">
        <f aca="false">IF(AND(ISNUMBER($G319),$G319&gt;=60),MAX(INDEX($D$119:$D319,202-60):$D319),"")</f>
        <v>1217716</v>
      </c>
      <c r="N319" s="45" t="n">
        <f aca="false">IF(AND(ISNUMBER($G319),$G319&gt;=60),MIN(INDEX($E$119:$E319,202-60):$E319),"")</f>
        <v>1114528</v>
      </c>
      <c r="O319" s="46" t="n">
        <f aca="false">IF(OR(NOT(ISNUMBER($C319)),NOT(ISNUMBER($M319)),$M319=0),"",$C319/$M319-1)</f>
        <v>-0.0297598126328307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1163399</v>
      </c>
      <c r="D320" s="42" t="n">
        <v>1165005</v>
      </c>
      <c r="E320" s="42" t="n">
        <v>1157107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-0.0153011865656293</v>
      </c>
      <c r="I320" s="45" t="n">
        <f aca="false">IF(AND(ISNUMBER($G320),$G320&gt;=MA_SHORT),AVERAGE(INDEX($C$5:$C320,317-MA_SHORT):$C320),"")</f>
        <v>1185152</v>
      </c>
      <c r="J320" s="45" t="n">
        <f aca="false">IF(AND(ISNUMBER($G320),$G320&gt;=MA_MED),AVERAGE(INDEX($C$5:$C320,317-MA_MED):$C320),"")</f>
        <v>1169840.34</v>
      </c>
      <c r="K320" s="45" t="n">
        <f aca="false">IF(AND(ISNUMBER($G320),$G320&gt;=MA_LONG2),AVERAGE(INDEX($C$5:$C320,317-MA_LONG2):$C320),"")</f>
        <v>1081471.27</v>
      </c>
      <c r="L320" s="46" t="n">
        <f aca="false">IF(AND(ISNUMBER($G320),$G320&gt;=21),STDEV(INDEX($H$260:$H320,62-20):$H320)*SQRT(245),"")</f>
        <v>0.161682938507455</v>
      </c>
      <c r="M320" s="45" t="n">
        <f aca="false">IF(AND(ISNUMBER($G320),$G320&gt;=60),MAX(INDEX($D$120:$D320,202-60):$D320),"")</f>
        <v>1217716</v>
      </c>
      <c r="N320" s="45" t="n">
        <f aca="false">IF(AND(ISNUMBER($G320),$G320&gt;=60),MIN(INDEX($E$120:$E320,202-60):$E320),"")</f>
        <v>1122113</v>
      </c>
      <c r="O320" s="46" t="n">
        <f aca="false">IF(OR(NOT(ISNUMBER($C320)),NOT(ISNUMBER($M320)),$M320=0),"",$C320/$M320-1)</f>
        <v>-0.0446056387532068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1166265</v>
      </c>
      <c r="D321" s="42" t="n">
        <v>1167380</v>
      </c>
      <c r="E321" s="42" t="n">
        <v>1164624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0.00246347125964519</v>
      </c>
      <c r="I321" s="45" t="n">
        <f aca="false">IF(AND(ISNUMBER($G321),$G321&gt;=MA_SHORT),AVERAGE(INDEX($C$5:$C321,318-MA_SHORT):$C321),"")</f>
        <v>1185181</v>
      </c>
      <c r="J321" s="45" t="n">
        <f aca="false">IF(AND(ISNUMBER($G321),$G321&gt;=MA_MED),AVERAGE(INDEX($C$5:$C321,318-MA_MED):$C321),"")</f>
        <v>1170368.8</v>
      </c>
      <c r="K321" s="45" t="n">
        <f aca="false">IF(AND(ISNUMBER($G321),$G321&gt;=MA_LONG2),AVERAGE(INDEX($C$5:$C321,318-MA_LONG2):$C321),"")</f>
        <v>1082284.065</v>
      </c>
      <c r="L321" s="46" t="n">
        <f aca="false">IF(AND(ISNUMBER($G321),$G321&gt;=21),STDEV(INDEX($H$261:$H321,62-20):$H321)*SQRT(245),"")</f>
        <v>0.161919901848798</v>
      </c>
      <c r="M321" s="45" t="n">
        <f aca="false">IF(AND(ISNUMBER($G321),$G321&gt;=60),MAX(INDEX($D$121:$D321,202-60):$D321),"")</f>
        <v>1217716</v>
      </c>
      <c r="N321" s="45" t="n">
        <f aca="false">IF(AND(ISNUMBER($G321),$G321&gt;=60),MIN(INDEX($E$121:$E321,202-60):$E321),"")</f>
        <v>1122113</v>
      </c>
      <c r="O321" s="46" t="n">
        <f aca="false">IF(OR(NOT(ISNUMBER($C321)),NOT(ISNUMBER($M321)),$M321=0),"",$C321/$M321-1)</f>
        <v>-0.0422520522026483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1175249</v>
      </c>
      <c r="D322" s="42" t="n">
        <v>1177534</v>
      </c>
      <c r="E322" s="42" t="n">
        <v>1171842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0.00770322353838959</v>
      </c>
      <c r="I322" s="45" t="n">
        <f aca="false">IF(AND(ISNUMBER($G322),$G322&gt;=MA_SHORT),AVERAGE(INDEX($C$5:$C322,319-MA_SHORT):$C322),"")</f>
        <v>1185380.55</v>
      </c>
      <c r="J322" s="45" t="n">
        <f aca="false">IF(AND(ISNUMBER($G322),$G322&gt;=MA_MED),AVERAGE(INDEX($C$5:$C322,319-MA_MED):$C322),"")</f>
        <v>1170929.28</v>
      </c>
      <c r="K322" s="45" t="n">
        <f aca="false">IF(AND(ISNUMBER($G322),$G322&gt;=MA_LONG2),AVERAGE(INDEX($C$5:$C322,319-MA_LONG2):$C322),"")</f>
        <v>1083147.665</v>
      </c>
      <c r="L322" s="46" t="n">
        <f aca="false">IF(AND(ISNUMBER($G322),$G322&gt;=21),STDEV(INDEX($H$262:$H322,62-20):$H322)*SQRT(245),"")</f>
        <v>0.16333177821171</v>
      </c>
      <c r="M322" s="45" t="n">
        <f aca="false">IF(AND(ISNUMBER($G322),$G322&gt;=60),MAX(INDEX($D$122:$D322,202-60):$D322),"")</f>
        <v>1217716</v>
      </c>
      <c r="N322" s="45" t="n">
        <f aca="false">IF(AND(ISNUMBER($G322),$G322&gt;=60),MIN(INDEX($E$122:$E322,202-60):$E322),"")</f>
        <v>1122113</v>
      </c>
      <c r="O322" s="46" t="n">
        <f aca="false">IF(OR(NOT(ISNUMBER($C322)),NOT(ISNUMBER($M322)),$M322=0),"",$C322/$M322-1)</f>
        <v>-0.0348743056673313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1158456</v>
      </c>
      <c r="D323" s="42" t="n">
        <v>1161415</v>
      </c>
      <c r="E323" s="42" t="n">
        <v>1157565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-0.014288886865677</v>
      </c>
      <c r="I323" s="45" t="n">
        <f aca="false">IF(AND(ISNUMBER($G323),$G323&gt;=MA_SHORT),AVERAGE(INDEX($C$5:$C323,320-MA_SHORT):$C323),"")</f>
        <v>1184455.1</v>
      </c>
      <c r="J323" s="45" t="n">
        <f aca="false">IF(AND(ISNUMBER($G323),$G323&gt;=MA_MED),AVERAGE(INDEX($C$5:$C323,320-MA_MED):$C323),"")</f>
        <v>1171375.46</v>
      </c>
      <c r="K323" s="45" t="n">
        <f aca="false">IF(AND(ISNUMBER($G323),$G323&gt;=MA_LONG2),AVERAGE(INDEX($C$5:$C323,320-MA_LONG2):$C323),"")</f>
        <v>1083949.065</v>
      </c>
      <c r="L323" s="46" t="n">
        <f aca="false">IF(AND(ISNUMBER($G323),$G323&gt;=21),STDEV(INDEX($H$263:$H323,62-20):$H323)*SQRT(245),"")</f>
        <v>0.169931852158677</v>
      </c>
      <c r="M323" s="45" t="n">
        <f aca="false">IF(AND(ISNUMBER($G323),$G323&gt;=60),MAX(INDEX($D$123:$D323,202-60):$D323),"")</f>
        <v>1217716</v>
      </c>
      <c r="N323" s="45" t="n">
        <f aca="false">IF(AND(ISNUMBER($G323),$G323&gt;=60),MIN(INDEX($E$123:$E323,202-60):$E323),"")</f>
        <v>1122113</v>
      </c>
      <c r="O323" s="46" t="n">
        <f aca="false">IF(OR(NOT(ISNUMBER($C323)),NOT(ISNUMBER($M323)),$M323=0),"",$C323/$M323-1)</f>
        <v>-0.0486648775248088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1165621</v>
      </c>
      <c r="D324" s="42" t="n">
        <v>1166136</v>
      </c>
      <c r="E324" s="42" t="n">
        <v>1164724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0.00618495652834472</v>
      </c>
      <c r="I324" s="45" t="n">
        <f aca="false">IF(AND(ISNUMBER($G324),$G324&gt;=MA_SHORT),AVERAGE(INDEX($C$5:$C324,321-MA_SHORT):$C324),"")</f>
        <v>1183413.05</v>
      </c>
      <c r="J324" s="45" t="n">
        <f aca="false">IF(AND(ISNUMBER($G324),$G324&gt;=MA_MED),AVERAGE(INDEX($C$5:$C324,321-MA_MED):$C324),"")</f>
        <v>1171831.72</v>
      </c>
      <c r="K324" s="45" t="n">
        <f aca="false">IF(AND(ISNUMBER($G324),$G324&gt;=MA_LONG2),AVERAGE(INDEX($C$5:$C324,321-MA_LONG2):$C324),"")</f>
        <v>1084782.29</v>
      </c>
      <c r="L324" s="46" t="n">
        <f aca="false">IF(AND(ISNUMBER($G324),$G324&gt;=21),STDEV(INDEX($H$264:$H324,62-20):$H324)*SQRT(245),"")</f>
        <v>0.168797145246428</v>
      </c>
      <c r="M324" s="45" t="n">
        <f aca="false">IF(AND(ISNUMBER($G324),$G324&gt;=60),MAX(INDEX($D$124:$D324,202-60):$D324),"")</f>
        <v>1217716</v>
      </c>
      <c r="N324" s="45" t="n">
        <f aca="false">IF(AND(ISNUMBER($G324),$G324&gt;=60),MIN(INDEX($E$124:$E324,202-60):$E324),"")</f>
        <v>1122113</v>
      </c>
      <c r="O324" s="46" t="n">
        <f aca="false">IF(OR(NOT(ISNUMBER($C324)),NOT(ISNUMBER($M324)),$M324=0),"",$C324/$M324-1)</f>
        <v>-0.0427809111484123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1144022</v>
      </c>
      <c r="D325" s="42" t="n">
        <v>1149327</v>
      </c>
      <c r="E325" s="42" t="n">
        <v>1141523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-0.0185300367786785</v>
      </c>
      <c r="I325" s="45" t="n">
        <f aca="false">IF(AND(ISNUMBER($G325),$G325&gt;=MA_SHORT),AVERAGE(INDEX($C$5:$C325,322-MA_SHORT):$C325),"")</f>
        <v>1180442.35</v>
      </c>
      <c r="J325" s="45" t="n">
        <f aca="false">IF(AND(ISNUMBER($G325),$G325&gt;=MA_MED),AVERAGE(INDEX($C$5:$C325,322-MA_MED):$C325),"")</f>
        <v>1172061.58</v>
      </c>
      <c r="K325" s="45" t="n">
        <f aca="false">IF(AND(ISNUMBER($G325),$G325&gt;=MA_LONG2),AVERAGE(INDEX($C$5:$C325,322-MA_LONG2):$C325),"")</f>
        <v>1085510.425</v>
      </c>
      <c r="L325" s="46" t="n">
        <f aca="false">IF(AND(ISNUMBER($G325),$G325&gt;=21),STDEV(INDEX($H$265:$H325,62-20):$H325)*SQRT(245),"")</f>
        <v>0.169948562525333</v>
      </c>
      <c r="M325" s="45" t="n">
        <f aca="false">IF(AND(ISNUMBER($G325),$G325&gt;=60),MAX(INDEX($D$125:$D325,202-60):$D325),"")</f>
        <v>1217716</v>
      </c>
      <c r="N325" s="45" t="n">
        <f aca="false">IF(AND(ISNUMBER($G325),$G325&gt;=60),MIN(INDEX($E$125:$E325,202-60):$E325),"")</f>
        <v>1122113</v>
      </c>
      <c r="O325" s="46" t="n">
        <f aca="false">IF(OR(NOT(ISNUMBER($C325)),NOT(ISNUMBER($M325)),$M325=0),"",$C325/$M325-1)</f>
        <v>-0.0605182160700853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1135754</v>
      </c>
      <c r="D326" s="42" t="n">
        <v>1138636</v>
      </c>
      <c r="E326" s="42" t="n">
        <v>1134998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-0.00722713374393147</v>
      </c>
      <c r="I326" s="45" t="n">
        <f aca="false">IF(AND(ISNUMBER($G326),$G326&gt;=MA_SHORT),AVERAGE(INDEX($C$5:$C326,323-MA_SHORT):$C326),"")</f>
        <v>1176991</v>
      </c>
      <c r="J326" s="45" t="n">
        <f aca="false">IF(AND(ISNUMBER($G326),$G326&gt;=MA_MED),AVERAGE(INDEX($C$5:$C326,323-MA_MED):$C326),"")</f>
        <v>1172064.04</v>
      </c>
      <c r="K326" s="45" t="n">
        <f aca="false">IF(AND(ISNUMBER($G326),$G326&gt;=MA_LONG2),AVERAGE(INDEX($C$5:$C326,323-MA_LONG2):$C326),"")</f>
        <v>1086207.26</v>
      </c>
      <c r="L326" s="46" t="n">
        <f aca="false">IF(AND(ISNUMBER($G326),$G326&gt;=21),STDEV(INDEX($H$266:$H326,62-20):$H326)*SQRT(245),"")</f>
        <v>0.170185187784643</v>
      </c>
      <c r="M326" s="45" t="n">
        <f aca="false">IF(AND(ISNUMBER($G326),$G326&gt;=60),MAX(INDEX($D$126:$D326,202-60):$D326),"")</f>
        <v>1217716</v>
      </c>
      <c r="N326" s="45" t="n">
        <f aca="false">IF(AND(ISNUMBER($G326),$G326&gt;=60),MIN(INDEX($E$126:$E326,202-60):$E326),"")</f>
        <v>1122113</v>
      </c>
      <c r="O326" s="46" t="n">
        <f aca="false">IF(OR(NOT(ISNUMBER($C326)),NOT(ISNUMBER($M326)),$M326=0),"",$C326/$M326-1)</f>
        <v>-0.0673079765725342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1131234</v>
      </c>
      <c r="D327" s="42" t="n">
        <v>1136453</v>
      </c>
      <c r="E327" s="42" t="n">
        <v>1123749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-0.00397973504825866</v>
      </c>
      <c r="I327" s="45" t="n">
        <f aca="false">IF(AND(ISNUMBER($G327),$G327&gt;=MA_SHORT),AVERAGE(INDEX($C$5:$C327,324-MA_SHORT):$C327),"")</f>
        <v>1173234.45</v>
      </c>
      <c r="J327" s="45" t="n">
        <f aca="false">IF(AND(ISNUMBER($G327),$G327&gt;=MA_MED),AVERAGE(INDEX($C$5:$C327,324-MA_MED):$C327),"")</f>
        <v>1171916.2</v>
      </c>
      <c r="K327" s="45" t="n">
        <f aca="false">IF(AND(ISNUMBER($G327),$G327&gt;=MA_LONG2),AVERAGE(INDEX($C$5:$C327,324-MA_LONG2):$C327),"")</f>
        <v>1086806.025</v>
      </c>
      <c r="L327" s="46" t="n">
        <f aca="false">IF(AND(ISNUMBER($G327),$G327&gt;=21),STDEV(INDEX($H$267:$H327,62-20):$H327)*SQRT(245),"")</f>
        <v>0.169506172988189</v>
      </c>
      <c r="M327" s="45" t="n">
        <f aca="false">IF(AND(ISNUMBER($G327),$G327&gt;=60),MAX(INDEX($D$127:$D327,202-60):$D327),"")</f>
        <v>1217716</v>
      </c>
      <c r="N327" s="45" t="n">
        <f aca="false">IF(AND(ISNUMBER($G327),$G327&gt;=60),MIN(INDEX($E$127:$E327,202-60):$E327),"")</f>
        <v>1122113</v>
      </c>
      <c r="O327" s="46" t="n">
        <f aca="false">IF(OR(NOT(ISNUMBER($C327)),NOT(ISNUMBER($M327)),$M327=0),"",$C327/$M327-1)</f>
        <v>-0.0710198437073998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1135224</v>
      </c>
      <c r="D328" s="42" t="n">
        <v>1136479</v>
      </c>
      <c r="E328" s="42" t="n">
        <v>1134041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0.00352712170956671</v>
      </c>
      <c r="I328" s="45" t="n">
        <f aca="false">IF(AND(ISNUMBER($G328),$G328&gt;=MA_SHORT),AVERAGE(INDEX($C$5:$C328,325-MA_SHORT):$C328),"")</f>
        <v>1170040.9</v>
      </c>
      <c r="J328" s="45" t="n">
        <f aca="false">IF(AND(ISNUMBER($G328),$G328&gt;=MA_MED),AVERAGE(INDEX($C$5:$C328,325-MA_MED):$C328),"")</f>
        <v>1172004.42</v>
      </c>
      <c r="K328" s="45" t="n">
        <f aca="false">IF(AND(ISNUMBER($G328),$G328&gt;=MA_LONG2),AVERAGE(INDEX($C$5:$C328,325-MA_LONG2):$C328),"")</f>
        <v>1087382.47</v>
      </c>
      <c r="L328" s="46" t="n">
        <f aca="false">IF(AND(ISNUMBER($G328),$G328&gt;=21),STDEV(INDEX($H$268:$H328,62-20):$H328)*SQRT(245),"")</f>
        <v>0.170712402441984</v>
      </c>
      <c r="M328" s="45" t="n">
        <f aca="false">IF(AND(ISNUMBER($G328),$G328&gt;=60),MAX(INDEX($D$128:$D328,202-60):$D328),"")</f>
        <v>1217716</v>
      </c>
      <c r="N328" s="45" t="n">
        <f aca="false">IF(AND(ISNUMBER($G328),$G328&gt;=60),MIN(INDEX($E$128:$E328,202-60):$E328),"")</f>
        <v>1122113</v>
      </c>
      <c r="O328" s="46" t="n">
        <f aca="false">IF(OR(NOT(ISNUMBER($C328)),NOT(ISNUMBER($M328)),$M328=0),"",$C328/$M328-1)</f>
        <v>-0.0677432176303835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1136850</v>
      </c>
      <c r="D329" s="42" t="n">
        <v>1139743</v>
      </c>
      <c r="E329" s="42" t="n">
        <v>1133712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0.00143231644151287</v>
      </c>
      <c r="I329" s="45" t="n">
        <f aca="false">IF(AND(ISNUMBER($G329),$G329&gt;=MA_SHORT),AVERAGE(INDEX($C$5:$C329,326-MA_SHORT):$C329),"")</f>
        <v>1166540.5</v>
      </c>
      <c r="J329" s="45" t="n">
        <f aca="false">IF(AND(ISNUMBER($G329),$G329&gt;=MA_MED),AVERAGE(INDEX($C$5:$C329,326-MA_MED):$C329),"")</f>
        <v>1172137.7</v>
      </c>
      <c r="K329" s="45" t="n">
        <f aca="false">IF(AND(ISNUMBER($G329),$G329&gt;=MA_LONG2),AVERAGE(INDEX($C$5:$C329,326-MA_LONG2):$C329),"")</f>
        <v>1087964.74</v>
      </c>
      <c r="L329" s="46" t="n">
        <f aca="false">IF(AND(ISNUMBER($G329),$G329&gt;=21),STDEV(INDEX($H$269:$H329,62-20):$H329)*SQRT(245),"")</f>
        <v>0.168119983231898</v>
      </c>
      <c r="M329" s="45" t="n">
        <f aca="false">IF(AND(ISNUMBER($G329),$G329&gt;=60),MAX(INDEX($D$129:$D329,202-60):$D329),"")</f>
        <v>1217716</v>
      </c>
      <c r="N329" s="45" t="n">
        <f aca="false">IF(AND(ISNUMBER($G329),$G329&gt;=60),MIN(INDEX($E$129:$E329,202-60):$E329),"")</f>
        <v>1122113</v>
      </c>
      <c r="O329" s="46" t="n">
        <f aca="false">IF(OR(NOT(ISNUMBER($C329)),NOT(ISNUMBER($M329)),$M329=0),"",$C329/$M329-1)</f>
        <v>-0.0664079309132836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1141765</v>
      </c>
      <c r="D330" s="42" t="n">
        <v>1142571</v>
      </c>
      <c r="E330" s="42" t="n">
        <v>1134688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0.00432334960636838</v>
      </c>
      <c r="I330" s="45" t="n">
        <f aca="false">IF(AND(ISNUMBER($G330),$G330&gt;=MA_SHORT),AVERAGE(INDEX($C$5:$C330,327-MA_SHORT):$C330),"")</f>
        <v>1162908.2</v>
      </c>
      <c r="J330" s="45" t="n">
        <f aca="false">IF(AND(ISNUMBER($G330),$G330&gt;=MA_MED),AVERAGE(INDEX($C$5:$C330,327-MA_MED):$C330),"")</f>
        <v>1172446.78</v>
      </c>
      <c r="K330" s="45" t="n">
        <f aca="false">IF(AND(ISNUMBER($G330),$G330&gt;=MA_LONG2),AVERAGE(INDEX($C$5:$C330,327-MA_LONG2):$C330),"")</f>
        <v>1088623.205</v>
      </c>
      <c r="L330" s="46" t="n">
        <f aca="false">IF(AND(ISNUMBER($G330),$G330&gt;=21),STDEV(INDEX($H$270:$H330,62-20):$H330)*SQRT(245),"")</f>
        <v>0.166888389146295</v>
      </c>
      <c r="M330" s="45" t="n">
        <f aca="false">IF(AND(ISNUMBER($G330),$G330&gt;=60),MAX(INDEX($D$130:$D330,202-60):$D330),"")</f>
        <v>1217716</v>
      </c>
      <c r="N330" s="45" t="n">
        <f aca="false">IF(AND(ISNUMBER($G330),$G330&gt;=60),MIN(INDEX($E$130:$E330,202-60):$E330),"")</f>
        <v>1122113</v>
      </c>
      <c r="O330" s="46" t="n">
        <f aca="false">IF(OR(NOT(ISNUMBER($C330)),NOT(ISNUMBER($M330)),$M330=0),"",$C330/$M330-1)</f>
        <v>-0.0623716860088888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1150447</v>
      </c>
      <c r="D331" s="42" t="n">
        <v>1152792</v>
      </c>
      <c r="E331" s="42" t="n">
        <v>1145241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0.00760401658835219</v>
      </c>
      <c r="I331" s="45" t="n">
        <f aca="false">IF(AND(ISNUMBER($G331),$G331&gt;=MA_SHORT),AVERAGE(INDEX($C$5:$C331,328-MA_SHORT):$C331),"")</f>
        <v>1159787.45</v>
      </c>
      <c r="J331" s="45" t="n">
        <f aca="false">IF(AND(ISNUMBER($G331),$G331&gt;=MA_MED),AVERAGE(INDEX($C$5:$C331,328-MA_MED):$C331),"")</f>
        <v>1172668.76</v>
      </c>
      <c r="K331" s="45" t="n">
        <f aca="false">IF(AND(ISNUMBER($G331),$G331&gt;=MA_LONG2),AVERAGE(INDEX($C$5:$C331,328-MA_LONG2):$C331),"")</f>
        <v>1089382.13</v>
      </c>
      <c r="L331" s="46" t="n">
        <f aca="false">IF(AND(ISNUMBER($G331),$G331&gt;=21),STDEV(INDEX($H$271:$H331,62-20):$H331)*SQRT(245),"")</f>
        <v>0.170933586604162</v>
      </c>
      <c r="M331" s="45" t="n">
        <f aca="false">IF(AND(ISNUMBER($G331),$G331&gt;=60),MAX(INDEX($D$131:$D331,202-60):$D331),"")</f>
        <v>1217716</v>
      </c>
      <c r="N331" s="45" t="n">
        <f aca="false">IF(AND(ISNUMBER($G331),$G331&gt;=60),MIN(INDEX($E$131:$E331,202-60):$E331),"")</f>
        <v>1122113</v>
      </c>
      <c r="O331" s="46" t="n">
        <f aca="false">IF(OR(NOT(ISNUMBER($C331)),NOT(ISNUMBER($M331)),$M331=0),"",$C331/$M331-1)</f>
        <v>-0.0552419447555916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1148624</v>
      </c>
      <c r="D332" s="42" t="n">
        <v>1158335</v>
      </c>
      <c r="E332" s="42" t="n">
        <v>1146306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-0.00158460146360506</v>
      </c>
      <c r="I332" s="45" t="n">
        <f aca="false">IF(AND(ISNUMBER($G332),$G332&gt;=MA_SHORT),AVERAGE(INDEX($C$5:$C332,329-MA_SHORT):$C332),"")</f>
        <v>1156820.75</v>
      </c>
      <c r="J332" s="45" t="n">
        <f aca="false">IF(AND(ISNUMBER($G332),$G332&gt;=MA_MED),AVERAGE(INDEX($C$5:$C332,329-MA_MED):$C332),"")</f>
        <v>1172378.58</v>
      </c>
      <c r="K332" s="45" t="n">
        <f aca="false">IF(AND(ISNUMBER($G332),$G332&gt;=MA_LONG2),AVERAGE(INDEX($C$5:$C332,329-MA_LONG2):$C332),"")</f>
        <v>1090109.59</v>
      </c>
      <c r="L332" s="46" t="n">
        <f aca="false">IF(AND(ISNUMBER($G332),$G332&gt;=21),STDEV(INDEX($H$272:$H332,62-20):$H332)*SQRT(245),"")</f>
        <v>0.170879021752665</v>
      </c>
      <c r="M332" s="45" t="n">
        <f aca="false">IF(AND(ISNUMBER($G332),$G332&gt;=60),MAX(INDEX($D$132:$D332,202-60):$D332),"")</f>
        <v>1217716</v>
      </c>
      <c r="N332" s="45" t="n">
        <f aca="false">IF(AND(ISNUMBER($G332),$G332&gt;=60),MIN(INDEX($E$132:$E332,202-60):$E332),"")</f>
        <v>1122113</v>
      </c>
      <c r="O332" s="46" t="n">
        <f aca="false">IF(OR(NOT(ISNUMBER($C332)),NOT(ISNUMBER($M332)),$M332=0),"",$C332/$M332-1)</f>
        <v>-0.0567390097526845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1152900</v>
      </c>
      <c r="D333" s="42" t="n">
        <v>1156284</v>
      </c>
      <c r="E333" s="42" t="n">
        <v>1148696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0.00372271517920564</v>
      </c>
      <c r="I333" s="45" t="n">
        <f aca="false">IF(AND(ISNUMBER($G333),$G333&gt;=MA_SHORT),AVERAGE(INDEX($C$5:$C333,330-MA_SHORT):$C333),"")</f>
        <v>1155446.45</v>
      </c>
      <c r="J333" s="45" t="n">
        <f aca="false">IF(AND(ISNUMBER($G333),$G333&gt;=MA_MED),AVERAGE(INDEX($C$5:$C333,330-MA_MED):$C333),"")</f>
        <v>1171808.96</v>
      </c>
      <c r="K333" s="45" t="n">
        <f aca="false">IF(AND(ISNUMBER($G333),$G333&gt;=MA_LONG2),AVERAGE(INDEX($C$5:$C333,330-MA_LONG2):$C333),"")</f>
        <v>1090839.765</v>
      </c>
      <c r="L333" s="46" t="n">
        <f aca="false">IF(AND(ISNUMBER($G333),$G333&gt;=21),STDEV(INDEX($H$273:$H333,62-20):$H333)*SQRT(245),"")</f>
        <v>0.154560639928466</v>
      </c>
      <c r="M333" s="45" t="n">
        <f aca="false">IF(AND(ISNUMBER($G333),$G333&gt;=60),MAX(INDEX($D$133:$D333,202-60):$D333),"")</f>
        <v>1217716</v>
      </c>
      <c r="N333" s="45" t="n">
        <f aca="false">IF(AND(ISNUMBER($G333),$G333&gt;=60),MIN(INDEX($E$133:$E333,202-60):$E333),"")</f>
        <v>1122113</v>
      </c>
      <c r="O333" s="46" t="n">
        <f aca="false">IF(OR(NOT(ISNUMBER($C333)),NOT(ISNUMBER($M333)),$M333=0),"",$C333/$M333-1)</f>
        <v>-0.0532275177463383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1156265</v>
      </c>
      <c r="D334" s="42" t="n">
        <v>1157019</v>
      </c>
      <c r="E334" s="42" t="n">
        <v>1152226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0.00291872668921855</v>
      </c>
      <c r="I334" s="45" t="n">
        <f aca="false">IF(AND(ISNUMBER($G334),$G334&gt;=MA_SHORT),AVERAGE(INDEX($C$5:$C334,331-MA_SHORT):$C334),"")</f>
        <v>1154665.45</v>
      </c>
      <c r="J334" s="45" t="n">
        <f aca="false">IF(AND(ISNUMBER($G334),$G334&gt;=MA_MED),AVERAGE(INDEX($C$5:$C334,331-MA_MED):$C334),"")</f>
        <v>1171146.72</v>
      </c>
      <c r="K334" s="45" t="n">
        <f aca="false">IF(AND(ISNUMBER($G334),$G334&gt;=MA_LONG2),AVERAGE(INDEX($C$5:$C334,331-MA_LONG2):$C334),"")</f>
        <v>1091598.64</v>
      </c>
      <c r="L334" s="46" t="n">
        <f aca="false">IF(AND(ISNUMBER($G334),$G334&gt;=21),STDEV(INDEX($H$274:$H334,62-20):$H334)*SQRT(245),"")</f>
        <v>0.153489989585993</v>
      </c>
      <c r="M334" s="45" t="n">
        <f aca="false">IF(AND(ISNUMBER($G334),$G334&gt;=60),MAX(INDEX($D$134:$D334,202-60):$D334),"")</f>
        <v>1217716</v>
      </c>
      <c r="N334" s="45" t="n">
        <f aca="false">IF(AND(ISNUMBER($G334),$G334&gt;=60),MIN(INDEX($E$134:$E334,202-60):$E334),"")</f>
        <v>1122113</v>
      </c>
      <c r="O334" s="46" t="n">
        <f aca="false">IF(OR(NOT(ISNUMBER($C334)),NOT(ISNUMBER($M334)),$M334=0),"",$C334/$M334-1)</f>
        <v>-0.0504641476337668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1171150</v>
      </c>
      <c r="D335" s="42" t="n">
        <v>1173343</v>
      </c>
      <c r="E335" s="42" t="n">
        <v>1163117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0.0128733465079371</v>
      </c>
      <c r="I335" s="45" t="n">
        <f aca="false">IF(AND(ISNUMBER($G335),$G335&gt;=MA_SHORT),AVERAGE(INDEX($C$5:$C335,332-MA_SHORT):$C335),"")</f>
        <v>1154723.65</v>
      </c>
      <c r="J335" s="45" t="n">
        <f aca="false">IF(AND(ISNUMBER($G335),$G335&gt;=MA_MED),AVERAGE(INDEX($C$5:$C335,332-MA_MED):$C335),"")</f>
        <v>1171083.08</v>
      </c>
      <c r="K335" s="45" t="n">
        <f aca="false">IF(AND(ISNUMBER($G335),$G335&gt;=MA_LONG2),AVERAGE(INDEX($C$5:$C335,332-MA_LONG2):$C335),"")</f>
        <v>1092437.05</v>
      </c>
      <c r="L335" s="46" t="n">
        <f aca="false">IF(AND(ISNUMBER($G335),$G335&gt;=21),STDEV(INDEX($H$275:$H335,62-20):$H335)*SQRT(245),"")</f>
        <v>0.160500537530936</v>
      </c>
      <c r="M335" s="45" t="n">
        <f aca="false">IF(AND(ISNUMBER($G335),$G335&gt;=60),MAX(INDEX($D$135:$D335,202-60):$D335),"")</f>
        <v>1217716</v>
      </c>
      <c r="N335" s="45" t="n">
        <f aca="false">IF(AND(ISNUMBER($G335),$G335&gt;=60),MIN(INDEX($E$135:$E335,202-60):$E335),"")</f>
        <v>1122113</v>
      </c>
      <c r="O335" s="46" t="n">
        <f aca="false">IF(OR(NOT(ISNUMBER($C335)),NOT(ISNUMBER($M335)),$M335=0),"",$C335/$M335-1)</f>
        <v>-0.0382404435845468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1177737</v>
      </c>
      <c r="D336" s="42" t="n">
        <v>1181265</v>
      </c>
      <c r="E336" s="42" t="n">
        <v>1172858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0.00562438628698292</v>
      </c>
      <c r="I336" s="45" t="n">
        <f aca="false">IF(AND(ISNUMBER($G336),$G336&gt;=MA_SHORT),AVERAGE(INDEX($C$5:$C336,333-MA_SHORT):$C336),"")</f>
        <v>1156111.05</v>
      </c>
      <c r="J336" s="45" t="n">
        <f aca="false">IF(AND(ISNUMBER($G336),$G336&gt;=MA_MED),AVERAGE(INDEX($C$5:$C336,333-MA_MED):$C336),"")</f>
        <v>1171507.14</v>
      </c>
      <c r="K336" s="45" t="n">
        <f aca="false">IF(AND(ISNUMBER($G336),$G336&gt;=MA_LONG2),AVERAGE(INDEX($C$5:$C336,333-MA_LONG2):$C336),"")</f>
        <v>1093320.56</v>
      </c>
      <c r="L336" s="46" t="n">
        <f aca="false">IF(AND(ISNUMBER($G336),$G336&gt;=21),STDEV(INDEX($H$276:$H336,62-20):$H336)*SQRT(245),"")</f>
        <v>0.148358753398711</v>
      </c>
      <c r="M336" s="45" t="n">
        <f aca="false">IF(AND(ISNUMBER($G336),$G336&gt;=60),MAX(INDEX($D$136:$D336,202-60):$D336),"")</f>
        <v>1217716</v>
      </c>
      <c r="N336" s="45" t="n">
        <f aca="false">IF(AND(ISNUMBER($G336),$G336&gt;=60),MIN(INDEX($E$136:$E336,202-60):$E336),"")</f>
        <v>1122113</v>
      </c>
      <c r="O336" s="46" t="n">
        <f aca="false">IF(OR(NOT(ISNUMBER($C336)),NOT(ISNUMBER($M336)),$M336=0),"",$C336/$M336-1)</f>
        <v>-0.032831136324069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1195190</v>
      </c>
      <c r="D337" s="42" t="n">
        <v>1198367</v>
      </c>
      <c r="E337" s="42" t="n">
        <v>1185559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0.0148190979819773</v>
      </c>
      <c r="I337" s="45" t="n">
        <f aca="false">IF(AND(ISNUMBER($G337),$G337&gt;=MA_SHORT),AVERAGE(INDEX($C$5:$C337,334-MA_SHORT):$C337),"")</f>
        <v>1158238.6</v>
      </c>
      <c r="J337" s="45" t="n">
        <f aca="false">IF(AND(ISNUMBER($G337),$G337&gt;=MA_MED),AVERAGE(INDEX($C$5:$C337,334-MA_MED):$C337),"")</f>
        <v>1172035.38</v>
      </c>
      <c r="K337" s="45" t="n">
        <f aca="false">IF(AND(ISNUMBER($G337),$G337&gt;=MA_LONG2),AVERAGE(INDEX($C$5:$C337,334-MA_LONG2):$C337),"")</f>
        <v>1094276.46</v>
      </c>
      <c r="L337" s="46" t="n">
        <f aca="false">IF(AND(ISNUMBER($G337),$G337&gt;=21),STDEV(INDEX($H$277:$H337,62-20):$H337)*SQRT(245),"")</f>
        <v>0.155800677002567</v>
      </c>
      <c r="M337" s="45" t="n">
        <f aca="false">IF(AND(ISNUMBER($G337),$G337&gt;=60),MAX(INDEX($D$137:$D337,202-60):$D337),"")</f>
        <v>1217716</v>
      </c>
      <c r="N337" s="45" t="n">
        <f aca="false">IF(AND(ISNUMBER($G337),$G337&gt;=60),MIN(INDEX($E$137:$E337,202-60):$E337),"")</f>
        <v>1122113</v>
      </c>
      <c r="O337" s="46" t="n">
        <f aca="false">IF(OR(NOT(ISNUMBER($C337)),NOT(ISNUMBER($M337)),$M337=0),"",$C337/$M337-1)</f>
        <v>-0.0184985661681377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1220341</v>
      </c>
      <c r="D338" s="42" t="n">
        <v>1225552</v>
      </c>
      <c r="E338" s="42" t="n">
        <v>1218150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0.0210435160936755</v>
      </c>
      <c r="I338" s="45" t="n">
        <f aca="false">IF(AND(ISNUMBER($G338),$G338&gt;=MA_SHORT),AVERAGE(INDEX($C$5:$C338,335-MA_SHORT):$C338),"")</f>
        <v>1160398.5</v>
      </c>
      <c r="J338" s="45" t="n">
        <f aca="false">IF(AND(ISNUMBER($G338),$G338&gt;=MA_MED),AVERAGE(INDEX($C$5:$C338,335-MA_MED):$C338),"")</f>
        <v>1173061.58</v>
      </c>
      <c r="K338" s="45" t="n">
        <f aca="false">IF(AND(ISNUMBER($G338),$G338&gt;=MA_LONG2),AVERAGE(INDEX($C$5:$C338,335-MA_LONG2):$C338),"")</f>
        <v>1095425.7</v>
      </c>
      <c r="L338" s="46" t="n">
        <f aca="false">IF(AND(ISNUMBER($G338),$G338&gt;=21),STDEV(INDEX($H$278:$H338,62-20):$H338)*SQRT(245),"")</f>
        <v>0.155456109280714</v>
      </c>
      <c r="M338" s="45" t="n">
        <f aca="false">IF(AND(ISNUMBER($G338),$G338&gt;=60),MAX(INDEX($D$138:$D338,202-60):$D338),"")</f>
        <v>1225552</v>
      </c>
      <c r="N338" s="45" t="n">
        <f aca="false">IF(AND(ISNUMBER($G338),$G338&gt;=60),MIN(INDEX($E$138:$E338,202-60):$E338),"")</f>
        <v>1122113</v>
      </c>
      <c r="O338" s="46" t="n">
        <f aca="false">IF(OR(NOT(ISNUMBER($C338)),NOT(ISNUMBER($M338)),$M338=0),"",$C338/$M338-1)</f>
        <v>-0.00425196156507435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1238991</v>
      </c>
      <c r="D339" s="42" t="n">
        <v>1241518</v>
      </c>
      <c r="E339" s="42" t="n">
        <v>1235961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0.0152826136301247</v>
      </c>
      <c r="I339" s="45" t="n">
        <f aca="false">IF(AND(ISNUMBER($G339),$G339&gt;=MA_SHORT),AVERAGE(INDEX($C$5:$C339,336-MA_SHORT):$C339),"")</f>
        <v>1163274.2</v>
      </c>
      <c r="J339" s="45" t="n">
        <f aca="false">IF(AND(ISNUMBER($G339),$G339&gt;=MA_MED),AVERAGE(INDEX($C$5:$C339,336-MA_MED):$C339),"")</f>
        <v>1174464.38</v>
      </c>
      <c r="K339" s="45" t="n">
        <f aca="false">IF(AND(ISNUMBER($G339),$G339&gt;=MA_LONG2),AVERAGE(INDEX($C$5:$C339,336-MA_LONG2):$C339),"")</f>
        <v>1096629.62</v>
      </c>
      <c r="L339" s="46" t="n">
        <f aca="false">IF(AND(ISNUMBER($G339),$G339&gt;=21),STDEV(INDEX($H$279:$H339,62-20):$H339)*SQRT(245),"")</f>
        <v>0.162367092410484</v>
      </c>
      <c r="M339" s="45" t="n">
        <f aca="false">IF(AND(ISNUMBER($G339),$G339&gt;=60),MAX(INDEX($D$139:$D339,202-60):$D339),"")</f>
        <v>1241518</v>
      </c>
      <c r="N339" s="45" t="n">
        <f aca="false">IF(AND(ISNUMBER($G339),$G339&gt;=60),MIN(INDEX($E$139:$E339,202-60):$E339),"")</f>
        <v>1122113</v>
      </c>
      <c r="O339" s="46" t="n">
        <f aca="false">IF(OR(NOT(ISNUMBER($C339)),NOT(ISNUMBER($M339)),$M339=0),"",$C339/$M339-1)</f>
        <v>-0.00203541148819431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1255751</v>
      </c>
      <c r="D340" s="42" t="n">
        <v>1261319</v>
      </c>
      <c r="E340" s="42" t="n">
        <v>1250662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0.0135271361938869</v>
      </c>
      <c r="I340" s="45" t="n">
        <f aca="false">IF(AND(ISNUMBER($G340),$G340&gt;=MA_SHORT),AVERAGE(INDEX($C$5:$C340,337-MA_SHORT):$C340),"")</f>
        <v>1167891.8</v>
      </c>
      <c r="J340" s="45" t="n">
        <f aca="false">IF(AND(ISNUMBER($G340),$G340&gt;=MA_MED),AVERAGE(INDEX($C$5:$C340,337-MA_MED):$C340),"")</f>
        <v>1176120.1</v>
      </c>
      <c r="K340" s="45" t="n">
        <f aca="false">IF(AND(ISNUMBER($G340),$G340&gt;=MA_LONG2),AVERAGE(INDEX($C$5:$C340,337-MA_LONG2):$C340),"")</f>
        <v>1097866.57</v>
      </c>
      <c r="L340" s="46" t="n">
        <f aca="false">IF(AND(ISNUMBER($G340),$G340&gt;=21),STDEV(INDEX($H$280:$H340,62-20):$H340)*SQRT(245),"")</f>
        <v>0.152842176599692</v>
      </c>
      <c r="M340" s="45" t="n">
        <f aca="false">IF(AND(ISNUMBER($G340),$G340&gt;=60),MAX(INDEX($D$140:$D340,202-60):$D340),"")</f>
        <v>1261319</v>
      </c>
      <c r="N340" s="45" t="n">
        <f aca="false">IF(AND(ISNUMBER($G340),$G340&gt;=60),MIN(INDEX($E$140:$E340,202-60):$E340),"")</f>
        <v>1123749</v>
      </c>
      <c r="O340" s="46" t="n">
        <f aca="false">IF(OR(NOT(ISNUMBER($C340)),NOT(ISNUMBER($M340)),$M340=0),"",$C340/$M340-1)</f>
        <v>-0.00441442648529045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1228320</v>
      </c>
      <c r="D341" s="42" t="n">
        <v>1229419</v>
      </c>
      <c r="E341" s="42" t="n">
        <v>1228301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-0.0218442987503096</v>
      </c>
      <c r="I341" s="45" t="n">
        <f aca="false">IF(AND(ISNUMBER($G341),$G341&gt;=MA_SHORT),AVERAGE(INDEX($C$5:$C341,338-MA_SHORT):$C341),"")</f>
        <v>1170994.55</v>
      </c>
      <c r="J341" s="45" t="n">
        <f aca="false">IF(AND(ISNUMBER($G341),$G341&gt;=MA_MED),AVERAGE(INDEX($C$5:$C341,338-MA_MED):$C341),"")</f>
        <v>1177185.04</v>
      </c>
      <c r="K341" s="45" t="n">
        <f aca="false">IF(AND(ISNUMBER($G341),$G341&gt;=MA_LONG2),AVERAGE(INDEX($C$5:$C341,338-MA_LONG2):$C341),"")</f>
        <v>1098893.495</v>
      </c>
      <c r="L341" s="46" t="n">
        <f aca="false">IF(AND(ISNUMBER($G341),$G341&gt;=21),STDEV(INDEX($H$281:$H341,62-20):$H341)*SQRT(245),"")</f>
        <v>0.177431204990756</v>
      </c>
      <c r="M341" s="45" t="n">
        <f aca="false">IF(AND(ISNUMBER($G341),$G341&gt;=60),MAX(INDEX($D$141:$D341,202-60):$D341),"")</f>
        <v>1261319</v>
      </c>
      <c r="N341" s="45" t="n">
        <f aca="false">IF(AND(ISNUMBER($G341),$G341&gt;=60),MIN(INDEX($E$141:$E341,202-60):$E341),"")</f>
        <v>1123749</v>
      </c>
      <c r="O341" s="46" t="n">
        <f aca="false">IF(OR(NOT(ISNUMBER($C341)),NOT(ISNUMBER($M341)),$M341=0),"",$C341/$M341-1)</f>
        <v>-0.026162295184644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1209317</v>
      </c>
      <c r="D342" s="42" t="n">
        <v>1209988</v>
      </c>
      <c r="E342" s="42" t="n">
        <v>1205870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-0.0154707242412401</v>
      </c>
      <c r="I342" s="45" t="n">
        <f aca="false">IF(AND(ISNUMBER($G342),$G342&gt;=MA_SHORT),AVERAGE(INDEX($C$5:$C342,339-MA_SHORT):$C342),"")</f>
        <v>1172697.95</v>
      </c>
      <c r="J342" s="45" t="n">
        <f aca="false">IF(AND(ISNUMBER($G342),$G342&gt;=MA_MED),AVERAGE(INDEX($C$5:$C342,339-MA_MED):$C342),"")</f>
        <v>1177877.38</v>
      </c>
      <c r="K342" s="45" t="n">
        <f aca="false">IF(AND(ISNUMBER($G342),$G342&gt;=MA_LONG2),AVERAGE(INDEX($C$5:$C342,339-MA_LONG2):$C342),"")</f>
        <v>1099764.82</v>
      </c>
      <c r="L342" s="46" t="n">
        <f aca="false">IF(AND(ISNUMBER($G342),$G342&gt;=21),STDEV(INDEX($H$282:$H342,62-20):$H342)*SQRT(245),"")</f>
        <v>0.187201452479037</v>
      </c>
      <c r="M342" s="45" t="n">
        <f aca="false">IF(AND(ISNUMBER($G342),$G342&gt;=60),MAX(INDEX($D$142:$D342,202-60):$D342),"")</f>
        <v>1261319</v>
      </c>
      <c r="N342" s="45" t="n">
        <f aca="false">IF(AND(ISNUMBER($G342),$G342&gt;=60),MIN(INDEX($E$142:$E342,202-60):$E342),"")</f>
        <v>1123749</v>
      </c>
      <c r="O342" s="46" t="n">
        <f aca="false">IF(OR(NOT(ISNUMBER($C342)),NOT(ISNUMBER($M342)),$M342=0),"",$C342/$M342-1)</f>
        <v>-0.0412282697715646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1225564</v>
      </c>
      <c r="D343" s="42" t="n">
        <v>1232664</v>
      </c>
      <c r="E343" s="42" t="n">
        <v>1223716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0.0134348562039563</v>
      </c>
      <c r="I343" s="45" t="n">
        <f aca="false">IF(AND(ISNUMBER($G343),$G343&gt;=MA_SHORT),AVERAGE(INDEX($C$5:$C343,340-MA_SHORT):$C343),"")</f>
        <v>1176053.35</v>
      </c>
      <c r="J343" s="45" t="n">
        <f aca="false">IF(AND(ISNUMBER($G343),$G343&gt;=MA_MED),AVERAGE(INDEX($C$5:$C343,340-MA_MED):$C343),"")</f>
        <v>1178992.38</v>
      </c>
      <c r="K343" s="45" t="n">
        <f aca="false">IF(AND(ISNUMBER($G343),$G343&gt;=MA_LONG2),AVERAGE(INDEX($C$5:$C343,340-MA_LONG2):$C343),"")</f>
        <v>1100713.875</v>
      </c>
      <c r="L343" s="46" t="n">
        <f aca="false">IF(AND(ISNUMBER($G343),$G343&gt;=21),STDEV(INDEX($H$283:$H343,62-20):$H343)*SQRT(245),"")</f>
        <v>0.1821333633824</v>
      </c>
      <c r="M343" s="45" t="n">
        <f aca="false">IF(AND(ISNUMBER($G343),$G343&gt;=60),MAX(INDEX($D$143:$D343,202-60):$D343),"")</f>
        <v>1261319</v>
      </c>
      <c r="N343" s="45" t="n">
        <f aca="false">IF(AND(ISNUMBER($G343),$G343&gt;=60),MIN(INDEX($E$143:$E343,202-60):$E343),"")</f>
        <v>1123749</v>
      </c>
      <c r="O343" s="46" t="n">
        <f aca="false">IF(OR(NOT(ISNUMBER($C343)),NOT(ISNUMBER($M343)),$M343=0),"",$C343/$M343-1)</f>
        <v>-0.0283473094435269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1224913</v>
      </c>
      <c r="D344" s="42" t="n">
        <v>1225744</v>
      </c>
      <c r="E344" s="42" t="n">
        <v>1216862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-0.000531184009974206</v>
      </c>
      <c r="I344" s="45" t="n">
        <f aca="false">IF(AND(ISNUMBER($G344),$G344&gt;=MA_SHORT),AVERAGE(INDEX($C$5:$C344,341-MA_SHORT):$C344),"")</f>
        <v>1179017.95</v>
      </c>
      <c r="J344" s="45" t="n">
        <f aca="false">IF(AND(ISNUMBER($G344),$G344&gt;=MA_MED),AVERAGE(INDEX($C$5:$C344,341-MA_MED):$C344),"")</f>
        <v>1180042.62</v>
      </c>
      <c r="K344" s="45" t="n">
        <f aca="false">IF(AND(ISNUMBER($G344),$G344&gt;=MA_LONG2),AVERAGE(INDEX($C$5:$C344,341-MA_LONG2):$C344),"")</f>
        <v>1101694.46</v>
      </c>
      <c r="L344" s="46" t="n">
        <f aca="false">IF(AND(ISNUMBER($G344),$G344&gt;=21),STDEV(INDEX($H$284:$H344,62-20):$H344)*SQRT(245),"")</f>
        <v>0.182080714826878</v>
      </c>
      <c r="M344" s="45" t="n">
        <f aca="false">IF(AND(ISNUMBER($G344),$G344&gt;=60),MAX(INDEX($D$144:$D344,202-60):$D344),"")</f>
        <v>1261319</v>
      </c>
      <c r="N344" s="45" t="n">
        <f aca="false">IF(AND(ISNUMBER($G344),$G344&gt;=60),MIN(INDEX($E$144:$E344,202-60):$E344),"")</f>
        <v>1123749</v>
      </c>
      <c r="O344" s="46" t="n">
        <f aca="false">IF(OR(NOT(ISNUMBER($C344)),NOT(ISNUMBER($M344)),$M344=0),"",$C344/$M344-1)</f>
        <v>-0.0288634358159989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1229068</v>
      </c>
      <c r="D345" s="42" t="n">
        <v>1230481</v>
      </c>
      <c r="E345" s="42" t="n">
        <v>1227004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0.00339207764143246</v>
      </c>
      <c r="I345" s="45" t="n">
        <f aca="false">IF(AND(ISNUMBER($G345),$G345&gt;=MA_SHORT),AVERAGE(INDEX($C$5:$C345,342-MA_SHORT):$C345),"")</f>
        <v>1183270.25</v>
      </c>
      <c r="J345" s="45" t="n">
        <f aca="false">IF(AND(ISNUMBER($G345),$G345&gt;=MA_MED),AVERAGE(INDEX($C$5:$C345,342-MA_MED):$C345),"")</f>
        <v>1181011.02</v>
      </c>
      <c r="K345" s="45" t="n">
        <f aca="false">IF(AND(ISNUMBER($G345),$G345&gt;=MA_LONG2),AVERAGE(INDEX($C$5:$C345,342-MA_LONG2):$C345),"")</f>
        <v>1102614.235</v>
      </c>
      <c r="L345" s="46" t="n">
        <f aca="false">IF(AND(ISNUMBER($G345),$G345&gt;=21),STDEV(INDEX($H$285:$H345,62-20):$H345)*SQRT(245),"")</f>
        <v>0.16469259586863</v>
      </c>
      <c r="M345" s="45" t="n">
        <f aca="false">IF(AND(ISNUMBER($G345),$G345&gt;=60),MAX(INDEX($D$145:$D345,202-60):$D345),"")</f>
        <v>1261319</v>
      </c>
      <c r="N345" s="45" t="n">
        <f aca="false">IF(AND(ISNUMBER($G345),$G345&gt;=60),MIN(INDEX($E$145:$E345,202-60):$E345),"")</f>
        <v>1123749</v>
      </c>
      <c r="O345" s="46" t="n">
        <f aca="false">IF(OR(NOT(ISNUMBER($C345)),NOT(ISNUMBER($M345)),$M345=0),"",$C345/$M345-1)</f>
        <v>-0.0255692651898528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1242677</v>
      </c>
      <c r="D346" s="42" t="n">
        <v>1248246</v>
      </c>
      <c r="E346" s="42" t="n">
        <v>1242262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0.0110726176257132</v>
      </c>
      <c r="I346" s="45" t="n">
        <f aca="false">IF(AND(ISNUMBER($G346),$G346&gt;=MA_SHORT),AVERAGE(INDEX($C$5:$C346,343-MA_SHORT):$C346),"")</f>
        <v>1188616.4</v>
      </c>
      <c r="J346" s="45" t="n">
        <f aca="false">IF(AND(ISNUMBER($G346),$G346&gt;=MA_MED),AVERAGE(INDEX($C$5:$C346,343-MA_MED):$C346),"")</f>
        <v>1182391.84</v>
      </c>
      <c r="K346" s="45" t="n">
        <f aca="false">IF(AND(ISNUMBER($G346),$G346&gt;=MA_LONG2),AVERAGE(INDEX($C$5:$C346,343-MA_LONG2):$C346),"")</f>
        <v>1103620.64</v>
      </c>
      <c r="L346" s="46" t="n">
        <f aca="false">IF(AND(ISNUMBER($G346),$G346&gt;=21),STDEV(INDEX($H$286:$H346,62-20):$H346)*SQRT(245),"")</f>
        <v>0.161540179458864</v>
      </c>
      <c r="M346" s="45" t="n">
        <f aca="false">IF(AND(ISNUMBER($G346),$G346&gt;=60),MAX(INDEX($D$146:$D346,202-60):$D346),"")</f>
        <v>1261319</v>
      </c>
      <c r="N346" s="45" t="n">
        <f aca="false">IF(AND(ISNUMBER($G346),$G346&gt;=60),MIN(INDEX($E$146:$E346,202-60):$E346),"")</f>
        <v>1123749</v>
      </c>
      <c r="O346" s="46" t="n">
        <f aca="false">IF(OR(NOT(ISNUMBER($C346)),NOT(ISNUMBER($M346)),$M346=0),"",$C346/$M346-1)</f>
        <v>-0.0147797662605574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1245262</v>
      </c>
      <c r="D347" s="42" t="n">
        <v>1247847</v>
      </c>
      <c r="E347" s="42" t="n">
        <v>1241473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0.00208018656497222</v>
      </c>
      <c r="I347" s="45" t="n">
        <f aca="false">IF(AND(ISNUMBER($G347),$G347&gt;=MA_SHORT),AVERAGE(INDEX($C$5:$C347,344-MA_SHORT):$C347),"")</f>
        <v>1194317.8</v>
      </c>
      <c r="J347" s="45" t="n">
        <f aca="false">IF(AND(ISNUMBER($G347),$G347&gt;=MA_MED),AVERAGE(INDEX($C$5:$C347,344-MA_MED):$C347),"")</f>
        <v>1183812.22</v>
      </c>
      <c r="K347" s="45" t="n">
        <f aca="false">IF(AND(ISNUMBER($G347),$G347&gt;=MA_LONG2),AVERAGE(INDEX($C$5:$C347,344-MA_LONG2):$C347),"")</f>
        <v>1104707.465</v>
      </c>
      <c r="L347" s="46" t="n">
        <f aca="false">IF(AND(ISNUMBER($G347),$G347&gt;=21),STDEV(INDEX($H$287:$H347,62-20):$H347)*SQRT(245),"")</f>
        <v>0.158778375091564</v>
      </c>
      <c r="M347" s="45" t="n">
        <f aca="false">IF(AND(ISNUMBER($G347),$G347&gt;=60),MAX(INDEX($D$147:$D347,202-60):$D347),"")</f>
        <v>1261319</v>
      </c>
      <c r="N347" s="45" t="n">
        <f aca="false">IF(AND(ISNUMBER($G347),$G347&gt;=60),MIN(INDEX($E$147:$E347,202-60):$E347),"")</f>
        <v>1123749</v>
      </c>
      <c r="O347" s="46" t="n">
        <f aca="false">IF(OR(NOT(ISNUMBER($C347)),NOT(ISNUMBER($M347)),$M347=0),"",$C347/$M347-1)</f>
        <v>-0.0127303243667938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1250665</v>
      </c>
      <c r="D348" s="42" t="n">
        <v>1252757</v>
      </c>
      <c r="E348" s="42" t="n">
        <v>1244082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0.00433884596173328</v>
      </c>
      <c r="I348" s="45" t="n">
        <f aca="false">IF(AND(ISNUMBER($G348),$G348&gt;=MA_SHORT),AVERAGE(INDEX($C$5:$C348,345-MA_SHORT):$C348),"")</f>
        <v>1200089.85</v>
      </c>
      <c r="J348" s="45" t="n">
        <f aca="false">IF(AND(ISNUMBER($G348),$G348&gt;=MA_MED),AVERAGE(INDEX($C$5:$C348,345-MA_MED):$C348),"")</f>
        <v>1185325.48</v>
      </c>
      <c r="K348" s="45" t="n">
        <f aca="false">IF(AND(ISNUMBER($G348),$G348&gt;=MA_LONG2),AVERAGE(INDEX($C$5:$C348,345-MA_LONG2):$C348),"")</f>
        <v>1105828.955</v>
      </c>
      <c r="L348" s="46" t="n">
        <f aca="false">IF(AND(ISNUMBER($G348),$G348&gt;=21),STDEV(INDEX($H$288:$H348,62-20):$H348)*SQRT(245),"")</f>
        <v>0.158715758512328</v>
      </c>
      <c r="M348" s="45" t="n">
        <f aca="false">IF(AND(ISNUMBER($G348),$G348&gt;=60),MAX(INDEX($D$148:$D348,202-60):$D348),"")</f>
        <v>1261319</v>
      </c>
      <c r="N348" s="45" t="n">
        <f aca="false">IF(AND(ISNUMBER($G348),$G348&gt;=60),MIN(INDEX($E$148:$E348,202-60):$E348),"")</f>
        <v>1123749</v>
      </c>
      <c r="O348" s="46" t="n">
        <f aca="false">IF(OR(NOT(ISNUMBER($C348)),NOT(ISNUMBER($M348)),$M348=0),"",$C348/$M348-1)</f>
        <v>-0.00844671332153091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1272781</v>
      </c>
      <c r="D349" s="42" t="n">
        <v>1280047</v>
      </c>
      <c r="E349" s="42" t="n">
        <v>1263819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0.0176833924352244</v>
      </c>
      <c r="I349" s="45" t="n">
        <f aca="false">IF(AND(ISNUMBER($G349),$G349&gt;=MA_SHORT),AVERAGE(INDEX($C$5:$C349,346-MA_SHORT):$C349),"")</f>
        <v>1206886.4</v>
      </c>
      <c r="J349" s="45" t="n">
        <f aca="false">IF(AND(ISNUMBER($G349),$G349&gt;=MA_MED),AVERAGE(INDEX($C$5:$C349,346-MA_MED):$C349),"")</f>
        <v>1187098.16</v>
      </c>
      <c r="K349" s="45" t="n">
        <f aca="false">IF(AND(ISNUMBER($G349),$G349&gt;=MA_LONG2),AVERAGE(INDEX($C$5:$C349,346-MA_LONG2):$C349),"")</f>
        <v>1107065</v>
      </c>
      <c r="L349" s="46" t="n">
        <f aca="false">IF(AND(ISNUMBER($G349),$G349&gt;=21),STDEV(INDEX($H$289:$H349,62-20):$H349)*SQRT(245),"")</f>
        <v>0.164229474582739</v>
      </c>
      <c r="M349" s="45" t="n">
        <f aca="false">IF(AND(ISNUMBER($G349),$G349&gt;=60),MAX(INDEX($D$149:$D349,202-60):$D349),"")</f>
        <v>1280047</v>
      </c>
      <c r="N349" s="45" t="n">
        <f aca="false">IF(AND(ISNUMBER($G349),$G349&gt;=60),MIN(INDEX($E$149:$E349,202-60):$E349),"")</f>
        <v>1123749</v>
      </c>
      <c r="O349" s="46" t="n">
        <f aca="false">IF(OR(NOT(ISNUMBER($C349)),NOT(ISNUMBER($M349)),$M349=0),"",$C349/$M349-1)</f>
        <v>-0.0056763540713739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1255042</v>
      </c>
      <c r="D350" s="42" t="n">
        <v>1255345</v>
      </c>
      <c r="E350" s="42" t="n">
        <v>1250623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-0.0139371973654541</v>
      </c>
      <c r="I350" s="45" t="n">
        <f aca="false">IF(AND(ISNUMBER($G350),$G350&gt;=MA_SHORT),AVERAGE(INDEX($C$5:$C350,347-MA_SHORT):$C350),"")</f>
        <v>1212550.25</v>
      </c>
      <c r="J350" s="45" t="n">
        <f aca="false">IF(AND(ISNUMBER($G350),$G350&gt;=MA_MED),AVERAGE(INDEX($C$5:$C350,347-MA_MED):$C350),"")</f>
        <v>1188889.7</v>
      </c>
      <c r="K350" s="45" t="n">
        <f aca="false">IF(AND(ISNUMBER($G350),$G350&gt;=MA_LONG2),AVERAGE(INDEX($C$5:$C350,347-MA_LONG2):$C350),"")</f>
        <v>1108257.53</v>
      </c>
      <c r="L350" s="46" t="n">
        <f aca="false">IF(AND(ISNUMBER($G350),$G350&gt;=21),STDEV(INDEX($H$290:$H350,62-20):$H350)*SQRT(245),"")</f>
        <v>0.178077679893137</v>
      </c>
      <c r="M350" s="45" t="n">
        <f aca="false">IF(AND(ISNUMBER($G350),$G350&gt;=60),MAX(INDEX($D$150:$D350,202-60):$D350),"")</f>
        <v>1280047</v>
      </c>
      <c r="N350" s="45" t="n">
        <f aca="false">IF(AND(ISNUMBER($G350),$G350&gt;=60),MIN(INDEX($E$150:$E350,202-60):$E350),"")</f>
        <v>1123749</v>
      </c>
      <c r="O350" s="46" t="n">
        <f aca="false">IF(OR(NOT(ISNUMBER($C350)),NOT(ISNUMBER($M350)),$M350=0),"",$C350/$M350-1)</f>
        <v>-0.0195344389698191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1261434</v>
      </c>
      <c r="D351" s="42" t="n">
        <v>1266024</v>
      </c>
      <c r="E351" s="42" t="n">
        <v>1255391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0.00509305664670978</v>
      </c>
      <c r="I351" s="45" t="n">
        <f aca="false">IF(AND(ISNUMBER($G351),$G351&gt;=MA_SHORT),AVERAGE(INDEX($C$5:$C351,348-MA_SHORT):$C351),"")</f>
        <v>1218099.6</v>
      </c>
      <c r="J351" s="45" t="n">
        <f aca="false">IF(AND(ISNUMBER($G351),$G351&gt;=MA_MED),AVERAGE(INDEX($C$5:$C351,348-MA_MED):$C351),"")</f>
        <v>1190804.68</v>
      </c>
      <c r="K351" s="45" t="n">
        <f aca="false">IF(AND(ISNUMBER($G351),$G351&gt;=MA_LONG2),AVERAGE(INDEX($C$5:$C351,348-MA_LONG2):$C351),"")</f>
        <v>1109416.225</v>
      </c>
      <c r="L351" s="46" t="n">
        <f aca="false">IF(AND(ISNUMBER($G351),$G351&gt;=21),STDEV(INDEX($H$291:$H351,62-20):$H351)*SQRT(245),"")</f>
        <v>0.177784920229057</v>
      </c>
      <c r="M351" s="45" t="n">
        <f aca="false">IF(AND(ISNUMBER($G351),$G351&gt;=60),MAX(INDEX($D$151:$D351,202-60):$D351),"")</f>
        <v>1280047</v>
      </c>
      <c r="N351" s="45" t="n">
        <f aca="false">IF(AND(ISNUMBER($G351),$G351&gt;=60),MIN(INDEX($E$151:$E351,202-60):$E351),"")</f>
        <v>1123749</v>
      </c>
      <c r="O351" s="46" t="n">
        <f aca="false">IF(OR(NOT(ISNUMBER($C351)),NOT(ISNUMBER($M351)),$M351=0),"",$C351/$M351-1)</f>
        <v>-0.0145408723273442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1272980</v>
      </c>
      <c r="D352" s="42" t="n">
        <v>1277020</v>
      </c>
      <c r="E352" s="42" t="n">
        <v>1270071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0.00915307499242934</v>
      </c>
      <c r="I352" s="45" t="n">
        <f aca="false">IF(AND(ISNUMBER($G352),$G352&gt;=MA_SHORT),AVERAGE(INDEX($C$5:$C352,349-MA_SHORT):$C352),"")</f>
        <v>1224317.4</v>
      </c>
      <c r="J352" s="45" t="n">
        <f aca="false">IF(AND(ISNUMBER($G352),$G352&gt;=MA_MED),AVERAGE(INDEX($C$5:$C352,349-MA_MED):$C352),"")</f>
        <v>1192839.12</v>
      </c>
      <c r="K352" s="45" t="n">
        <f aca="false">IF(AND(ISNUMBER($G352),$G352&gt;=MA_LONG2),AVERAGE(INDEX($C$5:$C352,349-MA_LONG2):$C352),"")</f>
        <v>1110650.445</v>
      </c>
      <c r="L352" s="46" t="n">
        <f aca="false">IF(AND(ISNUMBER($G352),$G352&gt;=21),STDEV(INDEX($H$292:$H352,62-20):$H352)*SQRT(245),"")</f>
        <v>0.176878313883085</v>
      </c>
      <c r="M352" s="45" t="n">
        <f aca="false">IF(AND(ISNUMBER($G352),$G352&gt;=60),MAX(INDEX($D$152:$D352,202-60):$D352),"")</f>
        <v>1280047</v>
      </c>
      <c r="N352" s="45" t="n">
        <f aca="false">IF(AND(ISNUMBER($G352),$G352&gt;=60),MIN(INDEX($E$152:$E352,202-60):$E352),"")</f>
        <v>1123749</v>
      </c>
      <c r="O352" s="46" t="n">
        <f aca="false">IF(OR(NOT(ISNUMBER($C352)),NOT(ISNUMBER($M352)),$M352=0),"",$C352/$M352-1)</f>
        <v>-0.00552089102978248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1267514</v>
      </c>
      <c r="D353" s="42" t="n">
        <v>1269161</v>
      </c>
      <c r="E353" s="42" t="n">
        <v>1264174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-0.00429386164747281</v>
      </c>
      <c r="I353" s="45" t="n">
        <f aca="false">IF(AND(ISNUMBER($G353),$G353&gt;=MA_SHORT),AVERAGE(INDEX($C$5:$C353,350-MA_SHORT):$C353),"")</f>
        <v>1230048.1</v>
      </c>
      <c r="J353" s="45" t="n">
        <f aca="false">IF(AND(ISNUMBER($G353),$G353&gt;=MA_MED),AVERAGE(INDEX($C$5:$C353,350-MA_MED):$C353),"")</f>
        <v>1194650.1</v>
      </c>
      <c r="K353" s="45" t="n">
        <f aca="false">IF(AND(ISNUMBER($G353),$G353&gt;=MA_LONG2),AVERAGE(INDEX($C$5:$C353,350-MA_LONG2):$C353),"")</f>
        <v>1111870.465</v>
      </c>
      <c r="L353" s="46" t="n">
        <f aca="false">IF(AND(ISNUMBER($G353),$G353&gt;=21),STDEV(INDEX($H$293:$H353,62-20):$H353)*SQRT(245),"")</f>
        <v>0.179948505530973</v>
      </c>
      <c r="M353" s="45" t="n">
        <f aca="false">IF(AND(ISNUMBER($G353),$G353&gt;=60),MAX(INDEX($D$153:$D353,202-60):$D353),"")</f>
        <v>1280047</v>
      </c>
      <c r="N353" s="45" t="n">
        <f aca="false">IF(AND(ISNUMBER($G353),$G353&gt;=60),MIN(INDEX($E$153:$E353,202-60):$E353),"")</f>
        <v>1123749</v>
      </c>
      <c r="O353" s="46" t="n">
        <f aca="false">IF(OR(NOT(ISNUMBER($C353)),NOT(ISNUMBER($M353)),$M353=0),"",$C353/$M353-1)</f>
        <v>-0.00979104673500275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1263601</v>
      </c>
      <c r="D354" s="42" t="n">
        <v>1267430</v>
      </c>
      <c r="E354" s="42" t="n">
        <v>1260725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-0.00308714538853216</v>
      </c>
      <c r="I354" s="45" t="n">
        <f aca="false">IF(AND(ISNUMBER($G354),$G354&gt;=MA_SHORT),AVERAGE(INDEX($C$5:$C354,351-MA_SHORT):$C354),"")</f>
        <v>1235414.9</v>
      </c>
      <c r="J354" s="45" t="n">
        <f aca="false">IF(AND(ISNUMBER($G354),$G354&gt;=MA_MED),AVERAGE(INDEX($C$5:$C354,351-MA_MED):$C354),"")</f>
        <v>1196192.88</v>
      </c>
      <c r="K354" s="45" t="n">
        <f aca="false">IF(AND(ISNUMBER($G354),$G354&gt;=MA_LONG2),AVERAGE(INDEX($C$5:$C354,351-MA_LONG2):$C354),"")</f>
        <v>1113154.515</v>
      </c>
      <c r="L354" s="46" t="n">
        <f aca="false">IF(AND(ISNUMBER($G354),$G354&gt;=21),STDEV(INDEX($H$294:$H354,62-20):$H354)*SQRT(245),"")</f>
        <v>0.181980016497592</v>
      </c>
      <c r="M354" s="45" t="n">
        <f aca="false">IF(AND(ISNUMBER($G354),$G354&gt;=60),MAX(INDEX($D$154:$D354,202-60):$D354),"")</f>
        <v>1280047</v>
      </c>
      <c r="N354" s="45" t="n">
        <f aca="false">IF(AND(ISNUMBER($G354),$G354&gt;=60),MIN(INDEX($E$154:$E354,202-60):$E354),"")</f>
        <v>1123749</v>
      </c>
      <c r="O354" s="46" t="n">
        <f aca="false">IF(OR(NOT(ISNUMBER($C354)),NOT(ISNUMBER($M354)),$M354=0),"",$C354/$M354-1)</f>
        <v>-0.012847965738758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1274439</v>
      </c>
      <c r="D355" s="42" t="n">
        <v>1277150</v>
      </c>
      <c r="E355" s="42" t="n">
        <v>1273913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0.00857707456705081</v>
      </c>
      <c r="I355" s="45" t="n">
        <f aca="false">IF(AND(ISNUMBER($G355),$G355&gt;=MA_SHORT),AVERAGE(INDEX($C$5:$C355,352-MA_SHORT):$C355),"")</f>
        <v>1240579.35</v>
      </c>
      <c r="J355" s="45" t="n">
        <f aca="false">IF(AND(ISNUMBER($G355),$G355&gt;=MA_MED),AVERAGE(INDEX($C$5:$C355,352-MA_MED):$C355),"")</f>
        <v>1197612.94</v>
      </c>
      <c r="K355" s="45" t="n">
        <f aca="false">IF(AND(ISNUMBER($G355),$G355&gt;=MA_LONG2),AVERAGE(INDEX($C$5:$C355,352-MA_LONG2):$C355),"")</f>
        <v>1114463.185</v>
      </c>
      <c r="L355" s="46" t="n">
        <f aca="false">IF(AND(ISNUMBER($G355),$G355&gt;=21),STDEV(INDEX($H$295:$H355,62-20):$H355)*SQRT(245),"")</f>
        <v>0.180045792276069</v>
      </c>
      <c r="M355" s="45" t="n">
        <f aca="false">IF(AND(ISNUMBER($G355),$G355&gt;=60),MAX(INDEX($D$155:$D355,202-60):$D355),"")</f>
        <v>1280047</v>
      </c>
      <c r="N355" s="45" t="n">
        <f aca="false">IF(AND(ISNUMBER($G355),$G355&gt;=60),MIN(INDEX($E$155:$E355,202-60):$E355),"")</f>
        <v>1123749</v>
      </c>
      <c r="O355" s="46" t="n">
        <f aca="false">IF(OR(NOT(ISNUMBER($C355)),NOT(ISNUMBER($M355)),$M355=0),"",$C355/$M355-1)</f>
        <v>-0.0043810891318834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1261022</v>
      </c>
      <c r="D356" s="42" t="n">
        <v>1264473</v>
      </c>
      <c r="E356" s="42" t="n">
        <v>1259231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-0.0105277694734703</v>
      </c>
      <c r="I356" s="45" t="n">
        <f aca="false">IF(AND(ISNUMBER($G356),$G356&gt;=MA_SHORT),AVERAGE(INDEX($C$5:$C356,353-MA_SHORT):$C356),"")</f>
        <v>1244743.6</v>
      </c>
      <c r="J356" s="45" t="n">
        <f aca="false">IF(AND(ISNUMBER($G356),$G356&gt;=MA_MED),AVERAGE(INDEX($C$5:$C356,353-MA_MED):$C356),"")</f>
        <v>1198737.76</v>
      </c>
      <c r="K356" s="45" t="n">
        <f aca="false">IF(AND(ISNUMBER($G356),$G356&gt;=MA_LONG2),AVERAGE(INDEX($C$5:$C356,353-MA_LONG2):$C356),"")</f>
        <v>1115777.025</v>
      </c>
      <c r="L356" s="46" t="n">
        <f aca="false">IF(AND(ISNUMBER($G356),$G356&gt;=21),STDEV(INDEX($H$296:$H356,62-20):$H356)*SQRT(245),"")</f>
        <v>0.187242758806053</v>
      </c>
      <c r="M356" s="45" t="n">
        <f aca="false">IF(AND(ISNUMBER($G356),$G356&gt;=60),MAX(INDEX($D$156:$D356,202-60):$D356),"")</f>
        <v>1280047</v>
      </c>
      <c r="N356" s="45" t="n">
        <f aca="false">IF(AND(ISNUMBER($G356),$G356&gt;=60),MIN(INDEX($E$156:$E356,202-60):$E356),"")</f>
        <v>1123749</v>
      </c>
      <c r="O356" s="46" t="n">
        <f aca="false">IF(OR(NOT(ISNUMBER($C356)),NOT(ISNUMBER($M356)),$M356=0),"",$C356/$M356-1)</f>
        <v>-0.0148627355089306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1260762</v>
      </c>
      <c r="D357" s="42" t="n">
        <v>1265082</v>
      </c>
      <c r="E357" s="42" t="n">
        <v>1259850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-0.000206181969862551</v>
      </c>
      <c r="I357" s="45" t="n">
        <f aca="false">IF(AND(ISNUMBER($G357),$G357&gt;=MA_SHORT),AVERAGE(INDEX($C$5:$C357,354-MA_SHORT):$C357),"")</f>
        <v>1248022.2</v>
      </c>
      <c r="J357" s="45" t="n">
        <f aca="false">IF(AND(ISNUMBER($G357),$G357&gt;=MA_MED),AVERAGE(INDEX($C$5:$C357,354-MA_MED):$C357),"")</f>
        <v>1199825.7</v>
      </c>
      <c r="K357" s="45" t="n">
        <f aca="false">IF(AND(ISNUMBER($G357),$G357&gt;=MA_LONG2),AVERAGE(INDEX($C$5:$C357,354-MA_LONG2):$C357),"")</f>
        <v>1117062.01</v>
      </c>
      <c r="L357" s="46" t="n">
        <f aca="false">IF(AND(ISNUMBER($G357),$G357&gt;=21),STDEV(INDEX($H$297:$H357,62-20):$H357)*SQRT(245),"")</f>
        <v>0.182853888937372</v>
      </c>
      <c r="M357" s="45" t="n">
        <f aca="false">IF(AND(ISNUMBER($G357),$G357&gt;=60),MAX(INDEX($D$157:$D357,202-60):$D357),"")</f>
        <v>1280047</v>
      </c>
      <c r="N357" s="45" t="n">
        <f aca="false">IF(AND(ISNUMBER($G357),$G357&gt;=60),MIN(INDEX($E$157:$E357,202-60):$E357),"")</f>
        <v>1123749</v>
      </c>
      <c r="O357" s="46" t="n">
        <f aca="false">IF(OR(NOT(ISNUMBER($C357)),NOT(ISNUMBER($M357)),$M357=0),"",$C357/$M357-1)</f>
        <v>-0.0150658530507083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1251227</v>
      </c>
      <c r="D358" s="42" t="n">
        <v>1256454</v>
      </c>
      <c r="E358" s="42" t="n">
        <v>1249441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-0.00756288657177162</v>
      </c>
      <c r="I358" s="45" t="n">
        <f aca="false">IF(AND(ISNUMBER($G358),$G358&gt;=MA_SHORT),AVERAGE(INDEX($C$5:$C358,355-MA_SHORT):$C358),"")</f>
        <v>1249566.5</v>
      </c>
      <c r="J358" s="45" t="n">
        <f aca="false">IF(AND(ISNUMBER($G358),$G358&gt;=MA_MED),AVERAGE(INDEX($C$5:$C358,355-MA_MED):$C358),"")</f>
        <v>1200868.34</v>
      </c>
      <c r="K358" s="45" t="n">
        <f aca="false">IF(AND(ISNUMBER($G358),$G358&gt;=MA_LONG2),AVERAGE(INDEX($C$5:$C358,355-MA_LONG2):$C358),"")</f>
        <v>1118348.49</v>
      </c>
      <c r="L358" s="46" t="n">
        <f aca="false">IF(AND(ISNUMBER($G358),$G358&gt;=21),STDEV(INDEX($H$298:$H358,62-20):$H358)*SQRT(245),"")</f>
        <v>0.17307800707117</v>
      </c>
      <c r="M358" s="45" t="n">
        <f aca="false">IF(AND(ISNUMBER($G358),$G358&gt;=60),MAX(INDEX($D$158:$D358,202-60):$D358),"")</f>
        <v>1280047</v>
      </c>
      <c r="N358" s="45" t="n">
        <f aca="false">IF(AND(ISNUMBER($G358),$G358&gt;=60),MIN(INDEX($E$158:$E358,202-60):$E358),"")</f>
        <v>1123749</v>
      </c>
      <c r="O358" s="46" t="n">
        <f aca="false">IF(OR(NOT(ISNUMBER($C358)),NOT(ISNUMBER($M358)),$M358=0),"",$C358/$M358-1)</f>
        <v>-0.0225147982847504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1260095</v>
      </c>
      <c r="D359" s="42" t="n">
        <v>1260835</v>
      </c>
      <c r="E359" s="42" t="n">
        <v>1250733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0.00708744296598463</v>
      </c>
      <c r="I359" s="45" t="n">
        <f aca="false">IF(AND(ISNUMBER($G359),$G359&gt;=MA_SHORT),AVERAGE(INDEX($C$5:$C359,356-MA_SHORT):$C359),"")</f>
        <v>1250621.7</v>
      </c>
      <c r="J359" s="45" t="n">
        <f aca="false">IF(AND(ISNUMBER($G359),$G359&gt;=MA_MED),AVERAGE(INDEX($C$5:$C359,356-MA_MED):$C359),"")</f>
        <v>1201933.08</v>
      </c>
      <c r="K359" s="45" t="n">
        <f aca="false">IF(AND(ISNUMBER($G359),$G359&gt;=MA_LONG2),AVERAGE(INDEX($C$5:$C359,356-MA_LONG2):$C359),"")</f>
        <v>1119653.29</v>
      </c>
      <c r="L359" s="46" t="n">
        <f aca="false">IF(AND(ISNUMBER($G359),$G359&gt;=21),STDEV(INDEX($H$299:$H359,62-20):$H359)*SQRT(245),"")</f>
        <v>0.166809288265709</v>
      </c>
      <c r="M359" s="45" t="n">
        <f aca="false">IF(AND(ISNUMBER($G359),$G359&gt;=60),MAX(INDEX($D$159:$D359,202-60):$D359),"")</f>
        <v>1280047</v>
      </c>
      <c r="N359" s="45" t="n">
        <f aca="false">IF(AND(ISNUMBER($G359),$G359&gt;=60),MIN(INDEX($E$159:$E359,202-60):$E359),"")</f>
        <v>1123749</v>
      </c>
      <c r="O359" s="46" t="n">
        <f aca="false">IF(OR(NOT(ISNUMBER($C359)),NOT(ISNUMBER($M359)),$M359=0),"",$C359/$M359-1)</f>
        <v>-0.0155869276674997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1250567</v>
      </c>
      <c r="D360" s="42" t="n">
        <v>1257004</v>
      </c>
      <c r="E360" s="42" t="n">
        <v>1243880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-0.00756133466127551</v>
      </c>
      <c r="I360" s="45" t="n">
        <f aca="false">IF(AND(ISNUMBER($G360),$G360&gt;=MA_SHORT),AVERAGE(INDEX($C$5:$C360,357-MA_SHORT):$C360),"")</f>
        <v>1250362.5</v>
      </c>
      <c r="J360" s="45" t="n">
        <f aca="false">IF(AND(ISNUMBER($G360),$G360&gt;=MA_MED),AVERAGE(INDEX($C$5:$C360,357-MA_MED):$C360),"")</f>
        <v>1202656.2</v>
      </c>
      <c r="K360" s="45" t="n">
        <f aca="false">IF(AND(ISNUMBER($G360),$G360&gt;=MA_LONG2),AVERAGE(INDEX($C$5:$C360,357-MA_LONG2):$C360),"")</f>
        <v>1120873.72</v>
      </c>
      <c r="L360" s="46" t="n">
        <f aca="false">IF(AND(ISNUMBER($G360),$G360&gt;=21),STDEV(INDEX($H$300:$H360,62-20):$H360)*SQRT(245),"")</f>
        <v>0.162496821695127</v>
      </c>
      <c r="M360" s="45" t="n">
        <f aca="false">IF(AND(ISNUMBER($G360),$G360&gt;=60),MAX(INDEX($D$160:$D360,202-60):$D360),"")</f>
        <v>1280047</v>
      </c>
      <c r="N360" s="45" t="n">
        <f aca="false">IF(AND(ISNUMBER($G360),$G360&gt;=60),MIN(INDEX($E$160:$E360,202-60):$E360),"")</f>
        <v>1123749</v>
      </c>
      <c r="O360" s="46" t="n">
        <f aca="false">IF(OR(NOT(ISNUMBER($C360)),NOT(ISNUMBER($M360)),$M360=0),"",$C360/$M360-1)</f>
        <v>-0.0230304043523402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1259128</v>
      </c>
      <c r="D361" s="42" t="n">
        <v>1260598</v>
      </c>
      <c r="E361" s="42" t="n">
        <v>1256085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0.00684569479284192</v>
      </c>
      <c r="I361" s="45" t="n">
        <f aca="false">IF(AND(ISNUMBER($G361),$G361&gt;=MA_SHORT),AVERAGE(INDEX($C$5:$C361,358-MA_SHORT):$C361),"")</f>
        <v>1251902.9</v>
      </c>
      <c r="J361" s="45" t="n">
        <f aca="false">IF(AND(ISNUMBER($G361),$G361&gt;=MA_MED),AVERAGE(INDEX($C$5:$C361,358-MA_MED):$C361),"")</f>
        <v>1203581.52</v>
      </c>
      <c r="K361" s="45" t="n">
        <f aca="false">IF(AND(ISNUMBER($G361),$G361&gt;=MA_LONG2),AVERAGE(INDEX($C$5:$C361,358-MA_LONG2):$C361),"")</f>
        <v>1122100.025</v>
      </c>
      <c r="L361" s="46" t="n">
        <f aca="false">IF(AND(ISNUMBER($G361),$G361&gt;=21),STDEV(INDEX($H$301:$H361,62-20):$H361)*SQRT(245),"")</f>
        <v>0.142971481867736</v>
      </c>
      <c r="M361" s="45" t="n">
        <f aca="false">IF(AND(ISNUMBER($G361),$G361&gt;=60),MAX(INDEX($D$161:$D361,202-60):$D361),"")</f>
        <v>1280047</v>
      </c>
      <c r="N361" s="45" t="n">
        <f aca="false">IF(AND(ISNUMBER($G361),$G361&gt;=60),MIN(INDEX($E$161:$E361,202-60):$E361),"")</f>
        <v>1123749</v>
      </c>
      <c r="O361" s="46" t="n">
        <f aca="false">IF(OR(NOT(ISNUMBER($C361)),NOT(ISNUMBER($M361)),$M361=0),"",$C361/$M361-1)</f>
        <v>-0.0163423686786501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1251868</v>
      </c>
      <c r="D362" s="42" t="n">
        <v>1256337</v>
      </c>
      <c r="E362" s="42" t="n">
        <v>1251741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-0.00576589512742154</v>
      </c>
      <c r="I362" s="45" t="n">
        <f aca="false">IF(AND(ISNUMBER($G362),$G362&gt;=MA_SHORT),AVERAGE(INDEX($C$5:$C362,359-MA_SHORT):$C362),"")</f>
        <v>1254030.45</v>
      </c>
      <c r="J362" s="45" t="n">
        <f aca="false">IF(AND(ISNUMBER($G362),$G362&gt;=MA_MED),AVERAGE(INDEX($C$5:$C362,359-MA_MED):$C362),"")</f>
        <v>1204459.72</v>
      </c>
      <c r="K362" s="45" t="n">
        <f aca="false">IF(AND(ISNUMBER($G362),$G362&gt;=MA_LONG2),AVERAGE(INDEX($C$5:$C362,359-MA_LONG2):$C362),"")</f>
        <v>1123247.945</v>
      </c>
      <c r="L362" s="46" t="n">
        <f aca="false">IF(AND(ISNUMBER($G362),$G362&gt;=21),STDEV(INDEX($H$302:$H362,62-20):$H362)*SQRT(245),"")</f>
        <v>0.131918280931097</v>
      </c>
      <c r="M362" s="45" t="n">
        <f aca="false">IF(AND(ISNUMBER($G362),$G362&gt;=60),MAX(INDEX($D$162:$D362,202-60):$D362),"")</f>
        <v>1280047</v>
      </c>
      <c r="N362" s="45" t="n">
        <f aca="false">IF(AND(ISNUMBER($G362),$G362&gt;=60),MIN(INDEX($E$162:$E362,202-60):$E362),"")</f>
        <v>1123749</v>
      </c>
      <c r="O362" s="46" t="n">
        <f aca="false">IF(OR(NOT(ISNUMBER($C362)),NOT(ISNUMBER($M362)),$M362=0),"",$C362/$M362-1)</f>
        <v>-0.0220140354221369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1234323</v>
      </c>
      <c r="D363" s="42" t="n">
        <v>1235141</v>
      </c>
      <c r="E363" s="42" t="n">
        <v>1230786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-0.0140150559004624</v>
      </c>
      <c r="I363" s="45" t="n">
        <f aca="false">IF(AND(ISNUMBER($G363),$G363&gt;=MA_SHORT),AVERAGE(INDEX($C$5:$C363,360-MA_SHORT):$C363),"")</f>
        <v>1254468.4</v>
      </c>
      <c r="J363" s="45" t="n">
        <f aca="false">IF(AND(ISNUMBER($G363),$G363&gt;=MA_MED),AVERAGE(INDEX($C$5:$C363,360-MA_MED):$C363),"")</f>
        <v>1205538.46</v>
      </c>
      <c r="K363" s="45" t="n">
        <f aca="false">IF(AND(ISNUMBER($G363),$G363&gt;=MA_LONG2),AVERAGE(INDEX($C$5:$C363,360-MA_LONG2):$C363),"")</f>
        <v>1124278.225</v>
      </c>
      <c r="L363" s="46" t="n">
        <f aca="false">IF(AND(ISNUMBER($G363),$G363&gt;=21),STDEV(INDEX($H$303:$H363,62-20):$H363)*SQRT(245),"")</f>
        <v>0.135539415579049</v>
      </c>
      <c r="M363" s="45" t="n">
        <f aca="false">IF(AND(ISNUMBER($G363),$G363&gt;=60),MAX(INDEX($D$163:$D363,202-60):$D363),"")</f>
        <v>1280047</v>
      </c>
      <c r="N363" s="45" t="n">
        <f aca="false">IF(AND(ISNUMBER($G363),$G363&gt;=60),MIN(INDEX($E$163:$E363,202-60):$E363),"")</f>
        <v>1123749</v>
      </c>
      <c r="O363" s="46" t="n">
        <f aca="false">IF(OR(NOT(ISNUMBER($C363)),NOT(ISNUMBER($M363)),$M363=0),"",$C363/$M363-1)</f>
        <v>-0.0357205633855632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1182727</v>
      </c>
      <c r="D364" s="42" t="n">
        <v>1188266</v>
      </c>
      <c r="E364" s="42" t="n">
        <v>1180724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-0.0418010520747001</v>
      </c>
      <c r="I364" s="45" t="n">
        <f aca="false">IF(AND(ISNUMBER($G364),$G364&gt;=MA_SHORT),AVERAGE(INDEX($C$5:$C364,361-MA_SHORT):$C364),"")</f>
        <v>1252359.1</v>
      </c>
      <c r="J364" s="45" t="n">
        <f aca="false">IF(AND(ISNUMBER($G364),$G364&gt;=MA_MED),AVERAGE(INDEX($C$5:$C364,361-MA_MED):$C364),"")</f>
        <v>1205755.3</v>
      </c>
      <c r="K364" s="45" t="n">
        <f aca="false">IF(AND(ISNUMBER($G364),$G364&gt;=MA_LONG2),AVERAGE(INDEX($C$5:$C364,361-MA_LONG2):$C364),"")</f>
        <v>1124991.62</v>
      </c>
      <c r="L364" s="46" t="n">
        <f aca="false">IF(AND(ISNUMBER($G364),$G364&gt;=21),STDEV(INDEX($H$304:$H364,62-20):$H364)*SQRT(245),"")</f>
        <v>0.200542912915296</v>
      </c>
      <c r="M364" s="45" t="n">
        <f aca="false">IF(AND(ISNUMBER($G364),$G364&gt;=60),MAX(INDEX($D$164:$D364,202-60):$D364),"")</f>
        <v>1280047</v>
      </c>
      <c r="N364" s="45" t="n">
        <f aca="false">IF(AND(ISNUMBER($G364),$G364&gt;=60),MIN(INDEX($E$164:$E364,202-60):$E364),"")</f>
        <v>1123749</v>
      </c>
      <c r="O364" s="46" t="n">
        <f aca="false">IF(OR(NOT(ISNUMBER($C364)),NOT(ISNUMBER($M364)),$M364=0),"",$C364/$M364-1)</f>
        <v>-0.0760284583300457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1120217</v>
      </c>
      <c r="D365" s="42" t="n">
        <v>1121023</v>
      </c>
      <c r="E365" s="42" t="n">
        <v>1114422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-0.0528524334017909</v>
      </c>
      <c r="I365" s="45" t="n">
        <f aca="false">IF(AND(ISNUMBER($G365),$G365&gt;=MA_SHORT),AVERAGE(INDEX($C$5:$C365,362-MA_SHORT):$C365),"")</f>
        <v>1246916.55</v>
      </c>
      <c r="J365" s="45" t="n">
        <f aca="false">IF(AND(ISNUMBER($G365),$G365&gt;=MA_MED),AVERAGE(INDEX($C$5:$C365,362-MA_MED):$C365),"")</f>
        <v>1204759.92</v>
      </c>
      <c r="K365" s="45" t="n">
        <f aca="false">IF(AND(ISNUMBER($G365),$G365&gt;=MA_LONG2),AVERAGE(INDEX($C$5:$C365,362-MA_LONG2):$C365),"")</f>
        <v>1125434.79</v>
      </c>
      <c r="L365" s="46" t="n">
        <f aca="false">IF(AND(ISNUMBER($G365),$G365&gt;=21),STDEV(INDEX($H$305:$H365,62-20):$H365)*SQRT(245),"")</f>
        <v>0.267627544948946</v>
      </c>
      <c r="M365" s="45" t="n">
        <f aca="false">IF(AND(ISNUMBER($G365),$G365&gt;=60),MAX(INDEX($D$165:$D365,202-60):$D365),"")</f>
        <v>1280047</v>
      </c>
      <c r="N365" s="45" t="n">
        <f aca="false">IF(AND(ISNUMBER($G365),$G365&gt;=60),MIN(INDEX($E$165:$E365,202-60):$E365),"")</f>
        <v>1114422</v>
      </c>
      <c r="O365" s="46" t="n">
        <f aca="false">IF(OR(NOT(ISNUMBER($C365)),NOT(ISNUMBER($M365)),$M365=0),"",$C365/$M365-1)</f>
        <v>-0.124862602701307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1113512</v>
      </c>
      <c r="D366" s="42" t="n">
        <v>1114008</v>
      </c>
      <c r="E366" s="42" t="n">
        <v>1112958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-0.00598544746241125</v>
      </c>
      <c r="I366" s="45" t="n">
        <f aca="false">IF(AND(ISNUMBER($G366),$G366&gt;=MA_SHORT),AVERAGE(INDEX($C$5:$C366,363-MA_SHORT):$C366),"")</f>
        <v>1240458.3</v>
      </c>
      <c r="J366" s="45" t="n">
        <f aca="false">IF(AND(ISNUMBER($G366),$G366&gt;=MA_MED),AVERAGE(INDEX($C$5:$C366,363-MA_MED):$C366),"")</f>
        <v>1204030.38</v>
      </c>
      <c r="K366" s="45" t="n">
        <f aca="false">IF(AND(ISNUMBER($G366),$G366&gt;=MA_LONG2),AVERAGE(INDEX($C$5:$C366,363-MA_LONG2):$C366),"")</f>
        <v>1125911.015</v>
      </c>
      <c r="L366" s="46" t="n">
        <f aca="false">IF(AND(ISNUMBER($G366),$G366&gt;=21),STDEV(INDEX($H$306:$H366,62-20):$H366)*SQRT(245),"")</f>
        <v>0.261429429514467</v>
      </c>
      <c r="M366" s="45" t="n">
        <f aca="false">IF(AND(ISNUMBER($G366),$G366&gt;=60),MAX(INDEX($D$166:$D366,202-60):$D366),"")</f>
        <v>1280047</v>
      </c>
      <c r="N366" s="45" t="n">
        <f aca="false">IF(AND(ISNUMBER($G366),$G366&gt;=60),MIN(INDEX($E$166:$E366,202-60):$E366),"")</f>
        <v>1112958</v>
      </c>
      <c r="O366" s="46" t="n">
        <f aca="false">IF(OR(NOT(ISNUMBER($C366)),NOT(ISNUMBER($M366)),$M366=0),"",$C366/$M366-1)</f>
        <v>-0.13010069161523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1112020</v>
      </c>
      <c r="D367" s="42" t="n">
        <v>1113513</v>
      </c>
      <c r="E367" s="42" t="n">
        <v>1110575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-0.00133990473385115</v>
      </c>
      <c r="I367" s="45" t="n">
        <f aca="false">IF(AND(ISNUMBER($G367),$G367&gt;=MA_SHORT),AVERAGE(INDEX($C$5:$C367,364-MA_SHORT):$C367),"")</f>
        <v>1233796.2</v>
      </c>
      <c r="J367" s="45" t="n">
        <f aca="false">IF(AND(ISNUMBER($G367),$G367&gt;=MA_MED),AVERAGE(INDEX($C$5:$C367,364-MA_MED):$C367),"")</f>
        <v>1203218</v>
      </c>
      <c r="K367" s="45" t="n">
        <f aca="false">IF(AND(ISNUMBER($G367),$G367&gt;=MA_LONG2),AVERAGE(INDEX($C$5:$C367,364-MA_LONG2):$C367),"")</f>
        <v>1126429.15</v>
      </c>
      <c r="L367" s="46" t="n">
        <f aca="false">IF(AND(ISNUMBER($G367),$G367&gt;=21),STDEV(INDEX($H$307:$H367,62-20):$H367)*SQRT(245),"")</f>
        <v>0.260450442324811</v>
      </c>
      <c r="M367" s="45" t="n">
        <f aca="false">IF(AND(ISNUMBER($G367),$G367&gt;=60),MAX(INDEX($D$167:$D367,202-60):$D367),"")</f>
        <v>1280047</v>
      </c>
      <c r="N367" s="45" t="n">
        <f aca="false">IF(AND(ISNUMBER($G367),$G367&gt;=60),MIN(INDEX($E$167:$E367,202-60):$E367),"")</f>
        <v>1110575</v>
      </c>
      <c r="O367" s="46" t="n">
        <f aca="false">IF(OR(NOT(ISNUMBER($C367)),NOT(ISNUMBER($M367)),$M367=0),"",$C367/$M367-1)</f>
        <v>-0.131266273816508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1106783</v>
      </c>
      <c r="D368" s="42" t="n">
        <v>1107746</v>
      </c>
      <c r="E368" s="42" t="n">
        <v>1104002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-0.00470944767180448</v>
      </c>
      <c r="I368" s="45" t="n">
        <f aca="false">IF(AND(ISNUMBER($G368),$G368&gt;=MA_SHORT),AVERAGE(INDEX($C$5:$C368,365-MA_SHORT):$C368),"")</f>
        <v>1226602.1</v>
      </c>
      <c r="J368" s="45" t="n">
        <f aca="false">IF(AND(ISNUMBER($G368),$G368&gt;=MA_MED),AVERAGE(INDEX($C$5:$C368,365-MA_MED):$C368),"")</f>
        <v>1201810.8</v>
      </c>
      <c r="K368" s="45" t="n">
        <f aca="false">IF(AND(ISNUMBER($G368),$G368&gt;=MA_LONG2),AVERAGE(INDEX($C$5:$C368,365-MA_LONG2):$C368),"")</f>
        <v>1126946.645</v>
      </c>
      <c r="L368" s="46" t="n">
        <f aca="false">IF(AND(ISNUMBER($G368),$G368&gt;=21),STDEV(INDEX($H$308:$H368,62-20):$H368)*SQRT(245),"")</f>
        <v>0.257952747069217</v>
      </c>
      <c r="M368" s="45" t="n">
        <f aca="false">IF(AND(ISNUMBER($G368),$G368&gt;=60),MAX(INDEX($D$168:$D368,202-60):$D368),"")</f>
        <v>1280047</v>
      </c>
      <c r="N368" s="45" t="n">
        <f aca="false">IF(AND(ISNUMBER($G368),$G368&gt;=60),MIN(INDEX($E$168:$E368,202-60):$E368),"")</f>
        <v>1104002</v>
      </c>
      <c r="O368" s="46" t="n">
        <f aca="false">IF(OR(NOT(ISNUMBER($C368)),NOT(ISNUMBER($M368)),$M368=0),"",$C368/$M368-1)</f>
        <v>-0.135357529840701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1107672</v>
      </c>
      <c r="D369" s="42" t="n">
        <v>1112192</v>
      </c>
      <c r="E369" s="42" t="n">
        <v>1107061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0.000803228817211732</v>
      </c>
      <c r="I369" s="45" t="n">
        <f aca="false">IF(AND(ISNUMBER($G369),$G369&gt;=MA_SHORT),AVERAGE(INDEX($C$5:$C369,366-MA_SHORT):$C369),"")</f>
        <v>1218346.65</v>
      </c>
      <c r="J369" s="45" t="n">
        <f aca="false">IF(AND(ISNUMBER($G369),$G369&gt;=MA_MED),AVERAGE(INDEX($C$5:$C369,366-MA_MED):$C369),"")</f>
        <v>1200334.7</v>
      </c>
      <c r="K369" s="45" t="n">
        <f aca="false">IF(AND(ISNUMBER($G369),$G369&gt;=MA_LONG2),AVERAGE(INDEX($C$5:$C369,366-MA_LONG2):$C369),"")</f>
        <v>1127525.305</v>
      </c>
      <c r="L369" s="46" t="n">
        <f aca="false">IF(AND(ISNUMBER($G369),$G369&gt;=21),STDEV(INDEX($H$309:$H369,62-20):$H369)*SQRT(245),"")</f>
        <v>0.244412182953308</v>
      </c>
      <c r="M369" s="45" t="n">
        <f aca="false">IF(AND(ISNUMBER($G369),$G369&gt;=60),MAX(INDEX($D$169:$D369,202-60):$D369),"")</f>
        <v>1280047</v>
      </c>
      <c r="N369" s="45" t="n">
        <f aca="false">IF(AND(ISNUMBER($G369),$G369&gt;=60),MIN(INDEX($E$169:$E369,202-60):$E369),"")</f>
        <v>1104002</v>
      </c>
      <c r="O369" s="46" t="n">
        <f aca="false">IF(OR(NOT(ISNUMBER($C369)),NOT(ISNUMBER($M369)),$M369=0),"",$C369/$M369-1)</f>
        <v>-0.134663024092084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1107673</v>
      </c>
      <c r="D370" s="42" t="n">
        <v>1109498</v>
      </c>
      <c r="E370" s="42" t="n">
        <v>1107403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9.0279432907181E-007</v>
      </c>
      <c r="I370" s="45" t="n">
        <f aca="false">IF(AND(ISNUMBER($G370),$G370&gt;=MA_SHORT),AVERAGE(INDEX($C$5:$C370,367-MA_SHORT):$C370),"")</f>
        <v>1210978.2</v>
      </c>
      <c r="J370" s="45" t="n">
        <f aca="false">IF(AND(ISNUMBER($G370),$G370&gt;=MA_MED),AVERAGE(INDEX($C$5:$C370,367-MA_MED):$C370),"")</f>
        <v>1199220.18</v>
      </c>
      <c r="K370" s="45" t="n">
        <f aca="false">IF(AND(ISNUMBER($G370),$G370&gt;=MA_LONG2),AVERAGE(INDEX($C$5:$C370,367-MA_LONG2):$C370),"")</f>
        <v>1128094.19</v>
      </c>
      <c r="L370" s="46" t="n">
        <f aca="false">IF(AND(ISNUMBER($G370),$G370&gt;=21),STDEV(INDEX($H$310:$H370,62-20):$H370)*SQRT(245),"")</f>
        <v>0.244035174794206</v>
      </c>
      <c r="M370" s="45" t="n">
        <f aca="false">IF(AND(ISNUMBER($G370),$G370&gt;=60),MAX(INDEX($D$170:$D370,202-60):$D370),"")</f>
        <v>1280047</v>
      </c>
      <c r="N370" s="45" t="n">
        <f aca="false">IF(AND(ISNUMBER($G370),$G370&gt;=60),MIN(INDEX($E$170:$E370,202-60):$E370),"")</f>
        <v>1104002</v>
      </c>
      <c r="O370" s="46" t="n">
        <f aca="false">IF(OR(NOT(ISNUMBER($C370)),NOT(ISNUMBER($M370)),$M370=0),"",$C370/$M370-1)</f>
        <v>-0.13466224287077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1124333</v>
      </c>
      <c r="D371" s="42" t="n">
        <v>1127114</v>
      </c>
      <c r="E371" s="42" t="n">
        <v>1123792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0.0150405399427449</v>
      </c>
      <c r="I371" s="45" t="n">
        <f aca="false">IF(AND(ISNUMBER($G371),$G371&gt;=MA_SHORT),AVERAGE(INDEX($C$5:$C371,368-MA_SHORT):$C371),"")</f>
        <v>1204123.15</v>
      </c>
      <c r="J371" s="45" t="n">
        <f aca="false">IF(AND(ISNUMBER($G371),$G371&gt;=MA_MED),AVERAGE(INDEX($C$5:$C371,368-MA_MED):$C371),"")</f>
        <v>1198381.54</v>
      </c>
      <c r="K371" s="45" t="n">
        <f aca="false">IF(AND(ISNUMBER($G371),$G371&gt;=MA_LONG2),AVERAGE(INDEX($C$5:$C371,368-MA_LONG2):$C371),"")</f>
        <v>1128734.285</v>
      </c>
      <c r="L371" s="46" t="n">
        <f aca="false">IF(AND(ISNUMBER($G371),$G371&gt;=21),STDEV(INDEX($H$311:$H371,62-20):$H371)*SQRT(245),"")</f>
        <v>0.252267124557333</v>
      </c>
      <c r="M371" s="45" t="n">
        <f aca="false">IF(AND(ISNUMBER($G371),$G371&gt;=60),MAX(INDEX($D$171:$D371,202-60):$D371),"")</f>
        <v>1280047</v>
      </c>
      <c r="N371" s="45" t="n">
        <f aca="false">IF(AND(ISNUMBER($G371),$G371&gt;=60),MIN(INDEX($E$171:$E371,202-60):$E371),"")</f>
        <v>1104002</v>
      </c>
      <c r="O371" s="46" t="n">
        <f aca="false">IF(OR(NOT(ISNUMBER($C371)),NOT(ISNUMBER($M371)),$M371=0),"",$C371/$M371-1)</f>
        <v>-0.121647095770702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1131864</v>
      </c>
      <c r="D372" s="42" t="n">
        <v>1132850</v>
      </c>
      <c r="E372" s="42" t="n">
        <v>1124493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0.00669819350672807</v>
      </c>
      <c r="I372" s="45" t="n">
        <f aca="false">IF(AND(ISNUMBER($G372),$G372&gt;=MA_SHORT),AVERAGE(INDEX($C$5:$C372,369-MA_SHORT):$C372),"")</f>
        <v>1197067.35</v>
      </c>
      <c r="J372" s="45" t="n">
        <f aca="false">IF(AND(ISNUMBER($G372),$G372&gt;=MA_MED),AVERAGE(INDEX($C$5:$C372,369-MA_MED):$C372),"")</f>
        <v>1197513.84</v>
      </c>
      <c r="K372" s="45" t="n">
        <f aca="false">IF(AND(ISNUMBER($G372),$G372&gt;=MA_LONG2),AVERAGE(INDEX($C$5:$C372,369-MA_LONG2):$C372),"")</f>
        <v>1129330.19</v>
      </c>
      <c r="L372" s="46" t="n">
        <f aca="false">IF(AND(ISNUMBER($G372),$G372&gt;=21),STDEV(INDEX($H$312:$H372,62-20):$H372)*SQRT(245),"")</f>
        <v>0.25055512933758</v>
      </c>
      <c r="M372" s="45" t="n">
        <f aca="false">IF(AND(ISNUMBER($G372),$G372&gt;=60),MAX(INDEX($D$172:$D372,202-60):$D372),"")</f>
        <v>1280047</v>
      </c>
      <c r="N372" s="45" t="n">
        <f aca="false">IF(AND(ISNUMBER($G372),$G372&gt;=60),MIN(INDEX($E$172:$E372,202-60):$E372),"")</f>
        <v>1104002</v>
      </c>
      <c r="O372" s="46" t="n">
        <f aca="false">IF(OR(NOT(ISNUMBER($C372)),NOT(ISNUMBER($M372)),$M372=0),"",$C372/$M372-1)</f>
        <v>-0.115763718050978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1126678</v>
      </c>
      <c r="D373" s="42" t="n">
        <v>1131401</v>
      </c>
      <c r="E373" s="42" t="n">
        <v>1123993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-0.00458182255111916</v>
      </c>
      <c r="I373" s="45" t="n">
        <f aca="false">IF(AND(ISNUMBER($G373),$G373&gt;=MA_SHORT),AVERAGE(INDEX($C$5:$C373,370-MA_SHORT):$C373),"")</f>
        <v>1190025.55</v>
      </c>
      <c r="J373" s="45" t="n">
        <f aca="false">IF(AND(ISNUMBER($G373),$G373&gt;=MA_MED),AVERAGE(INDEX($C$5:$C373,370-MA_MED):$C373),"")</f>
        <v>1196878.28</v>
      </c>
      <c r="K373" s="45" t="n">
        <f aca="false">IF(AND(ISNUMBER($G373),$G373&gt;=MA_LONG2),AVERAGE(INDEX($C$5:$C373,370-MA_LONG2):$C373),"")</f>
        <v>1129949.065</v>
      </c>
      <c r="L373" s="46" t="n">
        <f aca="false">IF(AND(ISNUMBER($G373),$G373&gt;=21),STDEV(INDEX($H$313:$H373,62-20):$H373)*SQRT(245),"")</f>
        <v>0.250535831362791</v>
      </c>
      <c r="M373" s="45" t="n">
        <f aca="false">IF(AND(ISNUMBER($G373),$G373&gt;=60),MAX(INDEX($D$173:$D373,202-60):$D373),"")</f>
        <v>1280047</v>
      </c>
      <c r="N373" s="45" t="n">
        <f aca="false">IF(AND(ISNUMBER($G373),$G373&gt;=60),MIN(INDEX($E$173:$E373,202-60):$E373),"")</f>
        <v>1104002</v>
      </c>
      <c r="O373" s="46" t="n">
        <f aca="false">IF(OR(NOT(ISNUMBER($C373)),NOT(ISNUMBER($M373)),$M373=0),"",$C373/$M373-1)</f>
        <v>-0.11981513178813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1137070</v>
      </c>
      <c r="D374" s="42" t="n">
        <v>1137620</v>
      </c>
      <c r="E374" s="42" t="n">
        <v>1134842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0.00922357585752098</v>
      </c>
      <c r="I374" s="45" t="n">
        <f aca="false">IF(AND(ISNUMBER($G374),$G374&gt;=MA_SHORT),AVERAGE(INDEX($C$5:$C374,371-MA_SHORT):$C374),"")</f>
        <v>1183699</v>
      </c>
      <c r="J374" s="45" t="n">
        <f aca="false">IF(AND(ISNUMBER($G374),$G374&gt;=MA_MED),AVERAGE(INDEX($C$5:$C374,371-MA_MED):$C374),"")</f>
        <v>1196307.26</v>
      </c>
      <c r="K374" s="45" t="n">
        <f aca="false">IF(AND(ISNUMBER($G374),$G374&gt;=MA_LONG2),AVERAGE(INDEX($C$5:$C374,371-MA_LONG2):$C374),"")</f>
        <v>1130627.265</v>
      </c>
      <c r="L374" s="46" t="n">
        <f aca="false">IF(AND(ISNUMBER($G374),$G374&gt;=21),STDEV(INDEX($H$314:$H374,62-20):$H374)*SQRT(245),"")</f>
        <v>0.255869613767954</v>
      </c>
      <c r="M374" s="45" t="n">
        <f aca="false">IF(AND(ISNUMBER($G374),$G374&gt;=60),MAX(INDEX($D$174:$D374,202-60):$D374),"")</f>
        <v>1280047</v>
      </c>
      <c r="N374" s="45" t="n">
        <f aca="false">IF(AND(ISNUMBER($G374),$G374&gt;=60),MIN(INDEX($E$174:$E374,202-60):$E374),"")</f>
        <v>1104002</v>
      </c>
      <c r="O374" s="46" t="n">
        <f aca="false">IF(OR(NOT(ISNUMBER($C374)),NOT(ISNUMBER($M374)),$M374=0),"",$C374/$M374-1)</f>
        <v>-0.111696679887535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1151841</v>
      </c>
      <c r="D375" s="42" t="n">
        <v>1160354</v>
      </c>
      <c r="E375" s="42" t="n">
        <v>1145350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0.0129904051641501</v>
      </c>
      <c r="I375" s="45" t="n">
        <f aca="false">IF(AND(ISNUMBER($G375),$G375&gt;=MA_SHORT),AVERAGE(INDEX($C$5:$C375,372-MA_SHORT):$C375),"")</f>
        <v>1177569.1</v>
      </c>
      <c r="J375" s="45" t="n">
        <f aca="false">IF(AND(ISNUMBER($G375),$G375&gt;=MA_MED),AVERAGE(INDEX($C$5:$C375,372-MA_MED):$C375),"")</f>
        <v>1196463.64</v>
      </c>
      <c r="K375" s="45" t="n">
        <f aca="false">IF(AND(ISNUMBER($G375),$G375&gt;=MA_LONG2),AVERAGE(INDEX($C$5:$C375,372-MA_LONG2):$C375),"")</f>
        <v>1131396.245</v>
      </c>
      <c r="L375" s="46" t="n">
        <f aca="false">IF(AND(ISNUMBER($G375),$G375&gt;=21),STDEV(INDEX($H$315:$H375,62-20):$H375)*SQRT(245),"")</f>
        <v>0.259361038819996</v>
      </c>
      <c r="M375" s="45" t="n">
        <f aca="false">IF(AND(ISNUMBER($G375),$G375&gt;=60),MAX(INDEX($D$175:$D375,202-60):$D375),"")</f>
        <v>1280047</v>
      </c>
      <c r="N375" s="45" t="n">
        <f aca="false">IF(AND(ISNUMBER($G375),$G375&gt;=60),MIN(INDEX($E$175:$E375,202-60):$E375),"")</f>
        <v>1104002</v>
      </c>
      <c r="O375" s="46" t="n">
        <f aca="false">IF(OR(NOT(ISNUMBER($C375)),NOT(ISNUMBER($M375)),$M375=0),"",$C375/$M375-1)</f>
        <v>-0.100157259850615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1160397</v>
      </c>
      <c r="D376" s="42" t="n">
        <v>1162050</v>
      </c>
      <c r="E376" s="42" t="n">
        <v>1154608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0.00742810856706777</v>
      </c>
      <c r="I376" s="45" t="n">
        <f aca="false">IF(AND(ISNUMBER($G376),$G376&gt;=MA_SHORT),AVERAGE(INDEX($C$5:$C376,373-MA_SHORT):$C376),"")</f>
        <v>1172537.85</v>
      </c>
      <c r="J376" s="45" t="n">
        <f aca="false">IF(AND(ISNUMBER($G376),$G376&gt;=MA_MED),AVERAGE(INDEX($C$5:$C376,373-MA_MED):$C376),"")</f>
        <v>1196956.5</v>
      </c>
      <c r="K376" s="45" t="n">
        <f aca="false">IF(AND(ISNUMBER($G376),$G376&gt;=MA_LONG2),AVERAGE(INDEX($C$5:$C376,373-MA_LONG2):$C376),"")</f>
        <v>1132240.79</v>
      </c>
      <c r="L376" s="46" t="n">
        <f aca="false">IF(AND(ISNUMBER($G376),$G376&gt;=21),STDEV(INDEX($H$316:$H376,62-20):$H376)*SQRT(245),"")</f>
        <v>0.261947942943315</v>
      </c>
      <c r="M376" s="45" t="n">
        <f aca="false">IF(AND(ISNUMBER($G376),$G376&gt;=60),MAX(INDEX($D$176:$D376,202-60):$D376),"")</f>
        <v>1280047</v>
      </c>
      <c r="N376" s="45" t="n">
        <f aca="false">IF(AND(ISNUMBER($G376),$G376&gt;=60),MIN(INDEX($E$176:$E376,202-60):$E376),"")</f>
        <v>1104002</v>
      </c>
      <c r="O376" s="46" t="n">
        <f aca="false">IF(OR(NOT(ISNUMBER($C376)),NOT(ISNUMBER($M376)),$M376=0),"",$C376/$M376-1)</f>
        <v>-0.0934731302834974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1185211</v>
      </c>
      <c r="D377" s="42" t="n">
        <v>1185588</v>
      </c>
      <c r="E377" s="42" t="n">
        <v>1182475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0.0213840607998814</v>
      </c>
      <c r="I377" s="45" t="n">
        <f aca="false">IF(AND(ISNUMBER($G377),$G377&gt;=MA_SHORT),AVERAGE(INDEX($C$5:$C377,374-MA_SHORT):$C377),"")</f>
        <v>1168760.3</v>
      </c>
      <c r="J377" s="45" t="n">
        <f aca="false">IF(AND(ISNUMBER($G377),$G377&gt;=MA_MED),AVERAGE(INDEX($C$5:$C377,374-MA_MED):$C377),"")</f>
        <v>1198036.04</v>
      </c>
      <c r="K377" s="45" t="n">
        <f aca="false">IF(AND(ISNUMBER($G377),$G377&gt;=MA_LONG2),AVERAGE(INDEX($C$5:$C377,374-MA_LONG2):$C377),"")</f>
        <v>1133202.865</v>
      </c>
      <c r="L377" s="46" t="n">
        <f aca="false">IF(AND(ISNUMBER($G377),$G377&gt;=21),STDEV(INDEX($H$317:$H377,62-20):$H377)*SQRT(245),"")</f>
        <v>0.276489884702421</v>
      </c>
      <c r="M377" s="45" t="n">
        <f aca="false">IF(AND(ISNUMBER($G377),$G377&gt;=60),MAX(INDEX($D$177:$D377,202-60):$D377),"")</f>
        <v>1280047</v>
      </c>
      <c r="N377" s="45" t="n">
        <f aca="false">IF(AND(ISNUMBER($G377),$G377&gt;=60),MIN(INDEX($E$177:$E377,202-60):$E377),"")</f>
        <v>1104002</v>
      </c>
      <c r="O377" s="46" t="n">
        <f aca="false">IF(OR(NOT(ISNUMBER($C377)),NOT(ISNUMBER($M377)),$M377=0),"",$C377/$M377-1)</f>
        <v>-0.0740879045847536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1176231</v>
      </c>
      <c r="D378" s="42" t="n">
        <v>1182711</v>
      </c>
      <c r="E378" s="42" t="n">
        <v>1174506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-0.00757670996978599</v>
      </c>
      <c r="I378" s="45" t="n">
        <f aca="false">IF(AND(ISNUMBER($G378),$G378&gt;=MA_SHORT),AVERAGE(INDEX($C$5:$C378,375-MA_SHORT):$C378),"")</f>
        <v>1165010.5</v>
      </c>
      <c r="J378" s="45" t="n">
        <f aca="false">IF(AND(ISNUMBER($G378),$G378&gt;=MA_MED),AVERAGE(INDEX($C$5:$C378,375-MA_MED):$C378),"")</f>
        <v>1198856.18</v>
      </c>
      <c r="K378" s="45" t="n">
        <f aca="false">IF(AND(ISNUMBER($G378),$G378&gt;=MA_LONG2),AVERAGE(INDEX($C$5:$C378,375-MA_LONG2):$C378),"")</f>
        <v>1134080.88</v>
      </c>
      <c r="L378" s="46" t="n">
        <f aca="false">IF(AND(ISNUMBER($G378),$G378&gt;=21),STDEV(INDEX($H$318:$H378,62-20):$H378)*SQRT(245),"")</f>
        <v>0.276492873317957</v>
      </c>
      <c r="M378" s="45" t="n">
        <f aca="false">IF(AND(ISNUMBER($G378),$G378&gt;=60),MAX(INDEX($D$178:$D378,202-60):$D378),"")</f>
        <v>1280047</v>
      </c>
      <c r="N378" s="45" t="n">
        <f aca="false">IF(AND(ISNUMBER($G378),$G378&gt;=60),MIN(INDEX($E$178:$E378,202-60):$E378),"")</f>
        <v>1104002</v>
      </c>
      <c r="O378" s="46" t="n">
        <f aca="false">IF(OR(NOT(ISNUMBER($C378)),NOT(ISNUMBER($M378)),$M378=0),"",$C378/$M378-1)</f>
        <v>-0.0811032719892316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1158245</v>
      </c>
      <c r="D379" s="42" t="n">
        <v>1160051</v>
      </c>
      <c r="E379" s="42" t="n">
        <v>1156574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-0.0152912140557424</v>
      </c>
      <c r="I379" s="45" t="n">
        <f aca="false">IF(AND(ISNUMBER($G379),$G379&gt;=MA_SHORT),AVERAGE(INDEX($C$5:$C379,376-MA_SHORT):$C379),"")</f>
        <v>1159918</v>
      </c>
      <c r="J379" s="45" t="n">
        <f aca="false">IF(AND(ISNUMBER($G379),$G379&gt;=MA_MED),AVERAGE(INDEX($C$5:$C379,376-MA_MED):$C379),"")</f>
        <v>1199284.08</v>
      </c>
      <c r="K379" s="45" t="n">
        <f aca="false">IF(AND(ISNUMBER($G379),$G379&gt;=MA_LONG2),AVERAGE(INDEX($C$5:$C379,376-MA_LONG2):$C379),"")</f>
        <v>1134793.54</v>
      </c>
      <c r="L379" s="46" t="n">
        <f aca="false">IF(AND(ISNUMBER($G379),$G379&gt;=21),STDEV(INDEX($H$319:$H379,62-20):$H379)*SQRT(245),"")</f>
        <v>0.277126771824142</v>
      </c>
      <c r="M379" s="45" t="n">
        <f aca="false">IF(AND(ISNUMBER($G379),$G379&gt;=60),MAX(INDEX($D$179:$D379,202-60):$D379),"")</f>
        <v>1280047</v>
      </c>
      <c r="N379" s="45" t="n">
        <f aca="false">IF(AND(ISNUMBER($G379),$G379&gt;=60),MIN(INDEX($E$179:$E379,202-60):$E379),"")</f>
        <v>1104002</v>
      </c>
      <c r="O379" s="46" t="n">
        <f aca="false">IF(OR(NOT(ISNUMBER($C379)),NOT(ISNUMBER($M379)),$M379=0),"",$C379/$M379-1)</f>
        <v>-0.0951543185523657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1167073</v>
      </c>
      <c r="D380" s="42" t="n">
        <v>1167257</v>
      </c>
      <c r="E380" s="42" t="n">
        <v>1166118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0.00762187620063104</v>
      </c>
      <c r="I380" s="45" t="n">
        <f aca="false">IF(AND(ISNUMBER($G380),$G380&gt;=MA_SHORT),AVERAGE(INDEX($C$5:$C380,377-MA_SHORT):$C380),"")</f>
        <v>1155743.3</v>
      </c>
      <c r="J380" s="45" t="n">
        <f aca="false">IF(AND(ISNUMBER($G380),$G380&gt;=MA_MED),AVERAGE(INDEX($C$5:$C380,377-MA_MED):$C380),"")</f>
        <v>1199790.24</v>
      </c>
      <c r="K380" s="45" t="n">
        <f aca="false">IF(AND(ISNUMBER($G380),$G380&gt;=MA_LONG2),AVERAGE(INDEX($C$5:$C380,377-MA_LONG2):$C380),"")</f>
        <v>1135544.15</v>
      </c>
      <c r="L380" s="46" t="n">
        <f aca="false">IF(AND(ISNUMBER($G380),$G380&gt;=21),STDEV(INDEX($H$320:$H380,62-20):$H380)*SQRT(245),"")</f>
        <v>0.279731300509614</v>
      </c>
      <c r="M380" s="45" t="n">
        <f aca="false">IF(AND(ISNUMBER($G380),$G380&gt;=60),MAX(INDEX($D$180:$D380,202-60):$D380),"")</f>
        <v>1280047</v>
      </c>
      <c r="N380" s="45" t="n">
        <f aca="false">IF(AND(ISNUMBER($G380),$G380&gt;=60),MIN(INDEX($E$180:$E380,202-60):$E380),"")</f>
        <v>1104002</v>
      </c>
      <c r="O380" s="46" t="n">
        <f aca="false">IF(OR(NOT(ISNUMBER($C380)),NOT(ISNUMBER($M380)),$M380=0),"",$C380/$M380-1)</f>
        <v>-0.0882576967876961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1166692</v>
      </c>
      <c r="D381" s="42" t="n">
        <v>1168890</v>
      </c>
      <c r="E381" s="42" t="n">
        <v>1163203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-0.000326457728008434</v>
      </c>
      <c r="I381" s="45" t="n">
        <f aca="false">IF(AND(ISNUMBER($G381),$G381&gt;=MA_SHORT),AVERAGE(INDEX($C$5:$C381,378-MA_SHORT):$C381),"")</f>
        <v>1151121.5</v>
      </c>
      <c r="J381" s="45" t="n">
        <f aca="false">IF(AND(ISNUMBER($G381),$G381&gt;=MA_MED),AVERAGE(INDEX($C$5:$C381,378-MA_MED):$C381),"")</f>
        <v>1200115.14</v>
      </c>
      <c r="K381" s="45" t="n">
        <f aca="false">IF(AND(ISNUMBER($G381),$G381&gt;=MA_LONG2),AVERAGE(INDEX($C$5:$C381,378-MA_LONG2):$C381),"")</f>
        <v>1136309.765</v>
      </c>
      <c r="L381" s="46" t="n">
        <f aca="false">IF(AND(ISNUMBER($G381),$G381&gt;=21),STDEV(INDEX($H$321:$H381,62-20):$H381)*SQRT(245),"")</f>
        <v>0.277496335734561</v>
      </c>
      <c r="M381" s="45" t="n">
        <f aca="false">IF(AND(ISNUMBER($G381),$G381&gt;=60),MAX(INDEX($D$181:$D381,202-60):$D381),"")</f>
        <v>1280047</v>
      </c>
      <c r="N381" s="45" t="n">
        <f aca="false">IF(AND(ISNUMBER($G381),$G381&gt;=60),MIN(INDEX($E$181:$E381,202-60):$E381),"")</f>
        <v>1104002</v>
      </c>
      <c r="O381" s="46" t="n">
        <f aca="false">IF(OR(NOT(ISNUMBER($C381)),NOT(ISNUMBER($M381)),$M381=0),"",$C381/$M381-1)</f>
        <v>-0.088555342108532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1167809</v>
      </c>
      <c r="D382" s="42" t="n">
        <v>1172982</v>
      </c>
      <c r="E382" s="42" t="n">
        <v>1165055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0.000957407782002484</v>
      </c>
      <c r="I382" s="45" t="n">
        <f aca="false">IF(AND(ISNUMBER($G382),$G382&gt;=MA_SHORT),AVERAGE(INDEX($C$5:$C382,379-MA_SHORT):$C382),"")</f>
        <v>1146918.55</v>
      </c>
      <c r="J382" s="45" t="n">
        <f aca="false">IF(AND(ISNUMBER($G382),$G382&gt;=MA_MED),AVERAGE(INDEX($C$5:$C382,379-MA_MED):$C382),"")</f>
        <v>1200498.84</v>
      </c>
      <c r="K382" s="45" t="n">
        <f aca="false">IF(AND(ISNUMBER($G382),$G382&gt;=MA_LONG2),AVERAGE(INDEX($C$5:$C382,379-MA_LONG2):$C382),"")</f>
        <v>1137026.155</v>
      </c>
      <c r="L382" s="46" t="n">
        <f aca="false">IF(AND(ISNUMBER($G382),$G382&gt;=21),STDEV(INDEX($H$322:$H382,62-20):$H382)*SQRT(245),"")</f>
        <v>0.277833668928563</v>
      </c>
      <c r="M382" s="45" t="n">
        <f aca="false">IF(AND(ISNUMBER($G382),$G382&gt;=60),MAX(INDEX($D$182:$D382,202-60):$D382),"")</f>
        <v>1280047</v>
      </c>
      <c r="N382" s="45" t="n">
        <f aca="false">IF(AND(ISNUMBER($G382),$G382&gt;=60),MIN(INDEX($E$182:$E382,202-60):$E382),"")</f>
        <v>1104002</v>
      </c>
      <c r="O382" s="46" t="n">
        <f aca="false">IF(OR(NOT(ISNUMBER($C382)),NOT(ISNUMBER($M382)),$M382=0),"",$C382/$M382-1)</f>
        <v>-0.0876827179002021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1159325</v>
      </c>
      <c r="D383" s="42" t="n">
        <v>1160290</v>
      </c>
      <c r="E383" s="42" t="n">
        <v>1155475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-0.00726488663814029</v>
      </c>
      <c r="I383" s="45" t="n">
        <f aca="false">IF(AND(ISNUMBER($G383),$G383&gt;=MA_SHORT),AVERAGE(INDEX($C$5:$C383,380-MA_SHORT):$C383),"")</f>
        <v>1143168.65</v>
      </c>
      <c r="J383" s="45" t="n">
        <f aca="false">IF(AND(ISNUMBER($G383),$G383&gt;=MA_MED),AVERAGE(INDEX($C$5:$C383,380-MA_MED):$C383),"")</f>
        <v>1200627.34</v>
      </c>
      <c r="K383" s="45" t="n">
        <f aca="false">IF(AND(ISNUMBER($G383),$G383&gt;=MA_LONG2),AVERAGE(INDEX($C$5:$C383,380-MA_LONG2):$C383),"")</f>
        <v>1137714.44</v>
      </c>
      <c r="L383" s="46" t="n">
        <f aca="false">IF(AND(ISNUMBER($G383),$G383&gt;=21),STDEV(INDEX($H$323:$H383,62-20):$H383)*SQRT(245),"")</f>
        <v>0.275476472685278</v>
      </c>
      <c r="M383" s="45" t="n">
        <f aca="false">IF(AND(ISNUMBER($G383),$G383&gt;=60),MAX(INDEX($D$183:$D383,202-60):$D383),"")</f>
        <v>1280047</v>
      </c>
      <c r="N383" s="45" t="n">
        <f aca="false">IF(AND(ISNUMBER($G383),$G383&gt;=60),MIN(INDEX($E$183:$E383,202-60):$E383),"")</f>
        <v>1104002</v>
      </c>
      <c r="O383" s="46" t="n">
        <f aca="false">IF(OR(NOT(ISNUMBER($C383)),NOT(ISNUMBER($M383)),$M383=0),"",$C383/$M383-1)</f>
        <v>-0.0943105995326734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1158737</v>
      </c>
      <c r="D384" s="42" t="n">
        <v>1161144</v>
      </c>
      <c r="E384" s="42" t="n">
        <v>1152915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-0.00050719168481661</v>
      </c>
      <c r="I384" s="45" t="n">
        <f aca="false">IF(AND(ISNUMBER($G384),$G384&gt;=MA_SHORT),AVERAGE(INDEX($C$5:$C384,381-MA_SHORT):$C384),"")</f>
        <v>1141969.15</v>
      </c>
      <c r="J384" s="45" t="n">
        <f aca="false">IF(AND(ISNUMBER($G384),$G384&gt;=MA_MED),AVERAGE(INDEX($C$5:$C384,381-MA_MED):$C384),"")</f>
        <v>1200676.78</v>
      </c>
      <c r="K384" s="45" t="n">
        <f aca="false">IF(AND(ISNUMBER($G384),$G384&gt;=MA_LONG2),AVERAGE(INDEX($C$5:$C384,381-MA_LONG2):$C384),"")</f>
        <v>1138443.655</v>
      </c>
      <c r="L384" s="46" t="n">
        <f aca="false">IF(AND(ISNUMBER($G384),$G384&gt;=21),STDEV(INDEX($H$324:$H384,62-20):$H384)*SQRT(245),"")</f>
        <v>0.235440884147469</v>
      </c>
      <c r="M384" s="45" t="n">
        <f aca="false">IF(AND(ISNUMBER($G384),$G384&gt;=60),MAX(INDEX($D$184:$D384,202-60):$D384),"")</f>
        <v>1280047</v>
      </c>
      <c r="N384" s="45" t="n">
        <f aca="false">IF(AND(ISNUMBER($G384),$G384&gt;=60),MIN(INDEX($E$184:$E384,202-60):$E384),"")</f>
        <v>1104002</v>
      </c>
      <c r="O384" s="46" t="n">
        <f aca="false">IF(OR(NOT(ISNUMBER($C384)),NOT(ISNUMBER($M384)),$M384=0),"",$C384/$M384-1)</f>
        <v>-0.0947699576656169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1157572</v>
      </c>
      <c r="D385" s="42" t="n">
        <v>1158463</v>
      </c>
      <c r="E385" s="42" t="n">
        <v>1155636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-0.00100540502288271</v>
      </c>
      <c r="I385" s="45" t="n">
        <f aca="false">IF(AND(ISNUMBER($G385),$G385&gt;=MA_SHORT),AVERAGE(INDEX($C$5:$C385,382-MA_SHORT):$C385),"")</f>
        <v>1143836.9</v>
      </c>
      <c r="J385" s="45" t="n">
        <f aca="false">IF(AND(ISNUMBER($G385),$G385&gt;=MA_MED),AVERAGE(INDEX($C$5:$C385,382-MA_MED):$C385),"")</f>
        <v>1200405.22</v>
      </c>
      <c r="K385" s="45" t="n">
        <f aca="false">IF(AND(ISNUMBER($G385),$G385&gt;=MA_LONG2),AVERAGE(INDEX($C$5:$C385,382-MA_LONG2):$C385),"")</f>
        <v>1139224.575</v>
      </c>
      <c r="L385" s="46" t="n">
        <f aca="false">IF(AND(ISNUMBER($G385),$G385&gt;=21),STDEV(INDEX($H$325:$H385,62-20):$H385)*SQRT(245),"")</f>
        <v>0.137531889080144</v>
      </c>
      <c r="M385" s="45" t="n">
        <f aca="false">IF(AND(ISNUMBER($G385),$G385&gt;=60),MAX(INDEX($D$185:$D385,202-60):$D385),"")</f>
        <v>1280047</v>
      </c>
      <c r="N385" s="45" t="n">
        <f aca="false">IF(AND(ISNUMBER($G385),$G385&gt;=60),MIN(INDEX($E$185:$E385,202-60):$E385),"")</f>
        <v>1104002</v>
      </c>
      <c r="O385" s="46" t="n">
        <f aca="false">IF(OR(NOT(ISNUMBER($C385)),NOT(ISNUMBER($M385)),$M385=0),"",$C385/$M385-1)</f>
        <v>-0.0956800804970442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1165127</v>
      </c>
      <c r="D386" s="42" t="n">
        <v>1165755</v>
      </c>
      <c r="E386" s="42" t="n">
        <v>1160388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0.0065265918664239</v>
      </c>
      <c r="I386" s="45" t="n">
        <f aca="false">IF(AND(ISNUMBER($G386),$G386&gt;=MA_SHORT),AVERAGE(INDEX($C$5:$C386,383-MA_SHORT):$C386),"")</f>
        <v>1146417.65</v>
      </c>
      <c r="J386" s="45" t="n">
        <f aca="false">IF(AND(ISNUMBER($G386),$G386&gt;=MA_MED),AVERAGE(INDEX($C$5:$C386,383-MA_MED):$C386),"")</f>
        <v>1200153.02</v>
      </c>
      <c r="K386" s="45" t="n">
        <f aca="false">IF(AND(ISNUMBER($G386),$G386&gt;=MA_LONG2),AVERAGE(INDEX($C$5:$C386,383-MA_LONG2):$C386),"")</f>
        <v>1140053.77</v>
      </c>
      <c r="L386" s="46" t="n">
        <f aca="false">IF(AND(ISNUMBER($G386),$G386&gt;=21),STDEV(INDEX($H$326:$H386,62-20):$H386)*SQRT(245),"")</f>
        <v>0.135498863471849</v>
      </c>
      <c r="M386" s="45" t="n">
        <f aca="false">IF(AND(ISNUMBER($G386),$G386&gt;=60),MAX(INDEX($D$186:$D386,202-60):$D386),"")</f>
        <v>1280047</v>
      </c>
      <c r="N386" s="45" t="n">
        <f aca="false">IF(AND(ISNUMBER($G386),$G386&gt;=60),MIN(INDEX($E$186:$E386,202-60):$E386),"")</f>
        <v>1104002</v>
      </c>
      <c r="O386" s="46" t="n">
        <f aca="false">IF(OR(NOT(ISNUMBER($C386)),NOT(ISNUMBER($M386)),$M386=0),"",$C386/$M386-1)</f>
        <v>-0.0897779534657712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1170625</v>
      </c>
      <c r="D387" s="42" t="n">
        <v>1175076</v>
      </c>
      <c r="E387" s="42" t="n">
        <v>1169178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0.00471879889488447</v>
      </c>
      <c r="I387" s="45" t="n">
        <f aca="false">IF(AND(ISNUMBER($G387),$G387&gt;=MA_SHORT),AVERAGE(INDEX($C$5:$C387,384-MA_SHORT):$C387),"")</f>
        <v>1149347.9</v>
      </c>
      <c r="J387" s="45" t="n">
        <f aca="false">IF(AND(ISNUMBER($G387),$G387&gt;=MA_MED),AVERAGE(INDEX($C$5:$C387,384-MA_MED):$C387),"")</f>
        <v>1199661.72</v>
      </c>
      <c r="K387" s="45" t="n">
        <f aca="false">IF(AND(ISNUMBER($G387),$G387&gt;=MA_LONG2),AVERAGE(INDEX($C$5:$C387,384-MA_LONG2):$C387),"")</f>
        <v>1140861.64</v>
      </c>
      <c r="L387" s="46" t="n">
        <f aca="false">IF(AND(ISNUMBER($G387),$G387&gt;=21),STDEV(INDEX($H$327:$H387,62-20):$H387)*SQRT(245),"")</f>
        <v>0.135056707956777</v>
      </c>
      <c r="M387" s="45" t="n">
        <f aca="false">IF(AND(ISNUMBER($G387),$G387&gt;=60),MAX(INDEX($D$187:$D387,202-60):$D387),"")</f>
        <v>1280047</v>
      </c>
      <c r="N387" s="45" t="n">
        <f aca="false">IF(AND(ISNUMBER($G387),$G387&gt;=60),MIN(INDEX($E$187:$E387,202-60):$E387),"")</f>
        <v>1104002</v>
      </c>
      <c r="O387" s="46" t="n">
        <f aca="false">IF(OR(NOT(ISNUMBER($C387)),NOT(ISNUMBER($M387)),$M387=0),"",$C387/$M387-1)</f>
        <v>-0.0854827986784861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1162101</v>
      </c>
      <c r="D388" s="42" t="n">
        <v>1162160</v>
      </c>
      <c r="E388" s="42" t="n">
        <v>1161351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-0.00728158035237592</v>
      </c>
      <c r="I388" s="45" t="n">
        <f aca="false">IF(AND(ISNUMBER($G388),$G388&gt;=MA_SHORT),AVERAGE(INDEX($C$5:$C388,385-MA_SHORT):$C388),"")</f>
        <v>1152113.8</v>
      </c>
      <c r="J388" s="45" t="n">
        <f aca="false">IF(AND(ISNUMBER($G388),$G388&gt;=MA_MED),AVERAGE(INDEX($C$5:$C388,385-MA_MED):$C388),"")</f>
        <v>1198496.92</v>
      </c>
      <c r="K388" s="45" t="n">
        <f aca="false">IF(AND(ISNUMBER($G388),$G388&gt;=MA_LONG2),AVERAGE(INDEX($C$5:$C388,385-MA_LONG2):$C388),"")</f>
        <v>1141542.385</v>
      </c>
      <c r="L388" s="46" t="n">
        <f aca="false">IF(AND(ISNUMBER($G388),$G388&gt;=21),STDEV(INDEX($H$328:$H388,62-20):$H388)*SQRT(245),"")</f>
        <v>0.137137362751417</v>
      </c>
      <c r="M388" s="45" t="n">
        <f aca="false">IF(AND(ISNUMBER($G388),$G388&gt;=60),MAX(INDEX($D$188:$D388,202-60):$D388),"")</f>
        <v>1280047</v>
      </c>
      <c r="N388" s="45" t="n">
        <f aca="false">IF(AND(ISNUMBER($G388),$G388&gt;=60),MIN(INDEX($E$188:$E388,202-60):$E388),"")</f>
        <v>1104002</v>
      </c>
      <c r="O388" s="46" t="n">
        <f aca="false">IF(OR(NOT(ISNUMBER($C388)),NOT(ISNUMBER($M388)),$M388=0),"",$C388/$M388-1)</f>
        <v>-0.0921419291635385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1161529</v>
      </c>
      <c r="D389" s="42" t="n">
        <v>1163663</v>
      </c>
      <c r="E389" s="42" t="n">
        <v>1161330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-0.000492211950596344</v>
      </c>
      <c r="I389" s="45" t="n">
        <f aca="false">IF(AND(ISNUMBER($G389),$G389&gt;=MA_SHORT),AVERAGE(INDEX($C$5:$C389,386-MA_SHORT):$C389),"")</f>
        <v>1154806.65</v>
      </c>
      <c r="J389" s="45" t="n">
        <f aca="false">IF(AND(ISNUMBER($G389),$G389&gt;=MA_MED),AVERAGE(INDEX($C$5:$C389,386-MA_MED):$C389),"")</f>
        <v>1196947.68</v>
      </c>
      <c r="K389" s="45" t="n">
        <f aca="false">IF(AND(ISNUMBER($G389),$G389&gt;=MA_LONG2),AVERAGE(INDEX($C$5:$C389,386-MA_LONG2):$C389),"")</f>
        <v>1142247.985</v>
      </c>
      <c r="L389" s="46" t="n">
        <f aca="false">IF(AND(ISNUMBER($G389),$G389&gt;=21),STDEV(INDEX($H$329:$H389,62-20):$H389)*SQRT(245),"")</f>
        <v>0.137416022200813</v>
      </c>
      <c r="M389" s="45" t="n">
        <f aca="false">IF(AND(ISNUMBER($G389),$G389&gt;=60),MAX(INDEX($D$189:$D389,202-60):$D389),"")</f>
        <v>1280047</v>
      </c>
      <c r="N389" s="45" t="n">
        <f aca="false">IF(AND(ISNUMBER($G389),$G389&gt;=60),MIN(INDEX($E$189:$E389,202-60):$E389),"")</f>
        <v>1104002</v>
      </c>
      <c r="O389" s="46" t="n">
        <f aca="false">IF(OR(NOT(ISNUMBER($C389)),NOT(ISNUMBER($M389)),$M389=0),"",$C389/$M389-1)</f>
        <v>-0.0925887877554497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1150892</v>
      </c>
      <c r="D390" s="42" t="n">
        <v>1150964</v>
      </c>
      <c r="E390" s="42" t="n">
        <v>1147779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-0.00915775671550168</v>
      </c>
      <c r="I390" s="45" t="n">
        <f aca="false">IF(AND(ISNUMBER($G390),$G390&gt;=MA_SHORT),AVERAGE(INDEX($C$5:$C390,387-MA_SHORT):$C390),"")</f>
        <v>1156967.6</v>
      </c>
      <c r="J390" s="45" t="n">
        <f aca="false">IF(AND(ISNUMBER($G390),$G390&gt;=MA_MED),AVERAGE(INDEX($C$5:$C390,387-MA_MED):$C390),"")</f>
        <v>1194850.5</v>
      </c>
      <c r="K390" s="45" t="n">
        <f aca="false">IF(AND(ISNUMBER($G390),$G390&gt;=MA_LONG2),AVERAGE(INDEX($C$5:$C390,387-MA_LONG2):$C390),"")</f>
        <v>1142882.185</v>
      </c>
      <c r="L390" s="46" t="n">
        <f aca="false">IF(AND(ISNUMBER($G390),$G390&gt;=21),STDEV(INDEX($H$330:$H390,62-20):$H390)*SQRT(245),"")</f>
        <v>0.143109997207876</v>
      </c>
      <c r="M390" s="45" t="n">
        <f aca="false">IF(AND(ISNUMBER($G390),$G390&gt;=60),MAX(INDEX($D$190:$D390,202-60):$D390),"")</f>
        <v>1280047</v>
      </c>
      <c r="N390" s="45" t="n">
        <f aca="false">IF(AND(ISNUMBER($G390),$G390&gt;=60),MIN(INDEX($E$190:$E390,202-60):$E390),"")</f>
        <v>1104002</v>
      </c>
      <c r="O390" s="46" t="n">
        <f aca="false">IF(OR(NOT(ISNUMBER($C390)),NOT(ISNUMBER($M390)),$M390=0),"",$C390/$M390-1)</f>
        <v>-0.100898638878104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1166293</v>
      </c>
      <c r="D391" s="42" t="n">
        <v>1168854</v>
      </c>
      <c r="E391" s="42" t="n">
        <v>1164258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0.0133817942952075</v>
      </c>
      <c r="I391" s="45" t="n">
        <f aca="false">IF(AND(ISNUMBER($G391),$G391&gt;=MA_SHORT),AVERAGE(INDEX($C$5:$C391,388-MA_SHORT):$C391),"")</f>
        <v>1159065.6</v>
      </c>
      <c r="J391" s="45" t="n">
        <f aca="false">IF(AND(ISNUMBER($G391),$G391&gt;=MA_MED),AVERAGE(INDEX($C$5:$C391,388-MA_MED):$C391),"")</f>
        <v>1193609.96</v>
      </c>
      <c r="K391" s="45" t="n">
        <f aca="false">IF(AND(ISNUMBER($G391),$G391&gt;=MA_LONG2),AVERAGE(INDEX($C$5:$C391,388-MA_LONG2):$C391),"")</f>
        <v>1143623.025</v>
      </c>
      <c r="L391" s="46" t="n">
        <f aca="false">IF(AND(ISNUMBER($G391),$G391&gt;=21),STDEV(INDEX($H$331:$H391,62-20):$H391)*SQRT(245),"")</f>
        <v>0.141260079651003</v>
      </c>
      <c r="M391" s="45" t="n">
        <f aca="false">IF(AND(ISNUMBER($G391),$G391&gt;=60),MAX(INDEX($D$191:$D391,202-60):$D391),"")</f>
        <v>1280047</v>
      </c>
      <c r="N391" s="45" t="n">
        <f aca="false">IF(AND(ISNUMBER($G391),$G391&gt;=60),MIN(INDEX($E$191:$E391,202-60):$E391),"")</f>
        <v>1104002</v>
      </c>
      <c r="O391" s="46" t="n">
        <f aca="false">IF(OR(NOT(ISNUMBER($C391)),NOT(ISNUMBER($M391)),$M391=0),"",$C391/$M391-1)</f>
        <v>-0.0888670494130294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1157339</v>
      </c>
      <c r="D392" s="42" t="n">
        <v>1158762</v>
      </c>
      <c r="E392" s="42" t="n">
        <v>1146929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-0.00767731607752087</v>
      </c>
      <c r="I392" s="45" t="n">
        <f aca="false">IF(AND(ISNUMBER($G392),$G392&gt;=MA_SHORT),AVERAGE(INDEX($C$5:$C392,389-MA_SHORT):$C392),"")</f>
        <v>1160339.35</v>
      </c>
      <c r="J392" s="45" t="n">
        <f aca="false">IF(AND(ISNUMBER($G392),$G392&gt;=MA_MED),AVERAGE(INDEX($C$5:$C392,389-MA_MED):$C392),"")</f>
        <v>1192570.4</v>
      </c>
      <c r="K392" s="45" t="n">
        <f aca="false">IF(AND(ISNUMBER($G392),$G392&gt;=MA_LONG2),AVERAGE(INDEX($C$5:$C392,389-MA_LONG2):$C392),"")</f>
        <v>1144291.65</v>
      </c>
      <c r="L392" s="46" t="n">
        <f aca="false">IF(AND(ISNUMBER($G392),$G392&gt;=21),STDEV(INDEX($H$332:$H392,62-20):$H392)*SQRT(245),"")</f>
        <v>0.143863799946563</v>
      </c>
      <c r="M392" s="45" t="n">
        <f aca="false">IF(AND(ISNUMBER($G392),$G392&gt;=60),MAX(INDEX($D$192:$D392,202-60):$D392),"")</f>
        <v>1280047</v>
      </c>
      <c r="N392" s="45" t="n">
        <f aca="false">IF(AND(ISNUMBER($G392),$G392&gt;=60),MIN(INDEX($E$192:$E392,202-60):$E392),"")</f>
        <v>1104002</v>
      </c>
      <c r="O392" s="46" t="n">
        <f aca="false">IF(OR(NOT(ISNUMBER($C392)),NOT(ISNUMBER($M392)),$M392=0),"",$C392/$M392-1)</f>
        <v>-0.0958621050633297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1147790</v>
      </c>
      <c r="D393" s="42" t="n">
        <v>1151958</v>
      </c>
      <c r="E393" s="42" t="n">
        <v>1143159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-0.00825082365668139</v>
      </c>
      <c r="I393" s="45" t="n">
        <f aca="false">IF(AND(ISNUMBER($G393),$G393&gt;=MA_SHORT),AVERAGE(INDEX($C$5:$C393,390-MA_SHORT):$C393),"")</f>
        <v>1161394.95</v>
      </c>
      <c r="J393" s="45" t="n">
        <f aca="false">IF(AND(ISNUMBER($G393),$G393&gt;=MA_MED),AVERAGE(INDEX($C$5:$C393,390-MA_MED):$C393),"")</f>
        <v>1191014.92</v>
      </c>
      <c r="K393" s="45" t="n">
        <f aca="false">IF(AND(ISNUMBER($G393),$G393&gt;=MA_LONG2),AVERAGE(INDEX($C$5:$C393,390-MA_LONG2):$C393),"")</f>
        <v>1144847.84</v>
      </c>
      <c r="L393" s="46" t="n">
        <f aca="false">IF(AND(ISNUMBER($G393),$G393&gt;=21),STDEV(INDEX($H$333:$H393,62-20):$H393)*SQRT(245),"")</f>
        <v>0.146302368098582</v>
      </c>
      <c r="M393" s="45" t="n">
        <f aca="false">IF(AND(ISNUMBER($G393),$G393&gt;=60),MAX(INDEX($D$193:$D393,202-60):$D393),"")</f>
        <v>1280047</v>
      </c>
      <c r="N393" s="45" t="n">
        <f aca="false">IF(AND(ISNUMBER($G393),$G393&gt;=60),MIN(INDEX($E$193:$E393,202-60):$E393),"")</f>
        <v>1104002</v>
      </c>
      <c r="O393" s="46" t="n">
        <f aca="false">IF(OR(NOT(ISNUMBER($C393)),NOT(ISNUMBER($M393)),$M393=0),"",$C393/$M393-1)</f>
        <v>-0.103321987395775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1140937</v>
      </c>
      <c r="D394" s="42" t="n">
        <v>1145378</v>
      </c>
      <c r="E394" s="42" t="n">
        <v>1140460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-0.00597060437884978</v>
      </c>
      <c r="I394" s="45" t="n">
        <f aca="false">IF(AND(ISNUMBER($G394),$G394&gt;=MA_SHORT),AVERAGE(INDEX($C$5:$C394,391-MA_SHORT):$C394),"")</f>
        <v>1161588.3</v>
      </c>
      <c r="J394" s="45" t="n">
        <f aca="false">IF(AND(ISNUMBER($G394),$G394&gt;=MA_MED),AVERAGE(INDEX($C$5:$C394,391-MA_MED):$C394),"")</f>
        <v>1189335.4</v>
      </c>
      <c r="K394" s="45" t="n">
        <f aca="false">IF(AND(ISNUMBER($G394),$G394&gt;=MA_LONG2),AVERAGE(INDEX($C$5:$C394,391-MA_LONG2):$C394),"")</f>
        <v>1145397.96</v>
      </c>
      <c r="L394" s="46" t="n">
        <f aca="false">IF(AND(ISNUMBER($G394),$G394&gt;=21),STDEV(INDEX($H$334:$H394,62-20):$H394)*SQRT(245),"")</f>
        <v>0.14490794993824</v>
      </c>
      <c r="M394" s="45" t="n">
        <f aca="false">IF(AND(ISNUMBER($G394),$G394&gt;=60),MAX(INDEX($D$194:$D394,202-60):$D394),"")</f>
        <v>1280047</v>
      </c>
      <c r="N394" s="45" t="n">
        <f aca="false">IF(AND(ISNUMBER($G394),$G394&gt;=60),MIN(INDEX($E$194:$E394,202-60):$E394),"")</f>
        <v>1104002</v>
      </c>
      <c r="O394" s="46" t="n">
        <f aca="false">IF(OR(NOT(ISNUMBER($C394)),NOT(ISNUMBER($M394)),$M394=0),"",$C394/$M394-1)</f>
        <v>-0.108675697064248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1143456</v>
      </c>
      <c r="D395" s="42" t="n">
        <v>1149184</v>
      </c>
      <c r="E395" s="42" t="n">
        <v>1142768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0.0022078344378349</v>
      </c>
      <c r="I395" s="45" t="n">
        <f aca="false">IF(AND(ISNUMBER($G395),$G395&gt;=MA_SHORT),AVERAGE(INDEX($C$5:$C395,392-MA_SHORT):$C395),"")</f>
        <v>1161169.05</v>
      </c>
      <c r="J395" s="45" t="n">
        <f aca="false">IF(AND(ISNUMBER($G395),$G395&gt;=MA_MED),AVERAGE(INDEX($C$5:$C395,392-MA_MED):$C395),"")</f>
        <v>1187623.16</v>
      </c>
      <c r="K395" s="45" t="n">
        <f aca="false">IF(AND(ISNUMBER($G395),$G395&gt;=MA_LONG2),AVERAGE(INDEX($C$5:$C395,392-MA_LONG2):$C395),"")</f>
        <v>1145967.46</v>
      </c>
      <c r="L395" s="46" t="n">
        <f aca="false">IF(AND(ISNUMBER($G395),$G395&gt;=21),STDEV(INDEX($H$335:$H395,62-20):$H395)*SQRT(245),"")</f>
        <v>0.137363412690724</v>
      </c>
      <c r="M395" s="45" t="n">
        <f aca="false">IF(AND(ISNUMBER($G395),$G395&gt;=60),MAX(INDEX($D$195:$D395,202-60):$D395),"")</f>
        <v>1280047</v>
      </c>
      <c r="N395" s="45" t="n">
        <f aca="false">IF(AND(ISNUMBER($G395),$G395&gt;=60),MIN(INDEX($E$195:$E395,202-60):$E395),"")</f>
        <v>1104002</v>
      </c>
      <c r="O395" s="46" t="n">
        <f aca="false">IF(OR(NOT(ISNUMBER($C395)),NOT(ISNUMBER($M395)),$M395=0),"",$C395/$M395-1)</f>
        <v>-0.106707800572948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1160370</v>
      </c>
      <c r="D396" s="42" t="n">
        <v>1165961</v>
      </c>
      <c r="E396" s="42" t="n">
        <v>1157058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0.0147919989925278</v>
      </c>
      <c r="I396" s="45" t="n">
        <f aca="false">IF(AND(ISNUMBER($G396),$G396&gt;=MA_SHORT),AVERAGE(INDEX($C$5:$C396,393-MA_SHORT):$C396),"")</f>
        <v>1161167.7</v>
      </c>
      <c r="J396" s="45" t="n">
        <f aca="false">IF(AND(ISNUMBER($G396),$G396&gt;=MA_MED),AVERAGE(INDEX($C$5:$C396,393-MA_MED):$C396),"")</f>
        <v>1185977.02</v>
      </c>
      <c r="K396" s="45" t="n">
        <f aca="false">IF(AND(ISNUMBER($G396),$G396&gt;=MA_LONG2),AVERAGE(INDEX($C$5:$C396,393-MA_LONG2):$C396),"")</f>
        <v>1146661.93</v>
      </c>
      <c r="L396" s="46" t="n">
        <f aca="false">IF(AND(ISNUMBER($G396),$G396&gt;=21),STDEV(INDEX($H$336:$H396,62-20):$H396)*SQRT(245),"")</f>
        <v>0.144934828904551</v>
      </c>
      <c r="M396" s="45" t="n">
        <f aca="false">IF(AND(ISNUMBER($G396),$G396&gt;=60),MAX(INDEX($D$196:$D396,202-60):$D396),"")</f>
        <v>1280047</v>
      </c>
      <c r="N396" s="45" t="n">
        <f aca="false">IF(AND(ISNUMBER($G396),$G396&gt;=60),MIN(INDEX($E$196:$E396,202-60):$E396),"")</f>
        <v>1104002</v>
      </c>
      <c r="O396" s="46" t="n">
        <f aca="false">IF(OR(NOT(ISNUMBER($C396)),NOT(ISNUMBER($M396)),$M396=0),"",$C396/$M396-1)</f>
        <v>-0.0934942232589897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1165595</v>
      </c>
      <c r="D397" s="42" t="n">
        <v>1166769</v>
      </c>
      <c r="E397" s="42" t="n">
        <v>1164822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0.00450287408326644</v>
      </c>
      <c r="I397" s="45" t="n">
        <f aca="false">IF(AND(ISNUMBER($G397),$G397&gt;=MA_SHORT),AVERAGE(INDEX($C$5:$C397,394-MA_SHORT):$C397),"")</f>
        <v>1160186.9</v>
      </c>
      <c r="J397" s="45" t="n">
        <f aca="false">IF(AND(ISNUMBER($G397),$G397&gt;=MA_MED),AVERAGE(INDEX($C$5:$C397,394-MA_MED):$C397),"")</f>
        <v>1184383.68</v>
      </c>
      <c r="K397" s="45" t="n">
        <f aca="false">IF(AND(ISNUMBER($G397),$G397&gt;=MA_LONG2),AVERAGE(INDEX($C$5:$C397,394-MA_LONG2):$C397),"")</f>
        <v>1147420.23</v>
      </c>
      <c r="L397" s="46" t="n">
        <f aca="false">IF(AND(ISNUMBER($G397),$G397&gt;=21),STDEV(INDEX($H$337:$H397,62-20):$H397)*SQRT(245),"")</f>
        <v>0.123306530613002</v>
      </c>
      <c r="M397" s="45" t="n">
        <f aca="false">IF(AND(ISNUMBER($G397),$G397&gt;=60),MAX(INDEX($D$197:$D397,202-60):$D397),"")</f>
        <v>1280047</v>
      </c>
      <c r="N397" s="45" t="n">
        <f aca="false">IF(AND(ISNUMBER($G397),$G397&gt;=60),MIN(INDEX($E$197:$E397,202-60):$E397),"")</f>
        <v>1104002</v>
      </c>
      <c r="O397" s="46" t="n">
        <f aca="false">IF(OR(NOT(ISNUMBER($C397)),NOT(ISNUMBER($M397)),$M397=0),"",$C397/$M397-1)</f>
        <v>-0.0894123418905712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1146664</v>
      </c>
      <c r="D398" s="42" t="n">
        <v>1150588</v>
      </c>
      <c r="E398" s="42" t="n">
        <v>1140322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-0.0162414903976081</v>
      </c>
      <c r="I398" s="45" t="n">
        <f aca="false">IF(AND(ISNUMBER($G398),$G398&gt;=MA_SHORT),AVERAGE(INDEX($C$5:$C398,395-MA_SHORT):$C398),"")</f>
        <v>1158708.55</v>
      </c>
      <c r="J398" s="45" t="n">
        <f aca="false">IF(AND(ISNUMBER($G398),$G398&gt;=MA_MED),AVERAGE(INDEX($C$5:$C398,395-MA_MED):$C398),"")</f>
        <v>1182303.66</v>
      </c>
      <c r="K398" s="45" t="n">
        <f aca="false">IF(AND(ISNUMBER($G398),$G398&gt;=MA_LONG2),AVERAGE(INDEX($C$5:$C398,395-MA_LONG2):$C398),"")</f>
        <v>1148145.525</v>
      </c>
      <c r="L398" s="46" t="n">
        <f aca="false">IF(AND(ISNUMBER($G398),$G398&gt;=21),STDEV(INDEX($H$338:$H398,62-20):$H398)*SQRT(245),"")</f>
        <v>0.132806237502384</v>
      </c>
      <c r="M398" s="45" t="n">
        <f aca="false">IF(AND(ISNUMBER($G398),$G398&gt;=60),MAX(INDEX($D$198:$D398,202-60):$D398),"")</f>
        <v>1280047</v>
      </c>
      <c r="N398" s="45" t="n">
        <f aca="false">IF(AND(ISNUMBER($G398),$G398&gt;=60),MIN(INDEX($E$198:$E398,202-60):$E398),"")</f>
        <v>1104002</v>
      </c>
      <c r="O398" s="46" t="n">
        <f aca="false">IF(OR(NOT(ISNUMBER($C398)),NOT(ISNUMBER($M398)),$M398=0),"",$C398/$M398-1)</f>
        <v>-0.104201642595936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1141560</v>
      </c>
      <c r="D399" s="42" t="n">
        <v>1142829</v>
      </c>
      <c r="E399" s="42" t="n">
        <v>1140518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-0.00445117314226318</v>
      </c>
      <c r="I399" s="45" t="n">
        <f aca="false">IF(AND(ISNUMBER($G399),$G399&gt;=MA_SHORT),AVERAGE(INDEX($C$5:$C399,396-MA_SHORT):$C399),"")</f>
        <v>1157874.3</v>
      </c>
      <c r="J399" s="45" t="n">
        <f aca="false">IF(AND(ISNUMBER($G399),$G399&gt;=MA_MED),AVERAGE(INDEX($C$5:$C399,396-MA_MED):$C399),"")</f>
        <v>1179679.24</v>
      </c>
      <c r="K399" s="45" t="n">
        <f aca="false">IF(AND(ISNUMBER($G399),$G399&gt;=MA_LONG2),AVERAGE(INDEX($C$5:$C399,396-MA_LONG2):$C399),"")</f>
        <v>1148759.355</v>
      </c>
      <c r="L399" s="46" t="n">
        <f aca="false">IF(AND(ISNUMBER($G399),$G399&gt;=21),STDEV(INDEX($H$339:$H399,62-20):$H399)*SQRT(245),"")</f>
        <v>0.12307809772831</v>
      </c>
      <c r="M399" s="45" t="n">
        <f aca="false">IF(AND(ISNUMBER($G399),$G399&gt;=60),MAX(INDEX($D$199:$D399,202-60):$D399),"")</f>
        <v>1280047</v>
      </c>
      <c r="N399" s="45" t="n">
        <f aca="false">IF(AND(ISNUMBER($G399),$G399&gt;=60),MIN(INDEX($E$199:$E399,202-60):$E399),"")</f>
        <v>1104002</v>
      </c>
      <c r="O399" s="46" t="n">
        <f aca="false">IF(OR(NOT(ISNUMBER($C399)),NOT(ISNUMBER($M399)),$M399=0),"",$C399/$M399-1)</f>
        <v>-0.108188996185296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1154321</v>
      </c>
      <c r="D400" s="42" t="n">
        <v>1155060</v>
      </c>
      <c r="E400" s="42" t="n">
        <v>1151845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0.0111785626686289</v>
      </c>
      <c r="I400" s="45" t="n">
        <f aca="false">IF(AND(ISNUMBER($G400),$G400&gt;=MA_SHORT),AVERAGE(INDEX($C$5:$C400,397-MA_SHORT):$C400),"")</f>
        <v>1157236.7</v>
      </c>
      <c r="J400" s="45" t="n">
        <f aca="false">IF(AND(ISNUMBER($G400),$G400&gt;=MA_MED),AVERAGE(INDEX($C$5:$C400,397-MA_MED):$C400),"")</f>
        <v>1177664.82</v>
      </c>
      <c r="K400" s="45" t="n">
        <f aca="false">IF(AND(ISNUMBER($G400),$G400&gt;=MA_LONG2),AVERAGE(INDEX($C$5:$C400,397-MA_LONG2):$C400),"")</f>
        <v>1149455.29</v>
      </c>
      <c r="L400" s="46" t="n">
        <f aca="false">IF(AND(ISNUMBER($G400),$G400&gt;=21),STDEV(INDEX($H$340:$H400,62-20):$H400)*SQRT(245),"")</f>
        <v>0.126752231583649</v>
      </c>
      <c r="M400" s="45" t="n">
        <f aca="false">IF(AND(ISNUMBER($G400),$G400&gt;=60),MAX(INDEX($D$200:$D400,202-60):$D400),"")</f>
        <v>1280047</v>
      </c>
      <c r="N400" s="45" t="n">
        <f aca="false">IF(AND(ISNUMBER($G400),$G400&gt;=60),MIN(INDEX($E$200:$E400,202-60):$E400),"")</f>
        <v>1104002</v>
      </c>
      <c r="O400" s="46" t="n">
        <f aca="false">IF(OR(NOT(ISNUMBER($C400)),NOT(ISNUMBER($M400)),$M400=0),"",$C400/$M400-1)</f>
        <v>-0.0982198309905809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1154500</v>
      </c>
      <c r="D401" s="42" t="n">
        <v>1156146</v>
      </c>
      <c r="E401" s="42" t="n">
        <v>1153080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0.000155069517058015</v>
      </c>
      <c r="I401" s="45" t="n">
        <f aca="false">IF(AND(ISNUMBER($G401),$G401&gt;=MA_SHORT),AVERAGE(INDEX($C$5:$C401,398-MA_SHORT):$C401),"")</f>
        <v>1156627.1</v>
      </c>
      <c r="J401" s="45" t="n">
        <f aca="false">IF(AND(ISNUMBER($G401),$G401&gt;=MA_MED),AVERAGE(INDEX($C$5:$C401,398-MA_MED):$C401),"")</f>
        <v>1175526.14</v>
      </c>
      <c r="K401" s="45" t="n">
        <f aca="false">IF(AND(ISNUMBER($G401),$G401&gt;=MA_LONG2),AVERAGE(INDEX($C$5:$C401,398-MA_LONG2):$C401),"")</f>
        <v>1150167.345</v>
      </c>
      <c r="L401" s="46" t="n">
        <f aca="false">IF(AND(ISNUMBER($G401),$G401&gt;=21),STDEV(INDEX($H$341:$H401,62-20):$H401)*SQRT(245),"")</f>
        <v>0.126772819953007</v>
      </c>
      <c r="M401" s="45" t="n">
        <f aca="false">IF(AND(ISNUMBER($G401),$G401&gt;=60),MAX(INDEX($D$201:$D401,202-60):$D401),"")</f>
        <v>1280047</v>
      </c>
      <c r="N401" s="45" t="n">
        <f aca="false">IF(AND(ISNUMBER($G401),$G401&gt;=60),MIN(INDEX($E$201:$E401,202-60):$E401),"")</f>
        <v>1104002</v>
      </c>
      <c r="O401" s="46" t="n">
        <f aca="false">IF(OR(NOT(ISNUMBER($C401)),NOT(ISNUMBER($M401)),$M401=0),"",$C401/$M401-1)</f>
        <v>-0.09807999237528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1177342</v>
      </c>
      <c r="D402" s="42" t="n">
        <v>1183174</v>
      </c>
      <c r="E402" s="42" t="n">
        <v>1174740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0.0197851883932438</v>
      </c>
      <c r="I402" s="45" t="n">
        <f aca="false">IF(AND(ISNUMBER($G402),$G402&gt;=MA_SHORT),AVERAGE(INDEX($C$5:$C402,399-MA_SHORT):$C402),"")</f>
        <v>1157103.75</v>
      </c>
      <c r="J402" s="45" t="n">
        <f aca="false">IF(AND(ISNUMBER($G402),$G402&gt;=MA_MED),AVERAGE(INDEX($C$5:$C402,399-MA_MED):$C402),"")</f>
        <v>1173613.38</v>
      </c>
      <c r="K402" s="45" t="n">
        <f aca="false">IF(AND(ISNUMBER($G402),$G402&gt;=MA_LONG2),AVERAGE(INDEX($C$5:$C402,399-MA_LONG2):$C402),"")</f>
        <v>1150942.695</v>
      </c>
      <c r="L402" s="46" t="n">
        <f aca="false">IF(AND(ISNUMBER($G402),$G402&gt;=21),STDEV(INDEX($H$342:$H402,62-20):$H402)*SQRT(245),"")</f>
        <v>0.14532214073208</v>
      </c>
      <c r="M402" s="45" t="n">
        <f aca="false">IF(AND(ISNUMBER($G402),$G402&gt;=60),MAX(INDEX($D$202:$D402,202-60):$D402),"")</f>
        <v>1280047</v>
      </c>
      <c r="N402" s="45" t="n">
        <f aca="false">IF(AND(ISNUMBER($G402),$G402&gt;=60),MIN(INDEX($E$202:$E402,202-60):$E402),"")</f>
        <v>1104002</v>
      </c>
      <c r="O402" s="46" t="n">
        <f aca="false">IF(OR(NOT(ISNUMBER($C402)),NOT(ISNUMBER($M402)),$M402=0),"",$C402/$M402-1)</f>
        <v>-0.080235335108789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1168899</v>
      </c>
      <c r="D403" s="42" t="n">
        <v>1171386</v>
      </c>
      <c r="E403" s="42" t="n">
        <v>1166565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-0.00717123826381794</v>
      </c>
      <c r="I403" s="45" t="n">
        <f aca="false">IF(AND(ISNUMBER($G403),$G403&gt;=MA_SHORT),AVERAGE(INDEX($C$5:$C403,400-MA_SHORT):$C403),"")</f>
        <v>1157582.45</v>
      </c>
      <c r="J403" s="45" t="n">
        <f aca="false">IF(AND(ISNUMBER($G403),$G403&gt;=MA_MED),AVERAGE(INDEX($C$5:$C403,400-MA_MED):$C403),"")</f>
        <v>1171641.08</v>
      </c>
      <c r="K403" s="45" t="n">
        <f aca="false">IF(AND(ISNUMBER($G403),$G403&gt;=MA_LONG2),AVERAGE(INDEX($C$5:$C403,400-MA_LONG2):$C403),"")</f>
        <v>1151668.865</v>
      </c>
      <c r="L403" s="46" t="n">
        <f aca="false">IF(AND(ISNUMBER($G403),$G403&gt;=21),STDEV(INDEX($H$343:$H403,62-20):$H403)*SQRT(245),"")</f>
        <v>0.145258410142468</v>
      </c>
      <c r="M403" s="45" t="n">
        <f aca="false">IF(AND(ISNUMBER($G403),$G403&gt;=60),MAX(INDEX($D$203:$D403,202-60):$D403),"")</f>
        <v>1280047</v>
      </c>
      <c r="N403" s="45" t="n">
        <f aca="false">IF(AND(ISNUMBER($G403),$G403&gt;=60),MIN(INDEX($E$203:$E403,202-60):$E403),"")</f>
        <v>1104002</v>
      </c>
      <c r="O403" s="46" t="n">
        <f aca="false">IF(OR(NOT(ISNUMBER($C403)),NOT(ISNUMBER($M403)),$M403=0),"",$C403/$M403-1)</f>
        <v>-0.0868311866673646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1174146</v>
      </c>
      <c r="D404" s="42" t="n">
        <v>1180205</v>
      </c>
      <c r="E404" s="42" t="n">
        <v>1173936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0.0044888394976812</v>
      </c>
      <c r="I404" s="45" t="n">
        <f aca="false">IF(AND(ISNUMBER($G404),$G404&gt;=MA_SHORT),AVERAGE(INDEX($C$5:$C404,401-MA_SHORT):$C404),"")</f>
        <v>1158352.9</v>
      </c>
      <c r="J404" s="45" t="n">
        <f aca="false">IF(AND(ISNUMBER($G404),$G404&gt;=MA_MED),AVERAGE(INDEX($C$5:$C404,401-MA_MED):$C404),"")</f>
        <v>1169851.98</v>
      </c>
      <c r="K404" s="45" t="n">
        <f aca="false">IF(AND(ISNUMBER($G404),$G404&gt;=MA_LONG2),AVERAGE(INDEX($C$5:$C404,401-MA_LONG2):$C404),"")</f>
        <v>1152345.405</v>
      </c>
      <c r="L404" s="46" t="n">
        <f aca="false">IF(AND(ISNUMBER($G404),$G404&gt;=21),STDEV(INDEX($H$344:$H404,62-20):$H404)*SQRT(245),"")</f>
        <v>0.145884098805759</v>
      </c>
      <c r="M404" s="45" t="n">
        <f aca="false">IF(AND(ISNUMBER($G404),$G404&gt;=60),MAX(INDEX($D$204:$D404,202-60):$D404),"")</f>
        <v>1280047</v>
      </c>
      <c r="N404" s="45" t="n">
        <f aca="false">IF(AND(ISNUMBER($G404),$G404&gt;=60),MIN(INDEX($E$204:$E404,202-60):$E404),"")</f>
        <v>1104002</v>
      </c>
      <c r="O404" s="46" t="n">
        <f aca="false">IF(OR(NOT(ISNUMBER($C404)),NOT(ISNUMBER($M404)),$M404=0),"",$C404/$M404-1)</f>
        <v>-0.0827321184300264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1173400</v>
      </c>
      <c r="D405" s="42" t="n">
        <v>1173971</v>
      </c>
      <c r="E405" s="42" t="n">
        <v>1171767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-0.000635355398732385</v>
      </c>
      <c r="I405" s="45" t="n">
        <f aca="false">IF(AND(ISNUMBER($G405),$G405&gt;=MA_SHORT),AVERAGE(INDEX($C$5:$C405,402-MA_SHORT):$C405),"")</f>
        <v>1159144.3</v>
      </c>
      <c r="J405" s="45" t="n">
        <f aca="false">IF(AND(ISNUMBER($G405),$G405&gt;=MA_MED),AVERAGE(INDEX($C$5:$C405,402-MA_MED):$C405),"")</f>
        <v>1167831.2</v>
      </c>
      <c r="K405" s="45" t="n">
        <f aca="false">IF(AND(ISNUMBER($G405),$G405&gt;=MA_LONG2),AVERAGE(INDEX($C$5:$C405,402-MA_LONG2):$C405),"")</f>
        <v>1153003.34</v>
      </c>
      <c r="L405" s="46" t="n">
        <f aca="false">IF(AND(ISNUMBER($G405),$G405&gt;=21),STDEV(INDEX($H$345:$H405,62-20):$H405)*SQRT(245),"")</f>
        <v>0.145833995736921</v>
      </c>
      <c r="M405" s="45" t="n">
        <f aca="false">IF(AND(ISNUMBER($G405),$G405&gt;=60),MAX(INDEX($D$205:$D405,202-60):$D405),"")</f>
        <v>1280047</v>
      </c>
      <c r="N405" s="45" t="n">
        <f aca="false">IF(AND(ISNUMBER($G405),$G405&gt;=60),MIN(INDEX($E$205:$E405,202-60):$E405),"")</f>
        <v>1104002</v>
      </c>
      <c r="O405" s="46" t="n">
        <f aca="false">IF(OR(NOT(ISNUMBER($C405)),NOT(ISNUMBER($M405)),$M405=0),"",$C405/$M405-1)</f>
        <v>-0.0833149095306657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1170654</v>
      </c>
      <c r="D406" s="42" t="n">
        <v>1172022</v>
      </c>
      <c r="E406" s="42" t="n">
        <v>1167841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-0.00234020794273049</v>
      </c>
      <c r="I406" s="45" t="n">
        <f aca="false">IF(AND(ISNUMBER($G406),$G406&gt;=MA_SHORT),AVERAGE(INDEX($C$6:$C406,402-MA_SHORT):$C406),"")</f>
        <v>1159420.65</v>
      </c>
      <c r="J406" s="45" t="n">
        <f aca="false">IF(AND(ISNUMBER($G406),$G406&gt;=MA_MED),AVERAGE(INDEX($C$6:$C406,402-MA_MED):$C406),"")</f>
        <v>1166023.84</v>
      </c>
      <c r="K406" s="45" t="n">
        <f aca="false">IF(AND(ISNUMBER($G406),$G406&gt;=MA_LONG2),AVERAGE(INDEX($C$6:$C406,402-MA_LONG2):$C406),"")</f>
        <v>1153704.175</v>
      </c>
      <c r="L406" s="46" t="n">
        <f aca="false">IF(AND(ISNUMBER($G406),$G406&gt;=21),STDEV(INDEX($H$346:$H406,62-20):$H406)*SQRT(245),"")</f>
        <v>0.144578520407857</v>
      </c>
      <c r="M406" s="45" t="n">
        <f aca="false">IF(AND(ISNUMBER($G406),$G406&gt;=60),MAX(INDEX($D$206:$D406,202-60):$D406),"")</f>
        <v>1280047</v>
      </c>
      <c r="N406" s="45" t="n">
        <f aca="false">IF(AND(ISNUMBER($G406),$G406&gt;=60),MIN(INDEX($E$206:$E406,202-60):$E406),"")</f>
        <v>1104002</v>
      </c>
      <c r="O406" s="46" t="n">
        <f aca="false">IF(OR(NOT(ISNUMBER($C406)),NOT(ISNUMBER($M406)),$M406=0),"",$C406/$M406-1)</f>
        <v>-0.0854601432603647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1166191</v>
      </c>
      <c r="D407" s="42" t="n">
        <v>1170453</v>
      </c>
      <c r="E407" s="42" t="n">
        <v>1164855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-0.00381239888130913</v>
      </c>
      <c r="I407" s="45" t="n">
        <f aca="false">IF(AND(ISNUMBER($G407),$G407&gt;=MA_SHORT),AVERAGE(INDEX($C$7:$C407,402-MA_SHORT):$C407),"")</f>
        <v>1159198.95</v>
      </c>
      <c r="J407" s="45" t="n">
        <f aca="false">IF(AND(ISNUMBER($G407),$G407&gt;=MA_MED),AVERAGE(INDEX($C$7:$C407,402-MA_MED):$C407),"")</f>
        <v>1164132.42</v>
      </c>
      <c r="K407" s="45" t="n">
        <f aca="false">IF(AND(ISNUMBER($G407),$G407&gt;=MA_LONG2),AVERAGE(INDEX($C$7:$C407,402-MA_LONG2):$C407),"")</f>
        <v>1154364.695</v>
      </c>
      <c r="L407" s="46" t="n">
        <f aca="false">IF(AND(ISNUMBER($G407),$G407&gt;=21),STDEV(INDEX($H$347:$H407,62-20):$H407)*SQRT(245),"")</f>
        <v>0.144281912661122</v>
      </c>
      <c r="M407" s="45" t="n">
        <f aca="false">IF(AND(ISNUMBER($G407),$G407&gt;=60),MAX(INDEX($D$207:$D407,202-60):$D407),"")</f>
        <v>1280047</v>
      </c>
      <c r="N407" s="45" t="n">
        <f aca="false">IF(AND(ISNUMBER($G407),$G407&gt;=60),MIN(INDEX($E$207:$E407,202-60):$E407),"")</f>
        <v>1104002</v>
      </c>
      <c r="O407" s="46" t="n">
        <f aca="false">IF(OR(NOT(ISNUMBER($C407)),NOT(ISNUMBER($M407)),$M407=0),"",$C407/$M407-1)</f>
        <v>-0.0889467339871114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1158208</v>
      </c>
      <c r="D408" s="42" t="n">
        <v>1160610</v>
      </c>
      <c r="E408" s="42" t="n">
        <v>1157250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-0.00684536238060485</v>
      </c>
      <c r="I408" s="45" t="n">
        <f aca="false">IF(AND(ISNUMBER($G408),$G408&gt;=MA_SHORT),AVERAGE(INDEX($C$8:$C408,402-MA_SHORT):$C408),"")</f>
        <v>1159004.3</v>
      </c>
      <c r="J408" s="45" t="n">
        <f aca="false">IF(AND(ISNUMBER($G408),$G408&gt;=MA_MED),AVERAGE(INDEX($C$8:$C408,402-MA_MED):$C408),"")</f>
        <v>1162272.04</v>
      </c>
      <c r="K408" s="45" t="n">
        <f aca="false">IF(AND(ISNUMBER($G408),$G408&gt;=MA_LONG2),AVERAGE(INDEX($C$8:$C408,402-MA_LONG2):$C408),"")</f>
        <v>1155023.055</v>
      </c>
      <c r="L408" s="46" t="n">
        <f aca="false">IF(AND(ISNUMBER($G408),$G408&gt;=21),STDEV(INDEX($H$348:$H408,62-20):$H408)*SQRT(245),"")</f>
        <v>0.144011689172657</v>
      </c>
      <c r="M408" s="45" t="n">
        <f aca="false">IF(AND(ISNUMBER($G408),$G408&gt;=60),MAX(INDEX($D$208:$D408,202-60):$D408),"")</f>
        <v>1280047</v>
      </c>
      <c r="N408" s="45" t="n">
        <f aca="false">IF(AND(ISNUMBER($G408),$G408&gt;=60),MIN(INDEX($E$208:$E408,202-60):$E408),"")</f>
        <v>1104002</v>
      </c>
      <c r="O408" s="46" t="n">
        <f aca="false">IF(OR(NOT(ISNUMBER($C408)),NOT(ISNUMBER($M408)),$M408=0),"",$C408/$M408-1)</f>
        <v>-0.0951832237410033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1152084</v>
      </c>
      <c r="D409" s="42" t="n">
        <v>1155719</v>
      </c>
      <c r="E409" s="42" t="n">
        <v>1149646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-0.00528747858761125</v>
      </c>
      <c r="I409" s="45" t="n">
        <f aca="false">IF(AND(ISNUMBER($G409),$G409&gt;=MA_SHORT),AVERAGE(INDEX($C$9:$C409,402-MA_SHORT):$C409),"")</f>
        <v>1158532.05</v>
      </c>
      <c r="J409" s="45" t="n">
        <f aca="false">IF(AND(ISNUMBER($G409),$G409&gt;=MA_MED),AVERAGE(INDEX($C$9:$C409,402-MA_MED):$C409),"")</f>
        <v>1160111.82</v>
      </c>
      <c r="K409" s="45" t="n">
        <f aca="false">IF(AND(ISNUMBER($G409),$G409&gt;=MA_LONG2),AVERAGE(INDEX($C$9:$C409,402-MA_LONG2):$C409),"")</f>
        <v>1155642.14</v>
      </c>
      <c r="L409" s="46" t="n">
        <f aca="false">IF(AND(ISNUMBER($G409),$G409&gt;=21),STDEV(INDEX($H$349:$H409,62-20):$H409)*SQRT(245),"")</f>
        <v>0.145141757852673</v>
      </c>
      <c r="M409" s="45" t="n">
        <f aca="false">IF(AND(ISNUMBER($G409),$G409&gt;=60),MAX(INDEX($D$209:$D409,202-60):$D409),"")</f>
        <v>1277150</v>
      </c>
      <c r="N409" s="45" t="n">
        <f aca="false">IF(AND(ISNUMBER($G409),$G409&gt;=60),MIN(INDEX($E$209:$E409,202-60):$E409),"")</f>
        <v>1104002</v>
      </c>
      <c r="O409" s="46" t="n">
        <f aca="false">IF(OR(NOT(ISNUMBER($C409)),NOT(ISNUMBER($M409)),$M409=0),"",$C409/$M409-1)</f>
        <v>-0.097925850526563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1141692</v>
      </c>
      <c r="D410" s="42" t="n">
        <v>1148787</v>
      </c>
      <c r="E410" s="42" t="n">
        <v>1136155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-0.00902017561219493</v>
      </c>
      <c r="I410" s="45" t="n">
        <f aca="false">IF(AND(ISNUMBER($G410),$G410&gt;=MA_SHORT),AVERAGE(INDEX($C$10:$C410,402-MA_SHORT):$C410),"")</f>
        <v>1158072.05</v>
      </c>
      <c r="J410" s="45" t="n">
        <f aca="false">IF(AND(ISNUMBER($G410),$G410&gt;=MA_MED),AVERAGE(INDEX($C$10:$C410,402-MA_MED):$C410),"")</f>
        <v>1157934.32</v>
      </c>
      <c r="K410" s="45" t="n">
        <f aca="false">IF(AND(ISNUMBER($G410),$G410&gt;=MA_LONG2),AVERAGE(INDEX($C$10:$C410,402-MA_LONG2):$C410),"")</f>
        <v>1156174.295</v>
      </c>
      <c r="L410" s="46" t="n">
        <f aca="false">IF(AND(ISNUMBER($G410),$G410&gt;=21),STDEV(INDEX($H$350:$H410,62-20):$H410)*SQRT(245),"")</f>
        <v>0.145035073272124</v>
      </c>
      <c r="M410" s="45" t="n">
        <f aca="false">IF(AND(ISNUMBER($G410),$G410&gt;=60),MAX(INDEX($D$210:$D410,202-60):$D410),"")</f>
        <v>1277150</v>
      </c>
      <c r="N410" s="45" t="n">
        <f aca="false">IF(AND(ISNUMBER($G410),$G410&gt;=60),MIN(INDEX($E$210:$E410,202-60):$E410),"")</f>
        <v>1104002</v>
      </c>
      <c r="O410" s="46" t="n">
        <f aca="false">IF(OR(NOT(ISNUMBER($C410)),NOT(ISNUMBER($M410)),$M410=0),"",$C410/$M410-1)</f>
        <v>-0.106062717770035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1153545</v>
      </c>
      <c r="D411" s="42" t="n">
        <v>1155303</v>
      </c>
      <c r="E411" s="42" t="n">
        <v>1150348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0.010381959407616</v>
      </c>
      <c r="I411" s="45" t="n">
        <f aca="false">IF(AND(ISNUMBER($G411),$G411&gt;=MA_SHORT),AVERAGE(INDEX($C$11:$C411,402-MA_SHORT):$C411),"")</f>
        <v>1157434.65</v>
      </c>
      <c r="J411" s="45" t="n">
        <f aca="false">IF(AND(ISNUMBER($G411),$G411&gt;=MA_MED),AVERAGE(INDEX($C$11:$C411,402-MA_MED):$C411),"")</f>
        <v>1155822.66</v>
      </c>
      <c r="K411" s="45" t="n">
        <f aca="false">IF(AND(ISNUMBER($G411),$G411&gt;=MA_LONG2),AVERAGE(INDEX($C$11:$C411,402-MA_LONG2):$C411),"")</f>
        <v>1156815.72</v>
      </c>
      <c r="L411" s="46" t="n">
        <f aca="false">IF(AND(ISNUMBER($G411),$G411&gt;=21),STDEV(INDEX($H$351:$H411,62-20):$H411)*SQRT(245),"")</f>
        <v>0.141711832924178</v>
      </c>
      <c r="M411" s="45" t="n">
        <f aca="false">IF(AND(ISNUMBER($G411),$G411&gt;=60),MAX(INDEX($D$211:$D411,202-60):$D411),"")</f>
        <v>1277150</v>
      </c>
      <c r="N411" s="45" t="n">
        <f aca="false">IF(AND(ISNUMBER($G411),$G411&gt;=60),MIN(INDEX($E$211:$E411,202-60):$E411),"")</f>
        <v>1104002</v>
      </c>
      <c r="O411" s="46" t="n">
        <f aca="false">IF(OR(NOT(ISNUMBER($C411)),NOT(ISNUMBER($M411)),$M411=0),"",$C411/$M411-1)</f>
        <v>-0.0967818971929687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1141249</v>
      </c>
      <c r="D412" s="42" t="n">
        <v>1143411</v>
      </c>
      <c r="E412" s="42" t="n">
        <v>1137254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-0.0106593154146566</v>
      </c>
      <c r="I412" s="45" t="n">
        <f aca="false">IF(AND(ISNUMBER($G412),$G412&gt;=MA_SHORT),AVERAGE(INDEX($C$12:$C412,402-MA_SHORT):$C412),"")</f>
        <v>1156630.15</v>
      </c>
      <c r="J412" s="45" t="n">
        <f aca="false">IF(AND(ISNUMBER($G412),$G412&gt;=MA_MED),AVERAGE(INDEX($C$12:$C412,402-MA_MED):$C412),"")</f>
        <v>1153610.28</v>
      </c>
      <c r="K412" s="45" t="n">
        <f aca="false">IF(AND(ISNUMBER($G412),$G412&gt;=MA_LONG2),AVERAGE(INDEX($C$12:$C412,402-MA_LONG2):$C412),"")</f>
        <v>1157396.915</v>
      </c>
      <c r="L412" s="46" t="n">
        <f aca="false">IF(AND(ISNUMBER($G412),$G412&gt;=21),STDEV(INDEX($H$352:$H412,62-20):$H412)*SQRT(245),"")</f>
        <v>0.144021969612978</v>
      </c>
      <c r="M412" s="45" t="n">
        <f aca="false">IF(AND(ISNUMBER($G412),$G412&gt;=60),MAX(INDEX($D$212:$D412,202-60):$D412),"")</f>
        <v>1277150</v>
      </c>
      <c r="N412" s="45" t="n">
        <f aca="false">IF(AND(ISNUMBER($G412),$G412&gt;=60),MIN(INDEX($E$212:$E412,202-60):$E412),"")</f>
        <v>1104002</v>
      </c>
      <c r="O412" s="46" t="n">
        <f aca="false">IF(OR(NOT(ISNUMBER($C412)),NOT(ISNUMBER($M412)),$M412=0),"",$C412/$M412-1)</f>
        <v>-0.106409583839017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1130460</v>
      </c>
      <c r="D413" s="42" t="n">
        <v>1135528</v>
      </c>
      <c r="E413" s="42" t="n">
        <v>1125547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-0.0094536775059606</v>
      </c>
      <c r="I413" s="45" t="n">
        <f aca="false">IF(AND(ISNUMBER($G413),$G413&gt;=MA_SHORT),AVERAGE(INDEX($C$13:$C413,402-MA_SHORT):$C413),"")</f>
        <v>1155763.65</v>
      </c>
      <c r="J413" s="45" t="n">
        <f aca="false">IF(AND(ISNUMBER($G413),$G413&gt;=MA_MED),AVERAGE(INDEX($C$13:$C413,402-MA_MED):$C413),"")</f>
        <v>1151533.02</v>
      </c>
      <c r="K413" s="45" t="n">
        <f aca="false">IF(AND(ISNUMBER($G413),$G413&gt;=MA_LONG2),AVERAGE(INDEX($C$13:$C413,402-MA_LONG2):$C413),"")</f>
        <v>1157907.39</v>
      </c>
      <c r="L413" s="46" t="n">
        <f aca="false">IF(AND(ISNUMBER($G413),$G413&gt;=21),STDEV(INDEX($H$353:$H413,62-20):$H413)*SQRT(245),"")</f>
        <v>0.14489836723074</v>
      </c>
      <c r="M413" s="45" t="n">
        <f aca="false">IF(AND(ISNUMBER($G413),$G413&gt;=60),MAX(INDEX($D$213:$D413,202-60):$D413),"")</f>
        <v>1277150</v>
      </c>
      <c r="N413" s="45" t="n">
        <f aca="false">IF(AND(ISNUMBER($G413),$G413&gt;=60),MIN(INDEX($E$213:$E413,202-60):$E413),"")</f>
        <v>1104002</v>
      </c>
      <c r="O413" s="46" t="n">
        <f aca="false">IF(OR(NOT(ISNUMBER($C413)),NOT(ISNUMBER($M413)),$M413=0),"",$C413/$M413-1)</f>
        <v>-0.11485729945582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1128260</v>
      </c>
      <c r="D414" s="42" t="n">
        <v>1131984</v>
      </c>
      <c r="E414" s="42" t="n">
        <v>1127154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-0.00194611043292114</v>
      </c>
      <c r="I414" s="45" t="n">
        <f aca="false">IF(AND(ISNUMBER($G414),$G414&gt;=MA_SHORT),AVERAGE(INDEX($C$14:$C414,402-MA_SHORT):$C414),"")</f>
        <v>1155129.8</v>
      </c>
      <c r="J414" s="45" t="n">
        <f aca="false">IF(AND(ISNUMBER($G414),$G414&gt;=MA_MED),AVERAGE(INDEX($C$14:$C414,402-MA_MED):$C414),"")</f>
        <v>1150443.68</v>
      </c>
      <c r="K414" s="45" t="n">
        <f aca="false">IF(AND(ISNUMBER($G414),$G414&gt;=MA_LONG2),AVERAGE(INDEX($C$14:$C414,402-MA_LONG2):$C414),"")</f>
        <v>1158243.64</v>
      </c>
      <c r="L414" s="46" t="n">
        <f aca="false">IF(AND(ISNUMBER($G414),$G414&gt;=21),STDEV(INDEX($H$354:$H414,62-20):$H414)*SQRT(245),"")</f>
        <v>0.143697482860785</v>
      </c>
      <c r="M414" s="45" t="n">
        <f aca="false">IF(AND(ISNUMBER($G414),$G414&gt;=60),MAX(INDEX($D$214:$D414,202-60):$D414),"")</f>
        <v>1277150</v>
      </c>
      <c r="N414" s="45" t="n">
        <f aca="false">IF(AND(ISNUMBER($G414),$G414&gt;=60),MIN(INDEX($E$214:$E414,202-60):$E414),"")</f>
        <v>1104002</v>
      </c>
      <c r="O414" s="46" t="n">
        <f aca="false">IF(OR(NOT(ISNUMBER($C414)),NOT(ISNUMBER($M414)),$M414=0),"",$C414/$M414-1)</f>
        <v>-0.116579884899973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1124592</v>
      </c>
      <c r="D415" s="42" t="n">
        <v>1128513</v>
      </c>
      <c r="E415" s="42" t="n">
        <v>1123547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-0.00325102370021091</v>
      </c>
      <c r="I415" s="45" t="n">
        <f aca="false">IF(AND(ISNUMBER($G415),$G415&gt;=MA_SHORT),AVERAGE(INDEX($C$15:$C415,402-MA_SHORT):$C415),"")</f>
        <v>1154186.6</v>
      </c>
      <c r="J415" s="45" t="n">
        <f aca="false">IF(AND(ISNUMBER($G415),$G415&gt;=MA_MED),AVERAGE(INDEX($C$15:$C415,402-MA_MED):$C415),"")</f>
        <v>1150531.18</v>
      </c>
      <c r="K415" s="45" t="n">
        <f aca="false">IF(AND(ISNUMBER($G415),$G415&gt;=MA_LONG2),AVERAGE(INDEX($C$15:$C415,402-MA_LONG2):$C415),"")</f>
        <v>1158461.755</v>
      </c>
      <c r="L415" s="46" t="n">
        <f aca="false">IF(AND(ISNUMBER($G415),$G415&gt;=21),STDEV(INDEX($H$355:$H415,62-20):$H415)*SQRT(245),"")</f>
        <v>0.143632092459237</v>
      </c>
      <c r="M415" s="45" t="n">
        <f aca="false">IF(AND(ISNUMBER($G415),$G415&gt;=60),MAX(INDEX($D$215:$D415,202-60):$D415),"")</f>
        <v>1265082</v>
      </c>
      <c r="N415" s="45" t="n">
        <f aca="false">IF(AND(ISNUMBER($G415),$G415&gt;=60),MIN(INDEX($E$215:$E415,202-60):$E415),"")</f>
        <v>1104002</v>
      </c>
      <c r="O415" s="46" t="n">
        <f aca="false">IF(OR(NOT(ISNUMBER($C415)),NOT(ISNUMBER($M415)),$M415=0),"",$C415/$M415-1)</f>
        <v>-0.111052089904054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1171012</v>
      </c>
      <c r="D416" s="42" t="n">
        <v>1172466</v>
      </c>
      <c r="E416" s="42" t="n">
        <v>1167727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0.0412771920838846</v>
      </c>
      <c r="I416" s="45" t="n">
        <f aca="false">IF(AND(ISNUMBER($G416),$G416&gt;=MA_SHORT),AVERAGE(INDEX($C$16:$C416,402-MA_SHORT):$C416),"")</f>
        <v>1154718.7</v>
      </c>
      <c r="J416" s="45" t="n">
        <f aca="false">IF(AND(ISNUMBER($G416),$G416&gt;=MA_MED),AVERAGE(INDEX($C$16:$C416,402-MA_MED):$C416),"")</f>
        <v>1151681.18</v>
      </c>
      <c r="K416" s="45" t="n">
        <f aca="false">IF(AND(ISNUMBER($G416),$G416&gt;=MA_LONG2),AVERAGE(INDEX($C$16:$C416,402-MA_LONG2):$C416),"")</f>
        <v>1158904.745</v>
      </c>
      <c r="L416" s="46" t="n">
        <f aca="false">IF(AND(ISNUMBER($G416),$G416&gt;=21),STDEV(INDEX($H$356:$H416,62-20):$H416)*SQRT(245),"")</f>
        <v>0.199667944120614</v>
      </c>
      <c r="M416" s="45" t="n">
        <f aca="false">IF(AND(ISNUMBER($G416),$G416&gt;=60),MAX(INDEX($D$216:$D416,202-60):$D416),"")</f>
        <v>1265082</v>
      </c>
      <c r="N416" s="45" t="n">
        <f aca="false">IF(AND(ISNUMBER($G416),$G416&gt;=60),MIN(INDEX($E$216:$E416,202-60):$E416),"")</f>
        <v>1104002</v>
      </c>
      <c r="O416" s="46" t="n">
        <f aca="false">IF(OR(NOT(ISNUMBER($C416)),NOT(ISNUMBER($M416)),$M416=0),"",$C416/$M416-1)</f>
        <v>-0.0743588162664555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1184998</v>
      </c>
      <c r="D417" s="42" t="n">
        <v>1187781</v>
      </c>
      <c r="E417" s="42" t="n">
        <v>1178588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0.0119435155233252</v>
      </c>
      <c r="I417" s="45" t="n">
        <f aca="false">IF(AND(ISNUMBER($G417),$G417&gt;=MA_SHORT),AVERAGE(INDEX($C$17:$C417,402-MA_SHORT):$C417),"")</f>
        <v>1155688.85</v>
      </c>
      <c r="J417" s="45" t="n">
        <f aca="false">IF(AND(ISNUMBER($G417),$G417&gt;=MA_MED),AVERAGE(INDEX($C$17:$C417,402-MA_MED):$C417),"")</f>
        <v>1153140.74</v>
      </c>
      <c r="K417" s="45" t="n">
        <f aca="false">IF(AND(ISNUMBER($G417),$G417&gt;=MA_LONG2),AVERAGE(INDEX($C$17:$C417,402-MA_LONG2):$C417),"")</f>
        <v>1159359.87</v>
      </c>
      <c r="L417" s="46" t="n">
        <f aca="false">IF(AND(ISNUMBER($G417),$G417&gt;=21),STDEV(INDEX($H$357:$H417,62-20):$H417)*SQRT(245),"")</f>
        <v>0.203242017151041</v>
      </c>
      <c r="M417" s="45" t="n">
        <f aca="false">IF(AND(ISNUMBER($G417),$G417&gt;=60),MAX(INDEX($D$217:$D417,202-60):$D417),"")</f>
        <v>1260835</v>
      </c>
      <c r="N417" s="45" t="n">
        <f aca="false">IF(AND(ISNUMBER($G417),$G417&gt;=60),MIN(INDEX($E$217:$E417,202-60):$E417),"")</f>
        <v>1104002</v>
      </c>
      <c r="O417" s="46" t="n">
        <f aca="false">IF(OR(NOT(ISNUMBER($C417)),NOT(ISNUMBER($M417)),$M417=0),"",$C417/$M417-1)</f>
        <v>-0.060148235098169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1180067</v>
      </c>
      <c r="D418" s="42" t="n">
        <v>1182361</v>
      </c>
      <c r="E418" s="42" t="n">
        <v>1176091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-0.00416118845770208</v>
      </c>
      <c r="I418" s="45" t="n">
        <f aca="false">IF(AND(ISNUMBER($G418),$G418&gt;=MA_SHORT),AVERAGE(INDEX($C$18:$C418,402-MA_SHORT):$C418),"")</f>
        <v>1157359</v>
      </c>
      <c r="J418" s="45" t="n">
        <f aca="false">IF(AND(ISNUMBER($G418),$G418&gt;=MA_MED),AVERAGE(INDEX($C$18:$C418,402-MA_MED):$C418),"")</f>
        <v>1154606.42</v>
      </c>
      <c r="K418" s="45" t="n">
        <f aca="false">IF(AND(ISNUMBER($G418),$G418&gt;=MA_LONG2),AVERAGE(INDEX($C$18:$C418,402-MA_LONG2):$C418),"")</f>
        <v>1159783.55</v>
      </c>
      <c r="L418" s="46" t="n">
        <f aca="false">IF(AND(ISNUMBER($G418),$G418&gt;=21),STDEV(INDEX($H$358:$H418,62-20):$H418)*SQRT(245),"")</f>
        <v>0.194301778736101</v>
      </c>
      <c r="M418" s="45" t="n">
        <f aca="false">IF(AND(ISNUMBER($G418),$G418&gt;=60),MAX(INDEX($D$218:$D418,202-60):$D418),"")</f>
        <v>1260835</v>
      </c>
      <c r="N418" s="45" t="n">
        <f aca="false">IF(AND(ISNUMBER($G418),$G418&gt;=60),MIN(INDEX($E$218:$E418,202-60):$E418),"")</f>
        <v>1104002</v>
      </c>
      <c r="O418" s="46" t="n">
        <f aca="false">IF(OR(NOT(ISNUMBER($C418)),NOT(ISNUMBER($M418)),$M418=0),"",$C418/$M418-1)</f>
        <v>-0.0640591354142295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1196963</v>
      </c>
      <c r="D419" s="42" t="n">
        <v>1197101</v>
      </c>
      <c r="E419" s="42" t="n">
        <v>1192676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0.0143178311062</v>
      </c>
      <c r="I419" s="45" t="n">
        <f aca="false">IF(AND(ISNUMBER($G419),$G419&gt;=MA_SHORT),AVERAGE(INDEX($C$19:$C419,402-MA_SHORT):$C419),"")</f>
        <v>1160129.15</v>
      </c>
      <c r="J419" s="45" t="n">
        <f aca="false">IF(AND(ISNUMBER($G419),$G419&gt;=MA_MED),AVERAGE(INDEX($C$19:$C419,402-MA_MED):$C419),"")</f>
        <v>1156392.24</v>
      </c>
      <c r="K419" s="45" t="n">
        <f aca="false">IF(AND(ISNUMBER($G419),$G419&gt;=MA_LONG2),AVERAGE(INDEX($C$19:$C419,402-MA_LONG2):$C419),"")</f>
        <v>1160187.835</v>
      </c>
      <c r="L419" s="46" t="n">
        <f aca="false">IF(AND(ISNUMBER($G419),$G419&gt;=21),STDEV(INDEX($H$359:$H419,62-20):$H419)*SQRT(245),"")</f>
        <v>0.197948689747083</v>
      </c>
      <c r="M419" s="45" t="n">
        <f aca="false">IF(AND(ISNUMBER($G419),$G419&gt;=60),MAX(INDEX($D$219:$D419,202-60):$D419),"")</f>
        <v>1260598</v>
      </c>
      <c r="N419" s="45" t="n">
        <f aca="false">IF(AND(ISNUMBER($G419),$G419&gt;=60),MIN(INDEX($E$219:$E419,202-60):$E419),"")</f>
        <v>1104002</v>
      </c>
      <c r="O419" s="46" t="n">
        <f aca="false">IF(OR(NOT(ISNUMBER($C419)),NOT(ISNUMBER($M419)),$M419=0),"",$C419/$M419-1)</f>
        <v>-0.0504800102808349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1187753</v>
      </c>
      <c r="D420" s="42" t="n">
        <v>1189338</v>
      </c>
      <c r="E420" s="42" t="n">
        <v>1185602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-0.00769447342983864</v>
      </c>
      <c r="I420" s="45" t="n">
        <f aca="false">IF(AND(ISNUMBER($G420),$G420&gt;=MA_SHORT),AVERAGE(INDEX($C$20:$C420,402-MA_SHORT):$C420),"")</f>
        <v>1161800.75</v>
      </c>
      <c r="J420" s="45" t="n">
        <f aca="false">IF(AND(ISNUMBER($G420),$G420&gt;=MA_MED),AVERAGE(INDEX($C$20:$C420,402-MA_MED):$C420),"")</f>
        <v>1157993.84</v>
      </c>
      <c r="K420" s="45" t="n">
        <f aca="false">IF(AND(ISNUMBER($G420),$G420&gt;=MA_LONG2),AVERAGE(INDEX($C$20:$C420,402-MA_LONG2):$C420),"")</f>
        <v>1160497.78</v>
      </c>
      <c r="L420" s="46" t="n">
        <f aca="false">IF(AND(ISNUMBER($G420),$G420&gt;=21),STDEV(INDEX($H$360:$H420,62-20):$H420)*SQRT(245),"")</f>
        <v>0.198235381412855</v>
      </c>
      <c r="M420" s="45" t="n">
        <f aca="false">IF(AND(ISNUMBER($G420),$G420&gt;=60),MAX(INDEX($D$220:$D420,202-60):$D420),"")</f>
        <v>1260598</v>
      </c>
      <c r="N420" s="45" t="n">
        <f aca="false">IF(AND(ISNUMBER($G420),$G420&gt;=60),MIN(INDEX($E$220:$E420,202-60):$E420),"")</f>
        <v>1104002</v>
      </c>
      <c r="O420" s="46" t="n">
        <f aca="false">IF(OR(NOT(ISNUMBER($C420)),NOT(ISNUMBER($M420)),$M420=0),"",$C420/$M420-1)</f>
        <v>-0.0577860666128298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1188019</v>
      </c>
      <c r="D421" s="42" t="n">
        <v>1188228</v>
      </c>
      <c r="E421" s="42" t="n">
        <v>1184722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0.000223952286376061</v>
      </c>
      <c r="I421" s="45" t="n">
        <f aca="false">IF(AND(ISNUMBER($G421),$G421&gt;=MA_SHORT),AVERAGE(INDEX($C$21:$C421,402-MA_SHORT):$C421),"")</f>
        <v>1163476.7</v>
      </c>
      <c r="J421" s="45" t="n">
        <f aca="false">IF(AND(ISNUMBER($G421),$G421&gt;=MA_MED),AVERAGE(INDEX($C$21:$C421,402-MA_MED):$C421),"")</f>
        <v>1159267.56</v>
      </c>
      <c r="K421" s="45" t="n">
        <f aca="false">IF(AND(ISNUMBER($G421),$G421&gt;=MA_LONG2),AVERAGE(INDEX($C$21:$C421,402-MA_LONG2):$C421),"")</f>
        <v>1160886.725</v>
      </c>
      <c r="L421" s="46" t="n">
        <f aca="false">IF(AND(ISNUMBER($G421),$G421&gt;=21),STDEV(INDEX($H$361:$H421,62-20):$H421)*SQRT(245),"")</f>
        <v>0.198229485715745</v>
      </c>
      <c r="M421" s="45" t="n">
        <f aca="false">IF(AND(ISNUMBER($G421),$G421&gt;=60),MAX(INDEX($D$221:$D421,202-60):$D421),"")</f>
        <v>1256337</v>
      </c>
      <c r="N421" s="45" t="n">
        <f aca="false">IF(AND(ISNUMBER($G421),$G421&gt;=60),MIN(INDEX($E$221:$E421,202-60):$E421),"")</f>
        <v>1104002</v>
      </c>
      <c r="O421" s="46" t="n">
        <f aca="false">IF(OR(NOT(ISNUMBER($C421)),NOT(ISNUMBER($M421)),$M421=0),"",$C421/$M421-1)</f>
        <v>-0.0543787216328103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1192062</v>
      </c>
      <c r="D422" s="42" t="n">
        <v>1199712</v>
      </c>
      <c r="E422" s="42" t="n">
        <v>1187803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0.00340314422580779</v>
      </c>
      <c r="I422" s="45" t="n">
        <f aca="false">IF(AND(ISNUMBER($G422),$G422&gt;=MA_SHORT),AVERAGE(INDEX($C$22:$C422,402-MA_SHORT):$C422),"")</f>
        <v>1164212.7</v>
      </c>
      <c r="J422" s="45" t="n">
        <f aca="false">IF(AND(ISNUMBER($G422),$G422&gt;=MA_MED),AVERAGE(INDEX($C$22:$C422,402-MA_MED):$C422),"")</f>
        <v>1160471.52</v>
      </c>
      <c r="K422" s="45" t="n">
        <f aca="false">IF(AND(ISNUMBER($G422),$G422&gt;=MA_LONG2),AVERAGE(INDEX($C$22:$C422,402-MA_LONG2):$C422),"")</f>
        <v>1161266.11</v>
      </c>
      <c r="L422" s="46" t="n">
        <f aca="false">IF(AND(ISNUMBER($G422),$G422&gt;=21),STDEV(INDEX($H$362:$H422,62-20):$H422)*SQRT(245),"")</f>
        <v>0.186708973290181</v>
      </c>
      <c r="M422" s="45" t="n">
        <f aca="false">IF(AND(ISNUMBER($G422),$G422&gt;=60),MAX(INDEX($D$222:$D422,202-60):$D422),"")</f>
        <v>1235141</v>
      </c>
      <c r="N422" s="45" t="n">
        <f aca="false">IF(AND(ISNUMBER($G422),$G422&gt;=60),MIN(INDEX($E$222:$E422,202-60):$E422),"")</f>
        <v>1104002</v>
      </c>
      <c r="O422" s="46" t="n">
        <f aca="false">IF(OR(NOT(ISNUMBER($C422)),NOT(ISNUMBER($M422)),$M422=0),"",$C422/$M422-1)</f>
        <v>-0.0348777993767513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1203497</v>
      </c>
      <c r="D423" s="42" t="n">
        <v>1211885</v>
      </c>
      <c r="E423" s="42" t="n">
        <v>1199650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0.00959262186027243</v>
      </c>
      <c r="I423" s="45" t="n">
        <f aca="false">IF(AND(ISNUMBER($G423),$G423&gt;=MA_SHORT),AVERAGE(INDEX($C$23:$C423,402-MA_SHORT):$C423),"")</f>
        <v>1165942.6</v>
      </c>
      <c r="J423" s="45" t="n">
        <f aca="false">IF(AND(ISNUMBER($G423),$G423&gt;=MA_MED),AVERAGE(INDEX($C$23:$C423,402-MA_MED):$C423),"")</f>
        <v>1162007.9</v>
      </c>
      <c r="K423" s="45" t="n">
        <f aca="false">IF(AND(ISNUMBER($G423),$G423&gt;=MA_LONG2),AVERAGE(INDEX($C$23:$C423,402-MA_LONG2):$C423),"")</f>
        <v>1161685.75</v>
      </c>
      <c r="L423" s="46" t="n">
        <f aca="false">IF(AND(ISNUMBER($G423),$G423&gt;=21),STDEV(INDEX($H$363:$H423,62-20):$H423)*SQRT(245),"")</f>
        <v>0.18682896498296</v>
      </c>
      <c r="M423" s="45" t="n">
        <f aca="false">IF(AND(ISNUMBER($G423),$G423&gt;=60),MAX(INDEX($D$223:$D423,202-60):$D423),"")</f>
        <v>1211885</v>
      </c>
      <c r="N423" s="45" t="n">
        <f aca="false">IF(AND(ISNUMBER($G423),$G423&gt;=60),MIN(INDEX($E$223:$E423,202-60):$E423),"")</f>
        <v>1104002</v>
      </c>
      <c r="O423" s="46" t="n">
        <f aca="false">IF(OR(NOT(ISNUMBER($C423)),NOT(ISNUMBER($M423)),$M423=0),"",$C423/$M423-1)</f>
        <v>-0.00692144881733825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1211334</v>
      </c>
      <c r="D424" s="42" t="n">
        <v>1214600</v>
      </c>
      <c r="E424" s="42" t="n">
        <v>1206490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0.00651185669760701</v>
      </c>
      <c r="I424" s="45" t="n">
        <f aca="false">IF(AND(ISNUMBER($G424),$G424&gt;=MA_SHORT),AVERAGE(INDEX($C$24:$C424,402-MA_SHORT):$C424),"")</f>
        <v>1167802</v>
      </c>
      <c r="J424" s="45" t="n">
        <f aca="false">IF(AND(ISNUMBER($G424),$G424&gt;=MA_MED),AVERAGE(INDEX($C$24:$C424,402-MA_MED):$C424),"")</f>
        <v>1163493.18</v>
      </c>
      <c r="K424" s="45" t="n">
        <f aca="false">IF(AND(ISNUMBER($G424),$G424&gt;=MA_LONG2),AVERAGE(INDEX($C$24:$C424,402-MA_LONG2):$C424),"")</f>
        <v>1162159.255</v>
      </c>
      <c r="L424" s="46" t="n">
        <f aca="false">IF(AND(ISNUMBER($G424),$G424&gt;=21),STDEV(INDEX($H$364:$H424,62-20):$H424)*SQRT(245),"")</f>
        <v>0.187376010760614</v>
      </c>
      <c r="M424" s="45" t="n">
        <f aca="false">IF(AND(ISNUMBER($G424),$G424&gt;=60),MAX(INDEX($D$224:$D424,202-60):$D424),"")</f>
        <v>1214600</v>
      </c>
      <c r="N424" s="45" t="n">
        <f aca="false">IF(AND(ISNUMBER($G424),$G424&gt;=60),MIN(INDEX($E$224:$E424,202-60):$E424),"")</f>
        <v>1104002</v>
      </c>
      <c r="O424" s="46" t="n">
        <f aca="false">IF(OR(NOT(ISNUMBER($C424)),NOT(ISNUMBER($M424)),$M424=0),"",$C424/$M424-1)</f>
        <v>-0.00268895109501066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1216881</v>
      </c>
      <c r="D425" s="42" t="n">
        <v>1218516</v>
      </c>
      <c r="E425" s="42" t="n">
        <v>1216828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0.00457924899325857</v>
      </c>
      <c r="I425" s="45" t="n">
        <f aca="false">IF(AND(ISNUMBER($G425),$G425&gt;=MA_SHORT),AVERAGE(INDEX($C$25:$C425,402-MA_SHORT):$C425),"")</f>
        <v>1169976.05</v>
      </c>
      <c r="J425" s="45" t="n">
        <f aca="false">IF(AND(ISNUMBER($G425),$G425&gt;=MA_MED),AVERAGE(INDEX($C$25:$C425,402-MA_MED):$C425),"")</f>
        <v>1164793.98</v>
      </c>
      <c r="K425" s="45" t="n">
        <f aca="false">IF(AND(ISNUMBER($G425),$G425&gt;=MA_LONG2),AVERAGE(INDEX($C$25:$C425,402-MA_LONG2):$C425),"")</f>
        <v>1162610.755</v>
      </c>
      <c r="L425" s="46" t="n">
        <f aca="false">IF(AND(ISNUMBER($G425),$G425&gt;=21),STDEV(INDEX($H$365:$H425,62-20):$H425)*SQRT(245),"")</f>
        <v>0.187452903652777</v>
      </c>
      <c r="M425" s="45" t="n">
        <f aca="false">IF(AND(ISNUMBER($G425),$G425&gt;=60),MAX(INDEX($D$225:$D425,202-60):$D425),"")</f>
        <v>1218516</v>
      </c>
      <c r="N425" s="45" t="n">
        <f aca="false">IF(AND(ISNUMBER($G425),$G425&gt;=60),MIN(INDEX($E$225:$E425,202-60):$E425),"")</f>
        <v>1104002</v>
      </c>
      <c r="O425" s="46" t="n">
        <f aca="false">IF(OR(NOT(ISNUMBER($C425)),NOT(ISNUMBER($M425)),$M425=0),"",$C425/$M425-1)</f>
        <v>-0.00134179608638707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1226635</v>
      </c>
      <c r="D426" s="42" t="n">
        <v>1229908</v>
      </c>
      <c r="E426" s="42" t="n">
        <v>1226332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0.00801557424267441</v>
      </c>
      <c r="I426" s="45" t="n">
        <f aca="false">IF(AND(ISNUMBER($G426),$G426&gt;=MA_SHORT),AVERAGE(INDEX($C$26:$C426,402-MA_SHORT):$C426),"")</f>
        <v>1172775.1</v>
      </c>
      <c r="J426" s="45" t="n">
        <f aca="false">IF(AND(ISNUMBER($G426),$G426&gt;=MA_MED),AVERAGE(INDEX($C$26:$C426,402-MA_MED):$C426),"")</f>
        <v>1166118.74</v>
      </c>
      <c r="K426" s="45" t="n">
        <f aca="false">IF(AND(ISNUMBER($G426),$G426&gt;=MA_LONG2),AVERAGE(INDEX($C$26:$C426,402-MA_LONG2):$C426),"")</f>
        <v>1163165.785</v>
      </c>
      <c r="L426" s="46" t="n">
        <f aca="false">IF(AND(ISNUMBER($G426),$G426&gt;=21),STDEV(INDEX($H$366:$H426,62-20):$H426)*SQRT(245),"")</f>
        <v>0.187944356980741</v>
      </c>
      <c r="M426" s="45" t="n">
        <f aca="false">IF(AND(ISNUMBER($G426),$G426&gt;=60),MAX(INDEX($D$226:$D426,202-60):$D426),"")</f>
        <v>1229908</v>
      </c>
      <c r="N426" s="45" t="n">
        <f aca="false">IF(AND(ISNUMBER($G426),$G426&gt;=60),MIN(INDEX($E$226:$E426,202-60):$E426),"")</f>
        <v>1104002</v>
      </c>
      <c r="O426" s="46" t="n">
        <f aca="false">IF(OR(NOT(ISNUMBER($C426)),NOT(ISNUMBER($M426)),$M426=0),"",$C426/$M426-1)</f>
        <v>-0.00266117465696625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1221524</v>
      </c>
      <c r="D427" s="42" t="n">
        <v>1228011</v>
      </c>
      <c r="E427" s="42" t="n">
        <v>1221041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-0.00416668365080075</v>
      </c>
      <c r="I427" s="45" t="n">
        <f aca="false">IF(AND(ISNUMBER($G427),$G427&gt;=MA_SHORT),AVERAGE(INDEX($C$27:$C427,402-MA_SHORT):$C427),"")</f>
        <v>1175541.75</v>
      </c>
      <c r="J427" s="45" t="n">
        <f aca="false">IF(AND(ISNUMBER($G427),$G427&gt;=MA_MED),AVERAGE(INDEX($C$27:$C427,402-MA_MED):$C427),"")</f>
        <v>1166845</v>
      </c>
      <c r="K427" s="45" t="n">
        <f aca="false">IF(AND(ISNUMBER($G427),$G427&gt;=MA_LONG2),AVERAGE(INDEX($C$27:$C427,402-MA_LONG2):$C427),"")</f>
        <v>1163696.925</v>
      </c>
      <c r="L427" s="46" t="n">
        <f aca="false">IF(AND(ISNUMBER($G427),$G427&gt;=21),STDEV(INDEX($H$367:$H427,62-20):$H427)*SQRT(245),"")</f>
        <v>0.188099530360535</v>
      </c>
      <c r="M427" s="45" t="n">
        <f aca="false">IF(AND(ISNUMBER($G427),$G427&gt;=60),MAX(INDEX($D$227:$D427,202-60):$D427),"")</f>
        <v>1229908</v>
      </c>
      <c r="N427" s="45" t="n">
        <f aca="false">IF(AND(ISNUMBER($G427),$G427&gt;=60),MIN(INDEX($E$227:$E427,202-60):$E427),"")</f>
        <v>1104002</v>
      </c>
      <c r="O427" s="46" t="n">
        <f aca="false">IF(OR(NOT(ISNUMBER($C427)),NOT(ISNUMBER($M427)),$M427=0),"",$C427/$M427-1)</f>
        <v>-0.00681677003483183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1236335</v>
      </c>
      <c r="D428" s="42" t="n">
        <v>1242412</v>
      </c>
      <c r="E428" s="42" t="n">
        <v>1235266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0.012125017600964</v>
      </c>
      <c r="I428" s="45" t="n">
        <f aca="false">IF(AND(ISNUMBER($G428),$G428&gt;=MA_SHORT),AVERAGE(INDEX($C$28:$C428,402-MA_SHORT):$C428),"")</f>
        <v>1179448.1</v>
      </c>
      <c r="J428" s="45" t="n">
        <f aca="false">IF(AND(ISNUMBER($G428),$G428&gt;=MA_MED),AVERAGE(INDEX($C$28:$C428,402-MA_MED):$C428),"")</f>
        <v>1168047.08</v>
      </c>
      <c r="K428" s="45" t="n">
        <f aca="false">IF(AND(ISNUMBER($G428),$G428&gt;=MA_LONG2),AVERAGE(INDEX($C$28:$C428,402-MA_LONG2):$C428),"")</f>
        <v>1164305.3</v>
      </c>
      <c r="L428" s="46" t="n">
        <f aca="false">IF(AND(ISNUMBER($G428),$G428&gt;=21),STDEV(INDEX($H$368:$H428,62-20):$H428)*SQRT(245),"")</f>
        <v>0.187809949641638</v>
      </c>
      <c r="M428" s="45" t="n">
        <f aca="false">IF(AND(ISNUMBER($G428),$G428&gt;=60),MAX(INDEX($D$228:$D428,202-60):$D428),"")</f>
        <v>1242412</v>
      </c>
      <c r="N428" s="45" t="n">
        <f aca="false">IF(AND(ISNUMBER($G428),$G428&gt;=60),MIN(INDEX($E$228:$E428,202-60):$E428),"")</f>
        <v>1107061</v>
      </c>
      <c r="O428" s="46" t="n">
        <f aca="false">IF(OR(NOT(ISNUMBER($C428)),NOT(ISNUMBER($M428)),$M428=0),"",$C428/$M428-1)</f>
        <v>-0.00489129209956118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1222855</v>
      </c>
      <c r="D429" s="42" t="n">
        <v>1227137</v>
      </c>
      <c r="E429" s="42" t="n">
        <v>1218330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-0.0109031937136779</v>
      </c>
      <c r="I429" s="45" t="n">
        <f aca="false">IF(AND(ISNUMBER($G429),$G429&gt;=MA_SHORT),AVERAGE(INDEX($C$29:$C429,402-MA_SHORT):$C429),"")</f>
        <v>1182986.65</v>
      </c>
      <c r="J429" s="45" t="n">
        <f aca="false">IF(AND(ISNUMBER($G429),$G429&gt;=MA_MED),AVERAGE(INDEX($C$29:$C429,402-MA_MED):$C429),"")</f>
        <v>1169339.28</v>
      </c>
      <c r="K429" s="45" t="n">
        <f aca="false">IF(AND(ISNUMBER($G429),$G429&gt;=MA_LONG2),AVERAGE(INDEX($C$29:$C429,402-MA_LONG2):$C429),"")</f>
        <v>1164816.705</v>
      </c>
      <c r="L429" s="46" t="n">
        <f aca="false">IF(AND(ISNUMBER($G429),$G429&gt;=21),STDEV(INDEX($H$369:$H429,62-20):$H429)*SQRT(245),"")</f>
        <v>0.19211425897145</v>
      </c>
      <c r="M429" s="45" t="n">
        <f aca="false">IF(AND(ISNUMBER($G429),$G429&gt;=60),MAX(INDEX($D$229:$D429,202-60):$D429),"")</f>
        <v>1242412</v>
      </c>
      <c r="N429" s="45" t="n">
        <f aca="false">IF(AND(ISNUMBER($G429),$G429&gt;=60),MIN(INDEX($E$229:$E429,202-60):$E429),"")</f>
        <v>1107403</v>
      </c>
      <c r="O429" s="46" t="n">
        <f aca="false">IF(OR(NOT(ISNUMBER($C429)),NOT(ISNUMBER($M429)),$M429=0),"",$C429/$M429-1)</f>
        <v>-0.0157411551079674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1224155</v>
      </c>
      <c r="D430" s="42" t="n">
        <v>1224730</v>
      </c>
      <c r="E430" s="42" t="n">
        <v>1215954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0.0010630859750338</v>
      </c>
      <c r="I430" s="45" t="n">
        <f aca="false">IF(AND(ISNUMBER($G430),$G430&gt;=MA_SHORT),AVERAGE(INDEX($C$30:$C430,402-MA_SHORT):$C430),"")</f>
        <v>1187109.8</v>
      </c>
      <c r="J430" s="45" t="n">
        <f aca="false">IF(AND(ISNUMBER($G430),$G430&gt;=MA_MED),AVERAGE(INDEX($C$30:$C430,402-MA_MED):$C430),"")</f>
        <v>1170480.92</v>
      </c>
      <c r="K430" s="45" t="n">
        <f aca="false">IF(AND(ISNUMBER($G430),$G430&gt;=MA_LONG2),AVERAGE(INDEX($C$30:$C430,402-MA_LONG2):$C430),"")</f>
        <v>1165347.85</v>
      </c>
      <c r="L430" s="46" t="n">
        <f aca="false">IF(AND(ISNUMBER($G430),$G430&gt;=21),STDEV(INDEX($H$370:$H430,62-20):$H430)*SQRT(245),"")</f>
        <v>0.187117905640667</v>
      </c>
      <c r="M430" s="45" t="n">
        <f aca="false">IF(AND(ISNUMBER($G430),$G430&gt;=60),MAX(INDEX($D$230:$D430,202-60):$D430),"")</f>
        <v>1242412</v>
      </c>
      <c r="N430" s="45" t="n">
        <f aca="false">IF(AND(ISNUMBER($G430),$G430&gt;=60),MIN(INDEX($E$230:$E430,202-60):$E430),"")</f>
        <v>1123547</v>
      </c>
      <c r="O430" s="46" t="n">
        <f aca="false">IF(OR(NOT(ISNUMBER($C430)),NOT(ISNUMBER($M430)),$M430=0),"",$C430/$M430-1)</f>
        <v>-0.0146948033341597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1210435</v>
      </c>
      <c r="D431" s="42" t="n">
        <v>1210828</v>
      </c>
      <c r="E431" s="42" t="n">
        <v>1203827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-0.0112077310471305</v>
      </c>
      <c r="I431" s="45" t="n">
        <f aca="false">IF(AND(ISNUMBER($G431),$G431&gt;=MA_SHORT),AVERAGE(INDEX($C$31:$C431,402-MA_SHORT):$C431),"")</f>
        <v>1189954.3</v>
      </c>
      <c r="J431" s="45" t="n">
        <f aca="false">IF(AND(ISNUMBER($G431),$G431&gt;=MA_MED),AVERAGE(INDEX($C$31:$C431,402-MA_MED):$C431),"")</f>
        <v>1171355.78</v>
      </c>
      <c r="K431" s="45" t="n">
        <f aca="false">IF(AND(ISNUMBER($G431),$G431&gt;=MA_LONG2),AVERAGE(INDEX($C$31:$C431,402-MA_LONG2):$C431),"")</f>
        <v>1165835.905</v>
      </c>
      <c r="L431" s="46" t="n">
        <f aca="false">IF(AND(ISNUMBER($G431),$G431&gt;=21),STDEV(INDEX($H$371:$H431,62-20):$H431)*SQRT(245),"")</f>
        <v>0.192157802129499</v>
      </c>
      <c r="M431" s="45" t="n">
        <f aca="false">IF(AND(ISNUMBER($G431),$G431&gt;=60),MAX(INDEX($D$231:$D431,202-60):$D431),"")</f>
        <v>1242412</v>
      </c>
      <c r="N431" s="45" t="n">
        <f aca="false">IF(AND(ISNUMBER($G431),$G431&gt;=60),MIN(INDEX($E$231:$E431,202-60):$E431),"")</f>
        <v>1123547</v>
      </c>
      <c r="O431" s="46" t="n">
        <f aca="false">IF(OR(NOT(ISNUMBER($C431)),NOT(ISNUMBER($M431)),$M431=0),"",$C431/$M431-1)</f>
        <v>-0.0257378389777304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1205806</v>
      </c>
      <c r="D432" s="42" t="n">
        <v>1208328</v>
      </c>
      <c r="E432" s="42" t="n">
        <v>1204813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-0.00382424500282952</v>
      </c>
      <c r="I432" s="45" t="n">
        <f aca="false">IF(AND(ISNUMBER($G432),$G432&gt;=MA_SHORT),AVERAGE(INDEX($C$32:$C432,402-MA_SHORT):$C432),"")</f>
        <v>1193182.15</v>
      </c>
      <c r="J432" s="45" t="n">
        <f aca="false">IF(AND(ISNUMBER($G432),$G432&gt;=MA_MED),AVERAGE(INDEX($C$32:$C432,402-MA_MED):$C432),"")</f>
        <v>1172115.72</v>
      </c>
      <c r="K432" s="45" t="n">
        <f aca="false">IF(AND(ISNUMBER($G432),$G432&gt;=MA_LONG2),AVERAGE(INDEX($C$32:$C432,402-MA_LONG2):$C432),"")</f>
        <v>1166270.885</v>
      </c>
      <c r="L432" s="46" t="n">
        <f aca="false">IF(AND(ISNUMBER($G432),$G432&gt;=21),STDEV(INDEX($H$372:$H432,62-20):$H432)*SQRT(245),"")</f>
        <v>0.187565265723604</v>
      </c>
      <c r="M432" s="45" t="n">
        <f aca="false">IF(AND(ISNUMBER($G432),$G432&gt;=60),MAX(INDEX($D$232:$D432,202-60):$D432),"")</f>
        <v>1242412</v>
      </c>
      <c r="N432" s="45" t="n">
        <f aca="false">IF(AND(ISNUMBER($G432),$G432&gt;=60),MIN(INDEX($E$232:$E432,202-60):$E432),"")</f>
        <v>1123547</v>
      </c>
      <c r="O432" s="46" t="n">
        <f aca="false">IF(OR(NOT(ISNUMBER($C432)),NOT(ISNUMBER($M432)),$M432=0),"",$C432/$M432-1)</f>
        <v>-0.0294636561784658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1195587</v>
      </c>
      <c r="D433" s="42" t="n">
        <v>1200438</v>
      </c>
      <c r="E433" s="42" t="n">
        <v>1189834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-0.00847482928431276</v>
      </c>
      <c r="I433" s="45" t="n">
        <f aca="false">IF(AND(ISNUMBER($G433),$G433&gt;=MA_SHORT),AVERAGE(INDEX($C$33:$C433,402-MA_SHORT):$C433),"")</f>
        <v>1196438.5</v>
      </c>
      <c r="J433" s="45" t="n">
        <f aca="false">IF(AND(ISNUMBER($G433),$G433&gt;=MA_MED),AVERAGE(INDEX($C$33:$C433,402-MA_MED):$C433),"")</f>
        <v>1172840.96</v>
      </c>
      <c r="K433" s="45" t="n">
        <f aca="false">IF(AND(ISNUMBER($G433),$G433&gt;=MA_LONG2),AVERAGE(INDEX($C$33:$C433,402-MA_LONG2):$C433),"")</f>
        <v>1166650.92</v>
      </c>
      <c r="L433" s="46" t="n">
        <f aca="false">IF(AND(ISNUMBER($G433),$G433&gt;=21),STDEV(INDEX($H$373:$H433,62-20):$H433)*SQRT(245),"")</f>
        <v>0.186768769486338</v>
      </c>
      <c r="M433" s="45" t="n">
        <f aca="false">IF(AND(ISNUMBER($G433),$G433&gt;=60),MAX(INDEX($D$233:$D433,202-60):$D433),"")</f>
        <v>1242412</v>
      </c>
      <c r="N433" s="45" t="n">
        <f aca="false">IF(AND(ISNUMBER($G433),$G433&gt;=60),MIN(INDEX($E$233:$E433,202-60):$E433),"")</f>
        <v>1123547</v>
      </c>
      <c r="O433" s="46" t="n">
        <f aca="false">IF(OR(NOT(ISNUMBER($C433)),NOT(ISNUMBER($M433)),$M433=0),"",$C433/$M433-1)</f>
        <v>-0.0376887860065743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1212185</v>
      </c>
      <c r="D434" s="42" t="n">
        <v>1214526</v>
      </c>
      <c r="E434" s="42" t="n">
        <v>1208732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0.0138827203708305</v>
      </c>
      <c r="I434" s="45" t="n">
        <f aca="false">IF(AND(ISNUMBER($G434),$G434&gt;=MA_SHORT),AVERAGE(INDEX($C$34:$C434,402-MA_SHORT):$C434),"")</f>
        <v>1200634.75</v>
      </c>
      <c r="J434" s="45" t="n">
        <f aca="false">IF(AND(ISNUMBER($G434),$G434&gt;=MA_MED),AVERAGE(INDEX($C$34:$C434,402-MA_MED):$C434),"")</f>
        <v>1173909.92</v>
      </c>
      <c r="K434" s="45" t="n">
        <f aca="false">IF(AND(ISNUMBER($G434),$G434&gt;=MA_LONG2),AVERAGE(INDEX($C$34:$C434,402-MA_LONG2):$C434),"")</f>
        <v>1167180.175</v>
      </c>
      <c r="L434" s="46" t="n">
        <f aca="false">IF(AND(ISNUMBER($G434),$G434&gt;=21),STDEV(INDEX($H$374:$H434,62-20):$H434)*SQRT(245),"")</f>
        <v>0.189698006667149</v>
      </c>
      <c r="M434" s="45" t="n">
        <f aca="false">IF(AND(ISNUMBER($G434),$G434&gt;=60),MAX(INDEX($D$234:$D434,202-60):$D434),"")</f>
        <v>1242412</v>
      </c>
      <c r="N434" s="45" t="n">
        <f aca="false">IF(AND(ISNUMBER($G434),$G434&gt;=60),MIN(INDEX($E$234:$E434,202-60):$E434),"")</f>
        <v>1123547</v>
      </c>
      <c r="O434" s="46" t="n">
        <f aca="false">IF(OR(NOT(ISNUMBER($C434)),NOT(ISNUMBER($M434)),$M434=0),"",$C434/$M434-1)</f>
        <v>-0.0243292885129892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1237653</v>
      </c>
      <c r="D435" s="42" t="n">
        <v>1238769</v>
      </c>
      <c r="E435" s="42" t="n">
        <v>1231431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0.0210099943490474</v>
      </c>
      <c r="I435" s="45" t="n">
        <f aca="false">IF(AND(ISNUMBER($G435),$G435&gt;=MA_SHORT),AVERAGE(INDEX($C$35:$C435,402-MA_SHORT):$C435),"")</f>
        <v>1206287.8</v>
      </c>
      <c r="J435" s="45" t="n">
        <f aca="false">IF(AND(ISNUMBER($G435),$G435&gt;=MA_MED),AVERAGE(INDEX($C$35:$C435,402-MA_MED):$C435),"")</f>
        <v>1175511.54</v>
      </c>
      <c r="K435" s="45" t="n">
        <f aca="false">IF(AND(ISNUMBER($G435),$G435&gt;=MA_LONG2),AVERAGE(INDEX($C$35:$C435,402-MA_LONG2):$C435),"")</f>
        <v>1167800.49</v>
      </c>
      <c r="L435" s="46" t="n">
        <f aca="false">IF(AND(ISNUMBER($G435),$G435&gt;=21),STDEV(INDEX($H$375:$H435,62-20):$H435)*SQRT(245),"")</f>
        <v>0.197154574587792</v>
      </c>
      <c r="M435" s="45" t="n">
        <f aca="false">IF(AND(ISNUMBER($G435),$G435&gt;=60),MAX(INDEX($D$235:$D435,202-60):$D435),"")</f>
        <v>1242412</v>
      </c>
      <c r="N435" s="45" t="n">
        <f aca="false">IF(AND(ISNUMBER($G435),$G435&gt;=60),MIN(INDEX($E$235:$E435,202-60):$E435),"")</f>
        <v>1123547</v>
      </c>
      <c r="O435" s="46" t="n">
        <f aca="false">IF(OR(NOT(ISNUMBER($C435)),NOT(ISNUMBER($M435)),$M435=0),"",$C435/$M435-1)</f>
        <v>-0.00383045237811608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1226635</v>
      </c>
      <c r="D436" s="42" t="n">
        <v>1229016</v>
      </c>
      <c r="E436" s="42" t="n">
        <v>1224519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-0.00890233369126892</v>
      </c>
      <c r="I436" s="45" t="n">
        <f aca="false">IF(AND(ISNUMBER($G436),$G436&gt;=MA_SHORT),AVERAGE(INDEX($C$36:$C436,402-MA_SHORT):$C436),"")</f>
        <v>1209068.95</v>
      </c>
      <c r="J436" s="45" t="n">
        <f aca="false">IF(AND(ISNUMBER($G436),$G436&gt;=MA_MED),AVERAGE(INDEX($C$36:$C436,402-MA_MED):$C436),"")</f>
        <v>1176741.7</v>
      </c>
      <c r="K436" s="45" t="n">
        <f aca="false">IF(AND(ISNUMBER($G436),$G436&gt;=MA_LONG2),AVERAGE(INDEX($C$36:$C436,402-MA_LONG2):$C436),"")</f>
        <v>1168237.615</v>
      </c>
      <c r="L436" s="46" t="n">
        <f aca="false">IF(AND(ISNUMBER($G436),$G436&gt;=21),STDEV(INDEX($H$376:$H436,62-20):$H436)*SQRT(245),"")</f>
        <v>0.150359241692756</v>
      </c>
      <c r="M436" s="45" t="n">
        <f aca="false">IF(AND(ISNUMBER($G436),$G436&gt;=60),MAX(INDEX($D$236:$D436,202-60):$D436),"")</f>
        <v>1242412</v>
      </c>
      <c r="N436" s="45" t="n">
        <f aca="false">IF(AND(ISNUMBER($G436),$G436&gt;=60),MIN(INDEX($E$236:$E436,202-60):$E436),"")</f>
        <v>1123547</v>
      </c>
      <c r="O436" s="46" t="n">
        <f aca="false">IF(OR(NOT(ISNUMBER($C436)),NOT(ISNUMBER($M436)),$M436=0),"",$C436/$M436-1)</f>
        <v>-0.0126986861041265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1230757</v>
      </c>
      <c r="D437" s="42" t="n">
        <v>1238461</v>
      </c>
      <c r="E437" s="42" t="n">
        <v>1228647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0.00336041283674438</v>
      </c>
      <c r="I437" s="45" t="n">
        <f aca="false">IF(AND(ISNUMBER($G437),$G437&gt;=MA_SHORT),AVERAGE(INDEX($C$37:$C437,402-MA_SHORT):$C437),"")</f>
        <v>1211356.9</v>
      </c>
      <c r="J437" s="45" t="n">
        <f aca="false">IF(AND(ISNUMBER($G437),$G437&gt;=MA_MED),AVERAGE(INDEX($C$37:$C437,402-MA_MED):$C437),"")</f>
        <v>1177944.34</v>
      </c>
      <c r="K437" s="45" t="n">
        <f aca="false">IF(AND(ISNUMBER($G437),$G437&gt;=MA_LONG2),AVERAGE(INDEX($C$37:$C437,402-MA_LONG2):$C437),"")</f>
        <v>1168738.925</v>
      </c>
      <c r="L437" s="46" t="n">
        <f aca="false">IF(AND(ISNUMBER($G437),$G437&gt;=21),STDEV(INDEX($H$377:$H437,62-20):$H437)*SQRT(245),"")</f>
        <v>0.146254880138115</v>
      </c>
      <c r="M437" s="45" t="n">
        <f aca="false">IF(AND(ISNUMBER($G437),$G437&gt;=60),MAX(INDEX($D$237:$D437,202-60):$D437),"")</f>
        <v>1242412</v>
      </c>
      <c r="N437" s="45" t="n">
        <f aca="false">IF(AND(ISNUMBER($G437),$G437&gt;=60),MIN(INDEX($E$237:$E437,202-60):$E437),"")</f>
        <v>1123547</v>
      </c>
      <c r="O437" s="46" t="n">
        <f aca="false">IF(OR(NOT(ISNUMBER($C437)),NOT(ISNUMBER($M437)),$M437=0),"",$C437/$M437-1)</f>
        <v>-0.00938094609517615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1237734</v>
      </c>
      <c r="D438" s="42" t="n">
        <v>1241343</v>
      </c>
      <c r="E438" s="42" t="n">
        <v>1233464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0.005668868834384</v>
      </c>
      <c r="I438" s="45" t="n">
        <f aca="false">IF(AND(ISNUMBER($G438),$G438&gt;=MA_SHORT),AVERAGE(INDEX($C$38:$C438,402-MA_SHORT):$C438),"")</f>
        <v>1214240.25</v>
      </c>
      <c r="J438" s="45" t="n">
        <f aca="false">IF(AND(ISNUMBER($G438),$G438&gt;=MA_MED),AVERAGE(INDEX($C$38:$C438,402-MA_MED):$C438),"")</f>
        <v>1179457</v>
      </c>
      <c r="K438" s="45" t="n">
        <f aca="false">IF(AND(ISNUMBER($G438),$G438&gt;=MA_LONG2),AVERAGE(INDEX($C$38:$C438,402-MA_LONG2):$C438),"")</f>
        <v>1169302.575</v>
      </c>
      <c r="L438" s="46" t="n">
        <f aca="false">IF(AND(ISNUMBER($G438),$G438&gt;=21),STDEV(INDEX($H$378:$H438,62-20):$H438)*SQRT(245),"")</f>
        <v>0.145010713879104</v>
      </c>
      <c r="M438" s="45" t="n">
        <f aca="false">IF(AND(ISNUMBER($G438),$G438&gt;=60),MAX(INDEX($D$238:$D438,202-60):$D438),"")</f>
        <v>1242412</v>
      </c>
      <c r="N438" s="45" t="n">
        <f aca="false">IF(AND(ISNUMBER($G438),$G438&gt;=60),MIN(INDEX($E$238:$E438,202-60):$E438),"")</f>
        <v>1123547</v>
      </c>
      <c r="O438" s="46" t="n">
        <f aca="false">IF(OR(NOT(ISNUMBER($C438)),NOT(ISNUMBER($M438)),$M438=0),"",$C438/$M438-1)</f>
        <v>-0.00376525661374805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1234292</v>
      </c>
      <c r="D439" s="42" t="n">
        <v>1239141</v>
      </c>
      <c r="E439" s="42" t="n">
        <v>1230185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-0.00278088830071732</v>
      </c>
      <c r="I439" s="45" t="n">
        <f aca="false">IF(AND(ISNUMBER($G439),$G439&gt;=MA_SHORT),AVERAGE(INDEX($C$39:$C439,402-MA_SHORT):$C439),"")</f>
        <v>1216106.7</v>
      </c>
      <c r="J439" s="45" t="n">
        <f aca="false">IF(AND(ISNUMBER($G439),$G439&gt;=MA_MED),AVERAGE(INDEX($C$39:$C439,402-MA_MED):$C439),"")</f>
        <v>1180912.26</v>
      </c>
      <c r="K439" s="45" t="n">
        <f aca="false">IF(AND(ISNUMBER($G439),$G439&gt;=MA_LONG2),AVERAGE(INDEX($C$39:$C439,402-MA_LONG2):$C439),"")</f>
        <v>1169887.33</v>
      </c>
      <c r="L439" s="46" t="n">
        <f aca="false">IF(AND(ISNUMBER($G439),$G439&gt;=21),STDEV(INDEX($H$379:$H439,62-20):$H439)*SQRT(245),"")</f>
        <v>0.13916547627491</v>
      </c>
      <c r="M439" s="45" t="n">
        <f aca="false">IF(AND(ISNUMBER($G439),$G439&gt;=60),MAX(INDEX($D$239:$D439,202-60):$D439),"")</f>
        <v>1242412</v>
      </c>
      <c r="N439" s="45" t="n">
        <f aca="false">IF(AND(ISNUMBER($G439),$G439&gt;=60),MIN(INDEX($E$239:$E439,202-60):$E439),"")</f>
        <v>1123547</v>
      </c>
      <c r="O439" s="46" t="n">
        <f aca="false">IF(OR(NOT(ISNUMBER($C439)),NOT(ISNUMBER($M439)),$M439=0),"",$C439/$M439-1)</f>
        <v>-0.006535674156399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1257911</v>
      </c>
      <c r="D440" s="42" t="n">
        <v>1261226</v>
      </c>
      <c r="E440" s="42" t="n">
        <v>1257557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0.0191356664387357</v>
      </c>
      <c r="I440" s="45" t="n">
        <f aca="false">IF(AND(ISNUMBER($G440),$G440&gt;=MA_SHORT),AVERAGE(INDEX($C$40:$C440,402-MA_SHORT):$C440),"")</f>
        <v>1219614.6</v>
      </c>
      <c r="J440" s="45" t="n">
        <f aca="false">IF(AND(ISNUMBER($G440),$G440&gt;=MA_MED),AVERAGE(INDEX($C$40:$C440,402-MA_MED):$C440),"")</f>
        <v>1183052.64</v>
      </c>
      <c r="K440" s="45" t="n">
        <f aca="false">IF(AND(ISNUMBER($G440),$G440&gt;=MA_LONG2),AVERAGE(INDEX($C$40:$C440,402-MA_LONG2):$C440),"")</f>
        <v>1170605.46</v>
      </c>
      <c r="L440" s="46" t="n">
        <f aca="false">IF(AND(ISNUMBER($G440),$G440&gt;=21),STDEV(INDEX($H$380:$H440,62-20):$H440)*SQRT(245),"")</f>
        <v>0.147553429356202</v>
      </c>
      <c r="M440" s="45" t="n">
        <f aca="false">IF(AND(ISNUMBER($G440),$G440&gt;=60),MAX(INDEX($D$240:$D440,202-60):$D440),"")</f>
        <v>1261226</v>
      </c>
      <c r="N440" s="45" t="n">
        <f aca="false">IF(AND(ISNUMBER($G440),$G440&gt;=60),MIN(INDEX($E$240:$E440,202-60):$E440),"")</f>
        <v>1123547</v>
      </c>
      <c r="O440" s="46" t="n">
        <f aca="false">IF(OR(NOT(ISNUMBER($C440)),NOT(ISNUMBER($M440)),$M440=0),"",$C440/$M440-1)</f>
        <v>-0.00262839491098343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1280376</v>
      </c>
      <c r="D441" s="42" t="n">
        <v>1283116</v>
      </c>
      <c r="E441" s="42" t="n">
        <v>1277897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0.0178589741245605</v>
      </c>
      <c r="I441" s="45" t="n">
        <f aca="false">IF(AND(ISNUMBER($G441),$G441&gt;=MA_SHORT),AVERAGE(INDEX($C$41:$C441,402-MA_SHORT):$C441),"")</f>
        <v>1224232.45</v>
      </c>
      <c r="J441" s="45" t="n">
        <f aca="false">IF(AND(ISNUMBER($G441),$G441&gt;=MA_MED),AVERAGE(INDEX($C$41:$C441,402-MA_MED):$C441),"")</f>
        <v>1185334.3</v>
      </c>
      <c r="K441" s="45" t="n">
        <f aca="false">IF(AND(ISNUMBER($G441),$G441&gt;=MA_LONG2),AVERAGE(INDEX($C$41:$C441,402-MA_LONG2):$C441),"")</f>
        <v>1171468.445</v>
      </c>
      <c r="L441" s="46" t="n">
        <f aca="false">IF(AND(ISNUMBER($G441),$G441&gt;=21),STDEV(INDEX($H$381:$H441,62-20):$H441)*SQRT(245),"")</f>
        <v>0.156068988690054</v>
      </c>
      <c r="M441" s="45" t="n">
        <f aca="false">IF(AND(ISNUMBER($G441),$G441&gt;=60),MAX(INDEX($D$241:$D441,202-60):$D441),"")</f>
        <v>1283116</v>
      </c>
      <c r="N441" s="45" t="n">
        <f aca="false">IF(AND(ISNUMBER($G441),$G441&gt;=60),MIN(INDEX($E$241:$E441,202-60):$E441),"")</f>
        <v>1123547</v>
      </c>
      <c r="O441" s="46" t="n">
        <f aca="false">IF(OR(NOT(ISNUMBER($C441)),NOT(ISNUMBER($M441)),$M441=0),"",$C441/$M441-1)</f>
        <v>-0.00213542657094135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1290789</v>
      </c>
      <c r="D442" s="42" t="n">
        <v>1291709</v>
      </c>
      <c r="E442" s="42" t="n">
        <v>1288950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0.00813276724962053</v>
      </c>
      <c r="I442" s="45" t="n">
        <f aca="false">IF(AND(ISNUMBER($G442),$G442&gt;=MA_SHORT),AVERAGE(INDEX($C$42:$C442,402-MA_SHORT):$C442),"")</f>
        <v>1229168.8</v>
      </c>
      <c r="J442" s="45" t="n">
        <f aca="false">IF(AND(ISNUMBER($G442),$G442&gt;=MA_MED),AVERAGE(INDEX($C$42:$C442,402-MA_MED):$C442),"")</f>
        <v>1188003.3</v>
      </c>
      <c r="K442" s="45" t="n">
        <f aca="false">IF(AND(ISNUMBER($G442),$G442&gt;=MA_LONG2),AVERAGE(INDEX($C$42:$C442,402-MA_LONG2):$C442),"")</f>
        <v>1172350.195</v>
      </c>
      <c r="L442" s="46" t="n">
        <f aca="false">IF(AND(ISNUMBER($G442),$G442&gt;=21),STDEV(INDEX($H$382:$H442,62-20):$H442)*SQRT(245),"")</f>
        <v>0.156791163032027</v>
      </c>
      <c r="M442" s="45" t="n">
        <f aca="false">IF(AND(ISNUMBER($G442),$G442&gt;=60),MAX(INDEX($D$242:$D442,202-60):$D442),"")</f>
        <v>1291709</v>
      </c>
      <c r="N442" s="45" t="n">
        <f aca="false">IF(AND(ISNUMBER($G442),$G442&gt;=60),MIN(INDEX($E$242:$E442,202-60):$E442),"")</f>
        <v>1123547</v>
      </c>
      <c r="O442" s="46" t="n">
        <f aca="false">IF(OR(NOT(ISNUMBER($C442)),NOT(ISNUMBER($M442)),$M442=0),"",$C442/$M442-1)</f>
        <v>-0.000712234721597538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1289283</v>
      </c>
      <c r="D443" s="42" t="n">
        <v>1292005</v>
      </c>
      <c r="E443" s="42" t="n">
        <v>1286096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-0.00116672825690334</v>
      </c>
      <c r="I443" s="45" t="n">
        <f aca="false">IF(AND(ISNUMBER($G443),$G443&gt;=MA_SHORT),AVERAGE(INDEX($C$43:$C443,402-MA_SHORT):$C443),"")</f>
        <v>1233458.1</v>
      </c>
      <c r="J443" s="45" t="n">
        <f aca="false">IF(AND(ISNUMBER($G443),$G443&gt;=MA_MED),AVERAGE(INDEX($C$43:$C443,402-MA_MED):$C443),"")</f>
        <v>1190833.16</v>
      </c>
      <c r="K443" s="45" t="n">
        <f aca="false">IF(AND(ISNUMBER($G443),$G443&gt;=MA_LONG2),AVERAGE(INDEX($C$43:$C443,402-MA_LONG2):$C443),"")</f>
        <v>1173290.84</v>
      </c>
      <c r="L443" s="46" t="n">
        <f aca="false">IF(AND(ISNUMBER($G443),$G443&gt;=21),STDEV(INDEX($H$383:$H443,62-20):$H443)*SQRT(245),"")</f>
        <v>0.156394165490905</v>
      </c>
      <c r="M443" s="45" t="n">
        <f aca="false">IF(AND(ISNUMBER($G443),$G443&gt;=60),MAX(INDEX($D$243:$D443,202-60):$D443),"")</f>
        <v>1292005</v>
      </c>
      <c r="N443" s="45" t="n">
        <f aca="false">IF(AND(ISNUMBER($G443),$G443&gt;=60),MIN(INDEX($E$243:$E443,202-60):$E443),"")</f>
        <v>1123547</v>
      </c>
      <c r="O443" s="46" t="n">
        <f aca="false">IF(OR(NOT(ISNUMBER($C443)),NOT(ISNUMBER($M443)),$M443=0),"",$C443/$M443-1)</f>
        <v>-0.00210680299224852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1296069</v>
      </c>
      <c r="D444" s="42" t="n">
        <v>1296939</v>
      </c>
      <c r="E444" s="42" t="n">
        <v>1291465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0.00526339058220726</v>
      </c>
      <c r="I444" s="45" t="n">
        <f aca="false">IF(AND(ISNUMBER($G444),$G444&gt;=MA_SHORT),AVERAGE(INDEX($C$44:$C444,402-MA_SHORT):$C444),"")</f>
        <v>1237694.85</v>
      </c>
      <c r="J444" s="45" t="n">
        <f aca="false">IF(AND(ISNUMBER($G444),$G444&gt;=MA_MED),AVERAGE(INDEX($C$44:$C444,402-MA_MED):$C444),"")</f>
        <v>1193935.8</v>
      </c>
      <c r="K444" s="45" t="n">
        <f aca="false">IF(AND(ISNUMBER($G444),$G444&gt;=MA_LONG2),AVERAGE(INDEX($C$44:$C444,402-MA_LONG2):$C444),"")</f>
        <v>1174332.75</v>
      </c>
      <c r="L444" s="46" t="n">
        <f aca="false">IF(AND(ISNUMBER($G444),$G444&gt;=21),STDEV(INDEX($H$384:$H444,62-20):$H444)*SQRT(245),"")</f>
        <v>0.156144555931434</v>
      </c>
      <c r="M444" s="45" t="n">
        <f aca="false">IF(AND(ISNUMBER($G444),$G444&gt;=60),MAX(INDEX($D$244:$D444,202-60):$D444),"")</f>
        <v>1296939</v>
      </c>
      <c r="N444" s="45" t="n">
        <f aca="false">IF(AND(ISNUMBER($G444),$G444&gt;=60),MIN(INDEX($E$244:$E444,202-60):$E444),"")</f>
        <v>1123547</v>
      </c>
      <c r="O444" s="46" t="n">
        <f aca="false">IF(OR(NOT(ISNUMBER($C444)),NOT(ISNUMBER($M444)),$M444=0),"",$C444/$M444-1)</f>
        <v>-0.000670810269411293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1305284</v>
      </c>
      <c r="D445" s="42" t="n">
        <v>1308074</v>
      </c>
      <c r="E445" s="42" t="n">
        <v>1302762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0.00710996096658434</v>
      </c>
      <c r="I445" s="45" t="n">
        <f aca="false">IF(AND(ISNUMBER($G445),$G445&gt;=MA_SHORT),AVERAGE(INDEX($C$45:$C445,402-MA_SHORT):$C445),"")</f>
        <v>1242115</v>
      </c>
      <c r="J445" s="45" t="n">
        <f aca="false">IF(AND(ISNUMBER($G445),$G445&gt;=MA_MED),AVERAGE(INDEX($C$45:$C445,402-MA_MED):$C445),"")</f>
        <v>1197172.36</v>
      </c>
      <c r="K445" s="45" t="n">
        <f aca="false">IF(AND(ISNUMBER($G445),$G445&gt;=MA_LONG2),AVERAGE(INDEX($C$45:$C445,402-MA_LONG2):$C445),"")</f>
        <v>1175408.775</v>
      </c>
      <c r="L445" s="46" t="n">
        <f aca="false">IF(AND(ISNUMBER($G445),$G445&gt;=21),STDEV(INDEX($H$385:$H445,62-20):$H445)*SQRT(245),"")</f>
        <v>0.156634474583829</v>
      </c>
      <c r="M445" s="45" t="n">
        <f aca="false">IF(AND(ISNUMBER($G445),$G445&gt;=60),MAX(INDEX($D$245:$D445,202-60):$D445),"")</f>
        <v>1308074</v>
      </c>
      <c r="N445" s="45" t="n">
        <f aca="false">IF(AND(ISNUMBER($G445),$G445&gt;=60),MIN(INDEX($E$245:$E445,202-60):$E445),"")</f>
        <v>1123547</v>
      </c>
      <c r="O445" s="46" t="n">
        <f aca="false">IF(OR(NOT(ISNUMBER($C445)),NOT(ISNUMBER($M445)),$M445=0),"",$C445/$M445-1)</f>
        <v>-0.00213290685389356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1326148</v>
      </c>
      <c r="D446" s="42" t="n">
        <v>1332150</v>
      </c>
      <c r="E446" s="42" t="n">
        <v>1324327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0.0159842608964793</v>
      </c>
      <c r="I446" s="45" t="n">
        <f aca="false">IF(AND(ISNUMBER($G446),$G446&gt;=MA_SHORT),AVERAGE(INDEX($C$46:$C446,402-MA_SHORT):$C446),"")</f>
        <v>1247090.65</v>
      </c>
      <c r="J446" s="45" t="n">
        <f aca="false">IF(AND(ISNUMBER($G446),$G446&gt;=MA_MED),AVERAGE(INDEX($C$46:$C446,402-MA_MED):$C446),"")</f>
        <v>1200487.92</v>
      </c>
      <c r="K446" s="45" t="n">
        <f aca="false">IF(AND(ISNUMBER($G446),$G446&gt;=MA_LONG2),AVERAGE(INDEX($C$46:$C446,402-MA_LONG2):$C446),"")</f>
        <v>1176547.46</v>
      </c>
      <c r="L446" s="46" t="n">
        <f aca="false">IF(AND(ISNUMBER($G446),$G446&gt;=21),STDEV(INDEX($H$386:$H446,62-20):$H446)*SQRT(245),"")</f>
        <v>0.161950277770205</v>
      </c>
      <c r="M446" s="45" t="n">
        <f aca="false">IF(AND(ISNUMBER($G446),$G446&gt;=60),MAX(INDEX($D$246:$D446,202-60):$D446),"")</f>
        <v>1332150</v>
      </c>
      <c r="N446" s="45" t="n">
        <f aca="false">IF(AND(ISNUMBER($G446),$G446&gt;=60),MIN(INDEX($E$246:$E446,202-60):$E446),"")</f>
        <v>1123547</v>
      </c>
      <c r="O446" s="46" t="n">
        <f aca="false">IF(OR(NOT(ISNUMBER($C446)),NOT(ISNUMBER($M446)),$M446=0),"",$C446/$M446-1)</f>
        <v>-0.00450549863003413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1282157</v>
      </c>
      <c r="D447" s="42" t="n">
        <v>1287855</v>
      </c>
      <c r="E447" s="42" t="n">
        <v>1281718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-0.0331720139833563</v>
      </c>
      <c r="I447" s="45" t="n">
        <f aca="false">IF(AND(ISNUMBER($G447),$G447&gt;=MA_SHORT),AVERAGE(INDEX($C$47:$C447,402-MA_SHORT):$C447),"")</f>
        <v>1250122.3</v>
      </c>
      <c r="J447" s="45" t="n">
        <f aca="false">IF(AND(ISNUMBER($G447),$G447&gt;=MA_MED),AVERAGE(INDEX($C$47:$C447,402-MA_MED):$C447),"")</f>
        <v>1202819.16</v>
      </c>
      <c r="K447" s="45" t="n">
        <f aca="false">IF(AND(ISNUMBER($G447),$G447&gt;=MA_LONG2),AVERAGE(INDEX($C$47:$C447,402-MA_LONG2):$C447),"")</f>
        <v>1177493.29</v>
      </c>
      <c r="L447" s="46" t="n">
        <f aca="false">IF(AND(ISNUMBER($G447),$G447&gt;=21),STDEV(INDEX($H$387:$H447,62-20):$H447)*SQRT(245),"")</f>
        <v>0.206426191336172</v>
      </c>
      <c r="M447" s="45" t="n">
        <f aca="false">IF(AND(ISNUMBER($G447),$G447&gt;=60),MAX(INDEX($D$247:$D447,202-60):$D447),"")</f>
        <v>1332150</v>
      </c>
      <c r="N447" s="45" t="n">
        <f aca="false">IF(AND(ISNUMBER($G447),$G447&gt;=60),MIN(INDEX($E$247:$E447,202-60):$E447),"")</f>
        <v>1123547</v>
      </c>
      <c r="O447" s="46" t="n">
        <f aca="false">IF(OR(NOT(ISNUMBER($C447)),NOT(ISNUMBER($M447)),$M447=0),"",$C447/$M447-1)</f>
        <v>-0.037528056149833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1272901</v>
      </c>
      <c r="D448" s="42" t="n">
        <v>1273996</v>
      </c>
      <c r="E448" s="42" t="n">
        <v>1271942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-0.00721908471427446</v>
      </c>
      <c r="I448" s="45" t="n">
        <f aca="false">IF(AND(ISNUMBER($G448),$G448&gt;=MA_SHORT),AVERAGE(INDEX($C$48:$C448,402-MA_SHORT):$C448),"")</f>
        <v>1251950.6</v>
      </c>
      <c r="J448" s="45" t="n">
        <f aca="false">IF(AND(ISNUMBER($G448),$G448&gt;=MA_MED),AVERAGE(INDEX($C$48:$C448,402-MA_MED):$C448),"")</f>
        <v>1205343.9</v>
      </c>
      <c r="K448" s="45" t="n">
        <f aca="false">IF(AND(ISNUMBER($G448),$G448&gt;=MA_LONG2),AVERAGE(INDEX($C$48:$C448,402-MA_LONG2):$C448),"")</f>
        <v>1178409.795</v>
      </c>
      <c r="L448" s="46" t="n">
        <f aca="false">IF(AND(ISNUMBER($G448),$G448&gt;=21),STDEV(INDEX($H$388:$H448,62-20):$H448)*SQRT(245),"")</f>
        <v>0.205907865780561</v>
      </c>
      <c r="M448" s="45" t="n">
        <f aca="false">IF(AND(ISNUMBER($G448),$G448&gt;=60),MAX(INDEX($D$248:$D448,202-60):$D448),"")</f>
        <v>1332150</v>
      </c>
      <c r="N448" s="45" t="n">
        <f aca="false">IF(AND(ISNUMBER($G448),$G448&gt;=60),MIN(INDEX($E$248:$E448,202-60):$E448),"")</f>
        <v>1123547</v>
      </c>
      <c r="O448" s="46" t="n">
        <f aca="false">IF(OR(NOT(ISNUMBER($C448)),NOT(ISNUMBER($M448)),$M448=0),"",$C448/$M448-1)</f>
        <v>-0.0444762226475998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1281026</v>
      </c>
      <c r="D449" s="42" t="n">
        <v>1282308</v>
      </c>
      <c r="E449" s="42" t="n">
        <v>1277191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0.00638305728410926</v>
      </c>
      <c r="I449" s="45" t="n">
        <f aca="false">IF(AND(ISNUMBER($G449),$G449&gt;=MA_SHORT),AVERAGE(INDEX($C$49:$C449,402-MA_SHORT):$C449),"")</f>
        <v>1254859.15</v>
      </c>
      <c r="J449" s="45" t="n">
        <f aca="false">IF(AND(ISNUMBER($G449),$G449&gt;=MA_MED),AVERAGE(INDEX($C$49:$C449,402-MA_MED):$C449),"")</f>
        <v>1208133.22</v>
      </c>
      <c r="K449" s="45" t="n">
        <f aca="false">IF(AND(ISNUMBER($G449),$G449&gt;=MA_LONG2),AVERAGE(INDEX($C$49:$C449,402-MA_LONG2):$C449),"")</f>
        <v>1179396.63</v>
      </c>
      <c r="L449" s="46" t="n">
        <f aca="false">IF(AND(ISNUMBER($G449),$G449&gt;=21),STDEV(INDEX($H$389:$H449,62-20):$H449)*SQRT(245),"")</f>
        <v>0.201273159540045</v>
      </c>
      <c r="M449" s="45" t="n">
        <f aca="false">IF(AND(ISNUMBER($G449),$G449&gt;=60),MAX(INDEX($D$249:$D449,202-60):$D449),"")</f>
        <v>1332150</v>
      </c>
      <c r="N449" s="45" t="n">
        <f aca="false">IF(AND(ISNUMBER($G449),$G449&gt;=60),MIN(INDEX($E$249:$E449,202-60):$E449),"")</f>
        <v>1123547</v>
      </c>
      <c r="O449" s="46" t="n">
        <f aca="false">IF(OR(NOT(ISNUMBER($C449)),NOT(ISNUMBER($M449)),$M449=0),"",$C449/$M449-1)</f>
        <v>-0.0383770596404309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1277069</v>
      </c>
      <c r="D450" s="42" t="n">
        <v>1277821</v>
      </c>
      <c r="E450" s="42" t="n">
        <v>1275521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-0.003088930279323</v>
      </c>
      <c r="I450" s="45" t="n">
        <f aca="false">IF(AND(ISNUMBER($G450),$G450&gt;=MA_SHORT),AVERAGE(INDEX($C$50:$C450,402-MA_SHORT):$C450),"")</f>
        <v>1257504.85</v>
      </c>
      <c r="J450" s="45" t="n">
        <f aca="false">IF(AND(ISNUMBER($G450),$G450&gt;=MA_MED),AVERAGE(INDEX($C$50:$C450,402-MA_MED):$C450),"")</f>
        <v>1210588.18</v>
      </c>
      <c r="K450" s="45" t="n">
        <f aca="false">IF(AND(ISNUMBER($G450),$G450&gt;=MA_LONG2),AVERAGE(INDEX($C$50:$C450,402-MA_LONG2):$C450),"")</f>
        <v>1180356.83</v>
      </c>
      <c r="L450" s="46" t="n">
        <f aca="false">IF(AND(ISNUMBER($G450),$G450&gt;=21),STDEV(INDEX($H$390:$H450,62-20):$H450)*SQRT(245),"")</f>
        <v>0.202152872168085</v>
      </c>
      <c r="M450" s="45" t="n">
        <f aca="false">IF(AND(ISNUMBER($G450),$G450&gt;=60),MAX(INDEX($D$250:$D450,202-60):$D450),"")</f>
        <v>1332150</v>
      </c>
      <c r="N450" s="45" t="n">
        <f aca="false">IF(AND(ISNUMBER($G450),$G450&gt;=60),MIN(INDEX($E$250:$E450,202-60):$E450),"")</f>
        <v>1123547</v>
      </c>
      <c r="O450" s="46" t="n">
        <f aca="false">IF(OR(NOT(ISNUMBER($C450)),NOT(ISNUMBER($M450)),$M450=0),"",$C450/$M450-1)</f>
        <v>-0.0413474458581992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1265696</v>
      </c>
      <c r="D451" s="42" t="n">
        <v>1270669</v>
      </c>
      <c r="E451" s="42" t="n">
        <v>1263680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-0.00890554856472126</v>
      </c>
      <c r="I451" s="45" t="n">
        <f aca="false">IF(AND(ISNUMBER($G451),$G451&gt;=MA_SHORT),AVERAGE(INDEX($C$51:$C451,402-MA_SHORT):$C451),"")</f>
        <v>1260267.9</v>
      </c>
      <c r="J451" s="45" t="n">
        <f aca="false">IF(AND(ISNUMBER($G451),$G451&gt;=MA_MED),AVERAGE(INDEX($C$51:$C451,402-MA_MED):$C451),"")</f>
        <v>1212812.1</v>
      </c>
      <c r="K451" s="45" t="n">
        <f aca="false">IF(AND(ISNUMBER($G451),$G451&gt;=MA_LONG2),AVERAGE(INDEX($C$51:$C451,402-MA_LONG2):$C451),"")</f>
        <v>1181269.4</v>
      </c>
      <c r="L451" s="46" t="n">
        <f aca="false">IF(AND(ISNUMBER($G451),$G451&gt;=21),STDEV(INDEX($H$391:$H451,62-20):$H451)*SQRT(245),"")</f>
        <v>0.200336724354655</v>
      </c>
      <c r="M451" s="45" t="n">
        <f aca="false">IF(AND(ISNUMBER($G451),$G451&gt;=60),MAX(INDEX($D$251:$D451,202-60):$D451),"")</f>
        <v>1332150</v>
      </c>
      <c r="N451" s="45" t="n">
        <f aca="false">IF(AND(ISNUMBER($G451),$G451&gt;=60),MIN(INDEX($E$251:$E451,202-60):$E451),"")</f>
        <v>1123547</v>
      </c>
      <c r="O451" s="46" t="n">
        <f aca="false">IF(OR(NOT(ISNUMBER($C451)),NOT(ISNUMBER($M451)),$M451=0),"",$C451/$M451-1)</f>
        <v>-0.0498847727358031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1267806</v>
      </c>
      <c r="D452" s="42" t="n">
        <v>1273932</v>
      </c>
      <c r="E452" s="42" t="n">
        <v>1267537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0.001667066973428</v>
      </c>
      <c r="I452" s="45" t="n">
        <f aca="false">IF(AND(ISNUMBER($G452),$G452&gt;=MA_SHORT),AVERAGE(INDEX($C$52:$C452,402-MA_SHORT):$C452),"")</f>
        <v>1263367.9</v>
      </c>
      <c r="J452" s="45" t="n">
        <f aca="false">IF(AND(ISNUMBER($G452),$G452&gt;=MA_MED),AVERAGE(INDEX($C$52:$C452,402-MA_MED):$C452),"")</f>
        <v>1214621.38</v>
      </c>
      <c r="K452" s="45" t="n">
        <f aca="false">IF(AND(ISNUMBER($G452),$G452&gt;=MA_LONG2),AVERAGE(INDEX($C$52:$C452,402-MA_LONG2):$C452),"")</f>
        <v>1182146.02</v>
      </c>
      <c r="L452" s="46" t="n">
        <f aca="false">IF(AND(ISNUMBER($G452),$G452&gt;=21),STDEV(INDEX($H$392:$H452,62-20):$H452)*SQRT(245),"")</f>
        <v>0.199085617910107</v>
      </c>
      <c r="M452" s="45" t="n">
        <f aca="false">IF(AND(ISNUMBER($G452),$G452&gt;=60),MAX(INDEX($D$252:$D452,202-60):$D452),"")</f>
        <v>1332150</v>
      </c>
      <c r="N452" s="45" t="n">
        <f aca="false">IF(AND(ISNUMBER($G452),$G452&gt;=60),MIN(INDEX($E$252:$E452,202-60):$E452),"")</f>
        <v>1123547</v>
      </c>
      <c r="O452" s="46" t="n">
        <f aca="false">IF(OR(NOT(ISNUMBER($C452)),NOT(ISNUMBER($M452)),$M452=0),"",$C452/$M452-1)</f>
        <v>-0.0483008670194798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1273358</v>
      </c>
      <c r="D453" s="42" t="n">
        <v>1274449</v>
      </c>
      <c r="E453" s="42" t="n">
        <v>1271523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0.00437921890257664</v>
      </c>
      <c r="I453" s="45" t="n">
        <f aca="false">IF(AND(ISNUMBER($G453),$G453&gt;=MA_SHORT),AVERAGE(INDEX($C$53:$C453,402-MA_SHORT):$C453),"")</f>
        <v>1267256.45</v>
      </c>
      <c r="J453" s="45" t="n">
        <f aca="false">IF(AND(ISNUMBER($G453),$G453&gt;=MA_MED),AVERAGE(INDEX($C$53:$C453,402-MA_MED):$C453),"")</f>
        <v>1216710.56</v>
      </c>
      <c r="K453" s="45" t="n">
        <f aca="false">IF(AND(ISNUMBER($G453),$G453&gt;=MA_LONG2),AVERAGE(INDEX($C$53:$C453,402-MA_LONG2):$C453),"")</f>
        <v>1183050.52</v>
      </c>
      <c r="L453" s="46" t="n">
        <f aca="false">IF(AND(ISNUMBER($G453),$G453&gt;=21),STDEV(INDEX($H$393:$H453,62-20):$H453)*SQRT(245),"")</f>
        <v>0.194915389968912</v>
      </c>
      <c r="M453" s="45" t="n">
        <f aca="false">IF(AND(ISNUMBER($G453),$G453&gt;=60),MAX(INDEX($D$253:$D453,202-60):$D453),"")</f>
        <v>1332150</v>
      </c>
      <c r="N453" s="45" t="n">
        <f aca="false">IF(AND(ISNUMBER($G453),$G453&gt;=60),MIN(INDEX($E$253:$E453,202-60):$E453),"")</f>
        <v>1123547</v>
      </c>
      <c r="O453" s="46" t="n">
        <f aca="false">IF(OR(NOT(ISNUMBER($C453)),NOT(ISNUMBER($M453)),$M453=0),"",$C453/$M453-1)</f>
        <v>-0.0441331681867657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1270594</v>
      </c>
      <c r="D454" s="42" t="n">
        <v>1272959</v>
      </c>
      <c r="E454" s="42" t="n">
        <v>1265519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-0.0021706385792527</v>
      </c>
      <c r="I454" s="45" t="n">
        <f aca="false">IF(AND(ISNUMBER($G454),$G454&gt;=MA_SHORT),AVERAGE(INDEX($C$54:$C454,402-MA_SHORT):$C454),"")</f>
        <v>1270176.9</v>
      </c>
      <c r="J454" s="45" t="n">
        <f aca="false">IF(AND(ISNUMBER($G454),$G454&gt;=MA_MED),AVERAGE(INDEX($C$54:$C454,402-MA_MED):$C454),"")</f>
        <v>1218639.52</v>
      </c>
      <c r="K454" s="45" t="n">
        <f aca="false">IF(AND(ISNUMBER($G454),$G454&gt;=MA_LONG2),AVERAGE(INDEX($C$54:$C454,402-MA_LONG2):$C454),"")</f>
        <v>1183957.785</v>
      </c>
      <c r="L454" s="46" t="n">
        <f aca="false">IF(AND(ISNUMBER($G454),$G454&gt;=21),STDEV(INDEX($H$394:$H454,62-20):$H454)*SQRT(245),"")</f>
        <v>0.19167334198866</v>
      </c>
      <c r="M454" s="45" t="n">
        <f aca="false">IF(AND(ISNUMBER($G454),$G454&gt;=60),MAX(INDEX($D$254:$D454,202-60):$D454),"")</f>
        <v>1332150</v>
      </c>
      <c r="N454" s="45" t="n">
        <f aca="false">IF(AND(ISNUMBER($G454),$G454&gt;=60),MIN(INDEX($E$254:$E454,202-60):$E454),"")</f>
        <v>1123547</v>
      </c>
      <c r="O454" s="46" t="n">
        <f aca="false">IF(OR(NOT(ISNUMBER($C454)),NOT(ISNUMBER($M454)),$M454=0),"",$C454/$M454-1)</f>
        <v>-0.0462080096085276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1260023</v>
      </c>
      <c r="D455" s="42" t="n">
        <v>1264773</v>
      </c>
      <c r="E455" s="42" t="n">
        <v>1257325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-0.00831973077159187</v>
      </c>
      <c r="I455" s="45" t="n">
        <f aca="false">IF(AND(ISNUMBER($G455),$G455&gt;=MA_SHORT),AVERAGE(INDEX($C$55:$C455,402-MA_SHORT):$C455),"")</f>
        <v>1271295.4</v>
      </c>
      <c r="J455" s="45" t="n">
        <f aca="false">IF(AND(ISNUMBER($G455),$G455&gt;=MA_MED),AVERAGE(INDEX($C$55:$C455,402-MA_MED):$C455),"")</f>
        <v>1220371.98</v>
      </c>
      <c r="K455" s="45" t="n">
        <f aca="false">IF(AND(ISNUMBER($G455),$G455&gt;=MA_LONG2),AVERAGE(INDEX($C$55:$C455,402-MA_LONG2):$C455),"")</f>
        <v>1184827.745</v>
      </c>
      <c r="L455" s="46" t="n">
        <f aca="false">IF(AND(ISNUMBER($G455),$G455&gt;=21),STDEV(INDEX($H$395:$H455,62-20):$H455)*SQRT(245),"")</f>
        <v>0.182265359203278</v>
      </c>
      <c r="M455" s="45" t="n">
        <f aca="false">IF(AND(ISNUMBER($G455),$G455&gt;=60),MAX(INDEX($D$255:$D455,202-60):$D455),"")</f>
        <v>1332150</v>
      </c>
      <c r="N455" s="45" t="n">
        <f aca="false">IF(AND(ISNUMBER($G455),$G455&gt;=60),MIN(INDEX($E$255:$E455,202-60):$E455),"")</f>
        <v>1123547</v>
      </c>
      <c r="O455" s="46" t="n">
        <f aca="false">IF(OR(NOT(ISNUMBER($C455)),NOT(ISNUMBER($M455)),$M455=0),"",$C455/$M455-1)</f>
        <v>-0.0541433021806853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1263138</v>
      </c>
      <c r="D456" s="42" t="n">
        <v>1271207</v>
      </c>
      <c r="E456" s="42" t="n">
        <v>1255675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0.00247217709518011</v>
      </c>
      <c r="I456" s="45" t="n">
        <f aca="false">IF(AND(ISNUMBER($G456),$G456&gt;=MA_SHORT),AVERAGE(INDEX($C$56:$C456,402-MA_SHORT):$C456),"")</f>
        <v>1273120.55</v>
      </c>
      <c r="J456" s="45" t="n">
        <f aca="false">IF(AND(ISNUMBER($G456),$G456&gt;=MA_MED),AVERAGE(INDEX($C$56:$C456,402-MA_MED):$C456),"")</f>
        <v>1222221.66</v>
      </c>
      <c r="K456" s="45" t="n">
        <f aca="false">IF(AND(ISNUMBER($G456),$G456&gt;=MA_LONG2),AVERAGE(INDEX($C$56:$C456,402-MA_LONG2):$C456),"")</f>
        <v>1185685.63</v>
      </c>
      <c r="L456" s="46" t="n">
        <f aca="false">IF(AND(ISNUMBER($G456),$G456&gt;=21),STDEV(INDEX($H$396:$H456,62-20):$H456)*SQRT(245),"")</f>
        <v>0.178640019617245</v>
      </c>
      <c r="M456" s="45" t="n">
        <f aca="false">IF(AND(ISNUMBER($G456),$G456&gt;=60),MAX(INDEX($D$256:$D456,202-60):$D456),"")</f>
        <v>1332150</v>
      </c>
      <c r="N456" s="45" t="n">
        <f aca="false">IF(AND(ISNUMBER($G456),$G456&gt;=60),MIN(INDEX($E$256:$E456,202-60):$E456),"")</f>
        <v>1123547</v>
      </c>
      <c r="O456" s="46" t="n">
        <f aca="false">IF(OR(NOT(ISNUMBER($C456)),NOT(ISNUMBER($M456)),$M456=0),"",$C456/$M456-1)</f>
        <v>-0.0518049769170138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1276241</v>
      </c>
      <c r="D457" s="42" t="n">
        <v>1276974</v>
      </c>
      <c r="E457" s="42" t="n">
        <v>1275813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0.0103733717139378</v>
      </c>
      <c r="I457" s="45" t="n">
        <f aca="false">IF(AND(ISNUMBER($G457),$G457&gt;=MA_SHORT),AVERAGE(INDEX($C$57:$C457,402-MA_SHORT):$C457),"")</f>
        <v>1275394.75</v>
      </c>
      <c r="J457" s="45" t="n">
        <f aca="false">IF(AND(ISNUMBER($G457),$G457&gt;=MA_MED),AVERAGE(INDEX($C$57:$C457,402-MA_MED):$C457),"")</f>
        <v>1224422.66</v>
      </c>
      <c r="K457" s="45" t="n">
        <f aca="false">IF(AND(ISNUMBER($G457),$G457&gt;=MA_LONG2),AVERAGE(INDEX($C$57:$C457,402-MA_LONG2):$C457),"")</f>
        <v>1186599.99</v>
      </c>
      <c r="L457" s="46" t="n">
        <f aca="false">IF(AND(ISNUMBER($G457),$G457&gt;=21),STDEV(INDEX($H$397:$H457,62-20):$H457)*SQRT(245),"")</f>
        <v>0.18123424216325</v>
      </c>
      <c r="M457" s="45" t="n">
        <f aca="false">IF(AND(ISNUMBER($G457),$G457&gt;=60),MAX(INDEX($D$257:$D457,202-60):$D457),"")</f>
        <v>1332150</v>
      </c>
      <c r="N457" s="45" t="n">
        <f aca="false">IF(AND(ISNUMBER($G457),$G457&gt;=60),MIN(INDEX($E$257:$E457,202-60):$E457),"")</f>
        <v>1123547</v>
      </c>
      <c r="O457" s="46" t="n">
        <f aca="false">IF(OR(NOT(ISNUMBER($C457)),NOT(ISNUMBER($M457)),$M457=0),"",$C457/$M457-1)</f>
        <v>-0.0419689974852682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1272106</v>
      </c>
      <c r="D458" s="42" t="n">
        <v>1274645</v>
      </c>
      <c r="E458" s="42" t="n">
        <v>1271029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-0.0032399836707957</v>
      </c>
      <c r="I458" s="45" t="n">
        <f aca="false">IF(AND(ISNUMBER($G458),$G458&gt;=MA_SHORT),AVERAGE(INDEX($C$58:$C458,402-MA_SHORT):$C458),"")</f>
        <v>1277113.35</v>
      </c>
      <c r="J458" s="45" t="n">
        <f aca="false">IF(AND(ISNUMBER($G458),$G458&gt;=MA_MED),AVERAGE(INDEX($C$58:$C458,402-MA_MED):$C458),"")</f>
        <v>1226700.62</v>
      </c>
      <c r="K458" s="45" t="n">
        <f aca="false">IF(AND(ISNUMBER($G458),$G458&gt;=MA_LONG2),AVERAGE(INDEX($C$58:$C458,402-MA_LONG2):$C458),"")</f>
        <v>1187438.815</v>
      </c>
      <c r="L458" s="46" t="n">
        <f aca="false">IF(AND(ISNUMBER($G458),$G458&gt;=21),STDEV(INDEX($H$398:$H458,62-20):$H458)*SQRT(245),"")</f>
        <v>0.181514886747457</v>
      </c>
      <c r="M458" s="45" t="n">
        <f aca="false">IF(AND(ISNUMBER($G458),$G458&gt;=60),MAX(INDEX($D$258:$D458,202-60):$D458),"")</f>
        <v>1332150</v>
      </c>
      <c r="N458" s="45" t="n">
        <f aca="false">IF(AND(ISNUMBER($G458),$G458&gt;=60),MIN(INDEX($E$258:$E458,202-60):$E458),"")</f>
        <v>1123547</v>
      </c>
      <c r="O458" s="46" t="n">
        <f aca="false">IF(OR(NOT(ISNUMBER($C458)),NOT(ISNUMBER($M458)),$M458=0),"",$C458/$M458-1)</f>
        <v>-0.0450730022895319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1259031</v>
      </c>
      <c r="D459" s="42" t="n">
        <v>1260866</v>
      </c>
      <c r="E459" s="42" t="n">
        <v>1257089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-0.0102782315310203</v>
      </c>
      <c r="I459" s="45" t="n">
        <f aca="false">IF(AND(ISNUMBER($G459),$G459&gt;=MA_SHORT),AVERAGE(INDEX($C$59:$C459,402-MA_SHORT):$C459),"")</f>
        <v>1278350.3</v>
      </c>
      <c r="J459" s="45" t="n">
        <f aca="false">IF(AND(ISNUMBER($G459),$G459&gt;=MA_MED),AVERAGE(INDEX($C$59:$C459,402-MA_MED):$C459),"")</f>
        <v>1228839.56</v>
      </c>
      <c r="K459" s="45" t="n">
        <f aca="false">IF(AND(ISNUMBER($G459),$G459&gt;=MA_LONG2),AVERAGE(INDEX($C$59:$C459,402-MA_LONG2):$C459),"")</f>
        <v>1188120.735</v>
      </c>
      <c r="L459" s="46" t="n">
        <f aca="false">IF(AND(ISNUMBER($G459),$G459&gt;=21),STDEV(INDEX($H$399:$H459,62-20):$H459)*SQRT(245),"")</f>
        <v>0.185610738022785</v>
      </c>
      <c r="M459" s="45" t="n">
        <f aca="false">IF(AND(ISNUMBER($G459),$G459&gt;=60),MAX(INDEX($D$259:$D459,202-60):$D459),"")</f>
        <v>1332150</v>
      </c>
      <c r="N459" s="45" t="n">
        <f aca="false">IF(AND(ISNUMBER($G459),$G459&gt;=60),MIN(INDEX($E$259:$E459,202-60):$E459),"")</f>
        <v>1123547</v>
      </c>
      <c r="O459" s="46" t="n">
        <f aca="false">IF(OR(NOT(ISNUMBER($C459)),NOT(ISNUMBER($M459)),$M459=0),"",$C459/$M459-1)</f>
        <v>-0.0548879630672222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1273331</v>
      </c>
      <c r="D460" s="42" t="n">
        <v>1274608</v>
      </c>
      <c r="E460" s="42" t="n">
        <v>1272355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0.0113579411468026</v>
      </c>
      <c r="I460" s="45" t="n">
        <f aca="false">IF(AND(ISNUMBER($G460),$G460&gt;=MA_SHORT),AVERAGE(INDEX($C$60:$C460,402-MA_SHORT):$C460),"")</f>
        <v>1279121.3</v>
      </c>
      <c r="J460" s="45" t="n">
        <f aca="false">IF(AND(ISNUMBER($G460),$G460&gt;=MA_MED),AVERAGE(INDEX($C$60:$C460,402-MA_MED):$C460),"")</f>
        <v>1231472.34</v>
      </c>
      <c r="K460" s="45" t="n">
        <f aca="false">IF(AND(ISNUMBER($G460),$G460&gt;=MA_LONG2),AVERAGE(INDEX($C$60:$C460,402-MA_LONG2):$C460),"")</f>
        <v>1188879.7</v>
      </c>
      <c r="L460" s="46" t="n">
        <f aca="false">IF(AND(ISNUMBER($G460),$G460&gt;=21),STDEV(INDEX($H$400:$H460,62-20):$H460)*SQRT(245),"")</f>
        <v>0.177670189550352</v>
      </c>
      <c r="M460" s="45" t="n">
        <f aca="false">IF(AND(ISNUMBER($G460),$G460&gt;=60),MAX(INDEX($D$260:$D460,202-60):$D460),"")</f>
        <v>1332150</v>
      </c>
      <c r="N460" s="45" t="n">
        <f aca="false">IF(AND(ISNUMBER($G460),$G460&gt;=60),MIN(INDEX($E$260:$E460,202-60):$E460),"")</f>
        <v>1123547</v>
      </c>
      <c r="O460" s="46" t="n">
        <f aca="false">IF(OR(NOT(ISNUMBER($C460)),NOT(ISNUMBER($M460)),$M460=0),"",$C460/$M460-1)</f>
        <v>-0.044153436174605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1275636</v>
      </c>
      <c r="D461" s="42" t="n">
        <v>1281341</v>
      </c>
      <c r="E461" s="42" t="n">
        <v>1273945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0.00181021274122761</v>
      </c>
      <c r="I461" s="45" t="n">
        <f aca="false">IF(AND(ISNUMBER($G461),$G461&gt;=MA_SHORT),AVERAGE(INDEX($C$61:$C461,402-MA_SHORT):$C461),"")</f>
        <v>1278884.3</v>
      </c>
      <c r="J461" s="45" t="n">
        <f aca="false">IF(AND(ISNUMBER($G461),$G461&gt;=MA_MED),AVERAGE(INDEX($C$61:$C461,402-MA_MED):$C461),"")</f>
        <v>1233914.16</v>
      </c>
      <c r="K461" s="45" t="n">
        <f aca="false">IF(AND(ISNUMBER($G461),$G461&gt;=MA_LONG2),AVERAGE(INDEX($C$61:$C461,402-MA_LONG2):$C461),"")</f>
        <v>1189608.91</v>
      </c>
      <c r="L461" s="46" t="n">
        <f aca="false">IF(AND(ISNUMBER($G461),$G461&gt;=21),STDEV(INDEX($H$401:$H461,62-20):$H461)*SQRT(245),"")</f>
        <v>0.166156406357404</v>
      </c>
      <c r="M461" s="45" t="n">
        <f aca="false">IF(AND(ISNUMBER($G461),$G461&gt;=60),MAX(INDEX($D$261:$D461,202-60):$D461),"")</f>
        <v>1332150</v>
      </c>
      <c r="N461" s="45" t="n">
        <f aca="false">IF(AND(ISNUMBER($G461),$G461&gt;=60),MIN(INDEX($E$261:$E461,202-60):$E461),"")</f>
        <v>1123547</v>
      </c>
      <c r="O461" s="46" t="n">
        <f aca="false">IF(OR(NOT(ISNUMBER($C461)),NOT(ISNUMBER($M461)),$M461=0),"",$C461/$M461-1)</f>
        <v>-0.0424231505461097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1299956</v>
      </c>
      <c r="D462" s="42" t="n">
        <v>1303679</v>
      </c>
      <c r="E462" s="42" t="n">
        <v>1299926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0.0190649997334662</v>
      </c>
      <c r="I462" s="45" t="n">
        <f aca="false">IF(AND(ISNUMBER($G462),$G462&gt;=MA_SHORT),AVERAGE(INDEX($C$62:$C462,402-MA_SHORT):$C462),"")</f>
        <v>1279342.65</v>
      </c>
      <c r="J462" s="45" t="n">
        <f aca="false">IF(AND(ISNUMBER($G462),$G462&gt;=MA_MED),AVERAGE(INDEX($C$62:$C462,402-MA_MED):$C462),"")</f>
        <v>1237088.3</v>
      </c>
      <c r="K462" s="45" t="n">
        <f aca="false">IF(AND(ISNUMBER($G462),$G462&gt;=MA_LONG2),AVERAGE(INDEX($C$62:$C462,402-MA_LONG2):$C462),"")</f>
        <v>1190474.04</v>
      </c>
      <c r="L462" s="46" t="n">
        <f aca="false">IF(AND(ISNUMBER($G462),$G462&gt;=21),STDEV(INDEX($H$402:$H462,62-20):$H462)*SQRT(245),"")</f>
        <v>0.177205974255664</v>
      </c>
      <c r="M462" s="45" t="n">
        <f aca="false">IF(AND(ISNUMBER($G462),$G462&gt;=60),MAX(INDEX($D$262:$D462,202-60):$D462),"")</f>
        <v>1332150</v>
      </c>
      <c r="N462" s="45" t="n">
        <f aca="false">IF(AND(ISNUMBER($G462),$G462&gt;=60),MIN(INDEX($E$262:$E462,202-60):$E462),"")</f>
        <v>1123547</v>
      </c>
      <c r="O462" s="46" t="n">
        <f aca="false">IF(OR(NOT(ISNUMBER($C462)),NOT(ISNUMBER($M462)),$M462=0),"",$C462/$M462-1)</f>
        <v>-0.0241669481664978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1320561</v>
      </c>
      <c r="D463" s="42" t="n">
        <v>1323561</v>
      </c>
      <c r="E463" s="42" t="n">
        <v>1319267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0.0158505364796961</v>
      </c>
      <c r="I463" s="45" t="n">
        <f aca="false">IF(AND(ISNUMBER($G463),$G463&gt;=MA_SHORT),AVERAGE(INDEX($C$63:$C463,402-MA_SHORT):$C463),"")</f>
        <v>1280906.55</v>
      </c>
      <c r="J463" s="45" t="n">
        <f aca="false">IF(AND(ISNUMBER($G463),$G463&gt;=MA_MED),AVERAGE(INDEX($C$63:$C463,402-MA_MED):$C463),"")</f>
        <v>1240890.32</v>
      </c>
      <c r="K463" s="45" t="n">
        <f aca="false">IF(AND(ISNUMBER($G463),$G463&gt;=MA_LONG2),AVERAGE(INDEX($C$63:$C463,402-MA_LONG2):$C463),"")</f>
        <v>1191280.73</v>
      </c>
      <c r="L463" s="46" t="n">
        <f aca="false">IF(AND(ISNUMBER($G463),$G463&gt;=21),STDEV(INDEX($H$403:$H463,62-20):$H463)*SQRT(245),"")</f>
        <v>0.185081414187918</v>
      </c>
      <c r="M463" s="45" t="n">
        <f aca="false">IF(AND(ISNUMBER($G463),$G463&gt;=60),MAX(INDEX($D$263:$D463,202-60):$D463),"")</f>
        <v>1332150</v>
      </c>
      <c r="N463" s="45" t="n">
        <f aca="false">IF(AND(ISNUMBER($G463),$G463&gt;=60),MIN(INDEX($E$263:$E463,202-60):$E463),"")</f>
        <v>1123547</v>
      </c>
      <c r="O463" s="46" t="n">
        <f aca="false">IF(OR(NOT(ISNUMBER($C463)),NOT(ISNUMBER($M463)),$M463=0),"",$C463/$M463-1)</f>
        <v>-0.00869947078031752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1320917</v>
      </c>
      <c r="D464" s="42" t="n">
        <v>1321223</v>
      </c>
      <c r="E464" s="42" t="n">
        <v>1313956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0.000269582397178114</v>
      </c>
      <c r="I464" s="45" t="n">
        <f aca="false">IF(AND(ISNUMBER($G464),$G464&gt;=MA_SHORT),AVERAGE(INDEX($C$64:$C464,402-MA_SHORT):$C464),"")</f>
        <v>1282148.95</v>
      </c>
      <c r="J464" s="45" t="n">
        <f aca="false">IF(AND(ISNUMBER($G464),$G464&gt;=MA_MED),AVERAGE(INDEX($C$64:$C464,402-MA_MED):$C464),"")</f>
        <v>1244743.46</v>
      </c>
      <c r="K464" s="45" t="n">
        <f aca="false">IF(AND(ISNUMBER($G464),$G464&gt;=MA_LONG2),AVERAGE(INDEX($C$64:$C464,402-MA_LONG2):$C464),"")</f>
        <v>1192104.33</v>
      </c>
      <c r="L464" s="46" t="n">
        <f aca="false">IF(AND(ISNUMBER($G464),$G464&gt;=21),STDEV(INDEX($H$404:$H464,62-20):$H464)*SQRT(245),"")</f>
        <v>0.184515094936551</v>
      </c>
      <c r="M464" s="45" t="n">
        <f aca="false">IF(AND(ISNUMBER($G464),$G464&gt;=60),MAX(INDEX($D$264:$D464,202-60):$D464),"")</f>
        <v>1332150</v>
      </c>
      <c r="N464" s="45" t="n">
        <f aca="false">IF(AND(ISNUMBER($G464),$G464&gt;=60),MIN(INDEX($E$264:$E464,202-60):$E464),"")</f>
        <v>1123547</v>
      </c>
      <c r="O464" s="46" t="n">
        <f aca="false">IF(OR(NOT(ISNUMBER($C464)),NOT(ISNUMBER($M464)),$M464=0),"",$C464/$M464-1)</f>
        <v>-0.00843223360732648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1317481</v>
      </c>
      <c r="D465" s="42" t="n">
        <v>1320936</v>
      </c>
      <c r="E465" s="42" t="n">
        <v>1313368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-0.00260122324112722</v>
      </c>
      <c r="I465" s="45" t="n">
        <f aca="false">IF(AND(ISNUMBER($G465),$G465&gt;=MA_SHORT),AVERAGE(INDEX($C$65:$C465,402-MA_SHORT):$C465),"")</f>
        <v>1282758.8</v>
      </c>
      <c r="J465" s="45" t="n">
        <f aca="false">IF(AND(ISNUMBER($G465),$G465&gt;=MA_MED),AVERAGE(INDEX($C$65:$C465,402-MA_MED):$C465),"")</f>
        <v>1248601.24</v>
      </c>
      <c r="K465" s="45" t="n">
        <f aca="false">IF(AND(ISNUMBER($G465),$G465&gt;=MA_LONG2),AVERAGE(INDEX($C$65:$C465,402-MA_LONG2):$C465),"")</f>
        <v>1192857.855</v>
      </c>
      <c r="L465" s="46" t="n">
        <f aca="false">IF(AND(ISNUMBER($G465),$G465&gt;=21),STDEV(INDEX($H$405:$H465,62-20):$H465)*SQRT(245),"")</f>
        <v>0.183507425050322</v>
      </c>
      <c r="M465" s="45" t="n">
        <f aca="false">IF(AND(ISNUMBER($G465),$G465&gt;=60),MAX(INDEX($D$265:$D465,202-60):$D465),"")</f>
        <v>1332150</v>
      </c>
      <c r="N465" s="45" t="n">
        <f aca="false">IF(AND(ISNUMBER($G465),$G465&gt;=60),MIN(INDEX($E$265:$E465,202-60):$E465),"")</f>
        <v>1123547</v>
      </c>
      <c r="O465" s="46" t="n">
        <f aca="false">IF(OR(NOT(ISNUMBER($C465)),NOT(ISNUMBER($M465)),$M465=0),"",$C465/$M465-1)</f>
        <v>-0.0110115227264197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1293841</v>
      </c>
      <c r="D466" s="42" t="n">
        <v>1301123</v>
      </c>
      <c r="E466" s="42" t="n">
        <v>1287845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-0.0179433327691253</v>
      </c>
      <c r="I466" s="45" t="n">
        <f aca="false">IF(AND(ISNUMBER($G466),$G466&gt;=MA_SHORT),AVERAGE(INDEX($C$66:$C466,402-MA_SHORT):$C466),"")</f>
        <v>1281143.45</v>
      </c>
      <c r="J466" s="45" t="n">
        <f aca="false">IF(AND(ISNUMBER($G466),$G466&gt;=MA_MED),AVERAGE(INDEX($C$66:$C466,402-MA_MED):$C466),"")</f>
        <v>1251057.82</v>
      </c>
      <c r="K466" s="45" t="n">
        <f aca="false">IF(AND(ISNUMBER($G466),$G466&gt;=MA_LONG2),AVERAGE(INDEX($C$66:$C466,402-MA_LONG2):$C466),"")</f>
        <v>1193557.135</v>
      </c>
      <c r="L466" s="46" t="n">
        <f aca="false">IF(AND(ISNUMBER($G466),$G466&gt;=21),STDEV(INDEX($H$406:$H466,62-20):$H466)*SQRT(245),"")</f>
        <v>0.185079392922921</v>
      </c>
      <c r="M466" s="45" t="n">
        <f aca="false">IF(AND(ISNUMBER($G466),$G466&gt;=60),MAX(INDEX($D$266:$D466,202-60):$D466),"")</f>
        <v>1332150</v>
      </c>
      <c r="N466" s="45" t="n">
        <f aca="false">IF(AND(ISNUMBER($G466),$G466&gt;=60),MIN(INDEX($E$266:$E466,202-60):$E466),"")</f>
        <v>1123547</v>
      </c>
      <c r="O466" s="46" t="n">
        <f aca="false">IF(OR(NOT(ISNUMBER($C466)),NOT(ISNUMBER($M466)),$M466=0),"",$C466/$M466-1)</f>
        <v>-0.0287572720789701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1272317</v>
      </c>
      <c r="D467" s="42" t="n">
        <v>1274747</v>
      </c>
      <c r="E467" s="42" t="n">
        <v>1265776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-0.0166357380852825</v>
      </c>
      <c r="I467" s="45" t="n">
        <f aca="false">IF(AND(ISNUMBER($G467),$G467&gt;=MA_SHORT),AVERAGE(INDEX($C$67:$C467,402-MA_SHORT):$C467),"")</f>
        <v>1280651.45</v>
      </c>
      <c r="J467" s="45" t="n">
        <f aca="false">IF(AND(ISNUMBER($G467),$G467&gt;=MA_MED),AVERAGE(INDEX($C$67:$C467,402-MA_MED):$C467),"")</f>
        <v>1252804.2</v>
      </c>
      <c r="K467" s="45" t="n">
        <f aca="false">IF(AND(ISNUMBER($G467),$G467&gt;=MA_LONG2),AVERAGE(INDEX($C$67:$C467,402-MA_LONG2):$C467),"")</f>
        <v>1194219.69</v>
      </c>
      <c r="L467" s="46" t="n">
        <f aca="false">IF(AND(ISNUMBER($G467),$G467&gt;=21),STDEV(INDEX($H$407:$H467,62-20):$H467)*SQRT(245),"")</f>
        <v>0.154772670097698</v>
      </c>
      <c r="M467" s="45" t="n">
        <f aca="false">IF(AND(ISNUMBER($G467),$G467&gt;=60),MAX(INDEX($D$267:$D467,202-60):$D467),"")</f>
        <v>1332150</v>
      </c>
      <c r="N467" s="45" t="n">
        <f aca="false">IF(AND(ISNUMBER($G467),$G467&gt;=60),MIN(INDEX($E$267:$E467,202-60):$E467),"")</f>
        <v>1123547</v>
      </c>
      <c r="O467" s="46" t="n">
        <f aca="false">IF(OR(NOT(ISNUMBER($C467)),NOT(ISNUMBER($M467)),$M467=0),"",$C467/$M467-1)</f>
        <v>-0.0449146117178997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1281078</v>
      </c>
      <c r="D468" s="42" t="n">
        <v>1281928</v>
      </c>
      <c r="E468" s="42" t="n">
        <v>1277626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0.00688586256412505</v>
      </c>
      <c r="I468" s="45" t="n">
        <f aca="false">IF(AND(ISNUMBER($G468),$G468&gt;=MA_SHORT),AVERAGE(INDEX($C$68:$C468,402-MA_SHORT):$C468),"")</f>
        <v>1281060.3</v>
      </c>
      <c r="J468" s="45" t="n">
        <f aca="false">IF(AND(ISNUMBER($G468),$G468&gt;=MA_MED),AVERAGE(INDEX($C$68:$C468,402-MA_MED):$C468),"")</f>
        <v>1254824.42</v>
      </c>
      <c r="K468" s="45" t="n">
        <f aca="false">IF(AND(ISNUMBER($G468),$G468&gt;=MA_LONG2),AVERAGE(INDEX($C$68:$C468,402-MA_LONG2):$C468),"")</f>
        <v>1194941.31</v>
      </c>
      <c r="L468" s="46" t="n">
        <f aca="false">IF(AND(ISNUMBER($G468),$G468&gt;=21),STDEV(INDEX($H$408:$H468,62-20):$H468)*SQRT(245),"")</f>
        <v>0.154560387188644</v>
      </c>
      <c r="M468" s="45" t="n">
        <f aca="false">IF(AND(ISNUMBER($G468),$G468&gt;=60),MAX(INDEX($D$268:$D468,202-60):$D468),"")</f>
        <v>1332150</v>
      </c>
      <c r="N468" s="45" t="n">
        <f aca="false">IF(AND(ISNUMBER($G468),$G468&gt;=60),MIN(INDEX($E$268:$E468,202-60):$E468),"")</f>
        <v>1123547</v>
      </c>
      <c r="O468" s="46" t="n">
        <f aca="false">IF(OR(NOT(ISNUMBER($C468)),NOT(ISNUMBER($M468)),$M468=0),"",$C468/$M468-1)</f>
        <v>-0.038338024997185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1295761</v>
      </c>
      <c r="D469" s="42" t="n">
        <v>1298436</v>
      </c>
      <c r="E469" s="42" t="n">
        <v>1293893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0.0114614410676008</v>
      </c>
      <c r="I469" s="45" t="n">
        <f aca="false">IF(AND(ISNUMBER($G469),$G469&gt;=MA_SHORT),AVERAGE(INDEX($C$69:$C469,402-MA_SHORT):$C469),"")</f>
        <v>1281797.05</v>
      </c>
      <c r="J469" s="45" t="n">
        <f aca="false">IF(AND(ISNUMBER($G469),$G469&gt;=MA_MED),AVERAGE(INDEX($C$69:$C469,402-MA_MED):$C469),"")</f>
        <v>1256800.38</v>
      </c>
      <c r="K469" s="45" t="n">
        <f aca="false">IF(AND(ISNUMBER($G469),$G469&gt;=MA_LONG2),AVERAGE(INDEX($C$69:$C469,402-MA_LONG2):$C469),"")</f>
        <v>1195720.05</v>
      </c>
      <c r="L469" s="46" t="n">
        <f aca="false">IF(AND(ISNUMBER($G469),$G469&gt;=21),STDEV(INDEX($H$409:$H469,62-20):$H469)*SQRT(245),"")</f>
        <v>0.158091169074007</v>
      </c>
      <c r="M469" s="45" t="n">
        <f aca="false">IF(AND(ISNUMBER($G469),$G469&gt;=60),MAX(INDEX($D$269:$D469,202-60):$D469),"")</f>
        <v>1332150</v>
      </c>
      <c r="N469" s="45" t="n">
        <f aca="false">IF(AND(ISNUMBER($G469),$G469&gt;=60),MIN(INDEX($E$269:$E469,202-60):$E469),"")</f>
        <v>1123547</v>
      </c>
      <c r="O469" s="46" t="n">
        <f aca="false">IF(OR(NOT(ISNUMBER($C469)),NOT(ISNUMBER($M469)),$M469=0),"",$C469/$M469-1)</f>
        <v>-0.0273159929437375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1299742</v>
      </c>
      <c r="D470" s="42" t="n">
        <v>1303612</v>
      </c>
      <c r="E470" s="42" t="n">
        <v>1299014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0.00307232583786665</v>
      </c>
      <c r="I470" s="45" t="n">
        <f aca="false">IF(AND(ISNUMBER($G470),$G470&gt;=MA_SHORT),AVERAGE(INDEX($C$70:$C470,402-MA_SHORT):$C470),"")</f>
        <v>1282930.7</v>
      </c>
      <c r="J470" s="45" t="n">
        <f aca="false">IF(AND(ISNUMBER($G470),$G470&gt;=MA_MED),AVERAGE(INDEX($C$70:$C470,402-MA_MED):$C470),"")</f>
        <v>1259040.16</v>
      </c>
      <c r="K470" s="45" t="n">
        <f aca="false">IF(AND(ISNUMBER($G470),$G470&gt;=MA_LONG2),AVERAGE(INDEX($C$70:$C470,402-MA_LONG2):$C470),"")</f>
        <v>1196523.63</v>
      </c>
      <c r="L470" s="46" t="n">
        <f aca="false">IF(AND(ISNUMBER($G470),$G470&gt;=21),STDEV(INDEX($H$410:$H470,62-20):$H470)*SQRT(245),"")</f>
        <v>0.157697293823265</v>
      </c>
      <c r="M470" s="45" t="n">
        <f aca="false">IF(AND(ISNUMBER($G470),$G470&gt;=60),MAX(INDEX($D$270:$D470,202-60):$D470),"")</f>
        <v>1332150</v>
      </c>
      <c r="N470" s="45" t="n">
        <f aca="false">IF(AND(ISNUMBER($G470),$G470&gt;=60),MIN(INDEX($E$270:$E470,202-60):$E470),"")</f>
        <v>1123547</v>
      </c>
      <c r="O470" s="46" t="n">
        <f aca="false">IF(OR(NOT(ISNUMBER($C470)),NOT(ISNUMBER($M470)),$M470=0),"",$C470/$M470-1)</f>
        <v>-0.0243275907367789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1304355</v>
      </c>
      <c r="D471" s="42" t="n">
        <v>1305769</v>
      </c>
      <c r="E471" s="42" t="n">
        <v>1303420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0.00354916591138865</v>
      </c>
      <c r="I471" s="45" t="n">
        <f aca="false">IF(AND(ISNUMBER($G471),$G471&gt;=MA_SHORT),AVERAGE(INDEX($C$71:$C471,402-MA_SHORT):$C471),"")</f>
        <v>1284863.65</v>
      </c>
      <c r="J471" s="45" t="n">
        <f aca="false">IF(AND(ISNUMBER($G471),$G471&gt;=MA_MED),AVERAGE(INDEX($C$71:$C471,402-MA_MED):$C471),"")</f>
        <v>1261366.88</v>
      </c>
      <c r="K471" s="45" t="n">
        <f aca="false">IF(AND(ISNUMBER($G471),$G471&gt;=MA_LONG2),AVERAGE(INDEX($C$71:$C471,402-MA_LONG2):$C471),"")</f>
        <v>1197346.195</v>
      </c>
      <c r="L471" s="46" t="n">
        <f aca="false">IF(AND(ISNUMBER($G471),$G471&gt;=21),STDEV(INDEX($H$411:$H471,62-20):$H471)*SQRT(245),"")</f>
        <v>0.153655292186181</v>
      </c>
      <c r="M471" s="45" t="n">
        <f aca="false">IF(AND(ISNUMBER($G471),$G471&gt;=60),MAX(INDEX($D$271:$D471,202-60):$D471),"")</f>
        <v>1332150</v>
      </c>
      <c r="N471" s="45" t="n">
        <f aca="false">IF(AND(ISNUMBER($G471),$G471&gt;=60),MIN(INDEX($E$271:$E471,202-60):$E471),"")</f>
        <v>1123547</v>
      </c>
      <c r="O471" s="46" t="n">
        <f aca="false">IF(OR(NOT(ISNUMBER($C471)),NOT(ISNUMBER($M471)),$M471=0),"",$C471/$M471-1)</f>
        <v>-0.0208647674811395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1323598</v>
      </c>
      <c r="D472" s="42" t="n">
        <v>1324525</v>
      </c>
      <c r="E472" s="42" t="n">
        <v>1321286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0.0147528855257963</v>
      </c>
      <c r="I472" s="45" t="n">
        <f aca="false">IF(AND(ISNUMBER($G472),$G472&gt;=MA_SHORT),AVERAGE(INDEX($C$72:$C472,402-MA_SHORT):$C472),"")</f>
        <v>1287653.25</v>
      </c>
      <c r="J472" s="45" t="n">
        <f aca="false">IF(AND(ISNUMBER($G472),$G472&gt;=MA_MED),AVERAGE(INDEX($C$72:$C472,402-MA_MED):$C472),"")</f>
        <v>1263997.6</v>
      </c>
      <c r="K472" s="45" t="n">
        <f aca="false">IF(AND(ISNUMBER($G472),$G472&gt;=MA_LONG2),AVERAGE(INDEX($C$72:$C472,402-MA_LONG2):$C472),"")</f>
        <v>1198228.06</v>
      </c>
      <c r="L472" s="46" t="n">
        <f aca="false">IF(AND(ISNUMBER($G472),$G472&gt;=21),STDEV(INDEX($H$412:$H472,62-20):$H472)*SQRT(245),"")</f>
        <v>0.16045780546122</v>
      </c>
      <c r="M472" s="45" t="n">
        <f aca="false">IF(AND(ISNUMBER($G472),$G472&gt;=60),MAX(INDEX($D$272:$D472,202-60):$D472),"")</f>
        <v>1332150</v>
      </c>
      <c r="N472" s="45" t="n">
        <f aca="false">IF(AND(ISNUMBER($G472),$G472&gt;=60),MIN(INDEX($E$272:$E472,202-60):$E472),"")</f>
        <v>1123547</v>
      </c>
      <c r="O472" s="46" t="n">
        <f aca="false">IF(OR(NOT(ISNUMBER($C472)),NOT(ISNUMBER($M472)),$M472=0),"",$C472/$M472-1)</f>
        <v>-0.00641969748151483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1321133</v>
      </c>
      <c r="D473" s="42" t="n">
        <v>1323560</v>
      </c>
      <c r="E473" s="42" t="n">
        <v>1316475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-0.00186234793343598</v>
      </c>
      <c r="I473" s="45" t="n">
        <f aca="false">IF(AND(ISNUMBER($G473),$G473&gt;=MA_SHORT),AVERAGE(INDEX($C$73:$C473,402-MA_SHORT):$C473),"")</f>
        <v>1290042</v>
      </c>
      <c r="J473" s="45" t="n">
        <f aca="false">IF(AND(ISNUMBER($G473),$G473&gt;=MA_MED),AVERAGE(INDEX($C$73:$C473,402-MA_MED):$C473),"")</f>
        <v>1266350.32</v>
      </c>
      <c r="K473" s="45" t="n">
        <f aca="false">IF(AND(ISNUMBER($G473),$G473&gt;=MA_LONG2),AVERAGE(INDEX($C$73:$C473,402-MA_LONG2):$C473),"")</f>
        <v>1199152.99</v>
      </c>
      <c r="L473" s="46" t="n">
        <f aca="false">IF(AND(ISNUMBER($G473),$G473&gt;=21),STDEV(INDEX($H$413:$H473,62-20):$H473)*SQRT(245),"")</f>
        <v>0.16085410430557</v>
      </c>
      <c r="M473" s="45" t="n">
        <f aca="false">IF(AND(ISNUMBER($G473),$G473&gt;=60),MAX(INDEX($D$273:$D473,202-60):$D473),"")</f>
        <v>1332150</v>
      </c>
      <c r="N473" s="45" t="n">
        <f aca="false">IF(AND(ISNUMBER($G473),$G473&gt;=60),MIN(INDEX($E$273:$E473,202-60):$E473),"")</f>
        <v>1123547</v>
      </c>
      <c r="O473" s="46" t="n">
        <f aca="false">IF(OR(NOT(ISNUMBER($C473)),NOT(ISNUMBER($M473)),$M473=0),"",$C473/$M473-1)</f>
        <v>-0.00827008970461285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1305057</v>
      </c>
      <c r="D474" s="42" t="n">
        <v>1308476</v>
      </c>
      <c r="E474" s="42" t="n">
        <v>1300410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-0.0121683433840499</v>
      </c>
      <c r="I474" s="45" t="n">
        <f aca="false">IF(AND(ISNUMBER($G474),$G474&gt;=MA_SHORT),AVERAGE(INDEX($C$74:$C474,402-MA_SHORT):$C474),"")</f>
        <v>1291765.15</v>
      </c>
      <c r="J474" s="45" t="n">
        <f aca="false">IF(AND(ISNUMBER($G474),$G474&gt;=MA_MED),AVERAGE(INDEX($C$74:$C474,402-MA_MED):$C474),"")</f>
        <v>1268224.78</v>
      </c>
      <c r="K474" s="45" t="n">
        <f aca="false">IF(AND(ISNUMBER($G474),$G474&gt;=MA_LONG2),AVERAGE(INDEX($C$74:$C474,402-MA_LONG2):$C474),"")</f>
        <v>1199964.235</v>
      </c>
      <c r="L474" s="46" t="n">
        <f aca="false">IF(AND(ISNUMBER($G474),$G474&gt;=21),STDEV(INDEX($H$414:$H474,62-20):$H474)*SQRT(245),"")</f>
        <v>0.167768741607815</v>
      </c>
      <c r="M474" s="45" t="n">
        <f aca="false">IF(AND(ISNUMBER($G474),$G474&gt;=60),MAX(INDEX($D$274:$D474,202-60):$D474),"")</f>
        <v>1332150</v>
      </c>
      <c r="N474" s="45" t="n">
        <f aca="false">IF(AND(ISNUMBER($G474),$G474&gt;=60),MIN(INDEX($E$274:$E474,202-60):$E474),"")</f>
        <v>1123547</v>
      </c>
      <c r="O474" s="46" t="n">
        <f aca="false">IF(OR(NOT(ISNUMBER($C474)),NOT(ISNUMBER($M474)),$M474=0),"",$C474/$M474-1)</f>
        <v>-0.0203377997973201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1302945</v>
      </c>
      <c r="D475" s="42" t="n">
        <v>1307112</v>
      </c>
      <c r="E475" s="42" t="n">
        <v>1299743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-0.00161832011935115</v>
      </c>
      <c r="I475" s="45" t="n">
        <f aca="false">IF(AND(ISNUMBER($G475),$G475&gt;=MA_SHORT),AVERAGE(INDEX($C$75:$C475,402-MA_SHORT):$C475),"")</f>
        <v>1293911.25</v>
      </c>
      <c r="J475" s="45" t="n">
        <f aca="false">IF(AND(ISNUMBER($G475),$G475&gt;=MA_MED),AVERAGE(INDEX($C$75:$C475,402-MA_MED):$C475),"")</f>
        <v>1269946.06</v>
      </c>
      <c r="K475" s="45" t="n">
        <f aca="false">IF(AND(ISNUMBER($G475),$G475&gt;=MA_LONG2),AVERAGE(INDEX($C$75:$C475,402-MA_LONG2):$C475),"")</f>
        <v>1200816.315</v>
      </c>
      <c r="L475" s="46" t="n">
        <f aca="false">IF(AND(ISNUMBER($G475),$G475&gt;=21),STDEV(INDEX($H$415:$H475,62-20):$H475)*SQRT(245),"")</f>
        <v>0.16437084221267</v>
      </c>
      <c r="M475" s="45" t="n">
        <f aca="false">IF(AND(ISNUMBER($G475),$G475&gt;=60),MAX(INDEX($D$275:$D475,202-60):$D475),"")</f>
        <v>1332150</v>
      </c>
      <c r="N475" s="45" t="n">
        <f aca="false">IF(AND(ISNUMBER($G475),$G475&gt;=60),MIN(INDEX($E$275:$E475,202-60):$E475),"")</f>
        <v>1167727</v>
      </c>
      <c r="O475" s="46" t="n">
        <f aca="false">IF(OR(NOT(ISNUMBER($C475)),NOT(ISNUMBER($M475)),$M475=0),"",$C475/$M475-1)</f>
        <v>-0.0219232068460759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1298950</v>
      </c>
      <c r="D476" s="42" t="n">
        <v>1304238</v>
      </c>
      <c r="E476" s="42" t="n">
        <v>1292860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-0.00306613095717778</v>
      </c>
      <c r="I476" s="45" t="n">
        <f aca="false">IF(AND(ISNUMBER($G476),$G476&gt;=MA_SHORT),AVERAGE(INDEX($C$76:$C476,402-MA_SHORT):$C476),"")</f>
        <v>1295701.85</v>
      </c>
      <c r="J476" s="45" t="n">
        <f aca="false">IF(AND(ISNUMBER($G476),$G476&gt;=MA_MED),AVERAGE(INDEX($C$76:$C476,402-MA_MED):$C476),"")</f>
        <v>1271392.36</v>
      </c>
      <c r="K476" s="45" t="n">
        <f aca="false">IF(AND(ISNUMBER($G476),$G476&gt;=MA_LONG2),AVERAGE(INDEX($C$76:$C476,402-MA_LONG2):$C476),"")</f>
        <v>1201632.91</v>
      </c>
      <c r="L476" s="46" t="n">
        <f aca="false">IF(AND(ISNUMBER($G476),$G476&gt;=21),STDEV(INDEX($H$416:$H476,62-20):$H476)*SQRT(245),"")</f>
        <v>0.165188734823068</v>
      </c>
      <c r="M476" s="45" t="n">
        <f aca="false">IF(AND(ISNUMBER($G476),$G476&gt;=60),MAX(INDEX($D$276:$D476,202-60):$D476),"")</f>
        <v>1332150</v>
      </c>
      <c r="N476" s="45" t="n">
        <f aca="false">IF(AND(ISNUMBER($G476),$G476&gt;=60),MIN(INDEX($E$276:$E476,202-60):$E476),"")</f>
        <v>1176091</v>
      </c>
      <c r="O476" s="46" t="n">
        <f aca="false">IF(OR(NOT(ISNUMBER($C476)),NOT(ISNUMBER($M476)),$M476=0),"",$C476/$M476-1)</f>
        <v>-0.0249221183800623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1300107</v>
      </c>
      <c r="D477" s="42" t="n">
        <v>1303807</v>
      </c>
      <c r="E477" s="42" t="n">
        <v>1299500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0.000890719427229625</v>
      </c>
      <c r="I477" s="45" t="n">
        <f aca="false">IF(AND(ISNUMBER($G477),$G477&gt;=MA_SHORT),AVERAGE(INDEX($C$77:$C477,402-MA_SHORT):$C477),"")</f>
        <v>1296895.15</v>
      </c>
      <c r="J477" s="45" t="n">
        <f aca="false">IF(AND(ISNUMBER($G477),$G477&gt;=MA_MED),AVERAGE(INDEX($C$77:$C477,402-MA_MED):$C477),"")</f>
        <v>1272964.02</v>
      </c>
      <c r="K477" s="45" t="n">
        <f aca="false">IF(AND(ISNUMBER($G477),$G477&gt;=MA_LONG2),AVERAGE(INDEX($C$77:$C477,402-MA_LONG2):$C477),"")</f>
        <v>1202440.315</v>
      </c>
      <c r="L477" s="46" t="n">
        <f aca="false">IF(AND(ISNUMBER($G477),$G477&gt;=21),STDEV(INDEX($H$417:$H477,62-20):$H477)*SQRT(245),"")</f>
        <v>0.161885875652059</v>
      </c>
      <c r="M477" s="45" t="n">
        <f aca="false">IF(AND(ISNUMBER($G477),$G477&gt;=60),MAX(INDEX($D$277:$D477,202-60):$D477),"")</f>
        <v>1332150</v>
      </c>
      <c r="N477" s="45" t="n">
        <f aca="false">IF(AND(ISNUMBER($G477),$G477&gt;=60),MIN(INDEX($E$277:$E477,202-60):$E477),"")</f>
        <v>1176091</v>
      </c>
      <c r="O477" s="46" t="n">
        <f aca="false">IF(OR(NOT(ISNUMBER($C477)),NOT(ISNUMBER($M477)),$M477=0),"",$C477/$M477-1)</f>
        <v>-0.0240535975678414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1300427</v>
      </c>
      <c r="D478" s="42" t="n">
        <v>1300684</v>
      </c>
      <c r="E478" s="42" t="n">
        <v>1296694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0.000246133587466169</v>
      </c>
      <c r="I478" s="45" t="n">
        <f aca="false">IF(AND(ISNUMBER($G478),$G478&gt;=MA_SHORT),AVERAGE(INDEX($C$78:$C478,402-MA_SHORT):$C478),"")</f>
        <v>1298311.2</v>
      </c>
      <c r="J478" s="45" t="n">
        <f aca="false">IF(AND(ISNUMBER($G478),$G478&gt;=MA_MED),AVERAGE(INDEX($C$78:$C478,402-MA_MED):$C478),"")</f>
        <v>1274245.86</v>
      </c>
      <c r="K478" s="45" t="n">
        <f aca="false">IF(AND(ISNUMBER($G478),$G478&gt;=MA_LONG2),AVERAGE(INDEX($C$78:$C478,402-MA_LONG2):$C478),"")</f>
        <v>1203288.385</v>
      </c>
      <c r="L478" s="46" t="n">
        <f aca="false">IF(AND(ISNUMBER($G478),$G478&gt;=21),STDEV(INDEX($H$418:$H478,62-20):$H478)*SQRT(245),"")</f>
        <v>0.161172977422463</v>
      </c>
      <c r="M478" s="45" t="n">
        <f aca="false">IF(AND(ISNUMBER($G478),$G478&gt;=60),MAX(INDEX($D$278:$D478,202-60):$D478),"")</f>
        <v>1332150</v>
      </c>
      <c r="N478" s="45" t="n">
        <f aca="false">IF(AND(ISNUMBER($G478),$G478&gt;=60),MIN(INDEX($E$278:$E478,202-60):$E478),"")</f>
        <v>1184722</v>
      </c>
      <c r="O478" s="46" t="n">
        <f aca="false">IF(OR(NOT(ISNUMBER($C478)),NOT(ISNUMBER($M478)),$M478=0),"",$C478/$M478-1)</f>
        <v>-0.023813384378636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1309469</v>
      </c>
      <c r="D479" s="42" t="n">
        <v>1313654</v>
      </c>
      <c r="E479" s="42" t="n">
        <v>1307775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0.0069531007892023</v>
      </c>
      <c r="I479" s="45" t="n">
        <f aca="false">IF(AND(ISNUMBER($G479),$G479&gt;=MA_SHORT),AVERAGE(INDEX($C$79:$C479,402-MA_SHORT):$C479),"")</f>
        <v>1300833.1</v>
      </c>
      <c r="J479" s="45" t="n">
        <f aca="false">IF(AND(ISNUMBER($G479),$G479&gt;=MA_MED),AVERAGE(INDEX($C$79:$C479,402-MA_MED):$C479),"")</f>
        <v>1275978.14</v>
      </c>
      <c r="K479" s="45" t="n">
        <f aca="false">IF(AND(ISNUMBER($G479),$G479&gt;=MA_LONG2),AVERAGE(INDEX($C$79:$C479,402-MA_LONG2):$C479),"")</f>
        <v>1204184.8</v>
      </c>
      <c r="L479" s="46" t="n">
        <f aca="false">IF(AND(ISNUMBER($G479),$G479&gt;=21),STDEV(INDEX($H$419:$H479,62-20):$H479)*SQRT(245),"")</f>
        <v>0.156635178932638</v>
      </c>
      <c r="M479" s="45" t="n">
        <f aca="false">IF(AND(ISNUMBER($G479),$G479&gt;=60),MAX(INDEX($D$279:$D479,202-60):$D479),"")</f>
        <v>1332150</v>
      </c>
      <c r="N479" s="45" t="n">
        <f aca="false">IF(AND(ISNUMBER($G479),$G479&gt;=60),MIN(INDEX($E$279:$E479,202-60):$E479),"")</f>
        <v>1184722</v>
      </c>
      <c r="O479" s="46" t="n">
        <f aca="false">IF(OR(NOT(ISNUMBER($C479)),NOT(ISNUMBER($M479)),$M479=0),"",$C479/$M479-1)</f>
        <v>-0.0170258604511504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1302804</v>
      </c>
      <c r="D480" s="42" t="n">
        <v>1307729</v>
      </c>
      <c r="E480" s="42" t="n">
        <v>1301425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-0.00508984939696933</v>
      </c>
      <c r="I480" s="45" t="n">
        <f aca="false">IF(AND(ISNUMBER($G480),$G480&gt;=MA_SHORT),AVERAGE(INDEX($C$80:$C480,402-MA_SHORT):$C480),"")</f>
        <v>1302306.75</v>
      </c>
      <c r="J480" s="45" t="n">
        <f aca="false">IF(AND(ISNUMBER($G480),$G480&gt;=MA_MED),AVERAGE(INDEX($C$80:$C480,402-MA_MED):$C480),"")</f>
        <v>1277551.12</v>
      </c>
      <c r="K480" s="45" t="n">
        <f aca="false">IF(AND(ISNUMBER($G480),$G480&gt;=MA_LONG2),AVERAGE(INDEX($C$80:$C480,402-MA_LONG2):$C480),"")</f>
        <v>1205067.265</v>
      </c>
      <c r="L480" s="46" t="n">
        <f aca="false">IF(AND(ISNUMBER($G480),$G480&gt;=21),STDEV(INDEX($H$420:$H480,62-20):$H480)*SQRT(245),"")</f>
        <v>0.154547191893029</v>
      </c>
      <c r="M480" s="45" t="n">
        <f aca="false">IF(AND(ISNUMBER($G480),$G480&gt;=60),MAX(INDEX($D$280:$D480,202-60):$D480),"")</f>
        <v>1332150</v>
      </c>
      <c r="N480" s="45" t="n">
        <f aca="false">IF(AND(ISNUMBER($G480),$G480&gt;=60),MIN(INDEX($E$280:$E480,202-60):$E480),"")</f>
        <v>1184722</v>
      </c>
      <c r="O480" s="46" t="n">
        <f aca="false">IF(OR(NOT(ISNUMBER($C480)),NOT(ISNUMBER($M480)),$M480=0),"",$C480/$M480-1)</f>
        <v>-0.0220290507825696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1288836</v>
      </c>
      <c r="D481" s="42" t="n">
        <v>1296552</v>
      </c>
      <c r="E481" s="42" t="n">
        <v>1285972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-0.0107214899555114</v>
      </c>
      <c r="I481" s="45" t="n">
        <f aca="false">IF(AND(ISNUMBER($G481),$G481&gt;=MA_SHORT),AVERAGE(INDEX($C$81:$C481,402-MA_SHORT):$C481),"")</f>
        <v>1302966.75</v>
      </c>
      <c r="J481" s="45" t="n">
        <f aca="false">IF(AND(ISNUMBER($G481),$G481&gt;=MA_MED),AVERAGE(INDEX($C$81:$C481,402-MA_MED):$C481),"")</f>
        <v>1279119.14</v>
      </c>
      <c r="K481" s="45" t="n">
        <f aca="false">IF(AND(ISNUMBER($G481),$G481&gt;=MA_LONG2),AVERAGE(INDEX($C$81:$C481,402-MA_LONG2):$C481),"")</f>
        <v>1205814.705</v>
      </c>
      <c r="L481" s="46" t="n">
        <f aca="false">IF(AND(ISNUMBER($G481),$G481&gt;=21),STDEV(INDEX($H$421:$H481,62-20):$H481)*SQRT(245),"")</f>
        <v>0.160026636957409</v>
      </c>
      <c r="M481" s="45" t="n">
        <f aca="false">IF(AND(ISNUMBER($G481),$G481&gt;=60),MAX(INDEX($D$281:$D481,202-60):$D481),"")</f>
        <v>1332150</v>
      </c>
      <c r="N481" s="45" t="n">
        <f aca="false">IF(AND(ISNUMBER($G481),$G481&gt;=60),MIN(INDEX($E$281:$E481,202-60):$E481),"")</f>
        <v>1187803</v>
      </c>
      <c r="O481" s="46" t="n">
        <f aca="false">IF(OR(NOT(ISNUMBER($C481)),NOT(ISNUMBER($M481)),$M481=0),"",$C481/$M481-1)</f>
        <v>-0.0325143564913861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1294498</v>
      </c>
      <c r="D482" s="42" t="n">
        <v>1295701</v>
      </c>
      <c r="E482" s="42" t="n">
        <v>1290404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0.0043931113035327</v>
      </c>
      <c r="I482" s="45" t="n">
        <f aca="false">IF(AND(ISNUMBER($G482),$G482&gt;=MA_SHORT),AVERAGE(INDEX($C$82:$C482,402-MA_SHORT):$C482),"")</f>
        <v>1302693.85</v>
      </c>
      <c r="J482" s="45" t="n">
        <f aca="false">IF(AND(ISNUMBER($G482),$G482&gt;=MA_MED),AVERAGE(INDEX($C$82:$C482,402-MA_MED):$C482),"")</f>
        <v>1280892.98</v>
      </c>
      <c r="K482" s="45" t="n">
        <f aca="false">IF(AND(ISNUMBER($G482),$G482&gt;=MA_LONG2),AVERAGE(INDEX($C$82:$C482,402-MA_LONG2):$C482),"")</f>
        <v>1206471.53</v>
      </c>
      <c r="L482" s="46" t="n">
        <f aca="false">IF(AND(ISNUMBER($G482),$G482&gt;=21),STDEV(INDEX($H$422:$H482,62-20):$H482)*SQRT(245),"")</f>
        <v>0.145757633175341</v>
      </c>
      <c r="M482" s="45" t="n">
        <f aca="false">IF(AND(ISNUMBER($G482),$G482&gt;=60),MAX(INDEX($D$282:$D482,202-60):$D482),"")</f>
        <v>1332150</v>
      </c>
      <c r="N482" s="45" t="n">
        <f aca="false">IF(AND(ISNUMBER($G482),$G482&gt;=60),MIN(INDEX($E$282:$E482,202-60):$E482),"")</f>
        <v>1189834</v>
      </c>
      <c r="O482" s="46" t="n">
        <f aca="false">IF(OR(NOT(ISNUMBER($C482)),NOT(ISNUMBER($M482)),$M482=0),"",$C482/$M482-1)</f>
        <v>-0.0282640843748827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1298217</v>
      </c>
      <c r="D483" s="42" t="n">
        <v>1303125</v>
      </c>
      <c r="E483" s="42" t="n">
        <v>1297077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0.00287292834751396</v>
      </c>
      <c r="I483" s="45" t="n">
        <f aca="false">IF(AND(ISNUMBER($G483),$G483&gt;=MA_SHORT),AVERAGE(INDEX($C$83:$C483,402-MA_SHORT):$C483),"")</f>
        <v>1301576.65</v>
      </c>
      <c r="J483" s="45" t="n">
        <f aca="false">IF(AND(ISNUMBER($G483),$G483&gt;=MA_MED),AVERAGE(INDEX($C$83:$C483,402-MA_MED):$C483),"")</f>
        <v>1282945.58</v>
      </c>
      <c r="K483" s="45" t="n">
        <f aca="false">IF(AND(ISNUMBER($G483),$G483&gt;=MA_LONG2),AVERAGE(INDEX($C$83:$C483,402-MA_LONG2):$C483),"")</f>
        <v>1207055.71</v>
      </c>
      <c r="L483" s="46" t="n">
        <f aca="false">IF(AND(ISNUMBER($G483),$G483&gt;=21),STDEV(INDEX($H$423:$H483,62-20):$H483)*SQRT(245),"")</f>
        <v>0.133965930251231</v>
      </c>
      <c r="M483" s="45" t="n">
        <f aca="false">IF(AND(ISNUMBER($G483),$G483&gt;=60),MAX(INDEX($D$283:$D483,202-60):$D483),"")</f>
        <v>1332150</v>
      </c>
      <c r="N483" s="45" t="n">
        <f aca="false">IF(AND(ISNUMBER($G483),$G483&gt;=60),MIN(INDEX($E$283:$E483,202-60):$E483),"")</f>
        <v>1189834</v>
      </c>
      <c r="O483" s="46" t="n">
        <f aca="false">IF(OR(NOT(ISNUMBER($C483)),NOT(ISNUMBER($M483)),$M483=0),"",$C483/$M483-1)</f>
        <v>-0.025472356716586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1283609</v>
      </c>
      <c r="D484" s="42" t="n">
        <v>1285866</v>
      </c>
      <c r="E484" s="42" t="n">
        <v>1282140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-0.0112523561161193</v>
      </c>
      <c r="I484" s="45" t="n">
        <f aca="false">IF(AND(ISNUMBER($G484),$G484&gt;=MA_SHORT),AVERAGE(INDEX($C$84:$C484,402-MA_SHORT):$C484),"")</f>
        <v>1299711.25</v>
      </c>
      <c r="J484" s="45" t="n">
        <f aca="false">IF(AND(ISNUMBER($G484),$G484&gt;=MA_MED),AVERAGE(INDEX($C$84:$C484,402-MA_MED):$C484),"")</f>
        <v>1284374.06</v>
      </c>
      <c r="K484" s="45" t="n">
        <f aca="false">IF(AND(ISNUMBER($G484),$G484&gt;=MA_LONG2),AVERAGE(INDEX($C$84:$C484,402-MA_LONG2):$C484),"")</f>
        <v>1207526.87</v>
      </c>
      <c r="L484" s="46" t="n">
        <f aca="false">IF(AND(ISNUMBER($G484),$G484&gt;=21),STDEV(INDEX($H$424:$H484,62-20):$H484)*SQRT(245),"")</f>
        <v>0.13874421720328</v>
      </c>
      <c r="M484" s="45" t="n">
        <f aca="false">IF(AND(ISNUMBER($G484),$G484&gt;=60),MAX(INDEX($D$284:$D484,202-60):$D484),"")</f>
        <v>1332150</v>
      </c>
      <c r="N484" s="45" t="n">
        <f aca="false">IF(AND(ISNUMBER($G484),$G484&gt;=60),MIN(INDEX($E$284:$E484,202-60):$E484),"")</f>
        <v>1189834</v>
      </c>
      <c r="O484" s="46" t="n">
        <f aca="false">IF(OR(NOT(ISNUMBER($C484)),NOT(ISNUMBER($M484)),$M484=0),"",$C484/$M484-1)</f>
        <v>-0.0364380888038134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1282072</v>
      </c>
      <c r="D485" s="42" t="n">
        <v>1283394</v>
      </c>
      <c r="E485" s="42" t="n">
        <v>1279884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-0.00119740512882038</v>
      </c>
      <c r="I485" s="45" t="n">
        <f aca="false">IF(AND(ISNUMBER($G485),$G485&gt;=MA_SHORT),AVERAGE(INDEX($C$85:$C485,402-MA_SHORT):$C485),"")</f>
        <v>1297940.8</v>
      </c>
      <c r="J485" s="45" t="n">
        <f aca="false">IF(AND(ISNUMBER($G485),$G485&gt;=MA_MED),AVERAGE(INDEX($C$85:$C485,402-MA_MED):$C485),"")</f>
        <v>1285262.44</v>
      </c>
      <c r="K485" s="45" t="n">
        <f aca="false">IF(AND(ISNUMBER($G485),$G485&gt;=MA_LONG2),AVERAGE(INDEX($C$85:$C485,402-MA_LONG2):$C485),"")</f>
        <v>1208065.57</v>
      </c>
      <c r="L485" s="46" t="n">
        <f aca="false">IF(AND(ISNUMBER($G485),$G485&gt;=21),STDEV(INDEX($H$425:$H485,62-20):$H485)*SQRT(245),"")</f>
        <v>0.138673701908883</v>
      </c>
      <c r="M485" s="45" t="n">
        <f aca="false">IF(AND(ISNUMBER($G485),$G485&gt;=60),MAX(INDEX($D$285:$D485,202-60):$D485),"")</f>
        <v>1332150</v>
      </c>
      <c r="N485" s="45" t="n">
        <f aca="false">IF(AND(ISNUMBER($G485),$G485&gt;=60),MIN(INDEX($E$285:$E485,202-60):$E485),"")</f>
        <v>1189834</v>
      </c>
      <c r="O485" s="46" t="n">
        <f aca="false">IF(OR(NOT(ISNUMBER($C485)),NOT(ISNUMBER($M485)),$M485=0),"",$C485/$M485-1)</f>
        <v>-0.0375918627782157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1293902</v>
      </c>
      <c r="D486" s="42" t="n">
        <v>1295044</v>
      </c>
      <c r="E486" s="42" t="n">
        <v>1290468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0.00922725088762566</v>
      </c>
      <c r="I486" s="45" t="n">
        <f aca="false">IF(AND(ISNUMBER($G486),$G486&gt;=MA_SHORT),AVERAGE(INDEX($C$86:$C486,402-MA_SHORT):$C486),"")</f>
        <v>1297943.85</v>
      </c>
      <c r="J486" s="45" t="n">
        <f aca="false">IF(AND(ISNUMBER($G486),$G486&gt;=MA_MED),AVERAGE(INDEX($C$86:$C486,402-MA_MED):$C486),"")</f>
        <v>1286607.78</v>
      </c>
      <c r="K486" s="45" t="n">
        <f aca="false">IF(AND(ISNUMBER($G486),$G486&gt;=MA_LONG2),AVERAGE(INDEX($C$86:$C486,402-MA_LONG2):$C486),"")</f>
        <v>1208752.41</v>
      </c>
      <c r="L486" s="46" t="n">
        <f aca="false">IF(AND(ISNUMBER($G486),$G486&gt;=21),STDEV(INDEX($H$426:$H486,62-20):$H486)*SQRT(245),"")</f>
        <v>0.128950935703676</v>
      </c>
      <c r="M486" s="45" t="n">
        <f aca="false">IF(AND(ISNUMBER($G486),$G486&gt;=60),MAX(INDEX($D$286:$D486,202-60):$D486),"")</f>
        <v>1332150</v>
      </c>
      <c r="N486" s="45" t="n">
        <f aca="false">IF(AND(ISNUMBER($G486),$G486&gt;=60),MIN(INDEX($E$286:$E486,202-60):$E486),"")</f>
        <v>1189834</v>
      </c>
      <c r="O486" s="46" t="n">
        <f aca="false">IF(OR(NOT(ISNUMBER($C486)),NOT(ISNUMBER($M486)),$M486=0),"",$C486/$M486-1)</f>
        <v>-0.0287114814397778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1287756</v>
      </c>
      <c r="D487" s="42" t="n">
        <v>1292141</v>
      </c>
      <c r="E487" s="42" t="n">
        <v>1284584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-0.00474997333646599</v>
      </c>
      <c r="I487" s="45" t="n">
        <f aca="false">IF(AND(ISNUMBER($G487),$G487&gt;=MA_SHORT),AVERAGE(INDEX($C$87:$C487,402-MA_SHORT):$C487),"")</f>
        <v>1298715.8</v>
      </c>
      <c r="J487" s="45" t="n">
        <f aca="false">IF(AND(ISNUMBER($G487),$G487&gt;=MA_MED),AVERAGE(INDEX($C$87:$C487,402-MA_MED):$C487),"")</f>
        <v>1287747.76</v>
      </c>
      <c r="K487" s="45" t="n">
        <f aca="false">IF(AND(ISNUMBER($G487),$G487&gt;=MA_LONG2),AVERAGE(INDEX($C$87:$C487,402-MA_LONG2):$C487),"")</f>
        <v>1209347.3</v>
      </c>
      <c r="L487" s="46" t="n">
        <f aca="false">IF(AND(ISNUMBER($G487),$G487&gt;=21),STDEV(INDEX($H$427:$H487,62-20):$H487)*SQRT(245),"")</f>
        <v>0.11510423550715</v>
      </c>
      <c r="M487" s="45" t="n">
        <f aca="false">IF(AND(ISNUMBER($G487),$G487&gt;=60),MAX(INDEX($D$287:$D487,202-60):$D487),"")</f>
        <v>1332150</v>
      </c>
      <c r="N487" s="45" t="n">
        <f aca="false">IF(AND(ISNUMBER($G487),$G487&gt;=60),MIN(INDEX($E$287:$E487,202-60):$E487),"")</f>
        <v>1189834</v>
      </c>
      <c r="O487" s="46" t="n">
        <f aca="false">IF(OR(NOT(ISNUMBER($C487)),NOT(ISNUMBER($M487)),$M487=0),"",$C487/$M487-1)</f>
        <v>-0.0333250760049544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1311503</v>
      </c>
      <c r="D488" s="42" t="n">
        <v>1313059</v>
      </c>
      <c r="E488" s="42" t="n">
        <v>1309963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0.018440605207819</v>
      </c>
      <c r="I488" s="45" t="n">
        <f aca="false">IF(AND(ISNUMBER($G488),$G488&gt;=MA_SHORT),AVERAGE(INDEX($C$88:$C488,402-MA_SHORT):$C488),"")</f>
        <v>1300237.05</v>
      </c>
      <c r="J488" s="45" t="n">
        <f aca="false">IF(AND(ISNUMBER($G488),$G488&gt;=MA_MED),AVERAGE(INDEX($C$88:$C488,402-MA_MED):$C488),"")</f>
        <v>1289223.14</v>
      </c>
      <c r="K488" s="45" t="n">
        <f aca="false">IF(AND(ISNUMBER($G488),$G488&gt;=MA_LONG2),AVERAGE(INDEX($C$88:$C488,402-MA_LONG2):$C488),"")</f>
        <v>1210059.66</v>
      </c>
      <c r="L488" s="46" t="n">
        <f aca="false">IF(AND(ISNUMBER($G488),$G488&gt;=21),STDEV(INDEX($H$428:$H488,62-20):$H488)*SQRT(245),"")</f>
        <v>0.129417982790851</v>
      </c>
      <c r="M488" s="45" t="n">
        <f aca="false">IF(AND(ISNUMBER($G488),$G488&gt;=60),MAX(INDEX($D$288:$D488,202-60):$D488),"")</f>
        <v>1332150</v>
      </c>
      <c r="N488" s="45" t="n">
        <f aca="false">IF(AND(ISNUMBER($G488),$G488&gt;=60),MIN(INDEX($E$288:$E488,202-60):$E488),"")</f>
        <v>1189834</v>
      </c>
      <c r="O488" s="46" t="n">
        <f aca="false">IF(OR(NOT(ISNUMBER($C488)),NOT(ISNUMBER($M488)),$M488=0),"",$C488/$M488-1)</f>
        <v>-0.0154990053672635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1313415</v>
      </c>
      <c r="D489" s="42" t="n">
        <v>1314110</v>
      </c>
      <c r="E489" s="42" t="n">
        <v>1312596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0.00145786933007397</v>
      </c>
      <c r="I489" s="45" t="n">
        <f aca="false">IF(AND(ISNUMBER($G489),$G489&gt;=MA_SHORT),AVERAGE(INDEX($C$89:$C489,402-MA_SHORT):$C489),"")</f>
        <v>1301119.75</v>
      </c>
      <c r="J489" s="45" t="n">
        <f aca="false">IF(AND(ISNUMBER($G489),$G489&gt;=MA_MED),AVERAGE(INDEX($C$89:$C489,402-MA_MED):$C489),"")</f>
        <v>1290805.6</v>
      </c>
      <c r="K489" s="45" t="n">
        <f aca="false">IF(AND(ISNUMBER($G489),$G489&gt;=MA_LONG2),AVERAGE(INDEX($C$89:$C489,402-MA_LONG2):$C489),"")</f>
        <v>1210782.48</v>
      </c>
      <c r="L489" s="46" t="n">
        <f aca="false">IF(AND(ISNUMBER($G489),$G489&gt;=21),STDEV(INDEX($H$429:$H489,62-20):$H489)*SQRT(245),"")</f>
        <v>0.123811526445763</v>
      </c>
      <c r="M489" s="45" t="n">
        <f aca="false">IF(AND(ISNUMBER($G489),$G489&gt;=60),MAX(INDEX($D$289:$D489,202-60):$D489),"")</f>
        <v>1332150</v>
      </c>
      <c r="N489" s="45" t="n">
        <f aca="false">IF(AND(ISNUMBER($G489),$G489&gt;=60),MIN(INDEX($E$289:$E489,202-60):$E489),"")</f>
        <v>1189834</v>
      </c>
      <c r="O489" s="46" t="n">
        <f aca="false">IF(OR(NOT(ISNUMBER($C489)),NOT(ISNUMBER($M489)),$M489=0),"",$C489/$M489-1)</f>
        <v>-0.0140637315617611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1302803</v>
      </c>
      <c r="D490" s="42" t="n">
        <v>1308356</v>
      </c>
      <c r="E490" s="42" t="n">
        <v>1299873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-0.00807970062775287</v>
      </c>
      <c r="I490" s="45" t="n">
        <f aca="false">IF(AND(ISNUMBER($G490),$G490&gt;=MA_SHORT),AVERAGE(INDEX($C$90:$C490,402-MA_SHORT):$C490),"")</f>
        <v>1301272.8</v>
      </c>
      <c r="J490" s="45" t="n">
        <f aca="false">IF(AND(ISNUMBER($G490),$G490&gt;=MA_MED),AVERAGE(INDEX($C$90:$C490,402-MA_MED):$C490),"")</f>
        <v>1291703.44</v>
      </c>
      <c r="K490" s="45" t="n">
        <f aca="false">IF(AND(ISNUMBER($G490),$G490&gt;=MA_LONG2),AVERAGE(INDEX($C$90:$C490,402-MA_LONG2):$C490),"")</f>
        <v>1211431.67</v>
      </c>
      <c r="L490" s="46" t="n">
        <f aca="false">IF(AND(ISNUMBER($G490),$G490&gt;=21),STDEV(INDEX($H$430:$H490,62-20):$H490)*SQRT(245),"")</f>
        <v>0.127170647244845</v>
      </c>
      <c r="M490" s="45" t="n">
        <f aca="false">IF(AND(ISNUMBER($G490),$G490&gt;=60),MAX(INDEX($D$290:$D490,202-60):$D490),"")</f>
        <v>1332150</v>
      </c>
      <c r="N490" s="45" t="n">
        <f aca="false">IF(AND(ISNUMBER($G490),$G490&gt;=60),MIN(INDEX($E$290:$E490,202-60):$E490),"")</f>
        <v>1189834</v>
      </c>
      <c r="O490" s="46" t="n">
        <f aca="false">IF(OR(NOT(ISNUMBER($C490)),NOT(ISNUMBER($M490)),$M490=0),"",$C490/$M490-1)</f>
        <v>-0.0220298014487857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1307298</v>
      </c>
      <c r="D491" s="42" t="n">
        <v>1310397</v>
      </c>
      <c r="E491" s="42" t="n">
        <v>1305465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0.00345025303134849</v>
      </c>
      <c r="I491" s="45" t="n">
        <f aca="false">IF(AND(ISNUMBER($G491),$G491&gt;=MA_SHORT),AVERAGE(INDEX($C$91:$C491,402-MA_SHORT):$C491),"")</f>
        <v>1301419.95</v>
      </c>
      <c r="J491" s="45" t="n">
        <f aca="false">IF(AND(ISNUMBER($G491),$G491&gt;=MA_MED),AVERAGE(INDEX($C$91:$C491,402-MA_MED):$C491),"")</f>
        <v>1292241.88</v>
      </c>
      <c r="K491" s="45" t="n">
        <f aca="false">IF(AND(ISNUMBER($G491),$G491&gt;=MA_LONG2),AVERAGE(INDEX($C$91:$C491,402-MA_LONG2):$C491),"")</f>
        <v>1212092.795</v>
      </c>
      <c r="L491" s="46" t="n">
        <f aca="false">IF(AND(ISNUMBER($G491),$G491&gt;=21),STDEV(INDEX($H$431:$H491,62-20):$H491)*SQRT(245),"")</f>
        <v>0.127137011042771</v>
      </c>
      <c r="M491" s="45" t="n">
        <f aca="false">IF(AND(ISNUMBER($G491),$G491&gt;=60),MAX(INDEX($D$291:$D491,202-60):$D491),"")</f>
        <v>1332150</v>
      </c>
      <c r="N491" s="45" t="n">
        <f aca="false">IF(AND(ISNUMBER($G491),$G491&gt;=60),MIN(INDEX($E$291:$E491,202-60):$E491),"")</f>
        <v>1189834</v>
      </c>
      <c r="O491" s="46" t="n">
        <f aca="false">IF(OR(NOT(ISNUMBER($C491)),NOT(ISNUMBER($M491)),$M491=0),"",$C491/$M491-1)</f>
        <v>-0.0186555568066659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1319646</v>
      </c>
      <c r="D492" s="42" t="n">
        <v>1319690</v>
      </c>
      <c r="E492" s="42" t="n">
        <v>1318210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0.00944543631214923</v>
      </c>
      <c r="I492" s="45" t="n">
        <f aca="false">IF(AND(ISNUMBER($G492),$G492&gt;=MA_SHORT),AVERAGE(INDEX($C$92:$C492,402-MA_SHORT):$C492),"")</f>
        <v>1301222.35</v>
      </c>
      <c r="J492" s="45" t="n">
        <f aca="false">IF(AND(ISNUMBER($G492),$G492&gt;=MA_MED),AVERAGE(INDEX($C$92:$C492,402-MA_MED):$C492),"")</f>
        <v>1292819.02</v>
      </c>
      <c r="K492" s="45" t="n">
        <f aca="false">IF(AND(ISNUMBER($G492),$G492&gt;=MA_LONG2),AVERAGE(INDEX($C$92:$C492,402-MA_LONG2):$C492),"")</f>
        <v>1212817.525</v>
      </c>
      <c r="L492" s="46" t="n">
        <f aca="false">IF(AND(ISNUMBER($G492),$G492&gt;=21),STDEV(INDEX($H$432:$H492,62-20):$H492)*SQRT(245),"")</f>
        <v>0.120454440636925</v>
      </c>
      <c r="M492" s="45" t="n">
        <f aca="false">IF(AND(ISNUMBER($G492),$G492&gt;=60),MAX(INDEX($D$292:$D492,202-60):$D492),"")</f>
        <v>1332150</v>
      </c>
      <c r="N492" s="45" t="n">
        <f aca="false">IF(AND(ISNUMBER($G492),$G492&gt;=60),MIN(INDEX($E$292:$E492,202-60):$E492),"")</f>
        <v>1189834</v>
      </c>
      <c r="O492" s="46" t="n">
        <f aca="false">IF(OR(NOT(ISNUMBER($C492)),NOT(ISNUMBER($M492)),$M492=0),"",$C492/$M492-1)</f>
        <v>-0.0093863303682018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1339549</v>
      </c>
      <c r="D493" s="42" t="n">
        <v>1340310</v>
      </c>
      <c r="E493" s="42" t="n">
        <v>1335853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0.0150820750413367</v>
      </c>
      <c r="I493" s="45" t="n">
        <f aca="false">IF(AND(ISNUMBER($G493),$G493&gt;=MA_SHORT),AVERAGE(INDEX($C$93:$C493,402-MA_SHORT):$C493),"")</f>
        <v>1302143.15</v>
      </c>
      <c r="J493" s="45" t="n">
        <f aca="false">IF(AND(ISNUMBER($G493),$G493&gt;=MA_MED),AVERAGE(INDEX($C$93:$C493,402-MA_MED):$C493),"")</f>
        <v>1293824.34</v>
      </c>
      <c r="K493" s="45" t="n">
        <f aca="false">IF(AND(ISNUMBER($G493),$G493&gt;=MA_LONG2),AVERAGE(INDEX($C$93:$C493,402-MA_LONG2):$C493),"")</f>
        <v>1213666.2</v>
      </c>
      <c r="L493" s="46" t="n">
        <f aca="false">IF(AND(ISNUMBER($G493),$G493&gt;=21),STDEV(INDEX($H$433:$H493,62-20):$H493)*SQRT(245),"")</f>
        <v>0.131398822180772</v>
      </c>
      <c r="M493" s="45" t="n">
        <f aca="false">IF(AND(ISNUMBER($G493),$G493&gt;=60),MAX(INDEX($D$293:$D493,202-60):$D493),"")</f>
        <v>1340310</v>
      </c>
      <c r="N493" s="45" t="n">
        <f aca="false">IF(AND(ISNUMBER($G493),$G493&gt;=60),MIN(INDEX($E$293:$E493,202-60):$E493),"")</f>
        <v>1208732</v>
      </c>
      <c r="O493" s="46" t="n">
        <f aca="false">IF(OR(NOT(ISNUMBER($C493)),NOT(ISNUMBER($M493)),$M493=0),"",$C493/$M493-1)</f>
        <v>-0.000567779095880794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1344635</v>
      </c>
      <c r="D494" s="42" t="n">
        <v>1345448</v>
      </c>
      <c r="E494" s="42" t="n">
        <v>1342862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0.0037968002663582</v>
      </c>
      <c r="I494" s="45" t="n">
        <f aca="false">IF(AND(ISNUMBER($G494),$G494&gt;=MA_SHORT),AVERAGE(INDEX($C$94:$C494,402-MA_SHORT):$C494),"")</f>
        <v>1304122.05</v>
      </c>
      <c r="J494" s="45" t="n">
        <f aca="false">IF(AND(ISNUMBER($G494),$G494&gt;=MA_MED),AVERAGE(INDEX($C$94:$C494,402-MA_MED):$C494),"")</f>
        <v>1294795.66</v>
      </c>
      <c r="K494" s="45" t="n">
        <f aca="false">IF(AND(ISNUMBER($G494),$G494&gt;=MA_LONG2),AVERAGE(INDEX($C$94:$C494,402-MA_LONG2):$C494),"")</f>
        <v>1214527.37</v>
      </c>
      <c r="L494" s="46" t="n">
        <f aca="false">IF(AND(ISNUMBER($G494),$G494&gt;=21),STDEV(INDEX($H$434:$H494,62-20):$H494)*SQRT(245),"")</f>
        <v>0.122796838635873</v>
      </c>
      <c r="M494" s="45" t="n">
        <f aca="false">IF(AND(ISNUMBER($G494),$G494&gt;=60),MAX(INDEX($D$294:$D494,202-60):$D494),"")</f>
        <v>1345448</v>
      </c>
      <c r="N494" s="45" t="n">
        <f aca="false">IF(AND(ISNUMBER($G494),$G494&gt;=60),MIN(INDEX($E$294:$E494,202-60):$E494),"")</f>
        <v>1224519</v>
      </c>
      <c r="O494" s="46" t="n">
        <f aca="false">IF(OR(NOT(ISNUMBER($C494)),NOT(ISNUMBER($M494)),$M494=0),"",$C494/$M494-1)</f>
        <v>-0.000604259696398546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1338413</v>
      </c>
      <c r="D495" s="42" t="n">
        <v>1339269</v>
      </c>
      <c r="E495" s="42" t="n">
        <v>1337043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-0.00462727803455953</v>
      </c>
      <c r="I495" s="45" t="n">
        <f aca="false">IF(AND(ISNUMBER($G495),$G495&gt;=MA_SHORT),AVERAGE(INDEX($C$95:$C495,402-MA_SHORT):$C495),"")</f>
        <v>1305895.45</v>
      </c>
      <c r="J495" s="45" t="n">
        <f aca="false">IF(AND(ISNUMBER($G495),$G495&gt;=MA_MED),AVERAGE(INDEX($C$95:$C495,402-MA_MED):$C495),"")</f>
        <v>1295458.24</v>
      </c>
      <c r="K495" s="45" t="n">
        <f aca="false">IF(AND(ISNUMBER($G495),$G495&gt;=MA_LONG2),AVERAGE(INDEX($C$95:$C495,402-MA_LONG2):$C495),"")</f>
        <v>1215316.195</v>
      </c>
      <c r="L495" s="46" t="n">
        <f aca="false">IF(AND(ISNUMBER($G495),$G495&gt;=21),STDEV(INDEX($H$435:$H495,62-20):$H495)*SQRT(245),"")</f>
        <v>0.124232923808207</v>
      </c>
      <c r="M495" s="45" t="n">
        <f aca="false">IF(AND(ISNUMBER($G495),$G495&gt;=60),MAX(INDEX($D$295:$D495,202-60):$D495),"")</f>
        <v>1345448</v>
      </c>
      <c r="N495" s="45" t="n">
        <f aca="false">IF(AND(ISNUMBER($G495),$G495&gt;=60),MIN(INDEX($E$295:$E495,202-60):$E495),"")</f>
        <v>1224519</v>
      </c>
      <c r="O495" s="46" t="n">
        <f aca="false">IF(OR(NOT(ISNUMBER($C495)),NOT(ISNUMBER($M495)),$M495=0),"",$C495/$M495-1)</f>
        <v>-0.00522874165333775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1361306</v>
      </c>
      <c r="D496" s="42" t="n">
        <v>1362754</v>
      </c>
      <c r="E496" s="42" t="n">
        <v>1353073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0.0171045858042322</v>
      </c>
      <c r="I496" s="45" t="n">
        <f aca="false">IF(AND(ISNUMBER($G496),$G496&gt;=MA_SHORT),AVERAGE(INDEX($C$96:$C496,402-MA_SHORT):$C496),"")</f>
        <v>1309013.25</v>
      </c>
      <c r="J496" s="45" t="n">
        <f aca="false">IF(AND(ISNUMBER($G496),$G496&gt;=MA_MED),AVERAGE(INDEX($C$96:$C496,402-MA_MED):$C496),"")</f>
        <v>1296161.4</v>
      </c>
      <c r="K496" s="45" t="n">
        <f aca="false">IF(AND(ISNUMBER($G496),$G496&gt;=MA_LONG2),AVERAGE(INDEX($C$96:$C496,402-MA_LONG2):$C496),"")</f>
        <v>1216254.545</v>
      </c>
      <c r="L496" s="46" t="n">
        <f aca="false">IF(AND(ISNUMBER($G496),$G496&gt;=21),STDEV(INDEX($H$436:$H496,62-20):$H496)*SQRT(245),"")</f>
        <v>0.134567127153537</v>
      </c>
      <c r="M496" s="45" t="n">
        <f aca="false">IF(AND(ISNUMBER($G496),$G496&gt;=60),MAX(INDEX($D$296:$D496,202-60):$D496),"")</f>
        <v>1362754</v>
      </c>
      <c r="N496" s="45" t="n">
        <f aca="false">IF(AND(ISNUMBER($G496),$G496&gt;=60),MIN(INDEX($E$296:$E496,202-60):$E496),"")</f>
        <v>1228647</v>
      </c>
      <c r="O496" s="46" t="n">
        <f aca="false">IF(OR(NOT(ISNUMBER($C496)),NOT(ISNUMBER($M496)),$M496=0),"",$C496/$M496-1)</f>
        <v>-0.0010625542100775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1333029</v>
      </c>
      <c r="D497" s="42" t="n">
        <v>1336897</v>
      </c>
      <c r="E497" s="42" t="n">
        <v>1329001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-0.020771964569318</v>
      </c>
      <c r="I497" s="45" t="n">
        <f aca="false">IF(AND(ISNUMBER($G497),$G497&gt;=MA_SHORT),AVERAGE(INDEX($C$97:$C497,402-MA_SHORT):$C497),"")</f>
        <v>1310659.35</v>
      </c>
      <c r="J497" s="45" t="n">
        <f aca="false">IF(AND(ISNUMBER($G497),$G497&gt;=MA_MED),AVERAGE(INDEX($C$97:$C497,402-MA_MED):$C497),"")</f>
        <v>1297178.84</v>
      </c>
      <c r="K497" s="45" t="n">
        <f aca="false">IF(AND(ISNUMBER($G497),$G497&gt;=MA_LONG2),AVERAGE(INDEX($C$97:$C497,402-MA_LONG2):$C497),"")</f>
        <v>1217048.475</v>
      </c>
      <c r="L497" s="46" t="n">
        <f aca="false">IF(AND(ISNUMBER($G497),$G497&gt;=21),STDEV(INDEX($H$437:$H497,62-20):$H497)*SQRT(245),"")</f>
        <v>0.157130848177649</v>
      </c>
      <c r="M497" s="45" t="n">
        <f aca="false">IF(AND(ISNUMBER($G497),$G497&gt;=60),MAX(INDEX($D$297:$D497,202-60):$D497),"")</f>
        <v>1362754</v>
      </c>
      <c r="N497" s="45" t="n">
        <f aca="false">IF(AND(ISNUMBER($G497),$G497&gt;=60),MIN(INDEX($E$297:$E497,202-60):$E497),"")</f>
        <v>1230185</v>
      </c>
      <c r="O497" s="46" t="n">
        <f aca="false">IF(OR(NOT(ISNUMBER($C497)),NOT(ISNUMBER($M497)),$M497=0),"",$C497/$M497-1)</f>
        <v>-0.0218124474409909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1325431</v>
      </c>
      <c r="D498" s="42" t="n">
        <v>1327488</v>
      </c>
      <c r="E498" s="42" t="n">
        <v>1320385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-0.00569980097957357</v>
      </c>
      <c r="I498" s="45" t="n">
        <f aca="false">IF(AND(ISNUMBER($G498),$G498&gt;=MA_SHORT),AVERAGE(INDEX($C$98:$C498,402-MA_SHORT):$C498),"")</f>
        <v>1311909.55</v>
      </c>
      <c r="J498" s="45" t="n">
        <f aca="false">IF(AND(ISNUMBER($G498),$G498&gt;=MA_MED),AVERAGE(INDEX($C$98:$C498,402-MA_MED):$C498),"")</f>
        <v>1298229.44</v>
      </c>
      <c r="K498" s="45" t="n">
        <f aca="false">IF(AND(ISNUMBER($G498),$G498&gt;=MA_LONG2),AVERAGE(INDEX($C$98:$C498,402-MA_LONG2):$C498),"")</f>
        <v>1217800.62</v>
      </c>
      <c r="L498" s="46" t="n">
        <f aca="false">IF(AND(ISNUMBER($G498),$G498&gt;=21),STDEV(INDEX($H$438:$H498,62-20):$H498)*SQRT(245),"")</f>
        <v>0.159011451939437</v>
      </c>
      <c r="M498" s="45" t="n">
        <f aca="false">IF(AND(ISNUMBER($G498),$G498&gt;=60),MAX(INDEX($D$298:$D498,202-60):$D498),"")</f>
        <v>1362754</v>
      </c>
      <c r="N498" s="45" t="n">
        <f aca="false">IF(AND(ISNUMBER($G498),$G498&gt;=60),MIN(INDEX($E$298:$E498,202-60):$E498),"")</f>
        <v>1230185</v>
      </c>
      <c r="O498" s="46" t="n">
        <f aca="false">IF(OR(NOT(ISNUMBER($C498)),NOT(ISNUMBER($M498)),$M498=0),"",$C498/$M498-1)</f>
        <v>-0.0273879218112734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1292604</v>
      </c>
      <c r="D499" s="42" t="n">
        <v>1297745</v>
      </c>
      <c r="E499" s="42" t="n">
        <v>1290378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-0.0247670380427197</v>
      </c>
      <c r="I499" s="45" t="n">
        <f aca="false">IF(AND(ISNUMBER($G499),$G499&gt;=MA_SHORT),AVERAGE(INDEX($C$99:$C499,402-MA_SHORT):$C499),"")</f>
        <v>1311066.3</v>
      </c>
      <c r="J499" s="45" t="n">
        <f aca="false">IF(AND(ISNUMBER($G499),$G499&gt;=MA_MED),AVERAGE(INDEX($C$99:$C499,402-MA_MED):$C499),"")</f>
        <v>1298461</v>
      </c>
      <c r="K499" s="45" t="n">
        <f aca="false">IF(AND(ISNUMBER($G499),$G499&gt;=MA_LONG2),AVERAGE(INDEX($C$99:$C499,402-MA_LONG2):$C499),"")</f>
        <v>1218342.905</v>
      </c>
      <c r="L499" s="46" t="n">
        <f aca="false">IF(AND(ISNUMBER($G499),$G499&gt;=21),STDEV(INDEX($H$439:$H499,62-20):$H499)*SQRT(245),"")</f>
        <v>0.180946623363208</v>
      </c>
      <c r="M499" s="45" t="n">
        <f aca="false">IF(AND(ISNUMBER($G499),$G499&gt;=60),MAX(INDEX($D$299:$D499,202-60):$D499),"")</f>
        <v>1362754</v>
      </c>
      <c r="N499" s="45" t="n">
        <f aca="false">IF(AND(ISNUMBER($G499),$G499&gt;=60),MIN(INDEX($E$299:$E499,202-60):$E499),"")</f>
        <v>1255675</v>
      </c>
      <c r="O499" s="46" t="n">
        <f aca="false">IF(OR(NOT(ISNUMBER($C499)),NOT(ISNUMBER($M499)),$M499=0),"",$C499/$M499-1)</f>
        <v>-0.0514766421525822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1289946</v>
      </c>
      <c r="D500" s="42" t="n">
        <v>1294715</v>
      </c>
      <c r="E500" s="42" t="n">
        <v>1282162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-0.00205631423080854</v>
      </c>
      <c r="I500" s="45" t="n">
        <f aca="false">IF(AND(ISNUMBER($G500),$G500&gt;=MA_SHORT),AVERAGE(INDEX($C$100:$C500,402-MA_SHORT):$C500),"")</f>
        <v>1310423.4</v>
      </c>
      <c r="J500" s="45" t="n">
        <f aca="false">IF(AND(ISNUMBER($G500),$G500&gt;=MA_MED),AVERAGE(INDEX($C$100:$C500,402-MA_MED):$C500),"")</f>
        <v>1298718.54</v>
      </c>
      <c r="K500" s="45" t="n">
        <f aca="false">IF(AND(ISNUMBER($G500),$G500&gt;=MA_LONG2),AVERAGE(INDEX($C$100:$C500,402-MA_LONG2):$C500),"")</f>
        <v>1218965.31</v>
      </c>
      <c r="L500" s="46" t="n">
        <f aca="false">IF(AND(ISNUMBER($G500),$G500&gt;=21),STDEV(INDEX($H$440:$H500,62-20):$H500)*SQRT(245),"")</f>
        <v>0.180282902680881</v>
      </c>
      <c r="M500" s="45" t="n">
        <f aca="false">IF(AND(ISNUMBER($G500),$G500&gt;=60),MAX(INDEX($D$300:$D500,202-60):$D500),"")</f>
        <v>1362754</v>
      </c>
      <c r="N500" s="45" t="n">
        <f aca="false">IF(AND(ISNUMBER($G500),$G500&gt;=60),MIN(INDEX($E$300:$E500,202-60):$E500),"")</f>
        <v>1255675</v>
      </c>
      <c r="O500" s="46" t="n">
        <f aca="false">IF(OR(NOT(ISNUMBER($C500)),NOT(ISNUMBER($M500)),$M500=0),"",$C500/$M500-1)</f>
        <v>-0.0534271042315782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1285720</v>
      </c>
      <c r="D501" s="42" t="n">
        <v>1287213</v>
      </c>
      <c r="E501" s="42" t="n">
        <v>1285544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-0.00327610613157447</v>
      </c>
      <c r="I501" s="45" t="n">
        <f aca="false">IF(AND(ISNUMBER($G501),$G501&gt;=MA_SHORT),AVERAGE(INDEX($C$101:$C501,402-MA_SHORT):$C501),"")</f>
        <v>1310267.6</v>
      </c>
      <c r="J501" s="45" t="n">
        <f aca="false">IF(AND(ISNUMBER($G501),$G501&gt;=MA_MED),AVERAGE(INDEX($C$101:$C501,402-MA_MED):$C501),"")</f>
        <v>1299119.02</v>
      </c>
      <c r="K501" s="45" t="n">
        <f aca="false">IF(AND(ISNUMBER($G501),$G501&gt;=MA_LONG2),AVERAGE(INDEX($C$101:$C501,402-MA_LONG2):$C501),"")</f>
        <v>1219565.485</v>
      </c>
      <c r="L501" s="46" t="n">
        <f aca="false">IF(AND(ISNUMBER($G501),$G501&gt;=21),STDEV(INDEX($H$441:$H501,62-20):$H501)*SQRT(245),"")</f>
        <v>0.176650492264331</v>
      </c>
      <c r="M501" s="45" t="n">
        <f aca="false">IF(AND(ISNUMBER($G501),$G501&gt;=60),MAX(INDEX($D$301:$D501,202-60):$D501),"")</f>
        <v>1362754</v>
      </c>
      <c r="N501" s="45" t="n">
        <f aca="false">IF(AND(ISNUMBER($G501),$G501&gt;=60),MIN(INDEX($E$301:$E501,202-60):$E501),"")</f>
        <v>1255675</v>
      </c>
      <c r="O501" s="46" t="n">
        <f aca="false">IF(OR(NOT(ISNUMBER($C501)),NOT(ISNUMBER($M501)),$M501=0),"",$C501/$M501-1)</f>
        <v>-0.0565281774993873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1276322</v>
      </c>
      <c r="D502" s="42" t="n">
        <v>1279113</v>
      </c>
      <c r="E502" s="42" t="n">
        <v>1274741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-0.00730952306878641</v>
      </c>
      <c r="I502" s="45" t="n">
        <f aca="false">IF(AND(ISNUMBER($G502),$G502&gt;=MA_SHORT),AVERAGE(INDEX($C$102:$C502,402-MA_SHORT):$C502),"")</f>
        <v>1309358.8</v>
      </c>
      <c r="J502" s="45" t="n">
        <f aca="false">IF(AND(ISNUMBER($G502),$G502&gt;=MA_MED),AVERAGE(INDEX($C$102:$C502,402-MA_MED):$C502),"")</f>
        <v>1299289.34</v>
      </c>
      <c r="K502" s="45" t="n">
        <f aca="false">IF(AND(ISNUMBER($G502),$G502&gt;=MA_LONG2),AVERAGE(INDEX($C$102:$C502,402-MA_LONG2):$C502),"")</f>
        <v>1220090.805</v>
      </c>
      <c r="L502" s="46" t="n">
        <f aca="false">IF(AND(ISNUMBER($G502),$G502&gt;=21),STDEV(INDEX($H$442:$H502,62-20):$H502)*SQRT(245),"")</f>
        <v>0.177592167349573</v>
      </c>
      <c r="M502" s="45" t="n">
        <f aca="false">IF(AND(ISNUMBER($G502),$G502&gt;=60),MAX(INDEX($D$302:$D502,202-60):$D502),"")</f>
        <v>1362754</v>
      </c>
      <c r="N502" s="45" t="n">
        <f aca="false">IF(AND(ISNUMBER($G502),$G502&gt;=60),MIN(INDEX($E$302:$E502,202-60):$E502),"")</f>
        <v>1255675</v>
      </c>
      <c r="O502" s="46" t="n">
        <f aca="false">IF(OR(NOT(ISNUMBER($C502)),NOT(ISNUMBER($M502)),$M502=0),"",$C502/$M502-1)</f>
        <v>-0.0634245065507054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1259162</v>
      </c>
      <c r="D503" s="42" t="n">
        <v>1264158</v>
      </c>
      <c r="E503" s="42" t="n">
        <v>1257966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-0.0134448830310846</v>
      </c>
      <c r="I503" s="45" t="n">
        <f aca="false">IF(AND(ISNUMBER($G503),$G503&gt;=MA_SHORT),AVERAGE(INDEX($C$103:$C503,402-MA_SHORT):$C503),"")</f>
        <v>1307406.05</v>
      </c>
      <c r="J503" s="45" t="n">
        <f aca="false">IF(AND(ISNUMBER($G503),$G503&gt;=MA_MED),AVERAGE(INDEX($C$103:$C503,402-MA_MED):$C503),"")</f>
        <v>1299005.42</v>
      </c>
      <c r="K503" s="45" t="n">
        <f aca="false">IF(AND(ISNUMBER($G503),$G503&gt;=MA_LONG2),AVERAGE(INDEX($C$103:$C503,402-MA_LONG2):$C503),"")</f>
        <v>1220501.79</v>
      </c>
      <c r="L503" s="46" t="n">
        <f aca="false">IF(AND(ISNUMBER($G503),$G503&gt;=21),STDEV(INDEX($H$443:$H503,62-20):$H503)*SQRT(245),"")</f>
        <v>0.182538084125899</v>
      </c>
      <c r="M503" s="45" t="n">
        <f aca="false">IF(AND(ISNUMBER($G503),$G503&gt;=60),MAX(INDEX($D$303:$D503,202-60):$D503),"")</f>
        <v>1362754</v>
      </c>
      <c r="N503" s="45" t="n">
        <f aca="false">IF(AND(ISNUMBER($G503),$G503&gt;=60),MIN(INDEX($E$303:$E503,202-60):$E503),"")</f>
        <v>1255675</v>
      </c>
      <c r="O503" s="46" t="n">
        <f aca="false">IF(OR(NOT(ISNUMBER($C503)),NOT(ISNUMBER($M503)),$M503=0),"",$C503/$M503-1)</f>
        <v>-0.0760166545099116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1219877</v>
      </c>
      <c r="D504" s="42" t="n">
        <v>1220463</v>
      </c>
      <c r="E504" s="42" t="n">
        <v>1218223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-0.0311993214534746</v>
      </c>
      <c r="I504" s="45" t="n">
        <f aca="false">IF(AND(ISNUMBER($G504),$G504&gt;=MA_SHORT),AVERAGE(INDEX($C$104:$C504,402-MA_SHORT):$C504),"")</f>
        <v>1304219.45</v>
      </c>
      <c r="J504" s="45" t="n">
        <f aca="false">IF(AND(ISNUMBER($G504),$G504&gt;=MA_MED),AVERAGE(INDEX($C$104:$C504,402-MA_MED):$C504),"")</f>
        <v>1297991.08</v>
      </c>
      <c r="K504" s="45" t="n">
        <f aca="false">IF(AND(ISNUMBER($G504),$G504&gt;=MA_LONG2),AVERAGE(INDEX($C$104:$C504,402-MA_LONG2):$C504),"")</f>
        <v>1220668.865</v>
      </c>
      <c r="L504" s="46" t="n">
        <f aca="false">IF(AND(ISNUMBER($G504),$G504&gt;=21),STDEV(INDEX($H$444:$H504,62-20):$H504)*SQRT(245),"")</f>
        <v>0.207920403000861</v>
      </c>
      <c r="M504" s="45" t="n">
        <f aca="false">IF(AND(ISNUMBER($G504),$G504&gt;=60),MAX(INDEX($D$304:$D504,202-60):$D504),"")</f>
        <v>1362754</v>
      </c>
      <c r="N504" s="45" t="n">
        <f aca="false">IF(AND(ISNUMBER($G504),$G504&gt;=60),MIN(INDEX($E$304:$E504,202-60):$E504),"")</f>
        <v>1218223</v>
      </c>
      <c r="O504" s="46" t="n">
        <f aca="false">IF(OR(NOT(ISNUMBER($C504)),NOT(ISNUMBER($M504)),$M504=0),"",$C504/$M504-1)</f>
        <v>-0.104844307923514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722343</v>
      </c>
      <c r="D5" s="42" t="n">
        <v>723108</v>
      </c>
      <c r="E5" s="42" t="n">
        <v>716427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722291</v>
      </c>
      <c r="D6" s="42" t="n">
        <v>725332</v>
      </c>
      <c r="E6" s="42" t="n">
        <v>721795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-7.19879613978458E-005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723371</v>
      </c>
      <c r="D7" s="42" t="n">
        <v>723659</v>
      </c>
      <c r="E7" s="42" t="n">
        <v>720432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0.00149524222231756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723609</v>
      </c>
      <c r="D8" s="42" t="n">
        <v>726744</v>
      </c>
      <c r="E8" s="42" t="n">
        <v>723153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0.000329015125018817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723590</v>
      </c>
      <c r="D9" s="42" t="n">
        <v>726843</v>
      </c>
      <c r="E9" s="42" t="n">
        <v>722424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-2.62572743014999E-005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720549</v>
      </c>
      <c r="D10" s="42" t="n">
        <v>722313</v>
      </c>
      <c r="E10" s="42" t="n">
        <v>718432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-0.00420265620033444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723361</v>
      </c>
      <c r="D11" s="42" t="n">
        <v>725740</v>
      </c>
      <c r="E11" s="42" t="n">
        <v>723134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0.00390257983842868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720162</v>
      </c>
      <c r="D12" s="42" t="n">
        <v>721675</v>
      </c>
      <c r="E12" s="42" t="n">
        <v>719989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-0.00442241149301659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726438</v>
      </c>
      <c r="D13" s="42" t="n">
        <v>726931</v>
      </c>
      <c r="E13" s="42" t="n">
        <v>725959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0.00871470585784873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730186</v>
      </c>
      <c r="D14" s="42" t="n">
        <v>735100</v>
      </c>
      <c r="E14" s="42" t="n">
        <v>728441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0.00515942172628625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733378</v>
      </c>
      <c r="D15" s="42" t="n">
        <v>734008</v>
      </c>
      <c r="E15" s="42" t="n">
        <v>731012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0.00437148890830552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734966</v>
      </c>
      <c r="D16" s="42" t="n">
        <v>737305</v>
      </c>
      <c r="E16" s="42" t="n">
        <v>728326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0.00216532265761993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733983</v>
      </c>
      <c r="D17" s="42" t="n">
        <v>735695</v>
      </c>
      <c r="E17" s="42" t="n">
        <v>733756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-0.0013374768356631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737944</v>
      </c>
      <c r="D18" s="42" t="n">
        <v>741103</v>
      </c>
      <c r="E18" s="42" t="n">
        <v>736787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0.00539658275464139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738299</v>
      </c>
      <c r="D19" s="42" t="n">
        <v>739590</v>
      </c>
      <c r="E19" s="42" t="n">
        <v>737219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0.000481066313975154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739798</v>
      </c>
      <c r="D20" s="42" t="n">
        <v>740820</v>
      </c>
      <c r="E20" s="42" t="n">
        <v>734005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0.00203034272022573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742947</v>
      </c>
      <c r="D21" s="42" t="n">
        <v>743461</v>
      </c>
      <c r="E21" s="42" t="n">
        <v>742000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0.00425656733324509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741765</v>
      </c>
      <c r="D22" s="42" t="n">
        <v>744470</v>
      </c>
      <c r="E22" s="42" t="n">
        <v>741034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-0.00159096140101511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744157</v>
      </c>
      <c r="D23" s="42" t="n">
        <v>744355</v>
      </c>
      <c r="E23" s="42" t="n">
        <v>739524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0.00322474098939685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746973</v>
      </c>
      <c r="D24" s="42" t="n">
        <v>749583</v>
      </c>
      <c r="E24" s="42" t="n">
        <v>746060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0.0037841477000149</v>
      </c>
      <c r="I24" s="45" t="n">
        <f aca="false">IF(AND(ISNUMBER($G24),$G24&gt;=MA_SHORT),AVERAGE(INDEX($C$5:$C24,21-MA_SHORT):$C24),"")</f>
        <v>731505.5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746343</v>
      </c>
      <c r="D25" s="42" t="n">
        <v>747278</v>
      </c>
      <c r="E25" s="42" t="n">
        <v>745673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-0.000843403978457058</v>
      </c>
      <c r="I25" s="45" t="n">
        <f aca="false">IF(AND(ISNUMBER($G25),$G25&gt;=MA_SHORT),AVERAGE(INDEX($C$5:$C25,22-MA_SHORT):$C25),"")</f>
        <v>732705.5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0.0518717477517416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744072</v>
      </c>
      <c r="D26" s="42" t="n">
        <v>744776</v>
      </c>
      <c r="E26" s="42" t="n">
        <v>743270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-0.00304283687259077</v>
      </c>
      <c r="I26" s="45" t="n">
        <f aca="false">IF(AND(ISNUMBER($G26),$G26&gt;=MA_SHORT),AVERAGE(INDEX($C$5:$C26,23-MA_SHORT):$C26),"")</f>
        <v>733794.55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0.0541296991050254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746892</v>
      </c>
      <c r="D27" s="42" t="n">
        <v>747094</v>
      </c>
      <c r="E27" s="42" t="n">
        <v>744058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0.00378995581072794</v>
      </c>
      <c r="I27" s="45" t="n">
        <f aca="false">IF(AND(ISNUMBER($G27),$G27&gt;=MA_SHORT),AVERAGE(INDEX($C$5:$C27,24-MA_SHORT):$C27),"")</f>
        <v>734970.6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0.0547239043297336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744273</v>
      </c>
      <c r="D28" s="42" t="n">
        <v>745021</v>
      </c>
      <c r="E28" s="42" t="n">
        <v>743418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-0.0035065310647322</v>
      </c>
      <c r="I28" s="45" t="n">
        <f aca="false">IF(AND(ISNUMBER($G28),$G28&gt;=MA_SHORT),AVERAGE(INDEX($C$5:$C28,25-MA_SHORT):$C28),"")</f>
        <v>736003.8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0.0574572386605177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741129</v>
      </c>
      <c r="D29" s="42" t="n">
        <v>742568</v>
      </c>
      <c r="E29" s="42" t="n">
        <v>739485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-0.00422425642203872</v>
      </c>
      <c r="I29" s="45" t="n">
        <f aca="false">IF(AND(ISNUMBER($G29),$G29&gt;=MA_SHORT),AVERAGE(INDEX($C$5:$C29,26-MA_SHORT):$C29),"")</f>
        <v>736880.75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0.0606075798521167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740102</v>
      </c>
      <c r="D30" s="42" t="n">
        <v>742334</v>
      </c>
      <c r="E30" s="42" t="n">
        <v>738375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-0.00138572367293688</v>
      </c>
      <c r="I30" s="45" t="n">
        <f aca="false">IF(AND(ISNUMBER($G30),$G30&gt;=MA_SHORT),AVERAGE(INDEX($C$5:$C30,27-MA_SHORT):$C30),"")</f>
        <v>737858.4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0.0581172047971655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742725</v>
      </c>
      <c r="D31" s="42" t="n">
        <v>746059</v>
      </c>
      <c r="E31" s="42" t="n">
        <v>740876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0.00354410608267508</v>
      </c>
      <c r="I31" s="45" t="n">
        <f aca="false">IF(AND(ISNUMBER($G31),$G31&gt;=MA_SHORT),AVERAGE(INDEX($C$5:$C31,28-MA_SHORT):$C31),"")</f>
        <v>738826.6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0.0579271093679586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745244</v>
      </c>
      <c r="D32" s="42" t="n">
        <v>749785</v>
      </c>
      <c r="E32" s="42" t="n">
        <v>744192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0.00339156484566971</v>
      </c>
      <c r="I32" s="45" t="n">
        <f aca="false">IF(AND(ISNUMBER($G32),$G32&gt;=MA_SHORT),AVERAGE(INDEX($C$5:$C32,29-MA_SHORT):$C32),"")</f>
        <v>740080.7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0.0542646392210017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744404</v>
      </c>
      <c r="D33" s="42" t="n">
        <v>744538</v>
      </c>
      <c r="E33" s="42" t="n">
        <v>744225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-0.00112714761876642</v>
      </c>
      <c r="I33" s="45" t="n">
        <f aca="false">IF(AND(ISNUMBER($G33),$G33&gt;=MA_SHORT),AVERAGE(INDEX($C$5:$C33,30-MA_SHORT):$C33),"")</f>
        <v>740979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0.048534245548264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744738</v>
      </c>
      <c r="D34" s="42" t="n">
        <v>744982</v>
      </c>
      <c r="E34" s="42" t="n">
        <v>744724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0.00044868109252505</v>
      </c>
      <c r="I34" s="45" t="n">
        <f aca="false">IF(AND(ISNUMBER($G34),$G34&gt;=MA_SHORT),AVERAGE(INDEX($C$5:$C34,31-MA_SHORT):$C34),"")</f>
        <v>741706.6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0.046364373317751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741407</v>
      </c>
      <c r="D35" s="42" t="n">
        <v>744986</v>
      </c>
      <c r="E35" s="42" t="n">
        <v>740345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-0.00447271389401371</v>
      </c>
      <c r="I35" s="45" t="n">
        <f aca="false">IF(AND(ISNUMBER($G35),$G35&gt;=MA_SHORT),AVERAGE(INDEX($C$5:$C35,32-MA_SHORT):$C35),"")</f>
        <v>742108.05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0.0483412195400853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737499</v>
      </c>
      <c r="D36" s="42" t="n">
        <v>738081</v>
      </c>
      <c r="E36" s="42" t="n">
        <v>737457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-0.00527105894603097</v>
      </c>
      <c r="I36" s="45" t="n">
        <f aca="false">IF(AND(ISNUMBER($G36),$G36&gt;=MA_SHORT),AVERAGE(INDEX($C$5:$C36,33-MA_SHORT):$C36),"")</f>
        <v>742234.7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0.0520032324447273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738441</v>
      </c>
      <c r="D37" s="42" t="n">
        <v>742178</v>
      </c>
      <c r="E37" s="42" t="n">
        <v>738260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0.00127728986751174</v>
      </c>
      <c r="I37" s="45" t="n">
        <f aca="false">IF(AND(ISNUMBER($G37),$G37&gt;=MA_SHORT),AVERAGE(INDEX($C$5:$C37,34-MA_SHORT):$C37),"")</f>
        <v>742457.6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0.051826094327985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736947</v>
      </c>
      <c r="D38" s="42" t="n">
        <v>737565</v>
      </c>
      <c r="E38" s="42" t="n">
        <v>736743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-0.00202318126972911</v>
      </c>
      <c r="I38" s="45" t="n">
        <f aca="false">IF(AND(ISNUMBER($G38),$G38&gt;=MA_SHORT),AVERAGE(INDEX($C$5:$C38,35-MA_SHORT):$C38),"")</f>
        <v>742407.75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0.048853213597161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736305</v>
      </c>
      <c r="D39" s="42" t="n">
        <v>737934</v>
      </c>
      <c r="E39" s="42" t="n">
        <v>736281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-0.000871161698195344</v>
      </c>
      <c r="I39" s="45" t="n">
        <f aca="false">IF(AND(ISNUMBER($G39),$G39&gt;=MA_SHORT),AVERAGE(INDEX($C$5:$C39,36-MA_SHORT):$C39),"")</f>
        <v>742308.05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0.0488882769732109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729914</v>
      </c>
      <c r="D40" s="42" t="n">
        <v>731279</v>
      </c>
      <c r="E40" s="42" t="n">
        <v>729730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-0.00867982697387637</v>
      </c>
      <c r="I40" s="45" t="n">
        <f aca="false">IF(AND(ISNUMBER($G40),$G40&gt;=MA_SHORT),AVERAGE(INDEX($C$5:$C40,37-MA_SHORT):$C40),"")</f>
        <v>741813.85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0.0565540976665979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730557</v>
      </c>
      <c r="D41" s="42" t="n">
        <v>731235</v>
      </c>
      <c r="E41" s="42" t="n">
        <v>728388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0.000880925698095947</v>
      </c>
      <c r="I41" s="45" t="n">
        <f aca="false">IF(AND(ISNUMBER($G41),$G41&gt;=MA_SHORT),AVERAGE(INDEX($C$5:$C41,38-MA_SHORT):$C41),"")</f>
        <v>741194.35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0.0539389231990556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735160</v>
      </c>
      <c r="D42" s="42" t="n">
        <v>736533</v>
      </c>
      <c r="E42" s="42" t="n">
        <v>734814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0.00630067195304407</v>
      </c>
      <c r="I42" s="45" t="n">
        <f aca="false">IF(AND(ISNUMBER($G42),$G42&gt;=MA_SHORT),AVERAGE(INDEX($C$5:$C42,39-MA_SHORT):$C42),"")</f>
        <v>740864.1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0.059316362105012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735884</v>
      </c>
      <c r="D43" s="42" t="n">
        <v>737008</v>
      </c>
      <c r="E43" s="42" t="n">
        <v>734997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0.000984819631100642</v>
      </c>
      <c r="I43" s="45" t="n">
        <f aca="false">IF(AND(ISNUMBER($G43),$G43&gt;=MA_SHORT),AVERAGE(INDEX($C$5:$C43,40-MA_SHORT):$C43),"")</f>
        <v>740450.45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0.0580359939831642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733036</v>
      </c>
      <c r="D44" s="42" t="n">
        <v>736220</v>
      </c>
      <c r="E44" s="42" t="n">
        <v>731851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-0.00387017519065502</v>
      </c>
      <c r="I44" s="45" t="n">
        <f aca="false">IF(AND(ISNUMBER($G44),$G44&gt;=MA_SHORT),AVERAGE(INDEX($C$5:$C44,41-MA_SHORT):$C44),"")</f>
        <v>739753.6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0.0568319619299344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728079</v>
      </c>
      <c r="D45" s="42" t="n">
        <v>729548</v>
      </c>
      <c r="E45" s="42" t="n">
        <v>725927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-0.00676228725465056</v>
      </c>
      <c r="I45" s="45" t="n">
        <f aca="false">IF(AND(ISNUMBER($G45),$G45&gt;=MA_SHORT),AVERAGE(INDEX($C$5:$C45,42-MA_SHORT):$C45),"")</f>
        <v>738840.4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0.0603742218031119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731361</v>
      </c>
      <c r="D46" s="42" t="n">
        <v>732407</v>
      </c>
      <c r="E46" s="42" t="n">
        <v>728455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0.00450775259278191</v>
      </c>
      <c r="I46" s="45" t="n">
        <f aca="false">IF(AND(ISNUMBER($G46),$G46&gt;=MA_SHORT),AVERAGE(INDEX($C$5:$C46,43-MA_SHORT):$C46),"")</f>
        <v>738204.85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0.063171308535681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733599</v>
      </c>
      <c r="D47" s="42" t="n">
        <v>733763</v>
      </c>
      <c r="E47" s="42" t="n">
        <v>733565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0.00306004832087026</v>
      </c>
      <c r="I47" s="45" t="n">
        <f aca="false">IF(AND(ISNUMBER($G47),$G47&gt;=MA_SHORT),AVERAGE(INDEX($C$5:$C47,44-MA_SHORT):$C47),"")</f>
        <v>737540.2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0.0625278666589324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736958</v>
      </c>
      <c r="D48" s="42" t="n">
        <v>738467</v>
      </c>
      <c r="E48" s="42" t="n">
        <v>736528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0.00457879577262244</v>
      </c>
      <c r="I48" s="45" t="n">
        <f aca="false">IF(AND(ISNUMBER($G48),$G48&gt;=MA_SHORT),AVERAGE(INDEX($C$5:$C48,45-MA_SHORT):$C48),"")</f>
        <v>737174.45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0.0645363400975368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739178</v>
      </c>
      <c r="D49" s="42" t="n">
        <v>739923</v>
      </c>
      <c r="E49" s="42" t="n">
        <v>736576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0.00301238333799203</v>
      </c>
      <c r="I49" s="45" t="n">
        <f aca="false">IF(AND(ISNUMBER($G49),$G49&gt;=MA_SHORT),AVERAGE(INDEX($C$5:$C49,46-MA_SHORT):$C49),"")</f>
        <v>737076.9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0.0640993360242584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736411</v>
      </c>
      <c r="D50" s="42" t="n">
        <v>736612</v>
      </c>
      <c r="E50" s="42" t="n">
        <v>734875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-0.00374334733988291</v>
      </c>
      <c r="I50" s="45" t="n">
        <f aca="false">IF(AND(ISNUMBER($G50),$G50&gt;=MA_SHORT),AVERAGE(INDEX($C$5:$C50,47-MA_SHORT):$C50),"")</f>
        <v>736892.35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0.0652191823807267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736126</v>
      </c>
      <c r="D51" s="42" t="n">
        <v>737812</v>
      </c>
      <c r="E51" s="42" t="n">
        <v>733597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-0.000387012144033694</v>
      </c>
      <c r="I51" s="45" t="n">
        <f aca="false">IF(AND(ISNUMBER($G51),$G51&gt;=MA_SHORT),AVERAGE(INDEX($C$5:$C51,48-MA_SHORT):$C51),"")</f>
        <v>736562.4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0.0637105923518298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736192</v>
      </c>
      <c r="D52" s="42" t="n">
        <v>737492</v>
      </c>
      <c r="E52" s="42" t="n">
        <v>734903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8.96585638872072E-005</v>
      </c>
      <c r="I52" s="45" t="n">
        <f aca="false">IF(AND(ISNUMBER($G52),$G52&gt;=MA_SHORT),AVERAGE(INDEX($C$5:$C52,49-MA_SHORT):$C52),"")</f>
        <v>736109.8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0.0621809508776213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739527</v>
      </c>
      <c r="D53" s="42" t="n">
        <v>740037</v>
      </c>
      <c r="E53" s="42" t="n">
        <v>738269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0.00453006824306712</v>
      </c>
      <c r="I53" s="45" t="n">
        <f aca="false">IF(AND(ISNUMBER($G53),$G53&gt;=MA_SHORT),AVERAGE(INDEX($C$5:$C53,50-MA_SHORT):$C53),"")</f>
        <v>735865.95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0.0646691551929381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741717</v>
      </c>
      <c r="D54" s="42" t="n">
        <v>742816</v>
      </c>
      <c r="E54" s="42" t="n">
        <v>739758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0.00296135232385031</v>
      </c>
      <c r="I54" s="45" t="n">
        <f aca="false">IF(AND(ISNUMBER($G54),$G54&gt;=MA_SHORT),AVERAGE(INDEX($C$5:$C54,51-MA_SHORT):$C54),"")</f>
        <v>735714.9</v>
      </c>
      <c r="J54" s="45" t="n">
        <f aca="false">IF(AND(ISNUMBER($G54),$G54&gt;=MA_MED),AVERAGE(INDEX($C$5:$C54,51-MA_MED):$C54),"")</f>
        <v>735686.6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0.0656451250131955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742156</v>
      </c>
      <c r="D55" s="42" t="n">
        <v>745660</v>
      </c>
      <c r="E55" s="42" t="n">
        <v>741165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0.000591869945006041</v>
      </c>
      <c r="I55" s="45" t="n">
        <f aca="false">IF(AND(ISNUMBER($G55),$G55&gt;=MA_SHORT),AVERAGE(INDEX($C$5:$C55,52-MA_SHORT):$C55),"")</f>
        <v>735752.35</v>
      </c>
      <c r="J55" s="45" t="n">
        <f aca="false">IF(AND(ISNUMBER($G55),$G55&gt;=MA_MED),AVERAGE(INDEX($C$5:$C55,52-MA_MED):$C55),"")</f>
        <v>736082.86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0.0637553967410031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743799</v>
      </c>
      <c r="D56" s="42" t="n">
        <v>745131</v>
      </c>
      <c r="E56" s="42" t="n">
        <v>742237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0.00221382027498263</v>
      </c>
      <c r="I56" s="45" t="n">
        <f aca="false">IF(AND(ISNUMBER($G56),$G56&gt;=MA_SHORT),AVERAGE(INDEX($C$5:$C56,53-MA_SHORT):$C56),"")</f>
        <v>736067.35</v>
      </c>
      <c r="J56" s="45" t="n">
        <f aca="false">IF(AND(ISNUMBER($G56),$G56&gt;=MA_MED),AVERAGE(INDEX($C$5:$C56,53-MA_MED):$C56),"")</f>
        <v>736513.02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0.0610105742692004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744254</v>
      </c>
      <c r="D57" s="42" t="n">
        <v>746106</v>
      </c>
      <c r="E57" s="42" t="n">
        <v>743242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0.000611724404039338</v>
      </c>
      <c r="I57" s="45" t="n">
        <f aca="false">IF(AND(ISNUMBER($G57),$G57&gt;=MA_SHORT),AVERAGE(INDEX($C$5:$C57,54-MA_SHORT):$C57),"")</f>
        <v>736358</v>
      </c>
      <c r="J57" s="45" t="n">
        <f aca="false">IF(AND(ISNUMBER($G57),$G57&gt;=MA_MED),AVERAGE(INDEX($C$5:$C57,54-MA_MED):$C57),"")</f>
        <v>736930.68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0.0609361821504508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745538</v>
      </c>
      <c r="D58" s="42" t="n">
        <v>746913</v>
      </c>
      <c r="E58" s="42" t="n">
        <v>742350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0.00172521746608023</v>
      </c>
      <c r="I58" s="45" t="n">
        <f aca="false">IF(AND(ISNUMBER($G58),$G58&gt;=MA_SHORT),AVERAGE(INDEX($C$5:$C58,55-MA_SHORT):$C58),"")</f>
        <v>736787.55</v>
      </c>
      <c r="J58" s="45" t="n">
        <f aca="false">IF(AND(ISNUMBER($G58),$G58&gt;=MA_MED),AVERAGE(INDEX($C$5:$C58,55-MA_MED):$C58),"")</f>
        <v>737369.26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0.0604247721448278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747698</v>
      </c>
      <c r="D59" s="42" t="n">
        <v>748876</v>
      </c>
      <c r="E59" s="42" t="n">
        <v>745934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0.00289723662643615</v>
      </c>
      <c r="I59" s="45" t="n">
        <f aca="false">IF(AND(ISNUMBER($G59),$G59&gt;=MA_SHORT),AVERAGE(INDEX($C$5:$C59,56-MA_SHORT):$C59),"")</f>
        <v>737357.2</v>
      </c>
      <c r="J59" s="45" t="n">
        <f aca="false">IF(AND(ISNUMBER($G59),$G59&gt;=MA_MED),AVERAGE(INDEX($C$5:$C59,56-MA_MED):$C59),"")</f>
        <v>737851.42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0.0606912233902686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744887</v>
      </c>
      <c r="D60" s="42" t="n">
        <v>745275</v>
      </c>
      <c r="E60" s="42" t="n">
        <v>739493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-0.00375953927922768</v>
      </c>
      <c r="I60" s="45" t="n">
        <f aca="false">IF(AND(ISNUMBER($G60),$G60&gt;=MA_SHORT),AVERAGE(INDEX($C$5:$C60,57-MA_SHORT):$C60),"")</f>
        <v>738105.85</v>
      </c>
      <c r="J60" s="45" t="n">
        <f aca="false">IF(AND(ISNUMBER($G60),$G60&gt;=MA_MED),AVERAGE(INDEX($C$5:$C60,57-MA_MED):$C60),"")</f>
        <v>738338.18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0.0527278467121406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749435</v>
      </c>
      <c r="D61" s="42" t="n">
        <v>750169</v>
      </c>
      <c r="E61" s="42" t="n">
        <v>748499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0.00610562407452409</v>
      </c>
      <c r="I61" s="45" t="n">
        <f aca="false">IF(AND(ISNUMBER($G61),$G61&gt;=MA_SHORT),AVERAGE(INDEX($C$5:$C61,58-MA_SHORT):$C61),"")</f>
        <v>739049.75</v>
      </c>
      <c r="J61" s="45" t="n">
        <f aca="false">IF(AND(ISNUMBER($G61),$G61&gt;=MA_MED),AVERAGE(INDEX($C$5:$C61,58-MA_MED):$C61),"")</f>
        <v>738859.66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0.0556391867464788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745334</v>
      </c>
      <c r="D62" s="42" t="n">
        <v>746759</v>
      </c>
      <c r="E62" s="42" t="n">
        <v>742776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-0.00547212233215688</v>
      </c>
      <c r="I62" s="45" t="n">
        <f aca="false">IF(AND(ISNUMBER($G62),$G62&gt;=MA_SHORT),AVERAGE(INDEX($C$5:$C62,59-MA_SHORT):$C62),"")</f>
        <v>739558.45</v>
      </c>
      <c r="J62" s="45" t="n">
        <f aca="false">IF(AND(ISNUMBER($G62),$G62&gt;=MA_MED),AVERAGE(INDEX($C$5:$C62,59-MA_MED):$C62),"")</f>
        <v>739363.1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0.0571834319429235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749620</v>
      </c>
      <c r="D63" s="42" t="n">
        <v>750175</v>
      </c>
      <c r="E63" s="42" t="n">
        <v>748707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0.00575044208368336</v>
      </c>
      <c r="I63" s="45" t="n">
        <f aca="false">IF(AND(ISNUMBER($G63),$G63&gt;=MA_SHORT),AVERAGE(INDEX($C$5:$C63,60-MA_SHORT):$C63),"")</f>
        <v>740245.25</v>
      </c>
      <c r="J63" s="45" t="n">
        <f aca="false">IF(AND(ISNUMBER($G63),$G63&gt;=MA_MED),AVERAGE(INDEX($C$5:$C63,60-MA_MED):$C63),"")</f>
        <v>739826.74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0.0598658868604106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752023</v>
      </c>
      <c r="D64" s="42" t="n">
        <v>753381</v>
      </c>
      <c r="E64" s="42" t="n">
        <v>750284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0.00320562418291925</v>
      </c>
      <c r="I64" s="45" t="n">
        <f aca="false">IF(AND(ISNUMBER($G64),$G64&gt;=MA_SHORT),AVERAGE(INDEX($C$5:$C64,61-MA_SHORT):$C64),"")</f>
        <v>741194.6</v>
      </c>
      <c r="J64" s="45" t="n">
        <f aca="false">IF(AND(ISNUMBER($G64),$G64&gt;=MA_MED),AVERAGE(INDEX($C$5:$C64,61-MA_MED):$C64),"")</f>
        <v>740263.48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0.0576274603957544</v>
      </c>
      <c r="M64" s="45" t="n">
        <f aca="false">IF(AND(ISNUMBER($G64),$G64&gt;=60),MAX(INDEX($D$5:$D64,61-60):$D64),"")</f>
        <v>753381</v>
      </c>
      <c r="N64" s="45" t="n">
        <f aca="false">IF(AND(ISNUMBER($G64),$G64&gt;=60),MIN(INDEX($E$5:$E64,61-60):$E64),"")</f>
        <v>716427</v>
      </c>
      <c r="O64" s="46" t="n">
        <f aca="false">IF(OR(NOT(ISNUMBER($C64)),NOT(ISNUMBER($M64)),$M64=0),"",$C64/$M64-1)</f>
        <v>-0.00180254081268305</v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760771</v>
      </c>
      <c r="D65" s="42" t="n">
        <v>761002</v>
      </c>
      <c r="E65" s="42" t="n">
        <v>760111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0.0116326229383941</v>
      </c>
      <c r="I65" s="45" t="n">
        <f aca="false">IF(AND(ISNUMBER($G65),$G65&gt;=MA_SHORT),AVERAGE(INDEX($C$5:$C65,62-MA_SHORT):$C65),"")</f>
        <v>742829.2</v>
      </c>
      <c r="J65" s="45" t="n">
        <f aca="false">IF(AND(ISNUMBER($G65),$G65&gt;=MA_MED),AVERAGE(INDEX($C$5:$C65,62-MA_MED):$C65),"")</f>
        <v>740811.34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0.0603985610752016</v>
      </c>
      <c r="M65" s="45" t="n">
        <f aca="false">IF(AND(ISNUMBER($G65),$G65&gt;=60),MAX(INDEX($D$5:$D65,62-60):$D65),"")</f>
        <v>761002</v>
      </c>
      <c r="N65" s="45" t="n">
        <f aca="false">IF(AND(ISNUMBER($G65),$G65&gt;=60),MIN(INDEX($E$5:$E65,62-60):$E65),"")</f>
        <v>718432</v>
      </c>
      <c r="O65" s="46" t="n">
        <f aca="false">IF(OR(NOT(ISNUMBER($C65)),NOT(ISNUMBER($M65)),$M65=0),"",$C65/$M65-1)</f>
        <v>-0.000303547165447671</v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756704</v>
      </c>
      <c r="D66" s="42" t="n">
        <v>758258</v>
      </c>
      <c r="E66" s="42" t="n">
        <v>756292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-0.00534589252219131</v>
      </c>
      <c r="I66" s="45" t="n">
        <f aca="false">IF(AND(ISNUMBER($G66),$G66&gt;=MA_SHORT),AVERAGE(INDEX($C$5:$C66,63-MA_SHORT):$C66),"")</f>
        <v>744096.35</v>
      </c>
      <c r="J66" s="45" t="n">
        <f aca="false">IF(AND(ISNUMBER($G66),$G66&gt;=MA_MED),AVERAGE(INDEX($C$5:$C66,63-MA_MED):$C66),"")</f>
        <v>741246.1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0.0652102036828986</v>
      </c>
      <c r="M66" s="45" t="n">
        <f aca="false">IF(AND(ISNUMBER($G66),$G66&gt;=60),MAX(INDEX($D$5:$D66,63-60):$D66),"")</f>
        <v>761002</v>
      </c>
      <c r="N66" s="45" t="n">
        <f aca="false">IF(AND(ISNUMBER($G66),$G66&gt;=60),MIN(INDEX($E$5:$E66,63-60):$E66),"")</f>
        <v>718432</v>
      </c>
      <c r="O66" s="46" t="n">
        <f aca="false">IF(OR(NOT(ISNUMBER($C66)),NOT(ISNUMBER($M66)),$M66=0),"",$C66/$M66-1)</f>
        <v>-0.00564781695711702</v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756868</v>
      </c>
      <c r="D67" s="42" t="n">
        <v>760576</v>
      </c>
      <c r="E67" s="42" t="n">
        <v>756639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0.00021672939484918</v>
      </c>
      <c r="I67" s="45" t="n">
        <f aca="false">IF(AND(ISNUMBER($G67),$G67&gt;=MA_SHORT),AVERAGE(INDEX($C$5:$C67,64-MA_SHORT):$C67),"")</f>
        <v>745259.8</v>
      </c>
      <c r="J67" s="45" t="n">
        <f aca="false">IF(AND(ISNUMBER($G67),$G67&gt;=MA_MED),AVERAGE(INDEX($C$5:$C67,64-MA_MED):$C67),"")</f>
        <v>741703.8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0.065212147273818</v>
      </c>
      <c r="M67" s="45" t="n">
        <f aca="false">IF(AND(ISNUMBER($G67),$G67&gt;=60),MAX(INDEX($D$5:$D67,64-60):$D67),"")</f>
        <v>761002</v>
      </c>
      <c r="N67" s="45" t="n">
        <f aca="false">IF(AND(ISNUMBER($G67),$G67&gt;=60),MIN(INDEX($E$5:$E67,64-60):$E67),"")</f>
        <v>718432</v>
      </c>
      <c r="O67" s="46" t="n">
        <f aca="false">IF(OR(NOT(ISNUMBER($C67)),NOT(ISNUMBER($M67)),$M67=0),"",$C67/$M67-1)</f>
        <v>-0.00543231161021918</v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759896</v>
      </c>
      <c r="D68" s="42" t="n">
        <v>760973</v>
      </c>
      <c r="E68" s="42" t="n">
        <v>758004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0.00400069761173683</v>
      </c>
      <c r="I68" s="45" t="n">
        <f aca="false">IF(AND(ISNUMBER($G68),$G68&gt;=MA_SHORT),AVERAGE(INDEX($C$5:$C68,65-MA_SHORT):$C68),"")</f>
        <v>746406.7</v>
      </c>
      <c r="J68" s="45" t="n">
        <f aca="false">IF(AND(ISNUMBER($G68),$G68&gt;=MA_MED),AVERAGE(INDEX($C$5:$C68,65-MA_MED):$C68),"")</f>
        <v>742142.84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0.0648989350218024</v>
      </c>
      <c r="M68" s="45" t="n">
        <f aca="false">IF(AND(ISNUMBER($G68),$G68&gt;=60),MAX(INDEX($D$5:$D68,65-60):$D68),"")</f>
        <v>761002</v>
      </c>
      <c r="N68" s="45" t="n">
        <f aca="false">IF(AND(ISNUMBER($G68),$G68&gt;=60),MIN(INDEX($E$5:$E68,65-60):$E68),"")</f>
        <v>718432</v>
      </c>
      <c r="O68" s="46" t="n">
        <f aca="false">IF(OR(NOT(ISNUMBER($C68)),NOT(ISNUMBER($M68)),$M68=0),"",$C68/$M68-1)</f>
        <v>-0.00145334703456756</v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765204</v>
      </c>
      <c r="D69" s="42" t="n">
        <v>766739</v>
      </c>
      <c r="E69" s="42" t="n">
        <v>764184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0.0069851663911904</v>
      </c>
      <c r="I69" s="45" t="n">
        <f aca="false">IF(AND(ISNUMBER($G69),$G69&gt;=MA_SHORT),AVERAGE(INDEX($C$5:$C69,66-MA_SHORT):$C69),"")</f>
        <v>747708</v>
      </c>
      <c r="J69" s="45" t="n">
        <f aca="false">IF(AND(ISNUMBER($G69),$G69&gt;=MA_MED),AVERAGE(INDEX($C$5:$C69,66-MA_MED):$C69),"")</f>
        <v>742680.94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0.0674972422548825</v>
      </c>
      <c r="M69" s="45" t="n">
        <f aca="false">IF(AND(ISNUMBER($G69),$G69&gt;=60),MAX(INDEX($D$5:$D69,66-60):$D69),"")</f>
        <v>766739</v>
      </c>
      <c r="N69" s="45" t="n">
        <f aca="false">IF(AND(ISNUMBER($G69),$G69&gt;=60),MIN(INDEX($E$5:$E69,66-60):$E69),"")</f>
        <v>718432</v>
      </c>
      <c r="O69" s="46" t="n">
        <f aca="false">IF(OR(NOT(ISNUMBER($C69)),NOT(ISNUMBER($M69)),$M69=0),"",$C69/$M69-1)</f>
        <v>-0.00200198503010807</v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761490</v>
      </c>
      <c r="D70" s="42" t="n">
        <v>762627</v>
      </c>
      <c r="E70" s="42" t="n">
        <v>757145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-0.00485360766540688</v>
      </c>
      <c r="I70" s="45" t="n">
        <f aca="false">IF(AND(ISNUMBER($G70),$G70&gt;=MA_SHORT),AVERAGE(INDEX($C$5:$C70,67-MA_SHORT):$C70),"")</f>
        <v>748961.95</v>
      </c>
      <c r="J70" s="45" t="n">
        <f aca="false">IF(AND(ISNUMBER($G70),$G70&gt;=MA_MED),AVERAGE(INDEX($C$5:$C70,67-MA_MED):$C70),"")</f>
        <v>743114.78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0.0687604326278306</v>
      </c>
      <c r="M70" s="45" t="n">
        <f aca="false">IF(AND(ISNUMBER($G70),$G70&gt;=60),MAX(INDEX($D$5:$D70,67-60):$D70),"")</f>
        <v>766739</v>
      </c>
      <c r="N70" s="45" t="n">
        <f aca="false">IF(AND(ISNUMBER($G70),$G70&gt;=60),MIN(INDEX($E$5:$E70,67-60):$E70),"")</f>
        <v>719989</v>
      </c>
      <c r="O70" s="46" t="n">
        <f aca="false">IF(OR(NOT(ISNUMBER($C70)),NOT(ISNUMBER($M70)),$M70=0),"",$C70/$M70-1)</f>
        <v>-0.00684587584562679</v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764872</v>
      </c>
      <c r="D71" s="42" t="n">
        <v>765733</v>
      </c>
      <c r="E71" s="42" t="n">
        <v>760928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0.00444129272872917</v>
      </c>
      <c r="I71" s="45" t="n">
        <f aca="false">IF(AND(ISNUMBER($G71),$G71&gt;=MA_SHORT),AVERAGE(INDEX($C$5:$C71,68-MA_SHORT):$C71),"")</f>
        <v>750399.25</v>
      </c>
      <c r="J71" s="45" t="n">
        <f aca="false">IF(AND(ISNUMBER($G71),$G71&gt;=MA_MED),AVERAGE(INDEX($C$5:$C71,68-MA_MED):$C71),"")</f>
        <v>743553.28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0.0689606536824478</v>
      </c>
      <c r="M71" s="45" t="n">
        <f aca="false">IF(AND(ISNUMBER($G71),$G71&gt;=60),MAX(INDEX($D$5:$D71,68-60):$D71),"")</f>
        <v>766739</v>
      </c>
      <c r="N71" s="45" t="n">
        <f aca="false">IF(AND(ISNUMBER($G71),$G71&gt;=60),MIN(INDEX($E$5:$E71,68-60):$E71),"")</f>
        <v>719989</v>
      </c>
      <c r="O71" s="46" t="n">
        <f aca="false">IF(OR(NOT(ISNUMBER($C71)),NOT(ISNUMBER($M71)),$M71=0),"",$C71/$M71-1)</f>
        <v>-0.00243498765551253</v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769694</v>
      </c>
      <c r="D72" s="42" t="n">
        <v>770679</v>
      </c>
      <c r="E72" s="42" t="n">
        <v>769637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0.00630432281479787</v>
      </c>
      <c r="I72" s="45" t="n">
        <f aca="false">IF(AND(ISNUMBER($G72),$G72&gt;=MA_SHORT),AVERAGE(INDEX($C$5:$C72,69-MA_SHORT):$C72),"")</f>
        <v>752074.35</v>
      </c>
      <c r="J72" s="45" t="n">
        <f aca="false">IF(AND(ISNUMBER($G72),$G72&gt;=MA_MED),AVERAGE(INDEX($C$5:$C72,69-MA_MED):$C72),"")</f>
        <v>744111.86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0.0702446588239611</v>
      </c>
      <c r="M72" s="45" t="n">
        <f aca="false">IF(AND(ISNUMBER($G72),$G72&gt;=60),MAX(INDEX($D$5:$D72,69-60):$D72),"")</f>
        <v>770679</v>
      </c>
      <c r="N72" s="45" t="n">
        <f aca="false">IF(AND(ISNUMBER($G72),$G72&gt;=60),MIN(INDEX($E$5:$E72,69-60):$E72),"")</f>
        <v>725927</v>
      </c>
      <c r="O72" s="46" t="n">
        <f aca="false">IF(OR(NOT(ISNUMBER($C72)),NOT(ISNUMBER($M72)),$M72=0),"",$C72/$M72-1)</f>
        <v>-0.00127809373292898</v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770693</v>
      </c>
      <c r="D73" s="42" t="n">
        <v>770945</v>
      </c>
      <c r="E73" s="42" t="n">
        <v>769304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0.00129791839354332</v>
      </c>
      <c r="I73" s="45" t="n">
        <f aca="false">IF(AND(ISNUMBER($G73),$G73&gt;=MA_SHORT),AVERAGE(INDEX($C$5:$C73,70-MA_SHORT):$C73),"")</f>
        <v>753632.65</v>
      </c>
      <c r="J73" s="45" t="n">
        <f aca="false">IF(AND(ISNUMBER($G73),$G73&gt;=MA_MED),AVERAGE(INDEX($C$5:$C73,70-MA_MED):$C73),"")</f>
        <v>744642.58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0.0697936718211188</v>
      </c>
      <c r="M73" s="45" t="n">
        <f aca="false">IF(AND(ISNUMBER($G73),$G73&gt;=60),MAX(INDEX($D$5:$D73,70-60):$D73),"")</f>
        <v>770945</v>
      </c>
      <c r="N73" s="45" t="n">
        <f aca="false">IF(AND(ISNUMBER($G73),$G73&gt;=60),MIN(INDEX($E$5:$E73,70-60):$E73),"")</f>
        <v>725927</v>
      </c>
      <c r="O73" s="46" t="n">
        <f aca="false">IF(OR(NOT(ISNUMBER($C73)),NOT(ISNUMBER($M73)),$M73=0),"",$C73/$M73-1)</f>
        <v>-0.000326871566713627</v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770952</v>
      </c>
      <c r="D74" s="42" t="n">
        <v>772802</v>
      </c>
      <c r="E74" s="42" t="n">
        <v>770135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0.000336061181300362</v>
      </c>
      <c r="I74" s="45" t="n">
        <f aca="false">IF(AND(ISNUMBER($G74),$G74&gt;=MA_SHORT),AVERAGE(INDEX($C$5:$C74,71-MA_SHORT):$C74),"")</f>
        <v>755094.4</v>
      </c>
      <c r="J74" s="45" t="n">
        <f aca="false">IF(AND(ISNUMBER($G74),$G74&gt;=MA_MED),AVERAGE(INDEX($C$5:$C74,71-MA_MED):$C74),"")</f>
        <v>745122.16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0.069968640670816</v>
      </c>
      <c r="M74" s="45" t="n">
        <f aca="false">IF(AND(ISNUMBER($G74),$G74&gt;=60),MAX(INDEX($D$5:$D74,71-60):$D74),"")</f>
        <v>772802</v>
      </c>
      <c r="N74" s="45" t="n">
        <f aca="false">IF(AND(ISNUMBER($G74),$G74&gt;=60),MIN(INDEX($E$5:$E74,71-60):$E74),"")</f>
        <v>725927</v>
      </c>
      <c r="O74" s="46" t="n">
        <f aca="false">IF(OR(NOT(ISNUMBER($C74)),NOT(ISNUMBER($M74)),$M74=0),"",$C74/$M74-1)</f>
        <v>-0.00239388614418701</v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768995</v>
      </c>
      <c r="D75" s="42" t="n">
        <v>769123</v>
      </c>
      <c r="E75" s="42" t="n">
        <v>767634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-0.00253842003133786</v>
      </c>
      <c r="I75" s="45" t="n">
        <f aca="false">IF(AND(ISNUMBER($G75),$G75&gt;=MA_SHORT),AVERAGE(INDEX($C$5:$C75,72-MA_SHORT):$C75),"")</f>
        <v>756436.35</v>
      </c>
      <c r="J75" s="45" t="n">
        <f aca="false">IF(AND(ISNUMBER($G75),$G75&gt;=MA_MED),AVERAGE(INDEX($C$5:$C75,72-MA_MED):$C75),"")</f>
        <v>745575.2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0.0715878581729796</v>
      </c>
      <c r="M75" s="45" t="n">
        <f aca="false">IF(AND(ISNUMBER($G75),$G75&gt;=60),MAX(INDEX($D$5:$D75,72-60):$D75),"")</f>
        <v>772802</v>
      </c>
      <c r="N75" s="45" t="n">
        <f aca="false">IF(AND(ISNUMBER($G75),$G75&gt;=60),MIN(INDEX($E$5:$E75,72-60):$E75),"")</f>
        <v>725927</v>
      </c>
      <c r="O75" s="46" t="n">
        <f aca="false">IF(OR(NOT(ISNUMBER($C75)),NOT(ISNUMBER($M75)),$M75=0),"",$C75/$M75-1)</f>
        <v>-0.00492622948698374</v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767052</v>
      </c>
      <c r="D76" s="42" t="n">
        <v>768386</v>
      </c>
      <c r="E76" s="42" t="n">
        <v>763555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-0.00252667442571153</v>
      </c>
      <c r="I76" s="45" t="n">
        <f aca="false">IF(AND(ISNUMBER($G76),$G76&gt;=MA_SHORT),AVERAGE(INDEX($C$5:$C76,73-MA_SHORT):$C76),"")</f>
        <v>757599</v>
      </c>
      <c r="J76" s="45" t="n">
        <f aca="false">IF(AND(ISNUMBER($G76),$G76&gt;=MA_MED),AVERAGE(INDEX($C$5:$C76,73-MA_MED):$C76),"")</f>
        <v>746034.8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0.073130139685393</v>
      </c>
      <c r="M76" s="45" t="n">
        <f aca="false">IF(AND(ISNUMBER($G76),$G76&gt;=60),MAX(INDEX($D$5:$D76,73-60):$D76),"")</f>
        <v>772802</v>
      </c>
      <c r="N76" s="45" t="n">
        <f aca="false">IF(AND(ISNUMBER($G76),$G76&gt;=60),MIN(INDEX($E$5:$E76,73-60):$E76),"")</f>
        <v>725927</v>
      </c>
      <c r="O76" s="46" t="n">
        <f aca="false">IF(OR(NOT(ISNUMBER($C76)),NOT(ISNUMBER($M76)),$M76=0),"",$C76/$M76-1)</f>
        <v>-0.00744045693463524</v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771373</v>
      </c>
      <c r="D77" s="42" t="n">
        <v>773361</v>
      </c>
      <c r="E77" s="42" t="n">
        <v>768461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0.00563325563325567</v>
      </c>
      <c r="I77" s="45" t="n">
        <f aca="false">IF(AND(ISNUMBER($G77),$G77&gt;=MA_SHORT),AVERAGE(INDEX($C$5:$C77,74-MA_SHORT):$C77),"")</f>
        <v>758954.95</v>
      </c>
      <c r="J77" s="45" t="n">
        <f aca="false">IF(AND(ISNUMBER($G77),$G77&gt;=MA_MED),AVERAGE(INDEX($C$5:$C77,74-MA_MED):$C77),"")</f>
        <v>746524.42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0.074399650628967</v>
      </c>
      <c r="M77" s="45" t="n">
        <f aca="false">IF(AND(ISNUMBER($G77),$G77&gt;=60),MAX(INDEX($D$5:$D77,74-60):$D77),"")</f>
        <v>773361</v>
      </c>
      <c r="N77" s="45" t="n">
        <f aca="false">IF(AND(ISNUMBER($G77),$G77&gt;=60),MIN(INDEX($E$5:$E77,74-60):$E77),"")</f>
        <v>725927</v>
      </c>
      <c r="O77" s="46" t="n">
        <f aca="false">IF(OR(NOT(ISNUMBER($C77)),NOT(ISNUMBER($M77)),$M77=0),"",$C77/$M77-1)</f>
        <v>-0.00257059768982404</v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767749</v>
      </c>
      <c r="D78" s="42" t="n">
        <v>770308</v>
      </c>
      <c r="E78" s="42" t="n">
        <v>766788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-0.00469811621614968</v>
      </c>
      <c r="I78" s="45" t="n">
        <f aca="false">IF(AND(ISNUMBER($G78),$G78&gt;=MA_SHORT),AVERAGE(INDEX($C$5:$C78,75-MA_SHORT):$C78),"")</f>
        <v>760065.5</v>
      </c>
      <c r="J78" s="45" t="n">
        <f aca="false">IF(AND(ISNUMBER($G78),$G78&gt;=MA_MED),AVERAGE(INDEX($C$5:$C78,75-MA_MED):$C78),"")</f>
        <v>746993.94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0.0778037227099514</v>
      </c>
      <c r="M78" s="45" t="n">
        <f aca="false">IF(AND(ISNUMBER($G78),$G78&gt;=60),MAX(INDEX($D$5:$D78,75-60):$D78),"")</f>
        <v>773361</v>
      </c>
      <c r="N78" s="45" t="n">
        <f aca="false">IF(AND(ISNUMBER($G78),$G78&gt;=60),MIN(INDEX($E$5:$E78,75-60):$E78),"")</f>
        <v>725927</v>
      </c>
      <c r="O78" s="46" t="n">
        <f aca="false">IF(OR(NOT(ISNUMBER($C78)),NOT(ISNUMBER($M78)),$M78=0),"",$C78/$M78-1)</f>
        <v>-0.00725663693928191</v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769806</v>
      </c>
      <c r="D79" s="42" t="n">
        <v>770842</v>
      </c>
      <c r="E79" s="42" t="n">
        <v>766125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0.00267926106058103</v>
      </c>
      <c r="I79" s="45" t="n">
        <f aca="false">IF(AND(ISNUMBER($G79),$G79&gt;=MA_SHORT),AVERAGE(INDEX($C$5:$C79,76-MA_SHORT):$C79),"")</f>
        <v>761170.9</v>
      </c>
      <c r="J79" s="45" t="n">
        <f aca="false">IF(AND(ISNUMBER($G79),$G79&gt;=MA_MED),AVERAGE(INDEX($C$5:$C79,76-MA_MED):$C79),"")</f>
        <v>747567.48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0.0777562723720312</v>
      </c>
      <c r="M79" s="45" t="n">
        <f aca="false">IF(AND(ISNUMBER($G79),$G79&gt;=60),MAX(INDEX($D$5:$D79,76-60):$D79),"")</f>
        <v>773361</v>
      </c>
      <c r="N79" s="45" t="n">
        <f aca="false">IF(AND(ISNUMBER($G79),$G79&gt;=60),MIN(INDEX($E$5:$E79,76-60):$E79),"")</f>
        <v>725927</v>
      </c>
      <c r="O79" s="46" t="n">
        <f aca="false">IF(OR(NOT(ISNUMBER($C79)),NOT(ISNUMBER($M79)),$M79=0),"",$C79/$M79-1)</f>
        <v>-0.00459681830348313</v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776182</v>
      </c>
      <c r="D80" s="42" t="n">
        <v>777257</v>
      </c>
      <c r="E80" s="42" t="n">
        <v>771913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0.00828260626703359</v>
      </c>
      <c r="I80" s="45" t="n">
        <f aca="false">IF(AND(ISNUMBER($G80),$G80&gt;=MA_SHORT),AVERAGE(INDEX($C$5:$C80,77-MA_SHORT):$C80),"")</f>
        <v>762735.65</v>
      </c>
      <c r="J80" s="45" t="n">
        <f aca="false">IF(AND(ISNUMBER($G80),$G80&gt;=MA_MED),AVERAGE(INDEX($C$5:$C80,77-MA_MED):$C80),"")</f>
        <v>748289.08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0.0787302022479546</v>
      </c>
      <c r="M80" s="45" t="n">
        <f aca="false">IF(AND(ISNUMBER($G80),$G80&gt;=60),MAX(INDEX($D$5:$D80,77-60):$D80),"")</f>
        <v>777257</v>
      </c>
      <c r="N80" s="45" t="n">
        <f aca="false">IF(AND(ISNUMBER($G80),$G80&gt;=60),MIN(INDEX($E$5:$E80,77-60):$E80),"")</f>
        <v>725927</v>
      </c>
      <c r="O80" s="46" t="n">
        <f aca="false">IF(OR(NOT(ISNUMBER($C80)),NOT(ISNUMBER($M80)),$M80=0),"",$C80/$M80-1)</f>
        <v>-0.00138306892057583</v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779193</v>
      </c>
      <c r="D81" s="42" t="n">
        <v>780425</v>
      </c>
      <c r="E81" s="42" t="n">
        <v>775364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0.00387924481629298</v>
      </c>
      <c r="I81" s="45" t="n">
        <f aca="false">IF(AND(ISNUMBER($G81),$G81&gt;=MA_SHORT),AVERAGE(INDEX($C$5:$C81,78-MA_SHORT):$C81),"")</f>
        <v>764223.55</v>
      </c>
      <c r="J81" s="45" t="n">
        <f aca="false">IF(AND(ISNUMBER($G81),$G81&gt;=MA_MED),AVERAGE(INDEX($C$5:$C81,78-MA_MED):$C81),"")</f>
        <v>749018.44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0.0776373409239183</v>
      </c>
      <c r="M81" s="45" t="n">
        <f aca="false">IF(AND(ISNUMBER($G81),$G81&gt;=60),MAX(INDEX($D$5:$D81,78-60):$D81),"")</f>
        <v>780425</v>
      </c>
      <c r="N81" s="45" t="n">
        <f aca="false">IF(AND(ISNUMBER($G81),$G81&gt;=60),MIN(INDEX($E$5:$E81,78-60):$E81),"")</f>
        <v>725927</v>
      </c>
      <c r="O81" s="46" t="n">
        <f aca="false">IF(OR(NOT(ISNUMBER($C81)),NOT(ISNUMBER($M81)),$M81=0),"",$C81/$M81-1)</f>
        <v>-0.00157862703014389</v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787158</v>
      </c>
      <c r="D82" s="42" t="n">
        <v>789756</v>
      </c>
      <c r="E82" s="42" t="n">
        <v>786088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0.0102221144183789</v>
      </c>
      <c r="I82" s="45" t="n">
        <f aca="false">IF(AND(ISNUMBER($G82),$G82&gt;=MA_SHORT),AVERAGE(INDEX($C$5:$C82,79-MA_SHORT):$C82),"")</f>
        <v>766314.75</v>
      </c>
      <c r="J82" s="45" t="n">
        <f aca="false">IF(AND(ISNUMBER($G82),$G82&gt;=MA_MED),AVERAGE(INDEX($C$5:$C82,79-MA_MED):$C82),"")</f>
        <v>749856.72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0.0776949772565526</v>
      </c>
      <c r="M82" s="45" t="n">
        <f aca="false">IF(AND(ISNUMBER($G82),$G82&gt;=60),MAX(INDEX($D$5:$D82,79-60):$D82),"")</f>
        <v>789756</v>
      </c>
      <c r="N82" s="45" t="n">
        <f aca="false">IF(AND(ISNUMBER($G82),$G82&gt;=60),MIN(INDEX($E$5:$E82,79-60):$E82),"")</f>
        <v>725927</v>
      </c>
      <c r="O82" s="46" t="n">
        <f aca="false">IF(OR(NOT(ISNUMBER($C82)),NOT(ISNUMBER($M82)),$M82=0),"",$C82/$M82-1)</f>
        <v>-0.00328962363058971</v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790987</v>
      </c>
      <c r="D83" s="42" t="n">
        <v>791399</v>
      </c>
      <c r="E83" s="42" t="n">
        <v>789325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0.00486433473330639</v>
      </c>
      <c r="I83" s="45" t="n">
        <f aca="false">IF(AND(ISNUMBER($G83),$G83&gt;=MA_SHORT),AVERAGE(INDEX($C$5:$C83,80-MA_SHORT):$C83),"")</f>
        <v>768383.1</v>
      </c>
      <c r="J83" s="45" t="n">
        <f aca="false">IF(AND(ISNUMBER($G83),$G83&gt;=MA_MED),AVERAGE(INDEX($C$5:$C83,80-MA_MED):$C83),"")</f>
        <v>750788.38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0.0773139847890627</v>
      </c>
      <c r="M83" s="45" t="n">
        <f aca="false">IF(AND(ISNUMBER($G83),$G83&gt;=60),MAX(INDEX($D$5:$D83,80-60):$D83),"")</f>
        <v>791399</v>
      </c>
      <c r="N83" s="45" t="n">
        <f aca="false">IF(AND(ISNUMBER($G83),$G83&gt;=60),MIN(INDEX($E$5:$E83,80-60):$E83),"")</f>
        <v>725927</v>
      </c>
      <c r="O83" s="46" t="n">
        <f aca="false">IF(OR(NOT(ISNUMBER($C83)),NOT(ISNUMBER($M83)),$M83=0),"",$C83/$M83-1)</f>
        <v>-0.00052059706924068</v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788924</v>
      </c>
      <c r="D84" s="42" t="n">
        <v>788948</v>
      </c>
      <c r="E84" s="42" t="n">
        <v>787499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-0.00260813388842041</v>
      </c>
      <c r="I84" s="45" t="n">
        <f aca="false">IF(AND(ISNUMBER($G84),$G84&gt;=MA_SHORT),AVERAGE(INDEX($C$5:$C84,81-MA_SHORT):$C84),"")</f>
        <v>770228.15</v>
      </c>
      <c r="J84" s="45" t="n">
        <f aca="false">IF(AND(ISNUMBER($G84),$G84&gt;=MA_MED),AVERAGE(INDEX($C$5:$C84,81-MA_MED):$C84),"")</f>
        <v>751672.1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0.0794721866487147</v>
      </c>
      <c r="M84" s="45" t="n">
        <f aca="false">IF(AND(ISNUMBER($G84),$G84&gt;=60),MAX(INDEX($D$5:$D84,81-60):$D84),"")</f>
        <v>791399</v>
      </c>
      <c r="N84" s="45" t="n">
        <f aca="false">IF(AND(ISNUMBER($G84),$G84&gt;=60),MIN(INDEX($E$5:$E84,81-60):$E84),"")</f>
        <v>725927</v>
      </c>
      <c r="O84" s="46" t="n">
        <f aca="false">IF(OR(NOT(ISNUMBER($C84)),NOT(ISNUMBER($M84)),$M84=0),"",$C84/$M84-1)</f>
        <v>-0.00312737317080258</v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786900</v>
      </c>
      <c r="D85" s="42" t="n">
        <v>788823</v>
      </c>
      <c r="E85" s="42" t="n">
        <v>785653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-0.00256551961912677</v>
      </c>
      <c r="I85" s="45" t="n">
        <f aca="false">IF(AND(ISNUMBER($G85),$G85&gt;=MA_SHORT),AVERAGE(INDEX($C$5:$C85,82-MA_SHORT):$C85),"")</f>
        <v>771534.6</v>
      </c>
      <c r="J85" s="45" t="n">
        <f aca="false">IF(AND(ISNUMBER($G85),$G85&gt;=MA_MED),AVERAGE(INDEX($C$5:$C85,82-MA_MED):$C85),"")</f>
        <v>752581.96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0.0735416892261567</v>
      </c>
      <c r="M85" s="45" t="n">
        <f aca="false">IF(AND(ISNUMBER($G85),$G85&gt;=60),MAX(INDEX($D$5:$D85,82-60):$D85),"")</f>
        <v>791399</v>
      </c>
      <c r="N85" s="45" t="n">
        <f aca="false">IF(AND(ISNUMBER($G85),$G85&gt;=60),MIN(INDEX($E$5:$E85,82-60):$E85),"")</f>
        <v>725927</v>
      </c>
      <c r="O85" s="46" t="n">
        <f aca="false">IF(OR(NOT(ISNUMBER($C85)),NOT(ISNUMBER($M85)),$M85=0),"",$C85/$M85-1)</f>
        <v>-0.00568486945270341</v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789673</v>
      </c>
      <c r="D86" s="42" t="n">
        <v>790979</v>
      </c>
      <c r="E86" s="42" t="n">
        <v>789663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0.00352395475918166</v>
      </c>
      <c r="I86" s="45" t="n">
        <f aca="false">IF(AND(ISNUMBER($G86),$G86&gt;=MA_SHORT),AVERAGE(INDEX($C$5:$C86,83-MA_SHORT):$C86),"")</f>
        <v>773183.05</v>
      </c>
      <c r="J86" s="45" t="n">
        <f aca="false">IF(AND(ISNUMBER($G86),$G86&gt;=MA_MED),AVERAGE(INDEX($C$5:$C86,83-MA_MED):$C86),"")</f>
        <v>753625.44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0.0689951029334712</v>
      </c>
      <c r="M86" s="45" t="n">
        <f aca="false">IF(AND(ISNUMBER($G86),$G86&gt;=60),MAX(INDEX($D$5:$D86,83-60):$D86),"")</f>
        <v>791399</v>
      </c>
      <c r="N86" s="45" t="n">
        <f aca="false">IF(AND(ISNUMBER($G86),$G86&gt;=60),MIN(INDEX($E$5:$E86,83-60):$E86),"")</f>
        <v>725927</v>
      </c>
      <c r="O86" s="46" t="n">
        <f aca="false">IF(OR(NOT(ISNUMBER($C86)),NOT(ISNUMBER($M86)),$M86=0),"",$C86/$M86-1)</f>
        <v>-0.00218094791628498</v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790022</v>
      </c>
      <c r="D87" s="42" t="n">
        <v>791168</v>
      </c>
      <c r="E87" s="42" t="n">
        <v>784269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0.00044195508773881</v>
      </c>
      <c r="I87" s="45" t="n">
        <f aca="false">IF(AND(ISNUMBER($G87),$G87&gt;=MA_SHORT),AVERAGE(INDEX($C$5:$C87,84-MA_SHORT):$C87),"")</f>
        <v>774840.75</v>
      </c>
      <c r="J87" s="45" t="n">
        <f aca="false">IF(AND(ISNUMBER($G87),$G87&gt;=MA_MED),AVERAGE(INDEX($C$5:$C87,84-MA_MED):$C87),"")</f>
        <v>754657.06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0.0689184459394706</v>
      </c>
      <c r="M87" s="45" t="n">
        <f aca="false">IF(AND(ISNUMBER($G87),$G87&gt;=60),MAX(INDEX($D$5:$D87,84-60):$D87),"")</f>
        <v>791399</v>
      </c>
      <c r="N87" s="45" t="n">
        <f aca="false">IF(AND(ISNUMBER($G87),$G87&gt;=60),MIN(INDEX($E$5:$E87,84-60):$E87),"")</f>
        <v>725927</v>
      </c>
      <c r="O87" s="46" t="n">
        <f aca="false">IF(OR(NOT(ISNUMBER($C87)),NOT(ISNUMBER($M87)),$M87=0),"",$C87/$M87-1)</f>
        <v>-0.00173995670957383</v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790465</v>
      </c>
      <c r="D88" s="42" t="n">
        <v>794738</v>
      </c>
      <c r="E88" s="42" t="n">
        <v>786601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0.000560743878018633</v>
      </c>
      <c r="I88" s="45" t="n">
        <f aca="false">IF(AND(ISNUMBER($G88),$G88&gt;=MA_SHORT),AVERAGE(INDEX($C$5:$C88,85-MA_SHORT):$C88),"")</f>
        <v>776369.2</v>
      </c>
      <c r="J88" s="45" t="n">
        <f aca="false">IF(AND(ISNUMBER($G88),$G88&gt;=MA_MED),AVERAGE(INDEX($C$5:$C88,85-MA_MED):$C88),"")</f>
        <v>755727.42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0.0687820992408829</v>
      </c>
      <c r="M88" s="45" t="n">
        <f aca="false">IF(AND(ISNUMBER($G88),$G88&gt;=60),MAX(INDEX($D$5:$D88,85-60):$D88),"")</f>
        <v>794738</v>
      </c>
      <c r="N88" s="45" t="n">
        <f aca="false">IF(AND(ISNUMBER($G88),$G88&gt;=60),MIN(INDEX($E$5:$E88,85-60):$E88),"")</f>
        <v>725927</v>
      </c>
      <c r="O88" s="46" t="n">
        <f aca="false">IF(OR(NOT(ISNUMBER($C88)),NOT(ISNUMBER($M88)),$M88=0),"",$C88/$M88-1)</f>
        <v>-0.00537661468307793</v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791408</v>
      </c>
      <c r="D89" s="42" t="n">
        <v>796748</v>
      </c>
      <c r="E89" s="42" t="n">
        <v>790059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0.00119296869564112</v>
      </c>
      <c r="I89" s="45" t="n">
        <f aca="false">IF(AND(ISNUMBER($G89),$G89&gt;=MA_SHORT),AVERAGE(INDEX($C$5:$C89,86-MA_SHORT):$C89),"")</f>
        <v>777679.4</v>
      </c>
      <c r="J89" s="45" t="n">
        <f aca="false">IF(AND(ISNUMBER($G89),$G89&gt;=MA_MED),AVERAGE(INDEX($C$5:$C89,86-MA_MED):$C89),"")</f>
        <v>756829.48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0.0662929868164501</v>
      </c>
      <c r="M89" s="45" t="n">
        <f aca="false">IF(AND(ISNUMBER($G89),$G89&gt;=60),MAX(INDEX($D$5:$D89,86-60):$D89),"")</f>
        <v>796748</v>
      </c>
      <c r="N89" s="45" t="n">
        <f aca="false">IF(AND(ISNUMBER($G89),$G89&gt;=60),MIN(INDEX($E$5:$E89,86-60):$E89),"")</f>
        <v>725927</v>
      </c>
      <c r="O89" s="46" t="n">
        <f aca="false">IF(OR(NOT(ISNUMBER($C89)),NOT(ISNUMBER($M89)),$M89=0),"",$C89/$M89-1)</f>
        <v>-0.00670224462439817</v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786082</v>
      </c>
      <c r="D90" s="42" t="n">
        <v>787786</v>
      </c>
      <c r="E90" s="42" t="n">
        <v>785560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-0.00672977781371931</v>
      </c>
      <c r="I90" s="45" t="n">
        <f aca="false">IF(AND(ISNUMBER($G90),$G90&gt;=MA_SHORT),AVERAGE(INDEX($C$5:$C90,87-MA_SHORT):$C90),"")</f>
        <v>778909</v>
      </c>
      <c r="J90" s="45" t="n">
        <f aca="false">IF(AND(ISNUMBER($G90),$G90&gt;=MA_MED),AVERAGE(INDEX($C$5:$C90,87-MA_MED):$C90),"")</f>
        <v>757952.84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0.0689540710118353</v>
      </c>
      <c r="M90" s="45" t="n">
        <f aca="false">IF(AND(ISNUMBER($G90),$G90&gt;=60),MAX(INDEX($D$5:$D90,87-60):$D90),"")</f>
        <v>796748</v>
      </c>
      <c r="N90" s="45" t="n">
        <f aca="false">IF(AND(ISNUMBER($G90),$G90&gt;=60),MIN(INDEX($E$5:$E90,87-60):$E90),"")</f>
        <v>725927</v>
      </c>
      <c r="O90" s="46" t="n">
        <f aca="false">IF(OR(NOT(ISNUMBER($C90)),NOT(ISNUMBER($M90)),$M90=0),"",$C90/$M90-1)</f>
        <v>-0.0133869178209421</v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790139</v>
      </c>
      <c r="D91" s="42" t="n">
        <v>792138</v>
      </c>
      <c r="E91" s="42" t="n">
        <v>788665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0.00516103917911881</v>
      </c>
      <c r="I91" s="45" t="n">
        <f aca="false">IF(AND(ISNUMBER($G91),$G91&gt;=MA_SHORT),AVERAGE(INDEX($C$5:$C91,88-MA_SHORT):$C91),"")</f>
        <v>780172.35</v>
      </c>
      <c r="J91" s="45" t="n">
        <f aca="false">IF(AND(ISNUMBER($G91),$G91&gt;=MA_MED),AVERAGE(INDEX($C$5:$C91,88-MA_MED):$C91),"")</f>
        <v>759144.48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0.0693812345699088</v>
      </c>
      <c r="M91" s="45" t="n">
        <f aca="false">IF(AND(ISNUMBER($G91),$G91&gt;=60),MAX(INDEX($D$5:$D91,88-60):$D91),"")</f>
        <v>796748</v>
      </c>
      <c r="N91" s="45" t="n">
        <f aca="false">IF(AND(ISNUMBER($G91),$G91&gt;=60),MIN(INDEX($E$5:$E91,88-60):$E91),"")</f>
        <v>725927</v>
      </c>
      <c r="O91" s="46" t="n">
        <f aca="false">IF(OR(NOT(ISNUMBER($C91)),NOT(ISNUMBER($M91)),$M91=0),"",$C91/$M91-1)</f>
        <v>-0.00829496904918492</v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785884</v>
      </c>
      <c r="D92" s="42" t="n">
        <v>789491</v>
      </c>
      <c r="E92" s="42" t="n">
        <v>785463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-0.00538512843942651</v>
      </c>
      <c r="I92" s="45" t="n">
        <f aca="false">IF(AND(ISNUMBER($G92),$G92&gt;=MA_SHORT),AVERAGE(INDEX($C$5:$C92,89-MA_SHORT):$C92),"")</f>
        <v>780981.85</v>
      </c>
      <c r="J92" s="45" t="n">
        <f aca="false">IF(AND(ISNUMBER($G92),$G92&gt;=MA_MED),AVERAGE(INDEX($C$5:$C92,89-MA_MED):$C92),"")</f>
        <v>760158.96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0.0712755033250804</v>
      </c>
      <c r="M92" s="45" t="n">
        <f aca="false">IF(AND(ISNUMBER($G92),$G92&gt;=60),MAX(INDEX($D$5:$D92,89-60):$D92),"")</f>
        <v>796748</v>
      </c>
      <c r="N92" s="45" t="n">
        <f aca="false">IF(AND(ISNUMBER($G92),$G92&gt;=60),MIN(INDEX($E$5:$E92,89-60):$E92),"")</f>
        <v>725927</v>
      </c>
      <c r="O92" s="46" t="n">
        <f aca="false">IF(OR(NOT(ISNUMBER($C92)),NOT(ISNUMBER($M92)),$M92=0),"",$C92/$M92-1)</f>
        <v>-0.0136354280148805</v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790345</v>
      </c>
      <c r="D93" s="42" t="n">
        <v>790839</v>
      </c>
      <c r="E93" s="42" t="n">
        <v>788750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0.00567641025902033</v>
      </c>
      <c r="I93" s="45" t="n">
        <f aca="false">IF(AND(ISNUMBER($G93),$G93&gt;=MA_SHORT),AVERAGE(INDEX($C$5:$C93,90-MA_SHORT):$C93),"")</f>
        <v>781964.45</v>
      </c>
      <c r="J93" s="45" t="n">
        <f aca="false">IF(AND(ISNUMBER($G93),$G93&gt;=MA_MED),AVERAGE(INDEX($C$5:$C93,90-MA_MED):$C93),"")</f>
        <v>761248.18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0.0730951805665459</v>
      </c>
      <c r="M93" s="45" t="n">
        <f aca="false">IF(AND(ISNUMBER($G93),$G93&gt;=60),MAX(INDEX($D$5:$D93,90-60):$D93),"")</f>
        <v>796748</v>
      </c>
      <c r="N93" s="45" t="n">
        <f aca="false">IF(AND(ISNUMBER($G93),$G93&gt;=60),MIN(INDEX($E$5:$E93,90-60):$E93),"")</f>
        <v>725927</v>
      </c>
      <c r="O93" s="46" t="n">
        <f aca="false">IF(OR(NOT(ISNUMBER($C93)),NOT(ISNUMBER($M93)),$M93=0),"",$C93/$M93-1)</f>
        <v>-0.00803641803932986</v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786101</v>
      </c>
      <c r="D94" s="42" t="n">
        <v>787616</v>
      </c>
      <c r="E94" s="42" t="n">
        <v>784002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-0.00536980685649935</v>
      </c>
      <c r="I94" s="45" t="n">
        <f aca="false">IF(AND(ISNUMBER($G94),$G94&gt;=MA_SHORT),AVERAGE(INDEX($C$5:$C94,91-MA_SHORT):$C94),"")</f>
        <v>782721.9</v>
      </c>
      <c r="J94" s="45" t="n">
        <f aca="false">IF(AND(ISNUMBER($G94),$G94&gt;=MA_MED),AVERAGE(INDEX($C$5:$C94,91-MA_MED):$C94),"")</f>
        <v>762309.48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0.0766757731888106</v>
      </c>
      <c r="M94" s="45" t="n">
        <f aca="false">IF(AND(ISNUMBER($G94),$G94&gt;=60),MAX(INDEX($D$5:$D94,91-60):$D94),"")</f>
        <v>796748</v>
      </c>
      <c r="N94" s="45" t="n">
        <f aca="false">IF(AND(ISNUMBER($G94),$G94&gt;=60),MIN(INDEX($E$5:$E94,91-60):$E94),"")</f>
        <v>725927</v>
      </c>
      <c r="O94" s="46" t="n">
        <f aca="false">IF(OR(NOT(ISNUMBER($C94)),NOT(ISNUMBER($M94)),$M94=0),"",$C94/$M94-1)</f>
        <v>-0.0133630708831399</v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784976</v>
      </c>
      <c r="D95" s="42" t="n">
        <v>785130</v>
      </c>
      <c r="E95" s="42" t="n">
        <v>781605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-0.00143111381361938</v>
      </c>
      <c r="I95" s="45" t="n">
        <f aca="false">IF(AND(ISNUMBER($G95),$G95&gt;=MA_SHORT),AVERAGE(INDEX($C$5:$C95,92-MA_SHORT):$C95),"")</f>
        <v>783520.95</v>
      </c>
      <c r="J95" s="45" t="n">
        <f aca="false">IF(AND(ISNUMBER($G95),$G95&gt;=MA_MED),AVERAGE(INDEX($C$5:$C95,92-MA_MED):$C95),"")</f>
        <v>763447.42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0.0761155815784274</v>
      </c>
      <c r="M95" s="45" t="n">
        <f aca="false">IF(AND(ISNUMBER($G95),$G95&gt;=60),MAX(INDEX($D$5:$D95,92-60):$D95),"")</f>
        <v>796748</v>
      </c>
      <c r="N95" s="45" t="n">
        <f aca="false">IF(AND(ISNUMBER($G95),$G95&gt;=60),MIN(INDEX($E$5:$E95,92-60):$E95),"")</f>
        <v>725927</v>
      </c>
      <c r="O95" s="46" t="n">
        <f aca="false">IF(OR(NOT(ISNUMBER($C95)),NOT(ISNUMBER($M95)),$M95=0),"",$C95/$M95-1)</f>
        <v>-0.0147750606214261</v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785536</v>
      </c>
      <c r="D96" s="42" t="n">
        <v>788265</v>
      </c>
      <c r="E96" s="42" t="n">
        <v>785376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0.000713397607060573</v>
      </c>
      <c r="I96" s="45" t="n">
        <f aca="false">IF(AND(ISNUMBER($G96),$G96&gt;=MA_SHORT),AVERAGE(INDEX($C$5:$C96,93-MA_SHORT):$C96),"")</f>
        <v>784445.15</v>
      </c>
      <c r="J96" s="45" t="n">
        <f aca="false">IF(AND(ISNUMBER($G96),$G96&gt;=MA_MED),AVERAGE(INDEX($C$5:$C96,93-MA_MED):$C96),"")</f>
        <v>764530.92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0.0749942499815105</v>
      </c>
      <c r="M96" s="45" t="n">
        <f aca="false">IF(AND(ISNUMBER($G96),$G96&gt;=60),MAX(INDEX($D$5:$D96,93-60):$D96),"")</f>
        <v>796748</v>
      </c>
      <c r="N96" s="45" t="n">
        <f aca="false">IF(AND(ISNUMBER($G96),$G96&gt;=60),MIN(INDEX($E$5:$E96,93-60):$E96),"")</f>
        <v>725927</v>
      </c>
      <c r="O96" s="46" t="n">
        <f aca="false">IF(OR(NOT(ISNUMBER($C96)),NOT(ISNUMBER($M96)),$M96=0),"",$C96/$M96-1)</f>
        <v>-0.014072203507257</v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789263</v>
      </c>
      <c r="D97" s="42" t="n">
        <v>790385</v>
      </c>
      <c r="E97" s="42" t="n">
        <v>787702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0.00474453112269835</v>
      </c>
      <c r="I97" s="45" t="n">
        <f aca="false">IF(AND(ISNUMBER($G97),$G97&gt;=MA_SHORT),AVERAGE(INDEX($C$5:$C97,94-MA_SHORT):$C97),"")</f>
        <v>785339.65</v>
      </c>
      <c r="J97" s="45" t="n">
        <f aca="false">IF(AND(ISNUMBER($G97),$G97&gt;=MA_MED),AVERAGE(INDEX($C$5:$C97,94-MA_MED):$C97),"")</f>
        <v>765644.2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0.0743791232551624</v>
      </c>
      <c r="M97" s="45" t="n">
        <f aca="false">IF(AND(ISNUMBER($G97),$G97&gt;=60),MAX(INDEX($D$5:$D97,94-60):$D97),"")</f>
        <v>796748</v>
      </c>
      <c r="N97" s="45" t="n">
        <f aca="false">IF(AND(ISNUMBER($G97),$G97&gt;=60),MIN(INDEX($E$5:$E97,94-60):$E97),"")</f>
        <v>725927</v>
      </c>
      <c r="O97" s="46" t="n">
        <f aca="false">IF(OR(NOT(ISNUMBER($C97)),NOT(ISNUMBER($M97)),$M97=0),"",$C97/$M97-1)</f>
        <v>-0.00939443839206378</v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788664</v>
      </c>
      <c r="D98" s="42" t="n">
        <v>792398</v>
      </c>
      <c r="E98" s="42" t="n">
        <v>786645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-0.000758935868018673</v>
      </c>
      <c r="I98" s="45" t="n">
        <f aca="false">IF(AND(ISNUMBER($G98),$G98&gt;=MA_SHORT),AVERAGE(INDEX($C$5:$C98,95-MA_SHORT):$C98),"")</f>
        <v>786385.4</v>
      </c>
      <c r="J98" s="45" t="n">
        <f aca="false">IF(AND(ISNUMBER($G98),$G98&gt;=MA_MED),AVERAGE(INDEX($C$5:$C98,95-MA_MED):$C98),"")</f>
        <v>766678.32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0.0716061818235445</v>
      </c>
      <c r="M98" s="45" t="n">
        <f aca="false">IF(AND(ISNUMBER($G98),$G98&gt;=60),MAX(INDEX($D$5:$D98,95-60):$D98),"")</f>
        <v>796748</v>
      </c>
      <c r="N98" s="45" t="n">
        <f aca="false">IF(AND(ISNUMBER($G98),$G98&gt;=60),MIN(INDEX($E$5:$E98,95-60):$E98),"")</f>
        <v>725927</v>
      </c>
      <c r="O98" s="46" t="n">
        <f aca="false">IF(OR(NOT(ISNUMBER($C98)),NOT(ISNUMBER($M98)),$M98=0),"",$C98/$M98-1)</f>
        <v>-0.0101462444838267</v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789449</v>
      </c>
      <c r="D99" s="42" t="n">
        <v>792648</v>
      </c>
      <c r="E99" s="42" t="n">
        <v>789392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0.000995354168568552</v>
      </c>
      <c r="I99" s="45" t="n">
        <f aca="false">IF(AND(ISNUMBER($G99),$G99&gt;=MA_SHORT),AVERAGE(INDEX($C$5:$C99,96-MA_SHORT):$C99),"")</f>
        <v>787367.55</v>
      </c>
      <c r="J99" s="45" t="n">
        <f aca="false">IF(AND(ISNUMBER($G99),$G99&gt;=MA_MED),AVERAGE(INDEX($C$5:$C99,96-MA_MED):$C99),"")</f>
        <v>767683.74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0.0714468976019303</v>
      </c>
      <c r="M99" s="45" t="n">
        <f aca="false">IF(AND(ISNUMBER($G99),$G99&gt;=60),MAX(INDEX($D$5:$D99,96-60):$D99),"")</f>
        <v>796748</v>
      </c>
      <c r="N99" s="45" t="n">
        <f aca="false">IF(AND(ISNUMBER($G99),$G99&gt;=60),MIN(INDEX($E$5:$E99,96-60):$E99),"")</f>
        <v>725927</v>
      </c>
      <c r="O99" s="46" t="n">
        <f aca="false">IF(OR(NOT(ISNUMBER($C99)),NOT(ISNUMBER($M99)),$M99=0),"",$C99/$M99-1)</f>
        <v>-0.00916098942200039</v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790948</v>
      </c>
      <c r="D100" s="42" t="n">
        <v>793032</v>
      </c>
      <c r="E100" s="42" t="n">
        <v>787287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0.00189879270225179</v>
      </c>
      <c r="I100" s="45" t="n">
        <f aca="false">IF(AND(ISNUMBER($G100),$G100&gt;=MA_SHORT),AVERAGE(INDEX($C$5:$C100,97-MA_SHORT):$C100),"")</f>
        <v>788105.85</v>
      </c>
      <c r="J100" s="45" t="n">
        <f aca="false">IF(AND(ISNUMBER($G100),$G100&gt;=MA_MED),AVERAGE(INDEX($C$5:$C100,97-MA_MED):$C100),"")</f>
        <v>768774.48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0.0667041742107536</v>
      </c>
      <c r="M100" s="45" t="n">
        <f aca="false">IF(AND(ISNUMBER($G100),$G100&gt;=60),MAX(INDEX($D$5:$D100,97-60):$D100),"")</f>
        <v>796748</v>
      </c>
      <c r="N100" s="45" t="n">
        <f aca="false">IF(AND(ISNUMBER($G100),$G100&gt;=60),MIN(INDEX($E$5:$E100,97-60):$E100),"")</f>
        <v>725927</v>
      </c>
      <c r="O100" s="46" t="n">
        <f aca="false">IF(OR(NOT(ISNUMBER($C100)),NOT(ISNUMBER($M100)),$M100=0),"",$C100/$M100-1)</f>
        <v>-0.00727959153960855</v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793110</v>
      </c>
      <c r="D101" s="42" t="n">
        <v>794194</v>
      </c>
      <c r="E101" s="42" t="n">
        <v>790041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0.00273342874626392</v>
      </c>
      <c r="I101" s="45" t="n">
        <f aca="false">IF(AND(ISNUMBER($G101),$G101&gt;=MA_SHORT),AVERAGE(INDEX($C$5:$C101,98-MA_SHORT):$C101),"")</f>
        <v>788801.7</v>
      </c>
      <c r="J101" s="45" t="n">
        <f aca="false">IF(AND(ISNUMBER($G101),$G101&gt;=MA_MED),AVERAGE(INDEX($C$5:$C101,98-MA_MED):$C101),"")</f>
        <v>769914.16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0.0661740862613557</v>
      </c>
      <c r="M101" s="45" t="n">
        <f aca="false">IF(AND(ISNUMBER($G101),$G101&gt;=60),MAX(INDEX($D$5:$D101,98-60):$D101),"")</f>
        <v>796748</v>
      </c>
      <c r="N101" s="45" t="n">
        <f aca="false">IF(AND(ISNUMBER($G101),$G101&gt;=60),MIN(INDEX($E$5:$E101,98-60):$E101),"")</f>
        <v>725927</v>
      </c>
      <c r="O101" s="46" t="n">
        <f aca="false">IF(OR(NOT(ISNUMBER($C101)),NOT(ISNUMBER($M101)),$M101=0),"",$C101/$M101-1)</f>
        <v>-0.00456606103811996</v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788975</v>
      </c>
      <c r="D102" s="42" t="n">
        <v>789279</v>
      </c>
      <c r="E102" s="42" t="n">
        <v>786628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-0.00521365258286999</v>
      </c>
      <c r="I102" s="45" t="n">
        <f aca="false">IF(AND(ISNUMBER($G102),$G102&gt;=MA_SHORT),AVERAGE(INDEX($C$5:$C102,99-MA_SHORT):$C102),"")</f>
        <v>788892.55</v>
      </c>
      <c r="J102" s="45" t="n">
        <f aca="false">IF(AND(ISNUMBER($G102),$G102&gt;=MA_MED),AVERAGE(INDEX($C$5:$C102,99-MA_MED):$C102),"")</f>
        <v>770969.82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0.0598698899759953</v>
      </c>
      <c r="M102" s="45" t="n">
        <f aca="false">IF(AND(ISNUMBER($G102),$G102&gt;=60),MAX(INDEX($D$5:$D102,99-60):$D102),"")</f>
        <v>796748</v>
      </c>
      <c r="N102" s="45" t="n">
        <f aca="false">IF(AND(ISNUMBER($G102),$G102&gt;=60),MIN(INDEX($E$5:$E102,99-60):$E102),"")</f>
        <v>725927</v>
      </c>
      <c r="O102" s="46" t="n">
        <f aca="false">IF(OR(NOT(ISNUMBER($C102)),NOT(ISNUMBER($M102)),$M102=0),"",$C102/$M102-1)</f>
        <v>-0.00975590776506496</v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793844</v>
      </c>
      <c r="D103" s="42" t="n">
        <v>796779</v>
      </c>
      <c r="E103" s="42" t="n">
        <v>793456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0.00617129820336504</v>
      </c>
      <c r="I103" s="45" t="n">
        <f aca="false">IF(AND(ISNUMBER($G103),$G103&gt;=MA_SHORT),AVERAGE(INDEX($C$5:$C103,100-MA_SHORT):$C103),"")</f>
        <v>789035.4</v>
      </c>
      <c r="J103" s="45" t="n">
        <f aca="false">IF(AND(ISNUMBER($G103),$G103&gt;=MA_MED),AVERAGE(INDEX($C$5:$C103,100-MA_MED):$C103),"")</f>
        <v>772056.16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0.0613609412112891</v>
      </c>
      <c r="M103" s="45" t="n">
        <f aca="false">IF(AND(ISNUMBER($G103),$G103&gt;=60),MAX(INDEX($D$5:$D103,100-60):$D103),"")</f>
        <v>796779</v>
      </c>
      <c r="N103" s="45" t="n">
        <f aca="false">IF(AND(ISNUMBER($G103),$G103&gt;=60),MIN(INDEX($E$5:$E103,100-60):$E103),"")</f>
        <v>725927</v>
      </c>
      <c r="O103" s="46" t="n">
        <f aca="false">IF(OR(NOT(ISNUMBER($C103)),NOT(ISNUMBER($M103)),$M103=0),"",$C103/$M103-1)</f>
        <v>-0.00368358101807398</v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791873</v>
      </c>
      <c r="D104" s="42" t="n">
        <v>796258</v>
      </c>
      <c r="E104" s="42" t="n">
        <v>784820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-0.00248285557363914</v>
      </c>
      <c r="I104" s="45" t="n">
        <f aca="false">IF(AND(ISNUMBER($G104),$G104&gt;=MA_SHORT),AVERAGE(INDEX($C$5:$C104,101-MA_SHORT):$C104),"")</f>
        <v>789182.85</v>
      </c>
      <c r="J104" s="45" t="n">
        <f aca="false">IF(AND(ISNUMBER($G104),$G104&gt;=MA_MED),AVERAGE(INDEX($C$5:$C104,101-MA_MED):$C104),"")</f>
        <v>773059.28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0.0612888633232787</v>
      </c>
      <c r="M104" s="45" t="n">
        <f aca="false">IF(AND(ISNUMBER($G104),$G104&gt;=60),MAX(INDEX($D$5:$D104,101-60):$D104),"")</f>
        <v>796779</v>
      </c>
      <c r="N104" s="45" t="n">
        <f aca="false">IF(AND(ISNUMBER($G104),$G104&gt;=60),MIN(INDEX($E$5:$E104,101-60):$E104),"")</f>
        <v>725927</v>
      </c>
      <c r="O104" s="46" t="n">
        <f aca="false">IF(OR(NOT(ISNUMBER($C104)),NOT(ISNUMBER($M104)),$M104=0),"",$C104/$M104-1)</f>
        <v>-0.00615729079205152</v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792822</v>
      </c>
      <c r="D105" s="42" t="n">
        <v>792908</v>
      </c>
      <c r="E105" s="42" t="n">
        <v>792661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0.00119842449483687</v>
      </c>
      <c r="I105" s="45" t="n">
        <f aca="false">IF(AND(ISNUMBER($G105),$G105&gt;=MA_SHORT),AVERAGE(INDEX($C$5:$C105,102-MA_SHORT):$C105),"")</f>
        <v>789478.95</v>
      </c>
      <c r="J105" s="45" t="n">
        <f aca="false">IF(AND(ISNUMBER($G105),$G105&gt;=MA_MED),AVERAGE(INDEX($C$5:$C105,102-MA_MED):$C105),"")</f>
        <v>774072.6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0.0605146353706621</v>
      </c>
      <c r="M105" s="45" t="n">
        <f aca="false">IF(AND(ISNUMBER($G105),$G105&gt;=60),MAX(INDEX($D$5:$D105,102-60):$D105),"")</f>
        <v>796779</v>
      </c>
      <c r="N105" s="45" t="n">
        <f aca="false">IF(AND(ISNUMBER($G105),$G105&gt;=60),MIN(INDEX($E$5:$E105,102-60):$E105),"")</f>
        <v>728455</v>
      </c>
      <c r="O105" s="46" t="n">
        <f aca="false">IF(OR(NOT(ISNUMBER($C105)),NOT(ISNUMBER($M105)),$M105=0),"",$C105/$M105-1)</f>
        <v>-0.00496624534532164</v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794667</v>
      </c>
      <c r="D106" s="42" t="n">
        <v>795025</v>
      </c>
      <c r="E106" s="42" t="n">
        <v>791127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0.00232713017549968</v>
      </c>
      <c r="I106" s="45" t="n">
        <f aca="false">IF(AND(ISNUMBER($G106),$G106&gt;=MA_SHORT),AVERAGE(INDEX($C$5:$C106,103-MA_SHORT):$C106),"")</f>
        <v>789728.65</v>
      </c>
      <c r="J106" s="45" t="n">
        <f aca="false">IF(AND(ISNUMBER($G106),$G106&gt;=MA_MED),AVERAGE(INDEX($C$5:$C106,103-MA_MED):$C106),"")</f>
        <v>775089.96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0.0598547535054483</v>
      </c>
      <c r="M106" s="45" t="n">
        <f aca="false">IF(AND(ISNUMBER($G106),$G106&gt;=60),MAX(INDEX($D$5:$D106,103-60):$D106),"")</f>
        <v>796779</v>
      </c>
      <c r="N106" s="45" t="n">
        <f aca="false">IF(AND(ISNUMBER($G106),$G106&gt;=60),MIN(INDEX($E$5:$E106,103-60):$E106),"")</f>
        <v>733565</v>
      </c>
      <c r="O106" s="46" t="n">
        <f aca="false">IF(OR(NOT(ISNUMBER($C106)),NOT(ISNUMBER($M106)),$M106=0),"",$C106/$M106-1)</f>
        <v>-0.002650672269224</v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793340</v>
      </c>
      <c r="D107" s="42" t="n">
        <v>795500</v>
      </c>
      <c r="E107" s="42" t="n">
        <v>787865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-0.00166988184988182</v>
      </c>
      <c r="I107" s="45" t="n">
        <f aca="false">IF(AND(ISNUMBER($G107),$G107&gt;=MA_SHORT),AVERAGE(INDEX($C$5:$C107,104-MA_SHORT):$C107),"")</f>
        <v>789894.55</v>
      </c>
      <c r="J107" s="45" t="n">
        <f aca="false">IF(AND(ISNUMBER($G107),$G107&gt;=MA_MED),AVERAGE(INDEX($C$5:$C107,104-MA_MED):$C107),"")</f>
        <v>776071.68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0.0602553155909079</v>
      </c>
      <c r="M107" s="45" t="n">
        <f aca="false">IF(AND(ISNUMBER($G107),$G107&gt;=60),MAX(INDEX($D$5:$D107,104-60):$D107),"")</f>
        <v>796779</v>
      </c>
      <c r="N107" s="45" t="n">
        <f aca="false">IF(AND(ISNUMBER($G107),$G107&gt;=60),MIN(INDEX($E$5:$E107,104-60):$E107),"")</f>
        <v>733597</v>
      </c>
      <c r="O107" s="46" t="n">
        <f aca="false">IF(OR(NOT(ISNUMBER($C107)),NOT(ISNUMBER($M107)),$M107=0),"",$C107/$M107-1)</f>
        <v>-0.00431612780959334</v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789568</v>
      </c>
      <c r="D108" s="42" t="n">
        <v>791788</v>
      </c>
      <c r="E108" s="42" t="n">
        <v>788086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-0.00475458189426981</v>
      </c>
      <c r="I108" s="45" t="n">
        <f aca="false">IF(AND(ISNUMBER($G108),$G108&gt;=MA_SHORT),AVERAGE(INDEX($C$5:$C108,105-MA_SHORT):$C108),"")</f>
        <v>789849.7</v>
      </c>
      <c r="J108" s="45" t="n">
        <f aca="false">IF(AND(ISNUMBER($G108),$G108&gt;=MA_MED),AVERAGE(INDEX($C$5:$C108,105-MA_MED):$C108),"")</f>
        <v>776952.28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0.0626867285982932</v>
      </c>
      <c r="M108" s="45" t="n">
        <f aca="false">IF(AND(ISNUMBER($G108),$G108&gt;=60),MAX(INDEX($D$5:$D108,105-60):$D108),"")</f>
        <v>796779</v>
      </c>
      <c r="N108" s="45" t="n">
        <f aca="false">IF(AND(ISNUMBER($G108),$G108&gt;=60),MIN(INDEX($E$5:$E108,105-60):$E108),"")</f>
        <v>733597</v>
      </c>
      <c r="O108" s="46" t="n">
        <f aca="false">IF(OR(NOT(ISNUMBER($C108)),NOT(ISNUMBER($M108)),$M108=0),"",$C108/$M108-1)</f>
        <v>-0.00905018832072635</v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797158</v>
      </c>
      <c r="D109" s="42" t="n">
        <v>798227</v>
      </c>
      <c r="E109" s="42" t="n">
        <v>796634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0.00961285158466407</v>
      </c>
      <c r="I109" s="45" t="n">
        <f aca="false">IF(AND(ISNUMBER($G109),$G109&gt;=MA_SHORT),AVERAGE(INDEX($C$5:$C109,106-MA_SHORT):$C109),"")</f>
        <v>790137.2</v>
      </c>
      <c r="J109" s="45" t="n">
        <f aca="false">IF(AND(ISNUMBER($G109),$G109&gt;=MA_MED),AVERAGE(INDEX($C$5:$C109,106-MA_MED):$C109),"")</f>
        <v>777941.48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0.0711884913224087</v>
      </c>
      <c r="M109" s="45" t="n">
        <f aca="false">IF(AND(ISNUMBER($G109),$G109&gt;=60),MAX(INDEX($D$5:$D109,106-60):$D109),"")</f>
        <v>798227</v>
      </c>
      <c r="N109" s="45" t="n">
        <f aca="false">IF(AND(ISNUMBER($G109),$G109&gt;=60),MIN(INDEX($E$5:$E109,106-60):$E109),"")</f>
        <v>733597</v>
      </c>
      <c r="O109" s="46" t="n">
        <f aca="false">IF(OR(NOT(ISNUMBER($C109)),NOT(ISNUMBER($M109)),$M109=0),"",$C109/$M109-1)</f>
        <v>-0.00133921804198556</v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798999</v>
      </c>
      <c r="D110" s="42" t="n">
        <v>800952</v>
      </c>
      <c r="E110" s="42" t="n">
        <v>798303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0.00230945433653051</v>
      </c>
      <c r="I110" s="45" t="n">
        <f aca="false">IF(AND(ISNUMBER($G110),$G110&gt;=MA_SHORT),AVERAGE(INDEX($C$5:$C110,107-MA_SHORT):$C110),"")</f>
        <v>790783.05</v>
      </c>
      <c r="J110" s="45" t="n">
        <f aca="false">IF(AND(ISNUMBER($G110),$G110&gt;=MA_MED),AVERAGE(INDEX($C$5:$C110,107-MA_MED):$C110),"")</f>
        <v>779023.72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0.0664320049295658</v>
      </c>
      <c r="M110" s="45" t="n">
        <f aca="false">IF(AND(ISNUMBER($G110),$G110&gt;=60),MAX(INDEX($D$5:$D110,107-60):$D110),"")</f>
        <v>800952</v>
      </c>
      <c r="N110" s="45" t="n">
        <f aca="false">IF(AND(ISNUMBER($G110),$G110&gt;=60),MIN(INDEX($E$5:$E110,107-60):$E110),"")</f>
        <v>733597</v>
      </c>
      <c r="O110" s="46" t="n">
        <f aca="false">IF(OR(NOT(ISNUMBER($C110)),NOT(ISNUMBER($M110)),$M110=0),"",$C110/$M110-1)</f>
        <v>-0.0024383483654451</v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796907</v>
      </c>
      <c r="D111" s="42" t="n">
        <v>797208</v>
      </c>
      <c r="E111" s="42" t="n">
        <v>796791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-0.00261827611799259</v>
      </c>
      <c r="I111" s="45" t="n">
        <f aca="false">IF(AND(ISNUMBER($G111),$G111&gt;=MA_SHORT),AVERAGE(INDEX($C$5:$C111,108-MA_SHORT):$C111),"")</f>
        <v>791121.45</v>
      </c>
      <c r="J111" s="45" t="n">
        <f aca="false">IF(AND(ISNUMBER($G111),$G111&gt;=MA_MED),AVERAGE(INDEX($C$5:$C111,108-MA_MED):$C111),"")</f>
        <v>779973.16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0.0654553208147187</v>
      </c>
      <c r="M111" s="45" t="n">
        <f aca="false">IF(AND(ISNUMBER($G111),$G111&gt;=60),MAX(INDEX($D$5:$D111,108-60):$D111),"")</f>
        <v>800952</v>
      </c>
      <c r="N111" s="45" t="n">
        <f aca="false">IF(AND(ISNUMBER($G111),$G111&gt;=60),MIN(INDEX($E$5:$E111,108-60):$E111),"")</f>
        <v>734903</v>
      </c>
      <c r="O111" s="46" t="n">
        <f aca="false">IF(OR(NOT(ISNUMBER($C111)),NOT(ISNUMBER($M111)),$M111=0),"",$C111/$M111-1)</f>
        <v>-0.00505024021414513</v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799990</v>
      </c>
      <c r="D112" s="42" t="n">
        <v>804404</v>
      </c>
      <c r="E112" s="42" t="n">
        <v>799778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0.00386870738994638</v>
      </c>
      <c r="I112" s="45" t="n">
        <f aca="false">IF(AND(ISNUMBER($G112),$G112&gt;=MA_SHORT),AVERAGE(INDEX($C$5:$C112,109-MA_SHORT):$C112),"")</f>
        <v>791826.75</v>
      </c>
      <c r="J112" s="45" t="n">
        <f aca="false">IF(AND(ISNUMBER($G112),$G112&gt;=MA_MED),AVERAGE(INDEX($C$5:$C112,109-MA_MED):$C112),"")</f>
        <v>781066.28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0.062804968906056</v>
      </c>
      <c r="M112" s="45" t="n">
        <f aca="false">IF(AND(ISNUMBER($G112),$G112&gt;=60),MAX(INDEX($D$5:$D112,109-60):$D112),"")</f>
        <v>804404</v>
      </c>
      <c r="N112" s="45" t="n">
        <f aca="false">IF(AND(ISNUMBER($G112),$G112&gt;=60),MIN(INDEX($E$5:$E112,109-60):$E112),"")</f>
        <v>738269</v>
      </c>
      <c r="O112" s="46" t="n">
        <f aca="false">IF(OR(NOT(ISNUMBER($C112)),NOT(ISNUMBER($M112)),$M112=0),"",$C112/$M112-1)</f>
        <v>-0.00548729245503499</v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798318</v>
      </c>
      <c r="D113" s="42" t="n">
        <v>799501</v>
      </c>
      <c r="E113" s="42" t="n">
        <v>796437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-0.00209002612532661</v>
      </c>
      <c r="I113" s="45" t="n">
        <f aca="false">IF(AND(ISNUMBER($G113),$G113&gt;=MA_SHORT),AVERAGE(INDEX($C$5:$C113,110-MA_SHORT):$C113),"")</f>
        <v>792225.4</v>
      </c>
      <c r="J113" s="45" t="n">
        <f aca="false">IF(AND(ISNUMBER($G113),$G113&gt;=MA_MED),AVERAGE(INDEX($C$5:$C113,110-MA_MED):$C113),"")</f>
        <v>782040.24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0.0610424583780501</v>
      </c>
      <c r="M113" s="45" t="n">
        <f aca="false">IF(AND(ISNUMBER($G113),$G113&gt;=60),MAX(INDEX($D$5:$D113,110-60):$D113),"")</f>
        <v>804404</v>
      </c>
      <c r="N113" s="45" t="n">
        <f aca="false">IF(AND(ISNUMBER($G113),$G113&gt;=60),MIN(INDEX($E$5:$E113,110-60):$E113),"")</f>
        <v>739493</v>
      </c>
      <c r="O113" s="46" t="n">
        <f aca="false">IF(OR(NOT(ISNUMBER($C113)),NOT(ISNUMBER($M113)),$M113=0),"",$C113/$M113-1)</f>
        <v>-0.00756584999577326</v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796520</v>
      </c>
      <c r="D114" s="42" t="n">
        <v>797137</v>
      </c>
      <c r="E114" s="42" t="n">
        <v>793032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-0.00225223532477037</v>
      </c>
      <c r="I114" s="45" t="n">
        <f aca="false">IF(AND(ISNUMBER($G114),$G114&gt;=MA_SHORT),AVERAGE(INDEX($C$5:$C114,111-MA_SHORT):$C114),"")</f>
        <v>792746.35</v>
      </c>
      <c r="J114" s="45" t="n">
        <f aca="false">IF(AND(ISNUMBER($G114),$G114&gt;=MA_MED),AVERAGE(INDEX($C$5:$C114,111-MA_MED):$C114),"")</f>
        <v>782930.18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0.0580738008024835</v>
      </c>
      <c r="M114" s="45" t="n">
        <f aca="false">IF(AND(ISNUMBER($G114),$G114&gt;=60),MAX(INDEX($D$5:$D114,111-60):$D114),"")</f>
        <v>804404</v>
      </c>
      <c r="N114" s="45" t="n">
        <f aca="false">IF(AND(ISNUMBER($G114),$G114&gt;=60),MIN(INDEX($E$5:$E114,111-60):$E114),"")</f>
        <v>739493</v>
      </c>
      <c r="O114" s="46" t="n">
        <f aca="false">IF(OR(NOT(ISNUMBER($C114)),NOT(ISNUMBER($M114)),$M114=0),"",$C114/$M114-1)</f>
        <v>-0.00980104524592118</v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797718</v>
      </c>
      <c r="D115" s="42" t="n">
        <v>798578</v>
      </c>
      <c r="E115" s="42" t="n">
        <v>797413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0.00150404258524572</v>
      </c>
      <c r="I115" s="45" t="n">
        <f aca="false">IF(AND(ISNUMBER($G115),$G115&gt;=MA_SHORT),AVERAGE(INDEX($C$5:$C115,112-MA_SHORT):$C115),"")</f>
        <v>793383.45</v>
      </c>
      <c r="J115" s="45" t="n">
        <f aca="false">IF(AND(ISNUMBER($G115),$G115&gt;=MA_MED),AVERAGE(INDEX($C$5:$C115,112-MA_MED):$C115),"")</f>
        <v>783669.12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0.0576144709663854</v>
      </c>
      <c r="M115" s="45" t="n">
        <f aca="false">IF(AND(ISNUMBER($G115),$G115&gt;=60),MAX(INDEX($D$5:$D115,112-60):$D115),"")</f>
        <v>804404</v>
      </c>
      <c r="N115" s="45" t="n">
        <f aca="false">IF(AND(ISNUMBER($G115),$G115&gt;=60),MIN(INDEX($E$5:$E115,112-60):$E115),"")</f>
        <v>739493</v>
      </c>
      <c r="O115" s="46" t="n">
        <f aca="false">IF(OR(NOT(ISNUMBER($C115)),NOT(ISNUMBER($M115)),$M115=0),"",$C115/$M115-1)</f>
        <v>-0.00831174385010514</v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796625</v>
      </c>
      <c r="D116" s="42" t="n">
        <v>798945</v>
      </c>
      <c r="E116" s="42" t="n">
        <v>793379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-0.00137015837676968</v>
      </c>
      <c r="I116" s="45" t="n">
        <f aca="false">IF(AND(ISNUMBER($G116),$G116&gt;=MA_SHORT),AVERAGE(INDEX($C$5:$C116,113-MA_SHORT):$C116),"")</f>
        <v>793937.9</v>
      </c>
      <c r="J116" s="45" t="n">
        <f aca="false">IF(AND(ISNUMBER($G116),$G116&gt;=MA_MED),AVERAGE(INDEX($C$5:$C116,113-MA_MED):$C116),"")</f>
        <v>784467.54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0.0581196796997671</v>
      </c>
      <c r="M116" s="45" t="n">
        <f aca="false">IF(AND(ISNUMBER($G116),$G116&gt;=60),MAX(INDEX($D$5:$D116,113-60):$D116),"")</f>
        <v>804404</v>
      </c>
      <c r="N116" s="45" t="n">
        <f aca="false">IF(AND(ISNUMBER($G116),$G116&gt;=60),MIN(INDEX($E$5:$E116,113-60):$E116),"")</f>
        <v>739493</v>
      </c>
      <c r="O116" s="46" t="n">
        <f aca="false">IF(OR(NOT(ISNUMBER($C116)),NOT(ISNUMBER($M116)),$M116=0),"",$C116/$M116-1)</f>
        <v>-0.00967051382141315</v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800115</v>
      </c>
      <c r="D117" s="42" t="n">
        <v>800376</v>
      </c>
      <c r="E117" s="42" t="n">
        <v>795529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0.00438098226894712</v>
      </c>
      <c r="I117" s="45" t="n">
        <f aca="false">IF(AND(ISNUMBER($G117),$G117&gt;=MA_SHORT),AVERAGE(INDEX($C$5:$C117,114-MA_SHORT):$C117),"")</f>
        <v>794480.5</v>
      </c>
      <c r="J117" s="45" t="n">
        <f aca="false">IF(AND(ISNUMBER($G117),$G117&gt;=MA_MED),AVERAGE(INDEX($C$5:$C117,114-MA_MED):$C117),"")</f>
        <v>785332.48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0.0578071595449132</v>
      </c>
      <c r="M117" s="45" t="n">
        <f aca="false">IF(AND(ISNUMBER($G117),$G117&gt;=60),MAX(INDEX($D$5:$D117,114-60):$D117),"")</f>
        <v>804404</v>
      </c>
      <c r="N117" s="45" t="n">
        <f aca="false">IF(AND(ISNUMBER($G117),$G117&gt;=60),MIN(INDEX($E$5:$E117,114-60):$E117),"")</f>
        <v>739493</v>
      </c>
      <c r="O117" s="46" t="n">
        <f aca="false">IF(OR(NOT(ISNUMBER($C117)),NOT(ISNUMBER($M117)),$M117=0),"",$C117/$M117-1)</f>
        <v>-0.00533189790204924</v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805990</v>
      </c>
      <c r="D118" s="42" t="n">
        <v>808565</v>
      </c>
      <c r="E118" s="42" t="n">
        <v>804474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0.00734269448766733</v>
      </c>
      <c r="I118" s="45" t="n">
        <f aca="false">IF(AND(ISNUMBER($G118),$G118&gt;=MA_SHORT),AVERAGE(INDEX($C$5:$C118,115-MA_SHORT):$C118),"")</f>
        <v>795346.8</v>
      </c>
      <c r="J118" s="45" t="n">
        <f aca="false">IF(AND(ISNUMBER($G118),$G118&gt;=MA_MED),AVERAGE(INDEX($C$5:$C118,115-MA_MED):$C118),"")</f>
        <v>786254.36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0.0619926098230767</v>
      </c>
      <c r="M118" s="45" t="n">
        <f aca="false">IF(AND(ISNUMBER($G118),$G118&gt;=60),MAX(INDEX($D$5:$D118,115-60):$D118),"")</f>
        <v>808565</v>
      </c>
      <c r="N118" s="45" t="n">
        <f aca="false">IF(AND(ISNUMBER($G118),$G118&gt;=60),MIN(INDEX($E$5:$E118,115-60):$E118),"")</f>
        <v>739493</v>
      </c>
      <c r="O118" s="46" t="n">
        <f aca="false">IF(OR(NOT(ISNUMBER($C118)),NOT(ISNUMBER($M118)),$M118=0),"",$C118/$M118-1)</f>
        <v>-0.00318465429495463</v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807433</v>
      </c>
      <c r="D119" s="42" t="n">
        <v>809559</v>
      </c>
      <c r="E119" s="42" t="n">
        <v>807234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0.00179034479335982</v>
      </c>
      <c r="I119" s="45" t="n">
        <f aca="false">IF(AND(ISNUMBER($G119),$G119&gt;=MA_SHORT),AVERAGE(INDEX($C$5:$C119,116-MA_SHORT):$C119),"")</f>
        <v>796246</v>
      </c>
      <c r="J119" s="45" t="n">
        <f aca="false">IF(AND(ISNUMBER($G119),$G119&gt;=MA_MED),AVERAGE(INDEX($C$5:$C119,116-MA_MED):$C119),"")</f>
        <v>787098.94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0.0620386294096649</v>
      </c>
      <c r="M119" s="45" t="n">
        <f aca="false">IF(AND(ISNUMBER($G119),$G119&gt;=60),MAX(INDEX($D$5:$D119,116-60):$D119),"")</f>
        <v>809559</v>
      </c>
      <c r="N119" s="45" t="n">
        <f aca="false">IF(AND(ISNUMBER($G119),$G119&gt;=60),MIN(INDEX($E$5:$E119,116-60):$E119),"")</f>
        <v>739493</v>
      </c>
      <c r="O119" s="46" t="n">
        <f aca="false">IF(OR(NOT(ISNUMBER($C119)),NOT(ISNUMBER($M119)),$M119=0),"",$C119/$M119-1)</f>
        <v>-0.00262612113508709</v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812258</v>
      </c>
      <c r="D120" s="42" t="n">
        <v>813726</v>
      </c>
      <c r="E120" s="42" t="n">
        <v>811565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0.00597572801706159</v>
      </c>
      <c r="I120" s="45" t="n">
        <f aca="false">IF(AND(ISNUMBER($G120),$G120&gt;=MA_SHORT),AVERAGE(INDEX($C$5:$C120,117-MA_SHORT):$C120),"")</f>
        <v>797311.5</v>
      </c>
      <c r="J120" s="45" t="n">
        <f aca="false">IF(AND(ISNUMBER($G120),$G120&gt;=MA_MED),AVERAGE(INDEX($C$5:$C120,117-MA_MED):$C120),"")</f>
        <v>788114.3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0.064286712997818</v>
      </c>
      <c r="M120" s="45" t="n">
        <f aca="false">IF(AND(ISNUMBER($G120),$G120&gt;=60),MAX(INDEX($D$5:$D120,117-60):$D120),"")</f>
        <v>813726</v>
      </c>
      <c r="N120" s="45" t="n">
        <f aca="false">IF(AND(ISNUMBER($G120),$G120&gt;=60),MIN(INDEX($E$5:$E120,117-60):$E120),"")</f>
        <v>742776</v>
      </c>
      <c r="O120" s="46" t="n">
        <f aca="false">IF(OR(NOT(ISNUMBER($C120)),NOT(ISNUMBER($M120)),$M120=0),"",$C120/$M120-1)</f>
        <v>-0.00180404706252468</v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809769</v>
      </c>
      <c r="D121" s="42" t="n">
        <v>810772</v>
      </c>
      <c r="E121" s="42" t="n">
        <v>809412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-0.00306429730455104</v>
      </c>
      <c r="I121" s="45" t="n">
        <f aca="false">IF(AND(ISNUMBER($G121),$G121&gt;=MA_SHORT),AVERAGE(INDEX($C$5:$C121,118-MA_SHORT):$C121),"")</f>
        <v>798144.45</v>
      </c>
      <c r="J121" s="45" t="n">
        <f aca="false">IF(AND(ISNUMBER($G121),$G121&gt;=MA_MED),AVERAGE(INDEX($C$5:$C121,118-MA_MED):$C121),"")</f>
        <v>789012.24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0.0658477716856478</v>
      </c>
      <c r="M121" s="45" t="n">
        <f aca="false">IF(AND(ISNUMBER($G121),$G121&gt;=60),MAX(INDEX($D$5:$D121,118-60):$D121),"")</f>
        <v>813726</v>
      </c>
      <c r="N121" s="45" t="n">
        <f aca="false">IF(AND(ISNUMBER($G121),$G121&gt;=60),MIN(INDEX($E$5:$E121,118-60):$E121),"")</f>
        <v>742776</v>
      </c>
      <c r="O121" s="46" t="n">
        <f aca="false">IF(OR(NOT(ISNUMBER($C121)),NOT(ISNUMBER($M121)),$M121=0),"",$C121/$M121-1)</f>
        <v>-0.00486281623052476</v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814964</v>
      </c>
      <c r="D122" s="42" t="n">
        <v>815953</v>
      </c>
      <c r="E122" s="42" t="n">
        <v>814760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0.00641540982675304</v>
      </c>
      <c r="I122" s="45" t="n">
        <f aca="false">IF(AND(ISNUMBER($G122),$G122&gt;=MA_SHORT),AVERAGE(INDEX($C$5:$C122,119-MA_SHORT):$C122),"")</f>
        <v>799443.9</v>
      </c>
      <c r="J122" s="45" t="n">
        <f aca="false">IF(AND(ISNUMBER($G122),$G122&gt;=MA_MED),AVERAGE(INDEX($C$5:$C122,119-MA_MED):$C122),"")</f>
        <v>789917.64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0.0641448174718537</v>
      </c>
      <c r="M122" s="45" t="n">
        <f aca="false">IF(AND(ISNUMBER($G122),$G122&gt;=60),MAX(INDEX($D$5:$D122,119-60):$D122),"")</f>
        <v>815953</v>
      </c>
      <c r="N122" s="45" t="n">
        <f aca="false">IF(AND(ISNUMBER($G122),$G122&gt;=60),MIN(INDEX($E$5:$E122,119-60):$E122),"")</f>
        <v>748707</v>
      </c>
      <c r="O122" s="46" t="n">
        <f aca="false">IF(OR(NOT(ISNUMBER($C122)),NOT(ISNUMBER($M122)),$M122=0),"",$C122/$M122-1)</f>
        <v>-0.00121207961733094</v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818098</v>
      </c>
      <c r="D123" s="42" t="n">
        <v>819213</v>
      </c>
      <c r="E123" s="42" t="n">
        <v>816601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0.00384556863861474</v>
      </c>
      <c r="I123" s="45" t="n">
        <f aca="false">IF(AND(ISNUMBER($G123),$G123&gt;=MA_SHORT),AVERAGE(INDEX($C$5:$C123,120-MA_SHORT):$C123),"")</f>
        <v>800656.6</v>
      </c>
      <c r="J123" s="45" t="n">
        <f aca="false">IF(AND(ISNUMBER($G123),$G123&gt;=MA_MED),AVERAGE(INDEX($C$5:$C123,120-MA_MED):$C123),"")</f>
        <v>790865.74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0.0625173438010409</v>
      </c>
      <c r="M123" s="45" t="n">
        <f aca="false">IF(AND(ISNUMBER($G123),$G123&gt;=60),MAX(INDEX($D$5:$D123,120-60):$D123),"")</f>
        <v>819213</v>
      </c>
      <c r="N123" s="45" t="n">
        <f aca="false">IF(AND(ISNUMBER($G123),$G123&gt;=60),MIN(INDEX($E$5:$E123,120-60):$E123),"")</f>
        <v>750284</v>
      </c>
      <c r="O123" s="46" t="n">
        <f aca="false">IF(OR(NOT(ISNUMBER($C123)),NOT(ISNUMBER($M123)),$M123=0),"",$C123/$M123-1)</f>
        <v>-0.00136106238548461</v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814079</v>
      </c>
      <c r="D124" s="42" t="n">
        <v>814742</v>
      </c>
      <c r="E124" s="42" t="n">
        <v>812123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-0.0049126143811622</v>
      </c>
      <c r="I124" s="45" t="n">
        <f aca="false">IF(AND(ISNUMBER($G124),$G124&gt;=MA_SHORT),AVERAGE(INDEX($C$5:$C124,121-MA_SHORT):$C124),"")</f>
        <v>801766.9</v>
      </c>
      <c r="J124" s="45" t="n">
        <f aca="false">IF(AND(ISNUMBER($G124),$G124&gt;=MA_MED),AVERAGE(INDEX($C$5:$C124,121-MA_MED):$C124),"")</f>
        <v>791728.28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0.0650473391172365</v>
      </c>
      <c r="M124" s="45" t="n">
        <f aca="false">IF(AND(ISNUMBER($G124),$G124&gt;=60),MAX(INDEX($D$5:$D124,121-60):$D124),"")</f>
        <v>819213</v>
      </c>
      <c r="N124" s="45" t="n">
        <f aca="false">IF(AND(ISNUMBER($G124),$G124&gt;=60),MIN(INDEX($E$5:$E124,121-60):$E124),"")</f>
        <v>756292</v>
      </c>
      <c r="O124" s="46" t="n">
        <f aca="false">IF(OR(NOT(ISNUMBER($C124)),NOT(ISNUMBER($M124)),$M124=0),"",$C124/$M124-1)</f>
        <v>-0.00626699039199818</v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816661</v>
      </c>
      <c r="D125" s="42" t="n">
        <v>817421</v>
      </c>
      <c r="E125" s="42" t="n">
        <v>812895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0.00317168235515219</v>
      </c>
      <c r="I125" s="45" t="n">
        <f aca="false">IF(AND(ISNUMBER($G125),$G125&gt;=MA_SHORT),AVERAGE(INDEX($C$5:$C125,122-MA_SHORT):$C125),"")</f>
        <v>802958.85</v>
      </c>
      <c r="J125" s="45" t="n">
        <f aca="false">IF(AND(ISNUMBER($G125),$G125&gt;=MA_MED),AVERAGE(INDEX($C$5:$C125,122-MA_MED):$C125),"")</f>
        <v>792681.6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0.0653376282703501</v>
      </c>
      <c r="M125" s="45" t="n">
        <f aca="false">IF(AND(ISNUMBER($G125),$G125&gt;=60),MAX(INDEX($D$5:$D125,122-60):$D125),"")</f>
        <v>819213</v>
      </c>
      <c r="N125" s="45" t="n">
        <f aca="false">IF(AND(ISNUMBER($G125),$G125&gt;=60),MIN(INDEX($E$5:$E125,122-60):$E125),"")</f>
        <v>756292</v>
      </c>
      <c r="O125" s="46" t="n">
        <f aca="false">IF(OR(NOT(ISNUMBER($C125)),NOT(ISNUMBER($M125)),$M125=0),"",$C125/$M125-1)</f>
        <v>-0.0031151849396921</v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813694</v>
      </c>
      <c r="D126" s="42" t="n">
        <v>815758</v>
      </c>
      <c r="E126" s="42" t="n">
        <v>812870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-0.003633086433661</v>
      </c>
      <c r="I126" s="45" t="n">
        <f aca="false">IF(AND(ISNUMBER($G126),$G126&gt;=MA_SHORT),AVERAGE(INDEX($C$5:$C126,123-MA_SHORT):$C126),"")</f>
        <v>803910.2</v>
      </c>
      <c r="J126" s="45" t="n">
        <f aca="false">IF(AND(ISNUMBER($G126),$G126&gt;=MA_MED),AVERAGE(INDEX($C$5:$C126,123-MA_MED):$C126),"")</f>
        <v>793614.44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0.0676431605528591</v>
      </c>
      <c r="M126" s="45" t="n">
        <f aca="false">IF(AND(ISNUMBER($G126),$G126&gt;=60),MAX(INDEX($D$5:$D126,123-60):$D126),"")</f>
        <v>819213</v>
      </c>
      <c r="N126" s="45" t="n">
        <f aca="false">IF(AND(ISNUMBER($G126),$G126&gt;=60),MIN(INDEX($E$5:$E126,123-60):$E126),"")</f>
        <v>756639</v>
      </c>
      <c r="O126" s="46" t="n">
        <f aca="false">IF(OR(NOT(ISNUMBER($C126)),NOT(ISNUMBER($M126)),$M126=0),"",$C126/$M126-1)</f>
        <v>-0.00673695363721039</v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813274</v>
      </c>
      <c r="D127" s="42" t="n">
        <v>817168</v>
      </c>
      <c r="E127" s="42" t="n">
        <v>811644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-0.000516164553259535</v>
      </c>
      <c r="I127" s="45" t="n">
        <f aca="false">IF(AND(ISNUMBER($G127),$G127&gt;=MA_SHORT),AVERAGE(INDEX($C$5:$C127,124-MA_SHORT):$C127),"")</f>
        <v>804906.9</v>
      </c>
      <c r="J127" s="45" t="n">
        <f aca="false">IF(AND(ISNUMBER($G127),$G127&gt;=MA_MED),AVERAGE(INDEX($C$5:$C127,124-MA_MED):$C127),"")</f>
        <v>794452.46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0.0671322026785968</v>
      </c>
      <c r="M127" s="45" t="n">
        <f aca="false">IF(AND(ISNUMBER($G127),$G127&gt;=60),MAX(INDEX($D$5:$D127,124-60):$D127),"")</f>
        <v>819213</v>
      </c>
      <c r="N127" s="45" t="n">
        <f aca="false">IF(AND(ISNUMBER($G127),$G127&gt;=60),MIN(INDEX($E$5:$E127,124-60):$E127),"")</f>
        <v>757145</v>
      </c>
      <c r="O127" s="46" t="n">
        <f aca="false">IF(OR(NOT(ISNUMBER($C127)),NOT(ISNUMBER($M127)),$M127=0),"",$C127/$M127-1)</f>
        <v>-0.00724964081380541</v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815277</v>
      </c>
      <c r="D128" s="42" t="n">
        <v>817240</v>
      </c>
      <c r="E128" s="42" t="n">
        <v>813082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0.00246288458748212</v>
      </c>
      <c r="I128" s="45" t="n">
        <f aca="false">IF(AND(ISNUMBER($G128),$G128&gt;=MA_SHORT),AVERAGE(INDEX($C$5:$C128,125-MA_SHORT):$C128),"")</f>
        <v>806192.35</v>
      </c>
      <c r="J128" s="45" t="n">
        <f aca="false">IF(AND(ISNUMBER($G128),$G128&gt;=MA_MED),AVERAGE(INDEX($C$5:$C128,125-MA_MED):$C128),"")</f>
        <v>795403.02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0.0634597554366982</v>
      </c>
      <c r="M128" s="45" t="n">
        <f aca="false">IF(AND(ISNUMBER($G128),$G128&gt;=60),MAX(INDEX($D$5:$D128,125-60):$D128),"")</f>
        <v>819213</v>
      </c>
      <c r="N128" s="45" t="n">
        <f aca="false">IF(AND(ISNUMBER($G128),$G128&gt;=60),MIN(INDEX($E$5:$E128,125-60):$E128),"")</f>
        <v>757145</v>
      </c>
      <c r="O128" s="46" t="n">
        <f aca="false">IF(OR(NOT(ISNUMBER($C128)),NOT(ISNUMBER($M128)),$M128=0),"",$C128/$M128-1)</f>
        <v>-0.00480461125494835</v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812776</v>
      </c>
      <c r="D129" s="42" t="n">
        <v>813647</v>
      </c>
      <c r="E129" s="42" t="n">
        <v>806719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-0.00306766902537425</v>
      </c>
      <c r="I129" s="45" t="n">
        <f aca="false">IF(AND(ISNUMBER($G129),$G129&gt;=MA_SHORT),AVERAGE(INDEX($C$5:$C129,126-MA_SHORT):$C129),"")</f>
        <v>806973.25</v>
      </c>
      <c r="J129" s="45" t="n">
        <f aca="false">IF(AND(ISNUMBER($G129),$G129&gt;=MA_MED),AVERAGE(INDEX($C$5:$C129,126-MA_MED):$C129),"")</f>
        <v>796262.42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0.058139028763144</v>
      </c>
      <c r="M129" s="45" t="n">
        <f aca="false">IF(AND(ISNUMBER($G129),$G129&gt;=60),MAX(INDEX($D$5:$D129,126-60):$D129),"")</f>
        <v>819213</v>
      </c>
      <c r="N129" s="45" t="n">
        <f aca="false">IF(AND(ISNUMBER($G129),$G129&gt;=60),MIN(INDEX($E$5:$E129,126-60):$E129),"")</f>
        <v>757145</v>
      </c>
      <c r="O129" s="46" t="n">
        <f aca="false">IF(OR(NOT(ISNUMBER($C129)),NOT(ISNUMBER($M129)),$M129=0),"",$C129/$M129-1)</f>
        <v>-0.00785754132319683</v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818463</v>
      </c>
      <c r="D130" s="42" t="n">
        <v>819682</v>
      </c>
      <c r="E130" s="42" t="n">
        <v>817848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0.00699700778566292</v>
      </c>
      <c r="I130" s="45" t="n">
        <f aca="false">IF(AND(ISNUMBER($G130),$G130&gt;=MA_SHORT),AVERAGE(INDEX($C$5:$C130,127-MA_SHORT):$C130),"")</f>
        <v>807946.45</v>
      </c>
      <c r="J130" s="45" t="n">
        <f aca="false">IF(AND(ISNUMBER($G130),$G130&gt;=MA_MED),AVERAGE(INDEX($C$5:$C130,127-MA_MED):$C130),"")</f>
        <v>797108.04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0.0617282728398888</v>
      </c>
      <c r="M130" s="45" t="n">
        <f aca="false">IF(AND(ISNUMBER($G130),$G130&gt;=60),MAX(INDEX($D$5:$D130,127-60):$D130),"")</f>
        <v>819682</v>
      </c>
      <c r="N130" s="45" t="n">
        <f aca="false">IF(AND(ISNUMBER($G130),$G130&gt;=60),MIN(INDEX($E$5:$E130,127-60):$E130),"")</f>
        <v>760928</v>
      </c>
      <c r="O130" s="46" t="n">
        <f aca="false">IF(OR(NOT(ISNUMBER($C130)),NOT(ISNUMBER($M130)),$M130=0),"",$C130/$M130-1)</f>
        <v>-0.00148716209456834</v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813994</v>
      </c>
      <c r="D131" s="42" t="n">
        <v>814708</v>
      </c>
      <c r="E131" s="42" t="n">
        <v>813323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-0.00546023461048328</v>
      </c>
      <c r="I131" s="45" t="n">
        <f aca="false">IF(AND(ISNUMBER($G131),$G131&gt;=MA_SHORT),AVERAGE(INDEX($C$5:$C131,128-MA_SHORT):$C131),"")</f>
        <v>808800.8</v>
      </c>
      <c r="J131" s="45" t="n">
        <f aca="false">IF(AND(ISNUMBER($G131),$G131&gt;=MA_MED),AVERAGE(INDEX($C$5:$C131,128-MA_MED):$C131),"")</f>
        <v>797804.06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0.0647303314740602</v>
      </c>
      <c r="M131" s="45" t="n">
        <f aca="false">IF(AND(ISNUMBER($G131),$G131&gt;=60),MAX(INDEX($D$5:$D131,128-60):$D131),"")</f>
        <v>819682</v>
      </c>
      <c r="N131" s="45" t="n">
        <f aca="false">IF(AND(ISNUMBER($G131),$G131&gt;=60),MIN(INDEX($E$5:$E131,128-60):$E131),"")</f>
        <v>763555</v>
      </c>
      <c r="O131" s="46" t="n">
        <f aca="false">IF(OR(NOT(ISNUMBER($C131)),NOT(ISNUMBER($M131)),$M131=0),"",$C131/$M131-1)</f>
        <v>-0.00693927645111148</v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820767</v>
      </c>
      <c r="D132" s="42" t="n">
        <v>825028</v>
      </c>
      <c r="E132" s="42" t="n">
        <v>819762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0.00832070015258091</v>
      </c>
      <c r="I132" s="45" t="n">
        <f aca="false">IF(AND(ISNUMBER($G132),$G132&gt;=MA_SHORT),AVERAGE(INDEX($C$5:$C132,129-MA_SHORT):$C132),"")</f>
        <v>809839.65</v>
      </c>
      <c r="J132" s="45" t="n">
        <f aca="false">IF(AND(ISNUMBER($G132),$G132&gt;=MA_MED),AVERAGE(INDEX($C$5:$C132,129-MA_MED):$C132),"")</f>
        <v>798476.24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0.0689507919712807</v>
      </c>
      <c r="M132" s="45" t="n">
        <f aca="false">IF(AND(ISNUMBER($G132),$G132&gt;=60),MAX(INDEX($D$5:$D132,129-60):$D132),"")</f>
        <v>825028</v>
      </c>
      <c r="N132" s="45" t="n">
        <f aca="false">IF(AND(ISNUMBER($G132),$G132&gt;=60),MIN(INDEX($E$5:$E132,129-60):$E132),"")</f>
        <v>763555</v>
      </c>
      <c r="O132" s="46" t="n">
        <f aca="false">IF(OR(NOT(ISNUMBER($C132)),NOT(ISNUMBER($M132)),$M132=0),"",$C132/$M132-1)</f>
        <v>-0.00516467319897018</v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822422</v>
      </c>
      <c r="D133" s="42" t="n">
        <v>826149</v>
      </c>
      <c r="E133" s="42" t="n">
        <v>821752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0.00201640660504143</v>
      </c>
      <c r="I133" s="45" t="n">
        <f aca="false">IF(AND(ISNUMBER($G133),$G133&gt;=MA_SHORT),AVERAGE(INDEX($C$5:$C133,130-MA_SHORT):$C133),"")</f>
        <v>811044.85</v>
      </c>
      <c r="J133" s="45" t="n">
        <f aca="false">IF(AND(ISNUMBER($G133),$G133&gt;=MA_MED),AVERAGE(INDEX($C$5:$C133,130-MA_MED):$C133),"")</f>
        <v>799104.94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0.0678425537310221</v>
      </c>
      <c r="M133" s="45" t="n">
        <f aca="false">IF(AND(ISNUMBER($G133),$G133&gt;=60),MAX(INDEX($D$5:$D133,130-60):$D133),"")</f>
        <v>826149</v>
      </c>
      <c r="N133" s="45" t="n">
        <f aca="false">IF(AND(ISNUMBER($G133),$G133&gt;=60),MIN(INDEX($E$5:$E133,130-60):$E133),"")</f>
        <v>763555</v>
      </c>
      <c r="O133" s="46" t="n">
        <f aca="false">IF(OR(NOT(ISNUMBER($C133)),NOT(ISNUMBER($M133)),$M133=0),"",$C133/$M133-1)</f>
        <v>-0.0045112927571177</v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821310</v>
      </c>
      <c r="D134" s="42" t="n">
        <v>823254</v>
      </c>
      <c r="E134" s="42" t="n">
        <v>820525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-0.00135210390772622</v>
      </c>
      <c r="I134" s="45" t="n">
        <f aca="false">IF(AND(ISNUMBER($G134),$G134&gt;=MA_SHORT),AVERAGE(INDEX($C$5:$C134,131-MA_SHORT):$C134),"")</f>
        <v>812284.35</v>
      </c>
      <c r="J134" s="45" t="n">
        <f aca="false">IF(AND(ISNUMBER($G134),$G134&gt;=MA_MED),AVERAGE(INDEX($C$5:$C134,131-MA_MED):$C134),"")</f>
        <v>799752.66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0.067271799047008</v>
      </c>
      <c r="M134" s="45" t="n">
        <f aca="false">IF(AND(ISNUMBER($G134),$G134&gt;=60),MAX(INDEX($D$5:$D134,131-60):$D134),"")</f>
        <v>826149</v>
      </c>
      <c r="N134" s="45" t="n">
        <f aca="false">IF(AND(ISNUMBER($G134),$G134&gt;=60),MIN(INDEX($E$5:$E134,131-60):$E134),"")</f>
        <v>763555</v>
      </c>
      <c r="O134" s="46" t="n">
        <f aca="false">IF(OR(NOT(ISNUMBER($C134)),NOT(ISNUMBER($M134)),$M134=0),"",$C134/$M134-1)</f>
        <v>-0.00585729692827808</v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821767</v>
      </c>
      <c r="D135" s="42" t="n">
        <v>825569</v>
      </c>
      <c r="E135" s="42" t="n">
        <v>821307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0.000556428145280119</v>
      </c>
      <c r="I135" s="45" t="n">
        <f aca="false">IF(AND(ISNUMBER($G135),$G135&gt;=MA_SHORT),AVERAGE(INDEX($C$5:$C135,132-MA_SHORT):$C135),"")</f>
        <v>813486.8</v>
      </c>
      <c r="J135" s="45" t="n">
        <f aca="false">IF(AND(ISNUMBER($G135),$G135&gt;=MA_MED),AVERAGE(INDEX($C$5:$C135,132-MA_MED):$C135),"")</f>
        <v>800450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0.0673604590516203</v>
      </c>
      <c r="M135" s="45" t="n">
        <f aca="false">IF(AND(ISNUMBER($G135),$G135&gt;=60),MAX(INDEX($D$5:$D135,132-60):$D135),"")</f>
        <v>826149</v>
      </c>
      <c r="N135" s="45" t="n">
        <f aca="false">IF(AND(ISNUMBER($G135),$G135&gt;=60),MIN(INDEX($E$5:$E135,132-60):$E135),"")</f>
        <v>763555</v>
      </c>
      <c r="O135" s="46" t="n">
        <f aca="false">IF(OR(NOT(ISNUMBER($C135)),NOT(ISNUMBER($M135)),$M135=0),"",$C135/$M135-1)</f>
        <v>-0.00530412794786417</v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822629</v>
      </c>
      <c r="D136" s="42" t="n">
        <v>822962</v>
      </c>
      <c r="E136" s="42" t="n">
        <v>820158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0.00104895913318503</v>
      </c>
      <c r="I136" s="45" t="n">
        <f aca="false">IF(AND(ISNUMBER($G136),$G136&gt;=MA_SHORT),AVERAGE(INDEX($C$5:$C136,133-MA_SHORT):$C136),"")</f>
        <v>814787</v>
      </c>
      <c r="J136" s="45" t="n">
        <f aca="false">IF(AND(ISNUMBER($G136),$G136&gt;=MA_MED),AVERAGE(INDEX($C$5:$C136,133-MA_MED):$C136),"")</f>
        <v>801109.12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0.0665610300963306</v>
      </c>
      <c r="M136" s="45" t="n">
        <f aca="false">IF(AND(ISNUMBER($G136),$G136&gt;=60),MAX(INDEX($D$5:$D136,133-60):$D136),"")</f>
        <v>826149</v>
      </c>
      <c r="N136" s="45" t="n">
        <f aca="false">IF(AND(ISNUMBER($G136),$G136&gt;=60),MIN(INDEX($E$5:$E136,133-60):$E136),"")</f>
        <v>766125</v>
      </c>
      <c r="O136" s="46" t="n">
        <f aca="false">IF(OR(NOT(ISNUMBER($C136)),NOT(ISNUMBER($M136)),$M136=0),"",$C136/$M136-1)</f>
        <v>-0.00426073262813365</v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824345</v>
      </c>
      <c r="D137" s="42" t="n">
        <v>826109</v>
      </c>
      <c r="E137" s="42" t="n">
        <v>821501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0.002085995023273</v>
      </c>
      <c r="I137" s="45" t="n">
        <f aca="false">IF(AND(ISNUMBER($G137),$G137&gt;=MA_SHORT),AVERAGE(INDEX($C$5:$C137,134-MA_SHORT):$C137),"")</f>
        <v>815998.5</v>
      </c>
      <c r="J137" s="45" t="n">
        <f aca="false">IF(AND(ISNUMBER($G137),$G137&gt;=MA_MED),AVERAGE(INDEX($C$5:$C137,134-MA_MED):$C137),"")</f>
        <v>801795.58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0.0658121367431546</v>
      </c>
      <c r="M137" s="45" t="n">
        <f aca="false">IF(AND(ISNUMBER($G137),$G137&gt;=60),MAX(INDEX($D$5:$D137,134-60):$D137),"")</f>
        <v>826149</v>
      </c>
      <c r="N137" s="45" t="n">
        <f aca="false">IF(AND(ISNUMBER($G137),$G137&gt;=60),MIN(INDEX($E$5:$E137,134-60):$E137),"")</f>
        <v>766125</v>
      </c>
      <c r="O137" s="46" t="n">
        <f aca="false">IF(OR(NOT(ISNUMBER($C137)),NOT(ISNUMBER($M137)),$M137=0),"",$C137/$M137-1)</f>
        <v>-0.00218362547191853</v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827073</v>
      </c>
      <c r="D138" s="42" t="n">
        <v>828334</v>
      </c>
      <c r="E138" s="42" t="n">
        <v>823567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0.00330929404557567</v>
      </c>
      <c r="I138" s="45" t="n">
        <f aca="false">IF(AND(ISNUMBER($G138),$G138&gt;=MA_SHORT),AVERAGE(INDEX($C$5:$C138,135-MA_SHORT):$C138),"")</f>
        <v>817052.65</v>
      </c>
      <c r="J138" s="45" t="n">
        <f aca="false">IF(AND(ISNUMBER($G138),$G138&gt;=MA_MED),AVERAGE(INDEX($C$5:$C138,135-MA_MED):$C138),"")</f>
        <v>802527.74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0.0626330133175912</v>
      </c>
      <c r="M138" s="45" t="n">
        <f aca="false">IF(AND(ISNUMBER($G138),$G138&gt;=60),MAX(INDEX($D$5:$D138,135-60):$D138),"")</f>
        <v>828334</v>
      </c>
      <c r="N138" s="45" t="n">
        <f aca="false">IF(AND(ISNUMBER($G138),$G138&gt;=60),MIN(INDEX($E$5:$E138,135-60):$E138),"")</f>
        <v>766125</v>
      </c>
      <c r="O138" s="46" t="n">
        <f aca="false">IF(OR(NOT(ISNUMBER($C138)),NOT(ISNUMBER($M138)),$M138=0),"",$C138/$M138-1)</f>
        <v>-0.00152233277880665</v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827468</v>
      </c>
      <c r="D139" s="42" t="n">
        <v>827552</v>
      </c>
      <c r="E139" s="42" t="n">
        <v>825917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0.000477587830820303</v>
      </c>
      <c r="I139" s="45" t="n">
        <f aca="false">IF(AND(ISNUMBER($G139),$G139&gt;=MA_SHORT),AVERAGE(INDEX($C$5:$C139,136-MA_SHORT):$C139),"")</f>
        <v>818054.4</v>
      </c>
      <c r="J139" s="45" t="n">
        <f aca="false">IF(AND(ISNUMBER($G139),$G139&gt;=MA_MED),AVERAGE(INDEX($C$5:$C139,136-MA_MED):$C139),"")</f>
        <v>803248.94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0.0626688747406067</v>
      </c>
      <c r="M139" s="45" t="n">
        <f aca="false">IF(AND(ISNUMBER($G139),$G139&gt;=60),MAX(INDEX($D$5:$D139,136-60):$D139),"")</f>
        <v>828334</v>
      </c>
      <c r="N139" s="45" t="n">
        <f aca="false">IF(AND(ISNUMBER($G139),$G139&gt;=60),MIN(INDEX($E$5:$E139,136-60):$E139),"")</f>
        <v>771913</v>
      </c>
      <c r="O139" s="46" t="n">
        <f aca="false">IF(OR(NOT(ISNUMBER($C139)),NOT(ISNUMBER($M139)),$M139=0),"",$C139/$M139-1)</f>
        <v>-0.00104547199559601</v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829282</v>
      </c>
      <c r="D140" s="42" t="n">
        <v>832079</v>
      </c>
      <c r="E140" s="42" t="n">
        <v>827137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0.0021922297901551</v>
      </c>
      <c r="I140" s="45" t="n">
        <f aca="false">IF(AND(ISNUMBER($G140),$G140&gt;=MA_SHORT),AVERAGE(INDEX($C$5:$C140,137-MA_SHORT):$C140),"")</f>
        <v>818905.6</v>
      </c>
      <c r="J140" s="45" t="n">
        <f aca="false">IF(AND(ISNUMBER($G140),$G140&gt;=MA_MED),AVERAGE(INDEX($C$5:$C140,137-MA_MED):$C140),"")</f>
        <v>804112.94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0.0603329196890446</v>
      </c>
      <c r="M140" s="45" t="n">
        <f aca="false">IF(AND(ISNUMBER($G140),$G140&gt;=60),MAX(INDEX($D$5:$D140,137-60):$D140),"")</f>
        <v>832079</v>
      </c>
      <c r="N140" s="45" t="n">
        <f aca="false">IF(AND(ISNUMBER($G140),$G140&gt;=60),MIN(INDEX($E$5:$E140,137-60):$E140),"")</f>
        <v>775364</v>
      </c>
      <c r="O140" s="46" t="n">
        <f aca="false">IF(OR(NOT(ISNUMBER($C140)),NOT(ISNUMBER($M140)),$M140=0),"",$C140/$M140-1)</f>
        <v>-0.00336145966909396</v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827442</v>
      </c>
      <c r="D141" s="42" t="n">
        <v>829793</v>
      </c>
      <c r="E141" s="42" t="n">
        <v>824774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-0.00221878685417021</v>
      </c>
      <c r="I141" s="45" t="n">
        <f aca="false">IF(AND(ISNUMBER($G141),$G141&gt;=MA_SHORT),AVERAGE(INDEX($C$5:$C141,138-MA_SHORT):$C141),"")</f>
        <v>819789.25</v>
      </c>
      <c r="J141" s="45" t="n">
        <f aca="false">IF(AND(ISNUMBER($G141),$G141&gt;=MA_MED),AVERAGE(INDEX($C$5:$C141,138-MA_MED):$C141),"")</f>
        <v>804859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0.0596592054872702</v>
      </c>
      <c r="M141" s="45" t="n">
        <f aca="false">IF(AND(ISNUMBER($G141),$G141&gt;=60),MAX(INDEX($D$5:$D141,138-60):$D141),"")</f>
        <v>832079</v>
      </c>
      <c r="N141" s="45" t="n">
        <f aca="false">IF(AND(ISNUMBER($G141),$G141&gt;=60),MIN(INDEX($E$5:$E141,138-60):$E141),"")</f>
        <v>781605</v>
      </c>
      <c r="O141" s="46" t="n">
        <f aca="false">IF(OR(NOT(ISNUMBER($C141)),NOT(ISNUMBER($M141)),$M141=0),"",$C141/$M141-1)</f>
        <v>-0.00557278816073958</v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830994</v>
      </c>
      <c r="D142" s="42" t="n">
        <v>831013</v>
      </c>
      <c r="E142" s="42" t="n">
        <v>829733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0.00429274801134105</v>
      </c>
      <c r="I142" s="45" t="n">
        <f aca="false">IF(AND(ISNUMBER($G142),$G142&gt;=MA_SHORT),AVERAGE(INDEX($C$5:$C142,139-MA_SHORT):$C142),"")</f>
        <v>820590.75</v>
      </c>
      <c r="J142" s="45" t="n">
        <f aca="false">IF(AND(ISNUMBER($G142),$G142&gt;=MA_MED),AVERAGE(INDEX($C$5:$C142,139-MA_MED):$C142),"")</f>
        <v>805761.2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0.0576430792177567</v>
      </c>
      <c r="M142" s="45" t="n">
        <f aca="false">IF(AND(ISNUMBER($G142),$G142&gt;=60),MAX(INDEX($D$5:$D142,139-60):$D142),"")</f>
        <v>832079</v>
      </c>
      <c r="N142" s="45" t="n">
        <f aca="false">IF(AND(ISNUMBER($G142),$G142&gt;=60),MIN(INDEX($E$5:$E142,139-60):$E142),"")</f>
        <v>781605</v>
      </c>
      <c r="O142" s="46" t="n">
        <f aca="false">IF(OR(NOT(ISNUMBER($C142)),NOT(ISNUMBER($M142)),$M142=0),"",$C142/$M142-1)</f>
        <v>-0.00130396272469324</v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830444</v>
      </c>
      <c r="D143" s="42" t="n">
        <v>833229</v>
      </c>
      <c r="E143" s="42" t="n">
        <v>830371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-0.000661857967686919</v>
      </c>
      <c r="I143" s="45" t="n">
        <f aca="false">IF(AND(ISNUMBER($G143),$G143&gt;=MA_SHORT),AVERAGE(INDEX($C$5:$C143,140-MA_SHORT):$C143),"")</f>
        <v>821208.05</v>
      </c>
      <c r="J143" s="45" t="n">
        <f aca="false">IF(AND(ISNUMBER($G143),$G143&gt;=MA_MED),AVERAGE(INDEX($C$5:$C143,140-MA_MED):$C143),"")</f>
        <v>806563.18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0.0569086878680592</v>
      </c>
      <c r="M143" s="45" t="n">
        <f aca="false">IF(AND(ISNUMBER($G143),$G143&gt;=60),MAX(INDEX($D$5:$D143,140-60):$D143),"")</f>
        <v>833229</v>
      </c>
      <c r="N143" s="45" t="n">
        <f aca="false">IF(AND(ISNUMBER($G143),$G143&gt;=60),MIN(INDEX($E$5:$E143,140-60):$E143),"")</f>
        <v>781605</v>
      </c>
      <c r="O143" s="46" t="n">
        <f aca="false">IF(OR(NOT(ISNUMBER($C143)),NOT(ISNUMBER($M143)),$M143=0),"",$C143/$M143-1)</f>
        <v>-0.00334241847079253</v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830037</v>
      </c>
      <c r="D144" s="42" t="n">
        <v>835004</v>
      </c>
      <c r="E144" s="42" t="n">
        <v>827985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-0.000490099272196565</v>
      </c>
      <c r="I144" s="45" t="n">
        <f aca="false">IF(AND(ISNUMBER($G144),$G144&gt;=MA_SHORT),AVERAGE(INDEX($C$5:$C144,141-MA_SHORT):$C144),"")</f>
        <v>822005.95</v>
      </c>
      <c r="J144" s="45" t="n">
        <f aca="false">IF(AND(ISNUMBER($G144),$G144&gt;=MA_MED),AVERAGE(INDEX($C$5:$C144,141-MA_MED):$C144),"")</f>
        <v>807441.9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0.053213931019479</v>
      </c>
      <c r="M144" s="45" t="n">
        <f aca="false">IF(AND(ISNUMBER($G144),$G144&gt;=60),MAX(INDEX($D$5:$D144,141-60):$D144),"")</f>
        <v>835004</v>
      </c>
      <c r="N144" s="45" t="n">
        <f aca="false">IF(AND(ISNUMBER($G144),$G144&gt;=60),MIN(INDEX($E$5:$E144,141-60):$E144),"")</f>
        <v>781605</v>
      </c>
      <c r="O144" s="46" t="n">
        <f aca="false">IF(OR(NOT(ISNUMBER($C144)),NOT(ISNUMBER($M144)),$M144=0),"",$C144/$M144-1)</f>
        <v>-0.00594847449832581</v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829708</v>
      </c>
      <c r="D145" s="42" t="n">
        <v>830087</v>
      </c>
      <c r="E145" s="42" t="n">
        <v>829015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-0.00039636787275743</v>
      </c>
      <c r="I145" s="45" t="n">
        <f aca="false">IF(AND(ISNUMBER($G145),$G145&gt;=MA_SHORT),AVERAGE(INDEX($C$5:$C145,142-MA_SHORT):$C145),"")</f>
        <v>822658.3</v>
      </c>
      <c r="J145" s="45" t="n">
        <f aca="false">IF(AND(ISNUMBER($G145),$G145&gt;=MA_MED),AVERAGE(INDEX($C$5:$C145,142-MA_MED):$C145),"")</f>
        <v>808336.54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0.0527796289794795</v>
      </c>
      <c r="M145" s="45" t="n">
        <f aca="false">IF(AND(ISNUMBER($G145),$G145&gt;=60),MAX(INDEX($D$5:$D145,142-60):$D145),"")</f>
        <v>835004</v>
      </c>
      <c r="N145" s="45" t="n">
        <f aca="false">IF(AND(ISNUMBER($G145),$G145&gt;=60),MIN(INDEX($E$5:$E145,142-60):$E145),"")</f>
        <v>781605</v>
      </c>
      <c r="O145" s="46" t="n">
        <f aca="false">IF(OR(NOT(ISNUMBER($C145)),NOT(ISNUMBER($M145)),$M145=0),"",$C145/$M145-1)</f>
        <v>-0.00634248458690023</v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830084</v>
      </c>
      <c r="D146" s="42" t="n">
        <v>832155</v>
      </c>
      <c r="E146" s="42" t="n">
        <v>827272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0.000453171477194481</v>
      </c>
      <c r="I146" s="45" t="n">
        <f aca="false">IF(AND(ISNUMBER($G146),$G146&gt;=MA_SHORT),AVERAGE(INDEX($C$5:$C146,143-MA_SHORT):$C146),"")</f>
        <v>823477.8</v>
      </c>
      <c r="J146" s="45" t="n">
        <f aca="false">IF(AND(ISNUMBER($G146),$G146&gt;=MA_MED),AVERAGE(INDEX($C$5:$C146,143-MA_MED):$C146),"")</f>
        <v>809227.5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0.050232007295545</v>
      </c>
      <c r="M146" s="45" t="n">
        <f aca="false">IF(AND(ISNUMBER($G146),$G146&gt;=60),MAX(INDEX($D$5:$D146,143-60):$D146),"")</f>
        <v>835004</v>
      </c>
      <c r="N146" s="45" t="n">
        <f aca="false">IF(AND(ISNUMBER($G146),$G146&gt;=60),MIN(INDEX($E$5:$E146,143-60):$E146),"")</f>
        <v>781605</v>
      </c>
      <c r="O146" s="46" t="n">
        <f aca="false">IF(OR(NOT(ISNUMBER($C146)),NOT(ISNUMBER($M146)),$M146=0),"",$C146/$M146-1)</f>
        <v>-0.00589218734281516</v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835300</v>
      </c>
      <c r="D147" s="42" t="n">
        <v>838791</v>
      </c>
      <c r="E147" s="42" t="n">
        <v>833155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0.00628370140853218</v>
      </c>
      <c r="I147" s="45" t="n">
        <f aca="false">IF(AND(ISNUMBER($G147),$G147&gt;=MA_SHORT),AVERAGE(INDEX($C$5:$C147,144-MA_SHORT):$C147),"")</f>
        <v>824579.1</v>
      </c>
      <c r="J147" s="45" t="n">
        <f aca="false">IF(AND(ISNUMBER($G147),$G147&gt;=MA_MED),AVERAGE(INDEX($C$5:$C147,144-MA_MED):$C147),"")</f>
        <v>810148.24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0.0531352100243538</v>
      </c>
      <c r="M147" s="45" t="n">
        <f aca="false">IF(AND(ISNUMBER($G147),$G147&gt;=60),MAX(INDEX($D$5:$D147,144-60):$D147),"")</f>
        <v>838791</v>
      </c>
      <c r="N147" s="45" t="n">
        <f aca="false">IF(AND(ISNUMBER($G147),$G147&gt;=60),MIN(INDEX($E$5:$E147,144-60):$E147),"")</f>
        <v>781605</v>
      </c>
      <c r="O147" s="46" t="n">
        <f aca="false">IF(OR(NOT(ISNUMBER($C147)),NOT(ISNUMBER($M147)),$M147=0),"",$C147/$M147-1)</f>
        <v>-0.00416194260548819</v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836369</v>
      </c>
      <c r="D148" s="42" t="n">
        <v>839758</v>
      </c>
      <c r="E148" s="42" t="n">
        <v>834850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0.00127977971986115</v>
      </c>
      <c r="I148" s="45" t="n">
        <f aca="false">IF(AND(ISNUMBER($G148),$G148&gt;=MA_SHORT),AVERAGE(INDEX($C$5:$C148,145-MA_SHORT):$C148),"")</f>
        <v>825633.7</v>
      </c>
      <c r="J148" s="45" t="n">
        <f aca="false">IF(AND(ISNUMBER($G148),$G148&gt;=MA_MED),AVERAGE(INDEX($C$5:$C148,145-MA_MED):$C148),"")</f>
        <v>811102.34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0.0529746404543219</v>
      </c>
      <c r="M148" s="45" t="n">
        <f aca="false">IF(AND(ISNUMBER($G148),$G148&gt;=60),MAX(INDEX($D$5:$D148,145-60):$D148),"")</f>
        <v>839758</v>
      </c>
      <c r="N148" s="45" t="n">
        <f aca="false">IF(AND(ISNUMBER($G148),$G148&gt;=60),MIN(INDEX($E$5:$E148,145-60):$E148),"")</f>
        <v>781605</v>
      </c>
      <c r="O148" s="46" t="n">
        <f aca="false">IF(OR(NOT(ISNUMBER($C148)),NOT(ISNUMBER($M148)),$M148=0),"",$C148/$M148-1)</f>
        <v>-0.0040356864715787</v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835481</v>
      </c>
      <c r="D149" s="42" t="n">
        <v>837616</v>
      </c>
      <c r="E149" s="42" t="n">
        <v>833960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-0.0010617323214992</v>
      </c>
      <c r="I149" s="45" t="n">
        <f aca="false">IF(AND(ISNUMBER($G149),$G149&gt;=MA_SHORT),AVERAGE(INDEX($C$5:$C149,146-MA_SHORT):$C149),"")</f>
        <v>826768.95</v>
      </c>
      <c r="J149" s="45" t="n">
        <f aca="false">IF(AND(ISNUMBER($G149),$G149&gt;=MA_MED),AVERAGE(INDEX($C$5:$C149,146-MA_MED):$C149),"")</f>
        <v>812022.98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0.0512885660284018</v>
      </c>
      <c r="M149" s="45" t="n">
        <f aca="false">IF(AND(ISNUMBER($G149),$G149&gt;=60),MAX(INDEX($D$5:$D149,146-60):$D149),"")</f>
        <v>839758</v>
      </c>
      <c r="N149" s="45" t="n">
        <f aca="false">IF(AND(ISNUMBER($G149),$G149&gt;=60),MIN(INDEX($E$5:$E149,146-60):$E149),"")</f>
        <v>781605</v>
      </c>
      <c r="O149" s="46" t="n">
        <f aca="false">IF(OR(NOT(ISNUMBER($C149)),NOT(ISNUMBER($M149)),$M149=0),"",$C149/$M149-1)</f>
        <v>-0.00509313397431166</v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836458</v>
      </c>
      <c r="D150" s="42" t="n">
        <v>839024</v>
      </c>
      <c r="E150" s="42" t="n">
        <v>835396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0.00116938625773666</v>
      </c>
      <c r="I150" s="45" t="n">
        <f aca="false">IF(AND(ISNUMBER($G150),$G150&gt;=MA_SHORT),AVERAGE(INDEX($C$5:$C150,147-MA_SHORT):$C150),"")</f>
        <v>827668.7</v>
      </c>
      <c r="J150" s="45" t="n">
        <f aca="false">IF(AND(ISNUMBER($G150),$G150&gt;=MA_MED),AVERAGE(INDEX($C$5:$C150,147-MA_MED):$C150),"")</f>
        <v>812933.18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0.0469350750623524</v>
      </c>
      <c r="M150" s="45" t="n">
        <f aca="false">IF(AND(ISNUMBER($G150),$G150&gt;=60),MAX(INDEX($D$5:$D150,147-60):$D150),"")</f>
        <v>839758</v>
      </c>
      <c r="N150" s="45" t="n">
        <f aca="false">IF(AND(ISNUMBER($G150),$G150&gt;=60),MIN(INDEX($E$5:$E150,147-60):$E150),"")</f>
        <v>781605</v>
      </c>
      <c r="O150" s="46" t="n">
        <f aca="false">IF(OR(NOT(ISNUMBER($C150)),NOT(ISNUMBER($M150)),$M150=0),"",$C150/$M150-1)</f>
        <v>-0.00392970355745348</v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839337</v>
      </c>
      <c r="D151" s="42" t="n">
        <v>841969</v>
      </c>
      <c r="E151" s="42" t="n">
        <v>838392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0.00344189427323305</v>
      </c>
      <c r="I151" s="45" t="n">
        <f aca="false">IF(AND(ISNUMBER($G151),$G151&gt;=MA_SHORT),AVERAGE(INDEX($C$5:$C151,148-MA_SHORT):$C151),"")</f>
        <v>828935.85</v>
      </c>
      <c r="J151" s="45" t="n">
        <f aca="false">IF(AND(ISNUMBER($G151),$G151&gt;=MA_MED),AVERAGE(INDEX($C$5:$C151,148-MA_MED):$C151),"")</f>
        <v>813857.72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0.0408577811105367</v>
      </c>
      <c r="M151" s="45" t="n">
        <f aca="false">IF(AND(ISNUMBER($G151),$G151&gt;=60),MAX(INDEX($D$5:$D151,148-60):$D151),"")</f>
        <v>841969</v>
      </c>
      <c r="N151" s="45" t="n">
        <f aca="false">IF(AND(ISNUMBER($G151),$G151&gt;=60),MIN(INDEX($E$5:$E151,148-60):$E151),"")</f>
        <v>781605</v>
      </c>
      <c r="O151" s="46" t="n">
        <f aca="false">IF(OR(NOT(ISNUMBER($C151)),NOT(ISNUMBER($M151)),$M151=0),"",$C151/$M151-1)</f>
        <v>-0.00312600582681788</v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840865</v>
      </c>
      <c r="D152" s="42" t="n">
        <v>841431</v>
      </c>
      <c r="E152" s="42" t="n">
        <v>837197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0.00182048450145778</v>
      </c>
      <c r="I152" s="45" t="n">
        <f aca="false">IF(AND(ISNUMBER($G152),$G152&gt;=MA_SHORT),AVERAGE(INDEX($C$5:$C152,149-MA_SHORT):$C152),"")</f>
        <v>829940.75</v>
      </c>
      <c r="J152" s="45" t="n">
        <f aca="false">IF(AND(ISNUMBER($G152),$G152&gt;=MA_MED),AVERAGE(INDEX($C$5:$C152,149-MA_MED):$C152),"")</f>
        <v>814895.52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0.0324008718200392</v>
      </c>
      <c r="M152" s="45" t="n">
        <f aca="false">IF(AND(ISNUMBER($G152),$G152&gt;=60),MAX(INDEX($D$5:$D152,149-60):$D152),"")</f>
        <v>841969</v>
      </c>
      <c r="N152" s="45" t="n">
        <f aca="false">IF(AND(ISNUMBER($G152),$G152&gt;=60),MIN(INDEX($E$5:$E152,149-60):$E152),"")</f>
        <v>781605</v>
      </c>
      <c r="O152" s="46" t="n">
        <f aca="false">IF(OR(NOT(ISNUMBER($C152)),NOT(ISNUMBER($M152)),$M152=0),"",$C152/$M152-1)</f>
        <v>-0.00131121217051933</v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839844</v>
      </c>
      <c r="D153" s="42" t="n">
        <v>841983</v>
      </c>
      <c r="E153" s="42" t="n">
        <v>837527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-0.00121422582697583</v>
      </c>
      <c r="I153" s="45" t="n">
        <f aca="false">IF(AND(ISNUMBER($G153),$G153&gt;=MA_SHORT),AVERAGE(INDEX($C$5:$C153,150-MA_SHORT):$C153),"")</f>
        <v>830811.85</v>
      </c>
      <c r="J153" s="45" t="n">
        <f aca="false">IF(AND(ISNUMBER($G153),$G153&gt;=MA_MED),AVERAGE(INDEX($C$5:$C153,150-MA_MED):$C153),"")</f>
        <v>815815.52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0.0333268515516925</v>
      </c>
      <c r="M153" s="45" t="n">
        <f aca="false">IF(AND(ISNUMBER($G153),$G153&gt;=60),MAX(INDEX($D$5:$D153,150-60):$D153),"")</f>
        <v>841983</v>
      </c>
      <c r="N153" s="45" t="n">
        <f aca="false">IF(AND(ISNUMBER($G153),$G153&gt;=60),MIN(INDEX($E$5:$E153,150-60):$E153),"")</f>
        <v>781605</v>
      </c>
      <c r="O153" s="46" t="n">
        <f aca="false">IF(OR(NOT(ISNUMBER($C153)),NOT(ISNUMBER($M153)),$M153=0),"",$C153/$M153-1)</f>
        <v>-0.00254043133887505</v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838464</v>
      </c>
      <c r="D154" s="42" t="n">
        <v>841070</v>
      </c>
      <c r="E154" s="42" t="n">
        <v>835120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-0.00164316230157024</v>
      </c>
      <c r="I154" s="45" t="n">
        <f aca="false">IF(AND(ISNUMBER($G154),$G154&gt;=MA_SHORT),AVERAGE(INDEX($C$5:$C154,151-MA_SHORT):$C154),"")</f>
        <v>831669.55</v>
      </c>
      <c r="J154" s="45" t="n">
        <f aca="false">IF(AND(ISNUMBER($G154),$G154&gt;=MA_MED),AVERAGE(INDEX($C$5:$C154,151-MA_MED):$C154),"")</f>
        <v>816747.34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0.0336118097599323</v>
      </c>
      <c r="M154" s="45" t="n">
        <f aca="false">IF(AND(ISNUMBER($G154),$G154&gt;=60),MAX(INDEX($D$5:$D154,151-60):$D154),"")</f>
        <v>841983</v>
      </c>
      <c r="N154" s="45" t="n">
        <f aca="false">IF(AND(ISNUMBER($G154),$G154&gt;=60),MIN(INDEX($E$5:$E154,151-60):$E154),"")</f>
        <v>781605</v>
      </c>
      <c r="O154" s="46" t="n">
        <f aca="false">IF(OR(NOT(ISNUMBER($C154)),NOT(ISNUMBER($M154)),$M154=0),"",$C154/$M154-1)</f>
        <v>-0.00417941929943955</v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844806</v>
      </c>
      <c r="D155" s="42" t="n">
        <v>846031</v>
      </c>
      <c r="E155" s="42" t="n">
        <v>841787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0.00756383100526681</v>
      </c>
      <c r="I155" s="45" t="n">
        <f aca="false">IF(AND(ISNUMBER($G155),$G155&gt;=MA_SHORT),AVERAGE(INDEX($C$5:$C155,152-MA_SHORT):$C155),"")</f>
        <v>832821.5</v>
      </c>
      <c r="J155" s="45" t="n">
        <f aca="false">IF(AND(ISNUMBER($G155),$G155&gt;=MA_MED),AVERAGE(INDEX($C$5:$C155,152-MA_MED):$C155),"")</f>
        <v>817787.02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0.0405531512925416</v>
      </c>
      <c r="M155" s="45" t="n">
        <f aca="false">IF(AND(ISNUMBER($G155),$G155&gt;=60),MAX(INDEX($D$5:$D155,152-60):$D155),"")</f>
        <v>846031</v>
      </c>
      <c r="N155" s="45" t="n">
        <f aca="false">IF(AND(ISNUMBER($G155),$G155&gt;=60),MIN(INDEX($E$5:$E155,152-60):$E155),"")</f>
        <v>784820</v>
      </c>
      <c r="O155" s="46" t="n">
        <f aca="false">IF(OR(NOT(ISNUMBER($C155)),NOT(ISNUMBER($M155)),$M155=0),"",$C155/$M155-1)</f>
        <v>-0.00144793748692429</v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850146</v>
      </c>
      <c r="D156" s="42" t="n">
        <v>852042</v>
      </c>
      <c r="E156" s="42" t="n">
        <v>848682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0.00632097783396435</v>
      </c>
      <c r="I156" s="45" t="n">
        <f aca="false">IF(AND(ISNUMBER($G156),$G156&gt;=MA_SHORT),AVERAGE(INDEX($C$5:$C156,153-MA_SHORT):$C156),"")</f>
        <v>834197.35</v>
      </c>
      <c r="J156" s="45" t="n">
        <f aca="false">IF(AND(ISNUMBER($G156),$G156&gt;=MA_MED),AVERAGE(INDEX($C$5:$C156,153-MA_MED):$C156),"")</f>
        <v>818896.6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0.0440354928489894</v>
      </c>
      <c r="M156" s="45" t="n">
        <f aca="false">IF(AND(ISNUMBER($G156),$G156&gt;=60),MAX(INDEX($D$5:$D156,153-60):$D156),"")</f>
        <v>852042</v>
      </c>
      <c r="N156" s="45" t="n">
        <f aca="false">IF(AND(ISNUMBER($G156),$G156&gt;=60),MIN(INDEX($E$5:$E156,153-60):$E156),"")</f>
        <v>784820</v>
      </c>
      <c r="O156" s="46" t="n">
        <f aca="false">IF(OR(NOT(ISNUMBER($C156)),NOT(ISNUMBER($M156)),$M156=0),"",$C156/$M156-1)</f>
        <v>-0.00222524241762734</v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849802</v>
      </c>
      <c r="D157" s="42" t="n">
        <v>854259</v>
      </c>
      <c r="E157" s="42" t="n">
        <v>848359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-0.000404636380104129</v>
      </c>
      <c r="I157" s="45" t="n">
        <f aca="false">IF(AND(ISNUMBER($G157),$G157&gt;=MA_SHORT),AVERAGE(INDEX($C$5:$C157,154-MA_SHORT):$C157),"")</f>
        <v>835470.2</v>
      </c>
      <c r="J157" s="45" t="n">
        <f aca="false">IF(AND(ISNUMBER($G157),$G157&gt;=MA_MED),AVERAGE(INDEX($C$5:$C157,154-MA_MED):$C157),"")</f>
        <v>820025.84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0.0445771812390926</v>
      </c>
      <c r="M157" s="45" t="n">
        <f aca="false">IF(AND(ISNUMBER($G157),$G157&gt;=60),MAX(INDEX($D$5:$D157,154-60):$D157),"")</f>
        <v>854259</v>
      </c>
      <c r="N157" s="45" t="n">
        <f aca="false">IF(AND(ISNUMBER($G157),$G157&gt;=60),MIN(INDEX($E$5:$E157,154-60):$E157),"")</f>
        <v>784820</v>
      </c>
      <c r="O157" s="46" t="n">
        <f aca="false">IF(OR(NOT(ISNUMBER($C157)),NOT(ISNUMBER($M157)),$M157=0),"",$C157/$M157-1)</f>
        <v>-0.00521738723267773</v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852239</v>
      </c>
      <c r="D158" s="42" t="n">
        <v>855346</v>
      </c>
      <c r="E158" s="42" t="n">
        <v>851838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0.00286772683519221</v>
      </c>
      <c r="I158" s="45" t="n">
        <f aca="false">IF(AND(ISNUMBER($G158),$G158&gt;=MA_SHORT),AVERAGE(INDEX($C$5:$C158,155-MA_SHORT):$C158),"")</f>
        <v>836728.5</v>
      </c>
      <c r="J158" s="45" t="n">
        <f aca="false">IF(AND(ISNUMBER($G158),$G158&gt;=MA_MED),AVERAGE(INDEX($C$5:$C158,155-MA_MED):$C158),"")</f>
        <v>821279.26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0.044375697722783</v>
      </c>
      <c r="M158" s="45" t="n">
        <f aca="false">IF(AND(ISNUMBER($G158),$G158&gt;=60),MAX(INDEX($D$5:$D158,155-60):$D158),"")</f>
        <v>855346</v>
      </c>
      <c r="N158" s="45" t="n">
        <f aca="false">IF(AND(ISNUMBER($G158),$G158&gt;=60),MIN(INDEX($E$5:$E158,155-60):$E158),"")</f>
        <v>784820</v>
      </c>
      <c r="O158" s="46" t="n">
        <f aca="false">IF(OR(NOT(ISNUMBER($C158)),NOT(ISNUMBER($M158)),$M158=0),"",$C158/$M158-1)</f>
        <v>-0.00363244815548325</v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858252</v>
      </c>
      <c r="D159" s="42" t="n">
        <v>862243</v>
      </c>
      <c r="E159" s="42" t="n">
        <v>857507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0.00705553254427449</v>
      </c>
      <c r="I159" s="45" t="n">
        <f aca="false">IF(AND(ISNUMBER($G159),$G159&gt;=MA_SHORT),AVERAGE(INDEX($C$5:$C159,156-MA_SHORT):$C159),"")</f>
        <v>838267.7</v>
      </c>
      <c r="J159" s="45" t="n">
        <f aca="false">IF(AND(ISNUMBER($G159),$G159&gt;=MA_MED),AVERAGE(INDEX($C$5:$C159,156-MA_MED):$C159),"")</f>
        <v>822501.14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0.0482202464869024</v>
      </c>
      <c r="M159" s="45" t="n">
        <f aca="false">IF(AND(ISNUMBER($G159),$G159&gt;=60),MAX(INDEX($D$5:$D159,156-60):$D159),"")</f>
        <v>862243</v>
      </c>
      <c r="N159" s="45" t="n">
        <f aca="false">IF(AND(ISNUMBER($G159),$G159&gt;=60),MIN(INDEX($E$5:$E159,156-60):$E159),"")</f>
        <v>784820</v>
      </c>
      <c r="O159" s="46" t="n">
        <f aca="false">IF(OR(NOT(ISNUMBER($C159)),NOT(ISNUMBER($M159)),$M159=0),"",$C159/$M159-1)</f>
        <v>-0.00462862557306931</v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858230</v>
      </c>
      <c r="D160" s="42" t="n">
        <v>862413</v>
      </c>
      <c r="E160" s="42" t="n">
        <v>856523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-2.56334969216399E-005</v>
      </c>
      <c r="I160" s="45" t="n">
        <f aca="false">IF(AND(ISNUMBER($G160),$G160&gt;=MA_SHORT),AVERAGE(INDEX($C$5:$C160,157-MA_SHORT):$C160),"")</f>
        <v>839715.1</v>
      </c>
      <c r="J160" s="45" t="n">
        <f aca="false">IF(AND(ISNUMBER($G160),$G160&gt;=MA_MED),AVERAGE(INDEX($C$5:$C160,157-MA_MED):$C160),"")</f>
        <v>823685.76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0.0486299800355531</v>
      </c>
      <c r="M160" s="45" t="n">
        <f aca="false">IF(AND(ISNUMBER($G160),$G160&gt;=60),MAX(INDEX($D$5:$D160,157-60):$D160),"")</f>
        <v>862413</v>
      </c>
      <c r="N160" s="45" t="n">
        <f aca="false">IF(AND(ISNUMBER($G160),$G160&gt;=60),MIN(INDEX($E$5:$E160,157-60):$E160),"")</f>
        <v>784820</v>
      </c>
      <c r="O160" s="46" t="n">
        <f aca="false">IF(OR(NOT(ISNUMBER($C160)),NOT(ISNUMBER($M160)),$M160=0),"",$C160/$M160-1)</f>
        <v>-0.00485034432458698</v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853941</v>
      </c>
      <c r="D161" s="42" t="n">
        <v>854898</v>
      </c>
      <c r="E161" s="42" t="n">
        <v>853407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-0.00499749484403944</v>
      </c>
      <c r="I161" s="45" t="n">
        <f aca="false">IF(AND(ISNUMBER($G161),$G161&gt;=MA_SHORT),AVERAGE(INDEX($C$5:$C161,158-MA_SHORT):$C161),"")</f>
        <v>841040.05</v>
      </c>
      <c r="J161" s="45" t="n">
        <f aca="false">IF(AND(ISNUMBER($G161),$G161&gt;=MA_MED),AVERAGE(INDEX($C$5:$C161,158-MA_MED):$C161),"")</f>
        <v>824826.44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0.0523625458226156</v>
      </c>
      <c r="M161" s="45" t="n">
        <f aca="false">IF(AND(ISNUMBER($G161),$G161&gt;=60),MAX(INDEX($D$5:$D161,158-60):$D161),"")</f>
        <v>862413</v>
      </c>
      <c r="N161" s="45" t="n">
        <f aca="false">IF(AND(ISNUMBER($G161),$G161&gt;=60),MIN(INDEX($E$5:$E161,158-60):$E161),"")</f>
        <v>784820</v>
      </c>
      <c r="O161" s="46" t="n">
        <f aca="false">IF(OR(NOT(ISNUMBER($C161)),NOT(ISNUMBER($M161)),$M161=0),"",$C161/$M161-1)</f>
        <v>-0.00982359959787249</v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852734</v>
      </c>
      <c r="D162" s="42" t="n">
        <v>854921</v>
      </c>
      <c r="E162" s="42" t="n">
        <v>846339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-0.00141344659642761</v>
      </c>
      <c r="I162" s="45" t="n">
        <f aca="false">IF(AND(ISNUMBER($G162),$G162&gt;=MA_SHORT),AVERAGE(INDEX($C$5:$C162,159-MA_SHORT):$C162),"")</f>
        <v>842127.05</v>
      </c>
      <c r="J162" s="45" t="n">
        <f aca="false">IF(AND(ISNUMBER($G162),$G162&gt;=MA_MED),AVERAGE(INDEX($C$5:$C162,159-MA_MED):$C162),"")</f>
        <v>825881.32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0.0523631017262237</v>
      </c>
      <c r="M162" s="45" t="n">
        <f aca="false">IF(AND(ISNUMBER($G162),$G162&gt;=60),MAX(INDEX($D$5:$D162,159-60):$D162),"")</f>
        <v>862413</v>
      </c>
      <c r="N162" s="45" t="n">
        <f aca="false">IF(AND(ISNUMBER($G162),$G162&gt;=60),MIN(INDEX($E$5:$E162,159-60):$E162),"")</f>
        <v>784820</v>
      </c>
      <c r="O162" s="46" t="n">
        <f aca="false">IF(OR(NOT(ISNUMBER($C162)),NOT(ISNUMBER($M162)),$M162=0),"",$C162/$M162-1)</f>
        <v>-0.0112231610608838</v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855990</v>
      </c>
      <c r="D163" s="42" t="n">
        <v>857969</v>
      </c>
      <c r="E163" s="42" t="n">
        <v>854943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0.00381830676389128</v>
      </c>
      <c r="I163" s="45" t="n">
        <f aca="false">IF(AND(ISNUMBER($G163),$G163&gt;=MA_SHORT),AVERAGE(INDEX($C$5:$C163,160-MA_SHORT):$C163),"")</f>
        <v>843404.35</v>
      </c>
      <c r="J163" s="45" t="n">
        <f aca="false">IF(AND(ISNUMBER($G163),$G163&gt;=MA_MED),AVERAGE(INDEX($C$5:$C163,160-MA_MED):$C163),"")</f>
        <v>827034.76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0.0525490350969615</v>
      </c>
      <c r="M163" s="45" t="n">
        <f aca="false">IF(AND(ISNUMBER($G163),$G163&gt;=60),MAX(INDEX($D$5:$D163,160-60):$D163),"")</f>
        <v>862413</v>
      </c>
      <c r="N163" s="45" t="n">
        <f aca="false">IF(AND(ISNUMBER($G163),$G163&gt;=60),MIN(INDEX($E$5:$E163,160-60):$E163),"")</f>
        <v>784820</v>
      </c>
      <c r="O163" s="46" t="n">
        <f aca="false">IF(OR(NOT(ISNUMBER($C163)),NOT(ISNUMBER($M163)),$M163=0),"",$C163/$M163-1)</f>
        <v>-0.00744770776878367</v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853910</v>
      </c>
      <c r="D164" s="42" t="n">
        <v>855046</v>
      </c>
      <c r="E164" s="42" t="n">
        <v>849739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-0.00242993492914634</v>
      </c>
      <c r="I164" s="45" t="n">
        <f aca="false">IF(AND(ISNUMBER($G164),$G164&gt;=MA_SHORT),AVERAGE(INDEX($C$5:$C164,161-MA_SHORT):$C164),"")</f>
        <v>844598</v>
      </c>
      <c r="J164" s="45" t="n">
        <f aca="false">IF(AND(ISNUMBER($G164),$G164&gt;=MA_MED),AVERAGE(INDEX($C$5:$C164,161-MA_MED):$C164),"")</f>
        <v>828182.56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0.0539270555681411</v>
      </c>
      <c r="M164" s="45" t="n">
        <f aca="false">IF(AND(ISNUMBER($G164),$G164&gt;=60),MAX(INDEX($D$5:$D164,161-60):$D164),"")</f>
        <v>862413</v>
      </c>
      <c r="N164" s="45" t="n">
        <f aca="false">IF(AND(ISNUMBER($G164),$G164&gt;=60),MIN(INDEX($E$5:$E164,161-60):$E164),"")</f>
        <v>787865</v>
      </c>
      <c r="O164" s="46" t="n">
        <f aca="false">IF(OR(NOT(ISNUMBER($C164)),NOT(ISNUMBER($M164)),$M164=0),"",$C164/$M164-1)</f>
        <v>-0.00985954525268051</v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854570</v>
      </c>
      <c r="D165" s="42" t="n">
        <v>855620</v>
      </c>
      <c r="E165" s="42" t="n">
        <v>854097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0.000772915178414602</v>
      </c>
      <c r="I165" s="45" t="n">
        <f aca="false">IF(AND(ISNUMBER($G165),$G165&gt;=MA_SHORT),AVERAGE(INDEX($C$5:$C165,162-MA_SHORT):$C165),"")</f>
        <v>845841.1</v>
      </c>
      <c r="J165" s="45" t="n">
        <f aca="false">IF(AND(ISNUMBER($G165),$G165&gt;=MA_MED),AVERAGE(INDEX($C$5:$C165,162-MA_MED):$C165),"")</f>
        <v>829319.6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0.0535721005244632</v>
      </c>
      <c r="M165" s="45" t="n">
        <f aca="false">IF(AND(ISNUMBER($G165),$G165&gt;=60),MAX(INDEX($D$5:$D165,162-60):$D165),"")</f>
        <v>862413</v>
      </c>
      <c r="N165" s="45" t="n">
        <f aca="false">IF(AND(ISNUMBER($G165),$G165&gt;=60),MIN(INDEX($E$5:$E165,162-60):$E165),"")</f>
        <v>787865</v>
      </c>
      <c r="O165" s="46" t="n">
        <f aca="false">IF(OR(NOT(ISNUMBER($C165)),NOT(ISNUMBER($M165)),$M165=0),"",$C165/$M165-1)</f>
        <v>-0.00909425066644398</v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853609</v>
      </c>
      <c r="D166" s="42" t="n">
        <v>855015</v>
      </c>
      <c r="E166" s="42" t="n">
        <v>849747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-0.00112454216740587</v>
      </c>
      <c r="I166" s="45" t="n">
        <f aca="false">IF(AND(ISNUMBER($G166),$G166&gt;=MA_SHORT),AVERAGE(INDEX($C$5:$C166,163-MA_SHORT):$C166),"")</f>
        <v>847017.35</v>
      </c>
      <c r="J166" s="45" t="n">
        <f aca="false">IF(AND(ISNUMBER($G166),$G166&gt;=MA_MED),AVERAGE(INDEX($C$5:$C166,163-MA_MED):$C166),"")</f>
        <v>830459.28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0.0542435183913171</v>
      </c>
      <c r="M166" s="45" t="n">
        <f aca="false">IF(AND(ISNUMBER($G166),$G166&gt;=60),MAX(INDEX($D$5:$D166,163-60):$D166),"")</f>
        <v>862413</v>
      </c>
      <c r="N166" s="45" t="n">
        <f aca="false">IF(AND(ISNUMBER($G166),$G166&gt;=60),MIN(INDEX($E$5:$E166,163-60):$E166),"")</f>
        <v>787865</v>
      </c>
      <c r="O166" s="46" t="n">
        <f aca="false">IF(OR(NOT(ISNUMBER($C166)),NOT(ISNUMBER($M166)),$M166=0),"",$C166/$M166-1)</f>
        <v>-0.0102085659654945</v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857967</v>
      </c>
      <c r="D167" s="42" t="n">
        <v>860898</v>
      </c>
      <c r="E167" s="42" t="n">
        <v>857312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0.00510538197230814</v>
      </c>
      <c r="I167" s="45" t="n">
        <f aca="false">IF(AND(ISNUMBER($G167),$G167&gt;=MA_SHORT),AVERAGE(INDEX($C$5:$C167,164-MA_SHORT):$C167),"")</f>
        <v>848150.7</v>
      </c>
      <c r="J167" s="45" t="n">
        <f aca="false">IF(AND(ISNUMBER($G167),$G167&gt;=MA_MED),AVERAGE(INDEX($C$5:$C167,164-MA_MED):$C167),"")</f>
        <v>831616.32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0.053019634991607</v>
      </c>
      <c r="M167" s="45" t="n">
        <f aca="false">IF(AND(ISNUMBER($G167),$G167&gt;=60),MAX(INDEX($D$5:$D167,164-60):$D167),"")</f>
        <v>862413</v>
      </c>
      <c r="N167" s="45" t="n">
        <f aca="false">IF(AND(ISNUMBER($G167),$G167&gt;=60),MIN(INDEX($E$5:$E167,164-60):$E167),"")</f>
        <v>788086</v>
      </c>
      <c r="O167" s="46" t="n">
        <f aca="false">IF(OR(NOT(ISNUMBER($C167)),NOT(ISNUMBER($M167)),$M167=0),"",$C167/$M167-1)</f>
        <v>-0.00515530262182973</v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859137</v>
      </c>
      <c r="D168" s="42" t="n">
        <v>859296</v>
      </c>
      <c r="E168" s="42" t="n">
        <v>856863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0.00136368881320603</v>
      </c>
      <c r="I168" s="45" t="n">
        <f aca="false">IF(AND(ISNUMBER($G168),$G168&gt;=MA_SHORT),AVERAGE(INDEX($C$5:$C168,165-MA_SHORT):$C168),"")</f>
        <v>849289.1</v>
      </c>
      <c r="J168" s="45" t="n">
        <f aca="false">IF(AND(ISNUMBER($G168),$G168&gt;=MA_MED),AVERAGE(INDEX($C$5:$C168,165-MA_MED):$C168),"")</f>
        <v>832679.26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0.0530191159535379</v>
      </c>
      <c r="M168" s="45" t="n">
        <f aca="false">IF(AND(ISNUMBER($G168),$G168&gt;=60),MAX(INDEX($D$5:$D168,165-60):$D168),"")</f>
        <v>862413</v>
      </c>
      <c r="N168" s="45" t="n">
        <f aca="false">IF(AND(ISNUMBER($G168),$G168&gt;=60),MIN(INDEX($E$5:$E168,165-60):$E168),"")</f>
        <v>793032</v>
      </c>
      <c r="O168" s="46" t="n">
        <f aca="false">IF(OR(NOT(ISNUMBER($C168)),NOT(ISNUMBER($M168)),$M168=0),"",$C168/$M168-1)</f>
        <v>-0.0037986440371377</v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862011</v>
      </c>
      <c r="D169" s="42" t="n">
        <v>862662</v>
      </c>
      <c r="E169" s="42" t="n">
        <v>860829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0.00334521735183091</v>
      </c>
      <c r="I169" s="45" t="n">
        <f aca="false">IF(AND(ISNUMBER($G169),$G169&gt;=MA_SHORT),AVERAGE(INDEX($C$5:$C169,166-MA_SHORT):$C169),"")</f>
        <v>850615.6</v>
      </c>
      <c r="J169" s="45" t="n">
        <f aca="false">IF(AND(ISNUMBER($G169),$G169&gt;=MA_MED),AVERAGE(INDEX($C$5:$C169,166-MA_MED):$C169),"")</f>
        <v>833770.82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0.0526775042854668</v>
      </c>
      <c r="M169" s="45" t="n">
        <f aca="false">IF(AND(ISNUMBER($G169),$G169&gt;=60),MAX(INDEX($D$5:$D169,166-60):$D169),"")</f>
        <v>862662</v>
      </c>
      <c r="N169" s="45" t="n">
        <f aca="false">IF(AND(ISNUMBER($G169),$G169&gt;=60),MIN(INDEX($E$5:$E169,166-60):$E169),"")</f>
        <v>793032</v>
      </c>
      <c r="O169" s="46" t="n">
        <f aca="false">IF(OR(NOT(ISNUMBER($C169)),NOT(ISNUMBER($M169)),$M169=0),"",$C169/$M169-1)</f>
        <v>-0.00075464086745447</v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864247</v>
      </c>
      <c r="D170" s="42" t="n">
        <v>867627</v>
      </c>
      <c r="E170" s="42" t="n">
        <v>864204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0.00259393441615008</v>
      </c>
      <c r="I170" s="45" t="n">
        <f aca="false">IF(AND(ISNUMBER($G170),$G170&gt;=MA_SHORT),AVERAGE(INDEX($C$5:$C170,167-MA_SHORT):$C170),"")</f>
        <v>852005.05</v>
      </c>
      <c r="J170" s="45" t="n">
        <f aca="false">IF(AND(ISNUMBER($G170),$G170&gt;=MA_MED),AVERAGE(INDEX($C$5:$C170,167-MA_MED):$C170),"")</f>
        <v>834810.6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0.0527738113089655</v>
      </c>
      <c r="M170" s="45" t="n">
        <f aca="false">IF(AND(ISNUMBER($G170),$G170&gt;=60),MAX(INDEX($D$5:$D170,167-60):$D170),"")</f>
        <v>867627</v>
      </c>
      <c r="N170" s="45" t="n">
        <f aca="false">IF(AND(ISNUMBER($G170),$G170&gt;=60),MIN(INDEX($E$5:$E170,167-60):$E170),"")</f>
        <v>793032</v>
      </c>
      <c r="O170" s="46" t="n">
        <f aca="false">IF(OR(NOT(ISNUMBER($C170)),NOT(ISNUMBER($M170)),$M170=0),"",$C170/$M170-1)</f>
        <v>-0.00389568328325418</v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865746</v>
      </c>
      <c r="D171" s="42" t="n">
        <v>866831</v>
      </c>
      <c r="E171" s="42" t="n">
        <v>862978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0.00173445785753379</v>
      </c>
      <c r="I171" s="45" t="n">
        <f aca="false">IF(AND(ISNUMBER($G171),$G171&gt;=MA_SHORT),AVERAGE(INDEX($C$5:$C171,168-MA_SHORT):$C171),"")</f>
        <v>853325.5</v>
      </c>
      <c r="J171" s="45" t="n">
        <f aca="false">IF(AND(ISNUMBER($G171),$G171&gt;=MA_MED),AVERAGE(INDEX($C$5:$C171,168-MA_MED):$C171),"")</f>
        <v>835930.14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0.0523591508492859</v>
      </c>
      <c r="M171" s="45" t="n">
        <f aca="false">IF(AND(ISNUMBER($G171),$G171&gt;=60),MAX(INDEX($D$5:$D171,168-60):$D171),"")</f>
        <v>867627</v>
      </c>
      <c r="N171" s="45" t="n">
        <f aca="false">IF(AND(ISNUMBER($G171),$G171&gt;=60),MIN(INDEX($E$5:$E171,168-60):$E171),"")</f>
        <v>793032</v>
      </c>
      <c r="O171" s="46" t="n">
        <f aca="false">IF(OR(NOT(ISNUMBER($C171)),NOT(ISNUMBER($M171)),$M171=0),"",$C171/$M171-1)</f>
        <v>-0.00216798232420157</v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865604</v>
      </c>
      <c r="D172" s="42" t="n">
        <v>867915</v>
      </c>
      <c r="E172" s="42" t="n">
        <v>863413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-0.000164020393972342</v>
      </c>
      <c r="I172" s="45" t="n">
        <f aca="false">IF(AND(ISNUMBER($G172),$G172&gt;=MA_SHORT),AVERAGE(INDEX($C$5:$C172,169-MA_SHORT):$C172),"")</f>
        <v>854562.45</v>
      </c>
      <c r="J172" s="45" t="n">
        <f aca="false">IF(AND(ISNUMBER($G172),$G172&gt;=MA_MED),AVERAGE(INDEX($C$5:$C172,169-MA_MED):$C172),"")</f>
        <v>836942.94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0.0526892876909388</v>
      </c>
      <c r="M172" s="45" t="n">
        <f aca="false">IF(AND(ISNUMBER($G172),$G172&gt;=60),MAX(INDEX($D$5:$D172,169-60):$D172),"")</f>
        <v>867915</v>
      </c>
      <c r="N172" s="45" t="n">
        <f aca="false">IF(AND(ISNUMBER($G172),$G172&gt;=60),MIN(INDEX($E$5:$E172,169-60):$E172),"")</f>
        <v>793032</v>
      </c>
      <c r="O172" s="46" t="n">
        <f aca="false">IF(OR(NOT(ISNUMBER($C172)),NOT(ISNUMBER($M172)),$M172=0),"",$C172/$M172-1)</f>
        <v>-0.00266270314489325</v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866730</v>
      </c>
      <c r="D173" s="42" t="n">
        <v>868426</v>
      </c>
      <c r="E173" s="42" t="n">
        <v>863691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0.00130082578176616</v>
      </c>
      <c r="I173" s="45" t="n">
        <f aca="false">IF(AND(ISNUMBER($G173),$G173&gt;=MA_SHORT),AVERAGE(INDEX($C$5:$C173,170-MA_SHORT):$C173),"")</f>
        <v>855906.75</v>
      </c>
      <c r="J173" s="45" t="n">
        <f aca="false">IF(AND(ISNUMBER($G173),$G173&gt;=MA_MED),AVERAGE(INDEX($C$5:$C173,170-MA_MED):$C173),"")</f>
        <v>837915.58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0.0517729331941009</v>
      </c>
      <c r="M173" s="45" t="n">
        <f aca="false">IF(AND(ISNUMBER($G173),$G173&gt;=60),MAX(INDEX($D$5:$D173,170-60):$D173),"")</f>
        <v>868426</v>
      </c>
      <c r="N173" s="45" t="n">
        <f aca="false">IF(AND(ISNUMBER($G173),$G173&gt;=60),MIN(INDEX($E$5:$E173,170-60):$E173),"")</f>
        <v>793032</v>
      </c>
      <c r="O173" s="46" t="n">
        <f aca="false">IF(OR(NOT(ISNUMBER($C173)),NOT(ISNUMBER($M173)),$M173=0),"",$C173/$M173-1)</f>
        <v>-0.00195295857102384</v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862867</v>
      </c>
      <c r="D174" s="42" t="n">
        <v>866032</v>
      </c>
      <c r="E174" s="42" t="n">
        <v>862492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-0.00445698198977762</v>
      </c>
      <c r="I174" s="45" t="n">
        <f aca="false">IF(AND(ISNUMBER($G174),$G174&gt;=MA_SHORT),AVERAGE(INDEX($C$5:$C174,171-MA_SHORT):$C174),"")</f>
        <v>857126.9</v>
      </c>
      <c r="J174" s="45" t="n">
        <f aca="false">IF(AND(ISNUMBER($G174),$G174&gt;=MA_MED),AVERAGE(INDEX($C$5:$C174,171-MA_MED):$C174),"")</f>
        <v>838891.34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0.0548768333047148</v>
      </c>
      <c r="M174" s="45" t="n">
        <f aca="false">IF(AND(ISNUMBER($G174),$G174&gt;=60),MAX(INDEX($D$5:$D174,171-60):$D174),"")</f>
        <v>868426</v>
      </c>
      <c r="N174" s="45" t="n">
        <f aca="false">IF(AND(ISNUMBER($G174),$G174&gt;=60),MIN(INDEX($E$5:$E174,171-60):$E174),"")</f>
        <v>793379</v>
      </c>
      <c r="O174" s="46" t="n">
        <f aca="false">IF(OR(NOT(ISNUMBER($C174)),NOT(ISNUMBER($M174)),$M174=0),"",$C174/$M174-1)</f>
        <v>-0.00640123625962374</v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862625</v>
      </c>
      <c r="D175" s="42" t="n">
        <v>864938</v>
      </c>
      <c r="E175" s="42" t="n">
        <v>861270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-0.000280460372224178</v>
      </c>
      <c r="I175" s="45" t="n">
        <f aca="false">IF(AND(ISNUMBER($G175),$G175&gt;=MA_SHORT),AVERAGE(INDEX($C$5:$C175,172-MA_SHORT):$C175),"")</f>
        <v>858017.85</v>
      </c>
      <c r="J175" s="45" t="n">
        <f aca="false">IF(AND(ISNUMBER($G175),$G175&gt;=MA_MED),AVERAGE(INDEX($C$5:$C175,172-MA_MED):$C175),"")</f>
        <v>839810.62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0.0502658641432627</v>
      </c>
      <c r="M175" s="45" t="n">
        <f aca="false">IF(AND(ISNUMBER($G175),$G175&gt;=60),MAX(INDEX($D$5:$D175,172-60):$D175),"")</f>
        <v>868426</v>
      </c>
      <c r="N175" s="45" t="n">
        <f aca="false">IF(AND(ISNUMBER($G175),$G175&gt;=60),MIN(INDEX($E$5:$E175,172-60):$E175),"")</f>
        <v>793379</v>
      </c>
      <c r="O175" s="46" t="n">
        <f aca="false">IF(OR(NOT(ISNUMBER($C175)),NOT(ISNUMBER($M175)),$M175=0),"",$C175/$M175-1)</f>
        <v>-0.00667990133874385</v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859154</v>
      </c>
      <c r="D176" s="42" t="n">
        <v>860285</v>
      </c>
      <c r="E176" s="42" t="n">
        <v>857726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-0.00402376467178667</v>
      </c>
      <c r="I176" s="45" t="n">
        <f aca="false">IF(AND(ISNUMBER($G176),$G176&gt;=MA_SHORT),AVERAGE(INDEX($C$5:$C176,173-MA_SHORT):$C176),"")</f>
        <v>858468.25</v>
      </c>
      <c r="J176" s="45" t="n">
        <f aca="false">IF(AND(ISNUMBER($G176),$G176&gt;=MA_MED),AVERAGE(INDEX($C$5:$C176,173-MA_MED):$C176),"")</f>
        <v>840719.82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0.0493063082828336</v>
      </c>
      <c r="M176" s="45" t="n">
        <f aca="false">IF(AND(ISNUMBER($G176),$G176&gt;=60),MAX(INDEX($D$5:$D176,173-60):$D176),"")</f>
        <v>868426</v>
      </c>
      <c r="N176" s="45" t="n">
        <f aca="false">IF(AND(ISNUMBER($G176),$G176&gt;=60),MIN(INDEX($E$5:$E176,173-60):$E176),"")</f>
        <v>795529</v>
      </c>
      <c r="O176" s="46" t="n">
        <f aca="false">IF(OR(NOT(ISNUMBER($C176)),NOT(ISNUMBER($M176)),$M176=0),"",$C176/$M176-1)</f>
        <v>-0.0106767876595127</v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855352</v>
      </c>
      <c r="D177" s="42" t="n">
        <v>857114</v>
      </c>
      <c r="E177" s="42" t="n">
        <v>854844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-0.00442528347653626</v>
      </c>
      <c r="I177" s="45" t="n">
        <f aca="false">IF(AND(ISNUMBER($G177),$G177&gt;=MA_SHORT),AVERAGE(INDEX($C$5:$C177,174-MA_SHORT):$C177),"")</f>
        <v>858745.75</v>
      </c>
      <c r="J177" s="45" t="n">
        <f aca="false">IF(AND(ISNUMBER($G177),$G177&gt;=MA_MED),AVERAGE(INDEX($C$5:$C177,174-MA_MED):$C177),"")</f>
        <v>841561.38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0.0522134625102533</v>
      </c>
      <c r="M177" s="45" t="n">
        <f aca="false">IF(AND(ISNUMBER($G177),$G177&gt;=60),MAX(INDEX($D$5:$D177,174-60):$D177),"")</f>
        <v>868426</v>
      </c>
      <c r="N177" s="45" t="n">
        <f aca="false">IF(AND(ISNUMBER($G177),$G177&gt;=60),MIN(INDEX($E$5:$E177,174-60):$E177),"")</f>
        <v>804474</v>
      </c>
      <c r="O177" s="46" t="n">
        <f aca="false">IF(OR(NOT(ISNUMBER($C177)),NOT(ISNUMBER($M177)),$M177=0),"",$C177/$M177-1)</f>
        <v>-0.0150548233240368</v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858869</v>
      </c>
      <c r="D178" s="42" t="n">
        <v>861610</v>
      </c>
      <c r="E178" s="42" t="n">
        <v>856996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0.00411175749866732</v>
      </c>
      <c r="I178" s="45" t="n">
        <f aca="false">IF(AND(ISNUMBER($G178),$G178&gt;=MA_SHORT),AVERAGE(INDEX($C$5:$C178,175-MA_SHORT):$C178),"")</f>
        <v>859077.25</v>
      </c>
      <c r="J178" s="45" t="n">
        <f aca="false">IF(AND(ISNUMBER($G178),$G178&gt;=MA_MED),AVERAGE(INDEX($C$5:$C178,175-MA_MED):$C178),"")</f>
        <v>842433.22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0.0531657332946791</v>
      </c>
      <c r="M178" s="45" t="n">
        <f aca="false">IF(AND(ISNUMBER($G178),$G178&gt;=60),MAX(INDEX($D$5:$D178,175-60):$D178),"")</f>
        <v>868426</v>
      </c>
      <c r="N178" s="45" t="n">
        <f aca="false">IF(AND(ISNUMBER($G178),$G178&gt;=60),MIN(INDEX($E$5:$E178,175-60):$E178),"")</f>
        <v>806719</v>
      </c>
      <c r="O178" s="46" t="n">
        <f aca="false">IF(OR(NOT(ISNUMBER($C178)),NOT(ISNUMBER($M178)),$M178=0),"",$C178/$M178-1)</f>
        <v>-0.0110049676080634</v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854728</v>
      </c>
      <c r="D179" s="42" t="n">
        <v>854981</v>
      </c>
      <c r="E179" s="42" t="n">
        <v>852306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-0.00482145705573256</v>
      </c>
      <c r="I179" s="45" t="n">
        <f aca="false">IF(AND(ISNUMBER($G179),$G179&gt;=MA_SHORT),AVERAGE(INDEX($C$5:$C179,176-MA_SHORT):$C179),"")</f>
        <v>858901.05</v>
      </c>
      <c r="J179" s="45" t="n">
        <f aca="false">IF(AND(ISNUMBER($G179),$G179&gt;=MA_MED),AVERAGE(INDEX($C$5:$C179,176-MA_MED):$C179),"")</f>
        <v>843272.26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0.0501386080943899</v>
      </c>
      <c r="M179" s="45" t="n">
        <f aca="false">IF(AND(ISNUMBER($G179),$G179&gt;=60),MAX(INDEX($D$5:$D179,176-60):$D179),"")</f>
        <v>868426</v>
      </c>
      <c r="N179" s="45" t="n">
        <f aca="false">IF(AND(ISNUMBER($G179),$G179&gt;=60),MIN(INDEX($E$5:$E179,176-60):$E179),"")</f>
        <v>806719</v>
      </c>
      <c r="O179" s="46" t="n">
        <f aca="false">IF(OR(NOT(ISNUMBER($C179)),NOT(ISNUMBER($M179)),$M179=0),"",$C179/$M179-1)</f>
        <v>-0.015773364685074</v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851901</v>
      </c>
      <c r="D180" s="42" t="n">
        <v>855899</v>
      </c>
      <c r="E180" s="42" t="n">
        <v>850764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-0.00330748495427791</v>
      </c>
      <c r="I180" s="45" t="n">
        <f aca="false">IF(AND(ISNUMBER($G180),$G180&gt;=MA_SHORT),AVERAGE(INDEX($C$5:$C180,177-MA_SHORT):$C180),"")</f>
        <v>858584.6</v>
      </c>
      <c r="J180" s="45" t="n">
        <f aca="false">IF(AND(ISNUMBER($G180),$G180&gt;=MA_MED),AVERAGE(INDEX($C$5:$C180,177-MA_MED):$C180),"")</f>
        <v>843941.02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0.0512931903788157</v>
      </c>
      <c r="M180" s="45" t="n">
        <f aca="false">IF(AND(ISNUMBER($G180),$G180&gt;=60),MAX(INDEX($D$5:$D180,177-60):$D180),"")</f>
        <v>868426</v>
      </c>
      <c r="N180" s="45" t="n">
        <f aca="false">IF(AND(ISNUMBER($G180),$G180&gt;=60),MIN(INDEX($E$5:$E180,177-60):$E180),"")</f>
        <v>806719</v>
      </c>
      <c r="O180" s="46" t="n">
        <f aca="false">IF(OR(NOT(ISNUMBER($C180)),NOT(ISNUMBER($M180)),$M180=0),"",$C180/$M180-1)</f>
        <v>-0.0190286794729776</v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856745</v>
      </c>
      <c r="D181" s="42" t="n">
        <v>858443</v>
      </c>
      <c r="E181" s="42" t="n">
        <v>856547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0.00568610671897329</v>
      </c>
      <c r="I181" s="45" t="n">
        <f aca="false">IF(AND(ISNUMBER($G181),$G181&gt;=MA_SHORT),AVERAGE(INDEX($C$5:$C181,178-MA_SHORT):$C181),"")</f>
        <v>858724.8</v>
      </c>
      <c r="J181" s="45" t="n">
        <f aca="false">IF(AND(ISNUMBER($G181),$G181&gt;=MA_MED),AVERAGE(INDEX($C$5:$C181,178-MA_MED):$C181),"")</f>
        <v>844796.04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0.052467232051158</v>
      </c>
      <c r="M181" s="45" t="n">
        <f aca="false">IF(AND(ISNUMBER($G181),$G181&gt;=60),MAX(INDEX($D$5:$D181,178-60):$D181),"")</f>
        <v>868426</v>
      </c>
      <c r="N181" s="45" t="n">
        <f aca="false">IF(AND(ISNUMBER($G181),$G181&gt;=60),MIN(INDEX($E$5:$E181,178-60):$E181),"")</f>
        <v>806719</v>
      </c>
      <c r="O181" s="46" t="n">
        <f aca="false">IF(OR(NOT(ISNUMBER($C181)),NOT(ISNUMBER($M181)),$M181=0),"",$C181/$M181-1)</f>
        <v>-0.0134507718562088</v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856277</v>
      </c>
      <c r="D182" s="42" t="n">
        <v>859510</v>
      </c>
      <c r="E182" s="42" t="n">
        <v>852848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-0.000546253552690668</v>
      </c>
      <c r="I182" s="45" t="n">
        <f aca="false">IF(AND(ISNUMBER($G182),$G182&gt;=MA_SHORT),AVERAGE(INDEX($C$5:$C182,179-MA_SHORT):$C182),"")</f>
        <v>858901.95</v>
      </c>
      <c r="J182" s="45" t="n">
        <f aca="false">IF(AND(ISNUMBER($G182),$G182&gt;=MA_MED),AVERAGE(INDEX($C$5:$C182,179-MA_MED):$C182),"")</f>
        <v>845506.24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0.0522171077976987</v>
      </c>
      <c r="M182" s="45" t="n">
        <f aca="false">IF(AND(ISNUMBER($G182),$G182&gt;=60),MAX(INDEX($D$5:$D182,179-60):$D182),"")</f>
        <v>868426</v>
      </c>
      <c r="N182" s="45" t="n">
        <f aca="false">IF(AND(ISNUMBER($G182),$G182&gt;=60),MIN(INDEX($E$5:$E182,179-60):$E182),"")</f>
        <v>806719</v>
      </c>
      <c r="O182" s="46" t="n">
        <f aca="false">IF(OR(NOT(ISNUMBER($C182)),NOT(ISNUMBER($M182)),$M182=0),"",$C182/$M182-1)</f>
        <v>-0.0139896778769867</v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862326</v>
      </c>
      <c r="D183" s="42" t="n">
        <v>866427</v>
      </c>
      <c r="E183" s="42" t="n">
        <v>857526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0.00706430278986825</v>
      </c>
      <c r="I183" s="45" t="n">
        <f aca="false">IF(AND(ISNUMBER($G183),$G183&gt;=MA_SHORT),AVERAGE(INDEX($C$5:$C183,180-MA_SHORT):$C183),"")</f>
        <v>859218.75</v>
      </c>
      <c r="J183" s="45" t="n">
        <f aca="false">IF(AND(ISNUMBER($G183),$G183&gt;=MA_MED),AVERAGE(INDEX($C$5:$C183,180-MA_MED):$C183),"")</f>
        <v>846304.32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0.0561919876231613</v>
      </c>
      <c r="M183" s="45" t="n">
        <f aca="false">IF(AND(ISNUMBER($G183),$G183&gt;=60),MAX(INDEX($D$5:$D183,180-60):$D183),"")</f>
        <v>868426</v>
      </c>
      <c r="N183" s="45" t="n">
        <f aca="false">IF(AND(ISNUMBER($G183),$G183&gt;=60),MIN(INDEX($E$5:$E183,180-60):$E183),"")</f>
        <v>806719</v>
      </c>
      <c r="O183" s="46" t="n">
        <f aca="false">IF(OR(NOT(ISNUMBER($C183)),NOT(ISNUMBER($M183)),$M183=0),"",$C183/$M183-1)</f>
        <v>-0.00702420240757418</v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859487</v>
      </c>
      <c r="D184" s="42" t="n">
        <v>860878</v>
      </c>
      <c r="E184" s="42" t="n">
        <v>857363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-0.00329225838024139</v>
      </c>
      <c r="I184" s="45" t="n">
        <f aca="false">IF(AND(ISNUMBER($G184),$G184&gt;=MA_SHORT),AVERAGE(INDEX($C$5:$C184,181-MA_SHORT):$C184),"")</f>
        <v>859497.6</v>
      </c>
      <c r="J184" s="45" t="n">
        <f aca="false">IF(AND(ISNUMBER($G184),$G184&gt;=MA_MED),AVERAGE(INDEX($C$5:$C184,181-MA_MED):$C184),"")</f>
        <v>847067.86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0.0568245140588742</v>
      </c>
      <c r="M184" s="45" t="n">
        <f aca="false">IF(AND(ISNUMBER($G184),$G184&gt;=60),MAX(INDEX($D$5:$D184,181-60):$D184),"")</f>
        <v>868426</v>
      </c>
      <c r="N184" s="45" t="n">
        <f aca="false">IF(AND(ISNUMBER($G184),$G184&gt;=60),MIN(INDEX($E$5:$E184,181-60):$E184),"")</f>
        <v>806719</v>
      </c>
      <c r="O184" s="46" t="n">
        <f aca="false">IF(OR(NOT(ISNUMBER($C184)),NOT(ISNUMBER($M184)),$M184=0),"",$C184/$M184-1)</f>
        <v>-0.0102933352985747</v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857877</v>
      </c>
      <c r="D185" s="42" t="n">
        <v>859450</v>
      </c>
      <c r="E185" s="42" t="n">
        <v>855277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-0.00187321041504995</v>
      </c>
      <c r="I185" s="45" t="n">
        <f aca="false">IF(AND(ISNUMBER($G185),$G185&gt;=MA_SHORT),AVERAGE(INDEX($C$5:$C185,182-MA_SHORT):$C185),"")</f>
        <v>859662.95</v>
      </c>
      <c r="J185" s="45" t="n">
        <f aca="false">IF(AND(ISNUMBER($G185),$G185&gt;=MA_MED),AVERAGE(INDEX($C$5:$C185,182-MA_MED):$C185),"")</f>
        <v>847790.06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0.0573122785664682</v>
      </c>
      <c r="M185" s="45" t="n">
        <f aca="false">IF(AND(ISNUMBER($G185),$G185&gt;=60),MAX(INDEX($D$5:$D185,182-60):$D185),"")</f>
        <v>868426</v>
      </c>
      <c r="N185" s="45" t="n">
        <f aca="false">IF(AND(ISNUMBER($G185),$G185&gt;=60),MIN(INDEX($E$5:$E185,182-60):$E185),"")</f>
        <v>806719</v>
      </c>
      <c r="O185" s="46" t="n">
        <f aca="false">IF(OR(NOT(ISNUMBER($C185)),NOT(ISNUMBER($M185)),$M185=0),"",$C185/$M185-1)</f>
        <v>-0.0121472641307376</v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853614</v>
      </c>
      <c r="D186" s="42" t="n">
        <v>856345</v>
      </c>
      <c r="E186" s="42" t="n">
        <v>846518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-0.00496924384264874</v>
      </c>
      <c r="I186" s="45" t="n">
        <f aca="false">IF(AND(ISNUMBER($G186),$G186&gt;=MA_SHORT),AVERAGE(INDEX($C$5:$C186,183-MA_SHORT):$C186),"")</f>
        <v>859663.2</v>
      </c>
      <c r="J186" s="45" t="n">
        <f aca="false">IF(AND(ISNUMBER($G186),$G186&gt;=MA_MED),AVERAGE(INDEX($C$5:$C186,183-MA_MED):$C186),"")</f>
        <v>848409.76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0.0599754599072968</v>
      </c>
      <c r="M186" s="45" t="n">
        <f aca="false">IF(AND(ISNUMBER($G186),$G186&gt;=60),MAX(INDEX($D$5:$D186,183-60):$D186),"")</f>
        <v>868426</v>
      </c>
      <c r="N186" s="45" t="n">
        <f aca="false">IF(AND(ISNUMBER($G186),$G186&gt;=60),MIN(INDEX($E$5:$E186,183-60):$E186),"")</f>
        <v>806719</v>
      </c>
      <c r="O186" s="46" t="n">
        <f aca="false">IF(OR(NOT(ISNUMBER($C186)),NOT(ISNUMBER($M186)),$M186=0),"",$C186/$M186-1)</f>
        <v>-0.0170561452558997</v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853889</v>
      </c>
      <c r="D187" s="42" t="n">
        <v>858479</v>
      </c>
      <c r="E187" s="42" t="n">
        <v>850263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0.00032215966467275</v>
      </c>
      <c r="I187" s="45" t="n">
        <f aca="false">IF(AND(ISNUMBER($G187),$G187&gt;=MA_SHORT),AVERAGE(INDEX($C$5:$C187,184-MA_SHORT):$C187),"")</f>
        <v>859459.3</v>
      </c>
      <c r="J187" s="45" t="n">
        <f aca="false">IF(AND(ISNUMBER($G187),$G187&gt;=MA_MED),AVERAGE(INDEX($C$5:$C187,184-MA_MED):$C187),"")</f>
        <v>849000.64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0.0569950750163551</v>
      </c>
      <c r="M187" s="45" t="n">
        <f aca="false">IF(AND(ISNUMBER($G187),$G187&gt;=60),MAX(INDEX($D$5:$D187,184-60):$D187),"")</f>
        <v>868426</v>
      </c>
      <c r="N187" s="45" t="n">
        <f aca="false">IF(AND(ISNUMBER($G187),$G187&gt;=60),MIN(INDEX($E$5:$E187,184-60):$E187),"")</f>
        <v>806719</v>
      </c>
      <c r="O187" s="46" t="n">
        <f aca="false">IF(OR(NOT(ISNUMBER($C187)),NOT(ISNUMBER($M187)),$M187=0),"",$C187/$M187-1)</f>
        <v>-0.0167394803932632</v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856472</v>
      </c>
      <c r="D188" s="42" t="n">
        <v>857715</v>
      </c>
      <c r="E188" s="42" t="n">
        <v>855538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0.00302498334092594</v>
      </c>
      <c r="I188" s="45" t="n">
        <f aca="false">IF(AND(ISNUMBER($G188),$G188&gt;=MA_SHORT),AVERAGE(INDEX($C$5:$C188,185-MA_SHORT):$C188),"")</f>
        <v>859326.05</v>
      </c>
      <c r="J188" s="45" t="n">
        <f aca="false">IF(AND(ISNUMBER($G188),$G188&gt;=MA_MED),AVERAGE(INDEX($C$5:$C188,185-MA_MED):$C188),"")</f>
        <v>849588.62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0.0578844412852512</v>
      </c>
      <c r="M188" s="45" t="n">
        <f aca="false">IF(AND(ISNUMBER($G188),$G188&gt;=60),MAX(INDEX($D$5:$D188,185-60):$D188),"")</f>
        <v>868426</v>
      </c>
      <c r="N188" s="45" t="n">
        <f aca="false">IF(AND(ISNUMBER($G188),$G188&gt;=60),MIN(INDEX($E$5:$E188,185-60):$E188),"")</f>
        <v>806719</v>
      </c>
      <c r="O188" s="46" t="n">
        <f aca="false">IF(OR(NOT(ISNUMBER($C188)),NOT(ISNUMBER($M188)),$M188=0),"",$C188/$M188-1)</f>
        <v>-0.0137651337016625</v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854180</v>
      </c>
      <c r="D189" s="42" t="n">
        <v>856713</v>
      </c>
      <c r="E189" s="42" t="n">
        <v>852433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-0.0026760944899541</v>
      </c>
      <c r="I189" s="45" t="n">
        <f aca="false">IF(AND(ISNUMBER($G189),$G189&gt;=MA_SHORT),AVERAGE(INDEX($C$5:$C189,186-MA_SHORT):$C189),"")</f>
        <v>858934.5</v>
      </c>
      <c r="J189" s="45" t="n">
        <f aca="false">IF(AND(ISNUMBER($G189),$G189&gt;=MA_MED),AVERAGE(INDEX($C$5:$C189,186-MA_MED):$C189),"")</f>
        <v>850122.86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0.0570277837513801</v>
      </c>
      <c r="M189" s="45" t="n">
        <f aca="false">IF(AND(ISNUMBER($G189),$G189&gt;=60),MAX(INDEX($D$5:$D189,186-60):$D189),"")</f>
        <v>868426</v>
      </c>
      <c r="N189" s="45" t="n">
        <f aca="false">IF(AND(ISNUMBER($G189),$G189&gt;=60),MIN(INDEX($E$5:$E189,186-60):$E189),"")</f>
        <v>813323</v>
      </c>
      <c r="O189" s="46" t="n">
        <f aca="false">IF(OR(NOT(ISNUMBER($C189)),NOT(ISNUMBER($M189)),$M189=0),"",$C189/$M189-1)</f>
        <v>-0.0164043913931642</v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854047</v>
      </c>
      <c r="D190" s="42" t="n">
        <v>855020</v>
      </c>
      <c r="E190" s="42" t="n">
        <v>852595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-0.000155704886557917</v>
      </c>
      <c r="I190" s="45" t="n">
        <f aca="false">IF(AND(ISNUMBER($G190),$G190&gt;=MA_SHORT),AVERAGE(INDEX($C$5:$C190,187-MA_SHORT):$C190),"")</f>
        <v>858424.5</v>
      </c>
      <c r="J190" s="45" t="n">
        <f aca="false">IF(AND(ISNUMBER($G190),$G190&gt;=MA_MED),AVERAGE(INDEX($C$5:$C190,187-MA_MED):$C190),"")</f>
        <v>850618.16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0.0559369365359966</v>
      </c>
      <c r="M190" s="45" t="n">
        <f aca="false">IF(AND(ISNUMBER($G190),$G190&gt;=60),MAX(INDEX($D$5:$D190,187-60):$D190),"")</f>
        <v>868426</v>
      </c>
      <c r="N190" s="45" t="n">
        <f aca="false">IF(AND(ISNUMBER($G190),$G190&gt;=60),MIN(INDEX($E$5:$E190,187-60):$E190),"")</f>
        <v>813323</v>
      </c>
      <c r="O190" s="46" t="n">
        <f aca="false">IF(OR(NOT(ISNUMBER($C190)),NOT(ISNUMBER($M190)),$M190=0),"",$C190/$M190-1)</f>
        <v>-0.0165575420358212</v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854633</v>
      </c>
      <c r="D191" s="42" t="n">
        <v>855764</v>
      </c>
      <c r="E191" s="42" t="n">
        <v>851418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0.000686144907715791</v>
      </c>
      <c r="I191" s="45" t="n">
        <f aca="false">IF(AND(ISNUMBER($G191),$G191&gt;=MA_SHORT),AVERAGE(INDEX($C$5:$C191,188-MA_SHORT):$C191),"")</f>
        <v>857868.85</v>
      </c>
      <c r="J191" s="45" t="n">
        <f aca="false">IF(AND(ISNUMBER($G191),$G191&gt;=MA_MED),AVERAGE(INDEX($C$5:$C191,188-MA_MED):$C191),"")</f>
        <v>851161.98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0.0554944248520868</v>
      </c>
      <c r="M191" s="45" t="n">
        <f aca="false">IF(AND(ISNUMBER($G191),$G191&gt;=60),MAX(INDEX($D$5:$D191,188-60):$D191),"")</f>
        <v>868426</v>
      </c>
      <c r="N191" s="45" t="n">
        <f aca="false">IF(AND(ISNUMBER($G191),$G191&gt;=60),MIN(INDEX($E$5:$E191,188-60):$E191),"")</f>
        <v>819762</v>
      </c>
      <c r="O191" s="46" t="n">
        <f aca="false">IF(OR(NOT(ISNUMBER($C191)),NOT(ISNUMBER($M191)),$M191=0),"",$C191/$M191-1)</f>
        <v>-0.0158827580012575</v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863143</v>
      </c>
      <c r="D192" s="42" t="n">
        <v>864006</v>
      </c>
      <c r="E192" s="42" t="n">
        <v>862411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0.0099574905251727</v>
      </c>
      <c r="I192" s="45" t="n">
        <f aca="false">IF(AND(ISNUMBER($G192),$G192&gt;=MA_SHORT),AVERAGE(INDEX($C$5:$C192,189-MA_SHORT):$C192),"")</f>
        <v>857745.8</v>
      </c>
      <c r="J192" s="45" t="n">
        <f aca="false">IF(AND(ISNUMBER($G192),$G192&gt;=MA_MED),AVERAGE(INDEX($C$5:$C192,189-MA_MED):$C192),"")</f>
        <v>851804.96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0.0667740475855101</v>
      </c>
      <c r="M192" s="45" t="n">
        <f aca="false">IF(AND(ISNUMBER($G192),$G192&gt;=60),MAX(INDEX($D$5:$D192,189-60):$D192),"")</f>
        <v>868426</v>
      </c>
      <c r="N192" s="45" t="n">
        <f aca="false">IF(AND(ISNUMBER($G192),$G192&gt;=60),MIN(INDEX($E$5:$E192,189-60):$E192),"")</f>
        <v>820158</v>
      </c>
      <c r="O192" s="46" t="n">
        <f aca="false">IF(OR(NOT(ISNUMBER($C192)),NOT(ISNUMBER($M192)),$M192=0),"",$C192/$M192-1)</f>
        <v>-0.00608341988839578</v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863154</v>
      </c>
      <c r="D193" s="42" t="n">
        <v>863570</v>
      </c>
      <c r="E193" s="42" t="n">
        <v>861113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1.2744122352748E-005</v>
      </c>
      <c r="I193" s="45" t="n">
        <f aca="false">IF(AND(ISNUMBER($G193),$G193&gt;=MA_SHORT),AVERAGE(INDEX($C$5:$C193,190-MA_SHORT):$C193),"")</f>
        <v>857567</v>
      </c>
      <c r="J193" s="45" t="n">
        <f aca="false">IF(AND(ISNUMBER($G193),$G193&gt;=MA_MED),AVERAGE(INDEX($C$5:$C193,190-MA_MED):$C193),"")</f>
        <v>852459.16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0.066569091367191</v>
      </c>
      <c r="M193" s="45" t="n">
        <f aca="false">IF(AND(ISNUMBER($G193),$G193&gt;=60),MAX(INDEX($D$5:$D193,190-60):$D193),"")</f>
        <v>868426</v>
      </c>
      <c r="N193" s="45" t="n">
        <f aca="false">IF(AND(ISNUMBER($G193),$G193&gt;=60),MIN(INDEX($E$5:$E193,190-60):$E193),"")</f>
        <v>820158</v>
      </c>
      <c r="O193" s="46" t="n">
        <f aca="false">IF(OR(NOT(ISNUMBER($C193)),NOT(ISNUMBER($M193)),$M193=0),"",$C193/$M193-1)</f>
        <v>-0.00607075329389029</v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865002</v>
      </c>
      <c r="D194" s="42" t="n">
        <v>865375</v>
      </c>
      <c r="E194" s="42" t="n">
        <v>864033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0.00214098527029938</v>
      </c>
      <c r="I194" s="45" t="n">
        <f aca="false">IF(AND(ISNUMBER($G194),$G194&gt;=MA_SHORT),AVERAGE(INDEX($C$5:$C194,191-MA_SHORT):$C194),"")</f>
        <v>857673.75</v>
      </c>
      <c r="J194" s="45" t="n">
        <f aca="false">IF(AND(ISNUMBER($G194),$G194&gt;=MA_MED),AVERAGE(INDEX($C$5:$C194,191-MA_MED):$C194),"")</f>
        <v>853158.46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0.06511563812233</v>
      </c>
      <c r="M194" s="45" t="n">
        <f aca="false">IF(AND(ISNUMBER($G194),$G194&gt;=60),MAX(INDEX($D$5:$D194,191-60):$D194),"")</f>
        <v>868426</v>
      </c>
      <c r="N194" s="45" t="n">
        <f aca="false">IF(AND(ISNUMBER($G194),$G194&gt;=60),MIN(INDEX($E$5:$E194,191-60):$E194),"")</f>
        <v>820158</v>
      </c>
      <c r="O194" s="46" t="n">
        <f aca="false">IF(OR(NOT(ISNUMBER($C194)),NOT(ISNUMBER($M194)),$M194=0),"",$C194/$M194-1)</f>
        <v>-0.0039427654169728</v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867244</v>
      </c>
      <c r="D195" s="42" t="n">
        <v>869036</v>
      </c>
      <c r="E195" s="42" t="n">
        <v>866971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0.00259190152161493</v>
      </c>
      <c r="I195" s="45" t="n">
        <f aca="false">IF(AND(ISNUMBER($G195),$G195&gt;=MA_SHORT),AVERAGE(INDEX($C$5:$C195,192-MA_SHORT):$C195),"")</f>
        <v>857904.7</v>
      </c>
      <c r="J195" s="45" t="n">
        <f aca="false">IF(AND(ISNUMBER($G195),$G195&gt;=MA_MED),AVERAGE(INDEX($C$5:$C195,192-MA_MED):$C195),"")</f>
        <v>853909.18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0.0656549892559025</v>
      </c>
      <c r="M195" s="45" t="n">
        <f aca="false">IF(AND(ISNUMBER($G195),$G195&gt;=60),MAX(INDEX($D$5:$D195,192-60):$D195),"")</f>
        <v>869036</v>
      </c>
      <c r="N195" s="45" t="n">
        <f aca="false">IF(AND(ISNUMBER($G195),$G195&gt;=60),MIN(INDEX($E$5:$E195,192-60):$E195),"")</f>
        <v>820158</v>
      </c>
      <c r="O195" s="46" t="n">
        <f aca="false">IF(OR(NOT(ISNUMBER($C195)),NOT(ISNUMBER($M195)),$M195=0),"",$C195/$M195-1)</f>
        <v>-0.00206205496665268</v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861950</v>
      </c>
      <c r="D196" s="42" t="n">
        <v>870396</v>
      </c>
      <c r="E196" s="42" t="n">
        <v>858485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-0.00610439507220573</v>
      </c>
      <c r="I196" s="45" t="n">
        <f aca="false">IF(AND(ISNUMBER($G196),$G196&gt;=MA_SHORT),AVERAGE(INDEX($C$5:$C196,193-MA_SHORT):$C196),"")</f>
        <v>858044.5</v>
      </c>
      <c r="J196" s="45" t="n">
        <f aca="false">IF(AND(ISNUMBER($G196),$G196&gt;=MA_MED),AVERAGE(INDEX($C$5:$C196,193-MA_MED):$C196),"")</f>
        <v>854546.5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0.0677812201234216</v>
      </c>
      <c r="M196" s="45" t="n">
        <f aca="false">IF(AND(ISNUMBER($G196),$G196&gt;=60),MAX(INDEX($D$5:$D196,193-60):$D196),"")</f>
        <v>870396</v>
      </c>
      <c r="N196" s="45" t="n">
        <f aca="false">IF(AND(ISNUMBER($G196),$G196&gt;=60),MIN(INDEX($E$5:$E196,193-60):$E196),"")</f>
        <v>821501</v>
      </c>
      <c r="O196" s="46" t="n">
        <f aca="false">IF(OR(NOT(ISNUMBER($C196)),NOT(ISNUMBER($M196)),$M196=0),"",$C196/$M196-1)</f>
        <v>-0.00970362915270751</v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859497</v>
      </c>
      <c r="D197" s="42" t="n">
        <v>862365</v>
      </c>
      <c r="E197" s="42" t="n">
        <v>858293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-0.00284587273043679</v>
      </c>
      <c r="I197" s="45" t="n">
        <f aca="false">IF(AND(ISNUMBER($G197),$G197&gt;=MA_SHORT),AVERAGE(INDEX($C$5:$C197,194-MA_SHORT):$C197),"")</f>
        <v>858251.75</v>
      </c>
      <c r="J197" s="45" t="n">
        <f aca="false">IF(AND(ISNUMBER($G197),$G197&gt;=MA_MED),AVERAGE(INDEX($C$5:$C197,194-MA_MED):$C197),"")</f>
        <v>855030.44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0.066615468499575</v>
      </c>
      <c r="M197" s="45" t="n">
        <f aca="false">IF(AND(ISNUMBER($G197),$G197&gt;=60),MAX(INDEX($D$5:$D197,194-60):$D197),"")</f>
        <v>870396</v>
      </c>
      <c r="N197" s="45" t="n">
        <f aca="false">IF(AND(ISNUMBER($G197),$G197&gt;=60),MIN(INDEX($E$5:$E197,194-60):$E197),"")</f>
        <v>823567</v>
      </c>
      <c r="O197" s="46" t="n">
        <f aca="false">IF(OR(NOT(ISNUMBER($C197)),NOT(ISNUMBER($M197)),$M197=0),"",$C197/$M197-1)</f>
        <v>-0.0125218865895523</v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857260</v>
      </c>
      <c r="D198" s="42" t="n">
        <v>860581</v>
      </c>
      <c r="E198" s="42" t="n">
        <v>853442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-0.00260268505881933</v>
      </c>
      <c r="I198" s="45" t="n">
        <f aca="false">IF(AND(ISNUMBER($G198),$G198&gt;=MA_SHORT),AVERAGE(INDEX($C$5:$C198,195-MA_SHORT):$C198),"")</f>
        <v>858171.3</v>
      </c>
      <c r="J198" s="45" t="n">
        <f aca="false">IF(AND(ISNUMBER($G198),$G198&gt;=MA_MED),AVERAGE(INDEX($C$5:$C198,195-MA_MED):$C198),"")</f>
        <v>855448.26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0.0657361709978955</v>
      </c>
      <c r="M198" s="45" t="n">
        <f aca="false">IF(AND(ISNUMBER($G198),$G198&gt;=60),MAX(INDEX($D$5:$D198,195-60):$D198),"")</f>
        <v>870396</v>
      </c>
      <c r="N198" s="45" t="n">
        <f aca="false">IF(AND(ISNUMBER($G198),$G198&gt;=60),MIN(INDEX($E$5:$E198,195-60):$E198),"")</f>
        <v>824774</v>
      </c>
      <c r="O198" s="46" t="n">
        <f aca="false">IF(OR(NOT(ISNUMBER($C198)),NOT(ISNUMBER($M198)),$M198=0),"",$C198/$M198-1)</f>
        <v>-0.0150919811212368</v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859638</v>
      </c>
      <c r="D199" s="42" t="n">
        <v>860313</v>
      </c>
      <c r="E199" s="42" t="n">
        <v>857894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0.0027739542262557</v>
      </c>
      <c r="I199" s="45" t="n">
        <f aca="false">IF(AND(ISNUMBER($G199),$G199&gt;=MA_SHORT),AVERAGE(INDEX($C$5:$C199,196-MA_SHORT):$C199),"")</f>
        <v>858416.8</v>
      </c>
      <c r="J199" s="45" t="n">
        <f aca="false">IF(AND(ISNUMBER($G199),$G199&gt;=MA_MED),AVERAGE(INDEX($C$5:$C199,196-MA_MED):$C199),"")</f>
        <v>855931.4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0.0640331300930947</v>
      </c>
      <c r="M199" s="45" t="n">
        <f aca="false">IF(AND(ISNUMBER($G199),$G199&gt;=60),MAX(INDEX($D$5:$D199,196-60):$D199),"")</f>
        <v>870396</v>
      </c>
      <c r="N199" s="45" t="n">
        <f aca="false">IF(AND(ISNUMBER($G199),$G199&gt;=60),MIN(INDEX($E$5:$E199,196-60):$E199),"")</f>
        <v>824774</v>
      </c>
      <c r="O199" s="46" t="n">
        <f aca="false">IF(OR(NOT(ISNUMBER($C199)),NOT(ISNUMBER($M199)),$M199=0),"",$C199/$M199-1)</f>
        <v>-0.0123598913597949</v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857661</v>
      </c>
      <c r="D200" s="42" t="n">
        <v>858390</v>
      </c>
      <c r="E200" s="42" t="n">
        <v>854775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-0.00229980526686813</v>
      </c>
      <c r="I200" s="45" t="n">
        <f aca="false">IF(AND(ISNUMBER($G200),$G200&gt;=MA_SHORT),AVERAGE(INDEX($C$5:$C200,197-MA_SHORT):$C200),"")</f>
        <v>858704.8</v>
      </c>
      <c r="J200" s="45" t="n">
        <f aca="false">IF(AND(ISNUMBER($G200),$G200&gt;=MA_MED),AVERAGE(INDEX($C$5:$C200,197-MA_MED):$C200),"")</f>
        <v>856355.46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0.0633961914829113</v>
      </c>
      <c r="M200" s="45" t="n">
        <f aca="false">IF(AND(ISNUMBER($G200),$G200&gt;=60),MAX(INDEX($D$5:$D200,197-60):$D200),"")</f>
        <v>870396</v>
      </c>
      <c r="N200" s="45" t="n">
        <f aca="false">IF(AND(ISNUMBER($G200),$G200&gt;=60),MIN(INDEX($E$5:$E200,197-60):$E200),"")</f>
        <v>824774</v>
      </c>
      <c r="O200" s="46" t="n">
        <f aca="false">IF(OR(NOT(ISNUMBER($C200)),NOT(ISNUMBER($M200)),$M200=0),"",$C200/$M200-1)</f>
        <v>-0.0146312712834158</v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866149</v>
      </c>
      <c r="D201" s="42" t="n">
        <v>868098</v>
      </c>
      <c r="E201" s="42" t="n">
        <v>865546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0.00989668412111544</v>
      </c>
      <c r="I201" s="45" t="n">
        <f aca="false">IF(AND(ISNUMBER($G201),$G201&gt;=MA_SHORT),AVERAGE(INDEX($C$5:$C201,198-MA_SHORT):$C201),"")</f>
        <v>859175</v>
      </c>
      <c r="J201" s="45" t="n">
        <f aca="false">IF(AND(ISNUMBER($G201),$G201&gt;=MA_MED),AVERAGE(INDEX($C$5:$C201,198-MA_MED):$C201),"")</f>
        <v>856891.7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0.0693993216174626</v>
      </c>
      <c r="M201" s="45" t="n">
        <f aca="false">IF(AND(ISNUMBER($G201),$G201&gt;=60),MAX(INDEX($D$5:$D201,198-60):$D201),"")</f>
        <v>870396</v>
      </c>
      <c r="N201" s="45" t="n">
        <f aca="false">IF(AND(ISNUMBER($G201),$G201&gt;=60),MIN(INDEX($E$5:$E201,198-60):$E201),"")</f>
        <v>827272</v>
      </c>
      <c r="O201" s="46" t="n">
        <f aca="false">IF(OR(NOT(ISNUMBER($C201)),NOT(ISNUMBER($M201)),$M201=0),"",$C201/$M201-1)</f>
        <v>-0.00487938823248268</v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871384</v>
      </c>
      <c r="D202" s="42" t="n">
        <v>873018</v>
      </c>
      <c r="E202" s="42" t="n">
        <v>870205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0.00604399473993511</v>
      </c>
      <c r="I202" s="45" t="n">
        <f aca="false">IF(AND(ISNUMBER($G202),$G202&gt;=MA_SHORT),AVERAGE(INDEX($C$5:$C202,199-MA_SHORT):$C202),"")</f>
        <v>859930.35</v>
      </c>
      <c r="J202" s="45" t="n">
        <f aca="false">IF(AND(ISNUMBER($G202),$G202&gt;=MA_MED),AVERAGE(INDEX($C$5:$C202,199-MA_MED):$C202),"")</f>
        <v>857502.08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0.0718406754420803</v>
      </c>
      <c r="M202" s="45" t="n">
        <f aca="false">IF(AND(ISNUMBER($G202),$G202&gt;=60),MAX(INDEX($D$5:$D202,199-60):$D202),"")</f>
        <v>873018</v>
      </c>
      <c r="N202" s="45" t="n">
        <f aca="false">IF(AND(ISNUMBER($G202),$G202&gt;=60),MIN(INDEX($E$5:$E202,199-60):$E202),"")</f>
        <v>827272</v>
      </c>
      <c r="O202" s="46" t="n">
        <f aca="false">IF(OR(NOT(ISNUMBER($C202)),NOT(ISNUMBER($M202)),$M202=0),"",$C202/$M202-1)</f>
        <v>-0.00187166816720852</v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870412</v>
      </c>
      <c r="D203" s="42" t="n">
        <v>870548</v>
      </c>
      <c r="E203" s="42" t="n">
        <v>869224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-0.00111546688945396</v>
      </c>
      <c r="I203" s="45" t="n">
        <f aca="false">IF(AND(ISNUMBER($G203),$G203&gt;=MA_SHORT),AVERAGE(INDEX($C$5:$C203,200-MA_SHORT):$C203),"")</f>
        <v>860334.65</v>
      </c>
      <c r="J203" s="45" t="n">
        <f aca="false">IF(AND(ISNUMBER($G203),$G203&gt;=MA_MED),AVERAGE(INDEX($C$5:$C203,200-MA_MED):$C203),"")</f>
        <v>858113.44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0.0683895897654674</v>
      </c>
      <c r="M203" s="45" t="n">
        <f aca="false">IF(AND(ISNUMBER($G203),$G203&gt;=60),MAX(INDEX($D$5:$D203,200-60):$D203),"")</f>
        <v>873018</v>
      </c>
      <c r="N203" s="45" t="n">
        <f aca="false">IF(AND(ISNUMBER($G203),$G203&gt;=60),MIN(INDEX($E$5:$E203,200-60):$E203),"")</f>
        <v>827272</v>
      </c>
      <c r="O203" s="46" t="n">
        <f aca="false">IF(OR(NOT(ISNUMBER($C203)),NOT(ISNUMBER($M203)),$M203=0),"",$C203/$M203-1)</f>
        <v>-0.00298504727279392</v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872142</v>
      </c>
      <c r="D204" s="42" t="n">
        <v>874852</v>
      </c>
      <c r="E204" s="42" t="n">
        <v>865926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0.00198756450968052</v>
      </c>
      <c r="I204" s="45" t="n">
        <f aca="false">IF(AND(ISNUMBER($G204),$G204&gt;=MA_SHORT),AVERAGE(INDEX($C$5:$C204,201-MA_SHORT):$C204),"")</f>
        <v>860967.4</v>
      </c>
      <c r="J204" s="45" t="n">
        <f aca="false">IF(AND(ISNUMBER($G204),$G204&gt;=MA_MED),AVERAGE(INDEX($C$5:$C204,201-MA_MED):$C204),"")</f>
        <v>858787</v>
      </c>
      <c r="K204" s="45" t="n">
        <f aca="false">IF(AND(ISNUMBER($G204),$G204&gt;=MA_LONG2),AVERAGE(INDEX($C$5:$C204,201-MA_LONG2):$C204),"")</f>
        <v>796070.055</v>
      </c>
      <c r="L204" s="46" t="n">
        <f aca="false">IF(AND(ISNUMBER($G204),$G204&gt;=21),STDEV(INDEX($H$144:$H204,62-20):$H204)*SQRT(245),"")</f>
        <v>0.0671233793045198</v>
      </c>
      <c r="M204" s="45" t="n">
        <f aca="false">IF(AND(ISNUMBER($G204),$G204&gt;=60),MAX(INDEX($D$5:$D204,201-60):$D204),"")</f>
        <v>874852</v>
      </c>
      <c r="N204" s="45" t="n">
        <f aca="false">IF(AND(ISNUMBER($G204),$G204&gt;=60),MIN(INDEX($E$5:$E204,201-60):$E204),"")</f>
        <v>827272</v>
      </c>
      <c r="O204" s="46" t="n">
        <f aca="false">IF(OR(NOT(ISNUMBER($C204)),NOT(ISNUMBER($M204)),$M204=0),"",$C204/$M204-1)</f>
        <v>-0.00309766680535684</v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868299</v>
      </c>
      <c r="D205" s="42" t="n">
        <v>868857</v>
      </c>
      <c r="E205" s="42" t="n">
        <v>865663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-0.00440639253699515</v>
      </c>
      <c r="I205" s="45" t="n">
        <f aca="false">IF(AND(ISNUMBER($G205),$G205&gt;=MA_SHORT),AVERAGE(INDEX($C$5:$C205,202-MA_SHORT):$C205),"")</f>
        <v>861488.5</v>
      </c>
      <c r="J205" s="45" t="n">
        <f aca="false">IF(AND(ISNUMBER($G205),$G205&gt;=MA_MED),AVERAGE(INDEX($C$5:$C205,202-MA_MED):$C205),"")</f>
        <v>859256.86</v>
      </c>
      <c r="K205" s="45" t="n">
        <f aca="false">IF(AND(ISNUMBER($G205),$G205&gt;=MA_LONG2),AVERAGE(INDEX($C$5:$C205,202-MA_LONG2):$C205),"")</f>
        <v>796799.835</v>
      </c>
      <c r="L205" s="46" t="n">
        <f aca="false">IF(AND(ISNUMBER($G205),$G205&gt;=21),STDEV(INDEX($H$145:$H205,62-20):$H205)*SQRT(245),"")</f>
        <v>0.0689555171962524</v>
      </c>
      <c r="M205" s="45" t="n">
        <f aca="false">IF(AND(ISNUMBER($G205),$G205&gt;=60),MAX(INDEX($D$5:$D205,202-60):$D205),"")</f>
        <v>874852</v>
      </c>
      <c r="N205" s="45" t="n">
        <f aca="false">IF(AND(ISNUMBER($G205),$G205&gt;=60),MIN(INDEX($E$5:$E205,202-60):$E205),"")</f>
        <v>827272</v>
      </c>
      <c r="O205" s="46" t="n">
        <f aca="false">IF(OR(NOT(ISNUMBER($C205)),NOT(ISNUMBER($M205)),$M205=0),"",$C205/$M205-1)</f>
        <v>-0.00749040980645865</v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827932</v>
      </c>
      <c r="D206" s="42" t="n">
        <v>828009</v>
      </c>
      <c r="E206" s="42" t="n">
        <v>825860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-0.0464897460437015</v>
      </c>
      <c r="I206" s="45" t="n">
        <f aca="false">IF(AND(ISNUMBER($G206),$G206&gt;=MA_SHORT),AVERAGE(INDEX($C$5:$C206,203-MA_SHORT):$C206),"")</f>
        <v>860204.4</v>
      </c>
      <c r="J206" s="45" t="n">
        <f aca="false">IF(AND(ISNUMBER($G206),$G206&gt;=MA_MED),AVERAGE(INDEX($C$5:$C206,203-MA_MED):$C206),"")</f>
        <v>858812.58</v>
      </c>
      <c r="K206" s="45" t="n">
        <f aca="false">IF(AND(ISNUMBER($G206),$G206&gt;=MA_LONG2),AVERAGE(INDEX($C$5:$C206,203-MA_LONG2):$C206),"")</f>
        <v>797328.04</v>
      </c>
      <c r="L206" s="46" t="n">
        <f aca="false">IF(AND(ISNUMBER($G206),$G206&gt;=21),STDEV(INDEX($H$146:$H206,62-20):$H206)*SQRT(245),"")</f>
        <v>0.178468080718013</v>
      </c>
      <c r="M206" s="45" t="n">
        <f aca="false">IF(AND(ISNUMBER($G206),$G206&gt;=60),MAX(INDEX($D$6:$D206,202-60):$D206),"")</f>
        <v>874852</v>
      </c>
      <c r="N206" s="45" t="n">
        <f aca="false">IF(AND(ISNUMBER($G206),$G206&gt;=60),MIN(INDEX($E$6:$E206,202-60):$E206),"")</f>
        <v>825860</v>
      </c>
      <c r="O206" s="46" t="n">
        <f aca="false">IF(OR(NOT(ISNUMBER($C206)),NOT(ISNUMBER($M206)),$M206=0),"",$C206/$M206-1)</f>
        <v>-0.0536319286004947</v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832090</v>
      </c>
      <c r="D207" s="42" t="n">
        <v>832443</v>
      </c>
      <c r="E207" s="42" t="n">
        <v>829865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0.00502215157766583</v>
      </c>
      <c r="I207" s="45" t="n">
        <f aca="false">IF(AND(ISNUMBER($G207),$G207&gt;=MA_SHORT),AVERAGE(INDEX($C$5:$C207,204-MA_SHORT):$C207),"")</f>
        <v>859114.45</v>
      </c>
      <c r="J207" s="45" t="n">
        <f aca="false">IF(AND(ISNUMBER($G207),$G207&gt;=MA_MED),AVERAGE(INDEX($C$5:$C207,204-MA_MED):$C207),"")</f>
        <v>858458.34</v>
      </c>
      <c r="K207" s="45" t="n">
        <f aca="false">IF(AND(ISNUMBER($G207),$G207&gt;=MA_LONG2),AVERAGE(INDEX($C$5:$C207,204-MA_LONG2):$C207),"")</f>
        <v>797871.635</v>
      </c>
      <c r="L207" s="46" t="n">
        <f aca="false">IF(AND(ISNUMBER($G207),$G207&gt;=21),STDEV(INDEX($H$147:$H207,62-20):$H207)*SQRT(245),"")</f>
        <v>0.179827201397357</v>
      </c>
      <c r="M207" s="45" t="n">
        <f aca="false">IF(AND(ISNUMBER($G207),$G207&gt;=60),MAX(INDEX($D$7:$D207,202-60):$D207),"")</f>
        <v>874852</v>
      </c>
      <c r="N207" s="45" t="n">
        <f aca="false">IF(AND(ISNUMBER($G207),$G207&gt;=60),MIN(INDEX($E$7:$E207,202-60):$E207),"")</f>
        <v>825860</v>
      </c>
      <c r="O207" s="46" t="n">
        <f aca="false">IF(OR(NOT(ISNUMBER($C207)),NOT(ISNUMBER($M207)),$M207=0),"",$C207/$M207-1)</f>
        <v>-0.0488791246976632</v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832075</v>
      </c>
      <c r="D208" s="42" t="n">
        <v>834078</v>
      </c>
      <c r="E208" s="42" t="n">
        <v>831040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-1.80268961290642E-005</v>
      </c>
      <c r="I208" s="45" t="n">
        <f aca="false">IF(AND(ISNUMBER($G208),$G208&gt;=MA_SHORT),AVERAGE(INDEX($C$5:$C208,205-MA_SHORT):$C208),"")</f>
        <v>857894.6</v>
      </c>
      <c r="J208" s="45" t="n">
        <f aca="false">IF(AND(ISNUMBER($G208),$G208&gt;=MA_MED),AVERAGE(INDEX($C$5:$C208,205-MA_MED):$C208),"")</f>
        <v>858055.06</v>
      </c>
      <c r="K208" s="45" t="n">
        <f aca="false">IF(AND(ISNUMBER($G208),$G208&gt;=MA_LONG2),AVERAGE(INDEX($C$5:$C208,205-MA_LONG2):$C208),"")</f>
        <v>798413.965</v>
      </c>
      <c r="L208" s="46" t="n">
        <f aca="false">IF(AND(ISNUMBER($G208),$G208&gt;=21),STDEV(INDEX($H$148:$H208,62-20):$H208)*SQRT(245),"")</f>
        <v>0.179213564694873</v>
      </c>
      <c r="M208" s="45" t="n">
        <f aca="false">IF(AND(ISNUMBER($G208),$G208&gt;=60),MAX(INDEX($D$8:$D208,202-60):$D208),"")</f>
        <v>874852</v>
      </c>
      <c r="N208" s="45" t="n">
        <f aca="false">IF(AND(ISNUMBER($G208),$G208&gt;=60),MIN(INDEX($E$8:$E208,202-60):$E208),"")</f>
        <v>825860</v>
      </c>
      <c r="O208" s="46" t="n">
        <f aca="false">IF(OR(NOT(ISNUMBER($C208)),NOT(ISNUMBER($M208)),$M208=0),"",$C208/$M208-1)</f>
        <v>-0.0488962704548884</v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833336</v>
      </c>
      <c r="D209" s="42" t="n">
        <v>837692</v>
      </c>
      <c r="E209" s="42" t="n">
        <v>832214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0.00151548838746507</v>
      </c>
      <c r="I209" s="45" t="n">
        <f aca="false">IF(AND(ISNUMBER($G209),$G209&gt;=MA_SHORT),AVERAGE(INDEX($C$5:$C209,206-MA_SHORT):$C209),"")</f>
        <v>856852.4</v>
      </c>
      <c r="J209" s="45" t="n">
        <f aca="false">IF(AND(ISNUMBER($G209),$G209&gt;=MA_MED),AVERAGE(INDEX($C$5:$C209,206-MA_MED):$C209),"")</f>
        <v>857556.74</v>
      </c>
      <c r="K209" s="45" t="n">
        <f aca="false">IF(AND(ISNUMBER($G209),$G209&gt;=MA_LONG2),AVERAGE(INDEX($C$5:$C209,206-MA_LONG2):$C209),"")</f>
        <v>798962.695</v>
      </c>
      <c r="L209" s="46" t="n">
        <f aca="false">IF(AND(ISNUMBER($G209),$G209&gt;=21),STDEV(INDEX($H$149:$H209,62-20):$H209)*SQRT(245),"")</f>
        <v>0.179423029375704</v>
      </c>
      <c r="M209" s="45" t="n">
        <f aca="false">IF(AND(ISNUMBER($G209),$G209&gt;=60),MAX(INDEX($D$9:$D209,202-60):$D209),"")</f>
        <v>874852</v>
      </c>
      <c r="N209" s="45" t="n">
        <f aca="false">IF(AND(ISNUMBER($G209),$G209&gt;=60),MIN(INDEX($E$9:$E209,202-60):$E209),"")</f>
        <v>825860</v>
      </c>
      <c r="O209" s="46" t="n">
        <f aca="false">IF(OR(NOT(ISNUMBER($C209)),NOT(ISNUMBER($M209)),$M209=0),"",$C209/$M209-1)</f>
        <v>-0.0474548837974881</v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833426</v>
      </c>
      <c r="D210" s="42" t="n">
        <v>833919</v>
      </c>
      <c r="E210" s="42" t="n">
        <v>831326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0.000107999654401114</v>
      </c>
      <c r="I210" s="45" t="n">
        <f aca="false">IF(AND(ISNUMBER($G210),$G210&gt;=MA_SHORT),AVERAGE(INDEX($C$5:$C210,207-MA_SHORT):$C210),"")</f>
        <v>855821.35</v>
      </c>
      <c r="J210" s="45" t="n">
        <f aca="false">IF(AND(ISNUMBER($G210),$G210&gt;=MA_MED),AVERAGE(INDEX($C$5:$C210,207-MA_MED):$C210),"")</f>
        <v>857060.66</v>
      </c>
      <c r="K210" s="45" t="n">
        <f aca="false">IF(AND(ISNUMBER($G210),$G210&gt;=MA_LONG2),AVERAGE(INDEX($C$5:$C210,207-MA_LONG2):$C210),"")</f>
        <v>799527.08</v>
      </c>
      <c r="L210" s="46" t="n">
        <f aca="false">IF(AND(ISNUMBER($G210),$G210&gt;=21),STDEV(INDEX($H$150:$H210,62-20):$H210)*SQRT(245),"")</f>
        <v>0.179444633281136</v>
      </c>
      <c r="M210" s="45" t="n">
        <f aca="false">IF(AND(ISNUMBER($G210),$G210&gt;=60),MAX(INDEX($D$10:$D210,202-60):$D210),"")</f>
        <v>874852</v>
      </c>
      <c r="N210" s="45" t="n">
        <f aca="false">IF(AND(ISNUMBER($G210),$G210&gt;=60),MIN(INDEX($E$10:$E210,202-60):$E210),"")</f>
        <v>825860</v>
      </c>
      <c r="O210" s="46" t="n">
        <f aca="false">IF(OR(NOT(ISNUMBER($C210)),NOT(ISNUMBER($M210)),$M210=0),"",$C210/$M210-1)</f>
        <v>-0.0473520092541367</v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826111</v>
      </c>
      <c r="D211" s="42" t="n">
        <v>826360</v>
      </c>
      <c r="E211" s="42" t="n">
        <v>824331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-0.00877702399493174</v>
      </c>
      <c r="I211" s="45" t="n">
        <f aca="false">IF(AND(ISNUMBER($G211),$G211&gt;=MA_SHORT),AVERAGE(INDEX($C$5:$C211,208-MA_SHORT):$C211),"")</f>
        <v>854395.25</v>
      </c>
      <c r="J211" s="45" t="n">
        <f aca="false">IF(AND(ISNUMBER($G211),$G211&gt;=MA_MED),AVERAGE(INDEX($C$5:$C211,208-MA_MED):$C211),"")</f>
        <v>856504.06</v>
      </c>
      <c r="K211" s="45" t="n">
        <f aca="false">IF(AND(ISNUMBER($G211),$G211&gt;=MA_LONG2),AVERAGE(INDEX($C$5:$C211,208-MA_LONG2):$C211),"")</f>
        <v>800040.83</v>
      </c>
      <c r="L211" s="46" t="n">
        <f aca="false">IF(AND(ISNUMBER($G211),$G211&gt;=21),STDEV(INDEX($H$151:$H211,62-20):$H211)*SQRT(245),"")</f>
        <v>0.18123878943669</v>
      </c>
      <c r="M211" s="45" t="n">
        <f aca="false">IF(AND(ISNUMBER($G211),$G211&gt;=60),MAX(INDEX($D$11:$D211,202-60):$D211),"")</f>
        <v>874852</v>
      </c>
      <c r="N211" s="45" t="n">
        <f aca="false">IF(AND(ISNUMBER($G211),$G211&gt;=60),MIN(INDEX($E$11:$E211,202-60):$E211),"")</f>
        <v>824331</v>
      </c>
      <c r="O211" s="46" t="n">
        <f aca="false">IF(OR(NOT(ISNUMBER($C211)),NOT(ISNUMBER($M211)),$M211=0),"",$C211/$M211-1)</f>
        <v>-0.0557134235276366</v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827741</v>
      </c>
      <c r="D212" s="42" t="n">
        <v>830493</v>
      </c>
      <c r="E212" s="42" t="n">
        <v>824620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0.00197310046712862</v>
      </c>
      <c r="I212" s="45" t="n">
        <f aca="false">IF(AND(ISNUMBER($G212),$G212&gt;=MA_SHORT),AVERAGE(INDEX($C$5:$C212,209-MA_SHORT):$C212),"")</f>
        <v>852625.15</v>
      </c>
      <c r="J212" s="45" t="n">
        <f aca="false">IF(AND(ISNUMBER($G212),$G212&gt;=MA_MED),AVERAGE(INDEX($C$5:$C212,209-MA_MED):$C212),"")</f>
        <v>856004.2</v>
      </c>
      <c r="K212" s="45" t="n">
        <f aca="false">IF(AND(ISNUMBER($G212),$G212&gt;=MA_LONG2),AVERAGE(INDEX($C$5:$C212,209-MA_LONG2):$C212),"")</f>
        <v>800578.725</v>
      </c>
      <c r="L212" s="46" t="n">
        <f aca="false">IF(AND(ISNUMBER($G212),$G212&gt;=21),STDEV(INDEX($H$152:$H212,62-20):$H212)*SQRT(245),"")</f>
        <v>0.176755021767716</v>
      </c>
      <c r="M212" s="45" t="n">
        <f aca="false">IF(AND(ISNUMBER($G212),$G212&gt;=60),MAX(INDEX($D$12:$D212,202-60):$D212),"")</f>
        <v>874852</v>
      </c>
      <c r="N212" s="45" t="n">
        <f aca="false">IF(AND(ISNUMBER($G212),$G212&gt;=60),MIN(INDEX($E$12:$E212,202-60):$E212),"")</f>
        <v>824331</v>
      </c>
      <c r="O212" s="46" t="n">
        <f aca="false">IF(OR(NOT(ISNUMBER($C212)),NOT(ISNUMBER($M212)),$M212=0),"",$C212/$M212-1)</f>
        <v>-0.0538502512424959</v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828630</v>
      </c>
      <c r="D213" s="42" t="n">
        <v>828692</v>
      </c>
      <c r="E213" s="42" t="n">
        <v>827711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0.00107400744918995</v>
      </c>
      <c r="I213" s="45" t="n">
        <f aca="false">IF(AND(ISNUMBER($G213),$G213&gt;=MA_SHORT),AVERAGE(INDEX($C$5:$C213,210-MA_SHORT):$C213),"")</f>
        <v>850898.95</v>
      </c>
      <c r="J213" s="45" t="n">
        <f aca="false">IF(AND(ISNUMBER($G213),$G213&gt;=MA_MED),AVERAGE(INDEX($C$5:$C213,210-MA_MED):$C213),"")</f>
        <v>855457</v>
      </c>
      <c r="K213" s="45" t="n">
        <f aca="false">IF(AND(ISNUMBER($G213),$G213&gt;=MA_LONG2),AVERAGE(INDEX($C$5:$C213,210-MA_LONG2):$C213),"")</f>
        <v>801089.685</v>
      </c>
      <c r="L213" s="46" t="n">
        <f aca="false">IF(AND(ISNUMBER($G213),$G213&gt;=21),STDEV(INDEX($H$153:$H213,62-20):$H213)*SQRT(245),"")</f>
        <v>0.176952065784191</v>
      </c>
      <c r="M213" s="45" t="n">
        <f aca="false">IF(AND(ISNUMBER($G213),$G213&gt;=60),MAX(INDEX($D$13:$D213,202-60):$D213),"")</f>
        <v>874852</v>
      </c>
      <c r="N213" s="45" t="n">
        <f aca="false">IF(AND(ISNUMBER($G213),$G213&gt;=60),MIN(INDEX($E$13:$E213,202-60):$E213),"")</f>
        <v>824331</v>
      </c>
      <c r="O213" s="46" t="n">
        <f aca="false">IF(OR(NOT(ISNUMBER($C213)),NOT(ISNUMBER($M213)),$M213=0),"",$C213/$M213-1)</f>
        <v>-0.0528340793642811</v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830594</v>
      </c>
      <c r="D214" s="42" t="n">
        <v>831568</v>
      </c>
      <c r="E214" s="42" t="n">
        <v>828562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0.00237017728057154</v>
      </c>
      <c r="I214" s="45" t="n">
        <f aca="false">IF(AND(ISNUMBER($G214),$G214&gt;=MA_SHORT),AVERAGE(INDEX($C$5:$C214,211-MA_SHORT):$C214),"")</f>
        <v>849178.55</v>
      </c>
      <c r="J214" s="45" t="n">
        <f aca="false">IF(AND(ISNUMBER($G214),$G214&gt;=MA_MED),AVERAGE(INDEX($C$5:$C214,211-MA_MED):$C214),"")</f>
        <v>854990.68</v>
      </c>
      <c r="K214" s="45" t="n">
        <f aca="false">IF(AND(ISNUMBER($G214),$G214&gt;=MA_LONG2),AVERAGE(INDEX($C$5:$C214,211-MA_LONG2):$C214),"")</f>
        <v>801591.725</v>
      </c>
      <c r="L214" s="46" t="n">
        <f aca="false">IF(AND(ISNUMBER($G214),$G214&gt;=21),STDEV(INDEX($H$154:$H214,62-20):$H214)*SQRT(245),"")</f>
        <v>0.177022639578349</v>
      </c>
      <c r="M214" s="45" t="n">
        <f aca="false">IF(AND(ISNUMBER($G214),$G214&gt;=60),MAX(INDEX($D$14:$D214,202-60):$D214),"")</f>
        <v>874852</v>
      </c>
      <c r="N214" s="45" t="n">
        <f aca="false">IF(AND(ISNUMBER($G214),$G214&gt;=60),MIN(INDEX($E$14:$E214,202-60):$E214),"")</f>
        <v>824331</v>
      </c>
      <c r="O214" s="46" t="n">
        <f aca="false">IF(OR(NOT(ISNUMBER($C214)),NOT(ISNUMBER($M214)),$M214=0),"",$C214/$M214-1)</f>
        <v>-0.0505891282182587</v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829023</v>
      </c>
      <c r="D215" s="42" t="n">
        <v>830558</v>
      </c>
      <c r="E215" s="42" t="n">
        <v>828692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-0.00189141746749921</v>
      </c>
      <c r="I215" s="45" t="n">
        <f aca="false">IF(AND(ISNUMBER($G215),$G215&gt;=MA_SHORT),AVERAGE(INDEX($C$5:$C215,212-MA_SHORT):$C215),"")</f>
        <v>847267.5</v>
      </c>
      <c r="J215" s="45" t="n">
        <f aca="false">IF(AND(ISNUMBER($G215),$G215&gt;=MA_MED),AVERAGE(INDEX($C$5:$C215,212-MA_MED):$C215),"")</f>
        <v>854479.74</v>
      </c>
      <c r="K215" s="45" t="n">
        <f aca="false">IF(AND(ISNUMBER($G215),$G215&gt;=MA_LONG2),AVERAGE(INDEX($C$5:$C215,212-MA_LONG2):$C215),"")</f>
        <v>802069.95</v>
      </c>
      <c r="L215" s="46" t="n">
        <f aca="false">IF(AND(ISNUMBER($G215),$G215&gt;=21),STDEV(INDEX($H$155:$H215,62-20):$H215)*SQRT(245),"")</f>
        <v>0.176228113168384</v>
      </c>
      <c r="M215" s="45" t="n">
        <f aca="false">IF(AND(ISNUMBER($G215),$G215&gt;=60),MAX(INDEX($D$15:$D215,202-60):$D215),"")</f>
        <v>874852</v>
      </c>
      <c r="N215" s="45" t="n">
        <f aca="false">IF(AND(ISNUMBER($G215),$G215&gt;=60),MIN(INDEX($E$15:$E215,202-60):$E215),"")</f>
        <v>824331</v>
      </c>
      <c r="O215" s="46" t="n">
        <f aca="false">IF(OR(NOT(ISNUMBER($C215)),NOT(ISNUMBER($M215)),$M215=0),"",$C215/$M215-1)</f>
        <v>-0.0523848605249803</v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831224</v>
      </c>
      <c r="D216" s="42" t="n">
        <v>833173</v>
      </c>
      <c r="E216" s="42" t="n">
        <v>828431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0.00265493237220205</v>
      </c>
      <c r="I216" s="45" t="n">
        <f aca="false">IF(AND(ISNUMBER($G216),$G216&gt;=MA_SHORT),AVERAGE(INDEX($C$5:$C216,213-MA_SHORT):$C216),"")</f>
        <v>845731.2</v>
      </c>
      <c r="J216" s="45" t="n">
        <f aca="false">IF(AND(ISNUMBER($G216),$G216&gt;=MA_MED),AVERAGE(INDEX($C$5:$C216,213-MA_MED):$C216),"")</f>
        <v>854032.04</v>
      </c>
      <c r="K216" s="45" t="n">
        <f aca="false">IF(AND(ISNUMBER($G216),$G216&gt;=MA_LONG2),AVERAGE(INDEX($C$5:$C216,213-MA_LONG2):$C216),"")</f>
        <v>802551.24</v>
      </c>
      <c r="L216" s="46" t="n">
        <f aca="false">IF(AND(ISNUMBER($G216),$G216&gt;=21),STDEV(INDEX($H$156:$H216,62-20):$H216)*SQRT(245),"")</f>
        <v>0.176385435806135</v>
      </c>
      <c r="M216" s="45" t="n">
        <f aca="false">IF(AND(ISNUMBER($G216),$G216&gt;=60),MAX(INDEX($D$16:$D216,202-60):$D216),"")</f>
        <v>874852</v>
      </c>
      <c r="N216" s="45" t="n">
        <f aca="false">IF(AND(ISNUMBER($G216),$G216&gt;=60),MIN(INDEX($E$16:$E216,202-60):$E216),"")</f>
        <v>824331</v>
      </c>
      <c r="O216" s="46" t="n">
        <f aca="false">IF(OR(NOT(ISNUMBER($C216)),NOT(ISNUMBER($M216)),$M216=0),"",$C216/$M216-1)</f>
        <v>-0.0498690064147993</v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832941</v>
      </c>
      <c r="D217" s="42" t="n">
        <v>833290</v>
      </c>
      <c r="E217" s="42" t="n">
        <v>829392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0.00206562851890713</v>
      </c>
      <c r="I217" s="45" t="n">
        <f aca="false">IF(AND(ISNUMBER($G217),$G217&gt;=MA_SHORT),AVERAGE(INDEX($C$5:$C217,214-MA_SHORT):$C217),"")</f>
        <v>844403.4</v>
      </c>
      <c r="J217" s="45" t="n">
        <f aca="false">IF(AND(ISNUMBER($G217),$G217&gt;=MA_MED),AVERAGE(INDEX($C$5:$C217,214-MA_MED):$C217),"")</f>
        <v>853531.52</v>
      </c>
      <c r="K217" s="45" t="n">
        <f aca="false">IF(AND(ISNUMBER($G217),$G217&gt;=MA_LONG2),AVERAGE(INDEX($C$5:$C217,214-MA_LONG2):$C217),"")</f>
        <v>803046.03</v>
      </c>
      <c r="L217" s="46" t="n">
        <f aca="false">IF(AND(ISNUMBER($G217),$G217&gt;=21),STDEV(INDEX($H$157:$H217,62-20):$H217)*SQRT(245),"")</f>
        <v>0.176829536954891</v>
      </c>
      <c r="M217" s="45" t="n">
        <f aca="false">IF(AND(ISNUMBER($G217),$G217&gt;=60),MAX(INDEX($D$17:$D217,202-60):$D217),"")</f>
        <v>874852</v>
      </c>
      <c r="N217" s="45" t="n">
        <f aca="false">IF(AND(ISNUMBER($G217),$G217&gt;=60),MIN(INDEX($E$17:$E217,202-60):$E217),"")</f>
        <v>824331</v>
      </c>
      <c r="O217" s="46" t="n">
        <f aca="false">IF(OR(NOT(ISNUMBER($C217)),NOT(ISNUMBER($M217)),$M217=0),"",$C217/$M217-1)</f>
        <v>-0.0479063887377522</v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833055</v>
      </c>
      <c r="D218" s="42" t="n">
        <v>833964</v>
      </c>
      <c r="E218" s="42" t="n">
        <v>829763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0.000136864435776429</v>
      </c>
      <c r="I218" s="45" t="n">
        <f aca="false">IF(AND(ISNUMBER($G218),$G218&gt;=MA_SHORT),AVERAGE(INDEX($C$5:$C218,215-MA_SHORT):$C218),"")</f>
        <v>843193.15</v>
      </c>
      <c r="J218" s="45" t="n">
        <f aca="false">IF(AND(ISNUMBER($G218),$G218&gt;=MA_MED),AVERAGE(INDEX($C$5:$C218,215-MA_MED):$C218),"")</f>
        <v>853009.88</v>
      </c>
      <c r="K218" s="45" t="n">
        <f aca="false">IF(AND(ISNUMBER($G218),$G218&gt;=MA_LONG2),AVERAGE(INDEX($C$5:$C218,215-MA_LONG2):$C218),"")</f>
        <v>803521.585</v>
      </c>
      <c r="L218" s="46" t="n">
        <f aca="false">IF(AND(ISNUMBER($G218),$G218&gt;=21),STDEV(INDEX($H$158:$H218,62-20):$H218)*SQRT(245),"")</f>
        <v>0.176870354859395</v>
      </c>
      <c r="M218" s="45" t="n">
        <f aca="false">IF(AND(ISNUMBER($G218),$G218&gt;=60),MAX(INDEX($D$18:$D218,202-60):$D218),"")</f>
        <v>874852</v>
      </c>
      <c r="N218" s="45" t="n">
        <f aca="false">IF(AND(ISNUMBER($G218),$G218&gt;=60),MIN(INDEX($E$18:$E218,202-60):$E218),"")</f>
        <v>824331</v>
      </c>
      <c r="O218" s="46" t="n">
        <f aca="false">IF(OR(NOT(ISNUMBER($C218)),NOT(ISNUMBER($M218)),$M218=0),"",$C218/$M218-1)</f>
        <v>-0.0477760809828405</v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834124</v>
      </c>
      <c r="D219" s="42" t="n">
        <v>838142</v>
      </c>
      <c r="E219" s="42" t="n">
        <v>832568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0.00128322859835195</v>
      </c>
      <c r="I219" s="45" t="n">
        <f aca="false">IF(AND(ISNUMBER($G219),$G219&gt;=MA_SHORT),AVERAGE(INDEX($C$5:$C219,216-MA_SHORT):$C219),"")</f>
        <v>841917.45</v>
      </c>
      <c r="J219" s="45" t="n">
        <f aca="false">IF(AND(ISNUMBER($G219),$G219&gt;=MA_MED),AVERAGE(INDEX($C$5:$C219,216-MA_MED):$C219),"")</f>
        <v>852452.14</v>
      </c>
      <c r="K219" s="45" t="n">
        <f aca="false">IF(AND(ISNUMBER($G219),$G219&gt;=MA_LONG2),AVERAGE(INDEX($C$5:$C219,216-MA_LONG2):$C219),"")</f>
        <v>804000.71</v>
      </c>
      <c r="L219" s="46" t="n">
        <f aca="false">IF(AND(ISNUMBER($G219),$G219&gt;=21),STDEV(INDEX($H$159:$H219,62-20):$H219)*SQRT(245),"")</f>
        <v>0.17649668021259</v>
      </c>
      <c r="M219" s="45" t="n">
        <f aca="false">IF(AND(ISNUMBER($G219),$G219&gt;=60),MAX(INDEX($D$19:$D219,202-60):$D219),"")</f>
        <v>874852</v>
      </c>
      <c r="N219" s="45" t="n">
        <f aca="false">IF(AND(ISNUMBER($G219),$G219&gt;=60),MIN(INDEX($E$19:$E219,202-60):$E219),"")</f>
        <v>824331</v>
      </c>
      <c r="O219" s="46" t="n">
        <f aca="false">IF(OR(NOT(ISNUMBER($C219)),NOT(ISNUMBER($M219)),$M219=0),"",$C219/$M219-1)</f>
        <v>-0.046554160017923</v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830637</v>
      </c>
      <c r="D220" s="42" t="n">
        <v>835652</v>
      </c>
      <c r="E220" s="42" t="n">
        <v>830405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-0.00418043360459597</v>
      </c>
      <c r="I220" s="45" t="n">
        <f aca="false">IF(AND(ISNUMBER($G220),$G220&gt;=MA_SHORT),AVERAGE(INDEX($C$5:$C220,217-MA_SHORT):$C220),"")</f>
        <v>840566.25</v>
      </c>
      <c r="J220" s="45" t="n">
        <f aca="false">IF(AND(ISNUMBER($G220),$G220&gt;=MA_MED),AVERAGE(INDEX($C$5:$C220,217-MA_MED):$C220),"")</f>
        <v>851779.94</v>
      </c>
      <c r="K220" s="45" t="n">
        <f aca="false">IF(AND(ISNUMBER($G220),$G220&gt;=MA_LONG2),AVERAGE(INDEX($C$5:$C220,217-MA_LONG2):$C220),"")</f>
        <v>804454.905</v>
      </c>
      <c r="L220" s="46" t="n">
        <f aca="false">IF(AND(ISNUMBER($G220),$G220&gt;=21),STDEV(INDEX($H$160:$H220,62-20):$H220)*SQRT(245),"")</f>
        <v>0.176736935004731</v>
      </c>
      <c r="M220" s="45" t="n">
        <f aca="false">IF(AND(ISNUMBER($G220),$G220&gt;=60),MAX(INDEX($D$20:$D220,202-60):$D220),"")</f>
        <v>874852</v>
      </c>
      <c r="N220" s="45" t="n">
        <f aca="false">IF(AND(ISNUMBER($G220),$G220&gt;=60),MIN(INDEX($E$20:$E220,202-60):$E220),"")</f>
        <v>824331</v>
      </c>
      <c r="O220" s="46" t="n">
        <f aca="false">IF(OR(NOT(ISNUMBER($C220)),NOT(ISNUMBER($M220)),$M220=0),"",$C220/$M220-1)</f>
        <v>-0.0505399770475463</v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864873</v>
      </c>
      <c r="D221" s="42" t="n">
        <v>869909</v>
      </c>
      <c r="E221" s="42" t="n">
        <v>856850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0.0412165603025148</v>
      </c>
      <c r="I221" s="45" t="n">
        <f aca="false">IF(AND(ISNUMBER($G221),$G221&gt;=MA_SHORT),AVERAGE(INDEX($C$5:$C221,218-MA_SHORT):$C221),"")</f>
        <v>840502.45</v>
      </c>
      <c r="J221" s="45" t="n">
        <f aca="false">IF(AND(ISNUMBER($G221),$G221&gt;=MA_MED),AVERAGE(INDEX($C$5:$C221,218-MA_MED):$C221),"")</f>
        <v>851762.48</v>
      </c>
      <c r="K221" s="45" t="n">
        <f aca="false">IF(AND(ISNUMBER($G221),$G221&gt;=MA_LONG2),AVERAGE(INDEX($C$5:$C221,218-MA_LONG2):$C221),"")</f>
        <v>805064.535</v>
      </c>
      <c r="L221" s="46" t="n">
        <f aca="false">IF(AND(ISNUMBER($G221),$G221&gt;=21),STDEV(INDEX($H$161:$H221,62-20):$H221)*SQRT(245),"")</f>
        <v>0.229102410767158</v>
      </c>
      <c r="M221" s="45" t="n">
        <f aca="false">IF(AND(ISNUMBER($G221),$G221&gt;=60),MAX(INDEX($D$21:$D221,202-60):$D221),"")</f>
        <v>874852</v>
      </c>
      <c r="N221" s="45" t="n">
        <f aca="false">IF(AND(ISNUMBER($G221),$G221&gt;=60),MIN(INDEX($E$21:$E221,202-60):$E221),"")</f>
        <v>824331</v>
      </c>
      <c r="O221" s="46" t="n">
        <f aca="false">IF(OR(NOT(ISNUMBER($C221)),NOT(ISNUMBER($M221)),$M221=0),"",$C221/$M221-1)</f>
        <v>-0.0114065007566995</v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861660</v>
      </c>
      <c r="D222" s="42" t="n">
        <v>866827</v>
      </c>
      <c r="E222" s="42" t="n">
        <v>859409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-0.00371499630581595</v>
      </c>
      <c r="I222" s="45" t="n">
        <f aca="false">IF(AND(ISNUMBER($G222),$G222&gt;=MA_SHORT),AVERAGE(INDEX($C$5:$C222,219-MA_SHORT):$C222),"")</f>
        <v>840016.25</v>
      </c>
      <c r="J222" s="45" t="n">
        <f aca="false">IF(AND(ISNUMBER($G222),$G222&gt;=MA_MED),AVERAGE(INDEX($C$5:$C222,219-MA_MED):$C222),"")</f>
        <v>851683.6</v>
      </c>
      <c r="K222" s="45" t="n">
        <f aca="false">IF(AND(ISNUMBER($G222),$G222&gt;=MA_LONG2),AVERAGE(INDEX($C$5:$C222,219-MA_LONG2):$C222),"")</f>
        <v>805664.01</v>
      </c>
      <c r="L222" s="46" t="n">
        <f aca="false">IF(AND(ISNUMBER($G222),$G222&gt;=21),STDEV(INDEX($H$162:$H222,62-20):$H222)*SQRT(245),"")</f>
        <v>0.228343259071414</v>
      </c>
      <c r="M222" s="45" t="n">
        <f aca="false">IF(AND(ISNUMBER($G222),$G222&gt;=60),MAX(INDEX($D$22:$D222,202-60):$D222),"")</f>
        <v>874852</v>
      </c>
      <c r="N222" s="45" t="n">
        <f aca="false">IF(AND(ISNUMBER($G222),$G222&gt;=60),MIN(INDEX($E$22:$E222,202-60):$E222),"")</f>
        <v>824331</v>
      </c>
      <c r="O222" s="46" t="n">
        <f aca="false">IF(OR(NOT(ISNUMBER($C222)),NOT(ISNUMBER($M222)),$M222=0),"",$C222/$M222-1)</f>
        <v>-0.015079121954342</v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844307</v>
      </c>
      <c r="D223" s="42" t="n">
        <v>847444</v>
      </c>
      <c r="E223" s="42" t="n">
        <v>844040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-0.0201390339577096</v>
      </c>
      <c r="I223" s="45" t="n">
        <f aca="false">IF(AND(ISNUMBER($G223),$G223&gt;=MA_SHORT),AVERAGE(INDEX($C$5:$C223,220-MA_SHORT):$C223),"")</f>
        <v>838711</v>
      </c>
      <c r="J223" s="45" t="n">
        <f aca="false">IF(AND(ISNUMBER($G223),$G223&gt;=MA_MED),AVERAGE(INDEX($C$5:$C223,220-MA_MED):$C223),"")</f>
        <v>851235.14</v>
      </c>
      <c r="K223" s="45" t="n">
        <f aca="false">IF(AND(ISNUMBER($G223),$G223&gt;=MA_LONG2),AVERAGE(INDEX($C$5:$C223,220-MA_LONG2):$C223),"")</f>
        <v>806164.76</v>
      </c>
      <c r="L223" s="46" t="n">
        <f aca="false">IF(AND(ISNUMBER($G223),$G223&gt;=21),STDEV(INDEX($H$163:$H223,62-20):$H223)*SQRT(245),"")</f>
        <v>0.238528398144409</v>
      </c>
      <c r="M223" s="45" t="n">
        <f aca="false">IF(AND(ISNUMBER($G223),$G223&gt;=60),MAX(INDEX($D$23:$D223,202-60):$D223),"")</f>
        <v>874852</v>
      </c>
      <c r="N223" s="45" t="n">
        <f aca="false">IF(AND(ISNUMBER($G223),$G223&gt;=60),MIN(INDEX($E$23:$E223,202-60):$E223),"")</f>
        <v>824331</v>
      </c>
      <c r="O223" s="46" t="n">
        <f aca="false">IF(OR(NOT(ISNUMBER($C223)),NOT(ISNUMBER($M223)),$M223=0),"",$C223/$M223-1)</f>
        <v>-0.0349144769629606</v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847788</v>
      </c>
      <c r="D224" s="42" t="n">
        <v>847978</v>
      </c>
      <c r="E224" s="42" t="n">
        <v>845532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0.00412290789961478</v>
      </c>
      <c r="I224" s="45" t="n">
        <f aca="false">IF(AND(ISNUMBER($G224),$G224&gt;=MA_SHORT),AVERAGE(INDEX($C$5:$C224,221-MA_SHORT):$C224),"")</f>
        <v>837493.3</v>
      </c>
      <c r="J224" s="45" t="n">
        <f aca="false">IF(AND(ISNUMBER($G224),$G224&gt;=MA_MED),AVERAGE(INDEX($C$5:$C224,221-MA_MED):$C224),"")</f>
        <v>850933.56</v>
      </c>
      <c r="K224" s="45" t="n">
        <f aca="false">IF(AND(ISNUMBER($G224),$G224&gt;=MA_LONG2),AVERAGE(INDEX($C$5:$C224,221-MA_LONG2):$C224),"")</f>
        <v>806668.835</v>
      </c>
      <c r="L224" s="46" t="n">
        <f aca="false">IF(AND(ISNUMBER($G224),$G224&gt;=21),STDEV(INDEX($H$164:$H224,62-20):$H224)*SQRT(245),"")</f>
        <v>0.239037194829061</v>
      </c>
      <c r="M224" s="45" t="n">
        <f aca="false">IF(AND(ISNUMBER($G224),$G224&gt;=60),MAX(INDEX($D$24:$D224,202-60):$D224),"")</f>
        <v>874852</v>
      </c>
      <c r="N224" s="45" t="n">
        <f aca="false">IF(AND(ISNUMBER($G224),$G224&gt;=60),MIN(INDEX($E$24:$E224,202-60):$E224),"")</f>
        <v>824331</v>
      </c>
      <c r="O224" s="46" t="n">
        <f aca="false">IF(OR(NOT(ISNUMBER($C224)),NOT(ISNUMBER($M224)),$M224=0),"",$C224/$M224-1)</f>
        <v>-0.0309355182362274</v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852542</v>
      </c>
      <c r="D225" s="42" t="n">
        <v>853125</v>
      </c>
      <c r="E225" s="42" t="n">
        <v>851313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0.00560753395896141</v>
      </c>
      <c r="I225" s="45" t="n">
        <f aca="false">IF(AND(ISNUMBER($G225),$G225&gt;=MA_SHORT),AVERAGE(INDEX($C$5:$C225,222-MA_SHORT):$C225),"")</f>
        <v>836705.45</v>
      </c>
      <c r="J225" s="45" t="n">
        <f aca="false">IF(AND(ISNUMBER($G225),$G225&gt;=MA_MED),AVERAGE(INDEX($C$5:$C225,222-MA_MED):$C225),"")</f>
        <v>850731.9</v>
      </c>
      <c r="K225" s="45" t="n">
        <f aca="false">IF(AND(ISNUMBER($G225),$G225&gt;=MA_LONG2),AVERAGE(INDEX($C$5:$C225,222-MA_LONG2):$C225),"")</f>
        <v>807199.83</v>
      </c>
      <c r="L225" s="46" t="n">
        <f aca="false">IF(AND(ISNUMBER($G225),$G225&gt;=21),STDEV(INDEX($H$165:$H225,62-20):$H225)*SQRT(245),"")</f>
        <v>0.23992897440321</v>
      </c>
      <c r="M225" s="45" t="n">
        <f aca="false">IF(AND(ISNUMBER($G225),$G225&gt;=60),MAX(INDEX($D$25:$D225,202-60):$D225),"")</f>
        <v>874852</v>
      </c>
      <c r="N225" s="45" t="n">
        <f aca="false">IF(AND(ISNUMBER($G225),$G225&gt;=60),MIN(INDEX($E$25:$E225,202-60):$E225),"")</f>
        <v>824331</v>
      </c>
      <c r="O225" s="46" t="n">
        <f aca="false">IF(OR(NOT(ISNUMBER($C225)),NOT(ISNUMBER($M225)),$M225=0),"",$C225/$M225-1)</f>
        <v>-0.0255014562463136</v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847728</v>
      </c>
      <c r="D226" s="42" t="n">
        <v>847837</v>
      </c>
      <c r="E226" s="42" t="n">
        <v>843846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-0.00564664262875025</v>
      </c>
      <c r="I226" s="45" t="n">
        <f aca="false">IF(AND(ISNUMBER($G226),$G226&gt;=MA_SHORT),AVERAGE(INDEX($C$5:$C226,223-MA_SHORT):$C226),"")</f>
        <v>837695.25</v>
      </c>
      <c r="J226" s="45" t="n">
        <f aca="false">IF(AND(ISNUMBER($G226),$G226&gt;=MA_MED),AVERAGE(INDEX($C$5:$C226,223-MA_MED):$C226),"")</f>
        <v>850503.38</v>
      </c>
      <c r="K226" s="45" t="n">
        <f aca="false">IF(AND(ISNUMBER($G226),$G226&gt;=MA_LONG2),AVERAGE(INDEX($C$5:$C226,223-MA_LONG2):$C226),"")</f>
        <v>807718.11</v>
      </c>
      <c r="L226" s="46" t="n">
        <f aca="false">IF(AND(ISNUMBER($G226),$G226&gt;=21),STDEV(INDEX($H$166:$H226,62-20):$H226)*SQRT(245),"")</f>
        <v>0.172852554724056</v>
      </c>
      <c r="M226" s="45" t="n">
        <f aca="false">IF(AND(ISNUMBER($G226),$G226&gt;=60),MAX(INDEX($D$26:$D226,202-60):$D226),"")</f>
        <v>874852</v>
      </c>
      <c r="N226" s="45" t="n">
        <f aca="false">IF(AND(ISNUMBER($G226),$G226&gt;=60),MIN(INDEX($E$26:$E226,202-60):$E226),"")</f>
        <v>824331</v>
      </c>
      <c r="O226" s="46" t="n">
        <f aca="false">IF(OR(NOT(ISNUMBER($C226)),NOT(ISNUMBER($M226)),$M226=0),"",$C226/$M226-1)</f>
        <v>-0.0310041012651283</v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846920</v>
      </c>
      <c r="D227" s="42" t="n">
        <v>849403</v>
      </c>
      <c r="E227" s="42" t="n">
        <v>844229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-0.000953135911518799</v>
      </c>
      <c r="I227" s="45" t="n">
        <f aca="false">IF(AND(ISNUMBER($G227),$G227&gt;=MA_SHORT),AVERAGE(INDEX($C$5:$C227,224-MA_SHORT):$C227),"")</f>
        <v>838436.75</v>
      </c>
      <c r="J227" s="45" t="n">
        <f aca="false">IF(AND(ISNUMBER($G227),$G227&gt;=MA_MED),AVERAGE(INDEX($C$5:$C227,224-MA_MED):$C227),"")</f>
        <v>850334.74</v>
      </c>
      <c r="K227" s="45" t="n">
        <f aca="false">IF(AND(ISNUMBER($G227),$G227&gt;=MA_LONG2),AVERAGE(INDEX($C$5:$C227,224-MA_LONG2):$C227),"")</f>
        <v>808218.25</v>
      </c>
      <c r="L227" s="46" t="n">
        <f aca="false">IF(AND(ISNUMBER($G227),$G227&gt;=21),STDEV(INDEX($H$167:$H227,62-20):$H227)*SQRT(245),"")</f>
        <v>0.172430918741639</v>
      </c>
      <c r="M227" s="45" t="n">
        <f aca="false">IF(AND(ISNUMBER($G227),$G227&gt;=60),MAX(INDEX($D$27:$D227,202-60):$D227),"")</f>
        <v>874852</v>
      </c>
      <c r="N227" s="45" t="n">
        <f aca="false">IF(AND(ISNUMBER($G227),$G227&gt;=60),MIN(INDEX($E$27:$E227,202-60):$E227),"")</f>
        <v>824331</v>
      </c>
      <c r="O227" s="46" t="n">
        <f aca="false">IF(OR(NOT(ISNUMBER($C227)),NOT(ISNUMBER($M227)),$M227=0),"",$C227/$M227-1)</f>
        <v>-0.0319276860543269</v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841833</v>
      </c>
      <c r="D228" s="42" t="n">
        <v>842490</v>
      </c>
      <c r="E228" s="42" t="n">
        <v>839414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-0.00600647050488834</v>
      </c>
      <c r="I228" s="45" t="n">
        <f aca="false">IF(AND(ISNUMBER($G228),$G228&gt;=MA_SHORT),AVERAGE(INDEX($C$5:$C228,225-MA_SHORT):$C228),"")</f>
        <v>838924.65</v>
      </c>
      <c r="J228" s="45" t="n">
        <f aca="false">IF(AND(ISNUMBER($G228),$G228&gt;=MA_MED),AVERAGE(INDEX($C$5:$C228,225-MA_MED):$C228),"")</f>
        <v>849994.02</v>
      </c>
      <c r="K228" s="45" t="n">
        <f aca="false">IF(AND(ISNUMBER($G228),$G228&gt;=MA_LONG2),AVERAGE(INDEX($C$5:$C228,225-MA_LONG2):$C228),"")</f>
        <v>808706.05</v>
      </c>
      <c r="L228" s="46" t="n">
        <f aca="false">IF(AND(ISNUMBER($G228),$G228&gt;=21),STDEV(INDEX($H$168:$H228,62-20):$H228)*SQRT(245),"")</f>
        <v>0.174125646357741</v>
      </c>
      <c r="M228" s="45" t="n">
        <f aca="false">IF(AND(ISNUMBER($G228),$G228&gt;=60),MAX(INDEX($D$28:$D228,202-60):$D228),"")</f>
        <v>874852</v>
      </c>
      <c r="N228" s="45" t="n">
        <f aca="false">IF(AND(ISNUMBER($G228),$G228&gt;=60),MIN(INDEX($E$28:$E228,202-60):$E228),"")</f>
        <v>824331</v>
      </c>
      <c r="O228" s="46" t="n">
        <f aca="false">IF(OR(NOT(ISNUMBER($C228)),NOT(ISNUMBER($M228)),$M228=0),"",$C228/$M228-1)</f>
        <v>-0.0377423838546406</v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842287</v>
      </c>
      <c r="D229" s="42" t="n">
        <v>845590</v>
      </c>
      <c r="E229" s="42" t="n">
        <v>839921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0.000539299362225076</v>
      </c>
      <c r="I229" s="45" t="n">
        <f aca="false">IF(AND(ISNUMBER($G229),$G229&gt;=MA_SHORT),AVERAGE(INDEX($C$5:$C229,226-MA_SHORT):$C229),"")</f>
        <v>839372.2</v>
      </c>
      <c r="J229" s="45" t="n">
        <f aca="false">IF(AND(ISNUMBER($G229),$G229&gt;=MA_MED),AVERAGE(INDEX($C$5:$C229,226-MA_MED):$C229),"")</f>
        <v>849745.2</v>
      </c>
      <c r="K229" s="45" t="n">
        <f aca="false">IF(AND(ISNUMBER($G229),$G229&gt;=MA_LONG2),AVERAGE(INDEX($C$5:$C229,226-MA_LONG2):$C229),"")</f>
        <v>809211.84</v>
      </c>
      <c r="L229" s="46" t="n">
        <f aca="false">IF(AND(ISNUMBER($G229),$G229&gt;=21),STDEV(INDEX($H$169:$H229,62-20):$H229)*SQRT(245),"")</f>
        <v>0.174095944201061</v>
      </c>
      <c r="M229" s="45" t="n">
        <f aca="false">IF(AND(ISNUMBER($G229),$G229&gt;=60),MAX(INDEX($D$29:$D229,202-60):$D229),"")</f>
        <v>874852</v>
      </c>
      <c r="N229" s="45" t="n">
        <f aca="false">IF(AND(ISNUMBER($G229),$G229&gt;=60),MIN(INDEX($E$29:$E229,202-60):$E229),"")</f>
        <v>824331</v>
      </c>
      <c r="O229" s="46" t="n">
        <f aca="false">IF(OR(NOT(ISNUMBER($C229)),NOT(ISNUMBER($M229)),$M229=0),"",$C229/$M229-1)</f>
        <v>-0.0372234389359571</v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841578</v>
      </c>
      <c r="D230" s="42" t="n">
        <v>842073</v>
      </c>
      <c r="E230" s="42" t="n">
        <v>838686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-0.000841755838568048</v>
      </c>
      <c r="I230" s="45" t="n">
        <f aca="false">IF(AND(ISNUMBER($G230),$G230&gt;=MA_SHORT),AVERAGE(INDEX($C$5:$C230,227-MA_SHORT):$C230),"")</f>
        <v>839779.8</v>
      </c>
      <c r="J230" s="45" t="n">
        <f aca="false">IF(AND(ISNUMBER($G230),$G230&gt;=MA_MED),AVERAGE(INDEX($C$5:$C230,227-MA_MED):$C230),"")</f>
        <v>849538.74</v>
      </c>
      <c r="K230" s="45" t="n">
        <f aca="false">IF(AND(ISNUMBER($G230),$G230&gt;=MA_LONG2),AVERAGE(INDEX($C$5:$C230,227-MA_LONG2):$C230),"")</f>
        <v>809719.22</v>
      </c>
      <c r="L230" s="46" t="n">
        <f aca="false">IF(AND(ISNUMBER($G230),$G230&gt;=21),STDEV(INDEX($H$170:$H230,62-20):$H230)*SQRT(245),"")</f>
        <v>0.174161725008329</v>
      </c>
      <c r="M230" s="45" t="n">
        <f aca="false">IF(AND(ISNUMBER($G230),$G230&gt;=60),MAX(INDEX($D$30:$D230,202-60):$D230),"")</f>
        <v>874852</v>
      </c>
      <c r="N230" s="45" t="n">
        <f aca="false">IF(AND(ISNUMBER($G230),$G230&gt;=60),MIN(INDEX($E$30:$E230,202-60):$E230),"")</f>
        <v>824331</v>
      </c>
      <c r="O230" s="46" t="n">
        <f aca="false">IF(OR(NOT(ISNUMBER($C230)),NOT(ISNUMBER($M230)),$M230=0),"",$C230/$M230-1)</f>
        <v>-0.0380338617274694</v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843383</v>
      </c>
      <c r="D231" s="42" t="n">
        <v>844736</v>
      </c>
      <c r="E231" s="42" t="n">
        <v>839463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0.00214478040062827</v>
      </c>
      <c r="I231" s="45" t="n">
        <f aca="false">IF(AND(ISNUMBER($G231),$G231&gt;=MA_SHORT),AVERAGE(INDEX($C$5:$C231,228-MA_SHORT):$C231),"")</f>
        <v>840643.4</v>
      </c>
      <c r="J231" s="45" t="n">
        <f aca="false">IF(AND(ISNUMBER($G231),$G231&gt;=MA_MED),AVERAGE(INDEX($C$5:$C231,228-MA_MED):$C231),"")</f>
        <v>849271.5</v>
      </c>
      <c r="K231" s="45" t="n">
        <f aca="false">IF(AND(ISNUMBER($G231),$G231&gt;=MA_LONG2),AVERAGE(INDEX($C$5:$C231,228-MA_LONG2):$C231),"")</f>
        <v>810222.51</v>
      </c>
      <c r="L231" s="46" t="n">
        <f aca="false">IF(AND(ISNUMBER($G231),$G231&gt;=21),STDEV(INDEX($H$171:$H231,62-20):$H231)*SQRT(245),"")</f>
        <v>0.170786239407055</v>
      </c>
      <c r="M231" s="45" t="n">
        <f aca="false">IF(AND(ISNUMBER($G231),$G231&gt;=60),MAX(INDEX($D$31:$D231,202-60):$D231),"")</f>
        <v>874852</v>
      </c>
      <c r="N231" s="45" t="n">
        <f aca="false">IF(AND(ISNUMBER($G231),$G231&gt;=60),MIN(INDEX($E$31:$E231,202-60):$E231),"")</f>
        <v>824331</v>
      </c>
      <c r="O231" s="46" t="n">
        <f aca="false">IF(OR(NOT(ISNUMBER($C231)),NOT(ISNUMBER($M231)),$M231=0),"",$C231/$M231-1)</f>
        <v>-0.0359706556080343</v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838960</v>
      </c>
      <c r="D232" s="42" t="n">
        <v>841321</v>
      </c>
      <c r="E232" s="42" t="n">
        <v>835027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-0.00524435517433952</v>
      </c>
      <c r="I232" s="45" t="n">
        <f aca="false">IF(AND(ISNUMBER($G232),$G232&gt;=MA_SHORT),AVERAGE(INDEX($C$5:$C232,229-MA_SHORT):$C232),"")</f>
        <v>841204.35</v>
      </c>
      <c r="J232" s="45" t="n">
        <f aca="false">IF(AND(ISNUMBER($G232),$G232&gt;=MA_MED),AVERAGE(INDEX($C$5:$C232,229-MA_MED):$C232),"")</f>
        <v>848925.16</v>
      </c>
      <c r="K232" s="45" t="n">
        <f aca="false">IF(AND(ISNUMBER($G232),$G232&gt;=MA_LONG2),AVERAGE(INDEX($C$5:$C232,229-MA_LONG2):$C232),"")</f>
        <v>810691.09</v>
      </c>
      <c r="L232" s="46" t="n">
        <f aca="false">IF(AND(ISNUMBER($G232),$G232&gt;=21),STDEV(INDEX($H$172:$H232,62-20):$H232)*SQRT(245),"")</f>
        <v>0.172168022507437</v>
      </c>
      <c r="M232" s="45" t="n">
        <f aca="false">IF(AND(ISNUMBER($G232),$G232&gt;=60),MAX(INDEX($D$32:$D232,202-60):$D232),"")</f>
        <v>874852</v>
      </c>
      <c r="N232" s="45" t="n">
        <f aca="false">IF(AND(ISNUMBER($G232),$G232&gt;=60),MIN(INDEX($E$32:$E232,202-60):$E232),"")</f>
        <v>824331</v>
      </c>
      <c r="O232" s="46" t="n">
        <f aca="false">IF(OR(NOT(ISNUMBER($C232)),NOT(ISNUMBER($M232)),$M232=0),"",$C232/$M232-1)</f>
        <v>-0.0410263678885114</v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839418</v>
      </c>
      <c r="D233" s="42" t="n">
        <v>844087</v>
      </c>
      <c r="E233" s="42" t="n">
        <v>838804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0.000545913988748037</v>
      </c>
      <c r="I233" s="45" t="n">
        <f aca="false">IF(AND(ISNUMBER($G233),$G233&gt;=MA_SHORT),AVERAGE(INDEX($C$5:$C233,230-MA_SHORT):$C233),"")</f>
        <v>841743.75</v>
      </c>
      <c r="J233" s="45" t="n">
        <f aca="false">IF(AND(ISNUMBER($G233),$G233&gt;=MA_MED),AVERAGE(INDEX($C$5:$C233,230-MA_MED):$C233),"")</f>
        <v>848467</v>
      </c>
      <c r="K233" s="45" t="n">
        <f aca="false">IF(AND(ISNUMBER($G233),$G233&gt;=MA_LONG2),AVERAGE(INDEX($C$5:$C233,230-MA_LONG2):$C233),"")</f>
        <v>811166.16</v>
      </c>
      <c r="L233" s="46" t="n">
        <f aca="false">IF(AND(ISNUMBER($G233),$G233&gt;=21),STDEV(INDEX($H$173:$H233,62-20):$H233)*SQRT(245),"")</f>
        <v>0.172164333073277</v>
      </c>
      <c r="M233" s="45" t="n">
        <f aca="false">IF(AND(ISNUMBER($G233),$G233&gt;=60),MAX(INDEX($D$33:$D233,202-60):$D233),"")</f>
        <v>874852</v>
      </c>
      <c r="N233" s="45" t="n">
        <f aca="false">IF(AND(ISNUMBER($G233),$G233&gt;=60),MIN(INDEX($E$33:$E233,202-60):$E233),"")</f>
        <v>824331</v>
      </c>
      <c r="O233" s="46" t="n">
        <f aca="false">IF(OR(NOT(ISNUMBER($C233)),NOT(ISNUMBER($M233)),$M233=0),"",$C233/$M233-1)</f>
        <v>-0.0405028507679013</v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844358</v>
      </c>
      <c r="D234" s="42" t="n">
        <v>846661</v>
      </c>
      <c r="E234" s="42" t="n">
        <v>841982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0.00588502986593098</v>
      </c>
      <c r="I234" s="45" t="n">
        <f aca="false">IF(AND(ISNUMBER($G234),$G234&gt;=MA_SHORT),AVERAGE(INDEX($C$5:$C234,231-MA_SHORT):$C234),"")</f>
        <v>842431.95</v>
      </c>
      <c r="J234" s="45" t="n">
        <f aca="false">IF(AND(ISNUMBER($G234),$G234&gt;=MA_MED),AVERAGE(INDEX($C$5:$C234,231-MA_MED):$C234),"")</f>
        <v>848164.42</v>
      </c>
      <c r="K234" s="45" t="n">
        <f aca="false">IF(AND(ISNUMBER($G234),$G234&gt;=MA_LONG2),AVERAGE(INDEX($C$5:$C234,231-MA_LONG2):$C234),"")</f>
        <v>811664.26</v>
      </c>
      <c r="L234" s="46" t="n">
        <f aca="false">IF(AND(ISNUMBER($G234),$G234&gt;=21),STDEV(INDEX($H$174:$H234,62-20):$H234)*SQRT(245),"")</f>
        <v>0.173040389016339</v>
      </c>
      <c r="M234" s="45" t="n">
        <f aca="false">IF(AND(ISNUMBER($G234),$G234&gt;=60),MAX(INDEX($D$34:$D234,202-60):$D234),"")</f>
        <v>874852</v>
      </c>
      <c r="N234" s="45" t="n">
        <f aca="false">IF(AND(ISNUMBER($G234),$G234&gt;=60),MIN(INDEX($E$34:$E234,202-60):$E234),"")</f>
        <v>824331</v>
      </c>
      <c r="O234" s="46" t="n">
        <f aca="false">IF(OR(NOT(ISNUMBER($C234)),NOT(ISNUMBER($M234)),$M234=0),"",$C234/$M234-1)</f>
        <v>-0.0348561813883949</v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847862</v>
      </c>
      <c r="D235" s="42" t="n">
        <v>850579</v>
      </c>
      <c r="E235" s="42" t="n">
        <v>846111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0.0041498985027677</v>
      </c>
      <c r="I235" s="45" t="n">
        <f aca="false">IF(AND(ISNUMBER($G235),$G235&gt;=MA_SHORT),AVERAGE(INDEX($C$5:$C235,232-MA_SHORT):$C235),"")</f>
        <v>843373.9</v>
      </c>
      <c r="J235" s="45" t="n">
        <f aca="false">IF(AND(ISNUMBER($G235),$G235&gt;=MA_MED),AVERAGE(INDEX($C$5:$C235,232-MA_MED):$C235),"")</f>
        <v>847964.12</v>
      </c>
      <c r="K235" s="45" t="n">
        <f aca="false">IF(AND(ISNUMBER($G235),$G235&gt;=MA_LONG2),AVERAGE(INDEX($C$5:$C235,232-MA_LONG2):$C235),"")</f>
        <v>812196.535</v>
      </c>
      <c r="L235" s="46" t="n">
        <f aca="false">IF(AND(ISNUMBER($G235),$G235&gt;=21),STDEV(INDEX($H$175:$H235,62-20):$H235)*SQRT(245),"")</f>
        <v>0.173084945725973</v>
      </c>
      <c r="M235" s="45" t="n">
        <f aca="false">IF(AND(ISNUMBER($G235),$G235&gt;=60),MAX(INDEX($D$35:$D235,202-60):$D235),"")</f>
        <v>874852</v>
      </c>
      <c r="N235" s="45" t="n">
        <f aca="false">IF(AND(ISNUMBER($G235),$G235&gt;=60),MIN(INDEX($E$35:$E235,202-60):$E235),"")</f>
        <v>824331</v>
      </c>
      <c r="O235" s="46" t="n">
        <f aca="false">IF(OR(NOT(ISNUMBER($C235)),NOT(ISNUMBER($M235)),$M235=0),"",$C235/$M235-1)</f>
        <v>-0.0308509325005829</v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847273</v>
      </c>
      <c r="D236" s="42" t="n">
        <v>850202</v>
      </c>
      <c r="E236" s="42" t="n">
        <v>845832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-0.000694688522424602</v>
      </c>
      <c r="I236" s="45" t="n">
        <f aca="false">IF(AND(ISNUMBER($G236),$G236&gt;=MA_SHORT),AVERAGE(INDEX($C$5:$C236,233-MA_SHORT):$C236),"")</f>
        <v>844176.35</v>
      </c>
      <c r="J236" s="45" t="n">
        <f aca="false">IF(AND(ISNUMBER($G236),$G236&gt;=MA_MED),AVERAGE(INDEX($C$5:$C236,233-MA_MED):$C236),"")</f>
        <v>847837.3</v>
      </c>
      <c r="K236" s="45" t="n">
        <f aca="false">IF(AND(ISNUMBER($G236),$G236&gt;=MA_LONG2),AVERAGE(INDEX($C$5:$C236,233-MA_LONG2):$C236),"")</f>
        <v>812745.405</v>
      </c>
      <c r="L236" s="46" t="n">
        <f aca="false">IF(AND(ISNUMBER($G236),$G236&gt;=21),STDEV(INDEX($H$176:$H236,62-20):$H236)*SQRT(245),"")</f>
        <v>0.173114246132217</v>
      </c>
      <c r="M236" s="45" t="n">
        <f aca="false">IF(AND(ISNUMBER($G236),$G236&gt;=60),MAX(INDEX($D$36:$D236,202-60):$D236),"")</f>
        <v>874852</v>
      </c>
      <c r="N236" s="45" t="n">
        <f aca="false">IF(AND(ISNUMBER($G236),$G236&gt;=60),MIN(INDEX($E$36:$E236,202-60):$E236),"")</f>
        <v>824331</v>
      </c>
      <c r="O236" s="46" t="n">
        <f aca="false">IF(OR(NOT(ISNUMBER($C236)),NOT(ISNUMBER($M236)),$M236=0),"",$C236/$M236-1)</f>
        <v>-0.0315241892342933</v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850364</v>
      </c>
      <c r="D237" s="42" t="n">
        <v>854021</v>
      </c>
      <c r="E237" s="42" t="n">
        <v>849808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0.00364817479136015</v>
      </c>
      <c r="I237" s="45" t="n">
        <f aca="false">IF(AND(ISNUMBER($G237),$G237&gt;=MA_SHORT),AVERAGE(INDEX($C$5:$C237,234-MA_SHORT):$C237),"")</f>
        <v>845047.5</v>
      </c>
      <c r="J237" s="45" t="n">
        <f aca="false">IF(AND(ISNUMBER($G237),$G237&gt;=MA_MED),AVERAGE(INDEX($C$5:$C237,234-MA_MED):$C237),"")</f>
        <v>847766.8</v>
      </c>
      <c r="K237" s="45" t="n">
        <f aca="false">IF(AND(ISNUMBER($G237),$G237&gt;=MA_LONG2),AVERAGE(INDEX($C$5:$C237,234-MA_LONG2):$C237),"")</f>
        <v>813305.02</v>
      </c>
      <c r="L237" s="46" t="n">
        <f aca="false">IF(AND(ISNUMBER($G237),$G237&gt;=21),STDEV(INDEX($H$177:$H237,62-20):$H237)*SQRT(245),"")</f>
        <v>0.173326714046013</v>
      </c>
      <c r="M237" s="45" t="n">
        <f aca="false">IF(AND(ISNUMBER($G237),$G237&gt;=60),MAX(INDEX($D$37:$D237,202-60):$D237),"")</f>
        <v>874852</v>
      </c>
      <c r="N237" s="45" t="n">
        <f aca="false">IF(AND(ISNUMBER($G237),$G237&gt;=60),MIN(INDEX($E$37:$E237,202-60):$E237),"")</f>
        <v>824331</v>
      </c>
      <c r="O237" s="46" t="n">
        <f aca="false">IF(OR(NOT(ISNUMBER($C237)),NOT(ISNUMBER($M237)),$M237=0),"",$C237/$M237-1)</f>
        <v>-0.0279910201954159</v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847817</v>
      </c>
      <c r="D238" s="42" t="n">
        <v>848498</v>
      </c>
      <c r="E238" s="42" t="n">
        <v>845969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-0.00299518794304554</v>
      </c>
      <c r="I238" s="45" t="n">
        <f aca="false">IF(AND(ISNUMBER($G238),$G238&gt;=MA_SHORT),AVERAGE(INDEX($C$5:$C238,235-MA_SHORT):$C238),"")</f>
        <v>845785.6</v>
      </c>
      <c r="J238" s="45" t="n">
        <f aca="false">IF(AND(ISNUMBER($G238),$G238&gt;=MA_MED),AVERAGE(INDEX($C$5:$C238,235-MA_MED):$C238),"")</f>
        <v>847593.7</v>
      </c>
      <c r="K238" s="45" t="n">
        <f aca="false">IF(AND(ISNUMBER($G238),$G238&gt;=MA_LONG2),AVERAGE(INDEX($C$5:$C238,235-MA_LONG2):$C238),"")</f>
        <v>813859.37</v>
      </c>
      <c r="L238" s="46" t="n">
        <f aca="false">IF(AND(ISNUMBER($G238),$G238&gt;=21),STDEV(INDEX($H$178:$H238,62-20):$H238)*SQRT(245),"")</f>
        <v>0.173895212153852</v>
      </c>
      <c r="M238" s="45" t="n">
        <f aca="false">IF(AND(ISNUMBER($G238),$G238&gt;=60),MAX(INDEX($D$38:$D238,202-60):$D238),"")</f>
        <v>874852</v>
      </c>
      <c r="N238" s="45" t="n">
        <f aca="false">IF(AND(ISNUMBER($G238),$G238&gt;=60),MIN(INDEX($E$38:$E238,202-60):$E238),"")</f>
        <v>824331</v>
      </c>
      <c r="O238" s="46" t="n">
        <f aca="false">IF(OR(NOT(ISNUMBER($C238)),NOT(ISNUMBER($M238)),$M238=0),"",$C238/$M238-1)</f>
        <v>-0.0309023697722586</v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847980</v>
      </c>
      <c r="D239" s="42" t="n">
        <v>848102</v>
      </c>
      <c r="E239" s="42" t="n">
        <v>842921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0.000192258470872897</v>
      </c>
      <c r="I239" s="45" t="n">
        <f aca="false">IF(AND(ISNUMBER($G239),$G239&gt;=MA_SHORT),AVERAGE(INDEX($C$5:$C239,236-MA_SHORT):$C239),"")</f>
        <v>846478.4</v>
      </c>
      <c r="J239" s="45" t="n">
        <f aca="false">IF(AND(ISNUMBER($G239),$G239&gt;=MA_MED),AVERAGE(INDEX($C$5:$C239,236-MA_MED):$C239),"")</f>
        <v>847469.7</v>
      </c>
      <c r="K239" s="45" t="n">
        <f aca="false">IF(AND(ISNUMBER($G239),$G239&gt;=MA_LONG2),AVERAGE(INDEX($C$5:$C239,236-MA_LONG2):$C239),"")</f>
        <v>814417.745</v>
      </c>
      <c r="L239" s="46" t="n">
        <f aca="false">IF(AND(ISNUMBER($G239),$G239&gt;=21),STDEV(INDEX($H$179:$H239,62-20):$H239)*SQRT(245),"")</f>
        <v>0.17390907052518</v>
      </c>
      <c r="M239" s="45" t="n">
        <f aca="false">IF(AND(ISNUMBER($G239),$G239&gt;=60),MAX(INDEX($D$39:$D239,202-60):$D239),"")</f>
        <v>874852</v>
      </c>
      <c r="N239" s="45" t="n">
        <f aca="false">IF(AND(ISNUMBER($G239),$G239&gt;=60),MIN(INDEX($E$39:$E239,202-60):$E239),"")</f>
        <v>824331</v>
      </c>
      <c r="O239" s="46" t="n">
        <f aca="false">IF(OR(NOT(ISNUMBER($C239)),NOT(ISNUMBER($M239)),$M239=0),"",$C239/$M239-1)</f>
        <v>-0.0307160525437445</v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845482</v>
      </c>
      <c r="D240" s="42" t="n">
        <v>846609</v>
      </c>
      <c r="E240" s="42" t="n">
        <v>843777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-0.00294582419396683</v>
      </c>
      <c r="I240" s="45" t="n">
        <f aca="false">IF(AND(ISNUMBER($G240),$G240&gt;=MA_SHORT),AVERAGE(INDEX($C$5:$C240,237-MA_SHORT):$C240),"")</f>
        <v>847220.65</v>
      </c>
      <c r="J240" s="45" t="n">
        <f aca="false">IF(AND(ISNUMBER($G240),$G240&gt;=MA_MED),AVERAGE(INDEX($C$5:$C240,237-MA_MED):$C240),"")</f>
        <v>847298.4</v>
      </c>
      <c r="K240" s="45" t="n">
        <f aca="false">IF(AND(ISNUMBER($G240),$G240&gt;=MA_LONG2),AVERAGE(INDEX($C$5:$C240,237-MA_LONG2):$C240),"")</f>
        <v>814995.585</v>
      </c>
      <c r="L240" s="46" t="n">
        <f aca="false">IF(AND(ISNUMBER($G240),$G240&gt;=21),STDEV(INDEX($H$180:$H240,62-20):$H240)*SQRT(245),"")</f>
        <v>0.17349886569847</v>
      </c>
      <c r="M240" s="45" t="n">
        <f aca="false">IF(AND(ISNUMBER($G240),$G240&gt;=60),MAX(INDEX($D$40:$D240,202-60):$D240),"")</f>
        <v>874852</v>
      </c>
      <c r="N240" s="45" t="n">
        <f aca="false">IF(AND(ISNUMBER($G240),$G240&gt;=60),MIN(INDEX($E$40:$E240,202-60):$E240),"")</f>
        <v>824331</v>
      </c>
      <c r="O240" s="46" t="n">
        <f aca="false">IF(OR(NOT(ISNUMBER($C240)),NOT(ISNUMBER($M240)),$M240=0),"",$C240/$M240-1)</f>
        <v>-0.0335713926469848</v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840611</v>
      </c>
      <c r="D241" s="42" t="n">
        <v>843005</v>
      </c>
      <c r="E241" s="42" t="n">
        <v>833092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-0.00576121076498382</v>
      </c>
      <c r="I241" s="45" t="n">
        <f aca="false">IF(AND(ISNUMBER($G241),$G241&gt;=MA_SHORT),AVERAGE(INDEX($C$5:$C241,238-MA_SHORT):$C241),"")</f>
        <v>846007.55</v>
      </c>
      <c r="J241" s="45" t="n">
        <f aca="false">IF(AND(ISNUMBER($G241),$G241&gt;=MA_MED),AVERAGE(INDEX($C$5:$C241,238-MA_MED):$C241),"")</f>
        <v>847017.96</v>
      </c>
      <c r="K241" s="45" t="n">
        <f aca="false">IF(AND(ISNUMBER($G241),$G241&gt;=MA_LONG2),AVERAGE(INDEX($C$5:$C241,238-MA_LONG2):$C241),"")</f>
        <v>815545.855</v>
      </c>
      <c r="L241" s="46" t="n">
        <f aca="false">IF(AND(ISNUMBER($G241),$G241&gt;=21),STDEV(INDEX($H$181:$H241,62-20):$H241)*SQRT(245),"")</f>
        <v>0.091347857467837</v>
      </c>
      <c r="M241" s="45" t="n">
        <f aca="false">IF(AND(ISNUMBER($G241),$G241&gt;=60),MAX(INDEX($D$41:$D241,202-60):$D241),"")</f>
        <v>874852</v>
      </c>
      <c r="N241" s="45" t="n">
        <f aca="false">IF(AND(ISNUMBER($G241),$G241&gt;=60),MIN(INDEX($E$41:$E241,202-60):$E241),"")</f>
        <v>824331</v>
      </c>
      <c r="O241" s="46" t="n">
        <f aca="false">IF(OR(NOT(ISNUMBER($C241)),NOT(ISNUMBER($M241)),$M241=0),"",$C241/$M241-1)</f>
        <v>-0.0391391915432553</v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839476</v>
      </c>
      <c r="D242" s="42" t="n">
        <v>840559</v>
      </c>
      <c r="E242" s="42" t="n">
        <v>836942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-0.00135020836034738</v>
      </c>
      <c r="I242" s="45" t="n">
        <f aca="false">IF(AND(ISNUMBER($G242),$G242&gt;=MA_SHORT),AVERAGE(INDEX($C$5:$C242,239-MA_SHORT):$C242),"")</f>
        <v>844898.35</v>
      </c>
      <c r="J242" s="45" t="n">
        <f aca="false">IF(AND(ISNUMBER($G242),$G242&gt;=MA_MED),AVERAGE(INDEX($C$5:$C242,239-MA_MED):$C242),"")</f>
        <v>846544.62</v>
      </c>
      <c r="K242" s="45" t="n">
        <f aca="false">IF(AND(ISNUMBER($G242),$G242&gt;=MA_LONG2),AVERAGE(INDEX($C$5:$C242,239-MA_LONG2):$C242),"")</f>
        <v>816067.435</v>
      </c>
      <c r="L242" s="46" t="n">
        <f aca="false">IF(AND(ISNUMBER($G242),$G242&gt;=21),STDEV(INDEX($H$182:$H242,62-20):$H242)*SQRT(245),"")</f>
        <v>0.0909509745001597</v>
      </c>
      <c r="M242" s="45" t="n">
        <f aca="false">IF(AND(ISNUMBER($G242),$G242&gt;=60),MAX(INDEX($D$42:$D242,202-60):$D242),"")</f>
        <v>874852</v>
      </c>
      <c r="N242" s="45" t="n">
        <f aca="false">IF(AND(ISNUMBER($G242),$G242&gt;=60),MIN(INDEX($E$42:$E242,202-60):$E242),"")</f>
        <v>824331</v>
      </c>
      <c r="O242" s="46" t="n">
        <f aca="false">IF(OR(NOT(ISNUMBER($C242)),NOT(ISNUMBER($M242)),$M242=0),"",$C242/$M242-1)</f>
        <v>-0.0404365538399638</v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839595</v>
      </c>
      <c r="D243" s="42" t="n">
        <v>840202</v>
      </c>
      <c r="E243" s="42" t="n">
        <v>839283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0.00014175509484482</v>
      </c>
      <c r="I243" s="45" t="n">
        <f aca="false">IF(AND(ISNUMBER($G243),$G243&gt;=MA_SHORT),AVERAGE(INDEX($C$5:$C243,240-MA_SHORT):$C243),"")</f>
        <v>844662.75</v>
      </c>
      <c r="J243" s="45" t="n">
        <f aca="false">IF(AND(ISNUMBER($G243),$G243&gt;=MA_MED),AVERAGE(INDEX($C$5:$C243,240-MA_MED):$C243),"")</f>
        <v>846073.44</v>
      </c>
      <c r="K243" s="45" t="n">
        <f aca="false">IF(AND(ISNUMBER($G243),$G243&gt;=MA_LONG2),AVERAGE(INDEX($C$5:$C243,240-MA_LONG2):$C243),"")</f>
        <v>816585.99</v>
      </c>
      <c r="L243" s="46" t="n">
        <f aca="false">IF(AND(ISNUMBER($G243),$G243&gt;=21),STDEV(INDEX($H$183:$H243,62-20):$H243)*SQRT(245),"")</f>
        <v>0.0587410200280201</v>
      </c>
      <c r="M243" s="45" t="n">
        <f aca="false">IF(AND(ISNUMBER($G243),$G243&gt;=60),MAX(INDEX($D$43:$D243,202-60):$D243),"")</f>
        <v>874852</v>
      </c>
      <c r="N243" s="45" t="n">
        <f aca="false">IF(AND(ISNUMBER($G243),$G243&gt;=60),MIN(INDEX($E$43:$E243,202-60):$E243),"")</f>
        <v>824331</v>
      </c>
      <c r="O243" s="46" t="n">
        <f aca="false">IF(OR(NOT(ISNUMBER($C243)),NOT(ISNUMBER($M243)),$M243=0),"",$C243/$M243-1)</f>
        <v>-0.0403005308326437</v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844583</v>
      </c>
      <c r="D244" s="42" t="n">
        <v>844957</v>
      </c>
      <c r="E244" s="42" t="n">
        <v>844520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0.00594095962934516</v>
      </c>
      <c r="I244" s="45" t="n">
        <f aca="false">IF(AND(ISNUMBER($G244),$G244&gt;=MA_SHORT),AVERAGE(INDEX($C$5:$C244,241-MA_SHORT):$C244),"")</f>
        <v>844502.5</v>
      </c>
      <c r="J244" s="45" t="n">
        <f aca="false">IF(AND(ISNUMBER($G244),$G244&gt;=MA_MED),AVERAGE(INDEX($C$5:$C244,241-MA_MED):$C244),"")</f>
        <v>845665.06</v>
      </c>
      <c r="K244" s="45" t="n">
        <f aca="false">IF(AND(ISNUMBER($G244),$G244&gt;=MA_LONG2),AVERAGE(INDEX($C$5:$C244,241-MA_LONG2):$C244),"")</f>
        <v>817143.725</v>
      </c>
      <c r="L244" s="46" t="n">
        <f aca="false">IF(AND(ISNUMBER($G244),$G244&gt;=21),STDEV(INDEX($H$184:$H244,62-20):$H244)*SQRT(245),"")</f>
        <v>0.0608038747857906</v>
      </c>
      <c r="M244" s="45" t="n">
        <f aca="false">IF(AND(ISNUMBER($G244),$G244&gt;=60),MAX(INDEX($D$44:$D244,202-60):$D244),"")</f>
        <v>874852</v>
      </c>
      <c r="N244" s="45" t="n">
        <f aca="false">IF(AND(ISNUMBER($G244),$G244&gt;=60),MIN(INDEX($E$44:$E244,202-60):$E244),"")</f>
        <v>824331</v>
      </c>
      <c r="O244" s="46" t="n">
        <f aca="false">IF(OR(NOT(ISNUMBER($C244)),NOT(ISNUMBER($M244)),$M244=0),"",$C244/$M244-1)</f>
        <v>-0.0345989950300165</v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841458</v>
      </c>
      <c r="D245" s="42" t="n">
        <v>845911</v>
      </c>
      <c r="E245" s="42" t="n">
        <v>841124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-0.00370005079429725</v>
      </c>
      <c r="I245" s="45" t="n">
        <f aca="false">IF(AND(ISNUMBER($G245),$G245&gt;=MA_SHORT),AVERAGE(INDEX($C$5:$C245,242-MA_SHORT):$C245),"")</f>
        <v>843948.3</v>
      </c>
      <c r="J245" s="45" t="n">
        <f aca="false">IF(AND(ISNUMBER($G245),$G245&gt;=MA_MED),AVERAGE(INDEX($C$5:$C245,242-MA_MED):$C245),"")</f>
        <v>845149.34</v>
      </c>
      <c r="K245" s="45" t="n">
        <f aca="false">IF(AND(ISNUMBER($G245),$G245&gt;=MA_LONG2),AVERAGE(INDEX($C$5:$C245,242-MA_LONG2):$C245),"")</f>
        <v>817710.62</v>
      </c>
      <c r="L245" s="46" t="n">
        <f aca="false">IF(AND(ISNUMBER($G245),$G245&gt;=21),STDEV(INDEX($H$185:$H245,62-20):$H245)*SQRT(245),"")</f>
        <v>0.0580395518392108</v>
      </c>
      <c r="M245" s="45" t="n">
        <f aca="false">IF(AND(ISNUMBER($G245),$G245&gt;=60),MAX(INDEX($D$45:$D245,202-60):$D245),"")</f>
        <v>874852</v>
      </c>
      <c r="N245" s="45" t="n">
        <f aca="false">IF(AND(ISNUMBER($G245),$G245&gt;=60),MIN(INDEX($E$45:$E245,202-60):$E245),"")</f>
        <v>824331</v>
      </c>
      <c r="O245" s="46" t="n">
        <f aca="false">IF(OR(NOT(ISNUMBER($C245)),NOT(ISNUMBER($M245)),$M245=0),"",$C245/$M245-1)</f>
        <v>-0.0381710277852712</v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841452</v>
      </c>
      <c r="D246" s="42" t="n">
        <v>845389</v>
      </c>
      <c r="E246" s="42" t="n">
        <v>837268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-7.13048066569577E-006</v>
      </c>
      <c r="I246" s="45" t="n">
        <f aca="false">IF(AND(ISNUMBER($G246),$G246&gt;=MA_SHORT),AVERAGE(INDEX($C$5:$C246,243-MA_SHORT):$C246),"")</f>
        <v>843634.5</v>
      </c>
      <c r="J246" s="45" t="n">
        <f aca="false">IF(AND(ISNUMBER($G246),$G246&gt;=MA_MED),AVERAGE(INDEX($C$5:$C246,243-MA_MED):$C246),"")</f>
        <v>844739.38</v>
      </c>
      <c r="K246" s="45" t="n">
        <f aca="false">IF(AND(ISNUMBER($G246),$G246&gt;=MA_LONG2),AVERAGE(INDEX($C$5:$C246,243-MA_LONG2):$C246),"")</f>
        <v>818261.075</v>
      </c>
      <c r="L246" s="46" t="n">
        <f aca="false">IF(AND(ISNUMBER($G246),$G246&gt;=21),STDEV(INDEX($H$186:$H246,62-20):$H246)*SQRT(245),"")</f>
        <v>0.0550556521681337</v>
      </c>
      <c r="M246" s="45" t="n">
        <f aca="false">IF(AND(ISNUMBER($G246),$G246&gt;=60),MAX(INDEX($D$46:$D246,202-60):$D246),"")</f>
        <v>874852</v>
      </c>
      <c r="N246" s="45" t="n">
        <f aca="false">IF(AND(ISNUMBER($G246),$G246&gt;=60),MIN(INDEX($E$46:$E246,202-60):$E246),"")</f>
        <v>824331</v>
      </c>
      <c r="O246" s="46" t="n">
        <f aca="false">IF(OR(NOT(ISNUMBER($C246)),NOT(ISNUMBER($M246)),$M246=0),"",$C246/$M246-1)</f>
        <v>-0.0381778860881612</v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840393</v>
      </c>
      <c r="D247" s="42" t="n">
        <v>841865</v>
      </c>
      <c r="E247" s="42" t="n">
        <v>836811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-0.00125853881148297</v>
      </c>
      <c r="I247" s="45" t="n">
        <f aca="false">IF(AND(ISNUMBER($G247),$G247&gt;=MA_SHORT),AVERAGE(INDEX($C$5:$C247,244-MA_SHORT):$C247),"")</f>
        <v>843308.15</v>
      </c>
      <c r="J247" s="45" t="n">
        <f aca="false">IF(AND(ISNUMBER($G247),$G247&gt;=MA_MED),AVERAGE(INDEX($C$5:$C247,244-MA_MED):$C247),"")</f>
        <v>844357.3</v>
      </c>
      <c r="K247" s="45" t="n">
        <f aca="false">IF(AND(ISNUMBER($G247),$G247&gt;=MA_LONG2),AVERAGE(INDEX($C$5:$C247,244-MA_LONG2):$C247),"")</f>
        <v>818795.045</v>
      </c>
      <c r="L247" s="46" t="n">
        <f aca="false">IF(AND(ISNUMBER($G247),$G247&gt;=21),STDEV(INDEX($H$187:$H247,62-20):$H247)*SQRT(245),"")</f>
        <v>0.0551080299368477</v>
      </c>
      <c r="M247" s="45" t="n">
        <f aca="false">IF(AND(ISNUMBER($G247),$G247&gt;=60),MAX(INDEX($D$47:$D247,202-60):$D247),"")</f>
        <v>874852</v>
      </c>
      <c r="N247" s="45" t="n">
        <f aca="false">IF(AND(ISNUMBER($G247),$G247&gt;=60),MIN(INDEX($E$47:$E247,202-60):$E247),"")</f>
        <v>824331</v>
      </c>
      <c r="O247" s="46" t="n">
        <f aca="false">IF(OR(NOT(ISNUMBER($C247)),NOT(ISNUMBER($M247)),$M247=0),"",$C247/$M247-1)</f>
        <v>-0.0393883765482619</v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838621</v>
      </c>
      <c r="D248" s="42" t="n">
        <v>839436</v>
      </c>
      <c r="E248" s="42" t="n">
        <v>835714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-0.00210853731527982</v>
      </c>
      <c r="I248" s="45" t="n">
        <f aca="false">IF(AND(ISNUMBER($G248),$G248&gt;=MA_SHORT),AVERAGE(INDEX($C$5:$C248,245-MA_SHORT):$C248),"")</f>
        <v>843147.55</v>
      </c>
      <c r="J248" s="45" t="n">
        <f aca="false">IF(AND(ISNUMBER($G248),$G248&gt;=MA_MED),AVERAGE(INDEX($C$5:$C248,245-MA_MED):$C248),"")</f>
        <v>843984.52</v>
      </c>
      <c r="K248" s="45" t="n">
        <f aca="false">IF(AND(ISNUMBER($G248),$G248&gt;=MA_LONG2),AVERAGE(INDEX($C$5:$C248,245-MA_LONG2):$C248),"")</f>
        <v>819303.36</v>
      </c>
      <c r="L248" s="46" t="n">
        <f aca="false">IF(AND(ISNUMBER($G248),$G248&gt;=21),STDEV(INDEX($H$188:$H248,62-20):$H248)*SQRT(245),"")</f>
        <v>0.0515509715295385</v>
      </c>
      <c r="M248" s="45" t="n">
        <f aca="false">IF(AND(ISNUMBER($G248),$G248&gt;=60),MAX(INDEX($D$48:$D248,202-60):$D248),"")</f>
        <v>874852</v>
      </c>
      <c r="N248" s="45" t="n">
        <f aca="false">IF(AND(ISNUMBER($G248),$G248&gt;=60),MIN(INDEX($E$48:$E248,202-60):$E248),"")</f>
        <v>824331</v>
      </c>
      <c r="O248" s="46" t="n">
        <f aca="false">IF(OR(NOT(ISNUMBER($C248)),NOT(ISNUMBER($M248)),$M248=0),"",$C248/$M248-1)</f>
        <v>-0.0414138620018014</v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838552</v>
      </c>
      <c r="D249" s="42" t="n">
        <v>841947</v>
      </c>
      <c r="E249" s="42" t="n">
        <v>837768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-8.22779300780896E-005</v>
      </c>
      <c r="I249" s="45" t="n">
        <f aca="false">IF(AND(ISNUMBER($G249),$G249&gt;=MA_SHORT),AVERAGE(INDEX($C$5:$C249,246-MA_SHORT):$C249),"")</f>
        <v>842960.8</v>
      </c>
      <c r="J249" s="45" t="n">
        <f aca="false">IF(AND(ISNUMBER($G249),$G249&gt;=MA_MED),AVERAGE(INDEX($C$5:$C249,246-MA_MED):$C249),"")</f>
        <v>843562.8</v>
      </c>
      <c r="K249" s="45" t="n">
        <f aca="false">IF(AND(ISNUMBER($G249),$G249&gt;=MA_LONG2),AVERAGE(INDEX($C$5:$C249,246-MA_LONG2):$C249),"")</f>
        <v>819800.23</v>
      </c>
      <c r="L249" s="46" t="n">
        <f aca="false">IF(AND(ISNUMBER($G249),$G249&gt;=21),STDEV(INDEX($H$189:$H249,62-20):$H249)*SQRT(245),"")</f>
        <v>0.0514840690226655</v>
      </c>
      <c r="M249" s="45" t="n">
        <f aca="false">IF(AND(ISNUMBER($G249),$G249&gt;=60),MAX(INDEX($D$49:$D249,202-60):$D249),"")</f>
        <v>874852</v>
      </c>
      <c r="N249" s="45" t="n">
        <f aca="false">IF(AND(ISNUMBER($G249),$G249&gt;=60),MIN(INDEX($E$49:$E249,202-60):$E249),"")</f>
        <v>824331</v>
      </c>
      <c r="O249" s="46" t="n">
        <f aca="false">IF(OR(NOT(ISNUMBER($C249)),NOT(ISNUMBER($M249)),$M249=0),"",$C249/$M249-1)</f>
        <v>-0.0414927324850375</v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843053</v>
      </c>
      <c r="D250" s="42" t="n">
        <v>844872</v>
      </c>
      <c r="E250" s="42" t="n">
        <v>840717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0.00536758602925036</v>
      </c>
      <c r="I250" s="45" t="n">
        <f aca="false">IF(AND(ISNUMBER($G250),$G250&gt;=MA_SHORT),AVERAGE(INDEX($C$5:$C250,247-MA_SHORT):$C250),"")</f>
        <v>843034.55</v>
      </c>
      <c r="J250" s="45" t="n">
        <f aca="false">IF(AND(ISNUMBER($G250),$G250&gt;=MA_MED),AVERAGE(INDEX($C$5:$C250,247-MA_MED):$C250),"")</f>
        <v>843270.64</v>
      </c>
      <c r="K250" s="45" t="n">
        <f aca="false">IF(AND(ISNUMBER($G250),$G250&gt;=MA_LONG2),AVERAGE(INDEX($C$5:$C250,247-MA_LONG2):$C250),"")</f>
        <v>820333.44</v>
      </c>
      <c r="L250" s="46" t="n">
        <f aca="false">IF(AND(ISNUMBER($G250),$G250&gt;=21),STDEV(INDEX($H$190:$H250,62-20):$H250)*SQRT(245),"")</f>
        <v>0.0549807397550609</v>
      </c>
      <c r="M250" s="45" t="n">
        <f aca="false">IF(AND(ISNUMBER($G250),$G250&gt;=60),MAX(INDEX($D$50:$D250,202-60):$D250),"")</f>
        <v>874852</v>
      </c>
      <c r="N250" s="45" t="n">
        <f aca="false">IF(AND(ISNUMBER($G250),$G250&gt;=60),MIN(INDEX($E$50:$E250,202-60):$E250),"")</f>
        <v>824331</v>
      </c>
      <c r="O250" s="46" t="n">
        <f aca="false">IF(OR(NOT(ISNUMBER($C250)),NOT(ISNUMBER($M250)),$M250=0),"",$C250/$M250-1)</f>
        <v>-0.0363478622669892</v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847131</v>
      </c>
      <c r="D251" s="42" t="n">
        <v>847538</v>
      </c>
      <c r="E251" s="42" t="n">
        <v>844456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0.00483718105504627</v>
      </c>
      <c r="I251" s="45" t="n">
        <f aca="false">IF(AND(ISNUMBER($G251),$G251&gt;=MA_SHORT),AVERAGE(INDEX($C$5:$C251,248-MA_SHORT):$C251),"")</f>
        <v>843221.95</v>
      </c>
      <c r="J251" s="45" t="n">
        <f aca="false">IF(AND(ISNUMBER($G251),$G251&gt;=MA_MED),AVERAGE(INDEX($C$5:$C251,248-MA_MED):$C251),"")</f>
        <v>842890.28</v>
      </c>
      <c r="K251" s="45" t="n">
        <f aca="false">IF(AND(ISNUMBER($G251),$G251&gt;=MA_LONG2),AVERAGE(INDEX($C$5:$C251,248-MA_LONG2):$C251),"")</f>
        <v>820888.465</v>
      </c>
      <c r="L251" s="46" t="n">
        <f aca="false">IF(AND(ISNUMBER($G251),$G251&gt;=21),STDEV(INDEX($H$191:$H251,62-20):$H251)*SQRT(245),"")</f>
        <v>0.0570448934805718</v>
      </c>
      <c r="M251" s="45" t="n">
        <f aca="false">IF(AND(ISNUMBER($G251),$G251&gt;=60),MAX(INDEX($D$51:$D251,202-60):$D251),"")</f>
        <v>874852</v>
      </c>
      <c r="N251" s="45" t="n">
        <f aca="false">IF(AND(ISNUMBER($G251),$G251&gt;=60),MIN(INDEX($E$51:$E251,202-60):$E251),"")</f>
        <v>824331</v>
      </c>
      <c r="O251" s="46" t="n">
        <f aca="false">IF(OR(NOT(ISNUMBER($C251)),NOT(ISNUMBER($M251)),$M251=0),"",$C251/$M251-1)</f>
        <v>-0.0316865024026921</v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848123</v>
      </c>
      <c r="D252" s="42" t="n">
        <v>850269</v>
      </c>
      <c r="E252" s="42" t="n">
        <v>845491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0.00117101133118736</v>
      </c>
      <c r="I252" s="45" t="n">
        <f aca="false">IF(AND(ISNUMBER($G252),$G252&gt;=MA_SHORT),AVERAGE(INDEX($C$5:$C252,249-MA_SHORT):$C252),"")</f>
        <v>843680.1</v>
      </c>
      <c r="J252" s="45" t="n">
        <f aca="false">IF(AND(ISNUMBER($G252),$G252&gt;=MA_MED),AVERAGE(INDEX($C$5:$C252,249-MA_MED):$C252),"")</f>
        <v>842425.06</v>
      </c>
      <c r="K252" s="45" t="n">
        <f aca="false">IF(AND(ISNUMBER($G252),$G252&gt;=MA_LONG2),AVERAGE(INDEX($C$5:$C252,249-MA_LONG2):$C252),"")</f>
        <v>821448.12</v>
      </c>
      <c r="L252" s="46" t="n">
        <f aca="false">IF(AND(ISNUMBER($G252),$G252&gt;=21),STDEV(INDEX($H$192:$H252,62-20):$H252)*SQRT(245),"")</f>
        <v>0.0534124589186551</v>
      </c>
      <c r="M252" s="45" t="n">
        <f aca="false">IF(AND(ISNUMBER($G252),$G252&gt;=60),MAX(INDEX($D$52:$D252,202-60):$D252),"")</f>
        <v>874852</v>
      </c>
      <c r="N252" s="45" t="n">
        <f aca="false">IF(AND(ISNUMBER($G252),$G252&gt;=60),MIN(INDEX($E$52:$E252,202-60):$E252),"")</f>
        <v>824331</v>
      </c>
      <c r="O252" s="46" t="n">
        <f aca="false">IF(OR(NOT(ISNUMBER($C252)),NOT(ISNUMBER($M252)),$M252=0),"",$C252/$M252-1)</f>
        <v>-0.0305525963248641</v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846780</v>
      </c>
      <c r="D253" s="42" t="n">
        <v>850412</v>
      </c>
      <c r="E253" s="42" t="n">
        <v>845148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-0.00158349673337477</v>
      </c>
      <c r="I253" s="45" t="n">
        <f aca="false">IF(AND(ISNUMBER($G253),$G253&gt;=MA_SHORT),AVERAGE(INDEX($C$5:$C253,250-MA_SHORT):$C253),"")</f>
        <v>844048.2</v>
      </c>
      <c r="J253" s="45" t="n">
        <f aca="false">IF(AND(ISNUMBER($G253),$G253&gt;=MA_MED),AVERAGE(INDEX($C$5:$C253,250-MA_MED):$C253),"")</f>
        <v>841952.42</v>
      </c>
      <c r="K253" s="45" t="n">
        <f aca="false">IF(AND(ISNUMBER($G253),$G253&gt;=MA_LONG2),AVERAGE(INDEX($C$5:$C253,250-MA_LONG2):$C253),"")</f>
        <v>821984.385</v>
      </c>
      <c r="L253" s="46" t="n">
        <f aca="false">IF(AND(ISNUMBER($G253),$G253&gt;=21),STDEV(INDEX($H$193:$H253,62-20):$H253)*SQRT(245),"")</f>
        <v>0.05393139945211</v>
      </c>
      <c r="M253" s="45" t="n">
        <f aca="false">IF(AND(ISNUMBER($G253),$G253&gt;=60),MAX(INDEX($D$53:$D253,202-60):$D253),"")</f>
        <v>874852</v>
      </c>
      <c r="N253" s="45" t="n">
        <f aca="false">IF(AND(ISNUMBER($G253),$G253&gt;=60),MIN(INDEX($E$53:$E253,202-60):$E253),"")</f>
        <v>824331</v>
      </c>
      <c r="O253" s="46" t="n">
        <f aca="false">IF(OR(NOT(ISNUMBER($C253)),NOT(ISNUMBER($M253)),$M253=0),"",$C253/$M253-1)</f>
        <v>-0.0320877131217623</v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846083</v>
      </c>
      <c r="D254" s="42" t="n">
        <v>846243</v>
      </c>
      <c r="E254" s="42" t="n">
        <v>843321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-0.000823118165284908</v>
      </c>
      <c r="I254" s="45" t="n">
        <f aca="false">IF(AND(ISNUMBER($G254),$G254&gt;=MA_SHORT),AVERAGE(INDEX($C$5:$C254,251-MA_SHORT):$C254),"")</f>
        <v>844134.45</v>
      </c>
      <c r="J254" s="45" t="n">
        <f aca="false">IF(AND(ISNUMBER($G254),$G254&gt;=MA_MED),AVERAGE(INDEX($C$5:$C254,251-MA_MED):$C254),"")</f>
        <v>841431.24</v>
      </c>
      <c r="K254" s="45" t="n">
        <f aca="false">IF(AND(ISNUMBER($G254),$G254&gt;=MA_LONG2),AVERAGE(INDEX($C$5:$C254,251-MA_LONG2):$C254),"")</f>
        <v>822506.215</v>
      </c>
      <c r="L254" s="46" t="n">
        <f aca="false">IF(AND(ISNUMBER($G254),$G254&gt;=21),STDEV(INDEX($H$194:$H254,62-20):$H254)*SQRT(245),"")</f>
        <v>0.0501821941653482</v>
      </c>
      <c r="M254" s="45" t="n">
        <f aca="false">IF(AND(ISNUMBER($G254),$G254&gt;=60),MAX(INDEX($D$54:$D254,202-60):$D254),"")</f>
        <v>874852</v>
      </c>
      <c r="N254" s="45" t="n">
        <f aca="false">IF(AND(ISNUMBER($G254),$G254&gt;=60),MIN(INDEX($E$54:$E254,202-60):$E254),"")</f>
        <v>824331</v>
      </c>
      <c r="O254" s="46" t="n">
        <f aca="false">IF(OR(NOT(ISNUMBER($C254)),NOT(ISNUMBER($M254)),$M254=0),"",$C254/$M254-1)</f>
        <v>-0.0328844193074943</v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880100</v>
      </c>
      <c r="D255" s="42" t="n">
        <v>884848</v>
      </c>
      <c r="E255" s="42" t="n">
        <v>879969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0.040205275368965</v>
      </c>
      <c r="I255" s="45" t="n">
        <f aca="false">IF(AND(ISNUMBER($G255),$G255&gt;=MA_SHORT),AVERAGE(INDEX($C$5:$C255,252-MA_SHORT):$C255),"")</f>
        <v>845746.35</v>
      </c>
      <c r="J255" s="45" t="n">
        <f aca="false">IF(AND(ISNUMBER($G255),$G255&gt;=MA_MED),AVERAGE(INDEX($C$5:$C255,252-MA_MED):$C255),"")</f>
        <v>841667.26</v>
      </c>
      <c r="K255" s="45" t="n">
        <f aca="false">IF(AND(ISNUMBER($G255),$G255&gt;=MA_LONG2),AVERAGE(INDEX($C$5:$C255,252-MA_LONG2):$C255),"")</f>
        <v>823195.935</v>
      </c>
      <c r="L255" s="46" t="n">
        <f aca="false">IF(AND(ISNUMBER($G255),$G255&gt;=21),STDEV(INDEX($H$195:$H255,62-20):$H255)*SQRT(245),"")</f>
        <v>0.149004985384483</v>
      </c>
      <c r="M255" s="45" t="n">
        <f aca="false">IF(AND(ISNUMBER($G255),$G255&gt;=60),MAX(INDEX($D$55:$D255,202-60):$D255),"")</f>
        <v>884848</v>
      </c>
      <c r="N255" s="45" t="n">
        <f aca="false">IF(AND(ISNUMBER($G255),$G255&gt;=60),MIN(INDEX($E$55:$E255,202-60):$E255),"")</f>
        <v>824331</v>
      </c>
      <c r="O255" s="46" t="n">
        <f aca="false">IF(OR(NOT(ISNUMBER($C255)),NOT(ISNUMBER($M255)),$M255=0),"",$C255/$M255-1)</f>
        <v>-0.00536589335117443</v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885224</v>
      </c>
      <c r="D256" s="42" t="n">
        <v>886192</v>
      </c>
      <c r="E256" s="42" t="n">
        <v>884205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0.00582206567435528</v>
      </c>
      <c r="I256" s="45" t="n">
        <f aca="false">IF(AND(ISNUMBER($G256),$G256&gt;=MA_SHORT),AVERAGE(INDEX($C$5:$C256,253-MA_SHORT):$C256),"")</f>
        <v>847643.9</v>
      </c>
      <c r="J256" s="45" t="n">
        <f aca="false">IF(AND(ISNUMBER($G256),$G256&gt;=MA_MED),AVERAGE(INDEX($C$5:$C256,253-MA_MED):$C256),"")</f>
        <v>842813.1</v>
      </c>
      <c r="K256" s="45" t="n">
        <f aca="false">IF(AND(ISNUMBER($G256),$G256&gt;=MA_LONG2),AVERAGE(INDEX($C$5:$C256,253-MA_LONG2):$C256),"")</f>
        <v>823903.06</v>
      </c>
      <c r="L256" s="46" t="n">
        <f aca="false">IF(AND(ISNUMBER($G256),$G256&gt;=21),STDEV(INDEX($H$196:$H256,62-20):$H256)*SQRT(245),"")</f>
        <v>0.14928167073676</v>
      </c>
      <c r="M256" s="45" t="n">
        <f aca="false">IF(AND(ISNUMBER($G256),$G256&gt;=60),MAX(INDEX($D$56:$D256,202-60):$D256),"")</f>
        <v>886192</v>
      </c>
      <c r="N256" s="45" t="n">
        <f aca="false">IF(AND(ISNUMBER($G256),$G256&gt;=60),MIN(INDEX($E$56:$E256,202-60):$E256),"")</f>
        <v>824331</v>
      </c>
      <c r="O256" s="46" t="n">
        <f aca="false">IF(OR(NOT(ISNUMBER($C256)),NOT(ISNUMBER($M256)),$M256=0),"",$C256/$M256-1)</f>
        <v>-0.00109231408092147</v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880867</v>
      </c>
      <c r="D257" s="42" t="n">
        <v>883166</v>
      </c>
      <c r="E257" s="42" t="n">
        <v>877374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-0.0049219180681952</v>
      </c>
      <c r="I257" s="45" t="n">
        <f aca="false">IF(AND(ISNUMBER($G257),$G257&gt;=MA_SHORT),AVERAGE(INDEX($C$5:$C257,254-MA_SHORT):$C257),"")</f>
        <v>849169.05</v>
      </c>
      <c r="J257" s="45" t="n">
        <f aca="false">IF(AND(ISNUMBER($G257),$G257&gt;=MA_MED),AVERAGE(INDEX($C$5:$C257,254-MA_MED):$C257),"")</f>
        <v>843788.64</v>
      </c>
      <c r="K257" s="45" t="n">
        <f aca="false">IF(AND(ISNUMBER($G257),$G257&gt;=MA_LONG2),AVERAGE(INDEX($C$5:$C257,254-MA_LONG2):$C257),"")</f>
        <v>824586.125</v>
      </c>
      <c r="L257" s="46" t="n">
        <f aca="false">IF(AND(ISNUMBER($G257),$G257&gt;=21),STDEV(INDEX($H$197:$H257,62-20):$H257)*SQRT(245),"")</f>
        <v>0.151236627519144</v>
      </c>
      <c r="M257" s="45" t="n">
        <f aca="false">IF(AND(ISNUMBER($G257),$G257&gt;=60),MAX(INDEX($D$57:$D257,202-60):$D257),"")</f>
        <v>886192</v>
      </c>
      <c r="N257" s="45" t="n">
        <f aca="false">IF(AND(ISNUMBER($G257),$G257&gt;=60),MIN(INDEX($E$57:$E257,202-60):$E257),"")</f>
        <v>824331</v>
      </c>
      <c r="O257" s="46" t="n">
        <f aca="false">IF(OR(NOT(ISNUMBER($C257)),NOT(ISNUMBER($M257)),$M257=0),"",$C257/$M257-1)</f>
        <v>-0.0060088558687057</v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888305</v>
      </c>
      <c r="D258" s="42" t="n">
        <v>891171</v>
      </c>
      <c r="E258" s="42" t="n">
        <v>887934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0.00844395351398108</v>
      </c>
      <c r="I258" s="45" t="n">
        <f aca="false">IF(AND(ISNUMBER($G258),$G258&gt;=MA_SHORT),AVERAGE(INDEX($C$5:$C258,255-MA_SHORT):$C258),"")</f>
        <v>851193.45</v>
      </c>
      <c r="J258" s="45" t="n">
        <f aca="false">IF(AND(ISNUMBER($G258),$G258&gt;=MA_MED),AVERAGE(INDEX($C$5:$C258,255-MA_MED):$C258),"")</f>
        <v>844913.24</v>
      </c>
      <c r="K258" s="45" t="n">
        <f aca="false">IF(AND(ISNUMBER($G258),$G258&gt;=MA_LONG2),AVERAGE(INDEX($C$5:$C258,255-MA_LONG2):$C258),"")</f>
        <v>825299.96</v>
      </c>
      <c r="L258" s="46" t="n">
        <f aca="false">IF(AND(ISNUMBER($G258),$G258&gt;=21),STDEV(INDEX($H$198:$H258,62-20):$H258)*SQRT(245),"")</f>
        <v>0.15185117374376</v>
      </c>
      <c r="M258" s="45" t="n">
        <f aca="false">IF(AND(ISNUMBER($G258),$G258&gt;=60),MAX(INDEX($D$58:$D258,202-60):$D258),"")</f>
        <v>891171</v>
      </c>
      <c r="N258" s="45" t="n">
        <f aca="false">IF(AND(ISNUMBER($G258),$G258&gt;=60),MIN(INDEX($E$58:$E258,202-60):$E258),"")</f>
        <v>824331</v>
      </c>
      <c r="O258" s="46" t="n">
        <f aca="false">IF(OR(NOT(ISNUMBER($C258)),NOT(ISNUMBER($M258)),$M258=0),"",$C258/$M258-1)</f>
        <v>-0.00321599333910105</v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897567</v>
      </c>
      <c r="D259" s="42" t="n">
        <v>898405</v>
      </c>
      <c r="E259" s="42" t="n">
        <v>893956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0.0104265989721999</v>
      </c>
      <c r="I259" s="45" t="n">
        <f aca="false">IF(AND(ISNUMBER($G259),$G259&gt;=MA_SHORT),AVERAGE(INDEX($C$5:$C259,256-MA_SHORT):$C259),"")</f>
        <v>853672.8</v>
      </c>
      <c r="J259" s="45" t="n">
        <f aca="false">IF(AND(ISNUMBER($G259),$G259&gt;=MA_MED),AVERAGE(INDEX($C$5:$C259,256-MA_MED):$C259),"")</f>
        <v>846197.86</v>
      </c>
      <c r="K259" s="45" t="n">
        <f aca="false">IF(AND(ISNUMBER($G259),$G259&gt;=MA_LONG2),AVERAGE(INDEX($C$5:$C259,256-MA_LONG2):$C259),"")</f>
        <v>826049.305</v>
      </c>
      <c r="L259" s="46" t="n">
        <f aca="false">IF(AND(ISNUMBER($G259),$G259&gt;=21),STDEV(INDEX($H$199:$H259,62-20):$H259)*SQRT(245),"")</f>
        <v>0.154158048328365</v>
      </c>
      <c r="M259" s="45" t="n">
        <f aca="false">IF(AND(ISNUMBER($G259),$G259&gt;=60),MAX(INDEX($D$59:$D259,202-60):$D259),"")</f>
        <v>898405</v>
      </c>
      <c r="N259" s="45" t="n">
        <f aca="false">IF(AND(ISNUMBER($G259),$G259&gt;=60),MIN(INDEX($E$59:$E259,202-60):$E259),"")</f>
        <v>824331</v>
      </c>
      <c r="O259" s="46" t="n">
        <f aca="false">IF(OR(NOT(ISNUMBER($C259)),NOT(ISNUMBER($M259)),$M259=0),"",$C259/$M259-1)</f>
        <v>-0.000932764176512779</v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897321</v>
      </c>
      <c r="D260" s="42" t="n">
        <v>899513</v>
      </c>
      <c r="E260" s="42" t="n">
        <v>897043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-0.000274074247382128</v>
      </c>
      <c r="I260" s="45" t="n">
        <f aca="false">IF(AND(ISNUMBER($G260),$G260&gt;=MA_SHORT),AVERAGE(INDEX($C$5:$C260,257-MA_SHORT):$C260),"")</f>
        <v>856264.75</v>
      </c>
      <c r="J260" s="45" t="n">
        <f aca="false">IF(AND(ISNUMBER($G260),$G260&gt;=MA_MED),AVERAGE(INDEX($C$5:$C260,257-MA_MED):$C260),"")</f>
        <v>847475.76</v>
      </c>
      <c r="K260" s="45" t="n">
        <f aca="false">IF(AND(ISNUMBER($G260),$G260&gt;=MA_LONG2),AVERAGE(INDEX($C$5:$C260,257-MA_LONG2):$C260),"")</f>
        <v>826811.475</v>
      </c>
      <c r="L260" s="46" t="n">
        <f aca="false">IF(AND(ISNUMBER($G260),$G260&gt;=21),STDEV(INDEX($H$200:$H260,62-20):$H260)*SQRT(245),"")</f>
        <v>0.153133905354194</v>
      </c>
      <c r="M260" s="45" t="n">
        <f aca="false">IF(AND(ISNUMBER($G260),$G260&gt;=60),MAX(INDEX($D$60:$D260,202-60):$D260),"")</f>
        <v>899513</v>
      </c>
      <c r="N260" s="45" t="n">
        <f aca="false">IF(AND(ISNUMBER($G260),$G260&gt;=60),MIN(INDEX($E$60:$E260,202-60):$E260),"")</f>
        <v>824331</v>
      </c>
      <c r="O260" s="46" t="n">
        <f aca="false">IF(OR(NOT(ISNUMBER($C260)),NOT(ISNUMBER($M260)),$M260=0),"",$C260/$M260-1)</f>
        <v>-0.00243687417524818</v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897835</v>
      </c>
      <c r="D261" s="42" t="n">
        <v>900420</v>
      </c>
      <c r="E261" s="42" t="n">
        <v>896025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0.000572816193981973</v>
      </c>
      <c r="I261" s="45" t="n">
        <f aca="false">IF(AND(ISNUMBER($G261),$G261&gt;=MA_SHORT),AVERAGE(INDEX($C$5:$C261,258-MA_SHORT):$C261),"")</f>
        <v>859125.95</v>
      </c>
      <c r="J261" s="45" t="n">
        <f aca="false">IF(AND(ISNUMBER($G261),$G261&gt;=MA_MED),AVERAGE(INDEX($C$5:$C261,258-MA_MED):$C261),"")</f>
        <v>848910.24</v>
      </c>
      <c r="K261" s="45" t="n">
        <f aca="false">IF(AND(ISNUMBER($G261),$G261&gt;=MA_LONG2),AVERAGE(INDEX($C$5:$C261,258-MA_LONG2):$C261),"")</f>
        <v>827553.475</v>
      </c>
      <c r="L261" s="46" t="n">
        <f aca="false">IF(AND(ISNUMBER($G261),$G261&gt;=21),STDEV(INDEX($H$201:$H261,62-20):$H261)*SQRT(245),"")</f>
        <v>0.150021129269662</v>
      </c>
      <c r="M261" s="45" t="n">
        <f aca="false">IF(AND(ISNUMBER($G261),$G261&gt;=60),MAX(INDEX($D$61:$D261,202-60):$D261),"")</f>
        <v>900420</v>
      </c>
      <c r="N261" s="45" t="n">
        <f aca="false">IF(AND(ISNUMBER($G261),$G261&gt;=60),MIN(INDEX($E$61:$E261,202-60):$E261),"")</f>
        <v>824331</v>
      </c>
      <c r="O261" s="46" t="n">
        <f aca="false">IF(OR(NOT(ISNUMBER($C261)),NOT(ISNUMBER($M261)),$M261=0),"",$C261/$M261-1)</f>
        <v>-0.00287088247706624</v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899897</v>
      </c>
      <c r="D262" s="42" t="n">
        <v>902018</v>
      </c>
      <c r="E262" s="42" t="n">
        <v>899047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0.00229663579610961</v>
      </c>
      <c r="I262" s="45" t="n">
        <f aca="false">IF(AND(ISNUMBER($G262),$G262&gt;=MA_SHORT),AVERAGE(INDEX($C$5:$C262,259-MA_SHORT):$C262),"")</f>
        <v>862147</v>
      </c>
      <c r="J262" s="45" t="n">
        <f aca="false">IF(AND(ISNUMBER($G262),$G262&gt;=MA_MED),AVERAGE(INDEX($C$5:$C262,259-MA_MED):$C262),"")</f>
        <v>850353.36</v>
      </c>
      <c r="K262" s="45" t="n">
        <f aca="false">IF(AND(ISNUMBER($G262),$G262&gt;=MA_LONG2),AVERAGE(INDEX($C$5:$C262,259-MA_LONG2):$C262),"")</f>
        <v>828326.29</v>
      </c>
      <c r="L262" s="46" t="n">
        <f aca="false">IF(AND(ISNUMBER($G262),$G262&gt;=21),STDEV(INDEX($H$202:$H262,62-20):$H262)*SQRT(245),"")</f>
        <v>0.149090742217647</v>
      </c>
      <c r="M262" s="45" t="n">
        <f aca="false">IF(AND(ISNUMBER($G262),$G262&gt;=60),MAX(INDEX($D$62:$D262,202-60):$D262),"")</f>
        <v>902018</v>
      </c>
      <c r="N262" s="45" t="n">
        <f aca="false">IF(AND(ISNUMBER($G262),$G262&gt;=60),MIN(INDEX($E$62:$E262,202-60):$E262),"")</f>
        <v>824331</v>
      </c>
      <c r="O262" s="46" t="n">
        <f aca="false">IF(OR(NOT(ISNUMBER($C262)),NOT(ISNUMBER($M262)),$M262=0),"",$C262/$M262-1)</f>
        <v>-0.00235139431807352</v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894563</v>
      </c>
      <c r="D263" s="42" t="n">
        <v>897376</v>
      </c>
      <c r="E263" s="42" t="n">
        <v>886646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-0.00592734501837433</v>
      </c>
      <c r="I263" s="45" t="n">
        <f aca="false">IF(AND(ISNUMBER($G263),$G263&gt;=MA_SHORT),AVERAGE(INDEX($C$5:$C263,260-MA_SHORT):$C263),"")</f>
        <v>864895.4</v>
      </c>
      <c r="J263" s="45" t="n">
        <f aca="false">IF(AND(ISNUMBER($G263),$G263&gt;=MA_MED),AVERAGE(INDEX($C$5:$C263,260-MA_MED):$C263),"")</f>
        <v>851672.02</v>
      </c>
      <c r="K263" s="45" t="n">
        <f aca="false">IF(AND(ISNUMBER($G263),$G263&gt;=MA_LONG2),AVERAGE(INDEX($C$5:$C263,260-MA_LONG2):$C263),"")</f>
        <v>829051.005</v>
      </c>
      <c r="L263" s="46" t="n">
        <f aca="false">IF(AND(ISNUMBER($G263),$G263&gt;=21),STDEV(INDEX($H$203:$H263,62-20):$H263)*SQRT(245),"")</f>
        <v>0.152343515621577</v>
      </c>
      <c r="M263" s="45" t="n">
        <f aca="false">IF(AND(ISNUMBER($G263),$G263&gt;=60),MAX(INDEX($D$63:$D263,202-60):$D263),"")</f>
        <v>902018</v>
      </c>
      <c r="N263" s="45" t="n">
        <f aca="false">IF(AND(ISNUMBER($G263),$G263&gt;=60),MIN(INDEX($E$63:$E263,202-60):$E263),"")</f>
        <v>824331</v>
      </c>
      <c r="O263" s="46" t="n">
        <f aca="false">IF(OR(NOT(ISNUMBER($C263)),NOT(ISNUMBER($M263)),$M263=0),"",$C263/$M263-1)</f>
        <v>-0.00826480181105038</v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895701</v>
      </c>
      <c r="D264" s="42" t="n">
        <v>897121</v>
      </c>
      <c r="E264" s="42" t="n">
        <v>892582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0.00127212952022382</v>
      </c>
      <c r="I264" s="45" t="n">
        <f aca="false">IF(AND(ISNUMBER($G264),$G264&gt;=MA_SHORT),AVERAGE(INDEX($C$5:$C264,261-MA_SHORT):$C264),"")</f>
        <v>867451.3</v>
      </c>
      <c r="J264" s="45" t="n">
        <f aca="false">IF(AND(ISNUMBER($G264),$G264&gt;=MA_MED),AVERAGE(INDEX($C$5:$C264,261-MA_MED):$C264),"")</f>
        <v>852974.16</v>
      </c>
      <c r="K264" s="45" t="n">
        <f aca="false">IF(AND(ISNUMBER($G264),$G264&gt;=MA_LONG2),AVERAGE(INDEX($C$5:$C264,261-MA_LONG2):$C264),"")</f>
        <v>829769.395</v>
      </c>
      <c r="L264" s="46" t="n">
        <f aca="false">IF(AND(ISNUMBER($G264),$G264&gt;=21),STDEV(INDEX($H$204:$H264,62-20):$H264)*SQRT(245),"")</f>
        <v>0.152144456935591</v>
      </c>
      <c r="M264" s="45" t="n">
        <f aca="false">IF(AND(ISNUMBER($G264),$G264&gt;=60),MAX(INDEX($D$64:$D264,202-60):$D264),"")</f>
        <v>902018</v>
      </c>
      <c r="N264" s="45" t="n">
        <f aca="false">IF(AND(ISNUMBER($G264),$G264&gt;=60),MIN(INDEX($E$64:$E264,202-60):$E264),"")</f>
        <v>824331</v>
      </c>
      <c r="O264" s="46" t="n">
        <f aca="false">IF(OR(NOT(ISNUMBER($C264)),NOT(ISNUMBER($M264)),$M264=0),"",$C264/$M264-1)</f>
        <v>-0.00700318618918916</v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894209</v>
      </c>
      <c r="D265" s="42" t="n">
        <v>896806</v>
      </c>
      <c r="E265" s="42" t="n">
        <v>892384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-0.00166573443593343</v>
      </c>
      <c r="I265" s="45" t="n">
        <f aca="false">IF(AND(ISNUMBER($G265),$G265&gt;=MA_SHORT),AVERAGE(INDEX($C$5:$C265,262-MA_SHORT):$C265),"")</f>
        <v>870088.85</v>
      </c>
      <c r="J265" s="45" t="n">
        <f aca="false">IF(AND(ISNUMBER($G265),$G265&gt;=MA_MED),AVERAGE(INDEX($C$5:$C265,262-MA_MED):$C265),"")</f>
        <v>854277.88</v>
      </c>
      <c r="K265" s="45" t="n">
        <f aca="false">IF(AND(ISNUMBER($G265),$G265&gt;=MA_LONG2),AVERAGE(INDEX($C$5:$C265,262-MA_LONG2):$C265),"")</f>
        <v>830436.585</v>
      </c>
      <c r="L265" s="46" t="n">
        <f aca="false">IF(AND(ISNUMBER($G265),$G265&gt;=21),STDEV(INDEX($H$205:$H265,62-20):$H265)*SQRT(245),"")</f>
        <v>0.151154993587418</v>
      </c>
      <c r="M265" s="45" t="n">
        <f aca="false">IF(AND(ISNUMBER($G265),$G265&gt;=60),MAX(INDEX($D$65:$D265,202-60):$D265),"")</f>
        <v>902018</v>
      </c>
      <c r="N265" s="45" t="n">
        <f aca="false">IF(AND(ISNUMBER($G265),$G265&gt;=60),MIN(INDEX($E$65:$E265,202-60):$E265),"")</f>
        <v>824331</v>
      </c>
      <c r="O265" s="46" t="n">
        <f aca="false">IF(OR(NOT(ISNUMBER($C265)),NOT(ISNUMBER($M265)),$M265=0),"",$C265/$M265-1)</f>
        <v>-0.008657255176726</v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885999</v>
      </c>
      <c r="D266" s="42" t="n">
        <v>889264</v>
      </c>
      <c r="E266" s="42" t="n">
        <v>882140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-0.00918129877914442</v>
      </c>
      <c r="I266" s="45" t="n">
        <f aca="false">IF(AND(ISNUMBER($G266),$G266&gt;=MA_SHORT),AVERAGE(INDEX($C$5:$C266,263-MA_SHORT):$C266),"")</f>
        <v>872316.2</v>
      </c>
      <c r="J266" s="45" t="n">
        <f aca="false">IF(AND(ISNUMBER($G266),$G266&gt;=MA_MED),AVERAGE(INDEX($C$5:$C266,263-MA_MED):$C266),"")</f>
        <v>855373.38</v>
      </c>
      <c r="K266" s="45" t="n">
        <f aca="false">IF(AND(ISNUMBER($G266),$G266&gt;=MA_LONG2),AVERAGE(INDEX($C$5:$C266,263-MA_LONG2):$C266),"")</f>
        <v>831083.06</v>
      </c>
      <c r="L266" s="46" t="n">
        <f aca="false">IF(AND(ISNUMBER($G266),$G266&gt;=21),STDEV(INDEX($H$206:$H266,62-20):$H266)*SQRT(245),"")</f>
        <v>0.156879548561813</v>
      </c>
      <c r="M266" s="45" t="n">
        <f aca="false">IF(AND(ISNUMBER($G266),$G266&gt;=60),MAX(INDEX($D$66:$D266,202-60):$D266),"")</f>
        <v>902018</v>
      </c>
      <c r="N266" s="45" t="n">
        <f aca="false">IF(AND(ISNUMBER($G266),$G266&gt;=60),MIN(INDEX($E$66:$E266,202-60):$E266),"")</f>
        <v>824331</v>
      </c>
      <c r="O266" s="46" t="n">
        <f aca="false">IF(OR(NOT(ISNUMBER($C266)),NOT(ISNUMBER($M266)),$M266=0),"",$C266/$M266-1)</f>
        <v>-0.0177590691094857</v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882782</v>
      </c>
      <c r="D267" s="42" t="n">
        <v>883111</v>
      </c>
      <c r="E267" s="42" t="n">
        <v>880326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-0.00363092960601541</v>
      </c>
      <c r="I267" s="45" t="n">
        <f aca="false">IF(AND(ISNUMBER($G267),$G267&gt;=MA_SHORT),AVERAGE(INDEX($C$5:$C267,264-MA_SHORT):$C267),"")</f>
        <v>874435.65</v>
      </c>
      <c r="J267" s="45" t="n">
        <f aca="false">IF(AND(ISNUMBER($G267),$G267&gt;=MA_MED),AVERAGE(INDEX($C$5:$C267,264-MA_MED):$C267),"")</f>
        <v>856370.2</v>
      </c>
      <c r="K267" s="45" t="n">
        <f aca="false">IF(AND(ISNUMBER($G267),$G267&gt;=MA_LONG2),AVERAGE(INDEX($C$5:$C267,264-MA_LONG2):$C267),"")</f>
        <v>831712.63</v>
      </c>
      <c r="L267" s="46" t="n">
        <f aca="false">IF(AND(ISNUMBER($G267),$G267&gt;=21),STDEV(INDEX($H$207:$H267,62-20):$H267)*SQRT(245),"")</f>
        <v>0.157854414262077</v>
      </c>
      <c r="M267" s="45" t="n">
        <f aca="false">IF(AND(ISNUMBER($G267),$G267&gt;=60),MAX(INDEX($D$67:$D267,202-60):$D267),"")</f>
        <v>902018</v>
      </c>
      <c r="N267" s="45" t="n">
        <f aca="false">IF(AND(ISNUMBER($G267),$G267&gt;=60),MIN(INDEX($E$67:$E267,202-60):$E267),"")</f>
        <v>824331</v>
      </c>
      <c r="O267" s="46" t="n">
        <f aca="false">IF(OR(NOT(ISNUMBER($C267)),NOT(ISNUMBER($M267)),$M267=0),"",$C267/$M267-1)</f>
        <v>-0.0213255167856961</v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879763</v>
      </c>
      <c r="D268" s="42" t="n">
        <v>880290</v>
      </c>
      <c r="E268" s="42" t="n">
        <v>876729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-0.00341987036437086</v>
      </c>
      <c r="I268" s="45" t="n">
        <f aca="false">IF(AND(ISNUMBER($G268),$G268&gt;=MA_SHORT),AVERAGE(INDEX($C$5:$C268,265-MA_SHORT):$C268),"")</f>
        <v>876492.75</v>
      </c>
      <c r="J268" s="45" t="n">
        <f aca="false">IF(AND(ISNUMBER($G268),$G268&gt;=MA_MED),AVERAGE(INDEX($C$5:$C268,265-MA_MED):$C268),"")</f>
        <v>857304.36</v>
      </c>
      <c r="K268" s="45" t="n">
        <f aca="false">IF(AND(ISNUMBER($G268),$G268&gt;=MA_LONG2),AVERAGE(INDEX($C$5:$C268,265-MA_LONG2):$C268),"")</f>
        <v>832311.965</v>
      </c>
      <c r="L268" s="46" t="n">
        <f aca="false">IF(AND(ISNUMBER($G268),$G268&gt;=21),STDEV(INDEX($H$208:$H268,62-20):$H268)*SQRT(245),"")</f>
        <v>0.158414966112686</v>
      </c>
      <c r="M268" s="45" t="n">
        <f aca="false">IF(AND(ISNUMBER($G268),$G268&gt;=60),MAX(INDEX($D$68:$D268,202-60):$D268),"")</f>
        <v>902018</v>
      </c>
      <c r="N268" s="45" t="n">
        <f aca="false">IF(AND(ISNUMBER($G268),$G268&gt;=60),MIN(INDEX($E$68:$E268,202-60):$E268),"")</f>
        <v>824331</v>
      </c>
      <c r="O268" s="46" t="n">
        <f aca="false">IF(OR(NOT(ISNUMBER($C268)),NOT(ISNUMBER($M268)),$M268=0),"",$C268/$M268-1)</f>
        <v>-0.0246724566472066</v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888598</v>
      </c>
      <c r="D269" s="42" t="n">
        <v>890874</v>
      </c>
      <c r="E269" s="42" t="n">
        <v>887610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0.0100424773490133</v>
      </c>
      <c r="I269" s="45" t="n">
        <f aca="false">IF(AND(ISNUMBER($G269),$G269&gt;=MA_SHORT),AVERAGE(INDEX($C$5:$C269,266-MA_SHORT):$C269),"")</f>
        <v>878995.05</v>
      </c>
      <c r="J269" s="45" t="n">
        <f aca="false">IF(AND(ISNUMBER($G269),$G269&gt;=MA_MED),AVERAGE(INDEX($C$5:$C269,266-MA_MED):$C269),"")</f>
        <v>858393.84</v>
      </c>
      <c r="K269" s="45" t="n">
        <f aca="false">IF(AND(ISNUMBER($G269),$G269&gt;=MA_LONG2),AVERAGE(INDEX($C$5:$C269,266-MA_LONG2):$C269),"")</f>
        <v>832928.935</v>
      </c>
      <c r="L269" s="46" t="n">
        <f aca="false">IF(AND(ISNUMBER($G269),$G269&gt;=21),STDEV(INDEX($H$209:$H269,62-20):$H269)*SQRT(245),"")</f>
        <v>0.160284392742861</v>
      </c>
      <c r="M269" s="45" t="n">
        <f aca="false">IF(AND(ISNUMBER($G269),$G269&gt;=60),MAX(INDEX($D$69:$D269,202-60):$D269),"")</f>
        <v>902018</v>
      </c>
      <c r="N269" s="45" t="n">
        <f aca="false">IF(AND(ISNUMBER($G269),$G269&gt;=60),MIN(INDEX($E$69:$E269,202-60):$E269),"")</f>
        <v>824331</v>
      </c>
      <c r="O269" s="46" t="n">
        <f aca="false">IF(OR(NOT(ISNUMBER($C269)),NOT(ISNUMBER($M269)),$M269=0),"",$C269/$M269-1)</f>
        <v>-0.0148777518852173</v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889145</v>
      </c>
      <c r="D270" s="42" t="n">
        <v>891743</v>
      </c>
      <c r="E270" s="42" t="n">
        <v>885178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0.000615576447392519</v>
      </c>
      <c r="I270" s="45" t="n">
        <f aca="false">IF(AND(ISNUMBER($G270),$G270&gt;=MA_SHORT),AVERAGE(INDEX($C$5:$C270,267-MA_SHORT):$C270),"")</f>
        <v>881299.65</v>
      </c>
      <c r="J270" s="45" t="n">
        <f aca="false">IF(AND(ISNUMBER($G270),$G270&gt;=MA_MED),AVERAGE(INDEX($C$5:$C270,267-MA_MED):$C270),"")</f>
        <v>859564</v>
      </c>
      <c r="K270" s="45" t="n">
        <f aca="false">IF(AND(ISNUMBER($G270),$G270&gt;=MA_LONG2),AVERAGE(INDEX($C$5:$C270,267-MA_LONG2):$C270),"")</f>
        <v>833567.21</v>
      </c>
      <c r="L270" s="46" t="n">
        <f aca="false">IF(AND(ISNUMBER($G270),$G270&gt;=21),STDEV(INDEX($H$210:$H270,62-20):$H270)*SQRT(245),"")</f>
        <v>0.160223640599811</v>
      </c>
      <c r="M270" s="45" t="n">
        <f aca="false">IF(AND(ISNUMBER($G270),$G270&gt;=60),MAX(INDEX($D$70:$D270,202-60):$D270),"")</f>
        <v>902018</v>
      </c>
      <c r="N270" s="45" t="n">
        <f aca="false">IF(AND(ISNUMBER($G270),$G270&gt;=60),MIN(INDEX($E$70:$E270,202-60):$E270),"")</f>
        <v>824331</v>
      </c>
      <c r="O270" s="46" t="n">
        <f aca="false">IF(OR(NOT(ISNUMBER($C270)),NOT(ISNUMBER($M270)),$M270=0),"",$C270/$M270-1)</f>
        <v>-0.0142713338314756</v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894208</v>
      </c>
      <c r="D271" s="42" t="n">
        <v>895293</v>
      </c>
      <c r="E271" s="42" t="n">
        <v>893344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0.00569423434872829</v>
      </c>
      <c r="I271" s="45" t="n">
        <f aca="false">IF(AND(ISNUMBER($G271),$G271&gt;=MA_SHORT),AVERAGE(INDEX($C$5:$C271,268-MA_SHORT):$C271),"")</f>
        <v>883653.5</v>
      </c>
      <c r="J271" s="45" t="n">
        <f aca="false">IF(AND(ISNUMBER($G271),$G271&gt;=MA_MED),AVERAGE(INDEX($C$5:$C271,268-MA_MED):$C271),"")</f>
        <v>860150.7</v>
      </c>
      <c r="K271" s="45" t="n">
        <f aca="false">IF(AND(ISNUMBER($G271),$G271&gt;=MA_LONG2),AVERAGE(INDEX($C$5:$C271,268-MA_LONG2):$C271),"")</f>
        <v>834213.89</v>
      </c>
      <c r="L271" s="46" t="n">
        <f aca="false">IF(AND(ISNUMBER($G271),$G271&gt;=21),STDEV(INDEX($H$211:$H271,62-20):$H271)*SQRT(245),"")</f>
        <v>0.160398079724807</v>
      </c>
      <c r="M271" s="45" t="n">
        <f aca="false">IF(AND(ISNUMBER($G271),$G271&gt;=60),MAX(INDEX($D$71:$D271,202-60):$D271),"")</f>
        <v>902018</v>
      </c>
      <c r="N271" s="45" t="n">
        <f aca="false">IF(AND(ISNUMBER($G271),$G271&gt;=60),MIN(INDEX($E$71:$E271,202-60):$E271),"")</f>
        <v>824620</v>
      </c>
      <c r="O271" s="46" t="n">
        <f aca="false">IF(OR(NOT(ISNUMBER($C271)),NOT(ISNUMBER($M271)),$M271=0),"",$C271/$M271-1)</f>
        <v>-0.00865836380205276</v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889692</v>
      </c>
      <c r="D272" s="42" t="n">
        <v>890212</v>
      </c>
      <c r="E272" s="42" t="n">
        <v>888838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-0.00505027912968792</v>
      </c>
      <c r="I272" s="45" t="n">
        <f aca="false">IF(AND(ISNUMBER($G272),$G272&gt;=MA_SHORT),AVERAGE(INDEX($C$5:$C272,269-MA_SHORT):$C272),"")</f>
        <v>885731.95</v>
      </c>
      <c r="J272" s="45" t="n">
        <f aca="false">IF(AND(ISNUMBER($G272),$G272&gt;=MA_MED),AVERAGE(INDEX($C$5:$C272,269-MA_MED):$C272),"")</f>
        <v>860711.34</v>
      </c>
      <c r="K272" s="45" t="n">
        <f aca="false">IF(AND(ISNUMBER($G272),$G272&gt;=MA_LONG2),AVERAGE(INDEX($C$5:$C272,269-MA_LONG2):$C272),"")</f>
        <v>834813.88</v>
      </c>
      <c r="L272" s="46" t="n">
        <f aca="false">IF(AND(ISNUMBER($G272),$G272&gt;=21),STDEV(INDEX($H$212:$H272,62-20):$H272)*SQRT(245),"")</f>
        <v>0.162653298195929</v>
      </c>
      <c r="M272" s="45" t="n">
        <f aca="false">IF(AND(ISNUMBER($G272),$G272&gt;=60),MAX(INDEX($D$72:$D272,202-60):$D272),"")</f>
        <v>902018</v>
      </c>
      <c r="N272" s="45" t="n">
        <f aca="false">IF(AND(ISNUMBER($G272),$G272&gt;=60),MIN(INDEX($E$72:$E272,202-60):$E272),"")</f>
        <v>827711</v>
      </c>
      <c r="O272" s="46" t="n">
        <f aca="false">IF(OR(NOT(ISNUMBER($C272)),NOT(ISNUMBER($M272)),$M272=0),"",$C272/$M272-1)</f>
        <v>-0.0136649157777339</v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889888</v>
      </c>
      <c r="D273" s="42" t="n">
        <v>892468</v>
      </c>
      <c r="E273" s="42" t="n">
        <v>889348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0.000220300958084341</v>
      </c>
      <c r="I273" s="45" t="n">
        <f aca="false">IF(AND(ISNUMBER($G273),$G273&gt;=MA_SHORT),AVERAGE(INDEX($C$5:$C273,270-MA_SHORT):$C273),"")</f>
        <v>887887.35</v>
      </c>
      <c r="J273" s="45" t="n">
        <f aca="false">IF(AND(ISNUMBER($G273),$G273&gt;=MA_MED),AVERAGE(INDEX($C$5:$C273,270-MA_MED):$C273),"")</f>
        <v>861622.96</v>
      </c>
      <c r="K273" s="45" t="n">
        <f aca="false">IF(AND(ISNUMBER($G273),$G273&gt;=MA_LONG2),AVERAGE(INDEX($C$5:$C273,270-MA_LONG2):$C273),"")</f>
        <v>835409.855</v>
      </c>
      <c r="L273" s="46" t="n">
        <f aca="false">IF(AND(ISNUMBER($G273),$G273&gt;=21),STDEV(INDEX($H$213:$H273,62-20):$H273)*SQRT(245),"")</f>
        <v>0.162199012311471</v>
      </c>
      <c r="M273" s="45" t="n">
        <f aca="false">IF(AND(ISNUMBER($G273),$G273&gt;=60),MAX(INDEX($D$73:$D273,202-60):$D273),"")</f>
        <v>902018</v>
      </c>
      <c r="N273" s="45" t="n">
        <f aca="false">IF(AND(ISNUMBER($G273),$G273&gt;=60),MIN(INDEX($E$73:$E273,202-60):$E273),"")</f>
        <v>828431</v>
      </c>
      <c r="O273" s="46" t="n">
        <f aca="false">IF(OR(NOT(ISNUMBER($C273)),NOT(ISNUMBER($M273)),$M273=0),"",$C273/$M273-1)</f>
        <v>-0.0134476252136876</v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890764</v>
      </c>
      <c r="D274" s="42" t="n">
        <v>894069</v>
      </c>
      <c r="E274" s="42" t="n">
        <v>886068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0.000984393541659134</v>
      </c>
      <c r="I274" s="45" t="n">
        <f aca="false">IF(AND(ISNUMBER($G274),$G274&gt;=MA_SHORT),AVERAGE(INDEX($C$5:$C274,271-MA_SHORT):$C274),"")</f>
        <v>890121.4</v>
      </c>
      <c r="J274" s="45" t="n">
        <f aca="false">IF(AND(ISNUMBER($G274),$G274&gt;=MA_MED),AVERAGE(INDEX($C$5:$C274,271-MA_MED):$C274),"")</f>
        <v>862482.48</v>
      </c>
      <c r="K274" s="45" t="n">
        <f aca="false">IF(AND(ISNUMBER($G274),$G274&gt;=MA_LONG2),AVERAGE(INDEX($C$5:$C274,271-MA_LONG2):$C274),"")</f>
        <v>836008.915</v>
      </c>
      <c r="L274" s="46" t="n">
        <f aca="false">IF(AND(ISNUMBER($G274),$G274&gt;=21),STDEV(INDEX($H$214:$H274,62-20):$H274)*SQRT(245),"")</f>
        <v>0.161839311813363</v>
      </c>
      <c r="M274" s="45" t="n">
        <f aca="false">IF(AND(ISNUMBER($G274),$G274&gt;=60),MAX(INDEX($D$74:$D274,202-60):$D274),"")</f>
        <v>902018</v>
      </c>
      <c r="N274" s="45" t="n">
        <f aca="false">IF(AND(ISNUMBER($G274),$G274&gt;=60),MIN(INDEX($E$74:$E274,202-60):$E274),"")</f>
        <v>828431</v>
      </c>
      <c r="O274" s="46" t="n">
        <f aca="false">IF(OR(NOT(ISNUMBER($C274)),NOT(ISNUMBER($M274)),$M274=0),"",$C274/$M274-1)</f>
        <v>-0.0124764694274394</v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890438</v>
      </c>
      <c r="D275" s="42" t="n">
        <v>893231</v>
      </c>
      <c r="E275" s="42" t="n">
        <v>887807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-0.000365977969473352</v>
      </c>
      <c r="I275" s="45" t="n">
        <f aca="false">IF(AND(ISNUMBER($G275),$G275&gt;=MA_SHORT),AVERAGE(INDEX($C$5:$C275,272-MA_SHORT):$C275),"")</f>
        <v>890638.3</v>
      </c>
      <c r="J275" s="45" t="n">
        <f aca="false">IF(AND(ISNUMBER($G275),$G275&gt;=MA_MED),AVERAGE(INDEX($C$5:$C275,272-MA_MED):$C275),"")</f>
        <v>863240.4</v>
      </c>
      <c r="K275" s="45" t="n">
        <f aca="false">IF(AND(ISNUMBER($G275),$G275&gt;=MA_LONG2),AVERAGE(INDEX($C$5:$C275,272-MA_LONG2):$C275),"")</f>
        <v>836616.13</v>
      </c>
      <c r="L275" s="46" t="n">
        <f aca="false">IF(AND(ISNUMBER($G275),$G275&gt;=21),STDEV(INDEX($H$215:$H275,62-20):$H275)*SQRT(245),"")</f>
        <v>0.0838834388701905</v>
      </c>
      <c r="M275" s="45" t="n">
        <f aca="false">IF(AND(ISNUMBER($G275),$G275&gt;=60),MAX(INDEX($D$75:$D275,202-60):$D275),"")</f>
        <v>902018</v>
      </c>
      <c r="N275" s="45" t="n">
        <f aca="false">IF(AND(ISNUMBER($G275),$G275&gt;=60),MIN(INDEX($E$75:$E275,202-60):$E275),"")</f>
        <v>828431</v>
      </c>
      <c r="O275" s="46" t="n">
        <f aca="false">IF(OR(NOT(ISNUMBER($C275)),NOT(ISNUMBER($M275)),$M275=0),"",$C275/$M275-1)</f>
        <v>-0.0128378812839655</v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897279</v>
      </c>
      <c r="D276" s="42" t="n">
        <v>901603</v>
      </c>
      <c r="E276" s="42" t="n">
        <v>895867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0.00768273591198931</v>
      </c>
      <c r="I276" s="45" t="n">
        <f aca="false">IF(AND(ISNUMBER($G276),$G276&gt;=MA_SHORT),AVERAGE(INDEX($C$5:$C276,273-MA_SHORT):$C276),"")</f>
        <v>891241.05</v>
      </c>
      <c r="J276" s="45" t="n">
        <f aca="false">IF(AND(ISNUMBER($G276),$G276&gt;=MA_MED),AVERAGE(INDEX($C$5:$C276,273-MA_MED):$C276),"")</f>
        <v>864231.42</v>
      </c>
      <c r="K276" s="45" t="n">
        <f aca="false">IF(AND(ISNUMBER($G276),$G276&gt;=MA_LONG2),AVERAGE(INDEX($C$5:$C276,273-MA_LONG2):$C276),"")</f>
        <v>837267.265</v>
      </c>
      <c r="L276" s="46" t="n">
        <f aca="false">IF(AND(ISNUMBER($G276),$G276&gt;=21),STDEV(INDEX($H$216:$H276,62-20):$H276)*SQRT(245),"")</f>
        <v>0.0856127176851058</v>
      </c>
      <c r="M276" s="45" t="n">
        <f aca="false">IF(AND(ISNUMBER($G276),$G276&gt;=60),MAX(INDEX($D$76:$D276,202-60):$D276),"")</f>
        <v>902018</v>
      </c>
      <c r="N276" s="45" t="n">
        <f aca="false">IF(AND(ISNUMBER($G276),$G276&gt;=60),MIN(INDEX($E$76:$E276,202-60):$E276),"")</f>
        <v>829392</v>
      </c>
      <c r="O276" s="46" t="n">
        <f aca="false">IF(OR(NOT(ISNUMBER($C276)),NOT(ISNUMBER($M276)),$M276=0),"",$C276/$M276-1)</f>
        <v>-0.00525377542355032</v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898225</v>
      </c>
      <c r="D277" s="42" t="n">
        <v>900537</v>
      </c>
      <c r="E277" s="42" t="n">
        <v>898048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0.00105429860723372</v>
      </c>
      <c r="I277" s="45" t="n">
        <f aca="false">IF(AND(ISNUMBER($G277),$G277&gt;=MA_SHORT),AVERAGE(INDEX($C$5:$C277,274-MA_SHORT):$C277),"")</f>
        <v>892108.95</v>
      </c>
      <c r="J277" s="45" t="n">
        <f aca="false">IF(AND(ISNUMBER($G277),$G277&gt;=MA_MED),AVERAGE(INDEX($C$5:$C277,274-MA_MED):$C277),"")</f>
        <v>865257.52</v>
      </c>
      <c r="K277" s="45" t="n">
        <f aca="false">IF(AND(ISNUMBER($G277),$G277&gt;=MA_LONG2),AVERAGE(INDEX($C$5:$C277,274-MA_LONG2):$C277),"")</f>
        <v>837901.525</v>
      </c>
      <c r="L277" s="46" t="n">
        <f aca="false">IF(AND(ISNUMBER($G277),$G277&gt;=21),STDEV(INDEX($H$217:$H277,62-20):$H277)*SQRT(245),"")</f>
        <v>0.0830783286521303</v>
      </c>
      <c r="M277" s="45" t="n">
        <f aca="false">IF(AND(ISNUMBER($G277),$G277&gt;=60),MAX(INDEX($D$77:$D277,202-60):$D277),"")</f>
        <v>902018</v>
      </c>
      <c r="N277" s="45" t="n">
        <f aca="false">IF(AND(ISNUMBER($G277),$G277&gt;=60),MIN(INDEX($E$77:$E277,202-60):$E277),"")</f>
        <v>829763</v>
      </c>
      <c r="O277" s="46" t="n">
        <f aca="false">IF(OR(NOT(ISNUMBER($C277)),NOT(ISNUMBER($M277)),$M277=0),"",$C277/$M277-1)</f>
        <v>-0.00420501586442845</v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897285</v>
      </c>
      <c r="D278" s="42" t="n">
        <v>898970</v>
      </c>
      <c r="E278" s="42" t="n">
        <v>893357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-0.00104650839154996</v>
      </c>
      <c r="I278" s="45" t="n">
        <f aca="false">IF(AND(ISNUMBER($G278),$G278&gt;=MA_SHORT),AVERAGE(INDEX($C$5:$C278,275-MA_SHORT):$C278),"")</f>
        <v>892557.95</v>
      </c>
      <c r="J278" s="45" t="n">
        <f aca="false">IF(AND(ISNUMBER($G278),$G278&gt;=MA_MED),AVERAGE(INDEX($C$5:$C278,275-MA_MED):$C278),"")</f>
        <v>866366.56</v>
      </c>
      <c r="K278" s="45" t="n">
        <f aca="false">IF(AND(ISNUMBER($G278),$G278&gt;=MA_LONG2),AVERAGE(INDEX($C$5:$C278,275-MA_LONG2):$C278),"")</f>
        <v>838549.205</v>
      </c>
      <c r="L278" s="46" t="n">
        <f aca="false">IF(AND(ISNUMBER($G278),$G278&gt;=21),STDEV(INDEX($H$218:$H278,62-20):$H278)*SQRT(245),"")</f>
        <v>0.0786183993740378</v>
      </c>
      <c r="M278" s="45" t="n">
        <f aca="false">IF(AND(ISNUMBER($G278),$G278&gt;=60),MAX(INDEX($D$78:$D278,202-60):$D278),"")</f>
        <v>902018</v>
      </c>
      <c r="N278" s="45" t="n">
        <f aca="false">IF(AND(ISNUMBER($G278),$G278&gt;=60),MIN(INDEX($E$78:$E278,202-60):$E278),"")</f>
        <v>830405</v>
      </c>
      <c r="O278" s="46" t="n">
        <f aca="false">IF(OR(NOT(ISNUMBER($C278)),NOT(ISNUMBER($M278)),$M278=0),"",$C278/$M278-1)</f>
        <v>-0.00524712367158975</v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895645</v>
      </c>
      <c r="D279" s="42" t="n">
        <v>897990</v>
      </c>
      <c r="E279" s="42" t="n">
        <v>894970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-0.00182773589216356</v>
      </c>
      <c r="I279" s="45" t="n">
        <f aca="false">IF(AND(ISNUMBER($G279),$G279&gt;=MA_SHORT),AVERAGE(INDEX($C$5:$C279,276-MA_SHORT):$C279),"")</f>
        <v>892461.85</v>
      </c>
      <c r="J279" s="45" t="n">
        <f aca="false">IF(AND(ISNUMBER($G279),$G279&gt;=MA_MED),AVERAGE(INDEX($C$5:$C279,276-MA_MED):$C279),"")</f>
        <v>867433.72</v>
      </c>
      <c r="K279" s="45" t="n">
        <f aca="false">IF(AND(ISNUMBER($G279),$G279&gt;=MA_LONG2),AVERAGE(INDEX($C$5:$C279,276-MA_LONG2):$C279),"")</f>
        <v>839178.4</v>
      </c>
      <c r="L279" s="46" t="n">
        <f aca="false">IF(AND(ISNUMBER($G279),$G279&gt;=21),STDEV(INDEX($H$219:$H279,62-20):$H279)*SQRT(245),"")</f>
        <v>0.0699144590163695</v>
      </c>
      <c r="M279" s="45" t="n">
        <f aca="false">IF(AND(ISNUMBER($G279),$G279&gt;=60),MAX(INDEX($D$79:$D279,202-60):$D279),"")</f>
        <v>902018</v>
      </c>
      <c r="N279" s="45" t="n">
        <f aca="false">IF(AND(ISNUMBER($G279),$G279&gt;=60),MIN(INDEX($E$79:$E279,202-60):$E279),"")</f>
        <v>830405</v>
      </c>
      <c r="O279" s="46" t="n">
        <f aca="false">IF(OR(NOT(ISNUMBER($C279)),NOT(ISNUMBER($M279)),$M279=0),"",$C279/$M279-1)</f>
        <v>-0.00706526920748807</v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898638</v>
      </c>
      <c r="D280" s="42" t="n">
        <v>903019</v>
      </c>
      <c r="E280" s="42" t="n">
        <v>896629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0.0033417257953765</v>
      </c>
      <c r="I280" s="45" t="n">
        <f aca="false">IF(AND(ISNUMBER($G280),$G280&gt;=MA_SHORT),AVERAGE(INDEX($C$5:$C280,277-MA_SHORT):$C280),"")</f>
        <v>892527.7</v>
      </c>
      <c r="J280" s="45" t="n">
        <f aca="false">IF(AND(ISNUMBER($G280),$G280&gt;=MA_MED),AVERAGE(INDEX($C$5:$C280,277-MA_MED):$C280),"")</f>
        <v>868574.92</v>
      </c>
      <c r="K280" s="45" t="n">
        <f aca="false">IF(AND(ISNUMBER($G280),$G280&gt;=MA_LONG2),AVERAGE(INDEX($C$5:$C280,277-MA_LONG2):$C280),"")</f>
        <v>839790.68</v>
      </c>
      <c r="L280" s="46" t="n">
        <f aca="false">IF(AND(ISNUMBER($G280),$G280&gt;=21),STDEV(INDEX($H$220:$H280,62-20):$H280)*SQRT(245),"")</f>
        <v>0.070934773562465</v>
      </c>
      <c r="M280" s="45" t="n">
        <f aca="false">IF(AND(ISNUMBER($G280),$G280&gt;=60),MAX(INDEX($D$80:$D280,202-60):$D280),"")</f>
        <v>903019</v>
      </c>
      <c r="N280" s="45" t="n">
        <f aca="false">IF(AND(ISNUMBER($G280),$G280&gt;=60),MIN(INDEX($E$80:$E280,202-60):$E280),"")</f>
        <v>833092</v>
      </c>
      <c r="O280" s="46" t="n">
        <f aca="false">IF(OR(NOT(ISNUMBER($C280)),NOT(ISNUMBER($M280)),$M280=0),"",$C280/$M280-1)</f>
        <v>-0.00485150367821718</v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896468</v>
      </c>
      <c r="D281" s="42" t="n">
        <v>899050</v>
      </c>
      <c r="E281" s="42" t="n">
        <v>895621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-0.00241476545616814</v>
      </c>
      <c r="I281" s="45" t="n">
        <f aca="false">IF(AND(ISNUMBER($G281),$G281&gt;=MA_SHORT),AVERAGE(INDEX($C$5:$C281,278-MA_SHORT):$C281),"")</f>
        <v>892459.35</v>
      </c>
      <c r="J281" s="45" t="n">
        <f aca="false">IF(AND(ISNUMBER($G281),$G281&gt;=MA_MED),AVERAGE(INDEX($C$5:$C281,278-MA_MED):$C281),"")</f>
        <v>869636.62</v>
      </c>
      <c r="K281" s="45" t="n">
        <f aca="false">IF(AND(ISNUMBER($G281),$G281&gt;=MA_LONG2),AVERAGE(INDEX($C$5:$C281,278-MA_LONG2):$C281),"")</f>
        <v>840377.055</v>
      </c>
      <c r="L281" s="46" t="n">
        <f aca="false">IF(AND(ISNUMBER($G281),$G281&gt;=21),STDEV(INDEX($H$221:$H281,62-20):$H281)*SQRT(245),"")</f>
        <v>0.0714377221212245</v>
      </c>
      <c r="M281" s="45" t="n">
        <f aca="false">IF(AND(ISNUMBER($G281),$G281&gt;=60),MAX(INDEX($D$81:$D281,202-60):$D281),"")</f>
        <v>903019</v>
      </c>
      <c r="N281" s="45" t="n">
        <f aca="false">IF(AND(ISNUMBER($G281),$G281&gt;=60),MIN(INDEX($E$81:$E281,202-60):$E281),"")</f>
        <v>833092</v>
      </c>
      <c r="O281" s="46" t="n">
        <f aca="false">IF(OR(NOT(ISNUMBER($C281)),NOT(ISNUMBER($M281)),$M281=0),"",$C281/$M281-1)</f>
        <v>-0.00725455389089269</v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895685</v>
      </c>
      <c r="D282" s="42" t="n">
        <v>896932</v>
      </c>
      <c r="E282" s="42" t="n">
        <v>889897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-0.000873427718557696</v>
      </c>
      <c r="I282" s="45" t="n">
        <f aca="false">IF(AND(ISNUMBER($G282),$G282&gt;=MA_SHORT),AVERAGE(INDEX($C$5:$C282,279-MA_SHORT):$C282),"")</f>
        <v>892248.75</v>
      </c>
      <c r="J282" s="45" t="n">
        <f aca="false">IF(AND(ISNUMBER($G282),$G282&gt;=MA_MED),AVERAGE(INDEX($C$5:$C282,279-MA_MED):$C282),"")</f>
        <v>870771.12</v>
      </c>
      <c r="K282" s="45" t="n">
        <f aca="false">IF(AND(ISNUMBER($G282),$G282&gt;=MA_LONG2),AVERAGE(INDEX($C$5:$C282,279-MA_LONG2):$C282),"")</f>
        <v>840919.69</v>
      </c>
      <c r="L282" s="46" t="n">
        <f aca="false">IF(AND(ISNUMBER($G282),$G282&gt;=21),STDEV(INDEX($H$222:$H282,62-20):$H282)*SQRT(245),"")</f>
        <v>0.0709455584809034</v>
      </c>
      <c r="M282" s="45" t="n">
        <f aca="false">IF(AND(ISNUMBER($G282),$G282&gt;=60),MAX(INDEX($D$82:$D282,202-60):$D282),"")</f>
        <v>903019</v>
      </c>
      <c r="N282" s="45" t="n">
        <f aca="false">IF(AND(ISNUMBER($G282),$G282&gt;=60),MIN(INDEX($E$82:$E282,202-60):$E282),"")</f>
        <v>833092</v>
      </c>
      <c r="O282" s="46" t="n">
        <f aca="false">IF(OR(NOT(ISNUMBER($C282)),NOT(ISNUMBER($M282)),$M282=0),"",$C282/$M282-1)</f>
        <v>-0.00812164528099635</v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893304</v>
      </c>
      <c r="D283" s="42" t="n">
        <v>893369</v>
      </c>
      <c r="E283" s="42" t="n">
        <v>892655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-0.00265830063024386</v>
      </c>
      <c r="I283" s="45" t="n">
        <f aca="false">IF(AND(ISNUMBER($G283),$G283&gt;=MA_SHORT),AVERAGE(INDEX($C$5:$C283,280-MA_SHORT):$C283),"")</f>
        <v>892185.8</v>
      </c>
      <c r="J283" s="45" t="n">
        <f aca="false">IF(AND(ISNUMBER($G283),$G283&gt;=MA_MED),AVERAGE(INDEX($C$5:$C283,280-MA_MED):$C283),"")</f>
        <v>871848.84</v>
      </c>
      <c r="K283" s="45" t="n">
        <f aca="false">IF(AND(ISNUMBER($G283),$G283&gt;=MA_LONG2),AVERAGE(INDEX($C$5:$C283,280-MA_LONG2):$C283),"")</f>
        <v>841431.275</v>
      </c>
      <c r="L283" s="46" t="n">
        <f aca="false">IF(AND(ISNUMBER($G283),$G283&gt;=21),STDEV(INDEX($H$223:$H283,62-20):$H283)*SQRT(245),"")</f>
        <v>0.0684355146027613</v>
      </c>
      <c r="M283" s="45" t="n">
        <f aca="false">IF(AND(ISNUMBER($G283),$G283&gt;=60),MAX(INDEX($D$83:$D283,202-60):$D283),"")</f>
        <v>903019</v>
      </c>
      <c r="N283" s="45" t="n">
        <f aca="false">IF(AND(ISNUMBER($G283),$G283&gt;=60),MIN(INDEX($E$83:$E283,202-60):$E283),"")</f>
        <v>833092</v>
      </c>
      <c r="O283" s="46" t="n">
        <f aca="false">IF(OR(NOT(ISNUMBER($C283)),NOT(ISNUMBER($M283)),$M283=0),"",$C283/$M283-1)</f>
        <v>-0.0107583561364711</v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895070</v>
      </c>
      <c r="D284" s="42" t="n">
        <v>896644</v>
      </c>
      <c r="E284" s="42" t="n">
        <v>890209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0.00197693058578041</v>
      </c>
      <c r="I284" s="45" t="n">
        <f aca="false">IF(AND(ISNUMBER($G284),$G284&gt;=MA_SHORT),AVERAGE(INDEX($C$5:$C284,281-MA_SHORT):$C284),"")</f>
        <v>892154.25</v>
      </c>
      <c r="J284" s="45" t="n">
        <f aca="false">IF(AND(ISNUMBER($G284),$G284&gt;=MA_MED),AVERAGE(INDEX($C$5:$C284,281-MA_MED):$C284),"")</f>
        <v>872863.08</v>
      </c>
      <c r="K284" s="45" t="n">
        <f aca="false">IF(AND(ISNUMBER($G284),$G284&gt;=MA_LONG2),AVERAGE(INDEX($C$5:$C284,281-MA_LONG2):$C284),"")</f>
        <v>841962.005</v>
      </c>
      <c r="L284" s="46" t="n">
        <f aca="false">IF(AND(ISNUMBER($G284),$G284&gt;=21),STDEV(INDEX($H$224:$H284,62-20):$H284)*SQRT(245),"")</f>
        <v>0.0686567015037014</v>
      </c>
      <c r="M284" s="45" t="n">
        <f aca="false">IF(AND(ISNUMBER($G284),$G284&gt;=60),MAX(INDEX($D$84:$D284,202-60):$D284),"")</f>
        <v>903019</v>
      </c>
      <c r="N284" s="45" t="n">
        <f aca="false">IF(AND(ISNUMBER($G284),$G284&gt;=60),MIN(INDEX($E$84:$E284,202-60):$E284),"")</f>
        <v>833092</v>
      </c>
      <c r="O284" s="46" t="n">
        <f aca="false">IF(OR(NOT(ISNUMBER($C284)),NOT(ISNUMBER($M284)),$M284=0),"",$C284/$M284-1)</f>
        <v>-0.00880269407398959</v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897798</v>
      </c>
      <c r="D285" s="42" t="n">
        <v>899132</v>
      </c>
      <c r="E285" s="42" t="n">
        <v>896083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0.00304780631682444</v>
      </c>
      <c r="I285" s="45" t="n">
        <f aca="false">IF(AND(ISNUMBER($G285),$G285&gt;=MA_SHORT),AVERAGE(INDEX($C$5:$C285,282-MA_SHORT):$C285),"")</f>
        <v>892333.7</v>
      </c>
      <c r="J285" s="45" t="n">
        <f aca="false">IF(AND(ISNUMBER($G285),$G285&gt;=MA_MED),AVERAGE(INDEX($C$5:$C285,282-MA_MED):$C285),"")</f>
        <v>873861.8</v>
      </c>
      <c r="K285" s="45" t="n">
        <f aca="false">IF(AND(ISNUMBER($G285),$G285&gt;=MA_LONG2),AVERAGE(INDEX($C$5:$C285,282-MA_LONG2):$C285),"")</f>
        <v>842516.495</v>
      </c>
      <c r="L285" s="46" t="n">
        <f aca="false">IF(AND(ISNUMBER($G285),$G285&gt;=21),STDEV(INDEX($H$225:$H285,62-20):$H285)*SQRT(245),"")</f>
        <v>0.0691852154603264</v>
      </c>
      <c r="M285" s="45" t="n">
        <f aca="false">IF(AND(ISNUMBER($G285),$G285&gt;=60),MAX(INDEX($D$85:$D285,202-60):$D285),"")</f>
        <v>903019</v>
      </c>
      <c r="N285" s="45" t="n">
        <f aca="false">IF(AND(ISNUMBER($G285),$G285&gt;=60),MIN(INDEX($E$85:$E285,202-60):$E285),"")</f>
        <v>833092</v>
      </c>
      <c r="O285" s="46" t="n">
        <f aca="false">IF(OR(NOT(ISNUMBER($C285)),NOT(ISNUMBER($M285)),$M285=0),"",$C285/$M285-1)</f>
        <v>-0.00578171666376903</v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897340</v>
      </c>
      <c r="D286" s="42" t="n">
        <v>902919</v>
      </c>
      <c r="E286" s="42" t="n">
        <v>894698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-0.000510137024141266</v>
      </c>
      <c r="I286" s="45" t="n">
        <f aca="false">IF(AND(ISNUMBER($G286),$G286&gt;=MA_SHORT),AVERAGE(INDEX($C$5:$C286,283-MA_SHORT):$C286),"")</f>
        <v>892900.75</v>
      </c>
      <c r="J286" s="45" t="n">
        <f aca="false">IF(AND(ISNUMBER($G286),$G286&gt;=MA_MED),AVERAGE(INDEX($C$5:$C286,283-MA_MED):$C286),"")</f>
        <v>874863.14</v>
      </c>
      <c r="K286" s="45" t="n">
        <f aca="false">IF(AND(ISNUMBER($G286),$G286&gt;=MA_LONG2),AVERAGE(INDEX($C$5:$C286,283-MA_LONG2):$C286),"")</f>
        <v>843054.83</v>
      </c>
      <c r="L286" s="46" t="n">
        <f aca="false">IF(AND(ISNUMBER($G286),$G286&gt;=21),STDEV(INDEX($H$226:$H286,62-20):$H286)*SQRT(245),"")</f>
        <v>0.0600635481611944</v>
      </c>
      <c r="M286" s="45" t="n">
        <f aca="false">IF(AND(ISNUMBER($G286),$G286&gt;=60),MAX(INDEX($D$86:$D286,202-60):$D286),"")</f>
        <v>903019</v>
      </c>
      <c r="N286" s="45" t="n">
        <f aca="false">IF(AND(ISNUMBER($G286),$G286&gt;=60),MIN(INDEX($E$86:$E286,202-60):$E286),"")</f>
        <v>833092</v>
      </c>
      <c r="O286" s="46" t="n">
        <f aca="false">IF(OR(NOT(ISNUMBER($C286)),NOT(ISNUMBER($M286)),$M286=0),"",$C286/$M286-1)</f>
        <v>-0.00628890422017703</v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897152</v>
      </c>
      <c r="D287" s="42" t="n">
        <v>897839</v>
      </c>
      <c r="E287" s="42" t="n">
        <v>894120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-0.000209508101722822</v>
      </c>
      <c r="I287" s="45" t="n">
        <f aca="false">IF(AND(ISNUMBER($G287),$G287&gt;=MA_SHORT),AVERAGE(INDEX($C$5:$C287,284-MA_SHORT):$C287),"")</f>
        <v>893619.25</v>
      </c>
      <c r="J287" s="45" t="n">
        <f aca="false">IF(AND(ISNUMBER($G287),$G287&gt;=MA_MED),AVERAGE(INDEX($C$5:$C287,284-MA_MED):$C287),"")</f>
        <v>875798.9</v>
      </c>
      <c r="K287" s="45" t="n">
        <f aca="false">IF(AND(ISNUMBER($G287),$G287&gt;=MA_LONG2),AVERAGE(INDEX($C$5:$C287,284-MA_LONG2):$C287),"")</f>
        <v>843590.48</v>
      </c>
      <c r="L287" s="46" t="n">
        <f aca="false">IF(AND(ISNUMBER($G287),$G287&gt;=21),STDEV(INDEX($H$227:$H287,62-20):$H287)*SQRT(245),"")</f>
        <v>0.0580852936423181</v>
      </c>
      <c r="M287" s="45" t="n">
        <f aca="false">IF(AND(ISNUMBER($G287),$G287&gt;=60),MAX(INDEX($D$87:$D287,202-60):$D287),"")</f>
        <v>903019</v>
      </c>
      <c r="N287" s="45" t="n">
        <f aca="false">IF(AND(ISNUMBER($G287),$G287&gt;=60),MIN(INDEX($E$87:$E287,202-60):$E287),"")</f>
        <v>833092</v>
      </c>
      <c r="O287" s="46" t="n">
        <f aca="false">IF(OR(NOT(ISNUMBER($C287)),NOT(ISNUMBER($M287)),$M287=0),"",$C287/$M287-1)</f>
        <v>-0.00649709474551474</v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893424</v>
      </c>
      <c r="D288" s="42" t="n">
        <v>897169</v>
      </c>
      <c r="E288" s="42" t="n">
        <v>893146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-0.00415537166500213</v>
      </c>
      <c r="I288" s="45" t="n">
        <f aca="false">IF(AND(ISNUMBER($G288),$G288&gt;=MA_SHORT),AVERAGE(INDEX($C$5:$C288,285-MA_SHORT):$C288),"")</f>
        <v>894302.3</v>
      </c>
      <c r="J288" s="45" t="n">
        <f aca="false">IF(AND(ISNUMBER($G288),$G288&gt;=MA_MED),AVERAGE(INDEX($C$5:$C288,285-MA_MED):$C288),"")</f>
        <v>876711.04</v>
      </c>
      <c r="K288" s="45" t="n">
        <f aca="false">IF(AND(ISNUMBER($G288),$G288&gt;=MA_LONG2),AVERAGE(INDEX($C$5:$C288,285-MA_LONG2):$C288),"")</f>
        <v>844105.275</v>
      </c>
      <c r="L288" s="46" t="n">
        <f aca="false">IF(AND(ISNUMBER($G288),$G288&gt;=21),STDEV(INDEX($H$228:$H288,62-20):$H288)*SQRT(245),"")</f>
        <v>0.0588289108518782</v>
      </c>
      <c r="M288" s="45" t="n">
        <f aca="false">IF(AND(ISNUMBER($G288),$G288&gt;=60),MAX(INDEX($D$88:$D288,202-60):$D288),"")</f>
        <v>903019</v>
      </c>
      <c r="N288" s="45" t="n">
        <f aca="false">IF(AND(ISNUMBER($G288),$G288&gt;=60),MIN(INDEX($E$88:$E288,202-60):$E288),"")</f>
        <v>833092</v>
      </c>
      <c r="O288" s="46" t="n">
        <f aca="false">IF(OR(NOT(ISNUMBER($C288)),NOT(ISNUMBER($M288)),$M288=0),"",$C288/$M288-1)</f>
        <v>-0.0106254685671066</v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894748</v>
      </c>
      <c r="D289" s="42" t="n">
        <v>894915</v>
      </c>
      <c r="E289" s="42" t="n">
        <v>894188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0.00148193914647465</v>
      </c>
      <c r="I289" s="45" t="n">
        <f aca="false">IF(AND(ISNUMBER($G289),$G289&gt;=MA_SHORT),AVERAGE(INDEX($C$5:$C289,286-MA_SHORT):$C289),"")</f>
        <v>894609.8</v>
      </c>
      <c r="J289" s="45" t="n">
        <f aca="false">IF(AND(ISNUMBER($G289),$G289&gt;=MA_MED),AVERAGE(INDEX($C$5:$C289,286-MA_MED):$C289),"")</f>
        <v>877646.4</v>
      </c>
      <c r="K289" s="45" t="n">
        <f aca="false">IF(AND(ISNUMBER($G289),$G289&gt;=MA_LONG2),AVERAGE(INDEX($C$5:$C289,286-MA_LONG2):$C289),"")</f>
        <v>844621.975</v>
      </c>
      <c r="L289" s="46" t="n">
        <f aca="false">IF(AND(ISNUMBER($G289),$G289&gt;=21),STDEV(INDEX($H$229:$H289,62-20):$H289)*SQRT(245),"")</f>
        <v>0.0480946236405692</v>
      </c>
      <c r="M289" s="45" t="n">
        <f aca="false">IF(AND(ISNUMBER($G289),$G289&gt;=60),MAX(INDEX($D$89:$D289,202-60):$D289),"")</f>
        <v>903019</v>
      </c>
      <c r="N289" s="45" t="n">
        <f aca="false">IF(AND(ISNUMBER($G289),$G289&gt;=60),MIN(INDEX($E$89:$E289,202-60):$E289),"")</f>
        <v>833092</v>
      </c>
      <c r="O289" s="46" t="n">
        <f aca="false">IF(OR(NOT(ISNUMBER($C289)),NOT(ISNUMBER($M289)),$M289=0),"",$C289/$M289-1)</f>
        <v>-0.0091592757184511</v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902059</v>
      </c>
      <c r="D290" s="42" t="n">
        <v>905103</v>
      </c>
      <c r="E290" s="42" t="n">
        <v>901610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0.00817101574968593</v>
      </c>
      <c r="I290" s="45" t="n">
        <f aca="false">IF(AND(ISNUMBER($G290),$G290&gt;=MA_SHORT),AVERAGE(INDEX($C$5:$C290,287-MA_SHORT):$C290),"")</f>
        <v>895255.5</v>
      </c>
      <c r="J290" s="45" t="n">
        <f aca="false">IF(AND(ISNUMBER($G290),$G290&gt;=MA_MED),AVERAGE(INDEX($C$5:$C290,287-MA_MED):$C290),"")</f>
        <v>878777.94</v>
      </c>
      <c r="K290" s="45" t="n">
        <f aca="false">IF(AND(ISNUMBER($G290),$G290&gt;=MA_LONG2),AVERAGE(INDEX($C$5:$C290,287-MA_LONG2):$C290),"")</f>
        <v>845201.86</v>
      </c>
      <c r="L290" s="46" t="n">
        <f aca="false">IF(AND(ISNUMBER($G290),$G290&gt;=21),STDEV(INDEX($H$230:$H290,62-20):$H290)*SQRT(245),"")</f>
        <v>0.0553556259572188</v>
      </c>
      <c r="M290" s="45" t="n">
        <f aca="false">IF(AND(ISNUMBER($G290),$G290&gt;=60),MAX(INDEX($D$90:$D290,202-60):$D290),"")</f>
        <v>905103</v>
      </c>
      <c r="N290" s="45" t="n">
        <f aca="false">IF(AND(ISNUMBER($G290),$G290&gt;=60),MIN(INDEX($E$90:$E290,202-60):$E290),"")</f>
        <v>833092</v>
      </c>
      <c r="O290" s="46" t="n">
        <f aca="false">IF(OR(NOT(ISNUMBER($C290)),NOT(ISNUMBER($M290)),$M290=0),"",$C290/$M290-1)</f>
        <v>-0.00336315314389635</v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900588</v>
      </c>
      <c r="D291" s="42" t="n">
        <v>902880</v>
      </c>
      <c r="E291" s="42" t="n">
        <v>900393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-0.0016307137338023</v>
      </c>
      <c r="I291" s="45" t="n">
        <f aca="false">IF(AND(ISNUMBER($G291),$G291&gt;=MA_SHORT),AVERAGE(INDEX($C$5:$C291,288-MA_SHORT):$C291),"")</f>
        <v>895574.5</v>
      </c>
      <c r="J291" s="45" t="n">
        <f aca="false">IF(AND(ISNUMBER($G291),$G291&gt;=MA_MED),AVERAGE(INDEX($C$5:$C291,288-MA_MED):$C291),"")</f>
        <v>879977.48</v>
      </c>
      <c r="K291" s="45" t="n">
        <f aca="false">IF(AND(ISNUMBER($G291),$G291&gt;=MA_LONG2),AVERAGE(INDEX($C$5:$C291,288-MA_LONG2):$C291),"")</f>
        <v>845754.105</v>
      </c>
      <c r="L291" s="46" t="n">
        <f aca="false">IF(AND(ISNUMBER($G291),$G291&gt;=21),STDEV(INDEX($H$231:$H291,62-20):$H291)*SQRT(245),"")</f>
        <v>0.0527561001456435</v>
      </c>
      <c r="M291" s="45" t="n">
        <f aca="false">IF(AND(ISNUMBER($G291),$G291&gt;=60),MAX(INDEX($D$91:$D291,202-60):$D291),"")</f>
        <v>905103</v>
      </c>
      <c r="N291" s="45" t="n">
        <f aca="false">IF(AND(ISNUMBER($G291),$G291&gt;=60),MIN(INDEX($E$91:$E291,202-60):$E291),"")</f>
        <v>833092</v>
      </c>
      <c r="O291" s="46" t="n">
        <f aca="false">IF(OR(NOT(ISNUMBER($C291)),NOT(ISNUMBER($M291)),$M291=0),"",$C291/$M291-1)</f>
        <v>-0.00498838253767808</v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907007</v>
      </c>
      <c r="D292" s="42" t="n">
        <v>908679</v>
      </c>
      <c r="E292" s="42" t="n">
        <v>906515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0.00712756554606542</v>
      </c>
      <c r="I292" s="45" t="n">
        <f aca="false">IF(AND(ISNUMBER($G292),$G292&gt;=MA_SHORT),AVERAGE(INDEX($C$5:$C292,289-MA_SHORT):$C292),"")</f>
        <v>896440.25</v>
      </c>
      <c r="J292" s="45" t="n">
        <f aca="false">IF(AND(ISNUMBER($G292),$G292&gt;=MA_MED),AVERAGE(INDEX($C$5:$C292,289-MA_MED):$C292),"")</f>
        <v>881328.1</v>
      </c>
      <c r="K292" s="45" t="n">
        <f aca="false">IF(AND(ISNUMBER($G292),$G292&gt;=MA_LONG2),AVERAGE(INDEX($C$5:$C292,289-MA_LONG2):$C292),"")</f>
        <v>846359.72</v>
      </c>
      <c r="L292" s="46" t="n">
        <f aca="false">IF(AND(ISNUMBER($G292),$G292&gt;=21),STDEV(INDEX($H$232:$H292,62-20):$H292)*SQRT(245),"")</f>
        <v>0.05385570772084</v>
      </c>
      <c r="M292" s="45" t="n">
        <f aca="false">IF(AND(ISNUMBER($G292),$G292&gt;=60),MAX(INDEX($D$92:$D292,202-60):$D292),"")</f>
        <v>908679</v>
      </c>
      <c r="N292" s="45" t="n">
        <f aca="false">IF(AND(ISNUMBER($G292),$G292&gt;=60),MIN(INDEX($E$92:$E292,202-60):$E292),"")</f>
        <v>833092</v>
      </c>
      <c r="O292" s="46" t="n">
        <f aca="false">IF(OR(NOT(ISNUMBER($C292)),NOT(ISNUMBER($M292)),$M292=0),"",$C292/$M292-1)</f>
        <v>-0.00184003371927821</v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905629</v>
      </c>
      <c r="D293" s="42" t="n">
        <v>905664</v>
      </c>
      <c r="E293" s="42" t="n">
        <v>904791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-0.00151928265162227</v>
      </c>
      <c r="I293" s="45" t="n">
        <f aca="false">IF(AND(ISNUMBER($G293),$G293&gt;=MA_SHORT),AVERAGE(INDEX($C$5:$C293,290-MA_SHORT):$C293),"")</f>
        <v>897227.3</v>
      </c>
      <c r="J293" s="45" t="n">
        <f aca="false">IF(AND(ISNUMBER($G293),$G293&gt;=MA_MED),AVERAGE(INDEX($C$5:$C293,290-MA_MED):$C293),"")</f>
        <v>882648.78</v>
      </c>
      <c r="K293" s="45" t="n">
        <f aca="false">IF(AND(ISNUMBER($G293),$G293&gt;=MA_LONG2),AVERAGE(INDEX($C$5:$C293,290-MA_LONG2):$C293),"")</f>
        <v>846936.14</v>
      </c>
      <c r="L293" s="46" t="n">
        <f aca="false">IF(AND(ISNUMBER($G293),$G293&gt;=21),STDEV(INDEX($H$233:$H293,62-20):$H293)*SQRT(245),"")</f>
        <v>0.0545080997291483</v>
      </c>
      <c r="M293" s="45" t="n">
        <f aca="false">IF(AND(ISNUMBER($G293),$G293&gt;=60),MAX(INDEX($D$93:$D293,202-60):$D293),"")</f>
        <v>908679</v>
      </c>
      <c r="N293" s="45" t="n">
        <f aca="false">IF(AND(ISNUMBER($G293),$G293&gt;=60),MIN(INDEX($E$93:$E293,202-60):$E293),"")</f>
        <v>833092</v>
      </c>
      <c r="O293" s="46" t="n">
        <f aca="false">IF(OR(NOT(ISNUMBER($C293)),NOT(ISNUMBER($M293)),$M293=0),"",$C293/$M293-1)</f>
        <v>-0.00335652083959237</v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906404</v>
      </c>
      <c r="D294" s="42" t="n">
        <v>910044</v>
      </c>
      <c r="E294" s="42" t="n">
        <v>903361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0.000855758815143881</v>
      </c>
      <c r="I294" s="45" t="n">
        <f aca="false">IF(AND(ISNUMBER($G294),$G294&gt;=MA_SHORT),AVERAGE(INDEX($C$5:$C294,291-MA_SHORT):$C294),"")</f>
        <v>898009.3</v>
      </c>
      <c r="J294" s="45" t="n">
        <f aca="false">IF(AND(ISNUMBER($G294),$G294&gt;=MA_MED),AVERAGE(INDEX($C$5:$C294,291-MA_MED):$C294),"")</f>
        <v>883885.2</v>
      </c>
      <c r="K294" s="45" t="n">
        <f aca="false">IF(AND(ISNUMBER($G294),$G294&gt;=MA_LONG2),AVERAGE(INDEX($C$5:$C294,291-MA_LONG2):$C294),"")</f>
        <v>847537.655</v>
      </c>
      <c r="L294" s="46" t="n">
        <f aca="false">IF(AND(ISNUMBER($G294),$G294&gt;=21),STDEV(INDEX($H$234:$H294,62-20):$H294)*SQRT(245),"")</f>
        <v>0.0545068685580039</v>
      </c>
      <c r="M294" s="45" t="n">
        <f aca="false">IF(AND(ISNUMBER($G294),$G294&gt;=60),MAX(INDEX($D$94:$D294,202-60):$D294),"")</f>
        <v>910044</v>
      </c>
      <c r="N294" s="45" t="n">
        <f aca="false">IF(AND(ISNUMBER($G294),$G294&gt;=60),MIN(INDEX($E$94:$E294,202-60):$E294),"")</f>
        <v>833092</v>
      </c>
      <c r="O294" s="46" t="n">
        <f aca="false">IF(OR(NOT(ISNUMBER($C294)),NOT(ISNUMBER($M294)),$M294=0),"",$C294/$M294-1)</f>
        <v>-0.00399980660275767</v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899905</v>
      </c>
      <c r="D295" s="42" t="n">
        <v>901101</v>
      </c>
      <c r="E295" s="42" t="n">
        <v>896983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-0.00717009192368967</v>
      </c>
      <c r="I295" s="45" t="n">
        <f aca="false">IF(AND(ISNUMBER($G295),$G295&gt;=MA_SHORT),AVERAGE(INDEX($C$5:$C295,292-MA_SHORT):$C295),"")</f>
        <v>898482.65</v>
      </c>
      <c r="J295" s="45" t="n">
        <f aca="false">IF(AND(ISNUMBER($G295),$G295&gt;=MA_MED),AVERAGE(INDEX($C$5:$C295,292-MA_MED):$C295),"")</f>
        <v>885054.14</v>
      </c>
      <c r="K295" s="45" t="n">
        <f aca="false">IF(AND(ISNUMBER($G295),$G295&gt;=MA_LONG2),AVERAGE(INDEX($C$5:$C295,292-MA_LONG2):$C295),"")</f>
        <v>848112.3</v>
      </c>
      <c r="L295" s="46" t="n">
        <f aca="false">IF(AND(ISNUMBER($G295),$G295&gt;=21),STDEV(INDEX($H$235:$H295,62-20):$H295)*SQRT(245),"")</f>
        <v>0.0612872776491801</v>
      </c>
      <c r="M295" s="45" t="n">
        <f aca="false">IF(AND(ISNUMBER($G295),$G295&gt;=60),MAX(INDEX($D$95:$D295,202-60):$D295),"")</f>
        <v>910044</v>
      </c>
      <c r="N295" s="45" t="n">
        <f aca="false">IF(AND(ISNUMBER($G295),$G295&gt;=60),MIN(INDEX($E$95:$E295,202-60):$E295),"")</f>
        <v>833092</v>
      </c>
      <c r="O295" s="46" t="n">
        <f aca="false">IF(OR(NOT(ISNUMBER($C295)),NOT(ISNUMBER($M295)),$M295=0),"",$C295/$M295-1)</f>
        <v>-0.0111412195454286</v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899113</v>
      </c>
      <c r="D296" s="42" t="n">
        <v>899809</v>
      </c>
      <c r="E296" s="42" t="n">
        <v>898898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-0.00088009289869484</v>
      </c>
      <c r="I296" s="45" t="n">
        <f aca="false">IF(AND(ISNUMBER($G296),$G296&gt;=MA_SHORT),AVERAGE(INDEX($C$5:$C296,293-MA_SHORT):$C296),"")</f>
        <v>898574.35</v>
      </c>
      <c r="J296" s="45" t="n">
        <f aca="false">IF(AND(ISNUMBER($G296),$G296&gt;=MA_MED),AVERAGE(INDEX($C$5:$C296,293-MA_MED):$C296),"")</f>
        <v>886207.36</v>
      </c>
      <c r="K296" s="45" t="n">
        <f aca="false">IF(AND(ISNUMBER($G296),$G296&gt;=MA_LONG2),AVERAGE(INDEX($C$5:$C296,293-MA_LONG2):$C296),"")</f>
        <v>848680.185</v>
      </c>
      <c r="L296" s="46" t="n">
        <f aca="false">IF(AND(ISNUMBER($G296),$G296&gt;=21),STDEV(INDEX($H$236:$H296,62-20):$H296)*SQRT(245),"")</f>
        <v>0.0554630420509757</v>
      </c>
      <c r="M296" s="45" t="n">
        <f aca="false">IF(AND(ISNUMBER($G296),$G296&gt;=60),MAX(INDEX($D$96:$D296,202-60):$D296),"")</f>
        <v>910044</v>
      </c>
      <c r="N296" s="45" t="n">
        <f aca="false">IF(AND(ISNUMBER($G296),$G296&gt;=60),MIN(INDEX($E$96:$E296,202-60):$E296),"")</f>
        <v>833092</v>
      </c>
      <c r="O296" s="46" t="n">
        <f aca="false">IF(OR(NOT(ISNUMBER($C296)),NOT(ISNUMBER($M296)),$M296=0),"",$C296/$M296-1)</f>
        <v>-0.0120115071359187</v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907646</v>
      </c>
      <c r="D297" s="42" t="n">
        <v>908597</v>
      </c>
      <c r="E297" s="42" t="n">
        <v>903311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0.00949046449111513</v>
      </c>
      <c r="I297" s="45" t="n">
        <f aca="false">IF(AND(ISNUMBER($G297),$G297&gt;=MA_SHORT),AVERAGE(INDEX($C$5:$C297,294-MA_SHORT):$C297),"")</f>
        <v>899045.4</v>
      </c>
      <c r="J297" s="45" t="n">
        <f aca="false">IF(AND(ISNUMBER($G297),$G297&gt;=MA_MED),AVERAGE(INDEX($C$5:$C297,294-MA_MED):$C297),"")</f>
        <v>887552.42</v>
      </c>
      <c r="K297" s="45" t="n">
        <f aca="false">IF(AND(ISNUMBER($G297),$G297&gt;=MA_LONG2),AVERAGE(INDEX($C$5:$C297,294-MA_LONG2):$C297),"")</f>
        <v>849272.1</v>
      </c>
      <c r="L297" s="46" t="n">
        <f aca="false">IF(AND(ISNUMBER($G297),$G297&gt;=21),STDEV(INDEX($H$237:$H297,62-20):$H297)*SQRT(245),"")</f>
        <v>0.0644502657379323</v>
      </c>
      <c r="M297" s="45" t="n">
        <f aca="false">IF(AND(ISNUMBER($G297),$G297&gt;=60),MAX(INDEX($D$97:$D297,202-60):$D297),"")</f>
        <v>910044</v>
      </c>
      <c r="N297" s="45" t="n">
        <f aca="false">IF(AND(ISNUMBER($G297),$G297&gt;=60),MIN(INDEX($E$97:$E297,202-60):$E297),"")</f>
        <v>833092</v>
      </c>
      <c r="O297" s="46" t="n">
        <f aca="false">IF(OR(NOT(ISNUMBER($C297)),NOT(ISNUMBER($M297)),$M297=0),"",$C297/$M297-1)</f>
        <v>-0.00263503742676174</v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910659</v>
      </c>
      <c r="D298" s="42" t="n">
        <v>911493</v>
      </c>
      <c r="E298" s="42" t="n">
        <v>910420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0.00331957613430789</v>
      </c>
      <c r="I298" s="45" t="n">
        <f aca="false">IF(AND(ISNUMBER($G298),$G298&gt;=MA_SHORT),AVERAGE(INDEX($C$5:$C298,295-MA_SHORT):$C298),"")</f>
        <v>899714.1</v>
      </c>
      <c r="J298" s="45" t="n">
        <f aca="false">IF(AND(ISNUMBER($G298),$G298&gt;=MA_MED),AVERAGE(INDEX($C$5:$C298,295-MA_MED):$C298),"")</f>
        <v>888993.18</v>
      </c>
      <c r="K298" s="45" t="n">
        <f aca="false">IF(AND(ISNUMBER($G298),$G298&gt;=MA_LONG2),AVERAGE(INDEX($C$5:$C298,295-MA_LONG2):$C298),"")</f>
        <v>849882.075</v>
      </c>
      <c r="L298" s="46" t="n">
        <f aca="false">IF(AND(ISNUMBER($G298),$G298&gt;=21),STDEV(INDEX($H$238:$H298,62-20):$H298)*SQRT(245),"")</f>
        <v>0.0648834094431221</v>
      </c>
      <c r="M298" s="45" t="n">
        <f aca="false">IF(AND(ISNUMBER($G298),$G298&gt;=60),MAX(INDEX($D$98:$D298,202-60):$D298),"")</f>
        <v>911493</v>
      </c>
      <c r="N298" s="45" t="n">
        <f aca="false">IF(AND(ISNUMBER($G298),$G298&gt;=60),MIN(INDEX($E$98:$E298,202-60):$E298),"")</f>
        <v>833092</v>
      </c>
      <c r="O298" s="46" t="n">
        <f aca="false">IF(OR(NOT(ISNUMBER($C298)),NOT(ISNUMBER($M298)),$M298=0),"",$C298/$M298-1)</f>
        <v>-0.000914982342157367</v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905965</v>
      </c>
      <c r="D299" s="42" t="n">
        <v>909152</v>
      </c>
      <c r="E299" s="42" t="n">
        <v>902762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-0.00515450898744752</v>
      </c>
      <c r="I299" s="45" t="n">
        <f aca="false">IF(AND(ISNUMBER($G299),$G299&gt;=MA_SHORT),AVERAGE(INDEX($C$5:$C299,296-MA_SHORT):$C299),"")</f>
        <v>900230.1</v>
      </c>
      <c r="J299" s="45" t="n">
        <f aca="false">IF(AND(ISNUMBER($G299),$G299&gt;=MA_MED),AVERAGE(INDEX($C$5:$C299,296-MA_MED):$C299),"")</f>
        <v>890341.44</v>
      </c>
      <c r="K299" s="45" t="n">
        <f aca="false">IF(AND(ISNUMBER($G299),$G299&gt;=MA_LONG2),AVERAGE(INDEX($C$5:$C299,296-MA_LONG2):$C299),"")</f>
        <v>850464.655</v>
      </c>
      <c r="L299" s="46" t="n">
        <f aca="false">IF(AND(ISNUMBER($G299),$G299&gt;=21),STDEV(INDEX($H$239:$H299,62-20):$H299)*SQRT(245),"")</f>
        <v>0.0675753966482537</v>
      </c>
      <c r="M299" s="45" t="n">
        <f aca="false">IF(AND(ISNUMBER($G299),$G299&gt;=60),MAX(INDEX($D$99:$D299,202-60):$D299),"")</f>
        <v>911493</v>
      </c>
      <c r="N299" s="45" t="n">
        <f aca="false">IF(AND(ISNUMBER($G299),$G299&gt;=60),MIN(INDEX($E$99:$E299,202-60):$E299),"")</f>
        <v>833092</v>
      </c>
      <c r="O299" s="46" t="n">
        <f aca="false">IF(OR(NOT(ISNUMBER($C299)),NOT(ISNUMBER($M299)),$M299=0),"",$C299/$M299-1)</f>
        <v>-0.00606477504489889</v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907227</v>
      </c>
      <c r="D300" s="42" t="n">
        <v>909570</v>
      </c>
      <c r="E300" s="42" t="n">
        <v>907073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0.00139298979541147</v>
      </c>
      <c r="I300" s="45" t="n">
        <f aca="false">IF(AND(ISNUMBER($G300),$G300&gt;=MA_SHORT),AVERAGE(INDEX($C$5:$C300,297-MA_SHORT):$C300),"")</f>
        <v>900659.55</v>
      </c>
      <c r="J300" s="45" t="n">
        <f aca="false">IF(AND(ISNUMBER($G300),$G300&gt;=MA_MED),AVERAGE(INDEX($C$5:$C300,297-MA_MED):$C300),"")</f>
        <v>891624.92</v>
      </c>
      <c r="K300" s="45" t="n">
        <f aca="false">IF(AND(ISNUMBER($G300),$G300&gt;=MA_LONG2),AVERAGE(INDEX($C$5:$C300,297-MA_LONG2):$C300),"")</f>
        <v>851046.05</v>
      </c>
      <c r="L300" s="46" t="n">
        <f aca="false">IF(AND(ISNUMBER($G300),$G300&gt;=21),STDEV(INDEX($H$240:$H300,62-20):$H300)*SQRT(245),"")</f>
        <v>0.0668898400596204</v>
      </c>
      <c r="M300" s="45" t="n">
        <f aca="false">IF(AND(ISNUMBER($G300),$G300&gt;=60),MAX(INDEX($D$100:$D300,202-60):$D300),"")</f>
        <v>911493</v>
      </c>
      <c r="N300" s="45" t="n">
        <f aca="false">IF(AND(ISNUMBER($G300),$G300&gt;=60),MIN(INDEX($E$100:$E300,202-60):$E300),"")</f>
        <v>833092</v>
      </c>
      <c r="O300" s="46" t="n">
        <f aca="false">IF(OR(NOT(ISNUMBER($C300)),NOT(ISNUMBER($M300)),$M300=0),"",$C300/$M300-1)</f>
        <v>-0.0046802334192364</v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909293</v>
      </c>
      <c r="D301" s="42" t="n">
        <v>910913</v>
      </c>
      <c r="E301" s="42" t="n">
        <v>908560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0.00227726908480452</v>
      </c>
      <c r="I301" s="45" t="n">
        <f aca="false">IF(AND(ISNUMBER($G301),$G301&gt;=MA_SHORT),AVERAGE(INDEX($C$5:$C301,298-MA_SHORT):$C301),"")</f>
        <v>901300.8</v>
      </c>
      <c r="J301" s="45" t="n">
        <f aca="false">IF(AND(ISNUMBER($G301),$G301&gt;=MA_MED),AVERAGE(INDEX($C$5:$C301,298-MA_MED):$C301),"")</f>
        <v>892868.16</v>
      </c>
      <c r="K301" s="45" t="n">
        <f aca="false">IF(AND(ISNUMBER($G301),$G301&gt;=MA_LONG2),AVERAGE(INDEX($C$5:$C301,298-MA_LONG2):$C301),"")</f>
        <v>851626.965</v>
      </c>
      <c r="L301" s="46" t="n">
        <f aca="false">IF(AND(ISNUMBER($G301),$G301&gt;=21),STDEV(INDEX($H$241:$H301,62-20):$H301)*SQRT(245),"")</f>
        <v>0.0662806448451143</v>
      </c>
      <c r="M301" s="45" t="n">
        <f aca="false">IF(AND(ISNUMBER($G301),$G301&gt;=60),MAX(INDEX($D$101:$D301,202-60):$D301),"")</f>
        <v>911493</v>
      </c>
      <c r="N301" s="45" t="n">
        <f aca="false">IF(AND(ISNUMBER($G301),$G301&gt;=60),MIN(INDEX($E$101:$E301,202-60):$E301),"")</f>
        <v>835714</v>
      </c>
      <c r="O301" s="46" t="n">
        <f aca="false">IF(OR(NOT(ISNUMBER($C301)),NOT(ISNUMBER($M301)),$M301=0),"",$C301/$M301-1)</f>
        <v>-0.00241362248530708</v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906608</v>
      </c>
      <c r="D302" s="42" t="n">
        <v>907423</v>
      </c>
      <c r="E302" s="42" t="n">
        <v>902398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-0.00295284358287151</v>
      </c>
      <c r="I302" s="45" t="n">
        <f aca="false">IF(AND(ISNUMBER($G302),$G302&gt;=MA_SHORT),AVERAGE(INDEX($C$5:$C302,299-MA_SHORT):$C302),"")</f>
        <v>901846.95</v>
      </c>
      <c r="J302" s="45" t="n">
        <f aca="false">IF(AND(ISNUMBER($G302),$G302&gt;=MA_MED),AVERAGE(INDEX($C$5:$C302,299-MA_MED):$C302),"")</f>
        <v>894037.86</v>
      </c>
      <c r="K302" s="45" t="n">
        <f aca="false">IF(AND(ISNUMBER($G302),$G302&gt;=MA_LONG2),AVERAGE(INDEX($C$5:$C302,299-MA_LONG2):$C302),"")</f>
        <v>852215.13</v>
      </c>
      <c r="L302" s="46" t="n">
        <f aca="false">IF(AND(ISNUMBER($G302),$G302&gt;=21),STDEV(INDEX($H$242:$H302,62-20):$H302)*SQRT(245),"")</f>
        <v>0.0673163381574396</v>
      </c>
      <c r="M302" s="45" t="n">
        <f aca="false">IF(AND(ISNUMBER($G302),$G302&gt;=60),MAX(INDEX($D$102:$D302,202-60):$D302),"")</f>
        <v>911493</v>
      </c>
      <c r="N302" s="45" t="n">
        <f aca="false">IF(AND(ISNUMBER($G302),$G302&gt;=60),MIN(INDEX($E$102:$E302,202-60):$E302),"")</f>
        <v>835714</v>
      </c>
      <c r="O302" s="46" t="n">
        <f aca="false">IF(OR(NOT(ISNUMBER($C302)),NOT(ISNUMBER($M302)),$M302=0),"",$C302/$M302-1)</f>
        <v>-0.00535933901851138</v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907779</v>
      </c>
      <c r="D303" s="42" t="n">
        <v>907807</v>
      </c>
      <c r="E303" s="42" t="n">
        <v>907755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0.00129162769355662</v>
      </c>
      <c r="I303" s="45" t="n">
        <f aca="false">IF(AND(ISNUMBER($G303),$G303&gt;=MA_SHORT),AVERAGE(INDEX($C$5:$C303,300-MA_SHORT):$C303),"")</f>
        <v>902570.7</v>
      </c>
      <c r="J303" s="45" t="n">
        <f aca="false">IF(AND(ISNUMBER($G303),$G303&gt;=MA_MED),AVERAGE(INDEX($C$5:$C303,300-MA_MED):$C303),"")</f>
        <v>895257.84</v>
      </c>
      <c r="K303" s="45" t="n">
        <f aca="false">IF(AND(ISNUMBER($G303),$G303&gt;=MA_LONG2),AVERAGE(INDEX($C$5:$C303,300-MA_LONG2):$C303),"")</f>
        <v>852784.805</v>
      </c>
      <c r="L303" s="46" t="n">
        <f aca="false">IF(AND(ISNUMBER($G303),$G303&gt;=21),STDEV(INDEX($H$243:$H303,62-20):$H303)*SQRT(245),"")</f>
        <v>0.0662508172755653</v>
      </c>
      <c r="M303" s="45" t="n">
        <f aca="false">IF(AND(ISNUMBER($G303),$G303&gt;=60),MAX(INDEX($D$103:$D303,202-60):$D303),"")</f>
        <v>911493</v>
      </c>
      <c r="N303" s="45" t="n">
        <f aca="false">IF(AND(ISNUMBER($G303),$G303&gt;=60),MIN(INDEX($E$103:$E303,202-60):$E303),"")</f>
        <v>835714</v>
      </c>
      <c r="O303" s="46" t="n">
        <f aca="false">IF(OR(NOT(ISNUMBER($C303)),NOT(ISNUMBER($M303)),$M303=0),"",$C303/$M303-1)</f>
        <v>-0.00407463359565019</v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906021</v>
      </c>
      <c r="D304" s="42" t="n">
        <v>909025</v>
      </c>
      <c r="E304" s="42" t="n">
        <v>905841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-0.00193659469981133</v>
      </c>
      <c r="I304" s="45" t="n">
        <f aca="false">IF(AND(ISNUMBER($G304),$G304&gt;=MA_SHORT),AVERAGE(INDEX($C$5:$C304,301-MA_SHORT):$C304),"")</f>
        <v>903118.25</v>
      </c>
      <c r="J304" s="45" t="n">
        <f aca="false">IF(AND(ISNUMBER($G304),$G304&gt;=MA_MED),AVERAGE(INDEX($C$5:$C304,301-MA_MED):$C304),"")</f>
        <v>896456.6</v>
      </c>
      <c r="K304" s="45" t="n">
        <f aca="false">IF(AND(ISNUMBER($G304),$G304&gt;=MA_LONG2),AVERAGE(INDEX($C$5:$C304,301-MA_LONG2):$C304),"")</f>
        <v>853355.545</v>
      </c>
      <c r="L304" s="46" t="n">
        <f aca="false">IF(AND(ISNUMBER($G304),$G304&gt;=21),STDEV(INDEX($H$244:$H304,62-20):$H304)*SQRT(245),"")</f>
        <v>0.0667777394510582</v>
      </c>
      <c r="M304" s="45" t="n">
        <f aca="false">IF(AND(ISNUMBER($G304),$G304&gt;=60),MAX(INDEX($D$104:$D304,202-60):$D304),"")</f>
        <v>911493</v>
      </c>
      <c r="N304" s="45" t="n">
        <f aca="false">IF(AND(ISNUMBER($G304),$G304&gt;=60),MIN(INDEX($E$104:$E304,202-60):$E304),"")</f>
        <v>835714</v>
      </c>
      <c r="O304" s="46" t="n">
        <f aca="false">IF(OR(NOT(ISNUMBER($C304)),NOT(ISNUMBER($M304)),$M304=0),"",$C304/$M304-1)</f>
        <v>-0.0060033373816365</v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907201</v>
      </c>
      <c r="D305" s="42" t="n">
        <v>909560</v>
      </c>
      <c r="E305" s="42" t="n">
        <v>904546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0.001302398068036</v>
      </c>
      <c r="I305" s="45" t="n">
        <f aca="false">IF(AND(ISNUMBER($G305),$G305&gt;=MA_SHORT),AVERAGE(INDEX($C$5:$C305,302-MA_SHORT):$C305),"")</f>
        <v>903588.4</v>
      </c>
      <c r="J305" s="45" t="n">
        <f aca="false">IF(AND(ISNUMBER($G305),$G305&gt;=MA_MED),AVERAGE(INDEX($C$5:$C305,302-MA_MED):$C305),"")</f>
        <v>896998.62</v>
      </c>
      <c r="K305" s="45" t="n">
        <f aca="false">IF(AND(ISNUMBER($G305),$G305&gt;=MA_LONG2),AVERAGE(INDEX($C$5:$C305,302-MA_LONG2):$C305),"")</f>
        <v>853927.44</v>
      </c>
      <c r="L305" s="46" t="n">
        <f aca="false">IF(AND(ISNUMBER($G305),$G305&gt;=21),STDEV(INDEX($H$245:$H305,62-20):$H305)*SQRT(245),"")</f>
        <v>0.0662356412670203</v>
      </c>
      <c r="M305" s="45" t="n">
        <f aca="false">IF(AND(ISNUMBER($G305),$G305&gt;=60),MAX(INDEX($D$105:$D305,202-60):$D305),"")</f>
        <v>911493</v>
      </c>
      <c r="N305" s="45" t="n">
        <f aca="false">IF(AND(ISNUMBER($G305),$G305&gt;=60),MIN(INDEX($E$105:$E305,202-60):$E305),"")</f>
        <v>835714</v>
      </c>
      <c r="O305" s="46" t="n">
        <f aca="false">IF(OR(NOT(ISNUMBER($C305)),NOT(ISNUMBER($M305)),$M305=0),"",$C305/$M305-1)</f>
        <v>-0.00470875804860815</v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903369</v>
      </c>
      <c r="D306" s="42" t="n">
        <v>906901</v>
      </c>
      <c r="E306" s="42" t="n">
        <v>902197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-0.00422398123458856</v>
      </c>
      <c r="I306" s="45" t="n">
        <f aca="false">IF(AND(ISNUMBER($G306),$G306&gt;=MA_SHORT),AVERAGE(INDEX($C$5:$C306,303-MA_SHORT):$C306),"")</f>
        <v>903889.85</v>
      </c>
      <c r="J306" s="45" t="n">
        <f aca="false">IF(AND(ISNUMBER($G306),$G306&gt;=MA_MED),AVERAGE(INDEX($C$5:$C306,303-MA_MED):$C306),"")</f>
        <v>897361.52</v>
      </c>
      <c r="K306" s="45" t="n">
        <f aca="false">IF(AND(ISNUMBER($G306),$G306&gt;=MA_LONG2),AVERAGE(INDEX($C$5:$C306,303-MA_LONG2):$C306),"")</f>
        <v>854470.95</v>
      </c>
      <c r="L306" s="46" t="n">
        <f aca="false">IF(AND(ISNUMBER($G306),$G306&gt;=21),STDEV(INDEX($H$246:$H306,62-20):$H306)*SQRT(245),"")</f>
        <v>0.0682327006187557</v>
      </c>
      <c r="M306" s="45" t="n">
        <f aca="false">IF(AND(ISNUMBER($G306),$G306&gt;=60),MAX(INDEX($D$106:$D306,202-60):$D306),"")</f>
        <v>911493</v>
      </c>
      <c r="N306" s="45" t="n">
        <f aca="false">IF(AND(ISNUMBER($G306),$G306&gt;=60),MIN(INDEX($E$106:$E306,202-60):$E306),"")</f>
        <v>835714</v>
      </c>
      <c r="O306" s="46" t="n">
        <f aca="false">IF(OR(NOT(ISNUMBER($C306)),NOT(ISNUMBER($M306)),$M306=0),"",$C306/$M306-1)</f>
        <v>-0.00891284957756122</v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910508</v>
      </c>
      <c r="D307" s="42" t="n">
        <v>911792</v>
      </c>
      <c r="E307" s="42" t="n">
        <v>905955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0.00790264000646479</v>
      </c>
      <c r="I307" s="45" t="n">
        <f aca="false">IF(AND(ISNUMBER($G307),$G307&gt;=MA_SHORT),AVERAGE(INDEX($C$5:$C307,304-MA_SHORT):$C307),"")</f>
        <v>904557.65</v>
      </c>
      <c r="J307" s="45" t="n">
        <f aca="false">IF(AND(ISNUMBER($G307),$G307&gt;=MA_MED),AVERAGE(INDEX($C$5:$C307,304-MA_MED):$C307),"")</f>
        <v>897954.34</v>
      </c>
      <c r="K307" s="45" t="n">
        <f aca="false">IF(AND(ISNUMBER($G307),$G307&gt;=MA_LONG2),AVERAGE(INDEX($C$5:$C307,304-MA_LONG2):$C307),"")</f>
        <v>855056.79</v>
      </c>
      <c r="L307" s="46" t="n">
        <f aca="false">IF(AND(ISNUMBER($G307),$G307&gt;=21),STDEV(INDEX($H$247:$H307,62-20):$H307)*SQRT(245),"")</f>
        <v>0.0731167774286867</v>
      </c>
      <c r="M307" s="45" t="n">
        <f aca="false">IF(AND(ISNUMBER($G307),$G307&gt;=60),MAX(INDEX($D$107:$D307,202-60):$D307),"")</f>
        <v>911792</v>
      </c>
      <c r="N307" s="45" t="n">
        <f aca="false">IF(AND(ISNUMBER($G307),$G307&gt;=60),MIN(INDEX($E$107:$E307,202-60):$E307),"")</f>
        <v>835714</v>
      </c>
      <c r="O307" s="46" t="n">
        <f aca="false">IF(OR(NOT(ISNUMBER($C307)),NOT(ISNUMBER($M307)),$M307=0),"",$C307/$M307-1)</f>
        <v>-0.00140821590889151</v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910149</v>
      </c>
      <c r="D308" s="42" t="n">
        <v>917671</v>
      </c>
      <c r="E308" s="42" t="n">
        <v>909535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-0.000394285387937288</v>
      </c>
      <c r="I308" s="45" t="n">
        <f aca="false">IF(AND(ISNUMBER($G308),$G308&gt;=MA_SHORT),AVERAGE(INDEX($C$5:$C308,305-MA_SHORT):$C308),"")</f>
        <v>905393.9</v>
      </c>
      <c r="J308" s="45" t="n">
        <f aca="false">IF(AND(ISNUMBER($G308),$G308&gt;=MA_MED),AVERAGE(INDEX($C$5:$C308,305-MA_MED):$C308),"")</f>
        <v>898391.22</v>
      </c>
      <c r="K308" s="45" t="n">
        <f aca="false">IF(AND(ISNUMBER($G308),$G308&gt;=MA_LONG2),AVERAGE(INDEX($C$5:$C308,305-MA_LONG2):$C308),"")</f>
        <v>855659.695</v>
      </c>
      <c r="L308" s="46" t="n">
        <f aca="false">IF(AND(ISNUMBER($G308),$G308&gt;=21),STDEV(INDEX($H$248:$H308,62-20):$H308)*SQRT(245),"")</f>
        <v>0.0710182716214747</v>
      </c>
      <c r="M308" s="45" t="n">
        <f aca="false">IF(AND(ISNUMBER($G308),$G308&gt;=60),MAX(INDEX($D$108:$D308,202-60):$D308),"")</f>
        <v>917671</v>
      </c>
      <c r="N308" s="45" t="n">
        <f aca="false">IF(AND(ISNUMBER($G308),$G308&gt;=60),MIN(INDEX($E$108:$E308,202-60):$E308),"")</f>
        <v>837768</v>
      </c>
      <c r="O308" s="46" t="n">
        <f aca="false">IF(OR(NOT(ISNUMBER($C308)),NOT(ISNUMBER($M308)),$M308=0),"",$C308/$M308-1)</f>
        <v>-0.00819683742866451</v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906683</v>
      </c>
      <c r="D309" s="42" t="n">
        <v>910703</v>
      </c>
      <c r="E309" s="42" t="n">
        <v>903922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-0.00380816767364467</v>
      </c>
      <c r="I309" s="45" t="n">
        <f aca="false">IF(AND(ISNUMBER($G309),$G309&gt;=MA_SHORT),AVERAGE(INDEX($C$5:$C309,306-MA_SHORT):$C309),"")</f>
        <v>905990.65</v>
      </c>
      <c r="J309" s="45" t="n">
        <f aca="false">IF(AND(ISNUMBER($G309),$G309&gt;=MA_MED),AVERAGE(INDEX($C$5:$C309,306-MA_MED):$C309),"")</f>
        <v>898573.54</v>
      </c>
      <c r="K309" s="45" t="n">
        <f aca="false">IF(AND(ISNUMBER($G309),$G309&gt;=MA_LONG2),AVERAGE(INDEX($C$5:$C309,306-MA_LONG2):$C309),"")</f>
        <v>856207.32</v>
      </c>
      <c r="L309" s="46" t="n">
        <f aca="false">IF(AND(ISNUMBER($G309),$G309&gt;=21),STDEV(INDEX($H$249:$H309,62-20):$H309)*SQRT(245),"")</f>
        <v>0.072884445811499</v>
      </c>
      <c r="M309" s="45" t="n">
        <f aca="false">IF(AND(ISNUMBER($G309),$G309&gt;=60),MAX(INDEX($D$109:$D309,202-60):$D309),"")</f>
        <v>917671</v>
      </c>
      <c r="N309" s="45" t="n">
        <f aca="false">IF(AND(ISNUMBER($G309),$G309&gt;=60),MIN(INDEX($E$109:$E309,202-60):$E309),"")</f>
        <v>840717</v>
      </c>
      <c r="O309" s="46" t="n">
        <f aca="false">IF(OR(NOT(ISNUMBER($C309)),NOT(ISNUMBER($M309)),$M309=0),"",$C309/$M309-1)</f>
        <v>-0.0119737901709872</v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903775</v>
      </c>
      <c r="D310" s="42" t="n">
        <v>904757</v>
      </c>
      <c r="E310" s="42" t="n">
        <v>898208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-0.00320729516269747</v>
      </c>
      <c r="I310" s="45" t="n">
        <f aca="false">IF(AND(ISNUMBER($G310),$G310&gt;=MA_SHORT),AVERAGE(INDEX($C$5:$C310,307-MA_SHORT):$C310),"")</f>
        <v>906076.45</v>
      </c>
      <c r="J310" s="45" t="n">
        <f aca="false">IF(AND(ISNUMBER($G310),$G310&gt;=MA_MED),AVERAGE(INDEX($C$5:$C310,307-MA_MED):$C310),"")</f>
        <v>898702.62</v>
      </c>
      <c r="K310" s="45" t="n">
        <f aca="false">IF(AND(ISNUMBER($G310),$G310&gt;=MA_LONG2),AVERAGE(INDEX($C$5:$C310,307-MA_LONG2):$C310),"")</f>
        <v>856731.2</v>
      </c>
      <c r="L310" s="46" t="n">
        <f aca="false">IF(AND(ISNUMBER($G310),$G310&gt;=21),STDEV(INDEX($H$250:$H310,62-20):$H310)*SQRT(245),"")</f>
        <v>0.0685411462053602</v>
      </c>
      <c r="M310" s="45" t="n">
        <f aca="false">IF(AND(ISNUMBER($G310),$G310&gt;=60),MAX(INDEX($D$110:$D310,202-60):$D310),"")</f>
        <v>917671</v>
      </c>
      <c r="N310" s="45" t="n">
        <f aca="false">IF(AND(ISNUMBER($G310),$G310&gt;=60),MIN(INDEX($E$110:$E310,202-60):$E310),"")</f>
        <v>843321</v>
      </c>
      <c r="O310" s="46" t="n">
        <f aca="false">IF(OR(NOT(ISNUMBER($C310)),NOT(ISNUMBER($M310)),$M310=0),"",$C310/$M310-1)</f>
        <v>-0.0151426818543901</v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907197</v>
      </c>
      <c r="D311" s="42" t="n">
        <v>907447</v>
      </c>
      <c r="E311" s="42" t="n">
        <v>906571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0.00378634062681527</v>
      </c>
      <c r="I311" s="45" t="n">
        <f aca="false">IF(AND(ISNUMBER($G311),$G311&gt;=MA_SHORT),AVERAGE(INDEX($C$5:$C311,308-MA_SHORT):$C311),"")</f>
        <v>906406.9</v>
      </c>
      <c r="J311" s="45" t="n">
        <f aca="false">IF(AND(ISNUMBER($G311),$G311&gt;=MA_MED),AVERAGE(INDEX($C$5:$C311,308-MA_MED):$C311),"")</f>
        <v>898889.86</v>
      </c>
      <c r="K311" s="45" t="n">
        <f aca="false">IF(AND(ISNUMBER($G311),$G311&gt;=MA_LONG2),AVERAGE(INDEX($C$5:$C311,308-MA_LONG2):$C311),"")</f>
        <v>857282.65</v>
      </c>
      <c r="L311" s="46" t="n">
        <f aca="false">IF(AND(ISNUMBER($G311),$G311&gt;=21),STDEV(INDEX($H$251:$H311,62-20):$H311)*SQRT(245),"")</f>
        <v>0.0693901787908343</v>
      </c>
      <c r="M311" s="45" t="n">
        <f aca="false">IF(AND(ISNUMBER($G311),$G311&gt;=60),MAX(INDEX($D$111:$D311,202-60):$D311),"")</f>
        <v>917671</v>
      </c>
      <c r="N311" s="45" t="n">
        <f aca="false">IF(AND(ISNUMBER($G311),$G311&gt;=60),MIN(INDEX($E$111:$E311,202-60):$E311),"")</f>
        <v>843321</v>
      </c>
      <c r="O311" s="46" t="n">
        <f aca="false">IF(OR(NOT(ISNUMBER($C311)),NOT(ISNUMBER($M311)),$M311=0),"",$C311/$M311-1)</f>
        <v>-0.011413676579079</v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901516</v>
      </c>
      <c r="D312" s="42" t="n">
        <v>902971</v>
      </c>
      <c r="E312" s="42" t="n">
        <v>899950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-0.00626214592861307</v>
      </c>
      <c r="I312" s="45" t="n">
        <f aca="false">IF(AND(ISNUMBER($G312),$G312&gt;=MA_SHORT),AVERAGE(INDEX($C$5:$C312,309-MA_SHORT):$C312),"")</f>
        <v>906132.35</v>
      </c>
      <c r="J312" s="45" t="n">
        <f aca="false">IF(AND(ISNUMBER($G312),$G312&gt;=MA_MED),AVERAGE(INDEX($C$5:$C312,309-MA_MED):$C312),"")</f>
        <v>898922.24</v>
      </c>
      <c r="K312" s="45" t="n">
        <f aca="false">IF(AND(ISNUMBER($G312),$G312&gt;=MA_LONG2),AVERAGE(INDEX($C$5:$C312,309-MA_LONG2):$C312),"")</f>
        <v>857790.28</v>
      </c>
      <c r="L312" s="46" t="n">
        <f aca="false">IF(AND(ISNUMBER($G312),$G312&gt;=21),STDEV(INDEX($H$252:$H312,62-20):$H312)*SQRT(245),"")</f>
        <v>0.0684066430682471</v>
      </c>
      <c r="M312" s="45" t="n">
        <f aca="false">IF(AND(ISNUMBER($G312),$G312&gt;=60),MAX(INDEX($D$112:$D312,202-60):$D312),"")</f>
        <v>917671</v>
      </c>
      <c r="N312" s="45" t="n">
        <f aca="false">IF(AND(ISNUMBER($G312),$G312&gt;=60),MIN(INDEX($E$112:$E312,202-60):$E312),"")</f>
        <v>843321</v>
      </c>
      <c r="O312" s="46" t="n">
        <f aca="false">IF(OR(NOT(ISNUMBER($C312)),NOT(ISNUMBER($M312)),$M312=0),"",$C312/$M312-1)</f>
        <v>-0.0176043483993719</v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901416</v>
      </c>
      <c r="D313" s="42" t="n">
        <v>903000</v>
      </c>
      <c r="E313" s="42" t="n">
        <v>897493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-0.000110924265348644</v>
      </c>
      <c r="I313" s="45" t="n">
        <f aca="false">IF(AND(ISNUMBER($G313),$G313&gt;=MA_SHORT),AVERAGE(INDEX($C$5:$C313,310-MA_SHORT):$C313),"")</f>
        <v>905921.7</v>
      </c>
      <c r="J313" s="45" t="n">
        <f aca="false">IF(AND(ISNUMBER($G313),$G313&gt;=MA_MED),AVERAGE(INDEX($C$5:$C313,310-MA_MED):$C313),"")</f>
        <v>899059.3</v>
      </c>
      <c r="K313" s="45" t="n">
        <f aca="false">IF(AND(ISNUMBER($G313),$G313&gt;=MA_LONG2),AVERAGE(INDEX($C$5:$C313,310-MA_LONG2):$C313),"")</f>
        <v>858305.77</v>
      </c>
      <c r="L313" s="46" t="n">
        <f aca="false">IF(AND(ISNUMBER($G313),$G313&gt;=21),STDEV(INDEX($H$253:$H313,62-20):$H313)*SQRT(245),"")</f>
        <v>0.0682589310023365</v>
      </c>
      <c r="M313" s="45" t="n">
        <f aca="false">IF(AND(ISNUMBER($G313),$G313&gt;=60),MAX(INDEX($D$113:$D313,202-60):$D313),"")</f>
        <v>917671</v>
      </c>
      <c r="N313" s="45" t="n">
        <f aca="false">IF(AND(ISNUMBER($G313),$G313&gt;=60),MIN(INDEX($E$113:$E313,202-60):$E313),"")</f>
        <v>843321</v>
      </c>
      <c r="O313" s="46" t="n">
        <f aca="false">IF(OR(NOT(ISNUMBER($C313)),NOT(ISNUMBER($M313)),$M313=0),"",$C313/$M313-1)</f>
        <v>-0.0177133199153073</v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897737</v>
      </c>
      <c r="D314" s="42" t="n">
        <v>899171</v>
      </c>
      <c r="E314" s="42" t="n">
        <v>897213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-0.00408135644363983</v>
      </c>
      <c r="I314" s="45" t="n">
        <f aca="false">IF(AND(ISNUMBER($G314),$G314&gt;=MA_SHORT),AVERAGE(INDEX($C$5:$C314,311-MA_SHORT):$C314),"")</f>
        <v>905488.35</v>
      </c>
      <c r="J314" s="45" t="n">
        <f aca="false">IF(AND(ISNUMBER($G314),$G314&gt;=MA_MED),AVERAGE(INDEX($C$5:$C314,311-MA_MED):$C314),"")</f>
        <v>899100.02</v>
      </c>
      <c r="K314" s="45" t="n">
        <f aca="false">IF(AND(ISNUMBER($G314),$G314&gt;=MA_LONG2),AVERAGE(INDEX($C$5:$C314,311-MA_LONG2):$C314),"")</f>
        <v>858811.855</v>
      </c>
      <c r="L314" s="46" t="n">
        <f aca="false">IF(AND(ISNUMBER($G314),$G314&gt;=21),STDEV(INDEX($H$254:$H314,62-20):$H314)*SQRT(245),"")</f>
        <v>0.0694289845374479</v>
      </c>
      <c r="M314" s="45" t="n">
        <f aca="false">IF(AND(ISNUMBER($G314),$G314&gt;=60),MAX(INDEX($D$114:$D314,202-60):$D314),"")</f>
        <v>917671</v>
      </c>
      <c r="N314" s="45" t="n">
        <f aca="false">IF(AND(ISNUMBER($G314),$G314&gt;=60),MIN(INDEX($E$114:$E314,202-60):$E314),"")</f>
        <v>876729</v>
      </c>
      <c r="O314" s="46" t="n">
        <f aca="false">IF(OR(NOT(ISNUMBER($C314)),NOT(ISNUMBER($M314)),$M314=0),"",$C314/$M314-1)</f>
        <v>-0.0217223819865725</v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894742</v>
      </c>
      <c r="D315" s="42" t="n">
        <v>897001</v>
      </c>
      <c r="E315" s="42" t="n">
        <v>893508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-0.00333616638280476</v>
      </c>
      <c r="I315" s="45" t="n">
        <f aca="false">IF(AND(ISNUMBER($G315),$G315&gt;=MA_SHORT),AVERAGE(INDEX($C$5:$C315,312-MA_SHORT):$C315),"")</f>
        <v>905230.2</v>
      </c>
      <c r="J315" s="45" t="n">
        <f aca="false">IF(AND(ISNUMBER($G315),$G315&gt;=MA_MED),AVERAGE(INDEX($C$5:$C315,312-MA_MED):$C315),"")</f>
        <v>899110.68</v>
      </c>
      <c r="K315" s="45" t="n">
        <f aca="false">IF(AND(ISNUMBER($G315),$G315&gt;=MA_LONG2),AVERAGE(INDEX($C$5:$C315,312-MA_LONG2):$C315),"")</f>
        <v>859296.975</v>
      </c>
      <c r="L315" s="46" t="n">
        <f aca="false">IF(AND(ISNUMBER($G315),$G315&gt;=21),STDEV(INDEX($H$255:$H315,62-20):$H315)*SQRT(245),"")</f>
        <v>0.0658640208240729</v>
      </c>
      <c r="M315" s="45" t="n">
        <f aca="false">IF(AND(ISNUMBER($G315),$G315&gt;=60),MAX(INDEX($D$115:$D315,202-60):$D315),"")</f>
        <v>917671</v>
      </c>
      <c r="N315" s="45" t="n">
        <f aca="false">IF(AND(ISNUMBER($G315),$G315&gt;=60),MIN(INDEX($E$115:$E315,202-60):$E315),"")</f>
        <v>876729</v>
      </c>
      <c r="O315" s="46" t="n">
        <f aca="false">IF(OR(NOT(ISNUMBER($C315)),NOT(ISNUMBER($M315)),$M315=0),"",$C315/$M315-1)</f>
        <v>-0.0249860788888392</v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906869</v>
      </c>
      <c r="D316" s="42" t="n">
        <v>909399</v>
      </c>
      <c r="E316" s="42" t="n">
        <v>906080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0.0135536277496753</v>
      </c>
      <c r="I316" s="45" t="n">
        <f aca="false">IF(AND(ISNUMBER($G316),$G316&gt;=MA_SHORT),AVERAGE(INDEX($C$5:$C316,313-MA_SHORT):$C316),"")</f>
        <v>905618</v>
      </c>
      <c r="J316" s="45" t="n">
        <f aca="false">IF(AND(ISNUMBER($G316),$G316&gt;=MA_MED),AVERAGE(INDEX($C$5:$C316,313-MA_MED):$C316),"")</f>
        <v>899528.08</v>
      </c>
      <c r="K316" s="45" t="n">
        <f aca="false">IF(AND(ISNUMBER($G316),$G316&gt;=MA_LONG2),AVERAGE(INDEX($C$5:$C316,313-MA_LONG2):$C316),"")</f>
        <v>859848.195</v>
      </c>
      <c r="L316" s="46" t="n">
        <f aca="false">IF(AND(ISNUMBER($G316),$G316&gt;=21),STDEV(INDEX($H$256:$H316,62-20):$H316)*SQRT(245),"")</f>
        <v>0.0816485411689991</v>
      </c>
      <c r="M316" s="45" t="n">
        <f aca="false">IF(AND(ISNUMBER($G316),$G316&gt;=60),MAX(INDEX($D$116:$D316,202-60):$D316),"")</f>
        <v>917671</v>
      </c>
      <c r="N316" s="45" t="n">
        <f aca="false">IF(AND(ISNUMBER($G316),$G316&gt;=60),MIN(INDEX($E$116:$E316,202-60):$E316),"")</f>
        <v>876729</v>
      </c>
      <c r="O316" s="46" t="n">
        <f aca="false">IF(OR(NOT(ISNUMBER($C316)),NOT(ISNUMBER($M316)),$M316=0),"",$C316/$M316-1)</f>
        <v>-0.0117711031513472</v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909003</v>
      </c>
      <c r="D317" s="42" t="n">
        <v>911427</v>
      </c>
      <c r="E317" s="42" t="n">
        <v>907996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0.00235315133718328</v>
      </c>
      <c r="I317" s="45" t="n">
        <f aca="false">IF(AND(ISNUMBER($G317),$G317&gt;=MA_SHORT),AVERAGE(INDEX($C$5:$C317,314-MA_SHORT):$C317),"")</f>
        <v>905685.85</v>
      </c>
      <c r="J317" s="45" t="n">
        <f aca="false">IF(AND(ISNUMBER($G317),$G317&gt;=MA_MED),AVERAGE(INDEX($C$5:$C317,314-MA_MED):$C317),"")</f>
        <v>900052.5</v>
      </c>
      <c r="K317" s="45" t="n">
        <f aca="false">IF(AND(ISNUMBER($G317),$G317&gt;=MA_LONG2),AVERAGE(INDEX($C$5:$C317,314-MA_LONG2):$C317),"")</f>
        <v>860392.635</v>
      </c>
      <c r="L317" s="46" t="n">
        <f aca="false">IF(AND(ISNUMBER($G317),$G317&gt;=21),STDEV(INDEX($H$257:$H317,62-20):$H317)*SQRT(245),"")</f>
        <v>0.0750004366831514</v>
      </c>
      <c r="M317" s="45" t="n">
        <f aca="false">IF(AND(ISNUMBER($G317),$G317&gt;=60),MAX(INDEX($D$117:$D317,202-60):$D317),"")</f>
        <v>917671</v>
      </c>
      <c r="N317" s="45" t="n">
        <f aca="false">IF(AND(ISNUMBER($G317),$G317&gt;=60),MIN(INDEX($E$117:$E317,202-60):$E317),"")</f>
        <v>876729</v>
      </c>
      <c r="O317" s="46" t="n">
        <f aca="false">IF(OR(NOT(ISNUMBER($C317)),NOT(ISNUMBER($M317)),$M317=0),"",$C317/$M317-1)</f>
        <v>-0.00944565100128481</v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911873</v>
      </c>
      <c r="D318" s="42" t="n">
        <v>915124</v>
      </c>
      <c r="E318" s="42" t="n">
        <v>910798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0.00315730531142355</v>
      </c>
      <c r="I318" s="45" t="n">
        <f aca="false">IF(AND(ISNUMBER($G318),$G318&gt;=MA_SHORT),AVERAGE(INDEX($C$5:$C318,315-MA_SHORT):$C318),"")</f>
        <v>905746.55</v>
      </c>
      <c r="J318" s="45" t="n">
        <f aca="false">IF(AND(ISNUMBER($G318),$G318&gt;=MA_MED),AVERAGE(INDEX($C$5:$C318,315-MA_MED):$C318),"")</f>
        <v>900694.7</v>
      </c>
      <c r="K318" s="45" t="n">
        <f aca="false">IF(AND(ISNUMBER($G318),$G318&gt;=MA_LONG2),AVERAGE(INDEX($C$5:$C318,315-MA_LONG2):$C318),"")</f>
        <v>860922.05</v>
      </c>
      <c r="L318" s="46" t="n">
        <f aca="false">IF(AND(ISNUMBER($G318),$G318&gt;=21),STDEV(INDEX($H$258:$H318,62-20):$H318)*SQRT(245),"")</f>
        <v>0.0749123096187664</v>
      </c>
      <c r="M318" s="45" t="n">
        <f aca="false">IF(AND(ISNUMBER($G318),$G318&gt;=60),MAX(INDEX($D$118:$D318,202-60):$D318),"")</f>
        <v>917671</v>
      </c>
      <c r="N318" s="45" t="n">
        <f aca="false">IF(AND(ISNUMBER($G318),$G318&gt;=60),MIN(INDEX($E$118:$E318,202-60):$E318),"")</f>
        <v>876729</v>
      </c>
      <c r="O318" s="46" t="n">
        <f aca="false">IF(OR(NOT(ISNUMBER($C318)),NOT(ISNUMBER($M318)),$M318=0),"",$C318/$M318-1)</f>
        <v>-0.0063181684939374</v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910581</v>
      </c>
      <c r="D319" s="42" t="n">
        <v>911696</v>
      </c>
      <c r="E319" s="42" t="n">
        <v>910356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-0.00141686397118901</v>
      </c>
      <c r="I319" s="45" t="n">
        <f aca="false">IF(AND(ISNUMBER($G319),$G319&gt;=MA_SHORT),AVERAGE(INDEX($C$5:$C319,316-MA_SHORT):$C319),"")</f>
        <v>905977.35</v>
      </c>
      <c r="J319" s="45" t="n">
        <f aca="false">IF(AND(ISNUMBER($G319),$G319&gt;=MA_MED),AVERAGE(INDEX($C$5:$C319,316-MA_MED):$C319),"")</f>
        <v>901134.36</v>
      </c>
      <c r="K319" s="45" t="n">
        <f aca="false">IF(AND(ISNUMBER($G319),$G319&gt;=MA_LONG2),AVERAGE(INDEX($C$5:$C319,316-MA_LONG2):$C319),"")</f>
        <v>861437.79</v>
      </c>
      <c r="L319" s="46" t="n">
        <f aca="false">IF(AND(ISNUMBER($G319),$G319&gt;=21),STDEV(INDEX($H$259:$H319,62-20):$H319)*SQRT(245),"")</f>
        <v>0.0726544401399311</v>
      </c>
      <c r="M319" s="45" t="n">
        <f aca="false">IF(AND(ISNUMBER($G319),$G319&gt;=60),MAX(INDEX($D$119:$D319,202-60):$D319),"")</f>
        <v>917671</v>
      </c>
      <c r="N319" s="45" t="n">
        <f aca="false">IF(AND(ISNUMBER($G319),$G319&gt;=60),MIN(INDEX($E$119:$E319,202-60):$E319),"")</f>
        <v>876729</v>
      </c>
      <c r="O319" s="46" t="n">
        <f aca="false">IF(OR(NOT(ISNUMBER($C319)),NOT(ISNUMBER($M319)),$M319=0),"",$C319/$M319-1)</f>
        <v>-0.00772608047982337</v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907264</v>
      </c>
      <c r="D320" s="42" t="n">
        <v>907966</v>
      </c>
      <c r="E320" s="42" t="n">
        <v>907141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-0.00364272920256403</v>
      </c>
      <c r="I320" s="45" t="n">
        <f aca="false">IF(AND(ISNUMBER($G320),$G320&gt;=MA_SHORT),AVERAGE(INDEX($C$5:$C320,317-MA_SHORT):$C320),"")</f>
        <v>905979.2</v>
      </c>
      <c r="J320" s="45" t="n">
        <f aca="false">IF(AND(ISNUMBER($G320),$G320&gt;=MA_MED),AVERAGE(INDEX($C$5:$C320,317-MA_MED):$C320),"")</f>
        <v>901496.74</v>
      </c>
      <c r="K320" s="45" t="n">
        <f aca="false">IF(AND(ISNUMBER($G320),$G320&gt;=MA_LONG2),AVERAGE(INDEX($C$5:$C320,317-MA_LONG2):$C320),"")</f>
        <v>861912.82</v>
      </c>
      <c r="L320" s="46" t="n">
        <f aca="false">IF(AND(ISNUMBER($G320),$G320&gt;=21),STDEV(INDEX($H$260:$H320,62-20):$H320)*SQRT(245),"")</f>
        <v>0.0737748757167002</v>
      </c>
      <c r="M320" s="45" t="n">
        <f aca="false">IF(AND(ISNUMBER($G320),$G320&gt;=60),MAX(INDEX($D$120:$D320,202-60):$D320),"")</f>
        <v>917671</v>
      </c>
      <c r="N320" s="45" t="n">
        <f aca="false">IF(AND(ISNUMBER($G320),$G320&gt;=60),MIN(INDEX($E$120:$E320,202-60):$E320),"")</f>
        <v>876729</v>
      </c>
      <c r="O320" s="46" t="n">
        <f aca="false">IF(OR(NOT(ISNUMBER($C320)),NOT(ISNUMBER($M320)),$M320=0),"",$C320/$M320-1)</f>
        <v>-0.0113406656634022</v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899616</v>
      </c>
      <c r="D321" s="42" t="n">
        <v>902272</v>
      </c>
      <c r="E321" s="42" t="n">
        <v>896734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-0.0084297404063205</v>
      </c>
      <c r="I321" s="45" t="n">
        <f aca="false">IF(AND(ISNUMBER($G321),$G321&gt;=MA_SHORT),AVERAGE(INDEX($C$5:$C321,318-MA_SHORT):$C321),"")</f>
        <v>905495.35</v>
      </c>
      <c r="J321" s="45" t="n">
        <f aca="false">IF(AND(ISNUMBER($G321),$G321&gt;=MA_MED),AVERAGE(INDEX($C$5:$C321,318-MA_MED):$C321),"")</f>
        <v>901604.9</v>
      </c>
      <c r="K321" s="45" t="n">
        <f aca="false">IF(AND(ISNUMBER($G321),$G321&gt;=MA_LONG2),AVERAGE(INDEX($C$5:$C321,318-MA_LONG2):$C321),"")</f>
        <v>862362.055</v>
      </c>
      <c r="L321" s="46" t="n">
        <f aca="false">IF(AND(ISNUMBER($G321),$G321&gt;=21),STDEV(INDEX($H$261:$H321,62-20):$H321)*SQRT(245),"")</f>
        <v>0.0788778824616741</v>
      </c>
      <c r="M321" s="45" t="n">
        <f aca="false">IF(AND(ISNUMBER($G321),$G321&gt;=60),MAX(INDEX($D$121:$D321,202-60):$D321),"")</f>
        <v>917671</v>
      </c>
      <c r="N321" s="45" t="n">
        <f aca="false">IF(AND(ISNUMBER($G321),$G321&gt;=60),MIN(INDEX($E$121:$E321,202-60):$E321),"")</f>
        <v>876729</v>
      </c>
      <c r="O321" s="46" t="n">
        <f aca="false">IF(OR(NOT(ISNUMBER($C321)),NOT(ISNUMBER($M321)),$M321=0),"",$C321/$M321-1)</f>
        <v>-0.0196748072021454</v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896080</v>
      </c>
      <c r="D322" s="42" t="n">
        <v>903193</v>
      </c>
      <c r="E322" s="42" t="n">
        <v>893596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-0.00393056593035246</v>
      </c>
      <c r="I322" s="45" t="n">
        <f aca="false">IF(AND(ISNUMBER($G322),$G322&gt;=MA_SHORT),AVERAGE(INDEX($C$5:$C322,319-MA_SHORT):$C322),"")</f>
        <v>904968.95</v>
      </c>
      <c r="J322" s="45" t="n">
        <f aca="false">IF(AND(ISNUMBER($G322),$G322&gt;=MA_MED),AVERAGE(INDEX($C$5:$C322,319-MA_MED):$C322),"")</f>
        <v>901732.66</v>
      </c>
      <c r="K322" s="45" t="n">
        <f aca="false">IF(AND(ISNUMBER($G322),$G322&gt;=MA_LONG2),AVERAGE(INDEX($C$5:$C322,319-MA_LONG2):$C322),"")</f>
        <v>862767.635</v>
      </c>
      <c r="L322" s="46" t="n">
        <f aca="false">IF(AND(ISNUMBER($G322),$G322&gt;=21),STDEV(INDEX($H$262:$H322,62-20):$H322)*SQRT(245),"")</f>
        <v>0.0793391708361009</v>
      </c>
      <c r="M322" s="45" t="n">
        <f aca="false">IF(AND(ISNUMBER($G322),$G322&gt;=60),MAX(INDEX($D$122:$D322,202-60):$D322),"")</f>
        <v>917671</v>
      </c>
      <c r="N322" s="45" t="n">
        <f aca="false">IF(AND(ISNUMBER($G322),$G322&gt;=60),MIN(INDEX($E$122:$E322,202-60):$E322),"")</f>
        <v>876729</v>
      </c>
      <c r="O322" s="46" t="n">
        <f aca="false">IF(OR(NOT(ISNUMBER($C322)),NOT(ISNUMBER($M322)),$M322=0),"",$C322/$M322-1)</f>
        <v>-0.0235280400056229</v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898477</v>
      </c>
      <c r="D323" s="42" t="n">
        <v>898760</v>
      </c>
      <c r="E323" s="42" t="n">
        <v>897810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0.00267498437639491</v>
      </c>
      <c r="I323" s="45" t="n">
        <f aca="false">IF(AND(ISNUMBER($G323),$G323&gt;=MA_SHORT),AVERAGE(INDEX($C$5:$C323,320-MA_SHORT):$C323),"")</f>
        <v>904503.85</v>
      </c>
      <c r="J323" s="45" t="n">
        <f aca="false">IF(AND(ISNUMBER($G323),$G323&gt;=MA_MED),AVERAGE(INDEX($C$5:$C323,320-MA_MED):$C323),"")</f>
        <v>901904.44</v>
      </c>
      <c r="K323" s="45" t="n">
        <f aca="false">IF(AND(ISNUMBER($G323),$G323&gt;=MA_LONG2),AVERAGE(INDEX($C$5:$C323,320-MA_LONG2):$C323),"")</f>
        <v>863169.53</v>
      </c>
      <c r="L323" s="46" t="n">
        <f aca="false">IF(AND(ISNUMBER($G323),$G323&gt;=21),STDEV(INDEX($H$263:$H323,62-20):$H323)*SQRT(245),"")</f>
        <v>0.0799038310861509</v>
      </c>
      <c r="M323" s="45" t="n">
        <f aca="false">IF(AND(ISNUMBER($G323),$G323&gt;=60),MAX(INDEX($D$123:$D323,202-60):$D323),"")</f>
        <v>917671</v>
      </c>
      <c r="N323" s="45" t="n">
        <f aca="false">IF(AND(ISNUMBER($G323),$G323&gt;=60),MIN(INDEX($E$123:$E323,202-60):$E323),"")</f>
        <v>876729</v>
      </c>
      <c r="O323" s="46" t="n">
        <f aca="false">IF(OR(NOT(ISNUMBER($C323)),NOT(ISNUMBER($M323)),$M323=0),"",$C323/$M323-1)</f>
        <v>-0.0209159927686502</v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899305</v>
      </c>
      <c r="D324" s="42" t="n">
        <v>899604</v>
      </c>
      <c r="E324" s="42" t="n">
        <v>899122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0.000921559483436862</v>
      </c>
      <c r="I324" s="45" t="n">
        <f aca="false">IF(AND(ISNUMBER($G324),$G324&gt;=MA_SHORT),AVERAGE(INDEX($C$5:$C324,321-MA_SHORT):$C324),"")</f>
        <v>904168.05</v>
      </c>
      <c r="J324" s="45" t="n">
        <f aca="false">IF(AND(ISNUMBER($G324),$G324&gt;=MA_MED),AVERAGE(INDEX($C$5:$C324,321-MA_MED):$C324),"")</f>
        <v>902075.26</v>
      </c>
      <c r="K324" s="45" t="n">
        <f aca="false">IF(AND(ISNUMBER($G324),$G324&gt;=MA_LONG2),AVERAGE(INDEX($C$5:$C324,321-MA_LONG2):$C324),"")</f>
        <v>863595.66</v>
      </c>
      <c r="L324" s="46" t="n">
        <f aca="false">IF(AND(ISNUMBER($G324),$G324&gt;=21),STDEV(INDEX($H$264:$H324,62-20):$H324)*SQRT(245),"")</f>
        <v>0.0798685598288113</v>
      </c>
      <c r="M324" s="45" t="n">
        <f aca="false">IF(AND(ISNUMBER($G324),$G324&gt;=60),MAX(INDEX($D$124:$D324,202-60):$D324),"")</f>
        <v>917671</v>
      </c>
      <c r="N324" s="45" t="n">
        <f aca="false">IF(AND(ISNUMBER($G324),$G324&gt;=60),MIN(INDEX($E$124:$E324,202-60):$E324),"")</f>
        <v>876729</v>
      </c>
      <c r="O324" s="46" t="n">
        <f aca="false">IF(OR(NOT(ISNUMBER($C324)),NOT(ISNUMBER($M324)),$M324=0),"",$C324/$M324-1)</f>
        <v>-0.0200137086167047</v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905350</v>
      </c>
      <c r="D325" s="42" t="n">
        <v>907184</v>
      </c>
      <c r="E325" s="42" t="n">
        <v>905264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0.00672185743435216</v>
      </c>
      <c r="I325" s="45" t="n">
        <f aca="false">IF(AND(ISNUMBER($G325),$G325&gt;=MA_SHORT),AVERAGE(INDEX($C$5:$C325,322-MA_SHORT):$C325),"")</f>
        <v>904075.5</v>
      </c>
      <c r="J325" s="45" t="n">
        <f aca="false">IF(AND(ISNUMBER($G325),$G325&gt;=MA_MED),AVERAGE(INDEX($C$5:$C325,322-MA_MED):$C325),"")</f>
        <v>902373.5</v>
      </c>
      <c r="K325" s="45" t="n">
        <f aca="false">IF(AND(ISNUMBER($G325),$G325&gt;=MA_LONG2),AVERAGE(INDEX($C$5:$C325,322-MA_LONG2):$C325),"")</f>
        <v>864039.105</v>
      </c>
      <c r="L325" s="46" t="n">
        <f aca="false">IF(AND(ISNUMBER($G325),$G325&gt;=21),STDEV(INDEX($H$265:$H325,62-20):$H325)*SQRT(245),"")</f>
        <v>0.0834929136661002</v>
      </c>
      <c r="M325" s="45" t="n">
        <f aca="false">IF(AND(ISNUMBER($G325),$G325&gt;=60),MAX(INDEX($D$125:$D325,202-60):$D325),"")</f>
        <v>917671</v>
      </c>
      <c r="N325" s="45" t="n">
        <f aca="false">IF(AND(ISNUMBER($G325),$G325&gt;=60),MIN(INDEX($E$125:$E325,202-60):$E325),"")</f>
        <v>876729</v>
      </c>
      <c r="O325" s="46" t="n">
        <f aca="false">IF(OR(NOT(ISNUMBER($C325)),NOT(ISNUMBER($M325)),$M325=0),"",$C325/$M325-1)</f>
        <v>-0.0134263804784067</v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905256</v>
      </c>
      <c r="D326" s="42" t="n">
        <v>907531</v>
      </c>
      <c r="E326" s="42" t="n">
        <v>904836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-0.000103827249130162</v>
      </c>
      <c r="I326" s="45" t="n">
        <f aca="false">IF(AND(ISNUMBER($G326),$G326&gt;=MA_SHORT),AVERAGE(INDEX($C$5:$C326,323-MA_SHORT):$C326),"")</f>
        <v>904169.85</v>
      </c>
      <c r="J326" s="45" t="n">
        <f aca="false">IF(AND(ISNUMBER($G326),$G326&gt;=MA_MED),AVERAGE(INDEX($C$5:$C326,323-MA_MED):$C326),"")</f>
        <v>902533.04</v>
      </c>
      <c r="K326" s="45" t="n">
        <f aca="false">IF(AND(ISNUMBER($G326),$G326&gt;=MA_LONG2),AVERAGE(INDEX($C$5:$C326,323-MA_LONG2):$C326),"")</f>
        <v>864496.915</v>
      </c>
      <c r="L326" s="46" t="n">
        <f aca="false">IF(AND(ISNUMBER($G326),$G326&gt;=21),STDEV(INDEX($H$266:$H326,62-20):$H326)*SQRT(245),"")</f>
        <v>0.0820951340187242</v>
      </c>
      <c r="M326" s="45" t="n">
        <f aca="false">IF(AND(ISNUMBER($G326),$G326&gt;=60),MAX(INDEX($D$126:$D326,202-60):$D326),"")</f>
        <v>917671</v>
      </c>
      <c r="N326" s="45" t="n">
        <f aca="false">IF(AND(ISNUMBER($G326),$G326&gt;=60),MIN(INDEX($E$126:$E326,202-60):$E326),"")</f>
        <v>876729</v>
      </c>
      <c r="O326" s="46" t="n">
        <f aca="false">IF(OR(NOT(ISNUMBER($C326)),NOT(ISNUMBER($M326)),$M326=0),"",$C326/$M326-1)</f>
        <v>-0.0135288137033861</v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901982</v>
      </c>
      <c r="D327" s="42" t="n">
        <v>902866</v>
      </c>
      <c r="E327" s="42" t="n">
        <v>900822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-0.00361665650379561</v>
      </c>
      <c r="I327" s="45" t="n">
        <f aca="false">IF(AND(ISNUMBER($G327),$G327&gt;=MA_SHORT),AVERAGE(INDEX($C$5:$C327,324-MA_SHORT):$C327),"")</f>
        <v>903743.55</v>
      </c>
      <c r="J327" s="45" t="n">
        <f aca="false">IF(AND(ISNUMBER($G327),$G327&gt;=MA_MED),AVERAGE(INDEX($C$5:$C327,324-MA_MED):$C327),"")</f>
        <v>902608.18</v>
      </c>
      <c r="K327" s="45" t="n">
        <f aca="false">IF(AND(ISNUMBER($G327),$G327&gt;=MA_LONG2),AVERAGE(INDEX($C$5:$C327,324-MA_LONG2):$C327),"")</f>
        <v>864940.455</v>
      </c>
      <c r="L327" s="46" t="n">
        <f aca="false">IF(AND(ISNUMBER($G327),$G327&gt;=21),STDEV(INDEX($H$267:$H327,62-20):$H327)*SQRT(245),"")</f>
        <v>0.0777964868049796</v>
      </c>
      <c r="M327" s="45" t="n">
        <f aca="false">IF(AND(ISNUMBER($G327),$G327&gt;=60),MAX(INDEX($D$127:$D327,202-60):$D327),"")</f>
        <v>917671</v>
      </c>
      <c r="N327" s="45" t="n">
        <f aca="false">IF(AND(ISNUMBER($G327),$G327&gt;=60),MIN(INDEX($E$127:$E327,202-60):$E327),"")</f>
        <v>876729</v>
      </c>
      <c r="O327" s="46" t="n">
        <f aca="false">IF(OR(NOT(ISNUMBER($C327)),NOT(ISNUMBER($M327)),$M327=0),"",$C327/$M327-1)</f>
        <v>-0.0170965411351127</v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904621</v>
      </c>
      <c r="D328" s="42" t="n">
        <v>904880</v>
      </c>
      <c r="E328" s="42" t="n">
        <v>901737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0.00292577900667634</v>
      </c>
      <c r="I328" s="45" t="n">
        <f aca="false">IF(AND(ISNUMBER($G328),$G328&gt;=MA_SHORT),AVERAGE(INDEX($C$5:$C328,325-MA_SHORT):$C328),"")</f>
        <v>903467.15</v>
      </c>
      <c r="J328" s="45" t="n">
        <f aca="false">IF(AND(ISNUMBER($G328),$G328&gt;=MA_MED),AVERAGE(INDEX($C$5:$C328,325-MA_MED):$C328),"")</f>
        <v>902754.9</v>
      </c>
      <c r="K328" s="45" t="n">
        <f aca="false">IF(AND(ISNUMBER($G328),$G328&gt;=MA_LONG2),AVERAGE(INDEX($C$5:$C328,325-MA_LONG2):$C328),"")</f>
        <v>865387.175</v>
      </c>
      <c r="L328" s="46" t="n">
        <f aca="false">IF(AND(ISNUMBER($G328),$G328&gt;=21),STDEV(INDEX($H$268:$H328,62-20):$H328)*SQRT(245),"")</f>
        <v>0.0786945319118817</v>
      </c>
      <c r="M328" s="45" t="n">
        <f aca="false">IF(AND(ISNUMBER($G328),$G328&gt;=60),MAX(INDEX($D$128:$D328,202-60):$D328),"")</f>
        <v>917671</v>
      </c>
      <c r="N328" s="45" t="n">
        <f aca="false">IF(AND(ISNUMBER($G328),$G328&gt;=60),MIN(INDEX($E$128:$E328,202-60):$E328),"")</f>
        <v>885178</v>
      </c>
      <c r="O328" s="46" t="n">
        <f aca="false">IF(OR(NOT(ISNUMBER($C328)),NOT(ISNUMBER($M328)),$M328=0),"",$C328/$M328-1)</f>
        <v>-0.0142207828295762</v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908212</v>
      </c>
      <c r="D329" s="42" t="n">
        <v>911589</v>
      </c>
      <c r="E329" s="42" t="n">
        <v>906390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0.00396961821580533</v>
      </c>
      <c r="I329" s="45" t="n">
        <f aca="false">IF(AND(ISNUMBER($G329),$G329&gt;=MA_SHORT),AVERAGE(INDEX($C$5:$C329,326-MA_SHORT):$C329),"")</f>
        <v>903543.6</v>
      </c>
      <c r="J329" s="45" t="n">
        <f aca="false">IF(AND(ISNUMBER($G329),$G329&gt;=MA_MED),AVERAGE(INDEX($C$5:$C329,326-MA_MED):$C329),"")</f>
        <v>903006.24</v>
      </c>
      <c r="K329" s="45" t="n">
        <f aca="false">IF(AND(ISNUMBER($G329),$G329&gt;=MA_LONG2),AVERAGE(INDEX($C$5:$C329,326-MA_LONG2):$C329),"")</f>
        <v>865864.355</v>
      </c>
      <c r="L329" s="46" t="n">
        <f aca="false">IF(AND(ISNUMBER($G329),$G329&gt;=21),STDEV(INDEX($H$269:$H329,62-20):$H329)*SQRT(245),"")</f>
        <v>0.0789221670803069</v>
      </c>
      <c r="M329" s="45" t="n">
        <f aca="false">IF(AND(ISNUMBER($G329),$G329&gt;=60),MAX(INDEX($D$129:$D329,202-60):$D329),"")</f>
        <v>917671</v>
      </c>
      <c r="N329" s="45" t="n">
        <f aca="false">IF(AND(ISNUMBER($G329),$G329&gt;=60),MIN(INDEX($E$129:$E329,202-60):$E329),"")</f>
        <v>885178</v>
      </c>
      <c r="O329" s="46" t="n">
        <f aca="false">IF(OR(NOT(ISNUMBER($C329)),NOT(ISNUMBER($M329)),$M329=0),"",$C329/$M329-1)</f>
        <v>-0.0103076156923342</v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909594</v>
      </c>
      <c r="D330" s="42" t="n">
        <v>911147</v>
      </c>
      <c r="E330" s="42" t="n">
        <v>908116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0.00152167115166946</v>
      </c>
      <c r="I330" s="45" t="n">
        <f aca="false">IF(AND(ISNUMBER($G330),$G330&gt;=MA_SHORT),AVERAGE(INDEX($C$5:$C330,327-MA_SHORT):$C330),"")</f>
        <v>903834.55</v>
      </c>
      <c r="J330" s="45" t="n">
        <f aca="false">IF(AND(ISNUMBER($G330),$G330&gt;=MA_MED),AVERAGE(INDEX($C$5:$C330,327-MA_MED):$C330),"")</f>
        <v>903225.36</v>
      </c>
      <c r="K330" s="45" t="n">
        <f aca="false">IF(AND(ISNUMBER($G330),$G330&gt;=MA_LONG2),AVERAGE(INDEX($C$5:$C330,327-MA_LONG2):$C330),"")</f>
        <v>866320.01</v>
      </c>
      <c r="L330" s="46" t="n">
        <f aca="false">IF(AND(ISNUMBER($G330),$G330&gt;=21),STDEV(INDEX($H$270:$H330,62-20):$H330)*SQRT(245),"")</f>
        <v>0.0781009514558348</v>
      </c>
      <c r="M330" s="45" t="n">
        <f aca="false">IF(AND(ISNUMBER($G330),$G330&gt;=60),MAX(INDEX($D$130:$D330,202-60):$D330),"")</f>
        <v>917671</v>
      </c>
      <c r="N330" s="45" t="n">
        <f aca="false">IF(AND(ISNUMBER($G330),$G330&gt;=60),MIN(INDEX($E$130:$E330,202-60):$E330),"")</f>
        <v>886068</v>
      </c>
      <c r="O330" s="46" t="n">
        <f aca="false">IF(OR(NOT(ISNUMBER($C330)),NOT(ISNUMBER($M330)),$M330=0),"",$C330/$M330-1)</f>
        <v>-0.00880162934210627</v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912878</v>
      </c>
      <c r="D331" s="42" t="n">
        <v>915231</v>
      </c>
      <c r="E331" s="42" t="n">
        <v>908813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0.00361040200353124</v>
      </c>
      <c r="I331" s="45" t="n">
        <f aca="false">IF(AND(ISNUMBER($G331),$G331&gt;=MA_SHORT),AVERAGE(INDEX($C$5:$C331,328-MA_SHORT):$C331),"")</f>
        <v>904118.6</v>
      </c>
      <c r="J331" s="45" t="n">
        <f aca="false">IF(AND(ISNUMBER($G331),$G331&gt;=MA_MED),AVERAGE(INDEX($C$5:$C331,328-MA_MED):$C331),"")</f>
        <v>903553.56</v>
      </c>
      <c r="K331" s="45" t="n">
        <f aca="false">IF(AND(ISNUMBER($G331),$G331&gt;=MA_LONG2),AVERAGE(INDEX($C$5:$C331,328-MA_LONG2):$C331),"")</f>
        <v>866814.43</v>
      </c>
      <c r="L331" s="46" t="n">
        <f aca="false">IF(AND(ISNUMBER($G331),$G331&gt;=21),STDEV(INDEX($H$271:$H331,62-20):$H331)*SQRT(245),"")</f>
        <v>0.0780029973250709</v>
      </c>
      <c r="M331" s="45" t="n">
        <f aca="false">IF(AND(ISNUMBER($G331),$G331&gt;=60),MAX(INDEX($D$131:$D331,202-60):$D331),"")</f>
        <v>917671</v>
      </c>
      <c r="N331" s="45" t="n">
        <f aca="false">IF(AND(ISNUMBER($G331),$G331&gt;=60),MIN(INDEX($E$131:$E331,202-60):$E331),"")</f>
        <v>886068</v>
      </c>
      <c r="O331" s="46" t="n">
        <f aca="false">IF(OR(NOT(ISNUMBER($C331)),NOT(ISNUMBER($M331)),$M331=0),"",$C331/$M331-1)</f>
        <v>-0.00522300475878612</v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919211</v>
      </c>
      <c r="D332" s="42" t="n">
        <v>922005</v>
      </c>
      <c r="E332" s="42" t="n">
        <v>914998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0.00693740017833711</v>
      </c>
      <c r="I332" s="45" t="n">
        <f aca="false">IF(AND(ISNUMBER($G332),$G332&gt;=MA_SHORT),AVERAGE(INDEX($C$5:$C332,329-MA_SHORT):$C332),"")</f>
        <v>905003.35</v>
      </c>
      <c r="J332" s="45" t="n">
        <f aca="false">IF(AND(ISNUMBER($G332),$G332&gt;=MA_MED),AVERAGE(INDEX($C$5:$C332,329-MA_MED):$C332),"")</f>
        <v>904024.08</v>
      </c>
      <c r="K332" s="45" t="n">
        <f aca="false">IF(AND(ISNUMBER($G332),$G332&gt;=MA_LONG2),AVERAGE(INDEX($C$5:$C332,329-MA_LONG2):$C332),"")</f>
        <v>867306.65</v>
      </c>
      <c r="L332" s="46" t="n">
        <f aca="false">IF(AND(ISNUMBER($G332),$G332&gt;=21),STDEV(INDEX($H$272:$H332,62-20):$H332)*SQRT(245),"")</f>
        <v>0.0773097182449854</v>
      </c>
      <c r="M332" s="45" t="n">
        <f aca="false">IF(AND(ISNUMBER($G332),$G332&gt;=60),MAX(INDEX($D$132:$D332,202-60):$D332),"")</f>
        <v>922005</v>
      </c>
      <c r="N332" s="45" t="n">
        <f aca="false">IF(AND(ISNUMBER($G332),$G332&gt;=60),MIN(INDEX($E$132:$E332,202-60):$E332),"")</f>
        <v>886068</v>
      </c>
      <c r="O332" s="46" t="n">
        <f aca="false">IF(OR(NOT(ISNUMBER($C332)),NOT(ISNUMBER($M332)),$M332=0),"",$C332/$M332-1)</f>
        <v>-0.0030303523299765</v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921914</v>
      </c>
      <c r="D333" s="42" t="n">
        <v>923415</v>
      </c>
      <c r="E333" s="42" t="n">
        <v>920900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0.00294056533266018</v>
      </c>
      <c r="I333" s="45" t="n">
        <f aca="false">IF(AND(ISNUMBER($G333),$G333&gt;=MA_SHORT),AVERAGE(INDEX($C$5:$C333,330-MA_SHORT):$C333),"")</f>
        <v>906028.25</v>
      </c>
      <c r="J333" s="45" t="n">
        <f aca="false">IF(AND(ISNUMBER($G333),$G333&gt;=MA_MED),AVERAGE(INDEX($C$5:$C333,330-MA_MED):$C333),"")</f>
        <v>904596.28</v>
      </c>
      <c r="K333" s="45" t="n">
        <f aca="false">IF(AND(ISNUMBER($G333),$G333&gt;=MA_LONG2),AVERAGE(INDEX($C$5:$C333,330-MA_LONG2):$C333),"")</f>
        <v>867804.11</v>
      </c>
      <c r="L333" s="46" t="n">
        <f aca="false">IF(AND(ISNUMBER($G333),$G333&gt;=21),STDEV(INDEX($H$273:$H333,62-20):$H333)*SQRT(245),"")</f>
        <v>0.0774899915968934</v>
      </c>
      <c r="M333" s="45" t="n">
        <f aca="false">IF(AND(ISNUMBER($G333),$G333&gt;=60),MAX(INDEX($D$133:$D333,202-60):$D333),"")</f>
        <v>923415</v>
      </c>
      <c r="N333" s="45" t="n">
        <f aca="false">IF(AND(ISNUMBER($G333),$G333&gt;=60),MIN(INDEX($E$133:$E333,202-60):$E333),"")</f>
        <v>886068</v>
      </c>
      <c r="O333" s="46" t="n">
        <f aca="false">IF(OR(NOT(ISNUMBER($C333)),NOT(ISNUMBER($M333)),$M333=0),"",$C333/$M333-1)</f>
        <v>-0.00162548799835394</v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925803</v>
      </c>
      <c r="D334" s="42" t="n">
        <v>929771</v>
      </c>
      <c r="E334" s="42" t="n">
        <v>924403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0.00421839781150957</v>
      </c>
      <c r="I334" s="45" t="n">
        <f aca="false">IF(AND(ISNUMBER($G334),$G334&gt;=MA_SHORT),AVERAGE(INDEX($C$5:$C334,331-MA_SHORT):$C334),"")</f>
        <v>907431.55</v>
      </c>
      <c r="J334" s="45" t="n">
        <f aca="false">IF(AND(ISNUMBER($G334),$G334&gt;=MA_MED),AVERAGE(INDEX($C$5:$C334,331-MA_MED):$C334),"")</f>
        <v>905210.94</v>
      </c>
      <c r="K334" s="45" t="n">
        <f aca="false">IF(AND(ISNUMBER($G334),$G334&gt;=MA_LONG2),AVERAGE(INDEX($C$5:$C334,331-MA_LONG2):$C334),"")</f>
        <v>868326.575</v>
      </c>
      <c r="L334" s="46" t="n">
        <f aca="false">IF(AND(ISNUMBER($G334),$G334&gt;=21),STDEV(INDEX($H$274:$H334,62-20):$H334)*SQRT(245),"")</f>
        <v>0.0757079145552224</v>
      </c>
      <c r="M334" s="45" t="n">
        <f aca="false">IF(AND(ISNUMBER($G334),$G334&gt;=60),MAX(INDEX($D$134:$D334,202-60):$D334),"")</f>
        <v>929771</v>
      </c>
      <c r="N334" s="45" t="n">
        <f aca="false">IF(AND(ISNUMBER($G334),$G334&gt;=60),MIN(INDEX($E$134:$E334,202-60):$E334),"")</f>
        <v>887807</v>
      </c>
      <c r="O334" s="46" t="n">
        <f aca="false">IF(OR(NOT(ISNUMBER($C334)),NOT(ISNUMBER($M334)),$M334=0),"",$C334/$M334-1)</f>
        <v>-0.00426771753474775</v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927424</v>
      </c>
      <c r="D335" s="42" t="n">
        <v>929156</v>
      </c>
      <c r="E335" s="42" t="n">
        <v>926752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0.00175091245113701</v>
      </c>
      <c r="I335" s="45" t="n">
        <f aca="false">IF(AND(ISNUMBER($G335),$G335&gt;=MA_SHORT),AVERAGE(INDEX($C$5:$C335,332-MA_SHORT):$C335),"")</f>
        <v>909065.65</v>
      </c>
      <c r="J335" s="45" t="n">
        <f aca="false">IF(AND(ISNUMBER($G335),$G335&gt;=MA_MED),AVERAGE(INDEX($C$5:$C335,332-MA_MED):$C335),"")</f>
        <v>905803.46</v>
      </c>
      <c r="K335" s="45" t="n">
        <f aca="false">IF(AND(ISNUMBER($G335),$G335&gt;=MA_LONG2),AVERAGE(INDEX($C$5:$C335,332-MA_LONG2):$C335),"")</f>
        <v>868854.86</v>
      </c>
      <c r="L335" s="46" t="n">
        <f aca="false">IF(AND(ISNUMBER($G335),$G335&gt;=21),STDEV(INDEX($H$275:$H335,62-20):$H335)*SQRT(245),"")</f>
        <v>0.0735355141920228</v>
      </c>
      <c r="M335" s="45" t="n">
        <f aca="false">IF(AND(ISNUMBER($G335),$G335&gt;=60),MAX(INDEX($D$135:$D335,202-60):$D335),"")</f>
        <v>929771</v>
      </c>
      <c r="N335" s="45" t="n">
        <f aca="false">IF(AND(ISNUMBER($G335),$G335&gt;=60),MIN(INDEX($E$135:$E335,202-60):$E335),"")</f>
        <v>889897</v>
      </c>
      <c r="O335" s="46" t="n">
        <f aca="false">IF(OR(NOT(ISNUMBER($C335)),NOT(ISNUMBER($M335)),$M335=0),"",$C335/$M335-1)</f>
        <v>-0.00252427748338036</v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935885</v>
      </c>
      <c r="D336" s="42" t="n">
        <v>937272</v>
      </c>
      <c r="E336" s="42" t="n">
        <v>932230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0.00912311952246214</v>
      </c>
      <c r="I336" s="45" t="n">
        <f aca="false">IF(AND(ISNUMBER($G336),$G336&gt;=MA_SHORT),AVERAGE(INDEX($C$5:$C336,333-MA_SHORT):$C336),"")</f>
        <v>910516.45</v>
      </c>
      <c r="J336" s="45" t="n">
        <f aca="false">IF(AND(ISNUMBER($G336),$G336&gt;=MA_MED),AVERAGE(INDEX($C$5:$C336,333-MA_MED):$C336),"")</f>
        <v>906574.36</v>
      </c>
      <c r="K336" s="45" t="n">
        <f aca="false">IF(AND(ISNUMBER($G336),$G336&gt;=MA_LONG2),AVERAGE(INDEX($C$5:$C336,333-MA_LONG2):$C336),"")</f>
        <v>869421.14</v>
      </c>
      <c r="L336" s="46" t="n">
        <f aca="false">IF(AND(ISNUMBER($G336),$G336&gt;=21),STDEV(INDEX($H$276:$H336,62-20):$H336)*SQRT(245),"")</f>
        <v>0.0656172576479496</v>
      </c>
      <c r="M336" s="45" t="n">
        <f aca="false">IF(AND(ISNUMBER($G336),$G336&gt;=60),MAX(INDEX($D$136:$D336,202-60):$D336),"")</f>
        <v>937272</v>
      </c>
      <c r="N336" s="45" t="n">
        <f aca="false">IF(AND(ISNUMBER($G336),$G336&gt;=60),MIN(INDEX($E$136:$E336,202-60):$E336),"")</f>
        <v>889897</v>
      </c>
      <c r="O336" s="46" t="n">
        <f aca="false">IF(OR(NOT(ISNUMBER($C336)),NOT(ISNUMBER($M336)),$M336=0),"",$C336/$M336-1)</f>
        <v>-0.00147982656048617</v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939873</v>
      </c>
      <c r="D337" s="42" t="n">
        <v>941182</v>
      </c>
      <c r="E337" s="42" t="n">
        <v>938147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0.00426120730645319</v>
      </c>
      <c r="I337" s="45" t="n">
        <f aca="false">IF(AND(ISNUMBER($G337),$G337&gt;=MA_SHORT),AVERAGE(INDEX($C$5:$C337,334-MA_SHORT):$C337),"")</f>
        <v>912059.95</v>
      </c>
      <c r="J337" s="45" t="n">
        <f aca="false">IF(AND(ISNUMBER($G337),$G337&gt;=MA_MED),AVERAGE(INDEX($C$5:$C337,334-MA_MED):$C337),"")</f>
        <v>907428.78</v>
      </c>
      <c r="K337" s="45" t="n">
        <f aca="false">IF(AND(ISNUMBER($G337),$G337&gt;=MA_LONG2),AVERAGE(INDEX($C$5:$C337,334-MA_LONG2):$C337),"")</f>
        <v>869998.78</v>
      </c>
      <c r="L337" s="46" t="n">
        <f aca="false">IF(AND(ISNUMBER($G337),$G337&gt;=21),STDEV(INDEX($H$277:$H337,62-20):$H337)*SQRT(245),"")</f>
        <v>0.0662423989275807</v>
      </c>
      <c r="M337" s="45" t="n">
        <f aca="false">IF(AND(ISNUMBER($G337),$G337&gt;=60),MAX(INDEX($D$137:$D337,202-60):$D337),"")</f>
        <v>941182</v>
      </c>
      <c r="N337" s="45" t="n">
        <f aca="false">IF(AND(ISNUMBER($G337),$G337&gt;=60),MIN(INDEX($E$137:$E337,202-60):$E337),"")</f>
        <v>889897</v>
      </c>
      <c r="O337" s="46" t="n">
        <f aca="false">IF(OR(NOT(ISNUMBER($C337)),NOT(ISNUMBER($M337)),$M337=0),"",$C337/$M337-1)</f>
        <v>-0.00139080432902461</v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943004</v>
      </c>
      <c r="D338" s="42" t="n">
        <v>943758</v>
      </c>
      <c r="E338" s="42" t="n">
        <v>942402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0.00333130114387803</v>
      </c>
      <c r="I338" s="45" t="n">
        <f aca="false">IF(AND(ISNUMBER($G338),$G338&gt;=MA_SHORT),AVERAGE(INDEX($C$5:$C338,335-MA_SHORT):$C338),"")</f>
        <v>913616.5</v>
      </c>
      <c r="J338" s="45" t="n">
        <f aca="false">IF(AND(ISNUMBER($G338),$G338&gt;=MA_MED),AVERAGE(INDEX($C$5:$C338,335-MA_MED):$C338),"")</f>
        <v>908420.38</v>
      </c>
      <c r="K338" s="45" t="n">
        <f aca="false">IF(AND(ISNUMBER($G338),$G338&gt;=MA_LONG2),AVERAGE(INDEX($C$5:$C338,335-MA_LONG2):$C338),"")</f>
        <v>870578.435</v>
      </c>
      <c r="L338" s="46" t="n">
        <f aca="false">IF(AND(ISNUMBER($G338),$G338&gt;=21),STDEV(INDEX($H$278:$H338,62-20):$H338)*SQRT(245),"")</f>
        <v>0.0662952229847415</v>
      </c>
      <c r="M338" s="45" t="n">
        <f aca="false">IF(AND(ISNUMBER($G338),$G338&gt;=60),MAX(INDEX($D$138:$D338,202-60):$D338),"")</f>
        <v>943758</v>
      </c>
      <c r="N338" s="45" t="n">
        <f aca="false">IF(AND(ISNUMBER($G338),$G338&gt;=60),MIN(INDEX($E$138:$E338,202-60):$E338),"")</f>
        <v>889897</v>
      </c>
      <c r="O338" s="46" t="n">
        <f aca="false">IF(OR(NOT(ISNUMBER($C338)),NOT(ISNUMBER($M338)),$M338=0),"",$C338/$M338-1)</f>
        <v>-0.000798933624933551</v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946935</v>
      </c>
      <c r="D339" s="42" t="n">
        <v>949673</v>
      </c>
      <c r="E339" s="42" t="n">
        <v>946151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0.00416859313428142</v>
      </c>
      <c r="I339" s="45" t="n">
        <f aca="false">IF(AND(ISNUMBER($G339),$G339&gt;=MA_SHORT),AVERAGE(INDEX($C$5:$C339,336-MA_SHORT):$C339),"")</f>
        <v>915434.2</v>
      </c>
      <c r="J339" s="45" t="n">
        <f aca="false">IF(AND(ISNUMBER($G339),$G339&gt;=MA_MED),AVERAGE(INDEX($C$5:$C339,336-MA_MED):$C339),"")</f>
        <v>909464.12</v>
      </c>
      <c r="K339" s="45" t="n">
        <f aca="false">IF(AND(ISNUMBER($G339),$G339&gt;=MA_LONG2),AVERAGE(INDEX($C$5:$C339,336-MA_LONG2):$C339),"")</f>
        <v>871175.77</v>
      </c>
      <c r="L339" s="46" t="n">
        <f aca="false">IF(AND(ISNUMBER($G339),$G339&gt;=21),STDEV(INDEX($H$279:$H339,62-20):$H339)*SQRT(245),"")</f>
        <v>0.0658021293034885</v>
      </c>
      <c r="M339" s="45" t="n">
        <f aca="false">IF(AND(ISNUMBER($G339),$G339&gt;=60),MAX(INDEX($D$139:$D339,202-60):$D339),"")</f>
        <v>949673</v>
      </c>
      <c r="N339" s="45" t="n">
        <f aca="false">IF(AND(ISNUMBER($G339),$G339&gt;=60),MIN(INDEX($E$139:$E339,202-60):$E339),"")</f>
        <v>889897</v>
      </c>
      <c r="O339" s="46" t="n">
        <f aca="false">IF(OR(NOT(ISNUMBER($C339)),NOT(ISNUMBER($M339)),$M339=0),"",$C339/$M339-1)</f>
        <v>-0.00288309765571937</v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943578</v>
      </c>
      <c r="D340" s="42" t="n">
        <v>945455</v>
      </c>
      <c r="E340" s="42" t="n">
        <v>942577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-0.00354512189326617</v>
      </c>
      <c r="I340" s="45" t="n">
        <f aca="false">IF(AND(ISNUMBER($G340),$G340&gt;=MA_SHORT),AVERAGE(INDEX($C$5:$C340,337-MA_SHORT):$C340),"")</f>
        <v>917249.9</v>
      </c>
      <c r="J340" s="45" t="n">
        <f aca="false">IF(AND(ISNUMBER($G340),$G340&gt;=MA_MED),AVERAGE(INDEX($C$5:$C340,337-MA_MED):$C340),"")</f>
        <v>910294.5</v>
      </c>
      <c r="K340" s="45" t="n">
        <f aca="false">IF(AND(ISNUMBER($G340),$G340&gt;=MA_LONG2),AVERAGE(INDEX($C$5:$C340,337-MA_LONG2):$C340),"")</f>
        <v>871747.25</v>
      </c>
      <c r="L340" s="46" t="n">
        <f aca="false">IF(AND(ISNUMBER($G340),$G340&gt;=21),STDEV(INDEX($H$280:$H340,62-20):$H340)*SQRT(245),"")</f>
        <v>0.0656956173934992</v>
      </c>
      <c r="M340" s="45" t="n">
        <f aca="false">IF(AND(ISNUMBER($G340),$G340&gt;=60),MAX(INDEX($D$140:$D340,202-60):$D340),"")</f>
        <v>949673</v>
      </c>
      <c r="N340" s="45" t="n">
        <f aca="false">IF(AND(ISNUMBER($G340),$G340&gt;=60),MIN(INDEX($E$140:$E340,202-60):$E340),"")</f>
        <v>889897</v>
      </c>
      <c r="O340" s="46" t="n">
        <f aca="false">IF(OR(NOT(ISNUMBER($C340)),NOT(ISNUMBER($M340)),$M340=0),"",$C340/$M340-1)</f>
        <v>-0.00641799861636583</v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949773</v>
      </c>
      <c r="D341" s="42" t="n">
        <v>950595</v>
      </c>
      <c r="E341" s="42" t="n">
        <v>949556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0.00656543497198969</v>
      </c>
      <c r="I341" s="45" t="n">
        <f aca="false">IF(AND(ISNUMBER($G341),$G341&gt;=MA_SHORT),AVERAGE(INDEX($C$5:$C341,338-MA_SHORT):$C341),"")</f>
        <v>919757.75</v>
      </c>
      <c r="J341" s="45" t="n">
        <f aca="false">IF(AND(ISNUMBER($G341),$G341&gt;=MA_MED),AVERAGE(INDEX($C$5:$C341,338-MA_MED):$C341),"")</f>
        <v>911278.2</v>
      </c>
      <c r="K341" s="45" t="n">
        <f aca="false">IF(AND(ISNUMBER($G341),$G341&gt;=MA_LONG2),AVERAGE(INDEX($C$5:$C341,338-MA_LONG2):$C341),"")</f>
        <v>872358.905</v>
      </c>
      <c r="L341" s="46" t="n">
        <f aca="false">IF(AND(ISNUMBER($G341),$G341&gt;=21),STDEV(INDEX($H$281:$H341,62-20):$H341)*SQRT(245),"")</f>
        <v>0.0552053705011686</v>
      </c>
      <c r="M341" s="45" t="n">
        <f aca="false">IF(AND(ISNUMBER($G341),$G341&gt;=60),MAX(INDEX($D$141:$D341,202-60):$D341),"")</f>
        <v>950595</v>
      </c>
      <c r="N341" s="45" t="n">
        <f aca="false">IF(AND(ISNUMBER($G341),$G341&gt;=60),MIN(INDEX($E$141:$E341,202-60):$E341),"")</f>
        <v>889897</v>
      </c>
      <c r="O341" s="46" t="n">
        <f aca="false">IF(OR(NOT(ISNUMBER($C341)),NOT(ISNUMBER($M341)),$M341=0),"",$C341/$M341-1)</f>
        <v>-0.00086472156912254</v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946092</v>
      </c>
      <c r="D342" s="42" t="n">
        <v>948247</v>
      </c>
      <c r="E342" s="42" t="n">
        <v>945211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-0.00387566292156127</v>
      </c>
      <c r="I342" s="45" t="n">
        <f aca="false">IF(AND(ISNUMBER($G342),$G342&gt;=MA_SHORT),AVERAGE(INDEX($C$5:$C342,339-MA_SHORT):$C342),"")</f>
        <v>922258.35</v>
      </c>
      <c r="J342" s="45" t="n">
        <f aca="false">IF(AND(ISNUMBER($G342),$G342&gt;=MA_MED),AVERAGE(INDEX($C$5:$C342,339-MA_MED):$C342),"")</f>
        <v>912059.9</v>
      </c>
      <c r="K342" s="45" t="n">
        <f aca="false">IF(AND(ISNUMBER($G342),$G342&gt;=MA_LONG2),AVERAGE(INDEX($C$5:$C342,339-MA_LONG2):$C342),"")</f>
        <v>872934.395</v>
      </c>
      <c r="L342" s="46" t="n">
        <f aca="false">IF(AND(ISNUMBER($G342),$G342&gt;=21),STDEV(INDEX($H$282:$H342,62-20):$H342)*SQRT(245),"")</f>
        <v>0.0551203219254619</v>
      </c>
      <c r="M342" s="45" t="n">
        <f aca="false">IF(AND(ISNUMBER($G342),$G342&gt;=60),MAX(INDEX($D$142:$D342,202-60):$D342),"")</f>
        <v>950595</v>
      </c>
      <c r="N342" s="45" t="n">
        <f aca="false">IF(AND(ISNUMBER($G342),$G342&gt;=60),MIN(INDEX($E$142:$E342,202-60):$E342),"")</f>
        <v>890209</v>
      </c>
      <c r="O342" s="46" t="n">
        <f aca="false">IF(OR(NOT(ISNUMBER($C342)),NOT(ISNUMBER($M342)),$M342=0),"",$C342/$M342-1)</f>
        <v>-0.00473703312136087</v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948974</v>
      </c>
      <c r="D343" s="42" t="n">
        <v>950009</v>
      </c>
      <c r="E343" s="42" t="n">
        <v>947365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0.00304621537863126</v>
      </c>
      <c r="I343" s="45" t="n">
        <f aca="false">IF(AND(ISNUMBER($G343),$G343&gt;=MA_SHORT),AVERAGE(INDEX($C$5:$C343,340-MA_SHORT):$C343),"")</f>
        <v>924783.2</v>
      </c>
      <c r="J343" s="45" t="n">
        <f aca="false">IF(AND(ISNUMBER($G343),$G343&gt;=MA_MED),AVERAGE(INDEX($C$5:$C343,340-MA_MED):$C343),"")</f>
        <v>912926.8</v>
      </c>
      <c r="K343" s="45" t="n">
        <f aca="false">IF(AND(ISNUMBER($G343),$G343&gt;=MA_LONG2),AVERAGE(INDEX($C$5:$C343,340-MA_LONG2):$C343),"")</f>
        <v>873527.045</v>
      </c>
      <c r="L343" s="46" t="n">
        <f aca="false">IF(AND(ISNUMBER($G343),$G343&gt;=21),STDEV(INDEX($H$283:$H343,62-20):$H343)*SQRT(245),"")</f>
        <v>0.0551312843565825</v>
      </c>
      <c r="M343" s="45" t="n">
        <f aca="false">IF(AND(ISNUMBER($G343),$G343&gt;=60),MAX(INDEX($D$143:$D343,202-60):$D343),"")</f>
        <v>950595</v>
      </c>
      <c r="N343" s="45" t="n">
        <f aca="false">IF(AND(ISNUMBER($G343),$G343&gt;=60),MIN(INDEX($E$143:$E343,202-60):$E343),"")</f>
        <v>890209</v>
      </c>
      <c r="O343" s="46" t="n">
        <f aca="false">IF(OR(NOT(ISNUMBER($C343)),NOT(ISNUMBER($M343)),$M343=0),"",$C343/$M343-1)</f>
        <v>-0.001705247765873</v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949920</v>
      </c>
      <c r="D344" s="42" t="n">
        <v>951873</v>
      </c>
      <c r="E344" s="42" t="n">
        <v>947120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0.000996866089060466</v>
      </c>
      <c r="I344" s="45" t="n">
        <f aca="false">IF(AND(ISNUMBER($G344),$G344&gt;=MA_SHORT),AVERAGE(INDEX($C$5:$C344,341-MA_SHORT):$C344),"")</f>
        <v>927313.95</v>
      </c>
      <c r="J344" s="45" t="n">
        <f aca="false">IF(AND(ISNUMBER($G344),$G344&gt;=MA_MED),AVERAGE(INDEX($C$5:$C344,341-MA_MED):$C344),"")</f>
        <v>913797.12</v>
      </c>
      <c r="K344" s="45" t="n">
        <f aca="false">IF(AND(ISNUMBER($G344),$G344&gt;=MA_LONG2),AVERAGE(INDEX($C$5:$C344,341-MA_LONG2):$C344),"")</f>
        <v>874126.46</v>
      </c>
      <c r="L344" s="46" t="n">
        <f aca="false">IF(AND(ISNUMBER($G344),$G344&gt;=21),STDEV(INDEX($H$284:$H344,62-20):$H344)*SQRT(245),"")</f>
        <v>0.055099812105266</v>
      </c>
      <c r="M344" s="45" t="n">
        <f aca="false">IF(AND(ISNUMBER($G344),$G344&gt;=60),MAX(INDEX($D$144:$D344,202-60):$D344),"")</f>
        <v>951873</v>
      </c>
      <c r="N344" s="45" t="n">
        <f aca="false">IF(AND(ISNUMBER($G344),$G344&gt;=60),MIN(INDEX($E$144:$E344,202-60):$E344),"")</f>
        <v>893146</v>
      </c>
      <c r="O344" s="46" t="n">
        <f aca="false">IF(OR(NOT(ISNUMBER($C344)),NOT(ISNUMBER($M344)),$M344=0),"",$C344/$M344-1)</f>
        <v>-0.00205174429782129</v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953891</v>
      </c>
      <c r="D345" s="42" t="n">
        <v>960033</v>
      </c>
      <c r="E345" s="42" t="n">
        <v>950875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0.00418035202964462</v>
      </c>
      <c r="I345" s="45" t="n">
        <f aca="false">IF(AND(ISNUMBER($G345),$G345&gt;=MA_SHORT),AVERAGE(INDEX($C$5:$C345,342-MA_SHORT):$C345),"")</f>
        <v>929741</v>
      </c>
      <c r="J345" s="45" t="n">
        <f aca="false">IF(AND(ISNUMBER($G345),$G345&gt;=MA_MED),AVERAGE(INDEX($C$5:$C345,342-MA_MED):$C345),"")</f>
        <v>914876.84</v>
      </c>
      <c r="K345" s="45" t="n">
        <f aca="false">IF(AND(ISNUMBER($G345),$G345&gt;=MA_LONG2),AVERAGE(INDEX($C$5:$C345,342-MA_LONG2):$C345),"")</f>
        <v>874747.375</v>
      </c>
      <c r="L345" s="46" t="n">
        <f aca="false">IF(AND(ISNUMBER($G345),$G345&gt;=21),STDEV(INDEX($H$285:$H345,62-20):$H345)*SQRT(245),"")</f>
        <v>0.0534285799742808</v>
      </c>
      <c r="M345" s="45" t="n">
        <f aca="false">IF(AND(ISNUMBER($G345),$G345&gt;=60),MAX(INDEX($D$145:$D345,202-60):$D345),"")</f>
        <v>960033</v>
      </c>
      <c r="N345" s="45" t="n">
        <f aca="false">IF(AND(ISNUMBER($G345),$G345&gt;=60),MIN(INDEX($E$145:$E345,202-60):$E345),"")</f>
        <v>893146</v>
      </c>
      <c r="O345" s="46" t="n">
        <f aca="false">IF(OR(NOT(ISNUMBER($C345)),NOT(ISNUMBER($M345)),$M345=0),"",$C345/$M345-1)</f>
        <v>-0.00639769674584101</v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953039</v>
      </c>
      <c r="D346" s="42" t="n">
        <v>953766</v>
      </c>
      <c r="E346" s="42" t="n">
        <v>950908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-0.000893183812406218</v>
      </c>
      <c r="I346" s="45" t="n">
        <f aca="false">IF(AND(ISNUMBER($G346),$G346&gt;=MA_SHORT),AVERAGE(INDEX($C$5:$C346,343-MA_SHORT):$C346),"")</f>
        <v>932130.15</v>
      </c>
      <c r="J346" s="45" t="n">
        <f aca="false">IF(AND(ISNUMBER($G346),$G346&gt;=MA_MED),AVERAGE(INDEX($C$5:$C346,343-MA_MED):$C346),"")</f>
        <v>915955.36</v>
      </c>
      <c r="K346" s="45" t="n">
        <f aca="false">IF(AND(ISNUMBER($G346),$G346&gt;=MA_LONG2),AVERAGE(INDEX($C$5:$C346,343-MA_LONG2):$C346),"")</f>
        <v>875362.15</v>
      </c>
      <c r="L346" s="46" t="n">
        <f aca="false">IF(AND(ISNUMBER($G346),$G346&gt;=21),STDEV(INDEX($H$286:$H346,62-20):$H346)*SQRT(245),"")</f>
        <v>0.0540157552585475</v>
      </c>
      <c r="M346" s="45" t="n">
        <f aca="false">IF(AND(ISNUMBER($G346),$G346&gt;=60),MAX(INDEX($D$146:$D346,202-60):$D346),"")</f>
        <v>960033</v>
      </c>
      <c r="N346" s="45" t="n">
        <f aca="false">IF(AND(ISNUMBER($G346),$G346&gt;=60),MIN(INDEX($E$146:$E346,202-60):$E346),"")</f>
        <v>893146</v>
      </c>
      <c r="O346" s="46" t="n">
        <f aca="false">IF(OR(NOT(ISNUMBER($C346)),NOT(ISNUMBER($M346)),$M346=0),"",$C346/$M346-1)</f>
        <v>-0.00728516623907716</v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957102</v>
      </c>
      <c r="D347" s="42" t="n">
        <v>959350</v>
      </c>
      <c r="E347" s="42" t="n">
        <v>952996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0.0042632043389621</v>
      </c>
      <c r="I347" s="45" t="n">
        <f aca="false">IF(AND(ISNUMBER($G347),$G347&gt;=MA_SHORT),AVERAGE(INDEX($C$5:$C347,344-MA_SHORT):$C347),"")</f>
        <v>934886.15</v>
      </c>
      <c r="J347" s="45" t="n">
        <f aca="false">IF(AND(ISNUMBER($G347),$G347&gt;=MA_MED),AVERAGE(INDEX($C$5:$C347,344-MA_MED):$C347),"")</f>
        <v>916944.48</v>
      </c>
      <c r="K347" s="45" t="n">
        <f aca="false">IF(AND(ISNUMBER($G347),$G347&gt;=MA_LONG2),AVERAGE(INDEX($C$5:$C347,344-MA_LONG2):$C347),"")</f>
        <v>875971.16</v>
      </c>
      <c r="L347" s="46" t="n">
        <f aca="false">IF(AND(ISNUMBER($G347),$G347&gt;=21),STDEV(INDEX($H$287:$H347,62-20):$H347)*SQRT(245),"")</f>
        <v>0.0491821884122146</v>
      </c>
      <c r="M347" s="45" t="n">
        <f aca="false">IF(AND(ISNUMBER($G347),$G347&gt;=60),MAX(INDEX($D$147:$D347,202-60):$D347),"")</f>
        <v>960033</v>
      </c>
      <c r="N347" s="45" t="n">
        <f aca="false">IF(AND(ISNUMBER($G347),$G347&gt;=60),MIN(INDEX($E$147:$E347,202-60):$E347),"")</f>
        <v>893146</v>
      </c>
      <c r="O347" s="46" t="n">
        <f aca="false">IF(OR(NOT(ISNUMBER($C347)),NOT(ISNUMBER($M347)),$M347=0),"",$C347/$M347-1)</f>
        <v>-0.00305302005243568</v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958634</v>
      </c>
      <c r="D348" s="42" t="n">
        <v>960032</v>
      </c>
      <c r="E348" s="42" t="n">
        <v>958373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0.0016006653418339</v>
      </c>
      <c r="I348" s="45" t="n">
        <f aca="false">IF(AND(ISNUMBER($G348),$G348&gt;=MA_SHORT),AVERAGE(INDEX($C$5:$C348,345-MA_SHORT):$C348),"")</f>
        <v>937586.8</v>
      </c>
      <c r="J348" s="45" t="n">
        <f aca="false">IF(AND(ISNUMBER($G348),$G348&gt;=MA_MED),AVERAGE(INDEX($C$5:$C348,345-MA_MED):$C348),"")</f>
        <v>917903.98</v>
      </c>
      <c r="K348" s="45" t="n">
        <f aca="false">IF(AND(ISNUMBER($G348),$G348&gt;=MA_LONG2),AVERAGE(INDEX($C$5:$C348,345-MA_LONG2):$C348),"")</f>
        <v>876582.485</v>
      </c>
      <c r="L348" s="46" t="n">
        <f aca="false">IF(AND(ISNUMBER($G348),$G348&gt;=21),STDEV(INDEX($H$288:$H348,62-20):$H348)*SQRT(245),"")</f>
        <v>0.0494173534972934</v>
      </c>
      <c r="M348" s="45" t="n">
        <f aca="false">IF(AND(ISNUMBER($G348),$G348&gt;=60),MAX(INDEX($D$148:$D348,202-60):$D348),"")</f>
        <v>960033</v>
      </c>
      <c r="N348" s="45" t="n">
        <f aca="false">IF(AND(ISNUMBER($G348),$G348&gt;=60),MIN(INDEX($E$148:$E348,202-60):$E348),"")</f>
        <v>893508</v>
      </c>
      <c r="O348" s="46" t="n">
        <f aca="false">IF(OR(NOT(ISNUMBER($C348)),NOT(ISNUMBER($M348)),$M348=0),"",$C348/$M348-1)</f>
        <v>-0.00145724157398752</v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957592</v>
      </c>
      <c r="D349" s="42" t="n">
        <v>961355</v>
      </c>
      <c r="E349" s="42" t="n">
        <v>956331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-0.00108696332489777</v>
      </c>
      <c r="I349" s="45" t="n">
        <f aca="false">IF(AND(ISNUMBER($G349),$G349&gt;=MA_SHORT),AVERAGE(INDEX($C$5:$C349,346-MA_SHORT):$C349),"")</f>
        <v>940055.8</v>
      </c>
      <c r="J349" s="45" t="n">
        <f aca="false">IF(AND(ISNUMBER($G349),$G349&gt;=MA_MED),AVERAGE(INDEX($C$5:$C349,346-MA_MED):$C349),"")</f>
        <v>918936.52</v>
      </c>
      <c r="K349" s="45" t="n">
        <f aca="false">IF(AND(ISNUMBER($G349),$G349&gt;=MA_LONG2),AVERAGE(INDEX($C$5:$C349,346-MA_LONG2):$C349),"")</f>
        <v>877193.04</v>
      </c>
      <c r="L349" s="46" t="n">
        <f aca="false">IF(AND(ISNUMBER($G349),$G349&gt;=21),STDEV(INDEX($H$289:$H349,62-20):$H349)*SQRT(245),"")</f>
        <v>0.0511559503371589</v>
      </c>
      <c r="M349" s="45" t="n">
        <f aca="false">IF(AND(ISNUMBER($G349),$G349&gt;=60),MAX(INDEX($D$149:$D349,202-60):$D349),"")</f>
        <v>961355</v>
      </c>
      <c r="N349" s="45" t="n">
        <f aca="false">IF(AND(ISNUMBER($G349),$G349&gt;=60),MIN(INDEX($E$149:$E349,202-60):$E349),"")</f>
        <v>893508</v>
      </c>
      <c r="O349" s="46" t="n">
        <f aca="false">IF(OR(NOT(ISNUMBER($C349)),NOT(ISNUMBER($M349)),$M349=0),"",$C349/$M349-1)</f>
        <v>-0.00391426684211349</v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954427</v>
      </c>
      <c r="D350" s="42" t="n">
        <v>960919</v>
      </c>
      <c r="E350" s="42" t="n">
        <v>952196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-0.00330516545668724</v>
      </c>
      <c r="I350" s="45" t="n">
        <f aca="false">IF(AND(ISNUMBER($G350),$G350&gt;=MA_SHORT),AVERAGE(INDEX($C$5:$C350,347-MA_SHORT):$C350),"")</f>
        <v>942297.45</v>
      </c>
      <c r="J350" s="45" t="n">
        <f aca="false">IF(AND(ISNUMBER($G350),$G350&gt;=MA_MED),AVERAGE(INDEX($C$5:$C350,347-MA_MED):$C350),"")</f>
        <v>919880.52</v>
      </c>
      <c r="K350" s="45" t="n">
        <f aca="false">IF(AND(ISNUMBER($G350),$G350&gt;=MA_LONG2),AVERAGE(INDEX($C$5:$C350,347-MA_LONG2):$C350),"")</f>
        <v>877782.885</v>
      </c>
      <c r="L350" s="46" t="n">
        <f aca="false">IF(AND(ISNUMBER($G350),$G350&gt;=21),STDEV(INDEX($H$290:$H350,62-20):$H350)*SQRT(245),"")</f>
        <v>0.0551680190530669</v>
      </c>
      <c r="M350" s="45" t="n">
        <f aca="false">IF(AND(ISNUMBER($G350),$G350&gt;=60),MAX(INDEX($D$150:$D350,202-60):$D350),"")</f>
        <v>961355</v>
      </c>
      <c r="N350" s="45" t="n">
        <f aca="false">IF(AND(ISNUMBER($G350),$G350&gt;=60),MIN(INDEX($E$150:$E350,202-60):$E350),"")</f>
        <v>893508</v>
      </c>
      <c r="O350" s="46" t="n">
        <f aca="false">IF(OR(NOT(ISNUMBER($C350)),NOT(ISNUMBER($M350)),$M350=0),"",$C350/$M350-1)</f>
        <v>-0.00720649499924586</v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952865</v>
      </c>
      <c r="D351" s="42" t="n">
        <v>954625</v>
      </c>
      <c r="E351" s="42" t="n">
        <v>951534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-0.0016365840446676</v>
      </c>
      <c r="I351" s="45" t="n">
        <f aca="false">IF(AND(ISNUMBER($G351),$G351&gt;=MA_SHORT),AVERAGE(INDEX($C$5:$C351,348-MA_SHORT):$C351),"")</f>
        <v>944296.8</v>
      </c>
      <c r="J351" s="45" t="n">
        <f aca="false">IF(AND(ISNUMBER($G351),$G351&gt;=MA_MED),AVERAGE(INDEX($C$5:$C351,348-MA_MED):$C351),"")</f>
        <v>920751.96</v>
      </c>
      <c r="K351" s="45" t="n">
        <f aca="false">IF(AND(ISNUMBER($G351),$G351&gt;=MA_LONG2),AVERAGE(INDEX($C$5:$C351,348-MA_LONG2):$C351),"")</f>
        <v>878350.525</v>
      </c>
      <c r="L351" s="46" t="n">
        <f aca="false">IF(AND(ISNUMBER($G351),$G351&gt;=21),STDEV(INDEX($H$291:$H351,62-20):$H351)*SQRT(245),"")</f>
        <v>0.0567355940356811</v>
      </c>
      <c r="M351" s="45" t="n">
        <f aca="false">IF(AND(ISNUMBER($G351),$G351&gt;=60),MAX(INDEX($D$151:$D351,202-60):$D351),"")</f>
        <v>961355</v>
      </c>
      <c r="N351" s="45" t="n">
        <f aca="false">IF(AND(ISNUMBER($G351),$G351&gt;=60),MIN(INDEX($E$151:$E351,202-60):$E351),"")</f>
        <v>893508</v>
      </c>
      <c r="O351" s="46" t="n">
        <f aca="false">IF(OR(NOT(ISNUMBER($C351)),NOT(ISNUMBER($M351)),$M351=0),"",$C351/$M351-1)</f>
        <v>-0.00883128500917974</v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958877</v>
      </c>
      <c r="D352" s="42" t="n">
        <v>963847</v>
      </c>
      <c r="E352" s="42" t="n">
        <v>955589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0.0063093932508802</v>
      </c>
      <c r="I352" s="45" t="n">
        <f aca="false">IF(AND(ISNUMBER($G352),$G352&gt;=MA_SHORT),AVERAGE(INDEX($C$5:$C352,349-MA_SHORT):$C352),"")</f>
        <v>946280.1</v>
      </c>
      <c r="J352" s="45" t="n">
        <f aca="false">IF(AND(ISNUMBER($G352),$G352&gt;=MA_MED),AVERAGE(INDEX($C$5:$C352,349-MA_MED):$C352),"")</f>
        <v>921797.34</v>
      </c>
      <c r="K352" s="45" t="n">
        <f aca="false">IF(AND(ISNUMBER($G352),$G352&gt;=MA_LONG2),AVERAGE(INDEX($C$5:$C352,349-MA_LONG2):$C352),"")</f>
        <v>878940.585</v>
      </c>
      <c r="L352" s="46" t="n">
        <f aca="false">IF(AND(ISNUMBER($G352),$G352&gt;=21),STDEV(INDEX($H$292:$H352,62-20):$H352)*SQRT(245),"")</f>
        <v>0.0560914967751702</v>
      </c>
      <c r="M352" s="45" t="n">
        <f aca="false">IF(AND(ISNUMBER($G352),$G352&gt;=60),MAX(INDEX($D$152:$D352,202-60):$D352),"")</f>
        <v>963847</v>
      </c>
      <c r="N352" s="45" t="n">
        <f aca="false">IF(AND(ISNUMBER($G352),$G352&gt;=60),MIN(INDEX($E$152:$E352,202-60):$E352),"")</f>
        <v>893508</v>
      </c>
      <c r="O352" s="46" t="n">
        <f aca="false">IF(OR(NOT(ISNUMBER($C352)),NOT(ISNUMBER($M352)),$M352=0),"",$C352/$M352-1)</f>
        <v>-0.00515642005422023</v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960253</v>
      </c>
      <c r="D353" s="42" t="n">
        <v>962514</v>
      </c>
      <c r="E353" s="42" t="n">
        <v>958858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0.00143501199841056</v>
      </c>
      <c r="I353" s="45" t="n">
        <f aca="false">IF(AND(ISNUMBER($G353),$G353&gt;=MA_SHORT),AVERAGE(INDEX($C$5:$C353,350-MA_SHORT):$C353),"")</f>
        <v>948197.05</v>
      </c>
      <c r="J353" s="45" t="n">
        <f aca="false">IF(AND(ISNUMBER($G353),$G353&gt;=MA_MED),AVERAGE(INDEX($C$5:$C353,350-MA_MED):$C353),"")</f>
        <v>922846.82</v>
      </c>
      <c r="K353" s="45" t="n">
        <f aca="false">IF(AND(ISNUMBER($G353),$G353&gt;=MA_LONG2),AVERAGE(INDEX($C$5:$C353,350-MA_LONG2):$C353),"")</f>
        <v>879542.63</v>
      </c>
      <c r="L353" s="46" t="n">
        <f aca="false">IF(AND(ISNUMBER($G353),$G353&gt;=21),STDEV(INDEX($H$293:$H353,62-20):$H353)*SQRT(245),"")</f>
        <v>0.0560552301835016</v>
      </c>
      <c r="M353" s="45" t="n">
        <f aca="false">IF(AND(ISNUMBER($G353),$G353&gt;=60),MAX(INDEX($D$153:$D353,202-60):$D353),"")</f>
        <v>963847</v>
      </c>
      <c r="N353" s="45" t="n">
        <f aca="false">IF(AND(ISNUMBER($G353),$G353&gt;=60),MIN(INDEX($E$153:$E353,202-60):$E353),"")</f>
        <v>893508</v>
      </c>
      <c r="O353" s="46" t="n">
        <f aca="false">IF(OR(NOT(ISNUMBER($C353)),NOT(ISNUMBER($M353)),$M353=0),"",$C353/$M353-1)</f>
        <v>-0.00372880758045624</v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958621</v>
      </c>
      <c r="D354" s="42" t="n">
        <v>960509</v>
      </c>
      <c r="E354" s="42" t="n">
        <v>957013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-0.00169955209720774</v>
      </c>
      <c r="I354" s="45" t="n">
        <f aca="false">IF(AND(ISNUMBER($G354),$G354&gt;=MA_SHORT),AVERAGE(INDEX($C$5:$C354,351-MA_SHORT):$C354),"")</f>
        <v>949837.95</v>
      </c>
      <c r="J354" s="45" t="n">
        <f aca="false">IF(AND(ISNUMBER($G354),$G354&gt;=MA_MED),AVERAGE(INDEX($C$5:$C354,351-MA_MED):$C354),"")</f>
        <v>923898.82</v>
      </c>
      <c r="K354" s="45" t="n">
        <f aca="false">IF(AND(ISNUMBER($G354),$G354&gt;=MA_LONG2),AVERAGE(INDEX($C$5:$C354,351-MA_LONG2):$C354),"")</f>
        <v>880143.415</v>
      </c>
      <c r="L354" s="46" t="n">
        <f aca="false">IF(AND(ISNUMBER($G354),$G354&gt;=21),STDEV(INDEX($H$294:$H354,62-20):$H354)*SQRT(245),"")</f>
        <v>0.0569171783609882</v>
      </c>
      <c r="M354" s="45" t="n">
        <f aca="false">IF(AND(ISNUMBER($G354),$G354&gt;=60),MAX(INDEX($D$154:$D354,202-60):$D354),"")</f>
        <v>963847</v>
      </c>
      <c r="N354" s="45" t="n">
        <f aca="false">IF(AND(ISNUMBER($G354),$G354&gt;=60),MIN(INDEX($E$154:$E354,202-60):$E354),"")</f>
        <v>893508</v>
      </c>
      <c r="O354" s="46" t="n">
        <f aca="false">IF(OR(NOT(ISNUMBER($C354)),NOT(ISNUMBER($M354)),$M354=0),"",$C354/$M354-1)</f>
        <v>-0.00542202237492051</v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963447</v>
      </c>
      <c r="D355" s="42" t="n">
        <v>964901</v>
      </c>
      <c r="E355" s="42" t="n">
        <v>962769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0.0050343149169485</v>
      </c>
      <c r="I355" s="45" t="n">
        <f aca="false">IF(AND(ISNUMBER($G355),$G355&gt;=MA_SHORT),AVERAGE(INDEX($C$5:$C355,352-MA_SHORT):$C355),"")</f>
        <v>951639.1</v>
      </c>
      <c r="J355" s="45" t="n">
        <f aca="false">IF(AND(ISNUMBER($G355),$G355&gt;=MA_MED),AVERAGE(INDEX($C$5:$C355,352-MA_MED):$C355),"")</f>
        <v>925023.74</v>
      </c>
      <c r="K355" s="45" t="n">
        <f aca="false">IF(AND(ISNUMBER($G355),$G355&gt;=MA_LONG2),AVERAGE(INDEX($C$5:$C355,352-MA_LONG2):$C355),"")</f>
        <v>880736.62</v>
      </c>
      <c r="L355" s="46" t="n">
        <f aca="false">IF(AND(ISNUMBER($G355),$G355&gt;=21),STDEV(INDEX($H$295:$H355,62-20):$H355)*SQRT(245),"")</f>
        <v>0.0580667596409812</v>
      </c>
      <c r="M355" s="45" t="n">
        <f aca="false">IF(AND(ISNUMBER($G355),$G355&gt;=60),MAX(INDEX($D$155:$D355,202-60):$D355),"")</f>
        <v>964901</v>
      </c>
      <c r="N355" s="45" t="n">
        <f aca="false">IF(AND(ISNUMBER($G355),$G355&gt;=60),MIN(INDEX($E$155:$E355,202-60):$E355),"")</f>
        <v>893508</v>
      </c>
      <c r="O355" s="46" t="n">
        <f aca="false">IF(OR(NOT(ISNUMBER($C355)),NOT(ISNUMBER($M355)),$M355=0),"",$C355/$M355-1)</f>
        <v>-0.00150689034419071</v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971279</v>
      </c>
      <c r="D356" s="42" t="n">
        <v>971957</v>
      </c>
      <c r="E356" s="42" t="n">
        <v>965684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0.00812914462341996</v>
      </c>
      <c r="I356" s="45" t="n">
        <f aca="false">IF(AND(ISNUMBER($G356),$G356&gt;=MA_SHORT),AVERAGE(INDEX($C$5:$C356,353-MA_SHORT):$C356),"")</f>
        <v>953408.8</v>
      </c>
      <c r="J356" s="45" t="n">
        <f aca="false">IF(AND(ISNUMBER($G356),$G356&gt;=MA_MED),AVERAGE(INDEX($C$5:$C356,353-MA_MED):$C356),"")</f>
        <v>926381.94</v>
      </c>
      <c r="K356" s="45" t="n">
        <f aca="false">IF(AND(ISNUMBER($G356),$G356&gt;=MA_LONG2),AVERAGE(INDEX($C$5:$C356,353-MA_LONG2):$C356),"")</f>
        <v>881342.285</v>
      </c>
      <c r="L356" s="46" t="n">
        <f aca="false">IF(AND(ISNUMBER($G356),$G356&gt;=21),STDEV(INDEX($H$296:$H356,62-20):$H356)*SQRT(245),"")</f>
        <v>0.0565600900760131</v>
      </c>
      <c r="M356" s="45" t="n">
        <f aca="false">IF(AND(ISNUMBER($G356),$G356&gt;=60),MAX(INDEX($D$156:$D356,202-60):$D356),"")</f>
        <v>971957</v>
      </c>
      <c r="N356" s="45" t="n">
        <f aca="false">IF(AND(ISNUMBER($G356),$G356&gt;=60),MIN(INDEX($E$156:$E356,202-60):$E356),"")</f>
        <v>893508</v>
      </c>
      <c r="O356" s="46" t="n">
        <f aca="false">IF(OR(NOT(ISNUMBER($C356)),NOT(ISNUMBER($M356)),$M356=0),"",$C356/$M356-1)</f>
        <v>-0.000697561723409623</v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969695</v>
      </c>
      <c r="D357" s="42" t="n">
        <v>971632</v>
      </c>
      <c r="E357" s="42" t="n">
        <v>966153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-0.00163083933658614</v>
      </c>
      <c r="I357" s="45" t="n">
        <f aca="false">IF(AND(ISNUMBER($G357),$G357&gt;=MA_SHORT),AVERAGE(INDEX($C$5:$C357,354-MA_SHORT):$C357),"")</f>
        <v>954899.9</v>
      </c>
      <c r="J357" s="45" t="n">
        <f aca="false">IF(AND(ISNUMBER($G357),$G357&gt;=MA_MED),AVERAGE(INDEX($C$5:$C357,354-MA_MED):$C357),"")</f>
        <v>927565.68</v>
      </c>
      <c r="K357" s="45" t="n">
        <f aca="false">IF(AND(ISNUMBER($G357),$G357&gt;=MA_LONG2),AVERAGE(INDEX($C$5:$C357,354-MA_LONG2):$C357),"")</f>
        <v>881941.75</v>
      </c>
      <c r="L357" s="46" t="n">
        <f aca="false">IF(AND(ISNUMBER($G357),$G357&gt;=21),STDEV(INDEX($H$297:$H357,62-20):$H357)*SQRT(245),"")</f>
        <v>0.0570968569039726</v>
      </c>
      <c r="M357" s="45" t="n">
        <f aca="false">IF(AND(ISNUMBER($G357),$G357&gt;=60),MAX(INDEX($D$157:$D357,202-60):$D357),"")</f>
        <v>971957</v>
      </c>
      <c r="N357" s="45" t="n">
        <f aca="false">IF(AND(ISNUMBER($G357),$G357&gt;=60),MIN(INDEX($E$157:$E357,202-60):$E357),"")</f>
        <v>893508</v>
      </c>
      <c r="O357" s="46" t="n">
        <f aca="false">IF(OR(NOT(ISNUMBER($C357)),NOT(ISNUMBER($M357)),$M357=0),"",$C357/$M357-1)</f>
        <v>-0.00232726344889744</v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973293</v>
      </c>
      <c r="D358" s="42" t="n">
        <v>974874</v>
      </c>
      <c r="E358" s="42" t="n">
        <v>971657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0.00371044503684148</v>
      </c>
      <c r="I358" s="45" t="n">
        <f aca="false">IF(AND(ISNUMBER($G358),$G358&gt;=MA_SHORT),AVERAGE(INDEX($C$5:$C358,355-MA_SHORT):$C358),"")</f>
        <v>956414.35</v>
      </c>
      <c r="J358" s="45" t="n">
        <f aca="false">IF(AND(ISNUMBER($G358),$G358&gt;=MA_MED),AVERAGE(INDEX($C$5:$C358,355-MA_MED):$C358),"")</f>
        <v>928828.56</v>
      </c>
      <c r="K358" s="45" t="n">
        <f aca="false">IF(AND(ISNUMBER($G358),$G358&gt;=MA_LONG2),AVERAGE(INDEX($C$5:$C358,355-MA_LONG2):$C358),"")</f>
        <v>882547.02</v>
      </c>
      <c r="L358" s="46" t="n">
        <f aca="false">IF(AND(ISNUMBER($G358),$G358&gt;=21),STDEV(INDEX($H$298:$H358,62-20):$H358)*SQRT(245),"")</f>
        <v>0.057262902645296</v>
      </c>
      <c r="M358" s="45" t="n">
        <f aca="false">IF(AND(ISNUMBER($G358),$G358&gt;=60),MAX(INDEX($D$158:$D358,202-60):$D358),"")</f>
        <v>974874</v>
      </c>
      <c r="N358" s="45" t="n">
        <f aca="false">IF(AND(ISNUMBER($G358),$G358&gt;=60),MIN(INDEX($E$158:$E358,202-60):$E358),"")</f>
        <v>893508</v>
      </c>
      <c r="O358" s="46" t="n">
        <f aca="false">IF(OR(NOT(ISNUMBER($C358)),NOT(ISNUMBER($M358)),$M358=0),"",$C358/$M358-1)</f>
        <v>-0.00162174804128534</v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970821</v>
      </c>
      <c r="D359" s="42" t="n">
        <v>973156</v>
      </c>
      <c r="E359" s="42" t="n">
        <v>963330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-0.00253983127383017</v>
      </c>
      <c r="I359" s="45" t="n">
        <f aca="false">IF(AND(ISNUMBER($G359),$G359&gt;=MA_SHORT),AVERAGE(INDEX($C$5:$C359,356-MA_SHORT):$C359),"")</f>
        <v>957608.65</v>
      </c>
      <c r="J359" s="45" t="n">
        <f aca="false">IF(AND(ISNUMBER($G359),$G359&gt;=MA_MED),AVERAGE(INDEX($C$5:$C359,356-MA_MED):$C359),"")</f>
        <v>930111.32</v>
      </c>
      <c r="K359" s="45" t="n">
        <f aca="false">IF(AND(ISNUMBER($G359),$G359&gt;=MA_LONG2),AVERAGE(INDEX($C$5:$C359,356-MA_LONG2):$C359),"")</f>
        <v>883109.865</v>
      </c>
      <c r="L359" s="46" t="n">
        <f aca="false">IF(AND(ISNUMBER($G359),$G359&gt;=21),STDEV(INDEX($H$299:$H359,62-20):$H359)*SQRT(245),"")</f>
        <v>0.0581714971515248</v>
      </c>
      <c r="M359" s="45" t="n">
        <f aca="false">IF(AND(ISNUMBER($G359),$G359&gt;=60),MAX(INDEX($D$159:$D359,202-60):$D359),"")</f>
        <v>974874</v>
      </c>
      <c r="N359" s="45" t="n">
        <f aca="false">IF(AND(ISNUMBER($G359),$G359&gt;=60),MIN(INDEX($E$159:$E359,202-60):$E359),"")</f>
        <v>893508</v>
      </c>
      <c r="O359" s="46" t="n">
        <f aca="false">IF(OR(NOT(ISNUMBER($C359)),NOT(ISNUMBER($M359)),$M359=0),"",$C359/$M359-1)</f>
        <v>-0.004157460348722</v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970520</v>
      </c>
      <c r="D360" s="42" t="n">
        <v>974795</v>
      </c>
      <c r="E360" s="42" t="n">
        <v>970151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-0.00031004685724767</v>
      </c>
      <c r="I360" s="45" t="n">
        <f aca="false">IF(AND(ISNUMBER($G360),$G360&gt;=MA_SHORT),AVERAGE(INDEX($C$5:$C360,357-MA_SHORT):$C360),"")</f>
        <v>958955.75</v>
      </c>
      <c r="J360" s="45" t="n">
        <f aca="false">IF(AND(ISNUMBER($G360),$G360&gt;=MA_MED),AVERAGE(INDEX($C$5:$C360,357-MA_MED):$C360),"")</f>
        <v>931446.22</v>
      </c>
      <c r="K360" s="45" t="n">
        <f aca="false">IF(AND(ISNUMBER($G360),$G360&gt;=MA_LONG2),AVERAGE(INDEX($C$5:$C360,357-MA_LONG2):$C360),"")</f>
        <v>883671.315</v>
      </c>
      <c r="L360" s="46" t="n">
        <f aca="false">IF(AND(ISNUMBER($G360),$G360&gt;=21),STDEV(INDEX($H$300:$H360,62-20):$H360)*SQRT(245),"")</f>
        <v>0.0557837273186021</v>
      </c>
      <c r="M360" s="45" t="n">
        <f aca="false">IF(AND(ISNUMBER($G360),$G360&gt;=60),MAX(INDEX($D$160:$D360,202-60):$D360),"")</f>
        <v>974874</v>
      </c>
      <c r="N360" s="45" t="n">
        <f aca="false">IF(AND(ISNUMBER($G360),$G360&gt;=60),MIN(INDEX($E$160:$E360,202-60):$E360),"")</f>
        <v>893508</v>
      </c>
      <c r="O360" s="46" t="n">
        <f aca="false">IF(OR(NOT(ISNUMBER($C360)),NOT(ISNUMBER($M360)),$M360=0),"",$C360/$M360-1)</f>
        <v>-0.00446621819845439</v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965587</v>
      </c>
      <c r="D361" s="42" t="n">
        <v>966928</v>
      </c>
      <c r="E361" s="42" t="n">
        <v>964578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-0.00508284218769317</v>
      </c>
      <c r="I361" s="45" t="n">
        <f aca="false">IF(AND(ISNUMBER($G361),$G361&gt;=MA_SHORT),AVERAGE(INDEX($C$5:$C361,358-MA_SHORT):$C361),"")</f>
        <v>959746.45</v>
      </c>
      <c r="J361" s="45" t="n">
        <f aca="false">IF(AND(ISNUMBER($G361),$G361&gt;=MA_MED),AVERAGE(INDEX($C$5:$C361,358-MA_MED):$C361),"")</f>
        <v>932614.02</v>
      </c>
      <c r="K361" s="45" t="n">
        <f aca="false">IF(AND(ISNUMBER($G361),$G361&gt;=MA_LONG2),AVERAGE(INDEX($C$5:$C361,358-MA_LONG2):$C361),"")</f>
        <v>884229.545</v>
      </c>
      <c r="L361" s="46" t="n">
        <f aca="false">IF(AND(ISNUMBER($G361),$G361&gt;=21),STDEV(INDEX($H$301:$H361,62-20):$H361)*SQRT(245),"")</f>
        <v>0.0568033934332978</v>
      </c>
      <c r="M361" s="45" t="n">
        <f aca="false">IF(AND(ISNUMBER($G361),$G361&gt;=60),MAX(INDEX($D$161:$D361,202-60):$D361),"")</f>
        <v>974874</v>
      </c>
      <c r="N361" s="45" t="n">
        <f aca="false">IF(AND(ISNUMBER($G361),$G361&gt;=60),MIN(INDEX($E$161:$E361,202-60):$E361),"")</f>
        <v>893508</v>
      </c>
      <c r="O361" s="46" t="n">
        <f aca="false">IF(OR(NOT(ISNUMBER($C361)),NOT(ISNUMBER($M361)),$M361=0),"",$C361/$M361-1)</f>
        <v>-0.00952635930386903</v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966769</v>
      </c>
      <c r="D362" s="42" t="n">
        <v>968588</v>
      </c>
      <c r="E362" s="42" t="n">
        <v>966010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0.00122412584262221</v>
      </c>
      <c r="I362" s="45" t="n">
        <f aca="false">IF(AND(ISNUMBER($G362),$G362&gt;=MA_SHORT),AVERAGE(INDEX($C$5:$C362,359-MA_SHORT):$C362),"")</f>
        <v>960780.3</v>
      </c>
      <c r="J362" s="45" t="n">
        <f aca="false">IF(AND(ISNUMBER($G362),$G362&gt;=MA_MED),AVERAGE(INDEX($C$5:$C362,359-MA_MED):$C362),"")</f>
        <v>933919.08</v>
      </c>
      <c r="K362" s="45" t="n">
        <f aca="false">IF(AND(ISNUMBER($G362),$G362&gt;=MA_LONG2),AVERAGE(INDEX($C$5:$C362,359-MA_LONG2):$C362),"")</f>
        <v>884799.72</v>
      </c>
      <c r="L362" s="46" t="n">
        <f aca="false">IF(AND(ISNUMBER($G362),$G362&gt;=21),STDEV(INDEX($H$302:$H362,62-20):$H362)*SQRT(245),"")</f>
        <v>0.0540928202360265</v>
      </c>
      <c r="M362" s="45" t="n">
        <f aca="false">IF(AND(ISNUMBER($G362),$G362&gt;=60),MAX(INDEX($D$162:$D362,202-60):$D362),"")</f>
        <v>974874</v>
      </c>
      <c r="N362" s="45" t="n">
        <f aca="false">IF(AND(ISNUMBER($G362),$G362&gt;=60),MIN(INDEX($E$162:$E362,202-60):$E362),"")</f>
        <v>893508</v>
      </c>
      <c r="O362" s="46" t="n">
        <f aca="false">IF(OR(NOT(ISNUMBER($C362)),NOT(ISNUMBER($M362)),$M362=0),"",$C362/$M362-1)</f>
        <v>-0.00831389492385681</v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966588</v>
      </c>
      <c r="D363" s="42" t="n">
        <v>972233</v>
      </c>
      <c r="E363" s="42" t="n">
        <v>963400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-0.000187221559648676</v>
      </c>
      <c r="I363" s="45" t="n">
        <f aca="false">IF(AND(ISNUMBER($G363),$G363&gt;=MA_SHORT),AVERAGE(INDEX($C$5:$C363,360-MA_SHORT):$C363),"")</f>
        <v>961661</v>
      </c>
      <c r="J363" s="45" t="n">
        <f aca="false">IF(AND(ISNUMBER($G363),$G363&gt;=MA_MED),AVERAGE(INDEX($C$5:$C363,360-MA_MED):$C363),"")</f>
        <v>935222.52</v>
      </c>
      <c r="K363" s="45" t="n">
        <f aca="false">IF(AND(ISNUMBER($G363),$G363&gt;=MA_LONG2),AVERAGE(INDEX($C$5:$C363,360-MA_LONG2):$C363),"")</f>
        <v>885352.71</v>
      </c>
      <c r="L363" s="46" t="n">
        <f aca="false">IF(AND(ISNUMBER($G363),$G363&gt;=21),STDEV(INDEX($H$303:$H363,62-20):$H363)*SQRT(245),"")</f>
        <v>0.0537657119039302</v>
      </c>
      <c r="M363" s="45" t="n">
        <f aca="false">IF(AND(ISNUMBER($G363),$G363&gt;=60),MAX(INDEX($D$163:$D363,202-60):$D363),"")</f>
        <v>974874</v>
      </c>
      <c r="N363" s="45" t="n">
        <f aca="false">IF(AND(ISNUMBER($G363),$G363&gt;=60),MIN(INDEX($E$163:$E363,202-60):$E363),"")</f>
        <v>893508</v>
      </c>
      <c r="O363" s="46" t="n">
        <f aca="false">IF(OR(NOT(ISNUMBER($C363)),NOT(ISNUMBER($M363)),$M363=0),"",$C363/$M363-1)</f>
        <v>-0.00849955994313112</v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968629</v>
      </c>
      <c r="D364" s="42" t="n">
        <v>975649</v>
      </c>
      <c r="E364" s="42" t="n">
        <v>966723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0.00211155114692096</v>
      </c>
      <c r="I364" s="45" t="n">
        <f aca="false">IF(AND(ISNUMBER($G364),$G364&gt;=MA_SHORT),AVERAGE(INDEX($C$5:$C364,361-MA_SHORT):$C364),"")</f>
        <v>962596.45</v>
      </c>
      <c r="J364" s="45" t="n">
        <f aca="false">IF(AND(ISNUMBER($G364),$G364&gt;=MA_MED),AVERAGE(INDEX($C$5:$C364,361-MA_MED):$C364),"")</f>
        <v>936640.36</v>
      </c>
      <c r="K364" s="45" t="n">
        <f aca="false">IF(AND(ISNUMBER($G364),$G364&gt;=MA_LONG2),AVERAGE(INDEX($C$5:$C364,361-MA_LONG2):$C364),"")</f>
        <v>885926.305</v>
      </c>
      <c r="L364" s="46" t="n">
        <f aca="false">IF(AND(ISNUMBER($G364),$G364&gt;=21),STDEV(INDEX($H$304:$H364,62-20):$H364)*SQRT(245),"")</f>
        <v>0.0539260826719792</v>
      </c>
      <c r="M364" s="45" t="n">
        <f aca="false">IF(AND(ISNUMBER($G364),$G364&gt;=60),MAX(INDEX($D$164:$D364,202-60):$D364),"")</f>
        <v>975649</v>
      </c>
      <c r="N364" s="45" t="n">
        <f aca="false">IF(AND(ISNUMBER($G364),$G364&gt;=60),MIN(INDEX($E$164:$E364,202-60):$E364),"")</f>
        <v>893508</v>
      </c>
      <c r="O364" s="46" t="n">
        <f aca="false">IF(OR(NOT(ISNUMBER($C364)),NOT(ISNUMBER($M364)),$M364=0),"",$C364/$M364-1)</f>
        <v>-0.00719521057265471</v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967403</v>
      </c>
      <c r="D365" s="42" t="n">
        <v>967850</v>
      </c>
      <c r="E365" s="42" t="n">
        <v>965359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-0.00126570647791879</v>
      </c>
      <c r="I365" s="45" t="n">
        <f aca="false">IF(AND(ISNUMBER($G365),$G365&gt;=MA_SHORT),AVERAGE(INDEX($C$5:$C365,362-MA_SHORT):$C365),"")</f>
        <v>963272.05</v>
      </c>
      <c r="J365" s="45" t="n">
        <f aca="false">IF(AND(ISNUMBER($G365),$G365&gt;=MA_MED),AVERAGE(INDEX($C$5:$C365,362-MA_MED):$C365),"")</f>
        <v>938093.58</v>
      </c>
      <c r="K365" s="45" t="n">
        <f aca="false">IF(AND(ISNUMBER($G365),$G365&gt;=MA_LONG2),AVERAGE(INDEX($C$5:$C365,362-MA_LONG2):$C365),"")</f>
        <v>886490.47</v>
      </c>
      <c r="L365" s="46" t="n">
        <f aca="false">IF(AND(ISNUMBER($G365),$G365&gt;=21),STDEV(INDEX($H$305:$H365,62-20):$H365)*SQRT(245),"")</f>
        <v>0.0531228930743295</v>
      </c>
      <c r="M365" s="45" t="n">
        <f aca="false">IF(AND(ISNUMBER($G365),$G365&gt;=60),MAX(INDEX($D$165:$D365,202-60):$D365),"")</f>
        <v>975649</v>
      </c>
      <c r="N365" s="45" t="n">
        <f aca="false">IF(AND(ISNUMBER($G365),$G365&gt;=60),MIN(INDEX($E$165:$E365,202-60):$E365),"")</f>
        <v>893508</v>
      </c>
      <c r="O365" s="46" t="n">
        <f aca="false">IF(OR(NOT(ISNUMBER($C365)),NOT(ISNUMBER($M365)),$M365=0),"",$C365/$M365-1)</f>
        <v>-0.00845181002594175</v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966803</v>
      </c>
      <c r="D366" s="42" t="n">
        <v>971488</v>
      </c>
      <c r="E366" s="42" t="n">
        <v>960275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-0.000620217220744568</v>
      </c>
      <c r="I366" s="45" t="n">
        <f aca="false">IF(AND(ISNUMBER($G366),$G366&gt;=MA_SHORT),AVERAGE(INDEX($C$5:$C366,363-MA_SHORT):$C366),"")</f>
        <v>963960.25</v>
      </c>
      <c r="J366" s="45" t="n">
        <f aca="false">IF(AND(ISNUMBER($G366),$G366&gt;=MA_MED),AVERAGE(INDEX($C$5:$C366,363-MA_MED):$C366),"")</f>
        <v>939292.26</v>
      </c>
      <c r="K366" s="45" t="n">
        <f aca="false">IF(AND(ISNUMBER($G366),$G366&gt;=MA_LONG2),AVERAGE(INDEX($C$5:$C366,363-MA_LONG2):$C366),"")</f>
        <v>887056.44</v>
      </c>
      <c r="L366" s="46" t="n">
        <f aca="false">IF(AND(ISNUMBER($G366),$G366&gt;=21),STDEV(INDEX($H$306:$H366,62-20):$H366)*SQRT(245),"")</f>
        <v>0.0530252366015886</v>
      </c>
      <c r="M366" s="45" t="n">
        <f aca="false">IF(AND(ISNUMBER($G366),$G366&gt;=60),MAX(INDEX($D$166:$D366,202-60):$D366),"")</f>
        <v>975649</v>
      </c>
      <c r="N366" s="45" t="n">
        <f aca="false">IF(AND(ISNUMBER($G366),$G366&gt;=60),MIN(INDEX($E$166:$E366,202-60):$E366),"")</f>
        <v>893508</v>
      </c>
      <c r="O366" s="46" t="n">
        <f aca="false">IF(OR(NOT(ISNUMBER($C366)),NOT(ISNUMBER($M366)),$M366=0),"",$C366/$M366-1)</f>
        <v>-0.00906678528856175</v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970165</v>
      </c>
      <c r="D367" s="42" t="n">
        <v>971449</v>
      </c>
      <c r="E367" s="42" t="n">
        <v>969766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0.00347744059544697</v>
      </c>
      <c r="I367" s="45" t="n">
        <f aca="false">IF(AND(ISNUMBER($G367),$G367&gt;=MA_SHORT),AVERAGE(INDEX($C$5:$C367,364-MA_SHORT):$C367),"")</f>
        <v>964613.4</v>
      </c>
      <c r="J367" s="45" t="n">
        <f aca="false">IF(AND(ISNUMBER($G367),$G367&gt;=MA_MED),AVERAGE(INDEX($C$5:$C367,364-MA_MED):$C367),"")</f>
        <v>940515.5</v>
      </c>
      <c r="K367" s="45" t="n">
        <f aca="false">IF(AND(ISNUMBER($G367),$G367&gt;=MA_LONG2),AVERAGE(INDEX($C$5:$C367,364-MA_LONG2):$C367),"")</f>
        <v>887617.43</v>
      </c>
      <c r="L367" s="46" t="n">
        <f aca="false">IF(AND(ISNUMBER($G367),$G367&gt;=21),STDEV(INDEX($H$307:$H367,62-20):$H367)*SQRT(245),"")</f>
        <v>0.0524165215018985</v>
      </c>
      <c r="M367" s="45" t="n">
        <f aca="false">IF(AND(ISNUMBER($G367),$G367&gt;=60),MAX(INDEX($D$167:$D367,202-60):$D367),"")</f>
        <v>975649</v>
      </c>
      <c r="N367" s="45" t="n">
        <f aca="false">IF(AND(ISNUMBER($G367),$G367&gt;=60),MIN(INDEX($E$167:$E367,202-60):$E367),"")</f>
        <v>893508</v>
      </c>
      <c r="O367" s="46" t="n">
        <f aca="false">IF(OR(NOT(ISNUMBER($C367)),NOT(ISNUMBER($M367)),$M367=0),"",$C367/$M367-1)</f>
        <v>-0.00562087390034738</v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978733</v>
      </c>
      <c r="D368" s="42" t="n">
        <v>980072</v>
      </c>
      <c r="E368" s="42" t="n">
        <v>976867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0.00883148742739648</v>
      </c>
      <c r="I368" s="45" t="n">
        <f aca="false">IF(AND(ISNUMBER($G368),$G368&gt;=MA_SHORT),AVERAGE(INDEX($C$5:$C368,365-MA_SHORT):$C368),"")</f>
        <v>965618.35</v>
      </c>
      <c r="J368" s="45" t="n">
        <f aca="false">IF(AND(ISNUMBER($G368),$G368&gt;=MA_MED),AVERAGE(INDEX($C$5:$C368,365-MA_MED):$C368),"")</f>
        <v>941852.7</v>
      </c>
      <c r="K368" s="45" t="n">
        <f aca="false">IF(AND(ISNUMBER($G368),$G368&gt;=MA_LONG2),AVERAGE(INDEX($C$5:$C368,365-MA_LONG2):$C368),"")</f>
        <v>888215.41</v>
      </c>
      <c r="L368" s="46" t="n">
        <f aca="false">IF(AND(ISNUMBER($G368),$G368&gt;=21),STDEV(INDEX($H$308:$H368,62-20):$H368)*SQRT(245),"")</f>
        <v>0.0596576849139396</v>
      </c>
      <c r="M368" s="45" t="n">
        <f aca="false">IF(AND(ISNUMBER($G368),$G368&gt;=60),MAX(INDEX($D$168:$D368,202-60):$D368),"")</f>
        <v>980072</v>
      </c>
      <c r="N368" s="45" t="n">
        <f aca="false">IF(AND(ISNUMBER($G368),$G368&gt;=60),MIN(INDEX($E$168:$E368,202-60):$E368),"")</f>
        <v>893508</v>
      </c>
      <c r="O368" s="46" t="n">
        <f aca="false">IF(OR(NOT(ISNUMBER($C368)),NOT(ISNUMBER($M368)),$M368=0),"",$C368/$M368-1)</f>
        <v>-0.00136622615481308</v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980646</v>
      </c>
      <c r="D369" s="42" t="n">
        <v>984658</v>
      </c>
      <c r="E369" s="42" t="n">
        <v>974322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0.00195456779325931</v>
      </c>
      <c r="I369" s="45" t="n">
        <f aca="false">IF(AND(ISNUMBER($G369),$G369&gt;=MA_SHORT),AVERAGE(INDEX($C$5:$C369,366-MA_SHORT):$C369),"")</f>
        <v>966771.05</v>
      </c>
      <c r="J369" s="45" t="n">
        <f aca="false">IF(AND(ISNUMBER($G369),$G369&gt;=MA_MED),AVERAGE(INDEX($C$5:$C369,366-MA_MED):$C369),"")</f>
        <v>943254</v>
      </c>
      <c r="K369" s="45" t="n">
        <f aca="false">IF(AND(ISNUMBER($G369),$G369&gt;=MA_LONG2),AVERAGE(INDEX($C$5:$C369,366-MA_LONG2):$C369),"")</f>
        <v>888808.585</v>
      </c>
      <c r="L369" s="46" t="n">
        <f aca="false">IF(AND(ISNUMBER($G369),$G369&gt;=21),STDEV(INDEX($H$309:$H369,62-20):$H369)*SQRT(245),"")</f>
        <v>0.059204231152886</v>
      </c>
      <c r="M369" s="45" t="n">
        <f aca="false">IF(AND(ISNUMBER($G369),$G369&gt;=60),MAX(INDEX($D$169:$D369,202-60):$D369),"")</f>
        <v>984658</v>
      </c>
      <c r="N369" s="45" t="n">
        <f aca="false">IF(AND(ISNUMBER($G369),$G369&gt;=60),MIN(INDEX($E$169:$E369,202-60):$E369),"")</f>
        <v>893508</v>
      </c>
      <c r="O369" s="46" t="n">
        <f aca="false">IF(OR(NOT(ISNUMBER($C369)),NOT(ISNUMBER($M369)),$M369=0),"",$C369/$M369-1)</f>
        <v>-0.0040745111500643</v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981013</v>
      </c>
      <c r="D370" s="42" t="n">
        <v>981223</v>
      </c>
      <c r="E370" s="42" t="n">
        <v>978619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0.000374243100976335</v>
      </c>
      <c r="I370" s="45" t="n">
        <f aca="false">IF(AND(ISNUMBER($G370),$G370&gt;=MA_SHORT),AVERAGE(INDEX($C$5:$C370,367-MA_SHORT):$C370),"")</f>
        <v>968100.35</v>
      </c>
      <c r="J370" s="45" t="n">
        <f aca="false">IF(AND(ISNUMBER($G370),$G370&gt;=MA_MED),AVERAGE(INDEX($C$5:$C370,367-MA_MED):$C370),"")</f>
        <v>944728.98</v>
      </c>
      <c r="K370" s="45" t="n">
        <f aca="false">IF(AND(ISNUMBER($G370),$G370&gt;=MA_LONG2),AVERAGE(INDEX($C$5:$C370,367-MA_LONG2):$C370),"")</f>
        <v>889392.415</v>
      </c>
      <c r="L370" s="46" t="n">
        <f aca="false">IF(AND(ISNUMBER($G370),$G370&gt;=21),STDEV(INDEX($H$310:$H370,62-20):$H370)*SQRT(245),"")</f>
        <v>0.0569541396723689</v>
      </c>
      <c r="M370" s="45" t="n">
        <f aca="false">IF(AND(ISNUMBER($G370),$G370&gt;=60),MAX(INDEX($D$170:$D370,202-60):$D370),"")</f>
        <v>984658</v>
      </c>
      <c r="N370" s="45" t="n">
        <f aca="false">IF(AND(ISNUMBER($G370),$G370&gt;=60),MIN(INDEX($E$170:$E370,202-60):$E370),"")</f>
        <v>893508</v>
      </c>
      <c r="O370" s="46" t="n">
        <f aca="false">IF(OR(NOT(ISNUMBER($C370)),NOT(ISNUMBER($M370)),$M370=0),"",$C370/$M370-1)</f>
        <v>-0.00370179290677575</v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1021972</v>
      </c>
      <c r="D371" s="42" t="n">
        <v>1023172</v>
      </c>
      <c r="E371" s="42" t="n">
        <v>1021092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0.0417517402929422</v>
      </c>
      <c r="I371" s="45" t="n">
        <f aca="false">IF(AND(ISNUMBER($G371),$G371&gt;=MA_SHORT),AVERAGE(INDEX($C$5:$C371,368-MA_SHORT):$C371),"")</f>
        <v>971555.7</v>
      </c>
      <c r="J371" s="45" t="n">
        <f aca="false">IF(AND(ISNUMBER($G371),$G371&gt;=MA_MED),AVERAGE(INDEX($C$5:$C371,368-MA_MED):$C371),"")</f>
        <v>947176.1</v>
      </c>
      <c r="K371" s="45" t="n">
        <f aca="false">IF(AND(ISNUMBER($G371),$G371&gt;=MA_LONG2),AVERAGE(INDEX($C$5:$C371,368-MA_LONG2):$C371),"")</f>
        <v>890173.545</v>
      </c>
      <c r="L371" s="46" t="n">
        <f aca="false">IF(AND(ISNUMBER($G371),$G371&gt;=21),STDEV(INDEX($H$311:$H371,62-20):$H371)*SQRT(245),"")</f>
        <v>0.151421502235781</v>
      </c>
      <c r="M371" s="45" t="n">
        <f aca="false">IF(AND(ISNUMBER($G371),$G371&gt;=60),MAX(INDEX($D$171:$D371,202-60):$D371),"")</f>
        <v>1023172</v>
      </c>
      <c r="N371" s="45" t="n">
        <f aca="false">IF(AND(ISNUMBER($G371),$G371&gt;=60),MIN(INDEX($E$171:$E371,202-60):$E371),"")</f>
        <v>893508</v>
      </c>
      <c r="O371" s="46" t="n">
        <f aca="false">IF(OR(NOT(ISNUMBER($C371)),NOT(ISNUMBER($M371)),$M371=0),"",$C371/$M371-1)</f>
        <v>-0.0011728233376207</v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1021741</v>
      </c>
      <c r="D372" s="42" t="n">
        <v>1021813</v>
      </c>
      <c r="E372" s="42" t="n">
        <v>1021137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-0.000226033589961316</v>
      </c>
      <c r="I372" s="45" t="n">
        <f aca="false">IF(AND(ISNUMBER($G372),$G372&gt;=MA_SHORT),AVERAGE(INDEX($C$5:$C372,369-MA_SHORT):$C372),"")</f>
        <v>974698.9</v>
      </c>
      <c r="J372" s="45" t="n">
        <f aca="false">IF(AND(ISNUMBER($G372),$G372&gt;=MA_MED),AVERAGE(INDEX($C$5:$C372,369-MA_MED):$C372),"")</f>
        <v>949689.32</v>
      </c>
      <c r="K372" s="45" t="n">
        <f aca="false">IF(AND(ISNUMBER($G372),$G372&gt;=MA_LONG2),AVERAGE(INDEX($C$5:$C372,369-MA_LONG2):$C372),"")</f>
        <v>890954.23</v>
      </c>
      <c r="L372" s="46" t="n">
        <f aca="false">IF(AND(ISNUMBER($G372),$G372&gt;=21),STDEV(INDEX($H$312:$H372,62-20):$H372)*SQRT(245),"")</f>
        <v>0.151613552006484</v>
      </c>
      <c r="M372" s="45" t="n">
        <f aca="false">IF(AND(ISNUMBER($G372),$G372&gt;=60),MAX(INDEX($D$172:$D372,202-60):$D372),"")</f>
        <v>1023172</v>
      </c>
      <c r="N372" s="45" t="n">
        <f aca="false">IF(AND(ISNUMBER($G372),$G372&gt;=60),MIN(INDEX($E$172:$E372,202-60):$E372),"")</f>
        <v>893508</v>
      </c>
      <c r="O372" s="46" t="n">
        <f aca="false">IF(OR(NOT(ISNUMBER($C372)),NOT(ISNUMBER($M372)),$M372=0),"",$C372/$M372-1)</f>
        <v>-0.00139859183011259</v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1022820</v>
      </c>
      <c r="D373" s="42" t="n">
        <v>1024928</v>
      </c>
      <c r="E373" s="42" t="n">
        <v>1016145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0.00105604062086195</v>
      </c>
      <c r="I373" s="45" t="n">
        <f aca="false">IF(AND(ISNUMBER($G373),$G373&gt;=MA_SHORT),AVERAGE(INDEX($C$5:$C373,370-MA_SHORT):$C373),"")</f>
        <v>977827.25</v>
      </c>
      <c r="J373" s="45" t="n">
        <f aca="false">IF(AND(ISNUMBER($G373),$G373&gt;=MA_MED),AVERAGE(INDEX($C$5:$C373,370-MA_MED):$C373),"")</f>
        <v>952176.18</v>
      </c>
      <c r="K373" s="45" t="n">
        <f aca="false">IF(AND(ISNUMBER($G373),$G373&gt;=MA_LONG2),AVERAGE(INDEX($C$5:$C373,370-MA_LONG2):$C373),"")</f>
        <v>891734.68</v>
      </c>
      <c r="L373" s="46" t="n">
        <f aca="false">IF(AND(ISNUMBER($G373),$G373&gt;=21),STDEV(INDEX($H$313:$H373,62-20):$H373)*SQRT(245),"")</f>
        <v>0.151676989347348</v>
      </c>
      <c r="M373" s="45" t="n">
        <f aca="false">IF(AND(ISNUMBER($G373),$G373&gt;=60),MAX(INDEX($D$173:$D373,202-60):$D373),"")</f>
        <v>1024928</v>
      </c>
      <c r="N373" s="45" t="n">
        <f aca="false">IF(AND(ISNUMBER($G373),$G373&gt;=60),MIN(INDEX($E$173:$E373,202-60):$E373),"")</f>
        <v>893508</v>
      </c>
      <c r="O373" s="46" t="n">
        <f aca="false">IF(OR(NOT(ISNUMBER($C373)),NOT(ISNUMBER($M373)),$M373=0),"",$C373/$M373-1)</f>
        <v>-0.00205672983858374</v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1017589</v>
      </c>
      <c r="D374" s="42" t="n">
        <v>1022415</v>
      </c>
      <c r="E374" s="42" t="n">
        <v>1011710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-0.00511429185976031</v>
      </c>
      <c r="I374" s="45" t="n">
        <f aca="false">IF(AND(ISNUMBER($G374),$G374&gt;=MA_SHORT),AVERAGE(INDEX($C$5:$C374,371-MA_SHORT):$C374),"")</f>
        <v>980775.65</v>
      </c>
      <c r="J374" s="45" t="n">
        <f aca="false">IF(AND(ISNUMBER($G374),$G374&gt;=MA_MED),AVERAGE(INDEX($C$5:$C374,371-MA_MED):$C374),"")</f>
        <v>954541.86</v>
      </c>
      <c r="K374" s="45" t="n">
        <f aca="false">IF(AND(ISNUMBER($G374),$G374&gt;=MA_LONG2),AVERAGE(INDEX($C$5:$C374,371-MA_LONG2):$C374),"")</f>
        <v>892508.29</v>
      </c>
      <c r="L374" s="46" t="n">
        <f aca="false">IF(AND(ISNUMBER($G374),$G374&gt;=21),STDEV(INDEX($H$314:$H374,62-20):$H374)*SQRT(245),"")</f>
        <v>0.15355987130451</v>
      </c>
      <c r="M374" s="45" t="n">
        <f aca="false">IF(AND(ISNUMBER($G374),$G374&gt;=60),MAX(INDEX($D$174:$D374,202-60):$D374),"")</f>
        <v>1024928</v>
      </c>
      <c r="N374" s="45" t="n">
        <f aca="false">IF(AND(ISNUMBER($G374),$G374&gt;=60),MIN(INDEX($E$174:$E374,202-60):$E374),"")</f>
        <v>893508</v>
      </c>
      <c r="O374" s="46" t="n">
        <f aca="false">IF(OR(NOT(ISNUMBER($C374)),NOT(ISNUMBER($M374)),$M374=0),"",$C374/$M374-1)</f>
        <v>-0.00716050298167281</v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1020251</v>
      </c>
      <c r="D375" s="42" t="n">
        <v>1022399</v>
      </c>
      <c r="E375" s="42" t="n">
        <v>1019998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0.00261598739766256</v>
      </c>
      <c r="I375" s="45" t="n">
        <f aca="false">IF(AND(ISNUMBER($G375),$G375&gt;=MA_SHORT),AVERAGE(INDEX($C$5:$C375,372-MA_SHORT):$C375),"")</f>
        <v>983615.85</v>
      </c>
      <c r="J375" s="45" t="n">
        <f aca="false">IF(AND(ISNUMBER($G375),$G375&gt;=MA_MED),AVERAGE(INDEX($C$5:$C375,372-MA_MED):$C375),"")</f>
        <v>956839.88</v>
      </c>
      <c r="K375" s="45" t="n">
        <f aca="false">IF(AND(ISNUMBER($G375),$G375&gt;=MA_LONG2),AVERAGE(INDEX($C$5:$C375,372-MA_LONG2):$C375),"")</f>
        <v>893296.42</v>
      </c>
      <c r="L375" s="46" t="n">
        <f aca="false">IF(AND(ISNUMBER($G375),$G375&gt;=21),STDEV(INDEX($H$315:$H375,62-20):$H375)*SQRT(245),"")</f>
        <v>0.15338681626635</v>
      </c>
      <c r="M375" s="45" t="n">
        <f aca="false">IF(AND(ISNUMBER($G375),$G375&gt;=60),MAX(INDEX($D$175:$D375,202-60):$D375),"")</f>
        <v>1024928</v>
      </c>
      <c r="N375" s="45" t="n">
        <f aca="false">IF(AND(ISNUMBER($G375),$G375&gt;=60),MIN(INDEX($E$175:$E375,202-60):$E375),"")</f>
        <v>893596</v>
      </c>
      <c r="O375" s="46" t="n">
        <f aca="false">IF(OR(NOT(ISNUMBER($C375)),NOT(ISNUMBER($M375)),$M375=0),"",$C375/$M375-1)</f>
        <v>-0.00456324736957137</v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1022509</v>
      </c>
      <c r="D376" s="42" t="n">
        <v>1028751</v>
      </c>
      <c r="E376" s="42" t="n">
        <v>1020569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0.00221318087411815</v>
      </c>
      <c r="I376" s="45" t="n">
        <f aca="false">IF(AND(ISNUMBER($G376),$G376&gt;=MA_SHORT),AVERAGE(INDEX($C$5:$C376,373-MA_SHORT):$C376),"")</f>
        <v>986177.35</v>
      </c>
      <c r="J376" s="45" t="n">
        <f aca="false">IF(AND(ISNUMBER($G376),$G376&gt;=MA_MED),AVERAGE(INDEX($C$5:$C376,373-MA_MED):$C376),"")</f>
        <v>959184.94</v>
      </c>
      <c r="K376" s="45" t="n">
        <f aca="false">IF(AND(ISNUMBER($G376),$G376&gt;=MA_LONG2),AVERAGE(INDEX($C$5:$C376,373-MA_LONG2):$C376),"")</f>
        <v>894113.195</v>
      </c>
      <c r="L376" s="46" t="n">
        <f aca="false">IF(AND(ISNUMBER($G376),$G376&gt;=21),STDEV(INDEX($H$316:$H376,62-20):$H376)*SQRT(245),"")</f>
        <v>0.152185484115509</v>
      </c>
      <c r="M376" s="45" t="n">
        <f aca="false">IF(AND(ISNUMBER($G376),$G376&gt;=60),MAX(INDEX($D$176:$D376,202-60):$D376),"")</f>
        <v>1028751</v>
      </c>
      <c r="N376" s="45" t="n">
        <f aca="false">IF(AND(ISNUMBER($G376),$G376&gt;=60),MIN(INDEX($E$176:$E376,202-60):$E376),"")</f>
        <v>893596</v>
      </c>
      <c r="O376" s="46" t="n">
        <f aca="false">IF(OR(NOT(ISNUMBER($C376)),NOT(ISNUMBER($M376)),$M376=0),"",$C376/$M376-1)</f>
        <v>-0.00606755181768959</v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1032995</v>
      </c>
      <c r="D377" s="42" t="n">
        <v>1033521</v>
      </c>
      <c r="E377" s="42" t="n">
        <v>1029177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0.0102551664581925</v>
      </c>
      <c r="I377" s="45" t="n">
        <f aca="false">IF(AND(ISNUMBER($G377),$G377&gt;=MA_SHORT),AVERAGE(INDEX($C$5:$C377,374-MA_SHORT):$C377),"")</f>
        <v>989342.35</v>
      </c>
      <c r="J377" s="45" t="n">
        <f aca="false">IF(AND(ISNUMBER($G377),$G377&gt;=MA_MED),AVERAGE(INDEX($C$5:$C377,374-MA_MED):$C377),"")</f>
        <v>961805.2</v>
      </c>
      <c r="K377" s="45" t="n">
        <f aca="false">IF(AND(ISNUMBER($G377),$G377&gt;=MA_LONG2),AVERAGE(INDEX($C$5:$C377,374-MA_LONG2):$C377),"")</f>
        <v>895001.41</v>
      </c>
      <c r="L377" s="46" t="n">
        <f aca="false">IF(AND(ISNUMBER($G377),$G377&gt;=21),STDEV(INDEX($H$317:$H377,62-20):$H377)*SQRT(245),"")</f>
        <v>0.153586789979008</v>
      </c>
      <c r="M377" s="45" t="n">
        <f aca="false">IF(AND(ISNUMBER($G377),$G377&gt;=60),MAX(INDEX($D$177:$D377,202-60):$D377),"")</f>
        <v>1033521</v>
      </c>
      <c r="N377" s="45" t="n">
        <f aca="false">IF(AND(ISNUMBER($G377),$G377&gt;=60),MIN(INDEX($E$177:$E377,202-60):$E377),"")</f>
        <v>893596</v>
      </c>
      <c r="O377" s="46" t="n">
        <f aca="false">IF(OR(NOT(ISNUMBER($C377)),NOT(ISNUMBER($M377)),$M377=0),"",$C377/$M377-1)</f>
        <v>-0.000508939828024801</v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1035949</v>
      </c>
      <c r="D378" s="42" t="n">
        <v>1041069</v>
      </c>
      <c r="E378" s="42" t="n">
        <v>1030900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0.00285964598086141</v>
      </c>
      <c r="I378" s="45" t="n">
        <f aca="false">IF(AND(ISNUMBER($G378),$G378&gt;=MA_SHORT),AVERAGE(INDEX($C$5:$C378,375-MA_SHORT):$C378),"")</f>
        <v>992475.15</v>
      </c>
      <c r="J378" s="45" t="n">
        <f aca="false">IF(AND(ISNUMBER($G378),$G378&gt;=MA_MED),AVERAGE(INDEX($C$5:$C378,375-MA_MED):$C378),"")</f>
        <v>964431.76</v>
      </c>
      <c r="K378" s="45" t="n">
        <f aca="false">IF(AND(ISNUMBER($G378),$G378&gt;=MA_LONG2),AVERAGE(INDEX($C$5:$C378,375-MA_LONG2):$C378),"")</f>
        <v>895886.81</v>
      </c>
      <c r="L378" s="46" t="n">
        <f aca="false">IF(AND(ISNUMBER($G378),$G378&gt;=21),STDEV(INDEX($H$318:$H378,62-20):$H378)*SQRT(245),"")</f>
        <v>0.153580016316156</v>
      </c>
      <c r="M378" s="45" t="n">
        <f aca="false">IF(AND(ISNUMBER($G378),$G378&gt;=60),MAX(INDEX($D$178:$D378,202-60):$D378),"")</f>
        <v>1041069</v>
      </c>
      <c r="N378" s="45" t="n">
        <f aca="false">IF(AND(ISNUMBER($G378),$G378&gt;=60),MIN(INDEX($E$178:$E378,202-60):$E378),"")</f>
        <v>893596</v>
      </c>
      <c r="O378" s="46" t="n">
        <f aca="false">IF(OR(NOT(ISNUMBER($C378)),NOT(ISNUMBER($M378)),$M378=0),"",$C378/$M378-1)</f>
        <v>-0.00491802176416745</v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1038896</v>
      </c>
      <c r="D379" s="42" t="n">
        <v>1043141</v>
      </c>
      <c r="E379" s="42" t="n">
        <v>1034406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0.00284473463462009</v>
      </c>
      <c r="I379" s="45" t="n">
        <f aca="false">IF(AND(ISNUMBER($G379),$G379&gt;=MA_SHORT),AVERAGE(INDEX($C$5:$C379,376-MA_SHORT):$C379),"")</f>
        <v>995878.9</v>
      </c>
      <c r="J379" s="45" t="n">
        <f aca="false">IF(AND(ISNUMBER($G379),$G379&gt;=MA_MED),AVERAGE(INDEX($C$5:$C379,376-MA_MED):$C379),"")</f>
        <v>967045.44</v>
      </c>
      <c r="K379" s="45" t="n">
        <f aca="false">IF(AND(ISNUMBER($G379),$G379&gt;=MA_LONG2),AVERAGE(INDEX($C$5:$C379,376-MA_LONG2):$C379),"")</f>
        <v>896807.65</v>
      </c>
      <c r="L379" s="46" t="n">
        <f aca="false">IF(AND(ISNUMBER($G379),$G379&gt;=21),STDEV(INDEX($H$319:$H379,62-20):$H379)*SQRT(245),"")</f>
        <v>0.15214874922902</v>
      </c>
      <c r="M379" s="45" t="n">
        <f aca="false">IF(AND(ISNUMBER($G379),$G379&gt;=60),MAX(INDEX($D$179:$D379,202-60):$D379),"")</f>
        <v>1043141</v>
      </c>
      <c r="N379" s="45" t="n">
        <f aca="false">IF(AND(ISNUMBER($G379),$G379&gt;=60),MIN(INDEX($E$179:$E379,202-60):$E379),"")</f>
        <v>893596</v>
      </c>
      <c r="O379" s="46" t="n">
        <f aca="false">IF(OR(NOT(ISNUMBER($C379)),NOT(ISNUMBER($M379)),$M379=0),"",$C379/$M379-1)</f>
        <v>-0.00406944027700951</v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1038269</v>
      </c>
      <c r="D380" s="42" t="n">
        <v>1042056</v>
      </c>
      <c r="E380" s="42" t="n">
        <v>1033539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-0.000603525280682526</v>
      </c>
      <c r="I380" s="45" t="n">
        <f aca="false">IF(AND(ISNUMBER($G380),$G380&gt;=MA_SHORT),AVERAGE(INDEX($C$5:$C380,377-MA_SHORT):$C380),"")</f>
        <v>999266.35</v>
      </c>
      <c r="J380" s="45" t="n">
        <f aca="false">IF(AND(ISNUMBER($G380),$G380&gt;=MA_MED),AVERAGE(INDEX($C$5:$C380,377-MA_MED):$C380),"")</f>
        <v>969618.94</v>
      </c>
      <c r="K380" s="45" t="n">
        <f aca="false">IF(AND(ISNUMBER($G380),$G380&gt;=MA_LONG2),AVERAGE(INDEX($C$5:$C380,377-MA_LONG2):$C380),"")</f>
        <v>897739.49</v>
      </c>
      <c r="L380" s="46" t="n">
        <f aca="false">IF(AND(ISNUMBER($G380),$G380&gt;=21),STDEV(INDEX($H$320:$H380,62-20):$H380)*SQRT(245),"")</f>
        <v>0.152245413703835</v>
      </c>
      <c r="M380" s="45" t="n">
        <f aca="false">IF(AND(ISNUMBER($G380),$G380&gt;=60),MAX(INDEX($D$180:$D380,202-60):$D380),"")</f>
        <v>1043141</v>
      </c>
      <c r="N380" s="45" t="n">
        <f aca="false">IF(AND(ISNUMBER($G380),$G380&gt;=60),MIN(INDEX($E$180:$E380,202-60):$E380),"")</f>
        <v>893596</v>
      </c>
      <c r="O380" s="46" t="n">
        <f aca="false">IF(OR(NOT(ISNUMBER($C380)),NOT(ISNUMBER($M380)),$M380=0),"",$C380/$M380-1)</f>
        <v>-0.00467050954760673</v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1042772</v>
      </c>
      <c r="D381" s="42" t="n">
        <v>1046807</v>
      </c>
      <c r="E381" s="42" t="n">
        <v>1042189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0.00433702633903166</v>
      </c>
      <c r="I381" s="45" t="n">
        <f aca="false">IF(AND(ISNUMBER($G381),$G381&gt;=MA_SHORT),AVERAGE(INDEX($C$5:$C381,378-MA_SHORT):$C381),"")</f>
        <v>1003125.6</v>
      </c>
      <c r="J381" s="45" t="n">
        <f aca="false">IF(AND(ISNUMBER($G381),$G381&gt;=MA_MED),AVERAGE(INDEX($C$5:$C381,378-MA_MED):$C381),"")</f>
        <v>972216.82</v>
      </c>
      <c r="K381" s="45" t="n">
        <f aca="false">IF(AND(ISNUMBER($G381),$G381&gt;=MA_LONG2),AVERAGE(INDEX($C$5:$C381,378-MA_LONG2):$C381),"")</f>
        <v>898669.625</v>
      </c>
      <c r="L381" s="46" t="n">
        <f aca="false">IF(AND(ISNUMBER($G381),$G381&gt;=21),STDEV(INDEX($H$321:$H381,62-20):$H381)*SQRT(245),"")</f>
        <v>0.14899389445714</v>
      </c>
      <c r="M381" s="45" t="n">
        <f aca="false">IF(AND(ISNUMBER($G381),$G381&gt;=60),MAX(INDEX($D$181:$D381,202-60):$D381),"")</f>
        <v>1046807</v>
      </c>
      <c r="N381" s="45" t="n">
        <f aca="false">IF(AND(ISNUMBER($G381),$G381&gt;=60),MIN(INDEX($E$181:$E381,202-60):$E381),"")</f>
        <v>893596</v>
      </c>
      <c r="O381" s="46" t="n">
        <f aca="false">IF(OR(NOT(ISNUMBER($C381)),NOT(ISNUMBER($M381)),$M381=0),"",$C381/$M381-1)</f>
        <v>-0.00385457873323358</v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1043540</v>
      </c>
      <c r="D382" s="42" t="n">
        <v>1048628</v>
      </c>
      <c r="E382" s="42" t="n">
        <v>1042714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0.000736498486725745</v>
      </c>
      <c r="I382" s="45" t="n">
        <f aca="false">IF(AND(ISNUMBER($G382),$G382&gt;=MA_SHORT),AVERAGE(INDEX($C$5:$C382,379-MA_SHORT):$C382),"")</f>
        <v>1006964.15</v>
      </c>
      <c r="J382" s="45" t="n">
        <f aca="false">IF(AND(ISNUMBER($G382),$G382&gt;=MA_MED),AVERAGE(INDEX($C$5:$C382,379-MA_MED):$C382),"")</f>
        <v>974703.4</v>
      </c>
      <c r="K382" s="45" t="n">
        <f aca="false">IF(AND(ISNUMBER($G382),$G382&gt;=MA_LONG2),AVERAGE(INDEX($C$5:$C382,379-MA_LONG2):$C382),"")</f>
        <v>899605.94</v>
      </c>
      <c r="L382" s="46" t="n">
        <f aca="false">IF(AND(ISNUMBER($G382),$G382&gt;=21),STDEV(INDEX($H$322:$H382,62-20):$H382)*SQRT(245),"")</f>
        <v>0.149116313856483</v>
      </c>
      <c r="M382" s="45" t="n">
        <f aca="false">IF(AND(ISNUMBER($G382),$G382&gt;=60),MAX(INDEX($D$182:$D382,202-60):$D382),"")</f>
        <v>1048628</v>
      </c>
      <c r="N382" s="45" t="n">
        <f aca="false">IF(AND(ISNUMBER($G382),$G382&gt;=60),MIN(INDEX($E$182:$E382,202-60):$E382),"")</f>
        <v>897810</v>
      </c>
      <c r="O382" s="46" t="n">
        <f aca="false">IF(OR(NOT(ISNUMBER($C382)),NOT(ISNUMBER($M382)),$M382=0),"",$C382/$M382-1)</f>
        <v>-0.00485205430333735</v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1040145</v>
      </c>
      <c r="D383" s="42" t="n">
        <v>1041286</v>
      </c>
      <c r="E383" s="42" t="n">
        <v>1039929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-0.00325334917684039</v>
      </c>
      <c r="I383" s="45" t="n">
        <f aca="false">IF(AND(ISNUMBER($G383),$G383&gt;=MA_SHORT),AVERAGE(INDEX($C$5:$C383,380-MA_SHORT):$C383),"")</f>
        <v>1010642</v>
      </c>
      <c r="J383" s="45" t="n">
        <f aca="false">IF(AND(ISNUMBER($G383),$G383&gt;=MA_MED),AVERAGE(INDEX($C$5:$C383,380-MA_MED):$C383),"")</f>
        <v>977068.02</v>
      </c>
      <c r="K383" s="45" t="n">
        <f aca="false">IF(AND(ISNUMBER($G383),$G383&gt;=MA_LONG2),AVERAGE(INDEX($C$5:$C383,380-MA_LONG2):$C383),"")</f>
        <v>900495.035</v>
      </c>
      <c r="L383" s="46" t="n">
        <f aca="false">IF(AND(ISNUMBER($G383),$G383&gt;=21),STDEV(INDEX($H$323:$H383,62-20):$H383)*SQRT(245),"")</f>
        <v>0.150571139851374</v>
      </c>
      <c r="M383" s="45" t="n">
        <f aca="false">IF(AND(ISNUMBER($G383),$G383&gt;=60),MAX(INDEX($D$183:$D383,202-60):$D383),"")</f>
        <v>1048628</v>
      </c>
      <c r="N383" s="45" t="n">
        <f aca="false">IF(AND(ISNUMBER($G383),$G383&gt;=60),MIN(INDEX($E$183:$E383,202-60):$E383),"")</f>
        <v>899122</v>
      </c>
      <c r="O383" s="46" t="n">
        <f aca="false">IF(OR(NOT(ISNUMBER($C383)),NOT(ISNUMBER($M383)),$M383=0),"",$C383/$M383-1)</f>
        <v>-0.00808961805330388</v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1040011</v>
      </c>
      <c r="D384" s="42" t="n">
        <v>1040801</v>
      </c>
      <c r="E384" s="42" t="n">
        <v>1039487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-0.000128828192223152</v>
      </c>
      <c r="I384" s="45" t="n">
        <f aca="false">IF(AND(ISNUMBER($G384),$G384&gt;=MA_SHORT),AVERAGE(INDEX($C$5:$C384,381-MA_SHORT):$C384),"")</f>
        <v>1014211.1</v>
      </c>
      <c r="J384" s="45" t="n">
        <f aca="false">IF(AND(ISNUMBER($G384),$G384&gt;=MA_MED),AVERAGE(INDEX($C$5:$C384,381-MA_MED):$C384),"")</f>
        <v>979352.18</v>
      </c>
      <c r="K384" s="45" t="n">
        <f aca="false">IF(AND(ISNUMBER($G384),$G384&gt;=MA_LONG2),AVERAGE(INDEX($C$5:$C384,381-MA_LONG2):$C384),"")</f>
        <v>901397.655</v>
      </c>
      <c r="L384" s="46" t="n">
        <f aca="false">IF(AND(ISNUMBER($G384),$G384&gt;=21),STDEV(INDEX($H$324:$H384,62-20):$H384)*SQRT(245),"")</f>
        <v>0.151082439461214</v>
      </c>
      <c r="M384" s="45" t="n">
        <f aca="false">IF(AND(ISNUMBER($G384),$G384&gt;=60),MAX(INDEX($D$184:$D384,202-60):$D384),"")</f>
        <v>1048628</v>
      </c>
      <c r="N384" s="45" t="n">
        <f aca="false">IF(AND(ISNUMBER($G384),$G384&gt;=60),MIN(INDEX($E$184:$E384,202-60):$E384),"")</f>
        <v>900822</v>
      </c>
      <c r="O384" s="46" t="n">
        <f aca="false">IF(OR(NOT(ISNUMBER($C384)),NOT(ISNUMBER($M384)),$M384=0),"",$C384/$M384-1)</f>
        <v>-0.00821740407465754</v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1045420</v>
      </c>
      <c r="D385" s="42" t="n">
        <v>1046792</v>
      </c>
      <c r="E385" s="42" t="n">
        <v>1044539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0.00520090652887317</v>
      </c>
      <c r="I385" s="45" t="n">
        <f aca="false">IF(AND(ISNUMBER($G385),$G385&gt;=MA_SHORT),AVERAGE(INDEX($C$5:$C385,382-MA_SHORT):$C385),"")</f>
        <v>1018111.95</v>
      </c>
      <c r="J385" s="45" t="n">
        <f aca="false">IF(AND(ISNUMBER($G385),$G385&gt;=MA_MED),AVERAGE(INDEX($C$5:$C385,382-MA_MED):$C385),"")</f>
        <v>981712.1</v>
      </c>
      <c r="K385" s="45" t="n">
        <f aca="false">IF(AND(ISNUMBER($G385),$G385&gt;=MA_LONG2),AVERAGE(INDEX($C$5:$C385,382-MA_LONG2):$C385),"")</f>
        <v>902335.37</v>
      </c>
      <c r="L385" s="46" t="n">
        <f aca="false">IF(AND(ISNUMBER($G385),$G385&gt;=21),STDEV(INDEX($H$325:$H385,62-20):$H385)*SQRT(245),"")</f>
        <v>0.150086333037693</v>
      </c>
      <c r="M385" s="45" t="n">
        <f aca="false">IF(AND(ISNUMBER($G385),$G385&gt;=60),MAX(INDEX($D$185:$D385,202-60):$D385),"")</f>
        <v>1048628</v>
      </c>
      <c r="N385" s="45" t="n">
        <f aca="false">IF(AND(ISNUMBER($G385),$G385&gt;=60),MIN(INDEX($E$185:$E385,202-60):$E385),"")</f>
        <v>900822</v>
      </c>
      <c r="O385" s="46" t="n">
        <f aca="false">IF(OR(NOT(ISNUMBER($C385)),NOT(ISNUMBER($M385)),$M385=0),"",$C385/$M385-1)</f>
        <v>-0.00305923549628662</v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1048691</v>
      </c>
      <c r="D386" s="42" t="n">
        <v>1051223</v>
      </c>
      <c r="E386" s="42" t="n">
        <v>1047105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0.00312888599797212</v>
      </c>
      <c r="I386" s="45" t="n">
        <f aca="false">IF(AND(ISNUMBER($G386),$G386&gt;=MA_SHORT),AVERAGE(INDEX($C$5:$C386,383-MA_SHORT):$C386),"")</f>
        <v>1022206.35</v>
      </c>
      <c r="J386" s="45" t="n">
        <f aca="false">IF(AND(ISNUMBER($G386),$G386&gt;=MA_MED),AVERAGE(INDEX($C$5:$C386,383-MA_MED):$C386),"")</f>
        <v>983968.22</v>
      </c>
      <c r="K386" s="45" t="n">
        <f aca="false">IF(AND(ISNUMBER($G386),$G386&gt;=MA_LONG2),AVERAGE(INDEX($C$5:$C386,383-MA_LONG2):$C386),"")</f>
        <v>903310.755</v>
      </c>
      <c r="L386" s="46" t="n">
        <f aca="false">IF(AND(ISNUMBER($G386),$G386&gt;=21),STDEV(INDEX($H$326:$H386,62-20):$H386)*SQRT(245),"")</f>
        <v>0.14919223709865</v>
      </c>
      <c r="M386" s="45" t="n">
        <f aca="false">IF(AND(ISNUMBER($G386),$G386&gt;=60),MAX(INDEX($D$186:$D386,202-60):$D386),"")</f>
        <v>1051223</v>
      </c>
      <c r="N386" s="45" t="n">
        <f aca="false">IF(AND(ISNUMBER($G386),$G386&gt;=60),MIN(INDEX($E$186:$E386,202-60):$E386),"")</f>
        <v>900822</v>
      </c>
      <c r="O386" s="46" t="n">
        <f aca="false">IF(OR(NOT(ISNUMBER($C386)),NOT(ISNUMBER($M386)),$M386=0),"",$C386/$M386-1)</f>
        <v>-0.00240862309899992</v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1041487</v>
      </c>
      <c r="D387" s="42" t="n">
        <v>1043060</v>
      </c>
      <c r="E387" s="42" t="n">
        <v>1038585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-0.00686951637803701</v>
      </c>
      <c r="I387" s="45" t="n">
        <f aca="false">IF(AND(ISNUMBER($G387),$G387&gt;=MA_SHORT),AVERAGE(INDEX($C$5:$C387,384-MA_SHORT):$C387),"")</f>
        <v>1025772.45</v>
      </c>
      <c r="J387" s="45" t="n">
        <f aca="false">IF(AND(ISNUMBER($G387),$G387&gt;=MA_MED),AVERAGE(INDEX($C$5:$C387,384-MA_MED):$C387),"")</f>
        <v>986000.5</v>
      </c>
      <c r="K387" s="45" t="n">
        <f aca="false">IF(AND(ISNUMBER($G387),$G387&gt;=MA_LONG2),AVERAGE(INDEX($C$5:$C387,384-MA_LONG2):$C387),"")</f>
        <v>904248.745</v>
      </c>
      <c r="L387" s="46" t="n">
        <f aca="false">IF(AND(ISNUMBER($G387),$G387&gt;=21),STDEV(INDEX($H$327:$H387,62-20):$H387)*SQRT(245),"")</f>
        <v>0.15407817647826</v>
      </c>
      <c r="M387" s="45" t="n">
        <f aca="false">IF(AND(ISNUMBER($G387),$G387&gt;=60),MAX(INDEX($D$187:$D387,202-60):$D387),"")</f>
        <v>1051223</v>
      </c>
      <c r="N387" s="45" t="n">
        <f aca="false">IF(AND(ISNUMBER($G387),$G387&gt;=60),MIN(INDEX($E$187:$E387,202-60):$E387),"")</f>
        <v>901737</v>
      </c>
      <c r="O387" s="46" t="n">
        <f aca="false">IF(OR(NOT(ISNUMBER($C387)),NOT(ISNUMBER($M387)),$M387=0),"",$C387/$M387-1)</f>
        <v>-0.0092615934012098</v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1042322</v>
      </c>
      <c r="D388" s="42" t="n">
        <v>1044043</v>
      </c>
      <c r="E388" s="42" t="n">
        <v>1040934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0.000801738283819242</v>
      </c>
      <c r="I388" s="45" t="n">
        <f aca="false">IF(AND(ISNUMBER($G388),$G388&gt;=MA_SHORT),AVERAGE(INDEX($C$5:$C388,385-MA_SHORT):$C388),"")</f>
        <v>1028951.9</v>
      </c>
      <c r="J388" s="45" t="n">
        <f aca="false">IF(AND(ISNUMBER($G388),$G388&gt;=MA_MED),AVERAGE(INDEX($C$5:$C388,385-MA_MED):$C388),"")</f>
        <v>987986.86</v>
      </c>
      <c r="K388" s="45" t="n">
        <f aca="false">IF(AND(ISNUMBER($G388),$G388&gt;=MA_LONG2),AVERAGE(INDEX($C$5:$C388,385-MA_LONG2):$C388),"")</f>
        <v>905177.995</v>
      </c>
      <c r="L388" s="46" t="n">
        <f aca="false">IF(AND(ISNUMBER($G388),$G388&gt;=21),STDEV(INDEX($H$328:$H388,62-20):$H388)*SQRT(245),"")</f>
        <v>0.153121543662097</v>
      </c>
      <c r="M388" s="45" t="n">
        <f aca="false">IF(AND(ISNUMBER($G388),$G388&gt;=60),MAX(INDEX($D$188:$D388,202-60):$D388),"")</f>
        <v>1051223</v>
      </c>
      <c r="N388" s="45" t="n">
        <f aca="false">IF(AND(ISNUMBER($G388),$G388&gt;=60),MIN(INDEX($E$188:$E388,202-60):$E388),"")</f>
        <v>906390</v>
      </c>
      <c r="O388" s="46" t="n">
        <f aca="false">IF(OR(NOT(ISNUMBER($C388)),NOT(ISNUMBER($M388)),$M388=0),"",$C388/$M388-1)</f>
        <v>-0.00846728049138956</v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1045354</v>
      </c>
      <c r="D389" s="42" t="n">
        <v>1045968</v>
      </c>
      <c r="E389" s="42" t="n">
        <v>1040730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0.00290888995914895</v>
      </c>
      <c r="I389" s="45" t="n">
        <f aca="false">IF(AND(ISNUMBER($G389),$G389&gt;=MA_SHORT),AVERAGE(INDEX($C$5:$C389,386-MA_SHORT):$C389),"")</f>
        <v>1032187.3</v>
      </c>
      <c r="J389" s="45" t="n">
        <f aca="false">IF(AND(ISNUMBER($G389),$G389&gt;=MA_MED),AVERAGE(INDEX($C$5:$C389,386-MA_MED):$C389),"")</f>
        <v>989955.24</v>
      </c>
      <c r="K389" s="45" t="n">
        <f aca="false">IF(AND(ISNUMBER($G389),$G389&gt;=MA_LONG2),AVERAGE(INDEX($C$5:$C389,386-MA_LONG2):$C389),"")</f>
        <v>906133.865</v>
      </c>
      <c r="L389" s="46" t="n">
        <f aca="false">IF(AND(ISNUMBER($G389),$G389&gt;=21),STDEV(INDEX($H$329:$H389,62-20):$H389)*SQRT(245),"")</f>
        <v>0.153058132367002</v>
      </c>
      <c r="M389" s="45" t="n">
        <f aca="false">IF(AND(ISNUMBER($G389),$G389&gt;=60),MAX(INDEX($D$189:$D389,202-60):$D389),"")</f>
        <v>1051223</v>
      </c>
      <c r="N389" s="45" t="n">
        <f aca="false">IF(AND(ISNUMBER($G389),$G389&gt;=60),MIN(INDEX($E$189:$E389,202-60):$E389),"")</f>
        <v>908116</v>
      </c>
      <c r="O389" s="46" t="n">
        <f aca="false">IF(OR(NOT(ISNUMBER($C389)),NOT(ISNUMBER($M389)),$M389=0),"",$C389/$M389-1)</f>
        <v>-0.0055830209194434</v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1043222</v>
      </c>
      <c r="D390" s="42" t="n">
        <v>1046588</v>
      </c>
      <c r="E390" s="42" t="n">
        <v>1038912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-0.00203950049456936</v>
      </c>
      <c r="I390" s="45" t="n">
        <f aca="false">IF(AND(ISNUMBER($G390),$G390&gt;=MA_SHORT),AVERAGE(INDEX($C$5:$C390,387-MA_SHORT):$C390),"")</f>
        <v>1035297.75</v>
      </c>
      <c r="J390" s="45" t="n">
        <f aca="false">IF(AND(ISNUMBER($G390),$G390&gt;=MA_MED),AVERAGE(INDEX($C$5:$C390,387-MA_MED):$C390),"")</f>
        <v>991948.12</v>
      </c>
      <c r="K390" s="45" t="n">
        <f aca="false">IF(AND(ISNUMBER($G390),$G390&gt;=MA_LONG2),AVERAGE(INDEX($C$5:$C390,387-MA_LONG2):$C390),"")</f>
        <v>907079.74</v>
      </c>
      <c r="L390" s="46" t="n">
        <f aca="false">IF(AND(ISNUMBER($G390),$G390&gt;=21),STDEV(INDEX($H$330:$H390,62-20):$H390)*SQRT(245),"")</f>
        <v>0.153872774639602</v>
      </c>
      <c r="M390" s="45" t="n">
        <f aca="false">IF(AND(ISNUMBER($G390),$G390&gt;=60),MAX(INDEX($D$190:$D390,202-60):$D390),"")</f>
        <v>1051223</v>
      </c>
      <c r="N390" s="45" t="n">
        <f aca="false">IF(AND(ISNUMBER($G390),$G390&gt;=60),MIN(INDEX($E$190:$E390,202-60):$E390),"")</f>
        <v>908813</v>
      </c>
      <c r="O390" s="46" t="n">
        <f aca="false">IF(OR(NOT(ISNUMBER($C390)),NOT(ISNUMBER($M390)),$M390=0),"",$C390/$M390-1)</f>
        <v>-0.00761113484008624</v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1040819</v>
      </c>
      <c r="D391" s="42" t="n">
        <v>1042037</v>
      </c>
      <c r="E391" s="42" t="n">
        <v>1039011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-0.00230344068664201</v>
      </c>
      <c r="I391" s="45" t="n">
        <f aca="false">IF(AND(ISNUMBER($G391),$G391&gt;=MA_SHORT),AVERAGE(INDEX($C$5:$C391,388-MA_SHORT):$C391),"")</f>
        <v>1036240.1</v>
      </c>
      <c r="J391" s="45" t="n">
        <f aca="false">IF(AND(ISNUMBER($G391),$G391&gt;=MA_MED),AVERAGE(INDEX($C$5:$C391,388-MA_MED):$C391),"")</f>
        <v>993769.04</v>
      </c>
      <c r="K391" s="45" t="n">
        <f aca="false">IF(AND(ISNUMBER($G391),$G391&gt;=MA_LONG2),AVERAGE(INDEX($C$5:$C391,388-MA_LONG2):$C391),"")</f>
        <v>908010.67</v>
      </c>
      <c r="L391" s="46" t="n">
        <f aca="false">IF(AND(ISNUMBER($G391),$G391&gt;=21),STDEV(INDEX($H$331:$H391,62-20):$H391)*SQRT(245),"")</f>
        <v>0.0597059540609149</v>
      </c>
      <c r="M391" s="45" t="n">
        <f aca="false">IF(AND(ISNUMBER($G391),$G391&gt;=60),MAX(INDEX($D$191:$D391,202-60):$D391),"")</f>
        <v>1051223</v>
      </c>
      <c r="N391" s="45" t="n">
        <f aca="false">IF(AND(ISNUMBER($G391),$G391&gt;=60),MIN(INDEX($E$191:$E391,202-60):$E391),"")</f>
        <v>914998</v>
      </c>
      <c r="O391" s="46" t="n">
        <f aca="false">IF(OR(NOT(ISNUMBER($C391)),NOT(ISNUMBER($M391)),$M391=0),"",$C391/$M391-1)</f>
        <v>-0.00989704372906608</v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1048851</v>
      </c>
      <c r="D392" s="42" t="n">
        <v>1050859</v>
      </c>
      <c r="E392" s="42" t="n">
        <v>1046325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0.00771699978574558</v>
      </c>
      <c r="I392" s="45" t="n">
        <f aca="false">IF(AND(ISNUMBER($G392),$G392&gt;=MA_SHORT),AVERAGE(INDEX($C$5:$C392,389-MA_SHORT):$C392),"")</f>
        <v>1037595.6</v>
      </c>
      <c r="J392" s="45" t="n">
        <f aca="false">IF(AND(ISNUMBER($G392),$G392&gt;=MA_MED),AVERAGE(INDEX($C$5:$C392,389-MA_MED):$C392),"")</f>
        <v>995824.22</v>
      </c>
      <c r="K392" s="45" t="n">
        <f aca="false">IF(AND(ISNUMBER($G392),$G392&gt;=MA_LONG2),AVERAGE(INDEX($C$5:$C392,389-MA_LONG2):$C392),"")</f>
        <v>908939.21</v>
      </c>
      <c r="L392" s="46" t="n">
        <f aca="false">IF(AND(ISNUMBER($G392),$G392&gt;=21),STDEV(INDEX($H$332:$H392,62-20):$H392)*SQRT(245),"")</f>
        <v>0.0640523773616303</v>
      </c>
      <c r="M392" s="45" t="n">
        <f aca="false">IF(AND(ISNUMBER($G392),$G392&gt;=60),MAX(INDEX($D$192:$D392,202-60):$D392),"")</f>
        <v>1051223</v>
      </c>
      <c r="N392" s="45" t="n">
        <f aca="false">IF(AND(ISNUMBER($G392),$G392&gt;=60),MIN(INDEX($E$192:$E392,202-60):$E392),"")</f>
        <v>920900</v>
      </c>
      <c r="O392" s="46" t="n">
        <f aca="false">IF(OR(NOT(ISNUMBER($C392)),NOT(ISNUMBER($M392)),$M392=0),"",$C392/$M392-1)</f>
        <v>-0.00225641942765709</v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1053777</v>
      </c>
      <c r="D393" s="42" t="n">
        <v>1055144</v>
      </c>
      <c r="E393" s="42" t="n">
        <v>1053720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0.00469656795865192</v>
      </c>
      <c r="I393" s="45" t="n">
        <f aca="false">IF(AND(ISNUMBER($G393),$G393&gt;=MA_SHORT),AVERAGE(INDEX($C$5:$C393,390-MA_SHORT):$C393),"")</f>
        <v>1039143.45</v>
      </c>
      <c r="J393" s="45" t="n">
        <f aca="false">IF(AND(ISNUMBER($G393),$G393&gt;=MA_MED),AVERAGE(INDEX($C$5:$C393,390-MA_MED):$C393),"")</f>
        <v>997920.28</v>
      </c>
      <c r="K393" s="45" t="n">
        <f aca="false">IF(AND(ISNUMBER($G393),$G393&gt;=MA_LONG2),AVERAGE(INDEX($C$5:$C393,390-MA_LONG2):$C393),"")</f>
        <v>909892.325</v>
      </c>
      <c r="L393" s="46" t="n">
        <f aca="false">IF(AND(ISNUMBER($G393),$G393&gt;=21),STDEV(INDEX($H$333:$H393,62-20):$H393)*SQRT(245),"")</f>
        <v>0.0651187512867835</v>
      </c>
      <c r="M393" s="45" t="n">
        <f aca="false">IF(AND(ISNUMBER($G393),$G393&gt;=60),MAX(INDEX($D$193:$D393,202-60):$D393),"")</f>
        <v>1055144</v>
      </c>
      <c r="N393" s="45" t="n">
        <f aca="false">IF(AND(ISNUMBER($G393),$G393&gt;=60),MIN(INDEX($E$193:$E393,202-60):$E393),"")</f>
        <v>924403</v>
      </c>
      <c r="O393" s="46" t="n">
        <f aca="false">IF(OR(NOT(ISNUMBER($C393)),NOT(ISNUMBER($M393)),$M393=0),"",$C393/$M393-1)</f>
        <v>-0.00129555776273194</v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1050461</v>
      </c>
      <c r="D394" s="42" t="n">
        <v>1050480</v>
      </c>
      <c r="E394" s="42" t="n">
        <v>1048404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-0.00314677583587419</v>
      </c>
      <c r="I394" s="45" t="n">
        <f aca="false">IF(AND(ISNUMBER($G394),$G394&gt;=MA_SHORT),AVERAGE(INDEX($C$5:$C394,391-MA_SHORT):$C394),"")</f>
        <v>1040787.05</v>
      </c>
      <c r="J394" s="45" t="n">
        <f aca="false">IF(AND(ISNUMBER($G394),$G394&gt;=MA_MED),AVERAGE(INDEX($C$5:$C394,391-MA_MED):$C394),"")</f>
        <v>999931.1</v>
      </c>
      <c r="K394" s="45" t="n">
        <f aca="false">IF(AND(ISNUMBER($G394),$G394&gt;=MA_LONG2),AVERAGE(INDEX($C$5:$C394,391-MA_LONG2):$C394),"")</f>
        <v>910819.62</v>
      </c>
      <c r="L394" s="46" t="n">
        <f aca="false">IF(AND(ISNUMBER($G394),$G394&gt;=21),STDEV(INDEX($H$334:$H394,62-20):$H394)*SQRT(245),"")</f>
        <v>0.0628668933144437</v>
      </c>
      <c r="M394" s="45" t="n">
        <f aca="false">IF(AND(ISNUMBER($G394),$G394&gt;=60),MAX(INDEX($D$194:$D394,202-60):$D394),"")</f>
        <v>1055144</v>
      </c>
      <c r="N394" s="45" t="n">
        <f aca="false">IF(AND(ISNUMBER($G394),$G394&gt;=60),MIN(INDEX($E$194:$E394,202-60):$E394),"")</f>
        <v>926752</v>
      </c>
      <c r="O394" s="46" t="n">
        <f aca="false">IF(OR(NOT(ISNUMBER($C394)),NOT(ISNUMBER($M394)),$M394=0),"",$C394/$M394-1)</f>
        <v>-0.00443825676874432</v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1050241</v>
      </c>
      <c r="D395" s="42" t="n">
        <v>1054114</v>
      </c>
      <c r="E395" s="42" t="n">
        <v>1046830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-0.000209431858964826</v>
      </c>
      <c r="I395" s="45" t="n">
        <f aca="false">IF(AND(ISNUMBER($G395),$G395&gt;=MA_SHORT),AVERAGE(INDEX($C$5:$C395,392-MA_SHORT):$C395),"")</f>
        <v>1042286.55</v>
      </c>
      <c r="J395" s="45" t="n">
        <f aca="false">IF(AND(ISNUMBER($G395),$G395&gt;=MA_MED),AVERAGE(INDEX($C$5:$C395,392-MA_MED):$C395),"")</f>
        <v>1001858.1</v>
      </c>
      <c r="K395" s="45" t="n">
        <f aca="false">IF(AND(ISNUMBER($G395),$G395&gt;=MA_LONG2),AVERAGE(INDEX($C$5:$C395,392-MA_LONG2):$C395),"")</f>
        <v>911734.605</v>
      </c>
      <c r="L395" s="46" t="n">
        <f aca="false">IF(AND(ISNUMBER($G395),$G395&gt;=21),STDEV(INDEX($H$335:$H395,62-20):$H395)*SQRT(245),"")</f>
        <v>0.0630547567364212</v>
      </c>
      <c r="M395" s="45" t="n">
        <f aca="false">IF(AND(ISNUMBER($G395),$G395&gt;=60),MAX(INDEX($D$195:$D395,202-60):$D395),"")</f>
        <v>1055144</v>
      </c>
      <c r="N395" s="45" t="n">
        <f aca="false">IF(AND(ISNUMBER($G395),$G395&gt;=60),MIN(INDEX($E$195:$E395,202-60):$E395),"")</f>
        <v>932230</v>
      </c>
      <c r="O395" s="46" t="n">
        <f aca="false">IF(OR(NOT(ISNUMBER($C395)),NOT(ISNUMBER($M395)),$M395=0),"",$C395/$M395-1)</f>
        <v>-0.00464675911534351</v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1048839</v>
      </c>
      <c r="D396" s="42" t="n">
        <v>1049811</v>
      </c>
      <c r="E396" s="42" t="n">
        <v>1047142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-0.00133493169662968</v>
      </c>
      <c r="I396" s="45" t="n">
        <f aca="false">IF(AND(ISNUMBER($G396),$G396&gt;=MA_SHORT),AVERAGE(INDEX($C$5:$C396,393-MA_SHORT):$C396),"")</f>
        <v>1043603.05</v>
      </c>
      <c r="J396" s="45" t="n">
        <f aca="false">IF(AND(ISNUMBER($G396),$G396&gt;=MA_MED),AVERAGE(INDEX($C$5:$C396,393-MA_MED):$C396),"")</f>
        <v>1003774.1</v>
      </c>
      <c r="K396" s="45" t="n">
        <f aca="false">IF(AND(ISNUMBER($G396),$G396&gt;=MA_LONG2),AVERAGE(INDEX($C$5:$C396,393-MA_LONG2):$C396),"")</f>
        <v>912669.05</v>
      </c>
      <c r="L396" s="46" t="n">
        <f aca="false">IF(AND(ISNUMBER($G396),$G396&gt;=21),STDEV(INDEX($H$336:$H396,62-20):$H396)*SQRT(245),"")</f>
        <v>0.063725600720602</v>
      </c>
      <c r="M396" s="45" t="n">
        <f aca="false">IF(AND(ISNUMBER($G396),$G396&gt;=60),MAX(INDEX($D$196:$D396,202-60):$D396),"")</f>
        <v>1055144</v>
      </c>
      <c r="N396" s="45" t="n">
        <f aca="false">IF(AND(ISNUMBER($G396),$G396&gt;=60),MIN(INDEX($E$196:$E396,202-60):$E396),"")</f>
        <v>938147</v>
      </c>
      <c r="O396" s="46" t="n">
        <f aca="false">IF(OR(NOT(ISNUMBER($C396)),NOT(ISNUMBER($M396)),$M396=0),"",$C396/$M396-1)</f>
        <v>-0.00597548770594347</v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1052535</v>
      </c>
      <c r="D397" s="42" t="n">
        <v>1053989</v>
      </c>
      <c r="E397" s="42" t="n">
        <v>1049559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0.00352389642261586</v>
      </c>
      <c r="I397" s="45" t="n">
        <f aca="false">IF(AND(ISNUMBER($G397),$G397&gt;=MA_SHORT),AVERAGE(INDEX($C$5:$C397,394-MA_SHORT):$C397),"")</f>
        <v>1044580.05</v>
      </c>
      <c r="J397" s="45" t="n">
        <f aca="false">IF(AND(ISNUMBER($G397),$G397&gt;=MA_MED),AVERAGE(INDEX($C$5:$C397,394-MA_MED):$C397),"")</f>
        <v>1005682.76</v>
      </c>
      <c r="K397" s="45" t="n">
        <f aca="false">IF(AND(ISNUMBER($G397),$G397&gt;=MA_LONG2),AVERAGE(INDEX($C$5:$C397,394-MA_LONG2):$C397),"")</f>
        <v>913634.24</v>
      </c>
      <c r="L397" s="46" t="n">
        <f aca="false">IF(AND(ISNUMBER($G397),$G397&gt;=21),STDEV(INDEX($H$337:$H397,62-20):$H397)*SQRT(245),"")</f>
        <v>0.0552985352827995</v>
      </c>
      <c r="M397" s="45" t="n">
        <f aca="false">IF(AND(ISNUMBER($G397),$G397&gt;=60),MAX(INDEX($D$197:$D397,202-60):$D397),"")</f>
        <v>1055144</v>
      </c>
      <c r="N397" s="45" t="n">
        <f aca="false">IF(AND(ISNUMBER($G397),$G397&gt;=60),MIN(INDEX($E$197:$E397,202-60):$E397),"")</f>
        <v>942402</v>
      </c>
      <c r="O397" s="46" t="n">
        <f aca="false">IF(OR(NOT(ISNUMBER($C397)),NOT(ISNUMBER($M397)),$M397=0),"",$C397/$M397-1)</f>
        <v>-0.00247264828307792</v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1054573</v>
      </c>
      <c r="D398" s="42" t="n">
        <v>1055800</v>
      </c>
      <c r="E398" s="42" t="n">
        <v>1049368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0.00193627765347482</v>
      </c>
      <c r="I398" s="45" t="n">
        <f aca="false">IF(AND(ISNUMBER($G398),$G398&gt;=MA_SHORT),AVERAGE(INDEX($C$5:$C398,395-MA_SHORT):$C398),"")</f>
        <v>1045511.25</v>
      </c>
      <c r="J398" s="45" t="n">
        <f aca="false">IF(AND(ISNUMBER($G398),$G398&gt;=MA_MED),AVERAGE(INDEX($C$5:$C398,395-MA_MED):$C398),"")</f>
        <v>1007601.54</v>
      </c>
      <c r="K398" s="45" t="n">
        <f aca="false">IF(AND(ISNUMBER($G398),$G398&gt;=MA_LONG2),AVERAGE(INDEX($C$5:$C398,395-MA_LONG2):$C398),"")</f>
        <v>914620.805</v>
      </c>
      <c r="L398" s="46" t="n">
        <f aca="false">IF(AND(ISNUMBER($G398),$G398&gt;=21),STDEV(INDEX($H$338:$H398,62-20):$H398)*SQRT(245),"")</f>
        <v>0.0549794393566965</v>
      </c>
      <c r="M398" s="45" t="n">
        <f aca="false">IF(AND(ISNUMBER($G398),$G398&gt;=60),MAX(INDEX($D$198:$D398,202-60):$D398),"")</f>
        <v>1055800</v>
      </c>
      <c r="N398" s="45" t="n">
        <f aca="false">IF(AND(ISNUMBER($G398),$G398&gt;=60),MIN(INDEX($E$198:$E398,202-60):$E398),"")</f>
        <v>942577</v>
      </c>
      <c r="O398" s="46" t="n">
        <f aca="false">IF(OR(NOT(ISNUMBER($C398)),NOT(ISNUMBER($M398)),$M398=0),"",$C398/$M398-1)</f>
        <v>-0.00116215192271263</v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1055970</v>
      </c>
      <c r="D399" s="42" t="n">
        <v>1061551</v>
      </c>
      <c r="E399" s="42" t="n">
        <v>1052458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0.00132470677705565</v>
      </c>
      <c r="I399" s="45" t="n">
        <f aca="false">IF(AND(ISNUMBER($G399),$G399&gt;=MA_SHORT),AVERAGE(INDEX($C$5:$C399,396-MA_SHORT):$C399),"")</f>
        <v>1046364.95</v>
      </c>
      <c r="J399" s="45" t="n">
        <f aca="false">IF(AND(ISNUMBER($G399),$G399&gt;=MA_MED),AVERAGE(INDEX($C$5:$C399,396-MA_MED):$C399),"")</f>
        <v>1009569.1</v>
      </c>
      <c r="K399" s="45" t="n">
        <f aca="false">IF(AND(ISNUMBER($G399),$G399&gt;=MA_LONG2),AVERAGE(INDEX($C$5:$C399,396-MA_LONG2):$C399),"")</f>
        <v>915602.465</v>
      </c>
      <c r="L399" s="46" t="n">
        <f aca="false">IF(AND(ISNUMBER($G399),$G399&gt;=21),STDEV(INDEX($H$339:$H399,62-20):$H399)*SQRT(245),"")</f>
        <v>0.0545407711031354</v>
      </c>
      <c r="M399" s="45" t="n">
        <f aca="false">IF(AND(ISNUMBER($G399),$G399&gt;=60),MAX(INDEX($D$199:$D399,202-60):$D399),"")</f>
        <v>1061551</v>
      </c>
      <c r="N399" s="45" t="n">
        <f aca="false">IF(AND(ISNUMBER($G399),$G399&gt;=60),MIN(INDEX($E$199:$E399,202-60):$E399),"")</f>
        <v>942577</v>
      </c>
      <c r="O399" s="46" t="n">
        <f aca="false">IF(OR(NOT(ISNUMBER($C399)),NOT(ISNUMBER($M399)),$M399=0),"",$C399/$M399-1)</f>
        <v>-0.00525740166982081</v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1052787</v>
      </c>
      <c r="D400" s="42" t="n">
        <v>1060878</v>
      </c>
      <c r="E400" s="42" t="n">
        <v>1047478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-0.00301429017869825</v>
      </c>
      <c r="I400" s="45" t="n">
        <f aca="false">IF(AND(ISNUMBER($G400),$G400&gt;=MA_SHORT),AVERAGE(INDEX($C$5:$C400,397-MA_SHORT):$C400),"")</f>
        <v>1047090.85</v>
      </c>
      <c r="J400" s="45" t="n">
        <f aca="false">IF(AND(ISNUMBER($G400),$G400&gt;=MA_MED),AVERAGE(INDEX($C$5:$C400,397-MA_MED):$C400),"")</f>
        <v>1011536.3</v>
      </c>
      <c r="K400" s="45" t="n">
        <f aca="false">IF(AND(ISNUMBER($G400),$G400&gt;=MA_LONG2),AVERAGE(INDEX($C$5:$C400,397-MA_LONG2):$C400),"")</f>
        <v>916578.095</v>
      </c>
      <c r="L400" s="46" t="n">
        <f aca="false">IF(AND(ISNUMBER($G400),$G400&gt;=21),STDEV(INDEX($H$340:$H400,62-20):$H400)*SQRT(245),"")</f>
        <v>0.0559863003205598</v>
      </c>
      <c r="M400" s="45" t="n">
        <f aca="false">IF(AND(ISNUMBER($G400),$G400&gt;=60),MAX(INDEX($D$200:$D400,202-60):$D400),"")</f>
        <v>1061551</v>
      </c>
      <c r="N400" s="45" t="n">
        <f aca="false">IF(AND(ISNUMBER($G400),$G400&gt;=60),MIN(INDEX($E$200:$E400,202-60):$E400),"")</f>
        <v>945211</v>
      </c>
      <c r="O400" s="46" t="n">
        <f aca="false">IF(OR(NOT(ISNUMBER($C400)),NOT(ISNUMBER($M400)),$M400=0),"",$C400/$M400-1)</f>
        <v>-0.00825584451430028</v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1054103</v>
      </c>
      <c r="D401" s="42" t="n">
        <v>1054477</v>
      </c>
      <c r="E401" s="42" t="n">
        <v>1053823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0.00125001543522107</v>
      </c>
      <c r="I401" s="45" t="n">
        <f aca="false">IF(AND(ISNUMBER($G401),$G401&gt;=MA_SHORT),AVERAGE(INDEX($C$5:$C401,398-MA_SHORT):$C401),"")</f>
        <v>1047657.4</v>
      </c>
      <c r="J401" s="45" t="n">
        <f aca="false">IF(AND(ISNUMBER($G401),$G401&gt;=MA_MED),AVERAGE(INDEX($C$5:$C401,398-MA_MED):$C401),"")</f>
        <v>1013561.06</v>
      </c>
      <c r="K401" s="45" t="n">
        <f aca="false">IF(AND(ISNUMBER($G401),$G401&gt;=MA_LONG2),AVERAGE(INDEX($C$5:$C401,398-MA_LONG2):$C401),"")</f>
        <v>917517.865</v>
      </c>
      <c r="L401" s="46" t="n">
        <f aca="false">IF(AND(ISNUMBER($G401),$G401&gt;=21),STDEV(INDEX($H$341:$H401,62-20):$H401)*SQRT(245),"")</f>
        <v>0.0544215086324801</v>
      </c>
      <c r="M401" s="45" t="n">
        <f aca="false">IF(AND(ISNUMBER($G401),$G401&gt;=60),MAX(INDEX($D$201:$D401,202-60):$D401),"")</f>
        <v>1061551</v>
      </c>
      <c r="N401" s="45" t="n">
        <f aca="false">IF(AND(ISNUMBER($G401),$G401&gt;=60),MIN(INDEX($E$201:$E401,202-60):$E401),"")</f>
        <v>945211</v>
      </c>
      <c r="O401" s="46" t="n">
        <f aca="false">IF(OR(NOT(ISNUMBER($C401)),NOT(ISNUMBER($M401)),$M401=0),"",$C401/$M401-1)</f>
        <v>-0.00701614901215297</v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1054883</v>
      </c>
      <c r="D402" s="42" t="n">
        <v>1057481</v>
      </c>
      <c r="E402" s="42" t="n">
        <v>1052347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0.000739965639031448</v>
      </c>
      <c r="I402" s="45" t="n">
        <f aca="false">IF(AND(ISNUMBER($G402),$G402&gt;=MA_SHORT),AVERAGE(INDEX($C$5:$C402,399-MA_SHORT):$C402),"")</f>
        <v>1048224.55</v>
      </c>
      <c r="J402" s="45" t="n">
        <f aca="false">IF(AND(ISNUMBER($G402),$G402&gt;=MA_MED),AVERAGE(INDEX($C$5:$C402,399-MA_MED):$C402),"")</f>
        <v>1015481.18</v>
      </c>
      <c r="K402" s="45" t="n">
        <f aca="false">IF(AND(ISNUMBER($G402),$G402&gt;=MA_LONG2),AVERAGE(INDEX($C$5:$C402,399-MA_LONG2):$C402),"")</f>
        <v>918435.36</v>
      </c>
      <c r="L402" s="46" t="n">
        <f aca="false">IF(AND(ISNUMBER($G402),$G402&gt;=21),STDEV(INDEX($H$342:$H402,62-20):$H402)*SQRT(245),"")</f>
        <v>0.05442166626385</v>
      </c>
      <c r="M402" s="45" t="n">
        <f aca="false">IF(AND(ISNUMBER($G402),$G402&gt;=60),MAX(INDEX($D$202:$D402,202-60):$D402),"")</f>
        <v>1061551</v>
      </c>
      <c r="N402" s="45" t="n">
        <f aca="false">IF(AND(ISNUMBER($G402),$G402&gt;=60),MIN(INDEX($E$202:$E402,202-60):$E402),"")</f>
        <v>947120</v>
      </c>
      <c r="O402" s="46" t="n">
        <f aca="false">IF(OR(NOT(ISNUMBER($C402)),NOT(ISNUMBER($M402)),$M402=0),"",$C402/$M402-1)</f>
        <v>-0.00628137508230886</v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1047654</v>
      </c>
      <c r="D403" s="42" t="n">
        <v>1051360</v>
      </c>
      <c r="E403" s="42" t="n">
        <v>1047591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-0.00685289269046896</v>
      </c>
      <c r="I403" s="45" t="n">
        <f aca="false">IF(AND(ISNUMBER($G403),$G403&gt;=MA_SHORT),AVERAGE(INDEX($C$5:$C403,400-MA_SHORT):$C403),"")</f>
        <v>1048600</v>
      </c>
      <c r="J403" s="45" t="n">
        <f aca="false">IF(AND(ISNUMBER($G403),$G403&gt;=MA_MED),AVERAGE(INDEX($C$5:$C403,400-MA_MED):$C403),"")</f>
        <v>1017229.2</v>
      </c>
      <c r="K403" s="45" t="n">
        <f aca="false">IF(AND(ISNUMBER($G403),$G403&gt;=MA_LONG2),AVERAGE(INDEX($C$5:$C403,400-MA_LONG2):$C403),"")</f>
        <v>919321.57</v>
      </c>
      <c r="L403" s="46" t="n">
        <f aca="false">IF(AND(ISNUMBER($G403),$G403&gt;=21),STDEV(INDEX($H$343:$H403,62-20):$H403)*SQRT(245),"")</f>
        <v>0.0589336332470256</v>
      </c>
      <c r="M403" s="45" t="n">
        <f aca="false">IF(AND(ISNUMBER($G403),$G403&gt;=60),MAX(INDEX($D$203:$D403,202-60):$D403),"")</f>
        <v>1061551</v>
      </c>
      <c r="N403" s="45" t="n">
        <f aca="false">IF(AND(ISNUMBER($G403),$G403&gt;=60),MIN(INDEX($E$203:$E403,202-60):$E403),"")</f>
        <v>947120</v>
      </c>
      <c r="O403" s="46" t="n">
        <f aca="false">IF(OR(NOT(ISNUMBER($C403)),NOT(ISNUMBER($M403)),$M403=0),"",$C403/$M403-1)</f>
        <v>-0.0130912221833902</v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1046678</v>
      </c>
      <c r="D404" s="42" t="n">
        <v>1050625</v>
      </c>
      <c r="E404" s="42" t="n">
        <v>1045376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-0.000931605281896508</v>
      </c>
      <c r="I404" s="45" t="n">
        <f aca="false">IF(AND(ISNUMBER($G404),$G404&gt;=MA_SHORT),AVERAGE(INDEX($C$5:$C404,401-MA_SHORT):$C404),"")</f>
        <v>1048933.35</v>
      </c>
      <c r="J404" s="45" t="n">
        <f aca="false">IF(AND(ISNUMBER($G404),$G404&gt;=MA_MED),AVERAGE(INDEX($C$5:$C404,401-MA_MED):$C404),"")</f>
        <v>1018990.34</v>
      </c>
      <c r="K404" s="45" t="n">
        <f aca="false">IF(AND(ISNUMBER($G404),$G404&gt;=MA_LONG2),AVERAGE(INDEX($C$5:$C404,401-MA_LONG2):$C404),"")</f>
        <v>920194.25</v>
      </c>
      <c r="L404" s="46" t="n">
        <f aca="false">IF(AND(ISNUMBER($G404),$G404&gt;=21),STDEV(INDEX($H$344:$H404,62-20):$H404)*SQRT(245),"")</f>
        <v>0.059087407684468</v>
      </c>
      <c r="M404" s="45" t="n">
        <f aca="false">IF(AND(ISNUMBER($G404),$G404&gt;=60),MAX(INDEX($D$204:$D404,202-60):$D404),"")</f>
        <v>1061551</v>
      </c>
      <c r="N404" s="45" t="n">
        <f aca="false">IF(AND(ISNUMBER($G404),$G404&gt;=60),MIN(INDEX($E$204:$E404,202-60):$E404),"")</f>
        <v>950875</v>
      </c>
      <c r="O404" s="46" t="n">
        <f aca="false">IF(OR(NOT(ISNUMBER($C404)),NOT(ISNUMBER($M404)),$M404=0),"",$C404/$M404-1)</f>
        <v>-0.0140106316135541</v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1054753</v>
      </c>
      <c r="D405" s="42" t="n">
        <v>1055013</v>
      </c>
      <c r="E405" s="42" t="n">
        <v>1051004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0.00771488461589898</v>
      </c>
      <c r="I405" s="45" t="n">
        <f aca="false">IF(AND(ISNUMBER($G405),$G405&gt;=MA_SHORT),AVERAGE(INDEX($C$5:$C405,402-MA_SHORT):$C405),"")</f>
        <v>1049400</v>
      </c>
      <c r="J405" s="45" t="n">
        <f aca="false">IF(AND(ISNUMBER($G405),$G405&gt;=MA_MED),AVERAGE(INDEX($C$5:$C405,402-MA_MED):$C405),"")</f>
        <v>1020816.46</v>
      </c>
      <c r="K405" s="45" t="n">
        <f aca="false">IF(AND(ISNUMBER($G405),$G405&gt;=MA_LONG2),AVERAGE(INDEX($C$5:$C405,402-MA_LONG2):$C405),"")</f>
        <v>921126.52</v>
      </c>
      <c r="L405" s="46" t="n">
        <f aca="false">IF(AND(ISNUMBER($G405),$G405&gt;=21),STDEV(INDEX($H$345:$H405,62-20):$H405)*SQRT(245),"")</f>
        <v>0.0623280223209856</v>
      </c>
      <c r="M405" s="45" t="n">
        <f aca="false">IF(AND(ISNUMBER($G405),$G405&gt;=60),MAX(INDEX($D$205:$D405,202-60):$D405),"")</f>
        <v>1061551</v>
      </c>
      <c r="N405" s="45" t="n">
        <f aca="false">IF(AND(ISNUMBER($G405),$G405&gt;=60),MIN(INDEX($E$205:$E405,202-60):$E405),"")</f>
        <v>950908</v>
      </c>
      <c r="O405" s="46" t="n">
        <f aca="false">IF(OR(NOT(ISNUMBER($C405)),NOT(ISNUMBER($M405)),$M405=0),"",$C405/$M405-1)</f>
        <v>-0.00640383740394945</v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1049556</v>
      </c>
      <c r="D406" s="42" t="n">
        <v>1054597</v>
      </c>
      <c r="E406" s="42" t="n">
        <v>1047446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-0.00492721992731948</v>
      </c>
      <c r="I406" s="45" t="n">
        <f aca="false">IF(AND(ISNUMBER($G406),$G406&gt;=MA_SHORT),AVERAGE(INDEX($C$6:$C406,402-MA_SHORT):$C406),"")</f>
        <v>1049443.25</v>
      </c>
      <c r="J406" s="45" t="n">
        <f aca="false">IF(AND(ISNUMBER($G406),$G406&gt;=MA_MED),AVERAGE(INDEX($C$6:$C406,402-MA_MED):$C406),"")</f>
        <v>1022382</v>
      </c>
      <c r="K406" s="45" t="n">
        <f aca="false">IF(AND(ISNUMBER($G406),$G406&gt;=MA_LONG2),AVERAGE(INDEX($C$6:$C406,402-MA_LONG2):$C406),"")</f>
        <v>922234.64</v>
      </c>
      <c r="L406" s="46" t="n">
        <f aca="false">IF(AND(ISNUMBER($G406),$G406&gt;=21),STDEV(INDEX($H$346:$H406,62-20):$H406)*SQRT(245),"")</f>
        <v>0.0642157702445901</v>
      </c>
      <c r="M406" s="45" t="n">
        <f aca="false">IF(AND(ISNUMBER($G406),$G406&gt;=60),MAX(INDEX($D$206:$D406,202-60):$D406),"")</f>
        <v>1061551</v>
      </c>
      <c r="N406" s="45" t="n">
        <f aca="false">IF(AND(ISNUMBER($G406),$G406&gt;=60),MIN(INDEX($E$206:$E406,202-60):$E406),"")</f>
        <v>951534</v>
      </c>
      <c r="O406" s="46" t="n">
        <f aca="false">IF(OR(NOT(ISNUMBER($C406)),NOT(ISNUMBER($M406)),$M406=0),"",$C406/$M406-1)</f>
        <v>-0.0112995042160009</v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1046398</v>
      </c>
      <c r="D407" s="42" t="n">
        <v>1048105</v>
      </c>
      <c r="E407" s="42" t="n">
        <v>1046317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-0.00300889137883065</v>
      </c>
      <c r="I407" s="45" t="n">
        <f aca="false">IF(AND(ISNUMBER($G407),$G407&gt;=MA_SHORT),AVERAGE(INDEX($C$7:$C407,402-MA_SHORT):$C407),"")</f>
        <v>1049688.8</v>
      </c>
      <c r="J407" s="45" t="n">
        <f aca="false">IF(AND(ISNUMBER($G407),$G407&gt;=MA_MED),AVERAGE(INDEX($C$7:$C407,402-MA_MED):$C407),"")</f>
        <v>1023916.06</v>
      </c>
      <c r="K407" s="45" t="n">
        <f aca="false">IF(AND(ISNUMBER($G407),$G407&gt;=MA_LONG2),AVERAGE(INDEX($C$7:$C407,402-MA_LONG2):$C407),"")</f>
        <v>923306.18</v>
      </c>
      <c r="L407" s="46" t="n">
        <f aca="false">IF(AND(ISNUMBER($G407),$G407&gt;=21),STDEV(INDEX($H$347:$H407,62-20):$H407)*SQRT(245),"")</f>
        <v>0.0601447516579552</v>
      </c>
      <c r="M407" s="45" t="n">
        <f aca="false">IF(AND(ISNUMBER($G407),$G407&gt;=60),MAX(INDEX($D$207:$D407,202-60):$D407),"")</f>
        <v>1061551</v>
      </c>
      <c r="N407" s="45" t="n">
        <f aca="false">IF(AND(ISNUMBER($G407),$G407&gt;=60),MIN(INDEX($E$207:$E407,202-60):$E407),"")</f>
        <v>951534</v>
      </c>
      <c r="O407" s="46" t="n">
        <f aca="false">IF(OR(NOT(ISNUMBER($C407)),NOT(ISNUMBER($M407)),$M407=0),"",$C407/$M407-1)</f>
        <v>-0.014274396614011</v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1005117</v>
      </c>
      <c r="D408" s="42" t="n">
        <v>1008585</v>
      </c>
      <c r="E408" s="42" t="n">
        <v>994089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-0.0394505723443661</v>
      </c>
      <c r="I408" s="45" t="n">
        <f aca="false">IF(AND(ISNUMBER($G408),$G408&gt;=MA_SHORT),AVERAGE(INDEX($C$8:$C408,402-MA_SHORT):$C408),"")</f>
        <v>1047828.55</v>
      </c>
      <c r="J408" s="45" t="n">
        <f aca="false">IF(AND(ISNUMBER($G408),$G408&gt;=MA_MED),AVERAGE(INDEX($C$8:$C408,402-MA_MED):$C408),"")</f>
        <v>1024552.54</v>
      </c>
      <c r="K408" s="45" t="n">
        <f aca="false">IF(AND(ISNUMBER($G408),$G408&gt;=MA_LONG2),AVERAGE(INDEX($C$8:$C408,402-MA_LONG2):$C408),"")</f>
        <v>924171.39</v>
      </c>
      <c r="L408" s="46" t="n">
        <f aca="false">IF(AND(ISNUMBER($G408),$G408&gt;=21),STDEV(INDEX($H$348:$H408,62-20):$H408)*SQRT(245),"")</f>
        <v>0.151276688760778</v>
      </c>
      <c r="M408" s="45" t="n">
        <f aca="false">IF(AND(ISNUMBER($G408),$G408&gt;=60),MAX(INDEX($D$208:$D408,202-60):$D408),"")</f>
        <v>1061551</v>
      </c>
      <c r="N408" s="45" t="n">
        <f aca="false">IF(AND(ISNUMBER($G408),$G408&gt;=60),MIN(INDEX($E$208:$E408,202-60):$E408),"")</f>
        <v>951534</v>
      </c>
      <c r="O408" s="46" t="n">
        <f aca="false">IF(OR(NOT(ISNUMBER($C408)),NOT(ISNUMBER($M408)),$M408=0),"",$C408/$M408-1)</f>
        <v>-0.0531618358420839</v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994407</v>
      </c>
      <c r="D409" s="42" t="n">
        <v>998138</v>
      </c>
      <c r="E409" s="42" t="n">
        <v>991742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-0.0106554759296679</v>
      </c>
      <c r="I409" s="45" t="n">
        <f aca="false">IF(AND(ISNUMBER($G409),$G409&gt;=MA_SHORT),AVERAGE(INDEX($C$9:$C409,402-MA_SHORT):$C409),"")</f>
        <v>1045281.2</v>
      </c>
      <c r="J409" s="45" t="n">
        <f aca="false">IF(AND(ISNUMBER($G409),$G409&gt;=MA_MED),AVERAGE(INDEX($C$9:$C409,402-MA_MED):$C409),"")</f>
        <v>1025024.26</v>
      </c>
      <c r="K409" s="45" t="n">
        <f aca="false">IF(AND(ISNUMBER($G409),$G409&gt;=MA_LONG2),AVERAGE(INDEX($C$9:$C409,402-MA_LONG2):$C409),"")</f>
        <v>924976.745</v>
      </c>
      <c r="L409" s="46" t="n">
        <f aca="false">IF(AND(ISNUMBER($G409),$G409&gt;=21),STDEV(INDEX($H$349:$H409,62-20):$H409)*SQRT(245),"")</f>
        <v>0.153302482194278</v>
      </c>
      <c r="M409" s="45" t="n">
        <f aca="false">IF(AND(ISNUMBER($G409),$G409&gt;=60),MAX(INDEX($D$209:$D409,202-60):$D409),"")</f>
        <v>1061551</v>
      </c>
      <c r="N409" s="45" t="n">
        <f aca="false">IF(AND(ISNUMBER($G409),$G409&gt;=60),MIN(INDEX($E$209:$E409,202-60):$E409),"")</f>
        <v>951534</v>
      </c>
      <c r="O409" s="46" t="n">
        <f aca="false">IF(OR(NOT(ISNUMBER($C409)),NOT(ISNUMBER($M409)),$M409=0),"",$C409/$M409-1)</f>
        <v>-0.0632508471095595</v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992651</v>
      </c>
      <c r="D410" s="42" t="n">
        <v>992934</v>
      </c>
      <c r="E410" s="42" t="n">
        <v>992003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-0.00176587654753035</v>
      </c>
      <c r="I410" s="45" t="n">
        <f aca="false">IF(AND(ISNUMBER($G410),$G410&gt;=MA_SHORT),AVERAGE(INDEX($C$10:$C410,402-MA_SHORT):$C410),"")</f>
        <v>1042752.65</v>
      </c>
      <c r="J410" s="45" t="n">
        <f aca="false">IF(AND(ISNUMBER($G410),$G410&gt;=MA_MED),AVERAGE(INDEX($C$10:$C410,402-MA_MED):$C410),"")</f>
        <v>1025466.88</v>
      </c>
      <c r="K410" s="45" t="n">
        <f aca="false">IF(AND(ISNUMBER($G410),$G410&gt;=MA_LONG2),AVERAGE(INDEX($C$10:$C410,402-MA_LONG2):$C410),"")</f>
        <v>925772.87</v>
      </c>
      <c r="L410" s="46" t="n">
        <f aca="false">IF(AND(ISNUMBER($G410),$G410&gt;=21),STDEV(INDEX($H$350:$H410,62-20):$H410)*SQRT(245),"")</f>
        <v>0.153314888262929</v>
      </c>
      <c r="M410" s="45" t="n">
        <f aca="false">IF(AND(ISNUMBER($G410),$G410&gt;=60),MAX(INDEX($D$210:$D410,202-60):$D410),"")</f>
        <v>1061551</v>
      </c>
      <c r="N410" s="45" t="n">
        <f aca="false">IF(AND(ISNUMBER($G410),$G410&gt;=60),MIN(INDEX($E$210:$E410,202-60):$E410),"")</f>
        <v>951534</v>
      </c>
      <c r="O410" s="46" t="n">
        <f aca="false">IF(OR(NOT(ISNUMBER($C410)),NOT(ISNUMBER($M410)),$M410=0),"",$C410/$M410-1)</f>
        <v>-0.0649050304695676</v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985788</v>
      </c>
      <c r="D411" s="42" t="n">
        <v>987794</v>
      </c>
      <c r="E411" s="42" t="n">
        <v>983273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-0.00691380958665233</v>
      </c>
      <c r="I411" s="45" t="n">
        <f aca="false">IF(AND(ISNUMBER($G411),$G411&gt;=MA_SHORT),AVERAGE(INDEX($C$11:$C411,402-MA_SHORT):$C411),"")</f>
        <v>1040001.1</v>
      </c>
      <c r="J411" s="45" t="n">
        <f aca="false">IF(AND(ISNUMBER($G411),$G411&gt;=MA_MED),AVERAGE(INDEX($C$11:$C411,402-MA_MED):$C411),"")</f>
        <v>1025870.9</v>
      </c>
      <c r="K411" s="45" t="n">
        <f aca="false">IF(AND(ISNUMBER($G411),$G411&gt;=MA_LONG2),AVERAGE(INDEX($C$11:$C411,402-MA_LONG2):$C411),"")</f>
        <v>926571.255</v>
      </c>
      <c r="L411" s="46" t="n">
        <f aca="false">IF(AND(ISNUMBER($G411),$G411&gt;=21),STDEV(INDEX($H$351:$H411,62-20):$H411)*SQRT(245),"")</f>
        <v>0.154111011743</v>
      </c>
      <c r="M411" s="45" t="n">
        <f aca="false">IF(AND(ISNUMBER($G411),$G411&gt;=60),MAX(INDEX($D$211:$D411,202-60):$D411),"")</f>
        <v>1061551</v>
      </c>
      <c r="N411" s="45" t="n">
        <f aca="false">IF(AND(ISNUMBER($G411),$G411&gt;=60),MIN(INDEX($E$211:$E411,202-60):$E411),"")</f>
        <v>955589</v>
      </c>
      <c r="O411" s="46" t="n">
        <f aca="false">IF(OR(NOT(ISNUMBER($C411)),NOT(ISNUMBER($M411)),$M411=0),"",$C411/$M411-1)</f>
        <v>-0.0713700990343374</v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998064</v>
      </c>
      <c r="D412" s="42" t="n">
        <v>1001848</v>
      </c>
      <c r="E412" s="42" t="n">
        <v>995716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0.0124529817770149</v>
      </c>
      <c r="I412" s="45" t="n">
        <f aca="false">IF(AND(ISNUMBER($G412),$G412&gt;=MA_SHORT),AVERAGE(INDEX($C$12:$C412,402-MA_SHORT):$C412),"")</f>
        <v>1037461.75</v>
      </c>
      <c r="J412" s="45" t="n">
        <f aca="false">IF(AND(ISNUMBER($G412),$G412&gt;=MA_MED),AVERAGE(INDEX($C$12:$C412,402-MA_MED):$C412),"")</f>
        <v>1026496.8</v>
      </c>
      <c r="K412" s="45" t="n">
        <f aca="false">IF(AND(ISNUMBER($G412),$G412&gt;=MA_LONG2),AVERAGE(INDEX($C$12:$C412,402-MA_LONG2):$C412),"")</f>
        <v>927422.87</v>
      </c>
      <c r="L412" s="46" t="n">
        <f aca="false">IF(AND(ISNUMBER($G412),$G412&gt;=21),STDEV(INDEX($H$352:$H412,62-20):$H412)*SQRT(245),"")</f>
        <v>0.159037916827366</v>
      </c>
      <c r="M412" s="45" t="n">
        <f aca="false">IF(AND(ISNUMBER($G412),$G412&gt;=60),MAX(INDEX($D$212:$D412,202-60):$D412),"")</f>
        <v>1061551</v>
      </c>
      <c r="N412" s="45" t="n">
        <f aca="false">IF(AND(ISNUMBER($G412),$G412&gt;=60),MIN(INDEX($E$212:$E412,202-60):$E412),"")</f>
        <v>957013</v>
      </c>
      <c r="O412" s="46" t="n">
        <f aca="false">IF(OR(NOT(ISNUMBER($C412)),NOT(ISNUMBER($M412)),$M412=0),"",$C412/$M412-1)</f>
        <v>-0.0598058878000209</v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995351</v>
      </c>
      <c r="D413" s="42" t="n">
        <v>998899</v>
      </c>
      <c r="E413" s="42" t="n">
        <v>994652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-0.00271826255630903</v>
      </c>
      <c r="I413" s="45" t="n">
        <f aca="false">IF(AND(ISNUMBER($G413),$G413&gt;=MA_SHORT),AVERAGE(INDEX($C$13:$C413,402-MA_SHORT):$C413),"")</f>
        <v>1034540.45</v>
      </c>
      <c r="J413" s="45" t="n">
        <f aca="false">IF(AND(ISNUMBER($G413),$G413&gt;=MA_MED),AVERAGE(INDEX($C$13:$C413,402-MA_MED):$C413),"")</f>
        <v>1027072.06</v>
      </c>
      <c r="K413" s="45" t="n">
        <f aca="false">IF(AND(ISNUMBER($G413),$G413&gt;=MA_LONG2),AVERAGE(INDEX($C$13:$C413,402-MA_LONG2):$C413),"")</f>
        <v>928256.475</v>
      </c>
      <c r="L413" s="46" t="n">
        <f aca="false">IF(AND(ISNUMBER($G413),$G413&gt;=21),STDEV(INDEX($H$353:$H413,62-20):$H413)*SQRT(245),"")</f>
        <v>0.156856777571214</v>
      </c>
      <c r="M413" s="45" t="n">
        <f aca="false">IF(AND(ISNUMBER($G413),$G413&gt;=60),MAX(INDEX($D$213:$D413,202-60):$D413),"")</f>
        <v>1061551</v>
      </c>
      <c r="N413" s="45" t="n">
        <f aca="false">IF(AND(ISNUMBER($G413),$G413&gt;=60),MIN(INDEX($E$213:$E413,202-60):$E413),"")</f>
        <v>957013</v>
      </c>
      <c r="O413" s="46" t="n">
        <f aca="false">IF(OR(NOT(ISNUMBER($C413)),NOT(ISNUMBER($M413)),$M413=0),"",$C413/$M413-1)</f>
        <v>-0.0623615822508763</v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1001101</v>
      </c>
      <c r="D414" s="42" t="n">
        <v>1005282</v>
      </c>
      <c r="E414" s="42" t="n">
        <v>1000992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0.00577685660636296</v>
      </c>
      <c r="I414" s="45" t="n">
        <f aca="false">IF(AND(ISNUMBER($G414),$G414&gt;=MA_SHORT),AVERAGE(INDEX($C$14:$C414,402-MA_SHORT):$C414),"")</f>
        <v>1032072.45</v>
      </c>
      <c r="J414" s="45" t="n">
        <f aca="false">IF(AND(ISNUMBER($G414),$G414&gt;=MA_MED),AVERAGE(INDEX($C$14:$C414,402-MA_MED):$C414),"")</f>
        <v>1027721.5</v>
      </c>
      <c r="K414" s="45" t="n">
        <f aca="false">IF(AND(ISNUMBER($G414),$G414&gt;=MA_LONG2),AVERAGE(INDEX($C$14:$C414,402-MA_LONG2):$C414),"")</f>
        <v>929109.01</v>
      </c>
      <c r="L414" s="46" t="n">
        <f aca="false">IF(AND(ISNUMBER($G414),$G414&gt;=21),STDEV(INDEX($H$354:$H414,62-20):$H414)*SQRT(245),"")</f>
        <v>0.159685877543096</v>
      </c>
      <c r="M414" s="45" t="n">
        <f aca="false">IF(AND(ISNUMBER($G414),$G414&gt;=60),MAX(INDEX($D$214:$D414,202-60):$D414),"")</f>
        <v>1061551</v>
      </c>
      <c r="N414" s="45" t="n">
        <f aca="false">IF(AND(ISNUMBER($G414),$G414&gt;=60),MIN(INDEX($E$214:$E414,202-60):$E414),"")</f>
        <v>960275</v>
      </c>
      <c r="O414" s="46" t="n">
        <f aca="false">IF(OR(NOT(ISNUMBER($C414)),NOT(ISNUMBER($M414)),$M414=0),"",$C414/$M414-1)</f>
        <v>-0.0569449795629226</v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1007831</v>
      </c>
      <c r="D415" s="42" t="n">
        <v>1010723</v>
      </c>
      <c r="E415" s="42" t="n">
        <v>1006963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0.00672259841914058</v>
      </c>
      <c r="I415" s="45" t="n">
        <f aca="false">IF(AND(ISNUMBER($G415),$G415&gt;=MA_SHORT),AVERAGE(INDEX($C$15:$C415,402-MA_SHORT):$C415),"")</f>
        <v>1029951.95</v>
      </c>
      <c r="J415" s="45" t="n">
        <f aca="false">IF(AND(ISNUMBER($G415),$G415&gt;=MA_MED),AVERAGE(INDEX($C$15:$C415,402-MA_MED):$C415),"")</f>
        <v>1028530.06</v>
      </c>
      <c r="K415" s="45" t="n">
        <f aca="false">IF(AND(ISNUMBER($G415),$G415&gt;=MA_LONG2),AVERAGE(INDEX($C$15:$C415,402-MA_LONG2):$C415),"")</f>
        <v>930003.05</v>
      </c>
      <c r="L415" s="46" t="n">
        <f aca="false">IF(AND(ISNUMBER($G415),$G415&gt;=21),STDEV(INDEX($H$355:$H415,62-20):$H415)*SQRT(245),"")</f>
        <v>0.16270056888161</v>
      </c>
      <c r="M415" s="45" t="n">
        <f aca="false">IF(AND(ISNUMBER($G415),$G415&gt;=60),MAX(INDEX($D$215:$D415,202-60):$D415),"")</f>
        <v>1061551</v>
      </c>
      <c r="N415" s="45" t="n">
        <f aca="false">IF(AND(ISNUMBER($G415),$G415&gt;=60),MIN(INDEX($E$215:$E415,202-60):$E415),"")</f>
        <v>960275</v>
      </c>
      <c r="O415" s="46" t="n">
        <f aca="false">IF(OR(NOT(ISNUMBER($C415)),NOT(ISNUMBER($M415)),$M415=0),"",$C415/$M415-1)</f>
        <v>-0.0506051993733697</v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1017654</v>
      </c>
      <c r="D416" s="42" t="n">
        <v>1019162</v>
      </c>
      <c r="E416" s="42" t="n">
        <v>1014877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0.00974667379749183</v>
      </c>
      <c r="I416" s="45" t="n">
        <f aca="false">IF(AND(ISNUMBER($G416),$G416&gt;=MA_SHORT),AVERAGE(INDEX($C$16:$C416,402-MA_SHORT):$C416),"")</f>
        <v>1028392.7</v>
      </c>
      <c r="J416" s="45" t="n">
        <f aca="false">IF(AND(ISNUMBER($G416),$G416&gt;=MA_MED),AVERAGE(INDEX($C$16:$C416,402-MA_MED):$C416),"")</f>
        <v>1029547.08</v>
      </c>
      <c r="K416" s="45" t="n">
        <f aca="false">IF(AND(ISNUMBER($G416),$G416&gt;=MA_LONG2),AVERAGE(INDEX($C$16:$C416,402-MA_LONG2):$C416),"")</f>
        <v>930935.2</v>
      </c>
      <c r="L416" s="46" t="n">
        <f aca="false">IF(AND(ISNUMBER($G416),$G416&gt;=21),STDEV(INDEX($H$356:$H416,62-20):$H416)*SQRT(245),"")</f>
        <v>0.167832504473576</v>
      </c>
      <c r="M416" s="45" t="n">
        <f aca="false">IF(AND(ISNUMBER($G416),$G416&gt;=60),MAX(INDEX($D$216:$D416,202-60):$D416),"")</f>
        <v>1061551</v>
      </c>
      <c r="N416" s="45" t="n">
        <f aca="false">IF(AND(ISNUMBER($G416),$G416&gt;=60),MIN(INDEX($E$216:$E416,202-60):$E416),"")</f>
        <v>960275</v>
      </c>
      <c r="O416" s="46" t="n">
        <f aca="false">IF(OR(NOT(ISNUMBER($C416)),NOT(ISNUMBER($M416)),$M416=0),"",$C416/$M416-1)</f>
        <v>-0.0413517579466272</v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1011981</v>
      </c>
      <c r="D417" s="42" t="n">
        <v>1015736</v>
      </c>
      <c r="E417" s="42" t="n">
        <v>1008864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-0.00557458625426721</v>
      </c>
      <c r="I417" s="45" t="n">
        <f aca="false">IF(AND(ISNUMBER($G417),$G417&gt;=MA_SHORT),AVERAGE(INDEX($C$17:$C417,402-MA_SHORT):$C417),"")</f>
        <v>1026365</v>
      </c>
      <c r="J417" s="45" t="n">
        <f aca="false">IF(AND(ISNUMBER($G417),$G417&gt;=MA_MED),AVERAGE(INDEX($C$17:$C417,402-MA_MED):$C417),"")</f>
        <v>1030383.4</v>
      </c>
      <c r="K417" s="45" t="n">
        <f aca="false">IF(AND(ISNUMBER($G417),$G417&gt;=MA_LONG2),AVERAGE(INDEX($C$17:$C417,402-MA_LONG2):$C417),"")</f>
        <v>931830.4</v>
      </c>
      <c r="L417" s="46" t="n">
        <f aca="false">IF(AND(ISNUMBER($G417),$G417&gt;=21),STDEV(INDEX($H$357:$H417,62-20):$H417)*SQRT(245),"")</f>
        <v>0.167374270434696</v>
      </c>
      <c r="M417" s="45" t="n">
        <f aca="false">IF(AND(ISNUMBER($G417),$G417&gt;=60),MAX(INDEX($D$217:$D417,202-60):$D417),"")</f>
        <v>1061551</v>
      </c>
      <c r="N417" s="45" t="n">
        <f aca="false">IF(AND(ISNUMBER($G417),$G417&gt;=60),MIN(INDEX($E$217:$E417,202-60):$E417),"")</f>
        <v>960275</v>
      </c>
      <c r="O417" s="46" t="n">
        <f aca="false">IF(OR(NOT(ISNUMBER($C417)),NOT(ISNUMBER($M417)),$M417=0),"",$C417/$M417-1)</f>
        <v>-0.0466958252594553</v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1013329</v>
      </c>
      <c r="D418" s="42" t="n">
        <v>1014560</v>
      </c>
      <c r="E418" s="42" t="n">
        <v>1009610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0.00133204081894811</v>
      </c>
      <c r="I418" s="45" t="n">
        <f aca="false">IF(AND(ISNUMBER($G418),$G418&gt;=MA_SHORT),AVERAGE(INDEX($C$18:$C418,402-MA_SHORT):$C418),"")</f>
        <v>1024302.8</v>
      </c>
      <c r="J418" s="45" t="n">
        <f aca="false">IF(AND(ISNUMBER($G418),$G418&gt;=MA_MED),AVERAGE(INDEX($C$18:$C418,402-MA_MED):$C418),"")</f>
        <v>1031075.32</v>
      </c>
      <c r="K418" s="45" t="n">
        <f aca="false">IF(AND(ISNUMBER($G418),$G418&gt;=MA_LONG2),AVERAGE(INDEX($C$18:$C418,402-MA_LONG2):$C418),"")</f>
        <v>932731.77</v>
      </c>
      <c r="L418" s="46" t="n">
        <f aca="false">IF(AND(ISNUMBER($G418),$G418&gt;=21),STDEV(INDEX($H$358:$H418,62-20):$H418)*SQRT(245),"")</f>
        <v>0.167208620177788</v>
      </c>
      <c r="M418" s="45" t="n">
        <f aca="false">IF(AND(ISNUMBER($G418),$G418&gt;=60),MAX(INDEX($D$218:$D418,202-60):$D418),"")</f>
        <v>1061551</v>
      </c>
      <c r="N418" s="45" t="n">
        <f aca="false">IF(AND(ISNUMBER($G418),$G418&gt;=60),MIN(INDEX($E$218:$E418,202-60):$E418),"")</f>
        <v>960275</v>
      </c>
      <c r="O418" s="46" t="n">
        <f aca="false">IF(OR(NOT(ISNUMBER($C418)),NOT(ISNUMBER($M418)),$M418=0),"",$C418/$M418-1)</f>
        <v>-0.0454259851858272</v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1023492</v>
      </c>
      <c r="D419" s="42" t="n">
        <v>1027620</v>
      </c>
      <c r="E419" s="42" t="n">
        <v>1020664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0.0100293192043255</v>
      </c>
      <c r="I419" s="45" t="n">
        <f aca="false">IF(AND(ISNUMBER($G419),$G419&gt;=MA_SHORT),AVERAGE(INDEX($C$19:$C419,402-MA_SHORT):$C419),"")</f>
        <v>1022678.9</v>
      </c>
      <c r="J419" s="45" t="n">
        <f aca="false">IF(AND(ISNUMBER($G419),$G419&gt;=MA_MED),AVERAGE(INDEX($C$19:$C419,402-MA_MED):$C419),"")</f>
        <v>1031932.24</v>
      </c>
      <c r="K419" s="45" t="n">
        <f aca="false">IF(AND(ISNUMBER($G419),$G419&gt;=MA_LONG2),AVERAGE(INDEX($C$19:$C419,402-MA_LONG2):$C419),"")</f>
        <v>933678.61</v>
      </c>
      <c r="L419" s="46" t="n">
        <f aca="false">IF(AND(ISNUMBER($G419),$G419&gt;=21),STDEV(INDEX($H$359:$H419,62-20):$H419)*SQRT(245),"")</f>
        <v>0.172102480391448</v>
      </c>
      <c r="M419" s="45" t="n">
        <f aca="false">IF(AND(ISNUMBER($G419),$G419&gt;=60),MAX(INDEX($D$219:$D419,202-60):$D419),"")</f>
        <v>1061551</v>
      </c>
      <c r="N419" s="45" t="n">
        <f aca="false">IF(AND(ISNUMBER($G419),$G419&gt;=60),MIN(INDEX($E$219:$E419,202-60):$E419),"")</f>
        <v>960275</v>
      </c>
      <c r="O419" s="46" t="n">
        <f aca="false">IF(OR(NOT(ISNUMBER($C419)),NOT(ISNUMBER($M419)),$M419=0),"",$C419/$M419-1)</f>
        <v>-0.0358522576871012</v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1023287</v>
      </c>
      <c r="D420" s="42" t="n">
        <v>1026738</v>
      </c>
      <c r="E420" s="42" t="n">
        <v>1021304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-0.000200294677437651</v>
      </c>
      <c r="I420" s="45" t="n">
        <f aca="false">IF(AND(ISNUMBER($G420),$G420&gt;=MA_SHORT),AVERAGE(INDEX($C$20:$C420,402-MA_SHORT):$C420),"")</f>
        <v>1021203.9</v>
      </c>
      <c r="J420" s="45" t="n">
        <f aca="false">IF(AND(ISNUMBER($G420),$G420&gt;=MA_MED),AVERAGE(INDEX($C$20:$C420,402-MA_MED):$C420),"")</f>
        <v>1032777.72</v>
      </c>
      <c r="K420" s="45" t="n">
        <f aca="false">IF(AND(ISNUMBER($G420),$G420&gt;=MA_LONG2),AVERAGE(INDEX($C$20:$C420,402-MA_LONG2):$C420),"")</f>
        <v>934641.86</v>
      </c>
      <c r="L420" s="46" t="n">
        <f aca="false">IF(AND(ISNUMBER($G420),$G420&gt;=21),STDEV(INDEX($H$360:$H420,62-20):$H420)*SQRT(245),"")</f>
        <v>0.172065530239982</v>
      </c>
      <c r="M420" s="45" t="n">
        <f aca="false">IF(AND(ISNUMBER($G420),$G420&gt;=60),MAX(INDEX($D$220:$D420,202-60):$D420),"")</f>
        <v>1061551</v>
      </c>
      <c r="N420" s="45" t="n">
        <f aca="false">IF(AND(ISNUMBER($G420),$G420&gt;=60),MIN(INDEX($E$220:$E420,202-60):$E420),"")</f>
        <v>960275</v>
      </c>
      <c r="O420" s="46" t="n">
        <f aca="false">IF(OR(NOT(ISNUMBER($C420)),NOT(ISNUMBER($M420)),$M420=0),"",$C420/$M420-1)</f>
        <v>-0.03604537134815</v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1017137</v>
      </c>
      <c r="D421" s="42" t="n">
        <v>1019669</v>
      </c>
      <c r="E421" s="42" t="n">
        <v>1010807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-0.00601004410297401</v>
      </c>
      <c r="I421" s="45" t="n">
        <f aca="false">IF(AND(ISNUMBER($G421),$G421&gt;=MA_SHORT),AVERAGE(INDEX($C$21:$C421,402-MA_SHORT):$C421),"")</f>
        <v>1019355.6</v>
      </c>
      <c r="J421" s="45" t="n">
        <f aca="false">IF(AND(ISNUMBER($G421),$G421&gt;=MA_MED),AVERAGE(INDEX($C$21:$C421,402-MA_MED):$C421),"")</f>
        <v>1032681.02</v>
      </c>
      <c r="K421" s="45" t="n">
        <f aca="false">IF(AND(ISNUMBER($G421),$G421&gt;=MA_LONG2),AVERAGE(INDEX($C$21:$C421,402-MA_LONG2):$C421),"")</f>
        <v>935403.18</v>
      </c>
      <c r="L421" s="46" t="n">
        <f aca="false">IF(AND(ISNUMBER($G421),$G421&gt;=21),STDEV(INDEX($H$361:$H421,62-20):$H421)*SQRT(245),"")</f>
        <v>0.172520214350892</v>
      </c>
      <c r="M421" s="45" t="n">
        <f aca="false">IF(AND(ISNUMBER($G421),$G421&gt;=60),MAX(INDEX($D$221:$D421,202-60):$D421),"")</f>
        <v>1061551</v>
      </c>
      <c r="N421" s="45" t="n">
        <f aca="false">IF(AND(ISNUMBER($G421),$G421&gt;=60),MIN(INDEX($E$221:$E421,202-60):$E421),"")</f>
        <v>960275</v>
      </c>
      <c r="O421" s="46" t="n">
        <f aca="false">IF(OR(NOT(ISNUMBER($C421)),NOT(ISNUMBER($M421)),$M421=0),"",$C421/$M421-1)</f>
        <v>-0.0418387811796136</v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1024847</v>
      </c>
      <c r="D422" s="42" t="n">
        <v>1028123</v>
      </c>
      <c r="E422" s="42" t="n">
        <v>1024211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0.00758009982922658</v>
      </c>
      <c r="I422" s="45" t="n">
        <f aca="false">IF(AND(ISNUMBER($G422),$G422&gt;=MA_SHORT),AVERAGE(INDEX($C$22:$C422,402-MA_SHORT):$C422),"")</f>
        <v>1017853.8</v>
      </c>
      <c r="J422" s="45" t="n">
        <f aca="false">IF(AND(ISNUMBER($G422),$G422&gt;=MA_MED),AVERAGE(INDEX($C$22:$C422,402-MA_MED):$C422),"")</f>
        <v>1032743.14</v>
      </c>
      <c r="K422" s="45" t="n">
        <f aca="false">IF(AND(ISNUMBER($G422),$G422&gt;=MA_LONG2),AVERAGE(INDEX($C$22:$C422,402-MA_LONG2):$C422),"")</f>
        <v>936219.115</v>
      </c>
      <c r="L422" s="46" t="n">
        <f aca="false">IF(AND(ISNUMBER($G422),$G422&gt;=21),STDEV(INDEX($H$362:$H422,62-20):$H422)*SQRT(245),"")</f>
        <v>0.175417068301324</v>
      </c>
      <c r="M422" s="45" t="n">
        <f aca="false">IF(AND(ISNUMBER($G422),$G422&gt;=60),MAX(INDEX($D$222:$D422,202-60):$D422),"")</f>
        <v>1061551</v>
      </c>
      <c r="N422" s="45" t="n">
        <f aca="false">IF(AND(ISNUMBER($G422),$G422&gt;=60),MIN(INDEX($E$222:$E422,202-60):$E422),"")</f>
        <v>960275</v>
      </c>
      <c r="O422" s="46" t="n">
        <f aca="false">IF(OR(NOT(ISNUMBER($C422)),NOT(ISNUMBER($M422)),$M422=0),"",$C422/$M422-1)</f>
        <v>-0.0345758234884617</v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1030996</v>
      </c>
      <c r="D423" s="42" t="n">
        <v>1033410</v>
      </c>
      <c r="E423" s="42" t="n">
        <v>1030609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0.00599991998805671</v>
      </c>
      <c r="I423" s="45" t="n">
        <f aca="false">IF(AND(ISNUMBER($G423),$G423&gt;=MA_SHORT),AVERAGE(INDEX($C$23:$C423,402-MA_SHORT):$C423),"")</f>
        <v>1017020.9</v>
      </c>
      <c r="J423" s="45" t="n">
        <f aca="false">IF(AND(ISNUMBER($G423),$G423&gt;=MA_MED),AVERAGE(INDEX($C$23:$C423,402-MA_MED):$C423),"")</f>
        <v>1032906.66</v>
      </c>
      <c r="K423" s="45" t="n">
        <f aca="false">IF(AND(ISNUMBER($G423),$G423&gt;=MA_LONG2),AVERAGE(INDEX($C$23:$C423,402-MA_LONG2):$C423),"")</f>
        <v>937152.56</v>
      </c>
      <c r="L423" s="46" t="n">
        <f aca="false">IF(AND(ISNUMBER($G423),$G423&gt;=21),STDEV(INDEX($H$363:$H423,62-20):$H423)*SQRT(245),"")</f>
        <v>0.176015895522748</v>
      </c>
      <c r="M423" s="45" t="n">
        <f aca="false">IF(AND(ISNUMBER($G423),$G423&gt;=60),MAX(INDEX($D$223:$D423,202-60):$D423),"")</f>
        <v>1061551</v>
      </c>
      <c r="N423" s="45" t="n">
        <f aca="false">IF(AND(ISNUMBER($G423),$G423&gt;=60),MIN(INDEX($E$223:$E423,202-60):$E423),"")</f>
        <v>960275</v>
      </c>
      <c r="O423" s="46" t="n">
        <f aca="false">IF(OR(NOT(ISNUMBER($C423)),NOT(ISNUMBER($M423)),$M423=0),"",$C423/$M423-1)</f>
        <v>-0.0287833556748569</v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1024529</v>
      </c>
      <c r="D424" s="42" t="n">
        <v>1029125</v>
      </c>
      <c r="E424" s="42" t="n">
        <v>1020346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-0.00627257525732394</v>
      </c>
      <c r="I424" s="45" t="n">
        <f aca="false">IF(AND(ISNUMBER($G424),$G424&gt;=MA_SHORT),AVERAGE(INDEX($C$24:$C424,402-MA_SHORT):$C424),"")</f>
        <v>1015913.45</v>
      </c>
      <c r="J424" s="45" t="n">
        <f aca="false">IF(AND(ISNUMBER($G424),$G424&gt;=MA_MED),AVERAGE(INDEX($C$24:$C424,402-MA_MED):$C424),"")</f>
        <v>1033045.46</v>
      </c>
      <c r="K424" s="45" t="n">
        <f aca="false">IF(AND(ISNUMBER($G424),$G424&gt;=MA_LONG2),AVERAGE(INDEX($C$24:$C424,402-MA_LONG2):$C424),"")</f>
        <v>938036.265</v>
      </c>
      <c r="L424" s="46" t="n">
        <f aca="false">IF(AND(ISNUMBER($G424),$G424&gt;=21),STDEV(INDEX($H$364:$H424,62-20):$H424)*SQRT(245),"")</f>
        <v>0.177080268956759</v>
      </c>
      <c r="M424" s="45" t="n">
        <f aca="false">IF(AND(ISNUMBER($G424),$G424&gt;=60),MAX(INDEX($D$224:$D424,202-60):$D424),"")</f>
        <v>1061551</v>
      </c>
      <c r="N424" s="45" t="n">
        <f aca="false">IF(AND(ISNUMBER($G424),$G424&gt;=60),MIN(INDEX($E$224:$E424,202-60):$E424),"")</f>
        <v>960275</v>
      </c>
      <c r="O424" s="46" t="n">
        <f aca="false">IF(OR(NOT(ISNUMBER($C424)),NOT(ISNUMBER($M424)),$M424=0),"",$C424/$M424-1)</f>
        <v>-0.034875385167552</v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1028589</v>
      </c>
      <c r="D425" s="42" t="n">
        <v>1029716</v>
      </c>
      <c r="E425" s="42" t="n">
        <v>1025290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0.00396279656310372</v>
      </c>
      <c r="I425" s="45" t="n">
        <f aca="false">IF(AND(ISNUMBER($G425),$G425&gt;=MA_SHORT),AVERAGE(INDEX($C$25:$C425,402-MA_SHORT):$C425),"")</f>
        <v>1014605.25</v>
      </c>
      <c r="J425" s="45" t="n">
        <f aca="false">IF(AND(ISNUMBER($G425),$G425&gt;=MA_MED),AVERAGE(INDEX($C$25:$C425,402-MA_MED):$C425),"")</f>
        <v>1033212.22</v>
      </c>
      <c r="K425" s="45" t="n">
        <f aca="false">IF(AND(ISNUMBER($G425),$G425&gt;=MA_LONG2),AVERAGE(INDEX($C$25:$C425,402-MA_LONG2):$C425),"")</f>
        <v>938916.5</v>
      </c>
      <c r="L425" s="46" t="n">
        <f aca="false">IF(AND(ISNUMBER($G425),$G425&gt;=21),STDEV(INDEX($H$365:$H425,62-20):$H425)*SQRT(245),"")</f>
        <v>0.175173915417241</v>
      </c>
      <c r="M425" s="45" t="n">
        <f aca="false">IF(AND(ISNUMBER($G425),$G425&gt;=60),MAX(INDEX($D$225:$D425,202-60):$D425),"")</f>
        <v>1061551</v>
      </c>
      <c r="N425" s="45" t="n">
        <f aca="false">IF(AND(ISNUMBER($G425),$G425&gt;=60),MIN(INDEX($E$225:$E425,202-60):$E425),"")</f>
        <v>960275</v>
      </c>
      <c r="O425" s="46" t="n">
        <f aca="false">IF(OR(NOT(ISNUMBER($C425)),NOT(ISNUMBER($M425)),$M425=0),"",$C425/$M425-1)</f>
        <v>-0.0310507926609273</v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991563</v>
      </c>
      <c r="D426" s="42" t="n">
        <v>994347</v>
      </c>
      <c r="E426" s="42" t="n">
        <v>991156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-0.0359968850532136</v>
      </c>
      <c r="I426" s="45" t="n">
        <f aca="false">IF(AND(ISNUMBER($G426),$G426&gt;=MA_SHORT),AVERAGE(INDEX($C$26:$C426,402-MA_SHORT):$C426),"")</f>
        <v>1011705.6</v>
      </c>
      <c r="J426" s="45" t="n">
        <f aca="false">IF(AND(ISNUMBER($G426),$G426&gt;=MA_MED),AVERAGE(INDEX($C$26:$C426,402-MA_MED):$C426),"")</f>
        <v>1032593.3</v>
      </c>
      <c r="K426" s="45" t="n">
        <f aca="false">IF(AND(ISNUMBER($G426),$G426&gt;=MA_LONG2),AVERAGE(INDEX($C$26:$C426,402-MA_LONG2):$C426),"")</f>
        <v>939635.675</v>
      </c>
      <c r="L426" s="46" t="n">
        <f aca="false">IF(AND(ISNUMBER($G426),$G426&gt;=21),STDEV(INDEX($H$366:$H426,62-20):$H426)*SQRT(245),"")</f>
        <v>0.213311662312469</v>
      </c>
      <c r="M426" s="45" t="n">
        <f aca="false">IF(AND(ISNUMBER($G426),$G426&gt;=60),MAX(INDEX($D$226:$D426,202-60):$D426),"")</f>
        <v>1061551</v>
      </c>
      <c r="N426" s="45" t="n">
        <f aca="false">IF(AND(ISNUMBER($G426),$G426&gt;=60),MIN(INDEX($E$226:$E426,202-60):$E426),"")</f>
        <v>969766</v>
      </c>
      <c r="O426" s="46" t="n">
        <f aca="false">IF(OR(NOT(ISNUMBER($C426)),NOT(ISNUMBER($M426)),$M426=0),"",$C426/$M426-1)</f>
        <v>-0.0659299458999144</v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987430</v>
      </c>
      <c r="D427" s="42" t="n">
        <v>988492</v>
      </c>
      <c r="E427" s="42" t="n">
        <v>986610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-0.00416816682348975</v>
      </c>
      <c r="I427" s="45" t="n">
        <f aca="false">IF(AND(ISNUMBER($G427),$G427&gt;=MA_SHORT),AVERAGE(INDEX($C$27:$C427,402-MA_SHORT):$C427),"")</f>
        <v>1008757.2</v>
      </c>
      <c r="J427" s="45" t="n">
        <f aca="false">IF(AND(ISNUMBER($G427),$G427&gt;=MA_MED),AVERAGE(INDEX($C$27:$C427,402-MA_MED):$C427),"")</f>
        <v>1031682</v>
      </c>
      <c r="K427" s="45" t="n">
        <f aca="false">IF(AND(ISNUMBER($G427),$G427&gt;=MA_LONG2),AVERAGE(INDEX($C$27:$C427,402-MA_LONG2):$C427),"")</f>
        <v>940338.225</v>
      </c>
      <c r="L427" s="46" t="n">
        <f aca="false">IF(AND(ISNUMBER($G427),$G427&gt;=21),STDEV(INDEX($H$367:$H427,62-20):$H427)*SQRT(245),"")</f>
        <v>0.213368512742941</v>
      </c>
      <c r="M427" s="45" t="n">
        <f aca="false">IF(AND(ISNUMBER($G427),$G427&gt;=60),MAX(INDEX($D$227:$D427,202-60):$D427),"")</f>
        <v>1061551</v>
      </c>
      <c r="N427" s="45" t="n">
        <f aca="false">IF(AND(ISNUMBER($G427),$G427&gt;=60),MIN(INDEX($E$227:$E427,202-60):$E427),"")</f>
        <v>974322</v>
      </c>
      <c r="O427" s="46" t="n">
        <f aca="false">IF(OR(NOT(ISNUMBER($C427)),NOT(ISNUMBER($M427)),$M427=0),"",$C427/$M427-1)</f>
        <v>-0.0698233057102297</v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988250</v>
      </c>
      <c r="D428" s="42" t="n">
        <v>989752</v>
      </c>
      <c r="E428" s="42" t="n">
        <v>985873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0.000830438613369955</v>
      </c>
      <c r="I428" s="45" t="n">
        <f aca="false">IF(AND(ISNUMBER($G428),$G428&gt;=MA_SHORT),AVERAGE(INDEX($C$28:$C428,402-MA_SHORT):$C428),"")</f>
        <v>1007913.85</v>
      </c>
      <c r="J428" s="45" t="n">
        <f aca="false">IF(AND(ISNUMBER($G428),$G428&gt;=MA_MED),AVERAGE(INDEX($C$28:$C428,402-MA_MED):$C428),"")</f>
        <v>1030728.02</v>
      </c>
      <c r="K428" s="45" t="n">
        <f aca="false">IF(AND(ISNUMBER($G428),$G428&gt;=MA_LONG2),AVERAGE(INDEX($C$28:$C428,402-MA_LONG2):$C428),"")</f>
        <v>941070.31</v>
      </c>
      <c r="L428" s="46" t="n">
        <f aca="false">IF(AND(ISNUMBER($G428),$G428&gt;=21),STDEV(INDEX($H$368:$H428,62-20):$H428)*SQRT(245),"")</f>
        <v>0.165333942687401</v>
      </c>
      <c r="M428" s="45" t="n">
        <f aca="false">IF(AND(ISNUMBER($G428),$G428&gt;=60),MAX(INDEX($D$228:$D428,202-60):$D428),"")</f>
        <v>1061551</v>
      </c>
      <c r="N428" s="45" t="n">
        <f aca="false">IF(AND(ISNUMBER($G428),$G428&gt;=60),MIN(INDEX($E$228:$E428,202-60):$E428),"")</f>
        <v>974322</v>
      </c>
      <c r="O428" s="46" t="n">
        <f aca="false">IF(OR(NOT(ISNUMBER($C428)),NOT(ISNUMBER($M428)),$M428=0),"",$C428/$M428-1)</f>
        <v>-0.0690508510660345</v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991526</v>
      </c>
      <c r="D429" s="42" t="n">
        <v>995977</v>
      </c>
      <c r="E429" s="42" t="n">
        <v>987417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0.0033149506703769</v>
      </c>
      <c r="I429" s="45" t="n">
        <f aca="false">IF(AND(ISNUMBER($G429),$G429&gt;=MA_SHORT),AVERAGE(INDEX($C$29:$C429,402-MA_SHORT):$C429),"")</f>
        <v>1007769.8</v>
      </c>
      <c r="J429" s="45" t="n">
        <f aca="false">IF(AND(ISNUMBER($G429),$G429&gt;=MA_MED),AVERAGE(INDEX($C$29:$C429,402-MA_MED):$C429),"")</f>
        <v>1029780.62</v>
      </c>
      <c r="K429" s="45" t="n">
        <f aca="false">IF(AND(ISNUMBER($G429),$G429&gt;=MA_LONG2),AVERAGE(INDEX($C$29:$C429,402-MA_LONG2):$C429),"")</f>
        <v>941816.505</v>
      </c>
      <c r="L429" s="46" t="n">
        <f aca="false">IF(AND(ISNUMBER($G429),$G429&gt;=21),STDEV(INDEX($H$369:$H429,62-20):$H429)*SQRT(245),"")</f>
        <v>0.16177919815153</v>
      </c>
      <c r="M429" s="45" t="n">
        <f aca="false">IF(AND(ISNUMBER($G429),$G429&gt;=60),MAX(INDEX($D$229:$D429,202-60):$D429),"")</f>
        <v>1061551</v>
      </c>
      <c r="N429" s="45" t="n">
        <f aca="false">IF(AND(ISNUMBER($G429),$G429&gt;=60),MIN(INDEX($E$229:$E429,202-60):$E429),"")</f>
        <v>978619</v>
      </c>
      <c r="O429" s="46" t="n">
        <f aca="false">IF(OR(NOT(ISNUMBER($C429)),NOT(ISNUMBER($M429)),$M429=0),"",$C429/$M429-1)</f>
        <v>-0.065964800560689</v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994356</v>
      </c>
      <c r="D430" s="42" t="n">
        <v>995491</v>
      </c>
      <c r="E430" s="42" t="n">
        <v>990528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0.00285418637534463</v>
      </c>
      <c r="I430" s="45" t="n">
        <f aca="false">IF(AND(ISNUMBER($G430),$G430&gt;=MA_SHORT),AVERAGE(INDEX($C$30:$C430,402-MA_SHORT):$C430),"")</f>
        <v>1007855.05</v>
      </c>
      <c r="J430" s="45" t="n">
        <f aca="false">IF(AND(ISNUMBER($G430),$G430&gt;=MA_MED),AVERAGE(INDEX($C$30:$C430,402-MA_MED):$C430),"")</f>
        <v>1028902.36</v>
      </c>
      <c r="K430" s="45" t="n">
        <f aca="false">IF(AND(ISNUMBER($G430),$G430&gt;=MA_LONG2),AVERAGE(INDEX($C$30:$C430,402-MA_LONG2):$C430),"")</f>
        <v>942580.395</v>
      </c>
      <c r="L430" s="46" t="n">
        <f aca="false">IF(AND(ISNUMBER($G430),$G430&gt;=21),STDEV(INDEX($H$370:$H430,62-20):$H430)*SQRT(245),"")</f>
        <v>0.161971398302732</v>
      </c>
      <c r="M430" s="45" t="n">
        <f aca="false">IF(AND(ISNUMBER($G430),$G430&gt;=60),MAX(INDEX($D$230:$D430,202-60):$D430),"")</f>
        <v>1061551</v>
      </c>
      <c r="N430" s="45" t="n">
        <f aca="false">IF(AND(ISNUMBER($G430),$G430&gt;=60),MIN(INDEX($E$230:$E430,202-60):$E430),"")</f>
        <v>983273</v>
      </c>
      <c r="O430" s="46" t="n">
        <f aca="false">IF(OR(NOT(ISNUMBER($C430)),NOT(ISNUMBER($M430)),$M430=0),"",$C430/$M430-1)</f>
        <v>-0.0632988900203571</v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991570</v>
      </c>
      <c r="D431" s="42" t="n">
        <v>995461</v>
      </c>
      <c r="E431" s="42" t="n">
        <v>989334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-0.00280181343502728</v>
      </c>
      <c r="I431" s="45" t="n">
        <f aca="false">IF(AND(ISNUMBER($G431),$G431&gt;=MA_SHORT),AVERAGE(INDEX($C$31:$C431,402-MA_SHORT):$C431),"")</f>
        <v>1008144.15</v>
      </c>
      <c r="J431" s="45" t="n">
        <f aca="false">IF(AND(ISNUMBER($G431),$G431&gt;=MA_MED),AVERAGE(INDEX($C$31:$C431,402-MA_MED):$C431),"")</f>
        <v>1027878.32</v>
      </c>
      <c r="K431" s="45" t="n">
        <f aca="false">IF(AND(ISNUMBER($G431),$G431&gt;=MA_LONG2),AVERAGE(INDEX($C$31:$C431,402-MA_LONG2):$C431),"")</f>
        <v>943321.33</v>
      </c>
      <c r="L431" s="46" t="n">
        <f aca="false">IF(AND(ISNUMBER($G431),$G431&gt;=21),STDEV(INDEX($H$371:$H431,62-20):$H431)*SQRT(245),"")</f>
        <v>0.160293817042086</v>
      </c>
      <c r="M431" s="45" t="n">
        <f aca="false">IF(AND(ISNUMBER($G431),$G431&gt;=60),MAX(INDEX($D$231:$D431,202-60):$D431),"")</f>
        <v>1061551</v>
      </c>
      <c r="N431" s="45" t="n">
        <f aca="false">IF(AND(ISNUMBER($G431),$G431&gt;=60),MIN(INDEX($E$231:$E431,202-60):$E431),"")</f>
        <v>983273</v>
      </c>
      <c r="O431" s="46" t="n">
        <f aca="false">IF(OR(NOT(ISNUMBER($C431)),NOT(ISNUMBER($M431)),$M431=0),"",$C431/$M431-1)</f>
        <v>-0.0659233517749029</v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995548</v>
      </c>
      <c r="D432" s="42" t="n">
        <v>997333</v>
      </c>
      <c r="E432" s="42" t="n">
        <v>994405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0.00401181963956154</v>
      </c>
      <c r="I432" s="45" t="n">
        <f aca="false">IF(AND(ISNUMBER($G432),$G432&gt;=MA_SHORT),AVERAGE(INDEX($C$32:$C432,402-MA_SHORT):$C432),"")</f>
        <v>1008018.35</v>
      </c>
      <c r="J432" s="45" t="n">
        <f aca="false">IF(AND(ISNUMBER($G432),$G432&gt;=MA_MED),AVERAGE(INDEX($C$32:$C432,402-MA_MED):$C432),"")</f>
        <v>1026918.48</v>
      </c>
      <c r="K432" s="45" t="n">
        <f aca="false">IF(AND(ISNUMBER($G432),$G432&gt;=MA_LONG2),AVERAGE(INDEX($C$32:$C432,402-MA_LONG2):$C432),"")</f>
        <v>944104.27</v>
      </c>
      <c r="L432" s="46" t="n">
        <f aca="false">IF(AND(ISNUMBER($G432),$G432&gt;=21),STDEV(INDEX($H$372:$H432,62-20):$H432)*SQRT(245),"")</f>
        <v>0.154695515238432</v>
      </c>
      <c r="M432" s="45" t="n">
        <f aca="false">IF(AND(ISNUMBER($G432),$G432&gt;=60),MAX(INDEX($D$232:$D432,202-60):$D432),"")</f>
        <v>1061551</v>
      </c>
      <c r="N432" s="45" t="n">
        <f aca="false">IF(AND(ISNUMBER($G432),$G432&gt;=60),MIN(INDEX($E$232:$E432,202-60):$E432),"")</f>
        <v>983273</v>
      </c>
      <c r="O432" s="46" t="n">
        <f aca="false">IF(OR(NOT(ISNUMBER($C432)),NOT(ISNUMBER($M432)),$M432=0),"",$C432/$M432-1)</f>
        <v>-0.0621760047326977</v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996090</v>
      </c>
      <c r="D433" s="42" t="n">
        <v>1000536</v>
      </c>
      <c r="E433" s="42" t="n">
        <v>991227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0.000544423774644809</v>
      </c>
      <c r="I433" s="45" t="n">
        <f aca="false">IF(AND(ISNUMBER($G433),$G433&gt;=MA_SHORT),AVERAGE(INDEX($C$33:$C433,402-MA_SHORT):$C433),"")</f>
        <v>1008055.3</v>
      </c>
      <c r="J433" s="45" t="n">
        <f aca="false">IF(AND(ISNUMBER($G433),$G433&gt;=MA_MED),AVERAGE(INDEX($C$33:$C433,402-MA_MED):$C433),"")</f>
        <v>1026037.38</v>
      </c>
      <c r="K433" s="45" t="n">
        <f aca="false">IF(AND(ISNUMBER($G433),$G433&gt;=MA_LONG2),AVERAGE(INDEX($C$33:$C433,402-MA_LONG2):$C433),"")</f>
        <v>944887.63</v>
      </c>
      <c r="L433" s="46" t="n">
        <f aca="false">IF(AND(ISNUMBER($G433),$G433&gt;=21),STDEV(INDEX($H$373:$H433,62-20):$H433)*SQRT(245),"")</f>
        <v>0.154398943360678</v>
      </c>
      <c r="M433" s="45" t="n">
        <f aca="false">IF(AND(ISNUMBER($G433),$G433&gt;=60),MAX(INDEX($D$233:$D433,202-60):$D433),"")</f>
        <v>1061551</v>
      </c>
      <c r="N433" s="45" t="n">
        <f aca="false">IF(AND(ISNUMBER($G433),$G433&gt;=60),MIN(INDEX($E$233:$E433,202-60):$E433),"")</f>
        <v>983273</v>
      </c>
      <c r="O433" s="46" t="n">
        <f aca="false">IF(OR(NOT(ISNUMBER($C433)),NOT(ISNUMBER($M433)),$M433=0),"",$C433/$M433-1)</f>
        <v>-0.061665431053242</v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997058</v>
      </c>
      <c r="D434" s="42" t="n">
        <v>1000834</v>
      </c>
      <c r="E434" s="42" t="n">
        <v>994623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0.00097179973697159</v>
      </c>
      <c r="I434" s="45" t="n">
        <f aca="false">IF(AND(ISNUMBER($G434),$G434&gt;=MA_SHORT),AVERAGE(INDEX($C$34:$C434,402-MA_SHORT):$C434),"")</f>
        <v>1007853.15</v>
      </c>
      <c r="J434" s="45" t="n">
        <f aca="false">IF(AND(ISNUMBER($G434),$G434&gt;=MA_MED),AVERAGE(INDEX($C$34:$C434,402-MA_MED):$C434),"")</f>
        <v>1025178.32</v>
      </c>
      <c r="K434" s="45" t="n">
        <f aca="false">IF(AND(ISNUMBER($G434),$G434&gt;=MA_LONG2),AVERAGE(INDEX($C$34:$C434,402-MA_LONG2):$C434),"")</f>
        <v>945651.13</v>
      </c>
      <c r="L434" s="46" t="n">
        <f aca="false">IF(AND(ISNUMBER($G434),$G434&gt;=21),STDEV(INDEX($H$374:$H434,62-20):$H434)*SQRT(245),"")</f>
        <v>0.153024251207445</v>
      </c>
      <c r="M434" s="45" t="n">
        <f aca="false">IF(AND(ISNUMBER($G434),$G434&gt;=60),MAX(INDEX($D$234:$D434,202-60):$D434),"")</f>
        <v>1061551</v>
      </c>
      <c r="N434" s="45" t="n">
        <f aca="false">IF(AND(ISNUMBER($G434),$G434&gt;=60),MIN(INDEX($E$234:$E434,202-60):$E434),"")</f>
        <v>983273</v>
      </c>
      <c r="O434" s="46" t="n">
        <f aca="false">IF(OR(NOT(ISNUMBER($C434)),NOT(ISNUMBER($M434)),$M434=0),"",$C434/$M434-1)</f>
        <v>-0.0607535577659482</v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993875</v>
      </c>
      <c r="D435" s="42" t="n">
        <v>995809</v>
      </c>
      <c r="E435" s="42" t="n">
        <v>993305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-0.00319239201731492</v>
      </c>
      <c r="I435" s="45" t="n">
        <f aca="false">IF(AND(ISNUMBER($G435),$G435&gt;=MA_SHORT),AVERAGE(INDEX($C$35:$C435,402-MA_SHORT):$C435),"")</f>
        <v>1007155.35</v>
      </c>
      <c r="J435" s="45" t="n">
        <f aca="false">IF(AND(ISNUMBER($G435),$G435&gt;=MA_MED),AVERAGE(INDEX($C$35:$C435,402-MA_MED):$C435),"")</f>
        <v>1024147.42</v>
      </c>
      <c r="K435" s="45" t="n">
        <f aca="false">IF(AND(ISNUMBER($G435),$G435&gt;=MA_LONG2),AVERAGE(INDEX($C$35:$C435,402-MA_LONG2):$C435),"")</f>
        <v>946381.195</v>
      </c>
      <c r="L435" s="46" t="n">
        <f aca="false">IF(AND(ISNUMBER($G435),$G435&gt;=21),STDEV(INDEX($H$375:$H435,62-20):$H435)*SQRT(245),"")</f>
        <v>0.15120107953431</v>
      </c>
      <c r="M435" s="45" t="n">
        <f aca="false">IF(AND(ISNUMBER($G435),$G435&gt;=60),MAX(INDEX($D$235:$D435,202-60):$D435),"")</f>
        <v>1061551</v>
      </c>
      <c r="N435" s="45" t="n">
        <f aca="false">IF(AND(ISNUMBER($G435),$G435&gt;=60),MIN(INDEX($E$235:$E435,202-60):$E435),"")</f>
        <v>983273</v>
      </c>
      <c r="O435" s="46" t="n">
        <f aca="false">IF(OR(NOT(ISNUMBER($C435)),NOT(ISNUMBER($M435)),$M435=0),"",$C435/$M435-1)</f>
        <v>-0.0637520006104275</v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997339</v>
      </c>
      <c r="D436" s="42" t="n">
        <v>998245</v>
      </c>
      <c r="E436" s="42" t="n">
        <v>995620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0.00348534775499942</v>
      </c>
      <c r="I436" s="45" t="n">
        <f aca="false">IF(AND(ISNUMBER($G436),$G436&gt;=MA_SHORT),AVERAGE(INDEX($C$36:$C436,402-MA_SHORT):$C436),"")</f>
        <v>1006139.6</v>
      </c>
      <c r="J436" s="45" t="n">
        <f aca="false">IF(AND(ISNUMBER($G436),$G436&gt;=MA_MED),AVERAGE(INDEX($C$36:$C436,402-MA_MED):$C436),"")</f>
        <v>1023120.38</v>
      </c>
      <c r="K436" s="45" t="n">
        <f aca="false">IF(AND(ISNUMBER($G436),$G436&gt;=MA_LONG2),AVERAGE(INDEX($C$36:$C436,402-MA_LONG2):$C436),"")</f>
        <v>947131.525</v>
      </c>
      <c r="L436" s="46" t="n">
        <f aca="false">IF(AND(ISNUMBER($G436),$G436&gt;=21),STDEV(INDEX($H$376:$H436,62-20):$H436)*SQRT(245),"")</f>
        <v>0.147183193209871</v>
      </c>
      <c r="M436" s="45" t="n">
        <f aca="false">IF(AND(ISNUMBER($G436),$G436&gt;=60),MAX(INDEX($D$236:$D436,202-60):$D436),"")</f>
        <v>1061551</v>
      </c>
      <c r="N436" s="45" t="n">
        <f aca="false">IF(AND(ISNUMBER($G436),$G436&gt;=60),MIN(INDEX($E$236:$E436,202-60):$E436),"")</f>
        <v>983273</v>
      </c>
      <c r="O436" s="46" t="n">
        <f aca="false">IF(OR(NOT(ISNUMBER($C436)),NOT(ISNUMBER($M436)),$M436=0),"",$C436/$M436-1)</f>
        <v>-0.0604888507476324</v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999287</v>
      </c>
      <c r="D437" s="42" t="n">
        <v>999771</v>
      </c>
      <c r="E437" s="42" t="n">
        <v>996624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0.00195319745843681</v>
      </c>
      <c r="I437" s="45" t="n">
        <f aca="false">IF(AND(ISNUMBER($G437),$G437&gt;=MA_SHORT),AVERAGE(INDEX($C$37:$C437,402-MA_SHORT):$C437),"")</f>
        <v>1005504.9</v>
      </c>
      <c r="J437" s="45" t="n">
        <f aca="false">IF(AND(ISNUMBER($G437),$G437&gt;=MA_MED),AVERAGE(INDEX($C$37:$C437,402-MA_MED):$C437),"")</f>
        <v>1022276.38</v>
      </c>
      <c r="K437" s="45" t="n">
        <f aca="false">IF(AND(ISNUMBER($G437),$G437&gt;=MA_LONG2),AVERAGE(INDEX($C$37:$C437,402-MA_LONG2):$C437),"")</f>
        <v>947876.14</v>
      </c>
      <c r="L437" s="46" t="n">
        <f aca="false">IF(AND(ISNUMBER($G437),$G437&gt;=21),STDEV(INDEX($H$377:$H437,62-20):$H437)*SQRT(245),"")</f>
        <v>0.146499733502562</v>
      </c>
      <c r="M437" s="45" t="n">
        <f aca="false">IF(AND(ISNUMBER($G437),$G437&gt;=60),MAX(INDEX($D$237:$D437,202-60):$D437),"")</f>
        <v>1061551</v>
      </c>
      <c r="N437" s="45" t="n">
        <f aca="false">IF(AND(ISNUMBER($G437),$G437&gt;=60),MIN(INDEX($E$237:$E437,202-60):$E437),"")</f>
        <v>983273</v>
      </c>
      <c r="O437" s="46" t="n">
        <f aca="false">IF(OR(NOT(ISNUMBER($C437)),NOT(ISNUMBER($M437)),$M437=0),"",$C437/$M437-1)</f>
        <v>-0.0586537999587397</v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997115</v>
      </c>
      <c r="D438" s="42" t="n">
        <v>998940</v>
      </c>
      <c r="E438" s="42" t="n">
        <v>992557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-0.00217354974096529</v>
      </c>
      <c r="I438" s="45" t="n">
        <f aca="false">IF(AND(ISNUMBER($G438),$G438&gt;=MA_SHORT),AVERAGE(INDEX($C$38:$C438,402-MA_SHORT):$C438),"")</f>
        <v>1004694.2</v>
      </c>
      <c r="J438" s="45" t="n">
        <f aca="false">IF(AND(ISNUMBER($G438),$G438&gt;=MA_MED),AVERAGE(INDEX($C$38:$C438,402-MA_MED):$C438),"")</f>
        <v>1021372.24</v>
      </c>
      <c r="K438" s="45" t="n">
        <f aca="false">IF(AND(ISNUMBER($G438),$G438&gt;=MA_LONG2),AVERAGE(INDEX($C$38:$C438,402-MA_LONG2):$C438),"")</f>
        <v>948622.63</v>
      </c>
      <c r="L438" s="46" t="n">
        <f aca="false">IF(AND(ISNUMBER($G438),$G438&gt;=21),STDEV(INDEX($H$378:$H438,62-20):$H438)*SQRT(245),"")</f>
        <v>0.146420882851582</v>
      </c>
      <c r="M438" s="45" t="n">
        <f aca="false">IF(AND(ISNUMBER($G438),$G438&gt;=60),MAX(INDEX($D$238:$D438,202-60):$D438),"")</f>
        <v>1061551</v>
      </c>
      <c r="N438" s="45" t="n">
        <f aca="false">IF(AND(ISNUMBER($G438),$G438&gt;=60),MIN(INDEX($E$238:$E438,202-60):$E438),"")</f>
        <v>983273</v>
      </c>
      <c r="O438" s="46" t="n">
        <f aca="false">IF(OR(NOT(ISNUMBER($C438)),NOT(ISNUMBER($M438)),$M438=0),"",$C438/$M438-1)</f>
        <v>-0.060699862747998</v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999772</v>
      </c>
      <c r="D439" s="42" t="n">
        <v>1000333</v>
      </c>
      <c r="E439" s="42" t="n">
        <v>995233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0.00266468762379457</v>
      </c>
      <c r="I439" s="45" t="n">
        <f aca="false">IF(AND(ISNUMBER($G439),$G439&gt;=MA_SHORT),AVERAGE(INDEX($C$39:$C439,402-MA_SHORT):$C439),"")</f>
        <v>1003508.2</v>
      </c>
      <c r="J439" s="45" t="n">
        <f aca="false">IF(AND(ISNUMBER($G439),$G439&gt;=MA_MED),AVERAGE(INDEX($C$39:$C439,402-MA_MED):$C439),"")</f>
        <v>1020460.6</v>
      </c>
      <c r="K439" s="45" t="n">
        <f aca="false">IF(AND(ISNUMBER($G439),$G439&gt;=MA_LONG2),AVERAGE(INDEX($C$39:$C439,402-MA_LONG2):$C439),"")</f>
        <v>949381.59</v>
      </c>
      <c r="L439" s="46" t="n">
        <f aca="false">IF(AND(ISNUMBER($G439),$G439&gt;=21),STDEV(INDEX($H$379:$H439,62-20):$H439)*SQRT(245),"")</f>
        <v>0.141610513851243</v>
      </c>
      <c r="M439" s="45" t="n">
        <f aca="false">IF(AND(ISNUMBER($G439),$G439&gt;=60),MAX(INDEX($D$239:$D439,202-60):$D439),"")</f>
        <v>1061551</v>
      </c>
      <c r="N439" s="45" t="n">
        <f aca="false">IF(AND(ISNUMBER($G439),$G439&gt;=60),MIN(INDEX($E$239:$E439,202-60):$E439),"")</f>
        <v>983273</v>
      </c>
      <c r="O439" s="46" t="n">
        <f aca="false">IF(OR(NOT(ISNUMBER($C439)),NOT(ISNUMBER($M439)),$M439=0),"",$C439/$M439-1)</f>
        <v>-0.058196921297234</v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954091</v>
      </c>
      <c r="D440" s="42" t="n">
        <v>959759</v>
      </c>
      <c r="E440" s="42" t="n">
        <v>953077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-0.0456914176432227</v>
      </c>
      <c r="I440" s="45" t="n">
        <f aca="false">IF(AND(ISNUMBER($G440),$G440&gt;=MA_SHORT),AVERAGE(INDEX($C$40:$C440,402-MA_SHORT):$C440),"")</f>
        <v>1000048.4</v>
      </c>
      <c r="J440" s="45" t="n">
        <f aca="false">IF(AND(ISNUMBER($G440),$G440&gt;=MA_MED),AVERAGE(INDEX($C$40:$C440,402-MA_MED):$C440),"")</f>
        <v>1018677.98</v>
      </c>
      <c r="K440" s="45" t="n">
        <f aca="false">IF(AND(ISNUMBER($G440),$G440&gt;=MA_LONG2),AVERAGE(INDEX($C$40:$C440,402-MA_LONG2):$C440),"")</f>
        <v>949924.635</v>
      </c>
      <c r="L440" s="46" t="n">
        <f aca="false">IF(AND(ISNUMBER($G440),$G440&gt;=21),STDEV(INDEX($H$380:$H440,62-20):$H440)*SQRT(245),"")</f>
        <v>0.210501818639431</v>
      </c>
      <c r="M440" s="45" t="n">
        <f aca="false">IF(AND(ISNUMBER($G440),$G440&gt;=60),MAX(INDEX($D$240:$D440,202-60):$D440),"")</f>
        <v>1061551</v>
      </c>
      <c r="N440" s="45" t="n">
        <f aca="false">IF(AND(ISNUMBER($G440),$G440&gt;=60),MIN(INDEX($E$240:$E440,202-60):$E440),"")</f>
        <v>953077</v>
      </c>
      <c r="O440" s="46" t="n">
        <f aca="false">IF(OR(NOT(ISNUMBER($C440)),NOT(ISNUMBER($M440)),$M440=0),"",$C440/$M440-1)</f>
        <v>-0.101229239103915</v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950728</v>
      </c>
      <c r="D441" s="42" t="n">
        <v>953169</v>
      </c>
      <c r="E441" s="42" t="n">
        <v>948600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-0.00352482100763973</v>
      </c>
      <c r="I441" s="45" t="n">
        <f aca="false">IF(AND(ISNUMBER($G441),$G441&gt;=MA_SHORT),AVERAGE(INDEX($C$41:$C441,402-MA_SHORT):$C441),"")</f>
        <v>996727.95</v>
      </c>
      <c r="J441" s="45" t="n">
        <f aca="false">IF(AND(ISNUMBER($G441),$G441&gt;=MA_MED),AVERAGE(INDEX($C$41:$C441,402-MA_MED):$C441),"")</f>
        <v>1016876.16</v>
      </c>
      <c r="K441" s="45" t="n">
        <f aca="false">IF(AND(ISNUMBER($G441),$G441&gt;=MA_LONG2),AVERAGE(INDEX($C$41:$C441,402-MA_LONG2):$C441),"")</f>
        <v>950475.22</v>
      </c>
      <c r="L441" s="46" t="n">
        <f aca="false">IF(AND(ISNUMBER($G441),$G441&gt;=21),STDEV(INDEX($H$381:$H441,62-20):$H441)*SQRT(245),"")</f>
        <v>0.2102850874852</v>
      </c>
      <c r="M441" s="45" t="n">
        <f aca="false">IF(AND(ISNUMBER($G441),$G441&gt;=60),MAX(INDEX($D$241:$D441,202-60):$D441),"")</f>
        <v>1061551</v>
      </c>
      <c r="N441" s="45" t="n">
        <f aca="false">IF(AND(ISNUMBER($G441),$G441&gt;=60),MIN(INDEX($E$241:$E441,202-60):$E441),"")</f>
        <v>948600</v>
      </c>
      <c r="O441" s="46" t="n">
        <f aca="false">IF(OR(NOT(ISNUMBER($C441)),NOT(ISNUMBER($M441)),$M441=0),"",$C441/$M441-1)</f>
        <v>-0.104397245162974</v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948915</v>
      </c>
      <c r="D442" s="42" t="n">
        <v>949814</v>
      </c>
      <c r="E442" s="42" t="n">
        <v>946783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-0.00190695971928878</v>
      </c>
      <c r="I442" s="45" t="n">
        <f aca="false">IF(AND(ISNUMBER($G442),$G442&gt;=MA_SHORT),AVERAGE(INDEX($C$42:$C442,402-MA_SHORT):$C442),"")</f>
        <v>992931.35</v>
      </c>
      <c r="J442" s="45" t="n">
        <f aca="false">IF(AND(ISNUMBER($G442),$G442&gt;=MA_MED),AVERAGE(INDEX($C$42:$C442,402-MA_MED):$C442),"")</f>
        <v>1014877.44</v>
      </c>
      <c r="K442" s="45" t="n">
        <f aca="false">IF(AND(ISNUMBER($G442),$G442&gt;=MA_LONG2),AVERAGE(INDEX($C$42:$C442,402-MA_LONG2):$C442),"")</f>
        <v>951022.415</v>
      </c>
      <c r="L442" s="46" t="n">
        <f aca="false">IF(AND(ISNUMBER($G442),$G442&gt;=21),STDEV(INDEX($H$382:$H442,62-20):$H442)*SQRT(245),"")</f>
        <v>0.20655431225588</v>
      </c>
      <c r="M442" s="45" t="n">
        <f aca="false">IF(AND(ISNUMBER($G442),$G442&gt;=60),MAX(INDEX($D$242:$D442,202-60):$D442),"")</f>
        <v>1061551</v>
      </c>
      <c r="N442" s="45" t="n">
        <f aca="false">IF(AND(ISNUMBER($G442),$G442&gt;=60),MIN(INDEX($E$242:$E442,202-60):$E442),"")</f>
        <v>946783</v>
      </c>
      <c r="O442" s="46" t="n">
        <f aca="false">IF(OR(NOT(ISNUMBER($C442)),NOT(ISNUMBER($M442)),$M442=0),"",$C442/$M442-1)</f>
        <v>-0.106105123540932</v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952117</v>
      </c>
      <c r="D443" s="42" t="n">
        <v>955308</v>
      </c>
      <c r="E443" s="42" t="n">
        <v>950035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0.00337438021319092</v>
      </c>
      <c r="I443" s="45" t="n">
        <f aca="false">IF(AND(ISNUMBER($G443),$G443&gt;=MA_SHORT),AVERAGE(INDEX($C$43:$C443,402-MA_SHORT):$C443),"")</f>
        <v>988987.4</v>
      </c>
      <c r="J443" s="45" t="n">
        <f aca="false">IF(AND(ISNUMBER($G443),$G443&gt;=MA_MED),AVERAGE(INDEX($C$43:$C443,402-MA_MED):$C443),"")</f>
        <v>1012844.24</v>
      </c>
      <c r="K443" s="45" t="n">
        <f aca="false">IF(AND(ISNUMBER($G443),$G443&gt;=MA_LONG2),AVERAGE(INDEX($C$43:$C443,402-MA_LONG2):$C443),"")</f>
        <v>951585.025</v>
      </c>
      <c r="L443" s="46" t="n">
        <f aca="false">IF(AND(ISNUMBER($G443),$G443&gt;=21),STDEV(INDEX($H$383:$H443,62-20):$H443)*SQRT(245),"")</f>
        <v>0.205154800194173</v>
      </c>
      <c r="M443" s="45" t="n">
        <f aca="false">IF(AND(ISNUMBER($G443),$G443&gt;=60),MAX(INDEX($D$243:$D443,202-60):$D443),"")</f>
        <v>1061551</v>
      </c>
      <c r="N443" s="45" t="n">
        <f aca="false">IF(AND(ISNUMBER($G443),$G443&gt;=60),MIN(INDEX($E$243:$E443,202-60):$E443),"")</f>
        <v>946783</v>
      </c>
      <c r="O443" s="46" t="n">
        <f aca="false">IF(OR(NOT(ISNUMBER($C443)),NOT(ISNUMBER($M443)),$M443=0),"",$C443/$M443-1)</f>
        <v>-0.103088782357136</v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957031</v>
      </c>
      <c r="D444" s="42" t="n">
        <v>958243</v>
      </c>
      <c r="E444" s="42" t="n">
        <v>954344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0.00516113040729249</v>
      </c>
      <c r="I444" s="45" t="n">
        <f aca="false">IF(AND(ISNUMBER($G444),$G444&gt;=MA_SHORT),AVERAGE(INDEX($C$44:$C444,402-MA_SHORT):$C444),"")</f>
        <v>985612.5</v>
      </c>
      <c r="J444" s="45" t="n">
        <f aca="false">IF(AND(ISNUMBER($G444),$G444&gt;=MA_MED),AVERAGE(INDEX($C$44:$C444,402-MA_MED):$C444),"")</f>
        <v>1010975.64</v>
      </c>
      <c r="K444" s="45" t="n">
        <f aca="false">IF(AND(ISNUMBER($G444),$G444&gt;=MA_LONG2),AVERAGE(INDEX($C$44:$C444,402-MA_LONG2):$C444),"")</f>
        <v>952147.265</v>
      </c>
      <c r="L444" s="46" t="n">
        <f aca="false">IF(AND(ISNUMBER($G444),$G444&gt;=21),STDEV(INDEX($H$384:$H444,62-20):$H444)*SQRT(245),"")</f>
        <v>0.207332583481778</v>
      </c>
      <c r="M444" s="45" t="n">
        <f aca="false">IF(AND(ISNUMBER($G444),$G444&gt;=60),MAX(INDEX($D$244:$D444,202-60):$D444),"")</f>
        <v>1061551</v>
      </c>
      <c r="N444" s="45" t="n">
        <f aca="false">IF(AND(ISNUMBER($G444),$G444&gt;=60),MIN(INDEX($E$244:$E444,202-60):$E444),"")</f>
        <v>946783</v>
      </c>
      <c r="O444" s="46" t="n">
        <f aca="false">IF(OR(NOT(ISNUMBER($C444)),NOT(ISNUMBER($M444)),$M444=0),"",$C444/$M444-1)</f>
        <v>-0.0984597065991177</v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957089</v>
      </c>
      <c r="D445" s="42" t="n">
        <v>959041</v>
      </c>
      <c r="E445" s="42" t="n">
        <v>954341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6.0604097464001E-005</v>
      </c>
      <c r="I445" s="45" t="n">
        <f aca="false">IF(AND(ISNUMBER($G445),$G445&gt;=MA_SHORT),AVERAGE(INDEX($C$45:$C445,402-MA_SHORT):$C445),"")</f>
        <v>982037.5</v>
      </c>
      <c r="J445" s="45" t="n">
        <f aca="false">IF(AND(ISNUMBER($G445),$G445&gt;=MA_MED),AVERAGE(INDEX($C$45:$C445,402-MA_MED):$C445),"")</f>
        <v>1009112.6</v>
      </c>
      <c r="K445" s="45" t="n">
        <f aca="false">IF(AND(ISNUMBER($G445),$G445&gt;=MA_LONG2),AVERAGE(INDEX($C$45:$C445,402-MA_LONG2):$C445),"")</f>
        <v>952725.42</v>
      </c>
      <c r="L445" s="46" t="n">
        <f aca="false">IF(AND(ISNUMBER($G445),$G445&gt;=21),STDEV(INDEX($H$385:$H445,62-20):$H445)*SQRT(245),"")</f>
        <v>0.206011631986102</v>
      </c>
      <c r="M445" s="45" t="n">
        <f aca="false">IF(AND(ISNUMBER($G445),$G445&gt;=60),MAX(INDEX($D$245:$D445,202-60):$D445),"")</f>
        <v>1061551</v>
      </c>
      <c r="N445" s="45" t="n">
        <f aca="false">IF(AND(ISNUMBER($G445),$G445&gt;=60),MIN(INDEX($E$245:$E445,202-60):$E445),"")</f>
        <v>946783</v>
      </c>
      <c r="O445" s="46" t="n">
        <f aca="false">IF(OR(NOT(ISNUMBER($C445)),NOT(ISNUMBER($M445)),$M445=0),"",$C445/$M445-1)</f>
        <v>-0.0984050695633087</v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945646</v>
      </c>
      <c r="D446" s="42" t="n">
        <v>948042</v>
      </c>
      <c r="E446" s="42" t="n">
        <v>942912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-0.0119560458849699</v>
      </c>
      <c r="I446" s="45" t="n">
        <f aca="false">IF(AND(ISNUMBER($G446),$G446&gt;=MA_SHORT),AVERAGE(INDEX($C$46:$C446,402-MA_SHORT):$C446),"")</f>
        <v>979741.65</v>
      </c>
      <c r="J446" s="45" t="n">
        <f aca="false">IF(AND(ISNUMBER($G446),$G446&gt;=MA_MED),AVERAGE(INDEX($C$46:$C446,402-MA_MED):$C446),"")</f>
        <v>1007048.74</v>
      </c>
      <c r="K446" s="45" t="n">
        <f aca="false">IF(AND(ISNUMBER($G446),$G446&gt;=MA_LONG2),AVERAGE(INDEX($C$46:$C446,402-MA_LONG2):$C446),"")</f>
        <v>953246.39</v>
      </c>
      <c r="L446" s="46" t="n">
        <f aca="false">IF(AND(ISNUMBER($G446),$G446&gt;=21),STDEV(INDEX($H$386:$H446,62-20):$H446)*SQRT(245),"")</f>
        <v>0.171405480418388</v>
      </c>
      <c r="M446" s="45" t="n">
        <f aca="false">IF(AND(ISNUMBER($G446),$G446&gt;=60),MAX(INDEX($D$246:$D446,202-60):$D446),"")</f>
        <v>1061551</v>
      </c>
      <c r="N446" s="45" t="n">
        <f aca="false">IF(AND(ISNUMBER($G446),$G446&gt;=60),MIN(INDEX($E$246:$E446,202-60):$E446),"")</f>
        <v>942912</v>
      </c>
      <c r="O446" s="46" t="n">
        <f aca="false">IF(OR(NOT(ISNUMBER($C446)),NOT(ISNUMBER($M446)),$M446=0),"",$C446/$M446-1)</f>
        <v>-0.109184579921266</v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946273</v>
      </c>
      <c r="D447" s="42" t="n">
        <v>949319</v>
      </c>
      <c r="E447" s="42" t="n">
        <v>943655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0.000663038811563821</v>
      </c>
      <c r="I447" s="45" t="n">
        <f aca="false">IF(AND(ISNUMBER($G447),$G447&gt;=MA_SHORT),AVERAGE(INDEX($C$47:$C447,402-MA_SHORT):$C447),"")</f>
        <v>977683.8</v>
      </c>
      <c r="J447" s="45" t="n">
        <f aca="false">IF(AND(ISNUMBER($G447),$G447&gt;=MA_MED),AVERAGE(INDEX($C$47:$C447,402-MA_MED):$C447),"")</f>
        <v>1004923.5</v>
      </c>
      <c r="K447" s="45" t="n">
        <f aca="false">IF(AND(ISNUMBER($G447),$G447&gt;=MA_LONG2),AVERAGE(INDEX($C$47:$C447,402-MA_LONG2):$C447),"")</f>
        <v>953775.79</v>
      </c>
      <c r="L447" s="46" t="n">
        <f aca="false">IF(AND(ISNUMBER($G447),$G447&gt;=21),STDEV(INDEX($H$387:$H447,62-20):$H447)*SQRT(245),"")</f>
        <v>0.171563894846956</v>
      </c>
      <c r="M447" s="45" t="n">
        <f aca="false">IF(AND(ISNUMBER($G447),$G447&gt;=60),MAX(INDEX($D$247:$D447,202-60):$D447),"")</f>
        <v>1061551</v>
      </c>
      <c r="N447" s="45" t="n">
        <f aca="false">IF(AND(ISNUMBER($G447),$G447&gt;=60),MIN(INDEX($E$247:$E447,202-60):$E447),"")</f>
        <v>942912</v>
      </c>
      <c r="O447" s="46" t="n">
        <f aca="false">IF(OR(NOT(ISNUMBER($C447)),NOT(ISNUMBER($M447)),$M447=0),"",$C447/$M447-1)</f>
        <v>-0.108593934723815</v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954573</v>
      </c>
      <c r="D448" s="42" t="n">
        <v>956193</v>
      </c>
      <c r="E448" s="42" t="n">
        <v>951134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0.00877125311617255</v>
      </c>
      <c r="I448" s="45" t="n">
        <f aca="false">IF(AND(ISNUMBER($G448),$G448&gt;=MA_SHORT),AVERAGE(INDEX($C$48:$C448,402-MA_SHORT):$C448),"")</f>
        <v>975999.95</v>
      </c>
      <c r="J448" s="45" t="n">
        <f aca="false">IF(AND(ISNUMBER($G448),$G448&gt;=MA_MED),AVERAGE(INDEX($C$48:$C448,402-MA_MED):$C448),"")</f>
        <v>1002923.5</v>
      </c>
      <c r="K448" s="45" t="n">
        <f aca="false">IF(AND(ISNUMBER($G448),$G448&gt;=MA_LONG2),AVERAGE(INDEX($C$48:$C448,402-MA_LONG2):$C448),"")</f>
        <v>954355.55</v>
      </c>
      <c r="L448" s="46" t="n">
        <f aca="false">IF(AND(ISNUMBER($G448),$G448&gt;=21),STDEV(INDEX($H$388:$H448,62-20):$H448)*SQRT(245),"")</f>
        <v>0.175499719011623</v>
      </c>
      <c r="M448" s="45" t="n">
        <f aca="false">IF(AND(ISNUMBER($G448),$G448&gt;=60),MAX(INDEX($D$248:$D448,202-60):$D448),"")</f>
        <v>1061551</v>
      </c>
      <c r="N448" s="45" t="n">
        <f aca="false">IF(AND(ISNUMBER($G448),$G448&gt;=60),MIN(INDEX($E$248:$E448,202-60):$E448),"")</f>
        <v>942912</v>
      </c>
      <c r="O448" s="46" t="n">
        <f aca="false">IF(OR(NOT(ISNUMBER($C448)),NOT(ISNUMBER($M448)),$M448=0),"",$C448/$M448-1)</f>
        <v>-0.100775186495986</v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952538</v>
      </c>
      <c r="D449" s="42" t="n">
        <v>955375</v>
      </c>
      <c r="E449" s="42" t="n">
        <v>950732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-0.00213184324299975</v>
      </c>
      <c r="I449" s="45" t="n">
        <f aca="false">IF(AND(ISNUMBER($G449),$G449&gt;=MA_SHORT),AVERAGE(INDEX($C$49:$C449,402-MA_SHORT):$C449),"")</f>
        <v>974050.55</v>
      </c>
      <c r="J449" s="45" t="n">
        <f aca="false">IF(AND(ISNUMBER($G449),$G449&gt;=MA_MED),AVERAGE(INDEX($C$49:$C449,402-MA_MED):$C449),"")</f>
        <v>1000854.86</v>
      </c>
      <c r="K449" s="45" t="n">
        <f aca="false">IF(AND(ISNUMBER($G449),$G449&gt;=MA_LONG2),AVERAGE(INDEX($C$49:$C449,402-MA_LONG2):$C449),"")</f>
        <v>954925.48</v>
      </c>
      <c r="L449" s="46" t="n">
        <f aca="false">IF(AND(ISNUMBER($G449),$G449&gt;=21),STDEV(INDEX($H$389:$H449,62-20):$H449)*SQRT(245),"")</f>
        <v>0.174537186954211</v>
      </c>
      <c r="M449" s="45" t="n">
        <f aca="false">IF(AND(ISNUMBER($G449),$G449&gt;=60),MAX(INDEX($D$249:$D449,202-60):$D449),"")</f>
        <v>1061551</v>
      </c>
      <c r="N449" s="45" t="n">
        <f aca="false">IF(AND(ISNUMBER($G449),$G449&gt;=60),MIN(INDEX($E$249:$E449,202-60):$E449),"")</f>
        <v>942912</v>
      </c>
      <c r="O449" s="46" t="n">
        <f aca="false">IF(OR(NOT(ISNUMBER($C449)),NOT(ISNUMBER($M449)),$M449=0),"",$C449/$M449-1)</f>
        <v>-0.102692192838592</v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948034</v>
      </c>
      <c r="D450" s="42" t="n">
        <v>949820</v>
      </c>
      <c r="E450" s="42" t="n">
        <v>947695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-0.00472842028349529</v>
      </c>
      <c r="I450" s="45" t="n">
        <f aca="false">IF(AND(ISNUMBER($G450),$G450&gt;=MA_SHORT),AVERAGE(INDEX($C$50:$C450,402-MA_SHORT):$C450),"")</f>
        <v>971734.45</v>
      </c>
      <c r="J450" s="45" t="n">
        <f aca="false">IF(AND(ISNUMBER($G450),$G450&gt;=MA_MED),AVERAGE(INDEX($C$50:$C450,402-MA_MED):$C450),"")</f>
        <v>998759.8</v>
      </c>
      <c r="K450" s="45" t="n">
        <f aca="false">IF(AND(ISNUMBER($G450),$G450&gt;=MA_LONG2),AVERAGE(INDEX($C$50:$C450,402-MA_LONG2):$C450),"")</f>
        <v>955450.385</v>
      </c>
      <c r="L450" s="46" t="n">
        <f aca="false">IF(AND(ISNUMBER($G450),$G450&gt;=21),STDEV(INDEX($H$390:$H450,62-20):$H450)*SQRT(245),"")</f>
        <v>0.173866123615943</v>
      </c>
      <c r="M450" s="45" t="n">
        <f aca="false">IF(AND(ISNUMBER($G450),$G450&gt;=60),MAX(INDEX($D$250:$D450,202-60):$D450),"")</f>
        <v>1061551</v>
      </c>
      <c r="N450" s="45" t="n">
        <f aca="false">IF(AND(ISNUMBER($G450),$G450&gt;=60),MIN(INDEX($E$250:$E450,202-60):$E450),"")</f>
        <v>942912</v>
      </c>
      <c r="O450" s="46" t="n">
        <f aca="false">IF(OR(NOT(ISNUMBER($C450)),NOT(ISNUMBER($M450)),$M450=0),"",$C450/$M450-1)</f>
        <v>-0.106935041274512</v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944196</v>
      </c>
      <c r="D451" s="42" t="n">
        <v>948801</v>
      </c>
      <c r="E451" s="42" t="n">
        <v>942962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-0.00404837801175906</v>
      </c>
      <c r="I451" s="45" t="n">
        <f aca="false">IF(AND(ISNUMBER($G451),$G451&gt;=MA_SHORT),AVERAGE(INDEX($C$51:$C451,402-MA_SHORT):$C451),"")</f>
        <v>969365.75</v>
      </c>
      <c r="J451" s="45" t="n">
        <f aca="false">IF(AND(ISNUMBER($G451),$G451&gt;=MA_MED),AVERAGE(INDEX($C$51:$C451,402-MA_MED):$C451),"")</f>
        <v>996561.66</v>
      </c>
      <c r="K451" s="45" t="n">
        <f aca="false">IF(AND(ISNUMBER($G451),$G451&gt;=MA_LONG2),AVERAGE(INDEX($C$51:$C451,402-MA_LONG2):$C451),"")</f>
        <v>955935.71</v>
      </c>
      <c r="L451" s="46" t="n">
        <f aca="false">IF(AND(ISNUMBER($G451),$G451&gt;=21),STDEV(INDEX($H$391:$H451,62-20):$H451)*SQRT(245),"")</f>
        <v>0.1739651709125</v>
      </c>
      <c r="M451" s="45" t="n">
        <f aca="false">IF(AND(ISNUMBER($G451),$G451&gt;=60),MAX(INDEX($D$251:$D451,202-60):$D451),"")</f>
        <v>1061551</v>
      </c>
      <c r="N451" s="45" t="n">
        <f aca="false">IF(AND(ISNUMBER($G451),$G451&gt;=60),MIN(INDEX($E$251:$E451,202-60):$E451),"")</f>
        <v>942912</v>
      </c>
      <c r="O451" s="46" t="n">
        <f aca="false">IF(OR(NOT(ISNUMBER($C451)),NOT(ISNUMBER($M451)),$M451=0),"",$C451/$M451-1)</f>
        <v>-0.110550505816489</v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945084</v>
      </c>
      <c r="D452" s="42" t="n">
        <v>949547</v>
      </c>
      <c r="E452" s="42" t="n">
        <v>945043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0.000940482696389244</v>
      </c>
      <c r="I452" s="45" t="n">
        <f aca="false">IF(AND(ISNUMBER($G452),$G452&gt;=MA_SHORT),AVERAGE(INDEX($C$52:$C452,402-MA_SHORT):$C452),"")</f>
        <v>966842.55</v>
      </c>
      <c r="J452" s="45" t="n">
        <f aca="false">IF(AND(ISNUMBER($G452),$G452&gt;=MA_MED),AVERAGE(INDEX($C$52:$C452,402-MA_MED):$C452),"")</f>
        <v>994365.68</v>
      </c>
      <c r="K452" s="45" t="n">
        <f aca="false">IF(AND(ISNUMBER($G452),$G452&gt;=MA_LONG2),AVERAGE(INDEX($C$52:$C452,402-MA_LONG2):$C452),"")</f>
        <v>956420.515</v>
      </c>
      <c r="L452" s="46" t="n">
        <f aca="false">IF(AND(ISNUMBER($G452),$G452&gt;=21),STDEV(INDEX($H$392:$H452,62-20):$H452)*SQRT(245),"")</f>
        <v>0.172837458528518</v>
      </c>
      <c r="M452" s="45" t="n">
        <f aca="false">IF(AND(ISNUMBER($G452),$G452&gt;=60),MAX(INDEX($D$252:$D452,202-60):$D452),"")</f>
        <v>1061551</v>
      </c>
      <c r="N452" s="45" t="n">
        <f aca="false">IF(AND(ISNUMBER($G452),$G452&gt;=60),MIN(INDEX($E$252:$E452,202-60):$E452),"")</f>
        <v>942912</v>
      </c>
      <c r="O452" s="46" t="n">
        <f aca="false">IF(OR(NOT(ISNUMBER($C452)),NOT(ISNUMBER($M452)),$M452=0),"",$C452/$M452-1)</f>
        <v>-0.109713993957898</v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943848</v>
      </c>
      <c r="D453" s="42" t="n">
        <v>944542</v>
      </c>
      <c r="E453" s="42" t="n">
        <v>943173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-0.00130782025724696</v>
      </c>
      <c r="I453" s="45" t="n">
        <f aca="false">IF(AND(ISNUMBER($G453),$G453&gt;=MA_SHORT),AVERAGE(INDEX($C$53:$C453,402-MA_SHORT):$C453),"")</f>
        <v>964230.45</v>
      </c>
      <c r="J453" s="45" t="n">
        <f aca="false">IF(AND(ISNUMBER($G453),$G453&gt;=MA_MED),AVERAGE(INDEX($C$53:$C453,402-MA_MED):$C453),"")</f>
        <v>992289.56</v>
      </c>
      <c r="K453" s="45" t="n">
        <f aca="false">IF(AND(ISNUMBER($G453),$G453&gt;=MA_LONG2),AVERAGE(INDEX($C$53:$C453,402-MA_LONG2):$C453),"")</f>
        <v>956905.855</v>
      </c>
      <c r="L453" s="46" t="n">
        <f aca="false">IF(AND(ISNUMBER($G453),$G453&gt;=21),STDEV(INDEX($H$393:$H453,62-20):$H453)*SQRT(245),"")</f>
        <v>0.172532790228413</v>
      </c>
      <c r="M453" s="45" t="n">
        <f aca="false">IF(AND(ISNUMBER($G453),$G453&gt;=60),MAX(INDEX($D$253:$D453,202-60):$D453),"")</f>
        <v>1061551</v>
      </c>
      <c r="N453" s="45" t="n">
        <f aca="false">IF(AND(ISNUMBER($G453),$G453&gt;=60),MIN(INDEX($E$253:$E453,202-60):$E453),"")</f>
        <v>942912</v>
      </c>
      <c r="O453" s="46" t="n">
        <f aca="false">IF(OR(NOT(ISNUMBER($C453)),NOT(ISNUMBER($M453)),$M453=0),"",$C453/$M453-1)</f>
        <v>-0.110878328031343</v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941779</v>
      </c>
      <c r="D454" s="42" t="n">
        <v>942896</v>
      </c>
      <c r="E454" s="42" t="n">
        <v>941157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-0.00219209025182021</v>
      </c>
      <c r="I454" s="45" t="n">
        <f aca="false">IF(AND(ISNUMBER($G454),$G454&gt;=MA_SHORT),AVERAGE(INDEX($C$54:$C454,402-MA_SHORT):$C454),"")</f>
        <v>961466.5</v>
      </c>
      <c r="J454" s="45" t="n">
        <f aca="false">IF(AND(ISNUMBER($G454),$G454&gt;=MA_MED),AVERAGE(INDEX($C$54:$C454,402-MA_MED):$C454),"")</f>
        <v>990191.58</v>
      </c>
      <c r="K454" s="45" t="n">
        <f aca="false">IF(AND(ISNUMBER($G454),$G454&gt;=MA_LONG2),AVERAGE(INDEX($C$54:$C454,402-MA_LONG2):$C454),"")</f>
        <v>957384.335</v>
      </c>
      <c r="L454" s="46" t="n">
        <f aca="false">IF(AND(ISNUMBER($G454),$G454&gt;=21),STDEV(INDEX($H$394:$H454,62-20):$H454)*SQRT(245),"")</f>
        <v>0.172035564455501</v>
      </c>
      <c r="M454" s="45" t="n">
        <f aca="false">IF(AND(ISNUMBER($G454),$G454&gt;=60),MAX(INDEX($D$254:$D454,202-60):$D454),"")</f>
        <v>1061551</v>
      </c>
      <c r="N454" s="45" t="n">
        <f aca="false">IF(AND(ISNUMBER($G454),$G454&gt;=60),MIN(INDEX($E$254:$E454,202-60):$E454),"")</f>
        <v>941157</v>
      </c>
      <c r="O454" s="46" t="n">
        <f aca="false">IF(OR(NOT(ISNUMBER($C454)),NOT(ISNUMBER($M454)),$M454=0),"",$C454/$M454-1)</f>
        <v>-0.112827362981147</v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939069</v>
      </c>
      <c r="D455" s="42" t="n">
        <v>939651</v>
      </c>
      <c r="E455" s="42" t="n">
        <v>935208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-0.00287753283944536</v>
      </c>
      <c r="I455" s="45" t="n">
        <f aca="false">IF(AND(ISNUMBER($G455),$G455&gt;=MA_SHORT),AVERAGE(INDEX($C$55:$C455,402-MA_SHORT):$C455),"")</f>
        <v>958726.2</v>
      </c>
      <c r="J455" s="45" t="n">
        <f aca="false">IF(AND(ISNUMBER($G455),$G455&gt;=MA_MED),AVERAGE(INDEX($C$55:$C455,402-MA_MED):$C455),"")</f>
        <v>987877.9</v>
      </c>
      <c r="K455" s="45" t="n">
        <f aca="false">IF(AND(ISNUMBER($G455),$G455&gt;=MA_LONG2),AVERAGE(INDEX($C$55:$C455,402-MA_LONG2):$C455),"")</f>
        <v>957679.18</v>
      </c>
      <c r="L455" s="46" t="n">
        <f aca="false">IF(AND(ISNUMBER($G455),$G455&gt;=21),STDEV(INDEX($H$395:$H455,62-20):$H455)*SQRT(245),"")</f>
        <v>0.172029573437001</v>
      </c>
      <c r="M455" s="45" t="n">
        <f aca="false">IF(AND(ISNUMBER($G455),$G455&gt;=60),MAX(INDEX($D$255:$D455,202-60):$D455),"")</f>
        <v>1061551</v>
      </c>
      <c r="N455" s="45" t="n">
        <f aca="false">IF(AND(ISNUMBER($G455),$G455&gt;=60),MIN(INDEX($E$255:$E455,202-60):$E455),"")</f>
        <v>935208</v>
      </c>
      <c r="O455" s="46" t="n">
        <f aca="false">IF(OR(NOT(ISNUMBER($C455)),NOT(ISNUMBER($M455)),$M455=0),"",$C455/$M455-1)</f>
        <v>-0.115380231378426</v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942496</v>
      </c>
      <c r="D456" s="42" t="n">
        <v>942922</v>
      </c>
      <c r="E456" s="42" t="n">
        <v>937635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0.0036493590992781</v>
      </c>
      <c r="I456" s="45" t="n">
        <f aca="false">IF(AND(ISNUMBER($G456),$G456&gt;=MA_SHORT),AVERAGE(INDEX($C$56:$C456,402-MA_SHORT):$C456),"")</f>
        <v>955984.05</v>
      </c>
      <c r="J456" s="45" t="n">
        <f aca="false">IF(AND(ISNUMBER($G456),$G456&gt;=MA_MED),AVERAGE(INDEX($C$56:$C456,402-MA_MED):$C456),"")</f>
        <v>985736.7</v>
      </c>
      <c r="K456" s="45" t="n">
        <f aca="false">IF(AND(ISNUMBER($G456),$G456&gt;=MA_LONG2),AVERAGE(INDEX($C$56:$C456,402-MA_LONG2):$C456),"")</f>
        <v>957965.54</v>
      </c>
      <c r="L456" s="46" t="n">
        <f aca="false">IF(AND(ISNUMBER($G456),$G456&gt;=21),STDEV(INDEX($H$396:$H456,62-20):$H456)*SQRT(245),"")</f>
        <v>0.172107454843141</v>
      </c>
      <c r="M456" s="45" t="n">
        <f aca="false">IF(AND(ISNUMBER($G456),$G456&gt;=60),MAX(INDEX($D$256:$D456,202-60):$D456),"")</f>
        <v>1061551</v>
      </c>
      <c r="N456" s="45" t="n">
        <f aca="false">IF(AND(ISNUMBER($G456),$G456&gt;=60),MIN(INDEX($E$256:$E456,202-60):$E456),"")</f>
        <v>935208</v>
      </c>
      <c r="O456" s="46" t="n">
        <f aca="false">IF(OR(NOT(ISNUMBER($C456)),NOT(ISNUMBER($M456)),$M456=0),"",$C456/$M456-1)</f>
        <v>-0.112151936176406</v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938989</v>
      </c>
      <c r="D457" s="42" t="n">
        <v>940429</v>
      </c>
      <c r="E457" s="42" t="n">
        <v>935966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-0.00372097069907984</v>
      </c>
      <c r="I457" s="45" t="n">
        <f aca="false">IF(AND(ISNUMBER($G457),$G457&gt;=MA_SHORT),AVERAGE(INDEX($C$57:$C457,402-MA_SHORT):$C457),"")</f>
        <v>952969.15</v>
      </c>
      <c r="J457" s="45" t="n">
        <f aca="false">IF(AND(ISNUMBER($G457),$G457&gt;=MA_MED),AVERAGE(INDEX($C$57:$C457,402-MA_MED):$C457),"")</f>
        <v>983588.52</v>
      </c>
      <c r="K457" s="45" t="n">
        <f aca="false">IF(AND(ISNUMBER($G457),$G457&gt;=MA_LONG2),AVERAGE(INDEX($C$57:$C457,402-MA_LONG2):$C457),"")</f>
        <v>958256.15</v>
      </c>
      <c r="L457" s="46" t="n">
        <f aca="false">IF(AND(ISNUMBER($G457),$G457&gt;=21),STDEV(INDEX($H$397:$H457,62-20):$H457)*SQRT(245),"")</f>
        <v>0.171245268560153</v>
      </c>
      <c r="M457" s="45" t="n">
        <f aca="false">IF(AND(ISNUMBER($G457),$G457&gt;=60),MAX(INDEX($D$257:$D457,202-60):$D457),"")</f>
        <v>1061551</v>
      </c>
      <c r="N457" s="45" t="n">
        <f aca="false">IF(AND(ISNUMBER($G457),$G457&gt;=60),MIN(INDEX($E$257:$E457,202-60):$E457),"")</f>
        <v>935208</v>
      </c>
      <c r="O457" s="46" t="n">
        <f aca="false">IF(OR(NOT(ISNUMBER($C457)),NOT(ISNUMBER($M457)),$M457=0),"",$C457/$M457-1)</f>
        <v>-0.115455592807128</v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944090</v>
      </c>
      <c r="D458" s="42" t="n">
        <v>946633</v>
      </c>
      <c r="E458" s="42" t="n">
        <v>942601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0.00543243850566944</v>
      </c>
      <c r="I458" s="45" t="n">
        <f aca="false">IF(AND(ISNUMBER($G458),$G458&gt;=MA_SHORT),AVERAGE(INDEX($C$58:$C458,402-MA_SHORT):$C458),"")</f>
        <v>950317.9</v>
      </c>
      <c r="J458" s="45" t="n">
        <f aca="false">IF(AND(ISNUMBER($G458),$G458&gt;=MA_MED),AVERAGE(INDEX($C$58:$C458,402-MA_MED):$C458),"")</f>
        <v>982367.98</v>
      </c>
      <c r="K458" s="45" t="n">
        <f aca="false">IF(AND(ISNUMBER($G458),$G458&gt;=MA_LONG2),AVERAGE(INDEX($C$58:$C458,402-MA_LONG2):$C458),"")</f>
        <v>958535.075</v>
      </c>
      <c r="L458" s="46" t="n">
        <f aca="false">IF(AND(ISNUMBER($G458),$G458&gt;=21),STDEV(INDEX($H$398:$H458,62-20):$H458)*SQRT(245),"")</f>
        <v>0.173796694496884</v>
      </c>
      <c r="M458" s="45" t="n">
        <f aca="false">IF(AND(ISNUMBER($G458),$G458&gt;=60),MAX(INDEX($D$258:$D458,202-60):$D458),"")</f>
        <v>1061551</v>
      </c>
      <c r="N458" s="45" t="n">
        <f aca="false">IF(AND(ISNUMBER($G458),$G458&gt;=60),MIN(INDEX($E$258:$E458,202-60):$E458),"")</f>
        <v>935208</v>
      </c>
      <c r="O458" s="46" t="n">
        <f aca="false">IF(OR(NOT(ISNUMBER($C458)),NOT(ISNUMBER($M458)),$M458=0),"",$C458/$M458-1)</f>
        <v>-0.110650359709519</v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947376</v>
      </c>
      <c r="D459" s="42" t="n">
        <v>950365</v>
      </c>
      <c r="E459" s="42" t="n">
        <v>943213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0.00348060036649045</v>
      </c>
      <c r="I459" s="45" t="n">
        <f aca="false">IF(AND(ISNUMBER($G459),$G459&gt;=MA_SHORT),AVERAGE(INDEX($C$59:$C459,402-MA_SHORT):$C459),"")</f>
        <v>947698.1</v>
      </c>
      <c r="J459" s="45" t="n">
        <f aca="false">IF(AND(ISNUMBER($G459),$G459&gt;=MA_MED),AVERAGE(INDEX($C$59:$C459,402-MA_MED):$C459),"")</f>
        <v>981427.36</v>
      </c>
      <c r="K459" s="45" t="n">
        <f aca="false">IF(AND(ISNUMBER($G459),$G459&gt;=MA_LONG2),AVERAGE(INDEX($C$59:$C459,402-MA_LONG2):$C459),"")</f>
        <v>958784.12</v>
      </c>
      <c r="L459" s="46" t="n">
        <f aca="false">IF(AND(ISNUMBER($G459),$G459&gt;=21),STDEV(INDEX($H$399:$H459,62-20):$H459)*SQRT(245),"")</f>
        <v>0.174142658762063</v>
      </c>
      <c r="M459" s="45" t="n">
        <f aca="false">IF(AND(ISNUMBER($G459),$G459&gt;=60),MAX(INDEX($D$259:$D459,202-60):$D459),"")</f>
        <v>1060878</v>
      </c>
      <c r="N459" s="45" t="n">
        <f aca="false">IF(AND(ISNUMBER($G459),$G459&gt;=60),MIN(INDEX($E$259:$E459,202-60):$E459),"")</f>
        <v>935208</v>
      </c>
      <c r="O459" s="46" t="n">
        <f aca="false">IF(OR(NOT(ISNUMBER($C459)),NOT(ISNUMBER($M459)),$M459=0),"",$C459/$M459-1)</f>
        <v>-0.10698873951576</v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948232</v>
      </c>
      <c r="D460" s="42" t="n">
        <v>951771</v>
      </c>
      <c r="E460" s="42" t="n">
        <v>946621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0.000903548327168879</v>
      </c>
      <c r="I460" s="45" t="n">
        <f aca="false">IF(AND(ISNUMBER($G460),$G460&gt;=MA_SHORT),AVERAGE(INDEX($C$60:$C460,402-MA_SHORT):$C460),"")</f>
        <v>947405.15</v>
      </c>
      <c r="J460" s="45" t="n">
        <f aca="false">IF(AND(ISNUMBER($G460),$G460&gt;=MA_MED),AVERAGE(INDEX($C$60:$C460,402-MA_MED):$C460),"")</f>
        <v>980538.98</v>
      </c>
      <c r="K460" s="45" t="n">
        <f aca="false">IF(AND(ISNUMBER($G460),$G460&gt;=MA_LONG2),AVERAGE(INDEX($C$60:$C460,402-MA_LONG2):$C460),"")</f>
        <v>959038.675</v>
      </c>
      <c r="L460" s="46" t="n">
        <f aca="false">IF(AND(ISNUMBER($G460),$G460&gt;=21),STDEV(INDEX($H$400:$H460,62-20):$H460)*SQRT(245),"")</f>
        <v>0.0719273064555309</v>
      </c>
      <c r="M460" s="45" t="n">
        <f aca="false">IF(AND(ISNUMBER($G460),$G460&gt;=60),MAX(INDEX($D$260:$D460,202-60):$D460),"")</f>
        <v>1057481</v>
      </c>
      <c r="N460" s="45" t="n">
        <f aca="false">IF(AND(ISNUMBER($G460),$G460&gt;=60),MIN(INDEX($E$260:$E460,202-60):$E460),"")</f>
        <v>935208</v>
      </c>
      <c r="O460" s="46" t="n">
        <f aca="false">IF(OR(NOT(ISNUMBER($C460)),NOT(ISNUMBER($M460)),$M460=0),"",$C460/$M460-1)</f>
        <v>-0.103310603216512</v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948895</v>
      </c>
      <c r="D461" s="42" t="n">
        <v>949510</v>
      </c>
      <c r="E461" s="42" t="n">
        <v>947858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0.000699195977355682</v>
      </c>
      <c r="I461" s="45" t="n">
        <f aca="false">IF(AND(ISNUMBER($G461),$G461&gt;=MA_SHORT),AVERAGE(INDEX($C$61:$C461,402-MA_SHORT):$C461),"")</f>
        <v>947313.5</v>
      </c>
      <c r="J461" s="45" t="n">
        <f aca="false">IF(AND(ISNUMBER($G461),$G461&gt;=MA_MED),AVERAGE(INDEX($C$61:$C461,402-MA_MED):$C461),"")</f>
        <v>979801.12</v>
      </c>
      <c r="K461" s="45" t="n">
        <f aca="false">IF(AND(ISNUMBER($G461),$G461&gt;=MA_LONG2),AVERAGE(INDEX($C$61:$C461,402-MA_LONG2):$C461),"")</f>
        <v>959293.975</v>
      </c>
      <c r="L461" s="46" t="n">
        <f aca="false">IF(AND(ISNUMBER($G461),$G461&gt;=21),STDEV(INDEX($H$401:$H461,62-20):$H461)*SQRT(245),"")</f>
        <v>0.07099704836823</v>
      </c>
      <c r="M461" s="45" t="n">
        <f aca="false">IF(AND(ISNUMBER($G461),$G461&gt;=60),MAX(INDEX($D$261:$D461,202-60):$D461),"")</f>
        <v>1057481</v>
      </c>
      <c r="N461" s="45" t="n">
        <f aca="false">IF(AND(ISNUMBER($G461),$G461&gt;=60),MIN(INDEX($E$261:$E461,202-60):$E461),"")</f>
        <v>935208</v>
      </c>
      <c r="O461" s="46" t="n">
        <f aca="false">IF(OR(NOT(ISNUMBER($C461)),NOT(ISNUMBER($M461)),$M461=0),"",$C461/$M461-1)</f>
        <v>-0.102683641597343</v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948963</v>
      </c>
      <c r="D462" s="42" t="n">
        <v>949490</v>
      </c>
      <c r="E462" s="42" t="n">
        <v>948319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7.16623019407781E-005</v>
      </c>
      <c r="I462" s="45" t="n">
        <f aca="false">IF(AND(ISNUMBER($G462),$G462&gt;=MA_SHORT),AVERAGE(INDEX($C$62:$C462,402-MA_SHORT):$C462),"")</f>
        <v>947315.9</v>
      </c>
      <c r="J462" s="45" t="n">
        <f aca="false">IF(AND(ISNUMBER($G462),$G462&gt;=MA_MED),AVERAGE(INDEX($C$62:$C462,402-MA_MED):$C462),"")</f>
        <v>978819.1</v>
      </c>
      <c r="K462" s="45" t="n">
        <f aca="false">IF(AND(ISNUMBER($G462),$G462&gt;=MA_LONG2),AVERAGE(INDEX($C$62:$C462,402-MA_LONG2):$C462),"")</f>
        <v>959539.305</v>
      </c>
      <c r="L462" s="46" t="n">
        <f aca="false">IF(AND(ISNUMBER($G462),$G462&gt;=21),STDEV(INDEX($H$402:$H462,62-20):$H462)*SQRT(245),"")</f>
        <v>0.0706799512429592</v>
      </c>
      <c r="M462" s="45" t="n">
        <f aca="false">IF(AND(ISNUMBER($G462),$G462&gt;=60),MAX(INDEX($D$262:$D462,202-60):$D462),"")</f>
        <v>1055013</v>
      </c>
      <c r="N462" s="45" t="n">
        <f aca="false">IF(AND(ISNUMBER($G462),$G462&gt;=60),MIN(INDEX($E$262:$E462,202-60):$E462),"")</f>
        <v>935208</v>
      </c>
      <c r="O462" s="46" t="n">
        <f aca="false">IF(OR(NOT(ISNUMBER($C462)),NOT(ISNUMBER($M462)),$M462=0),"",$C462/$M462-1)</f>
        <v>-0.100520088378058</v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944871</v>
      </c>
      <c r="D463" s="42" t="n">
        <v>947626</v>
      </c>
      <c r="E463" s="42" t="n">
        <v>943907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-0.0043120753917697</v>
      </c>
      <c r="I463" s="45" t="n">
        <f aca="false">IF(AND(ISNUMBER($G463),$G463&gt;=MA_SHORT),AVERAGE(INDEX($C$63:$C463,402-MA_SHORT):$C463),"")</f>
        <v>946953.6</v>
      </c>
      <c r="J463" s="45" t="n">
        <f aca="false">IF(AND(ISNUMBER($G463),$G463&gt;=MA_MED),AVERAGE(INDEX($C$63:$C463,402-MA_MED):$C463),"")</f>
        <v>977809.5</v>
      </c>
      <c r="K463" s="45" t="n">
        <f aca="false">IF(AND(ISNUMBER($G463),$G463&gt;=MA_LONG2),AVERAGE(INDEX($C$63:$C463,402-MA_LONG2):$C463),"")</f>
        <v>959790.845</v>
      </c>
      <c r="L463" s="46" t="n">
        <f aca="false">IF(AND(ISNUMBER($G463),$G463&gt;=21),STDEV(INDEX($H$403:$H463,62-20):$H463)*SQRT(245),"")</f>
        <v>0.0710839446593397</v>
      </c>
      <c r="M463" s="45" t="n">
        <f aca="false">IF(AND(ISNUMBER($G463),$G463&gt;=60),MAX(INDEX($D$263:$D463,202-60):$D463),"")</f>
        <v>1055013</v>
      </c>
      <c r="N463" s="45" t="n">
        <f aca="false">IF(AND(ISNUMBER($G463),$G463&gt;=60),MIN(INDEX($E$263:$E463,202-60):$E463),"")</f>
        <v>935208</v>
      </c>
      <c r="O463" s="46" t="n">
        <f aca="false">IF(OR(NOT(ISNUMBER($C463)),NOT(ISNUMBER($M463)),$M463=0),"",$C463/$M463-1)</f>
        <v>-0.104398713570354</v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949171</v>
      </c>
      <c r="D464" s="42" t="n">
        <v>950227</v>
      </c>
      <c r="E464" s="42" t="n">
        <v>945342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0.00455088578229201</v>
      </c>
      <c r="I464" s="45" t="n">
        <f aca="false">IF(AND(ISNUMBER($G464),$G464&gt;=MA_SHORT),AVERAGE(INDEX($C$64:$C464,402-MA_SHORT):$C464),"")</f>
        <v>946560.6</v>
      </c>
      <c r="J464" s="45" t="n">
        <f aca="false">IF(AND(ISNUMBER($G464),$G464&gt;=MA_MED),AVERAGE(INDEX($C$64:$C464,402-MA_MED):$C464),"")</f>
        <v>976770.9</v>
      </c>
      <c r="K464" s="45" t="n">
        <f aca="false">IF(AND(ISNUMBER($G464),$G464&gt;=MA_LONG2),AVERAGE(INDEX($C$64:$C464,402-MA_LONG2):$C464),"")</f>
        <v>960058.195</v>
      </c>
      <c r="L464" s="46" t="n">
        <f aca="false">IF(AND(ISNUMBER($G464),$G464&gt;=21),STDEV(INDEX($H$404:$H464,62-20):$H464)*SQRT(245),"")</f>
        <v>0.070501119274193</v>
      </c>
      <c r="M464" s="45" t="n">
        <f aca="false">IF(AND(ISNUMBER($G464),$G464&gt;=60),MAX(INDEX($D$264:$D464,202-60):$D464),"")</f>
        <v>1055013</v>
      </c>
      <c r="N464" s="45" t="n">
        <f aca="false">IF(AND(ISNUMBER($G464),$G464&gt;=60),MIN(INDEX($E$264:$E464,202-60):$E464),"")</f>
        <v>935208</v>
      </c>
      <c r="O464" s="46" t="n">
        <f aca="false">IF(OR(NOT(ISNUMBER($C464)),NOT(ISNUMBER($M464)),$M464=0),"",$C464/$M464-1)</f>
        <v>-0.100322934409339</v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944617</v>
      </c>
      <c r="D465" s="42" t="n">
        <v>944794</v>
      </c>
      <c r="E465" s="42" t="n">
        <v>944369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-0.00479787098425888</v>
      </c>
      <c r="I465" s="45" t="n">
        <f aca="false">IF(AND(ISNUMBER($G465),$G465&gt;=MA_SHORT),AVERAGE(INDEX($C$65:$C465,402-MA_SHORT):$C465),"")</f>
        <v>945937</v>
      </c>
      <c r="J465" s="45" t="n">
        <f aca="false">IF(AND(ISNUMBER($G465),$G465&gt;=MA_MED),AVERAGE(INDEX($C$65:$C465,402-MA_MED):$C465),"")</f>
        <v>975506.62</v>
      </c>
      <c r="K465" s="45" t="n">
        <f aca="false">IF(AND(ISNUMBER($G465),$G465&gt;=MA_LONG2),AVERAGE(INDEX($C$65:$C465,402-MA_LONG2):$C465),"")</f>
        <v>960310.235</v>
      </c>
      <c r="L465" s="46" t="n">
        <f aca="false">IF(AND(ISNUMBER($G465),$G465&gt;=21),STDEV(INDEX($H$405:$H465,62-20):$H465)*SQRT(245),"")</f>
        <v>0.0721216151904145</v>
      </c>
      <c r="M465" s="45" t="n">
        <f aca="false">IF(AND(ISNUMBER($G465),$G465&gt;=60),MAX(INDEX($D$265:$D465,202-60):$D465),"")</f>
        <v>1054597</v>
      </c>
      <c r="N465" s="45" t="n">
        <f aca="false">IF(AND(ISNUMBER($G465),$G465&gt;=60),MIN(INDEX($E$265:$E465,202-60):$E465),"")</f>
        <v>935208</v>
      </c>
      <c r="O465" s="46" t="n">
        <f aca="false">IF(OR(NOT(ISNUMBER($C465)),NOT(ISNUMBER($M465)),$M465=0),"",$C465/$M465-1)</f>
        <v>-0.104286281868809</v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941717</v>
      </c>
      <c r="D466" s="42" t="n">
        <v>944396</v>
      </c>
      <c r="E466" s="42" t="n">
        <v>940939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-0.00307002732324313</v>
      </c>
      <c r="I466" s="45" t="n">
        <f aca="false">IF(AND(ISNUMBER($G466),$G466&gt;=MA_SHORT),AVERAGE(INDEX($C$66:$C466,402-MA_SHORT):$C466),"")</f>
        <v>945740.55</v>
      </c>
      <c r="J466" s="45" t="n">
        <f aca="false">IF(AND(ISNUMBER($G466),$G466&gt;=MA_MED),AVERAGE(INDEX($C$66:$C466,402-MA_MED):$C466),"")</f>
        <v>973987.88</v>
      </c>
      <c r="K466" s="45" t="n">
        <f aca="false">IF(AND(ISNUMBER($G466),$G466&gt;=MA_LONG2),AVERAGE(INDEX($C$66:$C466,402-MA_LONG2):$C466),"")</f>
        <v>960588.825</v>
      </c>
      <c r="L466" s="46" t="n">
        <f aca="false">IF(AND(ISNUMBER($G466),$G466&gt;=21),STDEV(INDEX($H$406:$H466,62-20):$H466)*SQRT(245),"")</f>
        <v>0.0598065268995586</v>
      </c>
      <c r="M466" s="45" t="n">
        <f aca="false">IF(AND(ISNUMBER($G466),$G466&gt;=60),MAX(INDEX($D$266:$D466,202-60):$D466),"")</f>
        <v>1048105</v>
      </c>
      <c r="N466" s="45" t="n">
        <f aca="false">IF(AND(ISNUMBER($G466),$G466&gt;=60),MIN(INDEX($E$266:$E466,202-60):$E466),"")</f>
        <v>935208</v>
      </c>
      <c r="O466" s="46" t="n">
        <f aca="false">IF(OR(NOT(ISNUMBER($C466)),NOT(ISNUMBER($M466)),$M466=0),"",$C466/$M466-1)</f>
        <v>-0.101505097294641</v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936105</v>
      </c>
      <c r="D467" s="42" t="n">
        <v>942084</v>
      </c>
      <c r="E467" s="42" t="n">
        <v>935422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-0.00595932748373451</v>
      </c>
      <c r="I467" s="45" t="n">
        <f aca="false">IF(AND(ISNUMBER($G467),$G467&gt;=MA_SHORT),AVERAGE(INDEX($C$67:$C467,402-MA_SHORT):$C467),"")</f>
        <v>945232.15</v>
      </c>
      <c r="J467" s="45" t="n">
        <f aca="false">IF(AND(ISNUMBER($G467),$G467&gt;=MA_MED),AVERAGE(INDEX($C$67:$C467,402-MA_MED):$C467),"")</f>
        <v>972470.36</v>
      </c>
      <c r="K467" s="45" t="n">
        <f aca="false">IF(AND(ISNUMBER($G467),$G467&gt;=MA_LONG2),AVERAGE(INDEX($C$67:$C467,402-MA_LONG2):$C467),"")</f>
        <v>960855.44</v>
      </c>
      <c r="L467" s="46" t="n">
        <f aca="false">IF(AND(ISNUMBER($G467),$G467&gt;=21),STDEV(INDEX($H$407:$H467,62-20):$H467)*SQRT(245),"")</f>
        <v>0.0629797392037107</v>
      </c>
      <c r="M467" s="45" t="n">
        <f aca="false">IF(AND(ISNUMBER($G467),$G467&gt;=60),MAX(INDEX($D$267:$D467,202-60):$D467),"")</f>
        <v>1033410</v>
      </c>
      <c r="N467" s="45" t="n">
        <f aca="false">IF(AND(ISNUMBER($G467),$G467&gt;=60),MIN(INDEX($E$267:$E467,202-60):$E467),"")</f>
        <v>935208</v>
      </c>
      <c r="O467" s="46" t="n">
        <f aca="false">IF(OR(NOT(ISNUMBER($C467)),NOT(ISNUMBER($M467)),$M467=0),"",$C467/$M467-1)</f>
        <v>-0.0941591430313234</v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941253</v>
      </c>
      <c r="D468" s="42" t="n">
        <v>941509</v>
      </c>
      <c r="E468" s="42" t="n">
        <v>936295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0.00549938308202602</v>
      </c>
      <c r="I468" s="45" t="n">
        <f aca="false">IF(AND(ISNUMBER($G468),$G468&gt;=MA_SHORT),AVERAGE(INDEX($C$68:$C468,402-MA_SHORT):$C468),"")</f>
        <v>944566.15</v>
      </c>
      <c r="J468" s="45" t="n">
        <f aca="false">IF(AND(ISNUMBER($G468),$G468&gt;=MA_MED),AVERAGE(INDEX($C$68:$C468,402-MA_MED):$C468),"")</f>
        <v>971028.84</v>
      </c>
      <c r="K468" s="45" t="n">
        <f aca="false">IF(AND(ISNUMBER($G468),$G468&gt;=MA_LONG2),AVERAGE(INDEX($C$68:$C468,402-MA_LONG2):$C468),"")</f>
        <v>961162.89</v>
      </c>
      <c r="L468" s="46" t="n">
        <f aca="false">IF(AND(ISNUMBER($G468),$G468&gt;=21),STDEV(INDEX($H$408:$H468,62-20):$H468)*SQRT(245),"")</f>
        <v>0.0575547522036604</v>
      </c>
      <c r="M468" s="45" t="n">
        <f aca="false">IF(AND(ISNUMBER($G468),$G468&gt;=60),MAX(INDEX($D$268:$D468,202-60):$D468),"")</f>
        <v>1033410</v>
      </c>
      <c r="N468" s="45" t="n">
        <f aca="false">IF(AND(ISNUMBER($G468),$G468&gt;=60),MIN(INDEX($E$268:$E468,202-60):$E468),"")</f>
        <v>935208</v>
      </c>
      <c r="O468" s="46" t="n">
        <f aca="false">IF(OR(NOT(ISNUMBER($C468)),NOT(ISNUMBER($M468)),$M468=0),"",$C468/$M468-1)</f>
        <v>-0.089177577147502</v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938153</v>
      </c>
      <c r="D469" s="42" t="n">
        <v>939431</v>
      </c>
      <c r="E469" s="42" t="n">
        <v>937055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-0.00329348219872871</v>
      </c>
      <c r="I469" s="45" t="n">
        <f aca="false">IF(AND(ISNUMBER($G469),$G469&gt;=MA_SHORT),AVERAGE(INDEX($C$69:$C469,402-MA_SHORT):$C469),"")</f>
        <v>943846.9</v>
      </c>
      <c r="J469" s="45" t="n">
        <f aca="false">IF(AND(ISNUMBER($G469),$G469&gt;=MA_MED),AVERAGE(INDEX($C$69:$C469,402-MA_MED):$C469),"")</f>
        <v>969322.06</v>
      </c>
      <c r="K469" s="45" t="n">
        <f aca="false">IF(AND(ISNUMBER($G469),$G469&gt;=MA_LONG2),AVERAGE(INDEX($C$69:$C469,402-MA_LONG2):$C469),"")</f>
        <v>961410.665</v>
      </c>
      <c r="L469" s="46" t="n">
        <f aca="false">IF(AND(ISNUMBER($G469),$G469&gt;=21),STDEV(INDEX($H$409:$H469,62-20):$H469)*SQRT(245),"")</f>
        <v>0.0580697561895135</v>
      </c>
      <c r="M469" s="45" t="n">
        <f aca="false">IF(AND(ISNUMBER($G469),$G469&gt;=60),MAX(INDEX($D$269:$D469,202-60):$D469),"")</f>
        <v>1033410</v>
      </c>
      <c r="N469" s="45" t="n">
        <f aca="false">IF(AND(ISNUMBER($G469),$G469&gt;=60),MIN(INDEX($E$269:$E469,202-60):$E469),"")</f>
        <v>935208</v>
      </c>
      <c r="O469" s="46" t="n">
        <f aca="false">IF(OR(NOT(ISNUMBER($C469)),NOT(ISNUMBER($M469)),$M469=0),"",$C469/$M469-1)</f>
        <v>-0.0921773545833696</v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939893</v>
      </c>
      <c r="D470" s="42" t="n">
        <v>941764</v>
      </c>
      <c r="E470" s="42" t="n">
        <v>935269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0.00185470813396105</v>
      </c>
      <c r="I470" s="45" t="n">
        <f aca="false">IF(AND(ISNUMBER($G470),$G470&gt;=MA_SHORT),AVERAGE(INDEX($C$70:$C470,402-MA_SHORT):$C470),"")</f>
        <v>943439.85</v>
      </c>
      <c r="J470" s="45" t="n">
        <f aca="false">IF(AND(ISNUMBER($G470),$G470&gt;=MA_MED),AVERAGE(INDEX($C$70:$C470,402-MA_MED):$C470),"")</f>
        <v>967654.18</v>
      </c>
      <c r="K470" s="45" t="n">
        <f aca="false">IF(AND(ISNUMBER($G470),$G470&gt;=MA_LONG2),AVERAGE(INDEX($C$70:$C470,402-MA_LONG2):$C470),"")</f>
        <v>961664.405</v>
      </c>
      <c r="L470" s="46" t="n">
        <f aca="false">IF(AND(ISNUMBER($G470),$G470&gt;=21),STDEV(INDEX($H$410:$H470,62-20):$H470)*SQRT(245),"")</f>
        <v>0.0568174867997019</v>
      </c>
      <c r="M470" s="45" t="n">
        <f aca="false">IF(AND(ISNUMBER($G470),$G470&gt;=60),MAX(INDEX($D$270:$D470,202-60):$D470),"")</f>
        <v>1033410</v>
      </c>
      <c r="N470" s="45" t="n">
        <f aca="false">IF(AND(ISNUMBER($G470),$G470&gt;=60),MIN(INDEX($E$270:$E470,202-60):$E470),"")</f>
        <v>935208</v>
      </c>
      <c r="O470" s="46" t="n">
        <f aca="false">IF(OR(NOT(ISNUMBER($C470)),NOT(ISNUMBER($M470)),$M470=0),"",$C470/$M470-1)</f>
        <v>-0.0904936085387214</v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942697</v>
      </c>
      <c r="D471" s="42" t="n">
        <v>947349</v>
      </c>
      <c r="E471" s="42" t="n">
        <v>939235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0.0029833183138932</v>
      </c>
      <c r="I471" s="45" t="n">
        <f aca="false">IF(AND(ISNUMBER($G471),$G471&gt;=MA_SHORT),AVERAGE(INDEX($C$71:$C471,402-MA_SHORT):$C471),"")</f>
        <v>943364.9</v>
      </c>
      <c r="J471" s="45" t="n">
        <f aca="false">IF(AND(ISNUMBER($G471),$G471&gt;=MA_MED),AVERAGE(INDEX($C$71:$C471,402-MA_MED):$C471),"")</f>
        <v>966165.38</v>
      </c>
      <c r="K471" s="45" t="n">
        <f aca="false">IF(AND(ISNUMBER($G471),$G471&gt;=MA_LONG2),AVERAGE(INDEX($C$71:$C471,402-MA_LONG2):$C471),"")</f>
        <v>961906.85</v>
      </c>
      <c r="L471" s="46" t="n">
        <f aca="false">IF(AND(ISNUMBER($G471),$G471&gt;=21),STDEV(INDEX($H$411:$H471,62-20):$H471)*SQRT(245),"")</f>
        <v>0.0563633188012481</v>
      </c>
      <c r="M471" s="45" t="n">
        <f aca="false">IF(AND(ISNUMBER($G471),$G471&gt;=60),MAX(INDEX($D$271:$D471,202-60):$D471),"")</f>
        <v>1033410</v>
      </c>
      <c r="N471" s="45" t="n">
        <f aca="false">IF(AND(ISNUMBER($G471),$G471&gt;=60),MIN(INDEX($E$271:$E471,202-60):$E471),"")</f>
        <v>935208</v>
      </c>
      <c r="O471" s="46" t="n">
        <f aca="false">IF(OR(NOT(ISNUMBER($C471)),NOT(ISNUMBER($M471)),$M471=0),"",$C471/$M471-1)</f>
        <v>-0.087780261464472</v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945313</v>
      </c>
      <c r="D472" s="42" t="n">
        <v>946587</v>
      </c>
      <c r="E472" s="42" t="n">
        <v>945169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0.00277501678694225</v>
      </c>
      <c r="I472" s="45" t="n">
        <f aca="false">IF(AND(ISNUMBER($G472),$G472&gt;=MA_SHORT),AVERAGE(INDEX($C$72:$C472,402-MA_SHORT):$C472),"")</f>
        <v>943376.35</v>
      </c>
      <c r="J472" s="45" t="n">
        <f aca="false">IF(AND(ISNUMBER($G472),$G472&gt;=MA_MED),AVERAGE(INDEX($C$72:$C472,402-MA_MED):$C472),"")</f>
        <v>964574.7</v>
      </c>
      <c r="K472" s="45" t="n">
        <f aca="false">IF(AND(ISNUMBER($G472),$G472&gt;=MA_LONG2),AVERAGE(INDEX($C$72:$C472,402-MA_LONG2):$C472),"")</f>
        <v>962184.955</v>
      </c>
      <c r="L472" s="46" t="n">
        <f aca="false">IF(AND(ISNUMBER($G472),$G472&gt;=21),STDEV(INDEX($H$412:$H472,62-20):$H472)*SQRT(245),"")</f>
        <v>0.057149051689164</v>
      </c>
      <c r="M472" s="45" t="n">
        <f aca="false">IF(AND(ISNUMBER($G472),$G472&gt;=60),MAX(INDEX($D$272:$D472,202-60):$D472),"")</f>
        <v>1033410</v>
      </c>
      <c r="N472" s="45" t="n">
        <f aca="false">IF(AND(ISNUMBER($G472),$G472&gt;=60),MIN(INDEX($E$272:$E472,202-60):$E472),"")</f>
        <v>935208</v>
      </c>
      <c r="O472" s="46" t="n">
        <f aca="false">IF(OR(NOT(ISNUMBER($C472)),NOT(ISNUMBER($M472)),$M472=0),"",$C472/$M472-1)</f>
        <v>-0.0852488363766559</v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947677</v>
      </c>
      <c r="D473" s="42" t="n">
        <v>952290</v>
      </c>
      <c r="E473" s="42" t="n">
        <v>942882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0.00250075900786295</v>
      </c>
      <c r="I473" s="45" t="n">
        <f aca="false">IF(AND(ISNUMBER($G473),$G473&gt;=MA_SHORT),AVERAGE(INDEX($C$73:$C473,402-MA_SHORT):$C473),"")</f>
        <v>943567.8</v>
      </c>
      <c r="J473" s="45" t="n">
        <f aca="false">IF(AND(ISNUMBER($G473),$G473&gt;=MA_MED),AVERAGE(INDEX($C$73:$C473,402-MA_MED):$C473),"")</f>
        <v>962908.32</v>
      </c>
      <c r="K473" s="45" t="n">
        <f aca="false">IF(AND(ISNUMBER($G473),$G473&gt;=MA_LONG2),AVERAGE(INDEX($C$73:$C473,402-MA_LONG2):$C473),"")</f>
        <v>962473.9</v>
      </c>
      <c r="L473" s="46" t="n">
        <f aca="false">IF(AND(ISNUMBER($G473),$G473&gt;=21),STDEV(INDEX($H$413:$H473,62-20):$H473)*SQRT(245),"")</f>
        <v>0.0575624548468732</v>
      </c>
      <c r="M473" s="45" t="n">
        <f aca="false">IF(AND(ISNUMBER($G473),$G473&gt;=60),MAX(INDEX($D$273:$D473,202-60):$D473),"")</f>
        <v>1033410</v>
      </c>
      <c r="N473" s="45" t="n">
        <f aca="false">IF(AND(ISNUMBER($G473),$G473&gt;=60),MIN(INDEX($E$273:$E473,202-60):$E473),"")</f>
        <v>935208</v>
      </c>
      <c r="O473" s="46" t="n">
        <f aca="false">IF(OR(NOT(ISNUMBER($C473)),NOT(ISNUMBER($M473)),$M473=0),"",$C473/$M473-1)</f>
        <v>-0.0829612641642716</v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946544</v>
      </c>
      <c r="D474" s="42" t="n">
        <v>949160</v>
      </c>
      <c r="E474" s="42" t="n">
        <v>944173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-0.00119555502560476</v>
      </c>
      <c r="I474" s="45" t="n">
        <f aca="false">IF(AND(ISNUMBER($G474),$G474&gt;=MA_SHORT),AVERAGE(INDEX($C$74:$C474,402-MA_SHORT):$C474),"")</f>
        <v>943806.05</v>
      </c>
      <c r="J474" s="45" t="n">
        <f aca="false">IF(AND(ISNUMBER($G474),$G474&gt;=MA_MED),AVERAGE(INDEX($C$74:$C474,402-MA_MED):$C474),"")</f>
        <v>961348.62</v>
      </c>
      <c r="K474" s="45" t="n">
        <f aca="false">IF(AND(ISNUMBER($G474),$G474&gt;=MA_LONG2),AVERAGE(INDEX($C$74:$C474,402-MA_LONG2):$C474),"")</f>
        <v>962752.8</v>
      </c>
      <c r="L474" s="46" t="n">
        <f aca="false">IF(AND(ISNUMBER($G474),$G474&gt;=21),STDEV(INDEX($H$414:$H474,62-20):$H474)*SQRT(245),"")</f>
        <v>0.0571305205414897</v>
      </c>
      <c r="M474" s="45" t="n">
        <f aca="false">IF(AND(ISNUMBER($G474),$G474&gt;=60),MAX(INDEX($D$274:$D474,202-60):$D474),"")</f>
        <v>1033410</v>
      </c>
      <c r="N474" s="45" t="n">
        <f aca="false">IF(AND(ISNUMBER($G474),$G474&gt;=60),MIN(INDEX($E$274:$E474,202-60):$E474),"")</f>
        <v>935208</v>
      </c>
      <c r="O474" s="46" t="n">
        <f aca="false">IF(OR(NOT(ISNUMBER($C474)),NOT(ISNUMBER($M474)),$M474=0),"",$C474/$M474-1)</f>
        <v>-0.0840576344335743</v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941332</v>
      </c>
      <c r="D475" s="42" t="n">
        <v>942860</v>
      </c>
      <c r="E475" s="42" t="n">
        <v>937753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-0.00550634730134048</v>
      </c>
      <c r="I475" s="45" t="n">
        <f aca="false">IF(AND(ISNUMBER($G475),$G475&gt;=MA_SHORT),AVERAGE(INDEX($C$75:$C475,402-MA_SHORT):$C475),"")</f>
        <v>943919.2</v>
      </c>
      <c r="J475" s="45" t="n">
        <f aca="false">IF(AND(ISNUMBER($G475),$G475&gt;=MA_MED),AVERAGE(INDEX($C$75:$C475,402-MA_MED):$C475),"")</f>
        <v>959603.48</v>
      </c>
      <c r="K475" s="45" t="n">
        <f aca="false">IF(AND(ISNUMBER($G475),$G475&gt;=MA_LONG2),AVERAGE(INDEX($C$75:$C475,402-MA_LONG2):$C475),"")</f>
        <v>963007.27</v>
      </c>
      <c r="L475" s="46" t="n">
        <f aca="false">IF(AND(ISNUMBER($G475),$G475&gt;=21),STDEV(INDEX($H$415:$H475,62-20):$H475)*SQRT(245),"")</f>
        <v>0.0596755844067544</v>
      </c>
      <c r="M475" s="45" t="n">
        <f aca="false">IF(AND(ISNUMBER($G475),$G475&gt;=60),MAX(INDEX($D$275:$D475,202-60):$D475),"")</f>
        <v>1033410</v>
      </c>
      <c r="N475" s="45" t="n">
        <f aca="false">IF(AND(ISNUMBER($G475),$G475&gt;=60),MIN(INDEX($E$275:$E475,202-60):$E475),"")</f>
        <v>935208</v>
      </c>
      <c r="O475" s="46" t="n">
        <f aca="false">IF(OR(NOT(ISNUMBER($C475)),NOT(ISNUMBER($M475)),$M475=0),"",$C475/$M475-1)</f>
        <v>-0.0891011312063944</v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939866</v>
      </c>
      <c r="D476" s="42" t="n">
        <v>942812</v>
      </c>
      <c r="E476" s="42" t="n">
        <v>938914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-0.0015573676449967</v>
      </c>
      <c r="I476" s="45" t="n">
        <f aca="false">IF(AND(ISNUMBER($G476),$G476&gt;=MA_SHORT),AVERAGE(INDEX($C$76:$C476,402-MA_SHORT):$C476),"")</f>
        <v>943787.7</v>
      </c>
      <c r="J476" s="45" t="n">
        <f aca="false">IF(AND(ISNUMBER($G476),$G476&gt;=MA_MED),AVERAGE(INDEX($C$76:$C476,402-MA_MED):$C476),"")</f>
        <v>958569.54</v>
      </c>
      <c r="K476" s="45" t="n">
        <f aca="false">IF(AND(ISNUMBER($G476),$G476&gt;=MA_LONG2),AVERAGE(INDEX($C$76:$C476,402-MA_LONG2):$C476),"")</f>
        <v>963220.205</v>
      </c>
      <c r="L476" s="46" t="n">
        <f aca="false">IF(AND(ISNUMBER($G476),$G476&gt;=21),STDEV(INDEX($H$416:$H476,62-20):$H476)*SQRT(245),"")</f>
        <v>0.0584835875074673</v>
      </c>
      <c r="M476" s="45" t="n">
        <f aca="false">IF(AND(ISNUMBER($G476),$G476&gt;=60),MAX(INDEX($D$276:$D476,202-60):$D476),"")</f>
        <v>1033410</v>
      </c>
      <c r="N476" s="45" t="n">
        <f aca="false">IF(AND(ISNUMBER($G476),$G476&gt;=60),MIN(INDEX($E$276:$E476,202-60):$E476),"")</f>
        <v>935208</v>
      </c>
      <c r="O476" s="46" t="n">
        <f aca="false">IF(OR(NOT(ISNUMBER($C476)),NOT(ISNUMBER($M476)),$M476=0),"",$C476/$M476-1)</f>
        <v>-0.0905197356325176</v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938184</v>
      </c>
      <c r="D477" s="42" t="n">
        <v>940656</v>
      </c>
      <c r="E477" s="42" t="n">
        <v>932787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-0.00178961681771661</v>
      </c>
      <c r="I477" s="45" t="n">
        <f aca="false">IF(AND(ISNUMBER($G477),$G477&gt;=MA_SHORT),AVERAGE(INDEX($C$77:$C477,402-MA_SHORT):$C477),"")</f>
        <v>943747.45</v>
      </c>
      <c r="J477" s="45" t="n">
        <f aca="false">IF(AND(ISNUMBER($G477),$G477&gt;=MA_MED),AVERAGE(INDEX($C$77:$C477,402-MA_MED):$C477),"")</f>
        <v>957584.62</v>
      </c>
      <c r="K477" s="45" t="n">
        <f aca="false">IF(AND(ISNUMBER($G477),$G477&gt;=MA_LONG2),AVERAGE(INDEX($C$77:$C477,402-MA_LONG2):$C477),"")</f>
        <v>963420</v>
      </c>
      <c r="L477" s="46" t="n">
        <f aca="false">IF(AND(ISNUMBER($G477),$G477&gt;=21),STDEV(INDEX($H$417:$H477,62-20):$H477)*SQRT(245),"")</f>
        <v>0.0573351203888552</v>
      </c>
      <c r="M477" s="45" t="n">
        <f aca="false">IF(AND(ISNUMBER($G477),$G477&gt;=60),MAX(INDEX($D$277:$D477,202-60):$D477),"")</f>
        <v>1033410</v>
      </c>
      <c r="N477" s="45" t="n">
        <f aca="false">IF(AND(ISNUMBER($G477),$G477&gt;=60),MIN(INDEX($E$277:$E477,202-60):$E477),"")</f>
        <v>932787</v>
      </c>
      <c r="O477" s="46" t="n">
        <f aca="false">IF(OR(NOT(ISNUMBER($C477)),NOT(ISNUMBER($M477)),$M477=0),"",$C477/$M477-1)</f>
        <v>-0.092147356809011</v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934945</v>
      </c>
      <c r="D478" s="42" t="n">
        <v>938884</v>
      </c>
      <c r="E478" s="42" t="n">
        <v>929825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-0.00345241445174938</v>
      </c>
      <c r="I478" s="45" t="n">
        <f aca="false">IF(AND(ISNUMBER($G478),$G478&gt;=MA_SHORT),AVERAGE(INDEX($C$78:$C478,402-MA_SHORT):$C478),"")</f>
        <v>943290.2</v>
      </c>
      <c r="J478" s="45" t="n">
        <f aca="false">IF(AND(ISNUMBER($G478),$G478&gt;=MA_MED),AVERAGE(INDEX($C$78:$C478,402-MA_MED):$C478),"")</f>
        <v>956518.52</v>
      </c>
      <c r="K478" s="45" t="n">
        <f aca="false">IF(AND(ISNUMBER($G478),$G478&gt;=MA_LONG2),AVERAGE(INDEX($C$78:$C478,402-MA_LONG2):$C478),"")</f>
        <v>963608.3</v>
      </c>
      <c r="L478" s="46" t="n">
        <f aca="false">IF(AND(ISNUMBER($G478),$G478&gt;=21),STDEV(INDEX($H$418:$H478,62-20):$H478)*SQRT(245),"")</f>
        <v>0.0547832804472539</v>
      </c>
      <c r="M478" s="45" t="n">
        <f aca="false">IF(AND(ISNUMBER($G478),$G478&gt;=60),MAX(INDEX($D$278:$D478,202-60):$D478),"")</f>
        <v>1033410</v>
      </c>
      <c r="N478" s="45" t="n">
        <f aca="false">IF(AND(ISNUMBER($G478),$G478&gt;=60),MIN(INDEX($E$278:$E478,202-60):$E478),"")</f>
        <v>929825</v>
      </c>
      <c r="O478" s="46" t="n">
        <f aca="false">IF(OR(NOT(ISNUMBER($C478)),NOT(ISNUMBER($M478)),$M478=0),"",$C478/$M478-1)</f>
        <v>-0.0952816403944223</v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933823</v>
      </c>
      <c r="D479" s="42" t="n">
        <v>939997</v>
      </c>
      <c r="E479" s="42" t="n">
        <v>933421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-0.0012000705923878</v>
      </c>
      <c r="I479" s="45" t="n">
        <f aca="false">IF(AND(ISNUMBER($G479),$G479&gt;=MA_SHORT),AVERAGE(INDEX($C$79:$C479,402-MA_SHORT):$C479),"")</f>
        <v>942612.55</v>
      </c>
      <c r="J479" s="45" t="n">
        <f aca="false">IF(AND(ISNUMBER($G479),$G479&gt;=MA_MED),AVERAGE(INDEX($C$79:$C479,402-MA_MED):$C479),"")</f>
        <v>955364.46</v>
      </c>
      <c r="K479" s="45" t="n">
        <f aca="false">IF(AND(ISNUMBER($G479),$G479&gt;=MA_LONG2),AVERAGE(INDEX($C$79:$C479,402-MA_LONG2):$C479),"")</f>
        <v>963799.19</v>
      </c>
      <c r="L479" s="46" t="n">
        <f aca="false">IF(AND(ISNUMBER($G479),$G479&gt;=21),STDEV(INDEX($H$419:$H479,62-20):$H479)*SQRT(245),"")</f>
        <v>0.0528337622054543</v>
      </c>
      <c r="M479" s="45" t="n">
        <f aca="false">IF(AND(ISNUMBER($G479),$G479&gt;=60),MAX(INDEX($D$279:$D479,202-60):$D479),"")</f>
        <v>1033410</v>
      </c>
      <c r="N479" s="45" t="n">
        <f aca="false">IF(AND(ISNUMBER($G479),$G479&gt;=60),MIN(INDEX($E$279:$E479,202-60):$E479),"")</f>
        <v>929825</v>
      </c>
      <c r="O479" s="46" t="n">
        <f aca="false">IF(OR(NOT(ISNUMBER($C479)),NOT(ISNUMBER($M479)),$M479=0),"",$C479/$M479-1)</f>
        <v>-0.0963673662921784</v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935453</v>
      </c>
      <c r="D480" s="42" t="n">
        <v>937327</v>
      </c>
      <c r="E480" s="42" t="n">
        <v>931783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0.00174551280060564</v>
      </c>
      <c r="I480" s="45" t="n">
        <f aca="false">IF(AND(ISNUMBER($G480),$G480&gt;=MA_SHORT),AVERAGE(INDEX($C$80:$C480,402-MA_SHORT):$C480),"")</f>
        <v>941973.6</v>
      </c>
      <c r="J480" s="45" t="n">
        <f aca="false">IF(AND(ISNUMBER($G480),$G480&gt;=MA_MED),AVERAGE(INDEX($C$80:$C480,402-MA_MED):$C480),"")</f>
        <v>954186.4</v>
      </c>
      <c r="K480" s="45" t="n">
        <f aca="false">IF(AND(ISNUMBER($G480),$G480&gt;=MA_LONG2),AVERAGE(INDEX($C$80:$C480,402-MA_LONG2):$C480),"")</f>
        <v>963983.265</v>
      </c>
      <c r="L480" s="46" t="n">
        <f aca="false">IF(AND(ISNUMBER($G480),$G480&gt;=21),STDEV(INDEX($H$420:$H480,62-20):$H480)*SQRT(245),"")</f>
        <v>0.0532468842288597</v>
      </c>
      <c r="M480" s="45" t="n">
        <f aca="false">IF(AND(ISNUMBER($G480),$G480&gt;=60),MAX(INDEX($D$280:$D480,202-60):$D480),"")</f>
        <v>1033410</v>
      </c>
      <c r="N480" s="45" t="n">
        <f aca="false">IF(AND(ISNUMBER($G480),$G480&gt;=60),MIN(INDEX($E$280:$E480,202-60):$E480),"")</f>
        <v>929825</v>
      </c>
      <c r="O480" s="46" t="n">
        <f aca="false">IF(OR(NOT(ISNUMBER($C480)),NOT(ISNUMBER($M480)),$M480=0),"",$C480/$M480-1)</f>
        <v>-0.0947900639629963</v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936196</v>
      </c>
      <c r="D481" s="42" t="n">
        <v>937726</v>
      </c>
      <c r="E481" s="42" t="n">
        <v>933584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0.000794267590140896</v>
      </c>
      <c r="I481" s="45" t="n">
        <f aca="false">IF(AND(ISNUMBER($G481),$G481&gt;=MA_SHORT),AVERAGE(INDEX($C$81:$C481,402-MA_SHORT):$C481),"")</f>
        <v>941338.65</v>
      </c>
      <c r="J481" s="45" t="n">
        <f aca="false">IF(AND(ISNUMBER($G481),$G481&gt;=MA_MED),AVERAGE(INDEX($C$81:$C481,402-MA_MED):$C481),"")</f>
        <v>953078.92</v>
      </c>
      <c r="K481" s="45" t="n">
        <f aca="false">IF(AND(ISNUMBER($G481),$G481&gt;=MA_LONG2),AVERAGE(INDEX($C$81:$C481,402-MA_LONG2):$C481),"")</f>
        <v>964181.905</v>
      </c>
      <c r="L481" s="46" t="n">
        <f aca="false">IF(AND(ISNUMBER($G481),$G481&gt;=21),STDEV(INDEX($H$421:$H481,62-20):$H481)*SQRT(245),"")</f>
        <v>0.0532794993100683</v>
      </c>
      <c r="M481" s="45" t="n">
        <f aca="false">IF(AND(ISNUMBER($G481),$G481&gt;=60),MAX(INDEX($D$281:$D481,202-60):$D481),"")</f>
        <v>1033410</v>
      </c>
      <c r="N481" s="45" t="n">
        <f aca="false">IF(AND(ISNUMBER($G481),$G481&gt;=60),MIN(INDEX($E$281:$E481,202-60):$E481),"")</f>
        <v>929825</v>
      </c>
      <c r="O481" s="46" t="n">
        <f aca="false">IF(OR(NOT(ISNUMBER($C481)),NOT(ISNUMBER($M481)),$M481=0),"",$C481/$M481-1)</f>
        <v>-0.0940710850485287</v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934084</v>
      </c>
      <c r="D482" s="42" t="n">
        <v>935368</v>
      </c>
      <c r="E482" s="42" t="n">
        <v>934015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-0.00225593785916622</v>
      </c>
      <c r="I482" s="45" t="n">
        <f aca="false">IF(AND(ISNUMBER($G482),$G482&gt;=MA_SHORT),AVERAGE(INDEX($C$82:$C482,402-MA_SHORT):$C482),"")</f>
        <v>940594.7</v>
      </c>
      <c r="J482" s="45" t="n">
        <f aca="false">IF(AND(ISNUMBER($G482),$G482&gt;=MA_MED),AVERAGE(INDEX($C$82:$C482,402-MA_MED):$C482),"")</f>
        <v>951849.64</v>
      </c>
      <c r="K482" s="45" t="n">
        <f aca="false">IF(AND(ISNUMBER($G482),$G482&gt;=MA_LONG2),AVERAGE(INDEX($C$82:$C482,402-MA_LONG2):$C482),"")</f>
        <v>964373.9</v>
      </c>
      <c r="L482" s="46" t="n">
        <f aca="false">IF(AND(ISNUMBER($G482),$G482&gt;=21),STDEV(INDEX($H$422:$H482,62-20):$H482)*SQRT(245),"")</f>
        <v>0.0534852884895244</v>
      </c>
      <c r="M482" s="45" t="n">
        <f aca="false">IF(AND(ISNUMBER($G482),$G482&gt;=60),MAX(INDEX($D$282:$D482,202-60):$D482),"")</f>
        <v>1033410</v>
      </c>
      <c r="N482" s="45" t="n">
        <f aca="false">IF(AND(ISNUMBER($G482),$G482&gt;=60),MIN(INDEX($E$282:$E482,202-60):$E482),"")</f>
        <v>929825</v>
      </c>
      <c r="O482" s="46" t="n">
        <f aca="false">IF(OR(NOT(ISNUMBER($C482)),NOT(ISNUMBER($M482)),$M482=0),"",$C482/$M482-1)</f>
        <v>-0.096114804385481</v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939029</v>
      </c>
      <c r="D483" s="42" t="n">
        <v>939444</v>
      </c>
      <c r="E483" s="42" t="n">
        <v>937268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0.00529395643218389</v>
      </c>
      <c r="I483" s="45" t="n">
        <f aca="false">IF(AND(ISNUMBER($G483),$G483&gt;=MA_SHORT),AVERAGE(INDEX($C$83:$C483,402-MA_SHORT):$C483),"")</f>
        <v>940302.6</v>
      </c>
      <c r="J483" s="45" t="n">
        <f aca="false">IF(AND(ISNUMBER($G483),$G483&gt;=MA_MED),AVERAGE(INDEX($C$83:$C483,402-MA_MED):$C483),"")</f>
        <v>950708.42</v>
      </c>
      <c r="K483" s="45" t="n">
        <f aca="false">IF(AND(ISNUMBER($G483),$G483&gt;=MA_LONG2),AVERAGE(INDEX($C$83:$C483,402-MA_LONG2):$C483),"")</f>
        <v>964602.525</v>
      </c>
      <c r="L483" s="46" t="n">
        <f aca="false">IF(AND(ISNUMBER($G483),$G483&gt;=21),STDEV(INDEX($H$423:$H483,62-20):$H483)*SQRT(245),"")</f>
        <v>0.0558310533452742</v>
      </c>
      <c r="M483" s="45" t="n">
        <f aca="false">IF(AND(ISNUMBER($G483),$G483&gt;=60),MAX(INDEX($D$283:$D483,202-60):$D483),"")</f>
        <v>1029716</v>
      </c>
      <c r="N483" s="45" t="n">
        <f aca="false">IF(AND(ISNUMBER($G483),$G483&gt;=60),MIN(INDEX($E$283:$E483,202-60):$E483),"")</f>
        <v>929825</v>
      </c>
      <c r="O483" s="46" t="n">
        <f aca="false">IF(OR(NOT(ISNUMBER($C483)),NOT(ISNUMBER($M483)),$M483=0),"",$C483/$M483-1)</f>
        <v>-0.0880699144230059</v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917810</v>
      </c>
      <c r="D484" s="42" t="n">
        <v>918137</v>
      </c>
      <c r="E484" s="42" t="n">
        <v>914721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-0.0225967462133757</v>
      </c>
      <c r="I484" s="45" t="n">
        <f aca="false">IF(AND(ISNUMBER($G484),$G484&gt;=MA_SHORT),AVERAGE(INDEX($C$84:$C484,402-MA_SHORT):$C484),"")</f>
        <v>938734.55</v>
      </c>
      <c r="J484" s="45" t="n">
        <f aca="false">IF(AND(ISNUMBER($G484),$G484&gt;=MA_MED),AVERAGE(INDEX($C$84:$C484,402-MA_MED):$C484),"")</f>
        <v>949123.46</v>
      </c>
      <c r="K484" s="45" t="n">
        <f aca="false">IF(AND(ISNUMBER($G484),$G484&gt;=MA_LONG2),AVERAGE(INDEX($C$84:$C484,402-MA_LONG2):$C484),"")</f>
        <v>964716.225</v>
      </c>
      <c r="L484" s="46" t="n">
        <f aca="false">IF(AND(ISNUMBER($G484),$G484&gt;=21),STDEV(INDEX($H$424:$H484,62-20):$H484)*SQRT(245),"")</f>
        <v>0.0935214245432434</v>
      </c>
      <c r="M484" s="45" t="n">
        <f aca="false">IF(AND(ISNUMBER($G484),$G484&gt;=60),MAX(INDEX($D$284:$D484,202-60):$D484),"")</f>
        <v>1029716</v>
      </c>
      <c r="N484" s="45" t="n">
        <f aca="false">IF(AND(ISNUMBER($G484),$G484&gt;=60),MIN(INDEX($E$284:$E484,202-60):$E484),"")</f>
        <v>914721</v>
      </c>
      <c r="O484" s="46" t="n">
        <f aca="false">IF(OR(NOT(ISNUMBER($C484)),NOT(ISNUMBER($M484)),$M484=0),"",$C484/$M484-1)</f>
        <v>-0.108676567131131</v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911144</v>
      </c>
      <c r="D485" s="42" t="n">
        <v>913815</v>
      </c>
      <c r="E485" s="42" t="n">
        <v>910947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-0.00726294113160675</v>
      </c>
      <c r="I485" s="45" t="n">
        <f aca="false">IF(AND(ISNUMBER($G485),$G485&gt;=MA_SHORT),AVERAGE(INDEX($C$85:$C485,402-MA_SHORT):$C485),"")</f>
        <v>937060.9</v>
      </c>
      <c r="J485" s="45" t="n">
        <f aca="false">IF(AND(ISNUMBER($G485),$G485&gt;=MA_MED),AVERAGE(INDEX($C$85:$C485,402-MA_MED):$C485),"")</f>
        <v>947468.84</v>
      </c>
      <c r="K485" s="45" t="n">
        <f aca="false">IF(AND(ISNUMBER($G485),$G485&gt;=MA_LONG2),AVERAGE(INDEX($C$85:$C485,402-MA_LONG2):$C485),"")</f>
        <v>964782.955</v>
      </c>
      <c r="L485" s="46" t="n">
        <f aca="false">IF(AND(ISNUMBER($G485),$G485&gt;=21),STDEV(INDEX($H$425:$H485,62-20):$H485)*SQRT(245),"")</f>
        <v>0.0949741532228528</v>
      </c>
      <c r="M485" s="45" t="n">
        <f aca="false">IF(AND(ISNUMBER($G485),$G485&gt;=60),MAX(INDEX($D$285:$D485,202-60):$D485),"")</f>
        <v>1000834</v>
      </c>
      <c r="N485" s="45" t="n">
        <f aca="false">IF(AND(ISNUMBER($G485),$G485&gt;=60),MIN(INDEX($E$285:$E485,202-60):$E485),"")</f>
        <v>910947</v>
      </c>
      <c r="O485" s="46" t="n">
        <f aca="false">IF(OR(NOT(ISNUMBER($C485)),NOT(ISNUMBER($M485)),$M485=0),"",$C485/$M485-1)</f>
        <v>-0.0896152608724324</v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918312</v>
      </c>
      <c r="D486" s="42" t="n">
        <v>920222</v>
      </c>
      <c r="E486" s="42" t="n">
        <v>915963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0.00786703309246395</v>
      </c>
      <c r="I486" s="45" t="n">
        <f aca="false">IF(AND(ISNUMBER($G486),$G486&gt;=MA_SHORT),AVERAGE(INDEX($C$86:$C486,402-MA_SHORT):$C486),"")</f>
        <v>935890.65</v>
      </c>
      <c r="J486" s="45" t="n">
        <f aca="false">IF(AND(ISNUMBER($G486),$G486&gt;=MA_MED),AVERAGE(INDEX($C$86:$C486,402-MA_MED):$C486),"")</f>
        <v>945888.3</v>
      </c>
      <c r="K486" s="45" t="n">
        <f aca="false">IF(AND(ISNUMBER($G486),$G486&gt;=MA_LONG2),AVERAGE(INDEX($C$86:$C486,402-MA_LONG2):$C486),"")</f>
        <v>964887.815</v>
      </c>
      <c r="L486" s="46" t="n">
        <f aca="false">IF(AND(ISNUMBER($G486),$G486&gt;=21),STDEV(INDEX($H$426:$H486,62-20):$H486)*SQRT(245),"")</f>
        <v>0.100612474340546</v>
      </c>
      <c r="M486" s="45" t="n">
        <f aca="false">IF(AND(ISNUMBER($G486),$G486&gt;=60),MAX(INDEX($D$286:$D486,202-60):$D486),"")</f>
        <v>1000834</v>
      </c>
      <c r="N486" s="45" t="n">
        <f aca="false">IF(AND(ISNUMBER($G486),$G486&gt;=60),MIN(INDEX($E$286:$E486,202-60):$E486),"")</f>
        <v>910947</v>
      </c>
      <c r="O486" s="46" t="n">
        <f aca="false">IF(OR(NOT(ISNUMBER($C486)),NOT(ISNUMBER($M486)),$M486=0),"",$C486/$M486-1)</f>
        <v>-0.0824532340028417</v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915707</v>
      </c>
      <c r="D487" s="42" t="n">
        <v>917708</v>
      </c>
      <c r="E487" s="42" t="n">
        <v>913351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-0.00283672651560685</v>
      </c>
      <c r="I487" s="45" t="n">
        <f aca="false">IF(AND(ISNUMBER($G487),$G487&gt;=MA_SHORT),AVERAGE(INDEX($C$87:$C487,402-MA_SHORT):$C487),"")</f>
        <v>934870.75</v>
      </c>
      <c r="J487" s="45" t="n">
        <f aca="false">IF(AND(ISNUMBER($G487),$G487&gt;=MA_MED),AVERAGE(INDEX($C$87:$C487,402-MA_MED):$C487),"")</f>
        <v>944216.7</v>
      </c>
      <c r="K487" s="45" t="n">
        <f aca="false">IF(AND(ISNUMBER($G487),$G487&gt;=MA_LONG2),AVERAGE(INDEX($C$87:$C487,402-MA_LONG2):$C487),"")</f>
        <v>964980.59</v>
      </c>
      <c r="L487" s="46" t="n">
        <f aca="false">IF(AND(ISNUMBER($G487),$G487&gt;=21),STDEV(INDEX($H$427:$H487,62-20):$H487)*SQRT(245),"")</f>
        <v>0.09930805091044</v>
      </c>
      <c r="M487" s="45" t="n">
        <f aca="false">IF(AND(ISNUMBER($G487),$G487&gt;=60),MAX(INDEX($D$287:$D487,202-60):$D487),"")</f>
        <v>1000834</v>
      </c>
      <c r="N487" s="45" t="n">
        <f aca="false">IF(AND(ISNUMBER($G487),$G487&gt;=60),MIN(INDEX($E$287:$E487,202-60):$E487),"")</f>
        <v>910947</v>
      </c>
      <c r="O487" s="46" t="n">
        <f aca="false">IF(OR(NOT(ISNUMBER($C487)),NOT(ISNUMBER($M487)),$M487=0),"",$C487/$M487-1)</f>
        <v>-0.0850560632432551</v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919586</v>
      </c>
      <c r="D488" s="42" t="n">
        <v>926838</v>
      </c>
      <c r="E488" s="42" t="n">
        <v>919075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0.00423607114502778</v>
      </c>
      <c r="I488" s="45" t="n">
        <f aca="false">IF(AND(ISNUMBER($G488),$G488&gt;=MA_SHORT),AVERAGE(INDEX($C$88:$C488,402-MA_SHORT):$C488),"")</f>
        <v>933787.4</v>
      </c>
      <c r="J488" s="45" t="n">
        <f aca="false">IF(AND(ISNUMBER($G488),$G488&gt;=MA_MED),AVERAGE(INDEX($C$88:$C488,402-MA_MED):$C488),"")</f>
        <v>942666.12</v>
      </c>
      <c r="K488" s="45" t="n">
        <f aca="false">IF(AND(ISNUMBER($G488),$G488&gt;=MA_LONG2),AVERAGE(INDEX($C$88:$C488,402-MA_LONG2):$C488),"")</f>
        <v>965111.4</v>
      </c>
      <c r="L488" s="46" t="n">
        <f aca="false">IF(AND(ISNUMBER($G488),$G488&gt;=21),STDEV(INDEX($H$428:$H488,62-20):$H488)*SQRT(245),"")</f>
        <v>0.0983220626143647</v>
      </c>
      <c r="M488" s="45" t="n">
        <f aca="false">IF(AND(ISNUMBER($G488),$G488&gt;=60),MAX(INDEX($D$288:$D488,202-60):$D488),"")</f>
        <v>1000834</v>
      </c>
      <c r="N488" s="45" t="n">
        <f aca="false">IF(AND(ISNUMBER($G488),$G488&gt;=60),MIN(INDEX($E$288:$E488,202-60):$E488),"")</f>
        <v>910947</v>
      </c>
      <c r="O488" s="46" t="n">
        <f aca="false">IF(OR(NOT(ISNUMBER($C488)),NOT(ISNUMBER($M488)),$M488=0),"",$C488/$M488-1)</f>
        <v>-0.0811802956334418</v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921352</v>
      </c>
      <c r="D489" s="42" t="n">
        <v>921831</v>
      </c>
      <c r="E489" s="42" t="n">
        <v>919111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0.00192042941062609</v>
      </c>
      <c r="I489" s="45" t="n">
        <f aca="false">IF(AND(ISNUMBER($G489),$G489&gt;=MA_SHORT),AVERAGE(INDEX($C$89:$C489,402-MA_SHORT):$C489),"")</f>
        <v>932947.35</v>
      </c>
      <c r="J489" s="45" t="n">
        <f aca="false">IF(AND(ISNUMBER($G489),$G489&gt;=MA_MED),AVERAGE(INDEX($C$89:$C489,402-MA_MED):$C489),"")</f>
        <v>941097.72</v>
      </c>
      <c r="K489" s="45" t="n">
        <f aca="false">IF(AND(ISNUMBER($G489),$G489&gt;=MA_LONG2),AVERAGE(INDEX($C$89:$C489,402-MA_LONG2):$C489),"")</f>
        <v>965244.42</v>
      </c>
      <c r="L489" s="46" t="n">
        <f aca="false">IF(AND(ISNUMBER($G489),$G489&gt;=21),STDEV(INDEX($H$429:$H489,62-20):$H489)*SQRT(245),"")</f>
        <v>0.0985460603320662</v>
      </c>
      <c r="M489" s="45" t="n">
        <f aca="false">IF(AND(ISNUMBER($G489),$G489&gt;=60),MAX(INDEX($D$289:$D489,202-60):$D489),"")</f>
        <v>1000834</v>
      </c>
      <c r="N489" s="45" t="n">
        <f aca="false">IF(AND(ISNUMBER($G489),$G489&gt;=60),MIN(INDEX($E$289:$E489,202-60):$E489),"")</f>
        <v>910947</v>
      </c>
      <c r="O489" s="46" t="n">
        <f aca="false">IF(OR(NOT(ISNUMBER($C489)),NOT(ISNUMBER($M489)),$M489=0),"",$C489/$M489-1)</f>
        <v>-0.0794157672501135</v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916198</v>
      </c>
      <c r="D490" s="42" t="n">
        <v>923106</v>
      </c>
      <c r="E490" s="42" t="n">
        <v>913607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-0.00559395323394318</v>
      </c>
      <c r="I490" s="45" t="n">
        <f aca="false">IF(AND(ISNUMBER($G490),$G490&gt;=MA_SHORT),AVERAGE(INDEX($C$90:$C490,402-MA_SHORT):$C490),"")</f>
        <v>931762.6</v>
      </c>
      <c r="J490" s="45" t="n">
        <f aca="false">IF(AND(ISNUMBER($G490),$G490&gt;=MA_MED),AVERAGE(INDEX($C$90:$C490,402-MA_MED):$C490),"")</f>
        <v>940339.86</v>
      </c>
      <c r="K490" s="45" t="n">
        <f aca="false">IF(AND(ISNUMBER($G490),$G490&gt;=MA_LONG2),AVERAGE(INDEX($C$90:$C490,402-MA_LONG2):$C490),"")</f>
        <v>965315.115</v>
      </c>
      <c r="L490" s="46" t="n">
        <f aca="false">IF(AND(ISNUMBER($G490),$G490&gt;=21),STDEV(INDEX($H$430:$H490,62-20):$H490)*SQRT(245),"")</f>
        <v>0.0993220221727852</v>
      </c>
      <c r="M490" s="45" t="n">
        <f aca="false">IF(AND(ISNUMBER($G490),$G490&gt;=60),MAX(INDEX($D$290:$D490,202-60):$D490),"")</f>
        <v>1000834</v>
      </c>
      <c r="N490" s="45" t="n">
        <f aca="false">IF(AND(ISNUMBER($G490),$G490&gt;=60),MIN(INDEX($E$290:$E490,202-60):$E490),"")</f>
        <v>910947</v>
      </c>
      <c r="O490" s="46" t="n">
        <f aca="false">IF(OR(NOT(ISNUMBER($C490)),NOT(ISNUMBER($M490)),$M490=0),"",$C490/$M490-1)</f>
        <v>-0.0845654723960218</v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915068</v>
      </c>
      <c r="D491" s="42" t="n">
        <v>916266</v>
      </c>
      <c r="E491" s="42" t="n">
        <v>910572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-0.00123335785496148</v>
      </c>
      <c r="I491" s="45" t="n">
        <f aca="false">IF(AND(ISNUMBER($G491),$G491&gt;=MA_SHORT),AVERAGE(INDEX($C$91:$C491,402-MA_SHORT):$C491),"")</f>
        <v>930381.15</v>
      </c>
      <c r="J491" s="45" t="n">
        <f aca="false">IF(AND(ISNUMBER($G491),$G491&gt;=MA_MED),AVERAGE(INDEX($C$91:$C491,402-MA_MED):$C491),"")</f>
        <v>939626.66</v>
      </c>
      <c r="K491" s="45" t="n">
        <f aca="false">IF(AND(ISNUMBER($G491),$G491&gt;=MA_LONG2),AVERAGE(INDEX($C$91:$C491,402-MA_LONG2):$C491),"")</f>
        <v>965387.515</v>
      </c>
      <c r="L491" s="46" t="n">
        <f aca="false">IF(AND(ISNUMBER($G491),$G491&gt;=21),STDEV(INDEX($H$431:$H491,62-20):$H491)*SQRT(245),"")</f>
        <v>0.0980897734380661</v>
      </c>
      <c r="M491" s="45" t="n">
        <f aca="false">IF(AND(ISNUMBER($G491),$G491&gt;=60),MAX(INDEX($D$291:$D491,202-60):$D491),"")</f>
        <v>1000834</v>
      </c>
      <c r="N491" s="45" t="n">
        <f aca="false">IF(AND(ISNUMBER($G491),$G491&gt;=60),MIN(INDEX($E$291:$E491,202-60):$E491),"")</f>
        <v>910572</v>
      </c>
      <c r="O491" s="46" t="n">
        <f aca="false">IF(OR(NOT(ISNUMBER($C491)),NOT(ISNUMBER($M491)),$M491=0),"",$C491/$M491-1)</f>
        <v>-0.085694530761345</v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914114</v>
      </c>
      <c r="D492" s="42" t="n">
        <v>915848</v>
      </c>
      <c r="E492" s="42" t="n">
        <v>913812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-0.00104254547203053</v>
      </c>
      <c r="I492" s="45" t="n">
        <f aca="false">IF(AND(ISNUMBER($G492),$G492&gt;=MA_SHORT),AVERAGE(INDEX($C$92:$C492,402-MA_SHORT):$C492),"")</f>
        <v>928821.2</v>
      </c>
      <c r="J492" s="45" t="n">
        <f aca="false">IF(AND(ISNUMBER($G492),$G492&gt;=MA_MED),AVERAGE(INDEX($C$92:$C492,402-MA_MED):$C492),"")</f>
        <v>938930.64</v>
      </c>
      <c r="K492" s="45" t="n">
        <f aca="false">IF(AND(ISNUMBER($G492),$G492&gt;=MA_LONG2),AVERAGE(INDEX($C$92:$C492,402-MA_LONG2):$C492),"")</f>
        <v>965423.05</v>
      </c>
      <c r="L492" s="46" t="n">
        <f aca="false">IF(AND(ISNUMBER($G492),$G492&gt;=21),STDEV(INDEX($H$432:$H492,62-20):$H492)*SQRT(245),"")</f>
        <v>0.0968630693733467</v>
      </c>
      <c r="M492" s="45" t="n">
        <f aca="false">IF(AND(ISNUMBER($G492),$G492&gt;=60),MAX(INDEX($D$292:$D492,202-60):$D492),"")</f>
        <v>1000834</v>
      </c>
      <c r="N492" s="45" t="n">
        <f aca="false">IF(AND(ISNUMBER($G492),$G492&gt;=60),MIN(INDEX($E$292:$E492,202-60):$E492),"")</f>
        <v>910572</v>
      </c>
      <c r="O492" s="46" t="n">
        <f aca="false">IF(OR(NOT(ISNUMBER($C492)),NOT(ISNUMBER($M492)),$M492=0),"",$C492/$M492-1)</f>
        <v>-0.0866477357883525</v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913393</v>
      </c>
      <c r="D493" s="42" t="n">
        <v>916920</v>
      </c>
      <c r="E493" s="42" t="n">
        <v>907692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-0.00078874188558542</v>
      </c>
      <c r="I493" s="45" t="n">
        <f aca="false">IF(AND(ISNUMBER($G493),$G493&gt;=MA_SHORT),AVERAGE(INDEX($C$93:$C493,402-MA_SHORT):$C493),"")</f>
        <v>927107</v>
      </c>
      <c r="J493" s="45" t="n">
        <f aca="false">IF(AND(ISNUMBER($G493),$G493&gt;=MA_MED),AVERAGE(INDEX($C$93:$C493,402-MA_MED):$C493),"")</f>
        <v>938156.16</v>
      </c>
      <c r="K493" s="45" t="n">
        <f aca="false">IF(AND(ISNUMBER($G493),$G493&gt;=MA_LONG2),AVERAGE(INDEX($C$93:$C493,402-MA_LONG2):$C493),"")</f>
        <v>965461.87</v>
      </c>
      <c r="L493" s="46" t="n">
        <f aca="false">IF(AND(ISNUMBER($G493),$G493&gt;=21),STDEV(INDEX($H$433:$H493,62-20):$H493)*SQRT(245),"")</f>
        <v>0.0957192741003041</v>
      </c>
      <c r="M493" s="45" t="n">
        <f aca="false">IF(AND(ISNUMBER($G493),$G493&gt;=60),MAX(INDEX($D$293:$D493,202-60):$D493),"")</f>
        <v>1000834</v>
      </c>
      <c r="N493" s="45" t="n">
        <f aca="false">IF(AND(ISNUMBER($G493),$G493&gt;=60),MIN(INDEX($E$293:$E493,202-60):$E493),"")</f>
        <v>907692</v>
      </c>
      <c r="O493" s="46" t="n">
        <f aca="false">IF(OR(NOT(ISNUMBER($C493)),NOT(ISNUMBER($M493)),$M493=0),"",$C493/$M493-1)</f>
        <v>-0.0873681349754305</v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910631</v>
      </c>
      <c r="D494" s="42" t="n">
        <v>913891</v>
      </c>
      <c r="E494" s="42" t="n">
        <v>909256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-0.00302389004513937</v>
      </c>
      <c r="I494" s="45" t="n">
        <f aca="false">IF(AND(ISNUMBER($G494),$G494&gt;=MA_SHORT),AVERAGE(INDEX($C$94:$C494,402-MA_SHORT):$C494),"")</f>
        <v>925311.35</v>
      </c>
      <c r="J494" s="45" t="n">
        <f aca="false">IF(AND(ISNUMBER($G494),$G494&gt;=MA_MED),AVERAGE(INDEX($C$94:$C494,402-MA_MED):$C494),"")</f>
        <v>937228.16</v>
      </c>
      <c r="K494" s="45" t="n">
        <f aca="false">IF(AND(ISNUMBER($G494),$G494&gt;=MA_LONG2),AVERAGE(INDEX($C$94:$C494,402-MA_LONG2):$C494),"")</f>
        <v>965483.005</v>
      </c>
      <c r="L494" s="46" t="n">
        <f aca="false">IF(AND(ISNUMBER($G494),$G494&gt;=21),STDEV(INDEX($H$434:$H494,62-20):$H494)*SQRT(245),"")</f>
        <v>0.095778679003761</v>
      </c>
      <c r="M494" s="45" t="n">
        <f aca="false">IF(AND(ISNUMBER($G494),$G494&gt;=60),MAX(INDEX($D$294:$D494,202-60):$D494),"")</f>
        <v>1000333</v>
      </c>
      <c r="N494" s="45" t="n">
        <f aca="false">IF(AND(ISNUMBER($G494),$G494&gt;=60),MIN(INDEX($E$294:$E494,202-60):$E494),"")</f>
        <v>907692</v>
      </c>
      <c r="O494" s="46" t="n">
        <f aca="false">IF(OR(NOT(ISNUMBER($C494)),NOT(ISNUMBER($M494)),$M494=0),"",$C494/$M494-1)</f>
        <v>-0.0896721391776538</v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908591</v>
      </c>
      <c r="D495" s="42" t="n">
        <v>911622</v>
      </c>
      <c r="E495" s="42" t="n">
        <v>907646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-0.00224020486893151</v>
      </c>
      <c r="I495" s="45" t="n">
        <f aca="false">IF(AND(ISNUMBER($G495),$G495&gt;=MA_SHORT),AVERAGE(INDEX($C$95:$C495,402-MA_SHORT):$C495),"")</f>
        <v>923674.3</v>
      </c>
      <c r="J495" s="45" t="n">
        <f aca="false">IF(AND(ISNUMBER($G495),$G495&gt;=MA_MED),AVERAGE(INDEX($C$95:$C495,402-MA_MED):$C495),"")</f>
        <v>936258.2</v>
      </c>
      <c r="K495" s="45" t="n">
        <f aca="false">IF(AND(ISNUMBER($G495),$G495&gt;=MA_LONG2),AVERAGE(INDEX($C$95:$C495,402-MA_LONG2):$C495),"")</f>
        <v>965526.435</v>
      </c>
      <c r="L495" s="46" t="n">
        <f aca="false">IF(AND(ISNUMBER($G495),$G495&gt;=21),STDEV(INDEX($H$435:$H495,62-20):$H495)*SQRT(245),"")</f>
        <v>0.0948770669661166</v>
      </c>
      <c r="M495" s="45" t="n">
        <f aca="false">IF(AND(ISNUMBER($G495),$G495&gt;=60),MAX(INDEX($D$295:$D495,202-60):$D495),"")</f>
        <v>1000333</v>
      </c>
      <c r="N495" s="45" t="n">
        <f aca="false">IF(AND(ISNUMBER($G495),$G495&gt;=60),MIN(INDEX($E$295:$E495,202-60):$E495),"")</f>
        <v>907646</v>
      </c>
      <c r="O495" s="46" t="n">
        <f aca="false">IF(OR(NOT(ISNUMBER($C495)),NOT(ISNUMBER($M495)),$M495=0),"",$C495/$M495-1)</f>
        <v>-0.0917114600837921</v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916314</v>
      </c>
      <c r="D496" s="42" t="n">
        <v>918604</v>
      </c>
      <c r="E496" s="42" t="n">
        <v>914053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0.00849997413577719</v>
      </c>
      <c r="I496" s="45" t="n">
        <f aca="false">IF(AND(ISNUMBER($G496),$G496&gt;=MA_SHORT),AVERAGE(INDEX($C$96:$C496,402-MA_SHORT):$C496),"")</f>
        <v>922496.7</v>
      </c>
      <c r="J496" s="45" t="n">
        <f aca="false">IF(AND(ISNUMBER($G496),$G496&gt;=MA_MED),AVERAGE(INDEX($C$96:$C496,402-MA_MED):$C496),"")</f>
        <v>935671.56</v>
      </c>
      <c r="K496" s="45" t="n">
        <f aca="false">IF(AND(ISNUMBER($G496),$G496&gt;=MA_LONG2),AVERAGE(INDEX($C$96:$C496,402-MA_LONG2):$C496),"")</f>
        <v>965612.44</v>
      </c>
      <c r="L496" s="46" t="n">
        <f aca="false">IF(AND(ISNUMBER($G496),$G496&gt;=21),STDEV(INDEX($H$436:$H496,62-20):$H496)*SQRT(245),"")</f>
        <v>0.101444241939765</v>
      </c>
      <c r="M496" s="45" t="n">
        <f aca="false">IF(AND(ISNUMBER($G496),$G496&gt;=60),MAX(INDEX($D$296:$D496,202-60):$D496),"")</f>
        <v>1000333</v>
      </c>
      <c r="N496" s="45" t="n">
        <f aca="false">IF(AND(ISNUMBER($G496),$G496&gt;=60),MIN(INDEX($E$296:$E496,202-60):$E496),"")</f>
        <v>907646</v>
      </c>
      <c r="O496" s="46" t="n">
        <f aca="false">IF(OR(NOT(ISNUMBER($C496)),NOT(ISNUMBER($M496)),$M496=0),"",$C496/$M496-1)</f>
        <v>-0.0839910309866815</v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914650</v>
      </c>
      <c r="D497" s="42" t="n">
        <v>921882</v>
      </c>
      <c r="E497" s="42" t="n">
        <v>914412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-0.00181597138098943</v>
      </c>
      <c r="I497" s="45" t="n">
        <f aca="false">IF(AND(ISNUMBER($G497),$G497&gt;=MA_SHORT),AVERAGE(INDEX($C$97:$C497,402-MA_SHORT):$C497),"")</f>
        <v>921320</v>
      </c>
      <c r="J497" s="45" t="n">
        <f aca="false">IF(AND(ISNUMBER($G497),$G497&gt;=MA_MED),AVERAGE(INDEX($C$97:$C497,402-MA_MED):$C497),"")</f>
        <v>935039.1</v>
      </c>
      <c r="K497" s="45" t="n">
        <f aca="false">IF(AND(ISNUMBER($G497),$G497&gt;=MA_LONG2),AVERAGE(INDEX($C$97:$C497,402-MA_LONG2):$C497),"")</f>
        <v>965647.46</v>
      </c>
      <c r="L497" s="46" t="n">
        <f aca="false">IF(AND(ISNUMBER($G497),$G497&gt;=21),STDEV(INDEX($H$437:$H497,62-20):$H497)*SQRT(245),"")</f>
        <v>0.101446098275503</v>
      </c>
      <c r="M497" s="45" t="n">
        <f aca="false">IF(AND(ISNUMBER($G497),$G497&gt;=60),MAX(INDEX($D$297:$D497,202-60):$D497),"")</f>
        <v>1000333</v>
      </c>
      <c r="N497" s="45" t="n">
        <f aca="false">IF(AND(ISNUMBER($G497),$G497&gt;=60),MIN(INDEX($E$297:$E497,202-60):$E497),"")</f>
        <v>907646</v>
      </c>
      <c r="O497" s="46" t="n">
        <f aca="false">IF(OR(NOT(ISNUMBER($C497)),NOT(ISNUMBER($M497)),$M497=0),"",$C497/$M497-1)</f>
        <v>-0.0856544770591393</v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918367</v>
      </c>
      <c r="D498" s="42" t="n">
        <v>921044</v>
      </c>
      <c r="E498" s="42" t="n">
        <v>916956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0.00406384955994099</v>
      </c>
      <c r="I498" s="45" t="n">
        <f aca="false">IF(AND(ISNUMBER($G498),$G498&gt;=MA_SHORT),AVERAGE(INDEX($C$98:$C498,402-MA_SHORT):$C498),"")</f>
        <v>920491.1</v>
      </c>
      <c r="J498" s="45" t="n">
        <f aca="false">IF(AND(ISNUMBER($G498),$G498&gt;=MA_MED),AVERAGE(INDEX($C$98:$C498,402-MA_MED):$C498),"")</f>
        <v>934314.98</v>
      </c>
      <c r="K498" s="45" t="n">
        <f aca="false">IF(AND(ISNUMBER($G498),$G498&gt;=MA_LONG2),AVERAGE(INDEX($C$98:$C498,402-MA_LONG2):$C498),"")</f>
        <v>965686</v>
      </c>
      <c r="L498" s="46" t="n">
        <f aca="false">IF(AND(ISNUMBER($G498),$G498&gt;=21),STDEV(INDEX($H$438:$H498,62-20):$H498)*SQRT(245),"")</f>
        <v>0.10274392831876</v>
      </c>
      <c r="M498" s="45" t="n">
        <f aca="false">IF(AND(ISNUMBER($G498),$G498&gt;=60),MAX(INDEX($D$298:$D498,202-60):$D498),"")</f>
        <v>1000333</v>
      </c>
      <c r="N498" s="45" t="n">
        <f aca="false">IF(AND(ISNUMBER($G498),$G498&gt;=60),MIN(INDEX($E$298:$E498,202-60):$E498),"")</f>
        <v>907646</v>
      </c>
      <c r="O498" s="46" t="n">
        <f aca="false">IF(OR(NOT(ISNUMBER($C498)),NOT(ISNUMBER($M498)),$M498=0),"",$C498/$M498-1)</f>
        <v>-0.0819387144081021</v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910873</v>
      </c>
      <c r="D499" s="42" t="n">
        <v>912923</v>
      </c>
      <c r="E499" s="42" t="n">
        <v>908955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-0.00816013641605151</v>
      </c>
      <c r="I499" s="45" t="n">
        <f aca="false">IF(AND(ISNUMBER($G499),$G499&gt;=MA_SHORT),AVERAGE(INDEX($C$99:$C499,402-MA_SHORT):$C499),"")</f>
        <v>919343.6</v>
      </c>
      <c r="J499" s="45" t="n">
        <f aca="false">IF(AND(ISNUMBER($G499),$G499&gt;=MA_MED),AVERAGE(INDEX($C$99:$C499,402-MA_MED):$C499),"")</f>
        <v>933481.68</v>
      </c>
      <c r="K499" s="45" t="n">
        <f aca="false">IF(AND(ISNUMBER($G499),$G499&gt;=MA_LONG2),AVERAGE(INDEX($C$99:$C499,402-MA_LONG2):$C499),"")</f>
        <v>965710.54</v>
      </c>
      <c r="L499" s="46" t="n">
        <f aca="false">IF(AND(ISNUMBER($G499),$G499&gt;=21),STDEV(INDEX($H$439:$H499,62-20):$H499)*SQRT(245),"")</f>
        <v>0.105869513796118</v>
      </c>
      <c r="M499" s="45" t="n">
        <f aca="false">IF(AND(ISNUMBER($G499),$G499&gt;=60),MAX(INDEX($D$299:$D499,202-60):$D499),"")</f>
        <v>959759</v>
      </c>
      <c r="N499" s="45" t="n">
        <f aca="false">IF(AND(ISNUMBER($G499),$G499&gt;=60),MIN(INDEX($E$299:$E499,202-60):$E499),"")</f>
        <v>907646</v>
      </c>
      <c r="O499" s="46" t="n">
        <f aca="false">IF(OR(NOT(ISNUMBER($C499)),NOT(ISNUMBER($M499)),$M499=0),"",$C499/$M499-1)</f>
        <v>-0.050935703650604</v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916974</v>
      </c>
      <c r="D500" s="42" t="n">
        <v>917965</v>
      </c>
      <c r="E500" s="42" t="n">
        <v>914316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0.00669796996946892</v>
      </c>
      <c r="I500" s="45" t="n">
        <f aca="false">IF(AND(ISNUMBER($G500),$G500&gt;=MA_SHORT),AVERAGE(INDEX($C$100:$C500,402-MA_SHORT):$C500),"")</f>
        <v>918419.65</v>
      </c>
      <c r="J500" s="45" t="n">
        <f aca="false">IF(AND(ISNUMBER($G500),$G500&gt;=MA_MED),AVERAGE(INDEX($C$100:$C500,402-MA_MED):$C500),"")</f>
        <v>932860.48</v>
      </c>
      <c r="K500" s="45" t="n">
        <f aca="false">IF(AND(ISNUMBER($G500),$G500&gt;=MA_LONG2),AVERAGE(INDEX($C$100:$C500,402-MA_LONG2):$C500),"")</f>
        <v>965759.275</v>
      </c>
      <c r="L500" s="46" t="n">
        <f aca="false">IF(AND(ISNUMBER($G500),$G500&gt;=21),STDEV(INDEX($H$440:$H500,62-20):$H500)*SQRT(245),"")</f>
        <v>0.109030998542435</v>
      </c>
      <c r="M500" s="45" t="n">
        <f aca="false">IF(AND(ISNUMBER($G500),$G500&gt;=60),MAX(INDEX($D$300:$D500,202-60):$D500),"")</f>
        <v>959041</v>
      </c>
      <c r="N500" s="45" t="n">
        <f aca="false">IF(AND(ISNUMBER($G500),$G500&gt;=60),MIN(INDEX($E$300:$E500,202-60):$E500),"")</f>
        <v>907646</v>
      </c>
      <c r="O500" s="46" t="n">
        <f aca="false">IF(OR(NOT(ISNUMBER($C500)),NOT(ISNUMBER($M500)),$M500=0),"",$C500/$M500-1)</f>
        <v>-0.0438636095849917</v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918182</v>
      </c>
      <c r="D501" s="42" t="n">
        <v>924030</v>
      </c>
      <c r="E501" s="42" t="n">
        <v>915508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0.00131737650140562</v>
      </c>
      <c r="I501" s="45" t="n">
        <f aca="false">IF(AND(ISNUMBER($G501),$G501&gt;=MA_SHORT),AVERAGE(INDEX($C$101:$C501,402-MA_SHORT):$C501),"")</f>
        <v>917518.95</v>
      </c>
      <c r="J501" s="45" t="n">
        <f aca="false">IF(AND(ISNUMBER($G501),$G501&gt;=MA_MED),AVERAGE(INDEX($C$101:$C501,402-MA_MED):$C501),"")</f>
        <v>932340.2</v>
      </c>
      <c r="K501" s="45" t="n">
        <f aca="false">IF(AND(ISNUMBER($G501),$G501&gt;=MA_LONG2),AVERAGE(INDEX($C$101:$C501,402-MA_LONG2):$C501),"")</f>
        <v>965803.72</v>
      </c>
      <c r="L501" s="46" t="n">
        <f aca="false">IF(AND(ISNUMBER($G501),$G501&gt;=21),STDEV(INDEX($H$441:$H501,62-20):$H501)*SQRT(245),"")</f>
        <v>0.109155688468421</v>
      </c>
      <c r="M501" s="45" t="n">
        <f aca="false">IF(AND(ISNUMBER($G501),$G501&gt;=60),MAX(INDEX($D$301:$D501,202-60):$D501),"")</f>
        <v>959041</v>
      </c>
      <c r="N501" s="45" t="n">
        <f aca="false">IF(AND(ISNUMBER($G501),$G501&gt;=60),MIN(INDEX($E$301:$E501,202-60):$E501),"")</f>
        <v>907646</v>
      </c>
      <c r="O501" s="46" t="n">
        <f aca="false">IF(OR(NOT(ISNUMBER($C501)),NOT(ISNUMBER($M501)),$M501=0),"",$C501/$M501-1)</f>
        <v>-0.0426040179721201</v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918409</v>
      </c>
      <c r="D502" s="42" t="n">
        <v>918746</v>
      </c>
      <c r="E502" s="42" t="n">
        <v>916925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0.000247227673816353</v>
      </c>
      <c r="I502" s="45" t="n">
        <f aca="false">IF(AND(ISNUMBER($G502),$G502&gt;=MA_SHORT),AVERAGE(INDEX($C$102:$C502,402-MA_SHORT):$C502),"")</f>
        <v>916735.2</v>
      </c>
      <c r="J502" s="45" t="n">
        <f aca="false">IF(AND(ISNUMBER($G502),$G502&gt;=MA_MED),AVERAGE(INDEX($C$102:$C502,402-MA_MED):$C502),"")</f>
        <v>931806.7</v>
      </c>
      <c r="K502" s="45" t="n">
        <f aca="false">IF(AND(ISNUMBER($G502),$G502&gt;=MA_LONG2),AVERAGE(INDEX($C$102:$C502,402-MA_LONG2):$C502),"")</f>
        <v>965862.725</v>
      </c>
      <c r="L502" s="46" t="n">
        <f aca="false">IF(AND(ISNUMBER($G502),$G502&gt;=21),STDEV(INDEX($H$442:$H502,62-20):$H502)*SQRT(245),"")</f>
        <v>0.109120432142556</v>
      </c>
      <c r="M502" s="45" t="n">
        <f aca="false">IF(AND(ISNUMBER($G502),$G502&gt;=60),MAX(INDEX($D$302:$D502,202-60):$D502),"")</f>
        <v>959041</v>
      </c>
      <c r="N502" s="45" t="n">
        <f aca="false">IF(AND(ISNUMBER($G502),$G502&gt;=60),MIN(INDEX($E$302:$E502,202-60):$E502),"")</f>
        <v>907646</v>
      </c>
      <c r="O502" s="46" t="n">
        <f aca="false">IF(OR(NOT(ISNUMBER($C502)),NOT(ISNUMBER($M502)),$M502=0),"",$C502/$M502-1)</f>
        <v>-0.0423673231905622</v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921183</v>
      </c>
      <c r="D503" s="42" t="n">
        <v>923314</v>
      </c>
      <c r="E503" s="42" t="n">
        <v>920816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0.00302044078400798</v>
      </c>
      <c r="I503" s="45" t="n">
        <f aca="false">IF(AND(ISNUMBER($G503),$G503&gt;=MA_SHORT),AVERAGE(INDEX($C$103:$C503,402-MA_SHORT):$C503),"")</f>
        <v>915842.9</v>
      </c>
      <c r="J503" s="45" t="n">
        <f aca="false">IF(AND(ISNUMBER($G503),$G503&gt;=MA_MED),AVERAGE(INDEX($C$103:$C503,402-MA_MED):$C503),"")</f>
        <v>931353.4</v>
      </c>
      <c r="K503" s="45" t="n">
        <f aca="false">IF(AND(ISNUMBER($G503),$G503&gt;=MA_LONG2),AVERAGE(INDEX($C$103:$C503,402-MA_LONG2):$C503),"")</f>
        <v>965929.745</v>
      </c>
      <c r="L503" s="46" t="n">
        <f aca="false">IF(AND(ISNUMBER($G503),$G503&gt;=21),STDEV(INDEX($H$443:$H503,62-20):$H503)*SQRT(245),"")</f>
        <v>0.107758798825336</v>
      </c>
      <c r="M503" s="45" t="n">
        <f aca="false">IF(AND(ISNUMBER($G503),$G503&gt;=60),MAX(INDEX($D$303:$D503,202-60):$D503),"")</f>
        <v>959041</v>
      </c>
      <c r="N503" s="45" t="n">
        <f aca="false">IF(AND(ISNUMBER($G503),$G503&gt;=60),MIN(INDEX($E$303:$E503,202-60):$E503),"")</f>
        <v>907646</v>
      </c>
      <c r="O503" s="46" t="n">
        <f aca="false">IF(OR(NOT(ISNUMBER($C503)),NOT(ISNUMBER($M503)),$M503=0),"",$C503/$M503-1)</f>
        <v>-0.0394748503974283</v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921779</v>
      </c>
      <c r="D504" s="42" t="n">
        <v>925087</v>
      </c>
      <c r="E504" s="42" t="n">
        <v>920282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0.000646994136886958</v>
      </c>
      <c r="I504" s="45" t="n">
        <f aca="false">IF(AND(ISNUMBER($G504),$G504&gt;=MA_SHORT),AVERAGE(INDEX($C$104:$C504,402-MA_SHORT):$C504),"")</f>
        <v>916041.35</v>
      </c>
      <c r="J504" s="45" t="n">
        <f aca="false">IF(AND(ISNUMBER($G504),$G504&gt;=MA_MED),AVERAGE(INDEX($C$104:$C504,402-MA_MED):$C504),"")</f>
        <v>930953.4</v>
      </c>
      <c r="K504" s="45" t="n">
        <f aca="false">IF(AND(ISNUMBER($G504),$G504&gt;=MA_LONG2),AVERAGE(INDEX($C$104:$C504,402-MA_LONG2):$C504),"")</f>
        <v>966008.535</v>
      </c>
      <c r="L504" s="46" t="n">
        <f aca="false">IF(AND(ISNUMBER($G504),$G504&gt;=21),STDEV(INDEX($H$444:$H504,62-20):$H504)*SQRT(245),"")</f>
        <v>0.0724294736369966</v>
      </c>
      <c r="M504" s="45" t="n">
        <f aca="false">IF(AND(ISNUMBER($G504),$G504&gt;=60),MAX(INDEX($D$304:$D504,202-60):$D504),"")</f>
        <v>959041</v>
      </c>
      <c r="N504" s="45" t="n">
        <f aca="false">IF(AND(ISNUMBER($G504),$G504&gt;=60),MIN(INDEX($E$304:$E504,202-60):$E504),"")</f>
        <v>907646</v>
      </c>
      <c r="O504" s="46" t="n">
        <f aca="false">IF(OR(NOT(ISNUMBER($C504)),NOT(ISNUMBER($M504)),$M504=0),"",$C504/$M504-1)</f>
        <v>-0.0388533962573029</v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651</v>
      </c>
      <c r="B1" s="1"/>
      <c r="C1" s="1"/>
      <c r="D1" s="1"/>
      <c r="E1" s="1"/>
    </row>
    <row r="2" customFormat="false" ht="18" hidden="false" customHeight="true" outlineLevel="0" collapsed="false">
      <c r="A2" s="18" t="s">
        <v>652</v>
      </c>
      <c r="B2" s="18"/>
      <c r="C2" s="18"/>
      <c r="D2" s="18"/>
      <c r="E2" s="18"/>
    </row>
    <row r="4" customFormat="false" ht="19.5" hidden="false" customHeight="true" outlineLevel="0" collapsed="false">
      <c r="B4" s="34" t="s">
        <v>653</v>
      </c>
      <c r="C4" s="34"/>
      <c r="D4" s="34"/>
    </row>
    <row r="5" customFormat="false" ht="15" hidden="false" customHeight="false" outlineLevel="0" collapsed="false">
      <c r="B5" s="4" t="s">
        <v>654</v>
      </c>
      <c r="C5" s="51" t="n">
        <v>20</v>
      </c>
      <c r="D5" s="36" t="s">
        <v>655</v>
      </c>
    </row>
    <row r="6" customFormat="false" ht="15" hidden="false" customHeight="false" outlineLevel="0" collapsed="false">
      <c r="B6" s="4" t="s">
        <v>656</v>
      </c>
      <c r="C6" s="51" t="n">
        <v>50</v>
      </c>
      <c r="D6" s="36" t="s">
        <v>657</v>
      </c>
    </row>
    <row r="7" customFormat="false" ht="15" hidden="false" customHeight="false" outlineLevel="0" collapsed="false">
      <c r="B7" s="4" t="s">
        <v>658</v>
      </c>
      <c r="C7" s="51" t="n">
        <v>100</v>
      </c>
      <c r="D7" s="36"/>
    </row>
    <row r="8" customFormat="false" ht="15" hidden="false" customHeight="false" outlineLevel="0" collapsed="false">
      <c r="B8" s="4" t="s">
        <v>659</v>
      </c>
      <c r="C8" s="51" t="n">
        <v>200</v>
      </c>
      <c r="D8" s="36" t="s">
        <v>660</v>
      </c>
    </row>
    <row r="9" customFormat="false" ht="15" hidden="false" customHeight="false" outlineLevel="0" collapsed="false">
      <c r="B9" s="4" t="s">
        <v>661</v>
      </c>
      <c r="C9" s="51" t="n">
        <v>14</v>
      </c>
      <c r="D9" s="36" t="s">
        <v>662</v>
      </c>
    </row>
    <row r="10" customFormat="false" ht="15" hidden="false" customHeight="false" outlineLevel="0" collapsed="false">
      <c r="B10" s="4" t="s">
        <v>663</v>
      </c>
      <c r="C10" s="52" t="n">
        <v>2</v>
      </c>
      <c r="D10" s="36" t="s">
        <v>664</v>
      </c>
    </row>
    <row r="12" customFormat="false" ht="19.5" hidden="false" customHeight="true" outlineLevel="0" collapsed="false">
      <c r="B12" s="34" t="s">
        <v>665</v>
      </c>
      <c r="C12" s="34"/>
      <c r="D12" s="34"/>
    </row>
    <row r="13" customFormat="false" ht="15" hidden="false" customHeight="false" outlineLevel="0" collapsed="false">
      <c r="B13" s="4" t="s">
        <v>666</v>
      </c>
      <c r="C13" s="52" t="n">
        <v>2</v>
      </c>
      <c r="D13" s="36" t="s">
        <v>667</v>
      </c>
    </row>
    <row r="14" customFormat="false" ht="15" hidden="false" customHeight="false" outlineLevel="0" collapsed="false">
      <c r="B14" s="4" t="s">
        <v>668</v>
      </c>
      <c r="C14" s="52" t="n">
        <v>1.3</v>
      </c>
      <c r="D14" s="36"/>
    </row>
    <row r="15" customFormat="false" ht="15" hidden="false" customHeight="false" outlineLevel="0" collapsed="false">
      <c r="B15" s="4" t="s">
        <v>669</v>
      </c>
      <c r="C15" s="52" t="n">
        <v>0.6</v>
      </c>
      <c r="D15" s="36" t="s">
        <v>670</v>
      </c>
    </row>
    <row r="17" customFormat="false" ht="19.5" hidden="false" customHeight="true" outlineLevel="0" collapsed="false">
      <c r="B17" s="34" t="s">
        <v>671</v>
      </c>
      <c r="C17" s="34"/>
      <c r="D17" s="34"/>
    </row>
    <row r="18" customFormat="false" ht="15" hidden="false" customHeight="false" outlineLevel="0" collapsed="false">
      <c r="B18" s="4" t="s">
        <v>672</v>
      </c>
      <c r="C18" s="37" t="n">
        <v>5</v>
      </c>
      <c r="D18" s="36"/>
    </row>
    <row r="19" customFormat="false" ht="15" hidden="false" customHeight="false" outlineLevel="0" collapsed="false">
      <c r="B19" s="4" t="s">
        <v>673</v>
      </c>
      <c r="C19" s="37" t="n">
        <v>2</v>
      </c>
      <c r="D19" s="36"/>
    </row>
    <row r="20" customFormat="false" ht="15" hidden="false" customHeight="false" outlineLevel="0" collapsed="false">
      <c r="B20" s="4" t="s">
        <v>674</v>
      </c>
      <c r="C20" s="37" t="n">
        <v>-2</v>
      </c>
      <c r="D20" s="36"/>
    </row>
    <row r="21" customFormat="false" ht="15" hidden="false" customHeight="false" outlineLevel="0" collapsed="false">
      <c r="B21" s="4" t="s">
        <v>675</v>
      </c>
      <c r="C21" s="37" t="n">
        <v>-5</v>
      </c>
      <c r="D21" s="36"/>
    </row>
    <row r="23" customFormat="false" ht="19.5" hidden="false" customHeight="true" outlineLevel="0" collapsed="false">
      <c r="B23" s="34" t="s">
        <v>676</v>
      </c>
      <c r="C23" s="34"/>
      <c r="D23" s="34"/>
    </row>
    <row r="24" customFormat="false" ht="15" hidden="false" customHeight="false" outlineLevel="0" collapsed="false">
      <c r="B24" s="4" t="s">
        <v>677</v>
      </c>
      <c r="C24" s="37" t="n">
        <v>0.35</v>
      </c>
      <c r="D24" s="36" t="s">
        <v>678</v>
      </c>
    </row>
    <row r="25" customFormat="false" ht="15" hidden="false" customHeight="false" outlineLevel="0" collapsed="false">
      <c r="B25" s="4" t="s">
        <v>679</v>
      </c>
      <c r="C25" s="37" t="n">
        <v>0.25</v>
      </c>
      <c r="D25" s="36" t="s">
        <v>680</v>
      </c>
    </row>
    <row r="26" customFormat="false" ht="15" hidden="false" customHeight="false" outlineLevel="0" collapsed="false">
      <c r="B26" s="4" t="s">
        <v>681</v>
      </c>
      <c r="C26" s="37" t="n">
        <v>0.15</v>
      </c>
      <c r="D26" s="36" t="s">
        <v>682</v>
      </c>
    </row>
    <row r="27" customFormat="false" ht="15" hidden="false" customHeight="false" outlineLevel="0" collapsed="false">
      <c r="B27" s="4" t="s">
        <v>683</v>
      </c>
      <c r="C27" s="37" t="n">
        <v>0.25</v>
      </c>
      <c r="D27" s="36" t="s">
        <v>684</v>
      </c>
    </row>
    <row r="28" customFormat="false" ht="15" hidden="false" customHeight="false" outlineLevel="0" collapsed="false">
      <c r="B28" s="4" t="s">
        <v>685</v>
      </c>
      <c r="C28" s="53" t="n">
        <f aca="false">SUM(C24:C27)</f>
        <v>1</v>
      </c>
      <c r="D28" s="54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4" t="s">
        <v>686</v>
      </c>
      <c r="C30" s="34"/>
      <c r="D30" s="34"/>
    </row>
    <row r="31" customFormat="false" ht="15" hidden="false" customHeight="false" outlineLevel="0" collapsed="false">
      <c r="B31" s="4" t="s">
        <v>687</v>
      </c>
      <c r="C31" s="51" t="n">
        <v>20</v>
      </c>
      <c r="D31" s="36" t="s">
        <v>688</v>
      </c>
    </row>
    <row r="32" customFormat="false" ht="15" hidden="false" customHeight="false" outlineLevel="0" collapsed="false">
      <c r="B32" s="4" t="s">
        <v>689</v>
      </c>
      <c r="C32" s="51" t="n">
        <v>60</v>
      </c>
      <c r="D32" s="36" t="s">
        <v>690</v>
      </c>
    </row>
    <row r="33" customFormat="false" ht="15" hidden="false" customHeight="false" outlineLevel="0" collapsed="false">
      <c r="B33" s="4" t="s">
        <v>691</v>
      </c>
      <c r="C33" s="38" t="n">
        <v>0.07</v>
      </c>
      <c r="D33" s="36" t="s">
        <v>692</v>
      </c>
    </row>
    <row r="34" customFormat="false" ht="15" hidden="false" customHeight="false" outlineLevel="0" collapsed="false">
      <c r="B34" s="4" t="s">
        <v>693</v>
      </c>
      <c r="C34" s="51" t="n">
        <v>50</v>
      </c>
      <c r="D34" s="36" t="s">
        <v>694</v>
      </c>
    </row>
    <row r="36" customFormat="false" ht="15" hidden="false" customHeight="true" outlineLevel="0" collapsed="false">
      <c r="B36" s="33" t="s">
        <v>695</v>
      </c>
      <c r="C36" s="33"/>
      <c r="D36" s="33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696</v>
      </c>
      <c r="B1" s="1"/>
    </row>
    <row r="2" customFormat="false" ht="30" hidden="false" customHeight="true" outlineLevel="0" collapsed="false">
      <c r="A2" s="55" t="s">
        <v>697</v>
      </c>
      <c r="B2" s="55"/>
    </row>
    <row r="3" customFormat="false" ht="33.75" hidden="false" customHeight="true" outlineLevel="0" collapsed="false">
      <c r="A3" s="56" t="s">
        <v>698</v>
      </c>
      <c r="B3" s="56"/>
    </row>
    <row r="4" customFormat="false" ht="24" hidden="false" customHeight="true" outlineLevel="0" collapsed="false">
      <c r="A4" s="57" t="s">
        <v>699</v>
      </c>
      <c r="B4" s="57"/>
    </row>
    <row r="5" customFormat="false" ht="30" hidden="false" customHeight="true" outlineLevel="0" collapsed="false">
      <c r="A5" s="55" t="s">
        <v>700</v>
      </c>
      <c r="B5" s="55"/>
    </row>
    <row r="6" customFormat="false" ht="18" hidden="false" customHeight="true" outlineLevel="0" collapsed="false">
      <c r="A6" s="58" t="s">
        <v>701</v>
      </c>
      <c r="B6" s="58"/>
    </row>
    <row r="7" customFormat="false" ht="18" hidden="false" customHeight="true" outlineLevel="0" collapsed="false">
      <c r="A7" s="58" t="s">
        <v>702</v>
      </c>
      <c r="B7" s="58"/>
    </row>
    <row r="8" customFormat="false" ht="18" hidden="false" customHeight="true" outlineLevel="0" collapsed="false">
      <c r="A8" s="58" t="s">
        <v>703</v>
      </c>
      <c r="B8" s="58"/>
    </row>
    <row r="9" customFormat="false" ht="30" hidden="false" customHeight="true" outlineLevel="0" collapsed="false">
      <c r="A9" s="55" t="s">
        <v>704</v>
      </c>
      <c r="B9" s="55"/>
    </row>
    <row r="10" customFormat="false" ht="24" hidden="false" customHeight="true" outlineLevel="0" collapsed="false">
      <c r="A10" s="57" t="s">
        <v>705</v>
      </c>
      <c r="B10" s="57"/>
    </row>
    <row r="11" customFormat="false" ht="18" hidden="false" customHeight="true" outlineLevel="0" collapsed="false">
      <c r="A11" s="58" t="s">
        <v>706</v>
      </c>
      <c r="B11" s="58"/>
    </row>
    <row r="12" customFormat="false" ht="18" hidden="false" customHeight="true" outlineLevel="0" collapsed="false">
      <c r="A12" s="58" t="s">
        <v>707</v>
      </c>
      <c r="B12" s="58"/>
    </row>
    <row r="13" customFormat="false" ht="18" hidden="false" customHeight="true" outlineLevel="0" collapsed="false">
      <c r="A13" s="58" t="s">
        <v>708</v>
      </c>
      <c r="B13" s="58"/>
    </row>
    <row r="14" customFormat="false" ht="18" hidden="false" customHeight="true" outlineLevel="0" collapsed="false">
      <c r="A14" s="58" t="s">
        <v>709</v>
      </c>
      <c r="B14" s="58"/>
    </row>
    <row r="15" customFormat="false" ht="18" hidden="false" customHeight="true" outlineLevel="0" collapsed="false">
      <c r="A15" s="58" t="s">
        <v>710</v>
      </c>
      <c r="B15" s="58"/>
    </row>
    <row r="16" customFormat="false" ht="18" hidden="false" customHeight="true" outlineLevel="0" collapsed="false">
      <c r="A16" s="58" t="s">
        <v>711</v>
      </c>
      <c r="B16" s="58"/>
    </row>
    <row r="17" customFormat="false" ht="30" hidden="false" customHeight="true" outlineLevel="0" collapsed="false">
      <c r="A17" s="1" t="s">
        <v>712</v>
      </c>
      <c r="B17" s="1"/>
    </row>
    <row r="18" customFormat="false" ht="33.75" hidden="false" customHeight="true" outlineLevel="0" collapsed="false">
      <c r="A18" s="56" t="s">
        <v>713</v>
      </c>
      <c r="B18" s="56"/>
    </row>
    <row r="19" customFormat="false" ht="24" hidden="false" customHeight="true" outlineLevel="0" collapsed="false">
      <c r="A19" s="57" t="s">
        <v>714</v>
      </c>
      <c r="B19" s="57"/>
    </row>
    <row r="20" customFormat="false" ht="30" hidden="false" customHeight="true" outlineLevel="0" collapsed="false">
      <c r="A20" s="59" t="s">
        <v>71</v>
      </c>
      <c r="B20" s="60" t="s">
        <v>715</v>
      </c>
    </row>
    <row r="21" customFormat="false" ht="30" hidden="false" customHeight="true" outlineLevel="0" collapsed="false">
      <c r="A21" s="59" t="s">
        <v>716</v>
      </c>
      <c r="B21" s="60" t="s">
        <v>717</v>
      </c>
    </row>
    <row r="22" customFormat="false" ht="30" hidden="false" customHeight="true" outlineLevel="0" collapsed="false">
      <c r="A22" s="59" t="s">
        <v>718</v>
      </c>
      <c r="B22" s="60" t="s">
        <v>719</v>
      </c>
    </row>
    <row r="23" customFormat="false" ht="30" hidden="false" customHeight="true" outlineLevel="0" collapsed="false">
      <c r="A23" s="55" t="s">
        <v>720</v>
      </c>
      <c r="B23" s="55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2026-09-07T02:54:42Z</dcterms:created>
  <dc:creator>openpyxl</dc:creator>
  <dc:description/>
  <dc:language>en-US</dc:language>
  <cp:lastModifiedBy/>
  <dcterms:modified xsi:type="dcterms:W3CDTF">2026-09-07T02:54:46Z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